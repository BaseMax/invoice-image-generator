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tables/table40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X\invoice-image-generator\"/>
    </mc:Choice>
  </mc:AlternateContent>
  <xr:revisionPtr revIDLastSave="0" documentId="13_ncr:1_{A21496E4-242E-4358-8FB0-1421353218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H7" i="1" s="1"/>
  <c r="H8" i="1" s="1"/>
  <c r="G17" i="1"/>
  <c r="H20" i="1" s="1"/>
  <c r="H21" i="1" s="1"/>
  <c r="G18" i="1"/>
  <c r="G19" i="1"/>
  <c r="G6039" i="1"/>
  <c r="G6038" i="1"/>
  <c r="G6037" i="1"/>
  <c r="G6021" i="1"/>
  <c r="G6020" i="1"/>
  <c r="G6019" i="1"/>
  <c r="G6006" i="1"/>
  <c r="G6005" i="1"/>
  <c r="G6004" i="1"/>
  <c r="G5991" i="1"/>
  <c r="G5990" i="1"/>
  <c r="G5989" i="1"/>
  <c r="G5975" i="1"/>
  <c r="G5974" i="1"/>
  <c r="G5973" i="1"/>
  <c r="G5961" i="1"/>
  <c r="G5960" i="1"/>
  <c r="G5959" i="1"/>
  <c r="G5946" i="1"/>
  <c r="G5945" i="1"/>
  <c r="G5944" i="1"/>
  <c r="G5933" i="1"/>
  <c r="G5932" i="1"/>
  <c r="G5931" i="1"/>
  <c r="G5919" i="1"/>
  <c r="G5918" i="1"/>
  <c r="G5917" i="1"/>
  <c r="G5904" i="1"/>
  <c r="G5903" i="1"/>
  <c r="G5902" i="1"/>
  <c r="G5888" i="1"/>
  <c r="G5887" i="1"/>
  <c r="G5886" i="1"/>
  <c r="G5874" i="1"/>
  <c r="G5873" i="1"/>
  <c r="G5872" i="1"/>
  <c r="G5860" i="1"/>
  <c r="G5859" i="1"/>
  <c r="G5858" i="1"/>
  <c r="G5844" i="1"/>
  <c r="G5843" i="1"/>
  <c r="G5842" i="1"/>
  <c r="G5829" i="1"/>
  <c r="G5828" i="1"/>
  <c r="G5827" i="1"/>
  <c r="G5814" i="1"/>
  <c r="G5813" i="1"/>
  <c r="G5812" i="1"/>
  <c r="G5798" i="1"/>
  <c r="G5797" i="1"/>
  <c r="G5796" i="1"/>
  <c r="G5783" i="1"/>
  <c r="G5782" i="1"/>
  <c r="G5781" i="1"/>
  <c r="G5768" i="1"/>
  <c r="G5767" i="1"/>
  <c r="G5766" i="1"/>
  <c r="G5754" i="1"/>
  <c r="G5753" i="1"/>
  <c r="G5752" i="1"/>
  <c r="G5739" i="1"/>
  <c r="G5738" i="1"/>
  <c r="G5737" i="1"/>
  <c r="G5723" i="1"/>
  <c r="G5722" i="1"/>
  <c r="G5721" i="1"/>
  <c r="G5706" i="1"/>
  <c r="G5705" i="1"/>
  <c r="G5704" i="1"/>
  <c r="G5689" i="1"/>
  <c r="G5688" i="1"/>
  <c r="G5687" i="1"/>
  <c r="G5674" i="1"/>
  <c r="G5673" i="1"/>
  <c r="G5672" i="1"/>
  <c r="G5660" i="1"/>
  <c r="G5659" i="1"/>
  <c r="G5658" i="1"/>
  <c r="G5646" i="1"/>
  <c r="G5645" i="1"/>
  <c r="G5644" i="1"/>
  <c r="G5631" i="1"/>
  <c r="G5630" i="1"/>
  <c r="G5629" i="1"/>
  <c r="G5616" i="1"/>
  <c r="G5615" i="1"/>
  <c r="G5614" i="1"/>
  <c r="G5601" i="1"/>
  <c r="G5600" i="1"/>
  <c r="G5599" i="1"/>
  <c r="G5587" i="1"/>
  <c r="G5586" i="1"/>
  <c r="G5585" i="1"/>
  <c r="G5572" i="1"/>
  <c r="G5571" i="1"/>
  <c r="G5570" i="1"/>
  <c r="G5556" i="1"/>
  <c r="G5555" i="1"/>
  <c r="G5554" i="1"/>
  <c r="G5541" i="1"/>
  <c r="G5540" i="1"/>
  <c r="G5539" i="1"/>
  <c r="G5526" i="1"/>
  <c r="G5525" i="1"/>
  <c r="G5524" i="1"/>
  <c r="G5511" i="1"/>
  <c r="G5510" i="1"/>
  <c r="G5509" i="1"/>
  <c r="G5496" i="1"/>
  <c r="G5495" i="1"/>
  <c r="G5494" i="1"/>
  <c r="G5481" i="1"/>
  <c r="G5480" i="1"/>
  <c r="G5479" i="1"/>
  <c r="G5466" i="1"/>
  <c r="G5465" i="1"/>
  <c r="G5464" i="1"/>
  <c r="G5451" i="1"/>
  <c r="G5450" i="1"/>
  <c r="G5449" i="1"/>
  <c r="G5435" i="1"/>
  <c r="G5434" i="1"/>
  <c r="G5433" i="1"/>
  <c r="H5436" i="1" s="1"/>
  <c r="H5437" i="1" s="1"/>
  <c r="G5420" i="1"/>
  <c r="G5419" i="1"/>
  <c r="G5418" i="1"/>
  <c r="G5403" i="1"/>
  <c r="G5402" i="1"/>
  <c r="G5401" i="1"/>
  <c r="G5386" i="1"/>
  <c r="G5385" i="1"/>
  <c r="G5384" i="1"/>
  <c r="G5370" i="1"/>
  <c r="G5369" i="1"/>
  <c r="G5368" i="1"/>
  <c r="G5354" i="1"/>
  <c r="G5353" i="1"/>
  <c r="G5352" i="1"/>
  <c r="G5339" i="1"/>
  <c r="G5338" i="1"/>
  <c r="G5337" i="1"/>
  <c r="G5324" i="1"/>
  <c r="G5323" i="1"/>
  <c r="G5322" i="1"/>
  <c r="G5307" i="1"/>
  <c r="G5306" i="1"/>
  <c r="G5305" i="1"/>
  <c r="G5292" i="1"/>
  <c r="G5291" i="1"/>
  <c r="G5290" i="1"/>
  <c r="G5277" i="1"/>
  <c r="G5276" i="1"/>
  <c r="G5275" i="1"/>
  <c r="G5262" i="1"/>
  <c r="G5261" i="1"/>
  <c r="G5260" i="1"/>
  <c r="G5248" i="1"/>
  <c r="G5247" i="1"/>
  <c r="G5246" i="1"/>
  <c r="G5234" i="1"/>
  <c r="G5233" i="1"/>
  <c r="G5232" i="1"/>
  <c r="G5220" i="1"/>
  <c r="G5219" i="1"/>
  <c r="G5218" i="1"/>
  <c r="G5206" i="1"/>
  <c r="G5205" i="1"/>
  <c r="G5204" i="1"/>
  <c r="G5191" i="1"/>
  <c r="G5190" i="1"/>
  <c r="G5189" i="1"/>
  <c r="G5176" i="1"/>
  <c r="G5175" i="1"/>
  <c r="G5174" i="1"/>
  <c r="G5161" i="1"/>
  <c r="G5160" i="1"/>
  <c r="G5159" i="1"/>
  <c r="G5145" i="1"/>
  <c r="G5144" i="1"/>
  <c r="G5143" i="1"/>
  <c r="G5129" i="1"/>
  <c r="G5128" i="1"/>
  <c r="G5127" i="1"/>
  <c r="G5113" i="1"/>
  <c r="G5112" i="1"/>
  <c r="G5111" i="1"/>
  <c r="G5098" i="1"/>
  <c r="G5097" i="1"/>
  <c r="G5096" i="1"/>
  <c r="G5082" i="1"/>
  <c r="G5081" i="1"/>
  <c r="G5080" i="1"/>
  <c r="G5067" i="1"/>
  <c r="G5066" i="1"/>
  <c r="G5065" i="1"/>
  <c r="G5053" i="1"/>
  <c r="G5052" i="1"/>
  <c r="G5051" i="1"/>
  <c r="G5040" i="1"/>
  <c r="G5039" i="1"/>
  <c r="G5038" i="1"/>
  <c r="G5024" i="1"/>
  <c r="G5023" i="1"/>
  <c r="G5022" i="1"/>
  <c r="G5009" i="1"/>
  <c r="G5008" i="1"/>
  <c r="G5007" i="1"/>
  <c r="G4994" i="1"/>
  <c r="G4993" i="1"/>
  <c r="G4992" i="1"/>
  <c r="G4980" i="1"/>
  <c r="G4979" i="1"/>
  <c r="G4978" i="1"/>
  <c r="G4964" i="1"/>
  <c r="G4963" i="1"/>
  <c r="G4962" i="1"/>
  <c r="G4949" i="1"/>
  <c r="G4948" i="1"/>
  <c r="G4947" i="1"/>
  <c r="G4936" i="1"/>
  <c r="G4935" i="1"/>
  <c r="G4934" i="1"/>
  <c r="G4920" i="1"/>
  <c r="G4919" i="1"/>
  <c r="G4918" i="1"/>
  <c r="G4906" i="1"/>
  <c r="G4905" i="1"/>
  <c r="G4904" i="1"/>
  <c r="G4891" i="1"/>
  <c r="G4890" i="1"/>
  <c r="G4889" i="1"/>
  <c r="G4877" i="1"/>
  <c r="G4876" i="1"/>
  <c r="G4875" i="1"/>
  <c r="G4861" i="1"/>
  <c r="G4860" i="1"/>
  <c r="G4859" i="1"/>
  <c r="G4846" i="1"/>
  <c r="G4845" i="1"/>
  <c r="G4844" i="1"/>
  <c r="G4832" i="1"/>
  <c r="G4831" i="1"/>
  <c r="G4830" i="1"/>
  <c r="G4816" i="1"/>
  <c r="G4815" i="1"/>
  <c r="G4814" i="1"/>
  <c r="G4800" i="1"/>
  <c r="G4799" i="1"/>
  <c r="G4798" i="1"/>
  <c r="G4785" i="1"/>
  <c r="G4784" i="1"/>
  <c r="G4783" i="1"/>
  <c r="G4769" i="1"/>
  <c r="G4768" i="1"/>
  <c r="G4767" i="1"/>
  <c r="G4752" i="1"/>
  <c r="G4751" i="1"/>
  <c r="G4750" i="1"/>
  <c r="G4736" i="1"/>
  <c r="G4735" i="1"/>
  <c r="G4734" i="1"/>
  <c r="G4720" i="1"/>
  <c r="G4719" i="1"/>
  <c r="G4718" i="1"/>
  <c r="G4705" i="1"/>
  <c r="G4704" i="1"/>
  <c r="G4703" i="1"/>
  <c r="G4691" i="1"/>
  <c r="G4690" i="1"/>
  <c r="G4689" i="1"/>
  <c r="G4677" i="1"/>
  <c r="G4676" i="1"/>
  <c r="G4675" i="1"/>
  <c r="G4662" i="1"/>
  <c r="G4661" i="1"/>
  <c r="G4660" i="1"/>
  <c r="G4647" i="1"/>
  <c r="G4646" i="1"/>
  <c r="G4645" i="1"/>
  <c r="G4632" i="1"/>
  <c r="G4631" i="1"/>
  <c r="G4630" i="1"/>
  <c r="G4616" i="1"/>
  <c r="G4615" i="1"/>
  <c r="G4614" i="1"/>
  <c r="H4617" i="1" s="1"/>
  <c r="H4618" i="1" s="1"/>
  <c r="G4601" i="1"/>
  <c r="G4600" i="1"/>
  <c r="G4599" i="1"/>
  <c r="G4587" i="1"/>
  <c r="G4586" i="1"/>
  <c r="G4585" i="1"/>
  <c r="G4573" i="1"/>
  <c r="G4572" i="1"/>
  <c r="G4571" i="1"/>
  <c r="G4559" i="1"/>
  <c r="G4558" i="1"/>
  <c r="G4557" i="1"/>
  <c r="G4545" i="1"/>
  <c r="G4544" i="1"/>
  <c r="G4543" i="1"/>
  <c r="G4531" i="1"/>
  <c r="G4530" i="1"/>
  <c r="G4529" i="1"/>
  <c r="G4517" i="1"/>
  <c r="G4516" i="1"/>
  <c r="G4515" i="1"/>
  <c r="G4503" i="1"/>
  <c r="G4502" i="1"/>
  <c r="G4501" i="1"/>
  <c r="G4489" i="1"/>
  <c r="G4488" i="1"/>
  <c r="G4487" i="1"/>
  <c r="G4476" i="1"/>
  <c r="G4475" i="1"/>
  <c r="G4474" i="1"/>
  <c r="G4462" i="1"/>
  <c r="G4461" i="1"/>
  <c r="G4460" i="1"/>
  <c r="G4448" i="1"/>
  <c r="G4447" i="1"/>
  <c r="G4446" i="1"/>
  <c r="G4434" i="1"/>
  <c r="G4433" i="1"/>
  <c r="G4432" i="1"/>
  <c r="G4419" i="1"/>
  <c r="G4418" i="1"/>
  <c r="G4417" i="1"/>
  <c r="G4404" i="1"/>
  <c r="G4403" i="1"/>
  <c r="G4402" i="1"/>
  <c r="G4390" i="1"/>
  <c r="G4389" i="1"/>
  <c r="G4388" i="1"/>
  <c r="G4376" i="1"/>
  <c r="G4375" i="1"/>
  <c r="G4374" i="1"/>
  <c r="G4363" i="1"/>
  <c r="G4362" i="1"/>
  <c r="G4361" i="1"/>
  <c r="G4348" i="1"/>
  <c r="G4347" i="1"/>
  <c r="G4346" i="1"/>
  <c r="G4334" i="1"/>
  <c r="G4333" i="1"/>
  <c r="G4332" i="1"/>
  <c r="G4320" i="1"/>
  <c r="G4319" i="1"/>
  <c r="G4318" i="1"/>
  <c r="G4306" i="1"/>
  <c r="G4305" i="1"/>
  <c r="G4304" i="1"/>
  <c r="G4291" i="1"/>
  <c r="G4290" i="1"/>
  <c r="G4289" i="1"/>
  <c r="G4276" i="1"/>
  <c r="G4275" i="1"/>
  <c r="G4274" i="1"/>
  <c r="G4261" i="1"/>
  <c r="G4260" i="1"/>
  <c r="G4259" i="1"/>
  <c r="G4247" i="1"/>
  <c r="G4246" i="1"/>
  <c r="G4245" i="1"/>
  <c r="G4232" i="1"/>
  <c r="G4231" i="1"/>
  <c r="G4230" i="1"/>
  <c r="G4217" i="1"/>
  <c r="G4216" i="1"/>
  <c r="G4215" i="1"/>
  <c r="G4202" i="1"/>
  <c r="G4201" i="1"/>
  <c r="G4200" i="1"/>
  <c r="G4186" i="1"/>
  <c r="G4185" i="1"/>
  <c r="G4184" i="1"/>
  <c r="G4170" i="1"/>
  <c r="G4169" i="1"/>
  <c r="G4168" i="1"/>
  <c r="G4155" i="1"/>
  <c r="G4154" i="1"/>
  <c r="G4153" i="1"/>
  <c r="G4140" i="1"/>
  <c r="G4139" i="1"/>
  <c r="G4138" i="1"/>
  <c r="G4124" i="1"/>
  <c r="G4123" i="1"/>
  <c r="G4122" i="1"/>
  <c r="G4109" i="1"/>
  <c r="G4108" i="1"/>
  <c r="G4107" i="1"/>
  <c r="G4094" i="1"/>
  <c r="G4093" i="1"/>
  <c r="G4092" i="1"/>
  <c r="G4079" i="1"/>
  <c r="G4078" i="1"/>
  <c r="G4077" i="1"/>
  <c r="G4063" i="1"/>
  <c r="G4062" i="1"/>
  <c r="G4061" i="1"/>
  <c r="G4047" i="1"/>
  <c r="G4046" i="1"/>
  <c r="G4045" i="1"/>
  <c r="G4032" i="1"/>
  <c r="G4031" i="1"/>
  <c r="G4030" i="1"/>
  <c r="G4018" i="1"/>
  <c r="G4017" i="1"/>
  <c r="G4016" i="1"/>
  <c r="G4004" i="1"/>
  <c r="G4003" i="1"/>
  <c r="G4002" i="1"/>
  <c r="G3991" i="1"/>
  <c r="G3990" i="1"/>
  <c r="G3989" i="1"/>
  <c r="G3978" i="1"/>
  <c r="G3977" i="1"/>
  <c r="G3976" i="1"/>
  <c r="G3963" i="1"/>
  <c r="G3962" i="1"/>
  <c r="G3961" i="1"/>
  <c r="G3947" i="1"/>
  <c r="G3946" i="1"/>
  <c r="G3945" i="1"/>
  <c r="G3932" i="1"/>
  <c r="G3931" i="1"/>
  <c r="G3930" i="1"/>
  <c r="G3917" i="1"/>
  <c r="G3916" i="1"/>
  <c r="G3915" i="1"/>
  <c r="G3901" i="1"/>
  <c r="G3900" i="1"/>
  <c r="G3899" i="1"/>
  <c r="G3885" i="1"/>
  <c r="G3884" i="1"/>
  <c r="G3883" i="1"/>
  <c r="G3868" i="1"/>
  <c r="G3867" i="1"/>
  <c r="G3866" i="1"/>
  <c r="G3852" i="1"/>
  <c r="G3851" i="1"/>
  <c r="G3850" i="1"/>
  <c r="G3837" i="1"/>
  <c r="G3836" i="1"/>
  <c r="G3835" i="1"/>
  <c r="G3823" i="1"/>
  <c r="G3822" i="1"/>
  <c r="G3821" i="1"/>
  <c r="G3808" i="1"/>
  <c r="G3807" i="1"/>
  <c r="G3806" i="1"/>
  <c r="G3794" i="1"/>
  <c r="G3793" i="1"/>
  <c r="G3792" i="1"/>
  <c r="G3778" i="1"/>
  <c r="G3777" i="1"/>
  <c r="G3776" i="1"/>
  <c r="G3763" i="1"/>
  <c r="G3762" i="1"/>
  <c r="G3761" i="1"/>
  <c r="G3749" i="1"/>
  <c r="G3748" i="1"/>
  <c r="G3747" i="1"/>
  <c r="G3733" i="1"/>
  <c r="G3732" i="1"/>
  <c r="G3731" i="1"/>
  <c r="G3719" i="1"/>
  <c r="G3718" i="1"/>
  <c r="G3717" i="1"/>
  <c r="G3705" i="1"/>
  <c r="G3704" i="1"/>
  <c r="G3703" i="1"/>
  <c r="G3691" i="1"/>
  <c r="G3690" i="1"/>
  <c r="G3689" i="1"/>
  <c r="G3676" i="1"/>
  <c r="G3675" i="1"/>
  <c r="G3674" i="1"/>
  <c r="G3661" i="1"/>
  <c r="G3660" i="1"/>
  <c r="G3659" i="1"/>
  <c r="G3642" i="1"/>
  <c r="G3641" i="1"/>
  <c r="G3640" i="1"/>
  <c r="G3628" i="1"/>
  <c r="G3627" i="1"/>
  <c r="G3626" i="1"/>
  <c r="G3614" i="1"/>
  <c r="G3613" i="1"/>
  <c r="G3612" i="1"/>
  <c r="G3600" i="1"/>
  <c r="G3599" i="1"/>
  <c r="G3598" i="1"/>
  <c r="G3585" i="1"/>
  <c r="G3584" i="1"/>
  <c r="G3583" i="1"/>
  <c r="G3567" i="1"/>
  <c r="G3566" i="1"/>
  <c r="G3565" i="1"/>
  <c r="G3550" i="1"/>
  <c r="G3549" i="1"/>
  <c r="G3548" i="1"/>
  <c r="G3535" i="1"/>
  <c r="G3534" i="1"/>
  <c r="G3533" i="1"/>
  <c r="G3519" i="1"/>
  <c r="G3518" i="1"/>
  <c r="G3517" i="1"/>
  <c r="G3503" i="1"/>
  <c r="G3502" i="1"/>
  <c r="G3501" i="1"/>
  <c r="G3486" i="1"/>
  <c r="G3485" i="1"/>
  <c r="G3484" i="1"/>
  <c r="G3469" i="1"/>
  <c r="G3468" i="1"/>
  <c r="G3467" i="1"/>
  <c r="G3452" i="1"/>
  <c r="G3451" i="1"/>
  <c r="G3450" i="1"/>
  <c r="G3438" i="1"/>
  <c r="G3437" i="1"/>
  <c r="G3436" i="1"/>
  <c r="G3423" i="1"/>
  <c r="G3422" i="1"/>
  <c r="G3421" i="1"/>
  <c r="G3408" i="1"/>
  <c r="G3407" i="1"/>
  <c r="G3406" i="1"/>
  <c r="G3393" i="1"/>
  <c r="G3392" i="1"/>
  <c r="G3391" i="1"/>
  <c r="G3378" i="1"/>
  <c r="G3377" i="1"/>
  <c r="G3376" i="1"/>
  <c r="G3360" i="1"/>
  <c r="G3359" i="1"/>
  <c r="G3358" i="1"/>
  <c r="G3345" i="1"/>
  <c r="G3344" i="1"/>
  <c r="G3343" i="1"/>
  <c r="G3330" i="1"/>
  <c r="G3329" i="1"/>
  <c r="G3328" i="1"/>
  <c r="G3316" i="1"/>
  <c r="G3315" i="1"/>
  <c r="G3314" i="1"/>
  <c r="G3302" i="1"/>
  <c r="G3301" i="1"/>
  <c r="G3300" i="1"/>
  <c r="G3287" i="1"/>
  <c r="G3286" i="1"/>
  <c r="G3285" i="1"/>
  <c r="G3272" i="1"/>
  <c r="G3271" i="1"/>
  <c r="G3270" i="1"/>
  <c r="G3257" i="1"/>
  <c r="G3256" i="1"/>
  <c r="G3255" i="1"/>
  <c r="G3242" i="1"/>
  <c r="G3241" i="1"/>
  <c r="G3240" i="1"/>
  <c r="G3226" i="1"/>
  <c r="G3225" i="1"/>
  <c r="G3224" i="1"/>
  <c r="G3210" i="1"/>
  <c r="G3209" i="1"/>
  <c r="G3208" i="1"/>
  <c r="G3195" i="1"/>
  <c r="G3194" i="1"/>
  <c r="G3193" i="1"/>
  <c r="G3181" i="1"/>
  <c r="G3180" i="1"/>
  <c r="G3179" i="1"/>
  <c r="G3165" i="1"/>
  <c r="G3164" i="1"/>
  <c r="G3163" i="1"/>
  <c r="G3148" i="1"/>
  <c r="G3147" i="1"/>
  <c r="G3146" i="1"/>
  <c r="G3134" i="1"/>
  <c r="G3133" i="1"/>
  <c r="G3132" i="1"/>
  <c r="G3116" i="1"/>
  <c r="G3115" i="1"/>
  <c r="G3114" i="1"/>
  <c r="G3101" i="1"/>
  <c r="G3100" i="1"/>
  <c r="G3099" i="1"/>
  <c r="G3086" i="1"/>
  <c r="G3085" i="1"/>
  <c r="G3084" i="1"/>
  <c r="G3070" i="1"/>
  <c r="G3069" i="1"/>
  <c r="G3068" i="1"/>
  <c r="G3056" i="1"/>
  <c r="G3055" i="1"/>
  <c r="G3054" i="1"/>
  <c r="G3039" i="1"/>
  <c r="G3038" i="1"/>
  <c r="G3037" i="1"/>
  <c r="G3023" i="1"/>
  <c r="G3022" i="1"/>
  <c r="G3021" i="1"/>
  <c r="G3007" i="1"/>
  <c r="G3006" i="1"/>
  <c r="G3005" i="1"/>
  <c r="G2993" i="1"/>
  <c r="G2992" i="1"/>
  <c r="G2991" i="1"/>
  <c r="G2978" i="1"/>
  <c r="G2977" i="1"/>
  <c r="G2976" i="1"/>
  <c r="G2964" i="1"/>
  <c r="G2963" i="1"/>
  <c r="G2962" i="1"/>
  <c r="G2949" i="1"/>
  <c r="G2948" i="1"/>
  <c r="G2947" i="1"/>
  <c r="G2936" i="1"/>
  <c r="G2935" i="1"/>
  <c r="G2934" i="1"/>
  <c r="G2922" i="1"/>
  <c r="G2921" i="1"/>
  <c r="G2920" i="1"/>
  <c r="G2907" i="1"/>
  <c r="G2906" i="1"/>
  <c r="G2905" i="1"/>
  <c r="G2893" i="1"/>
  <c r="G2892" i="1"/>
  <c r="G2891" i="1"/>
  <c r="G2877" i="1"/>
  <c r="G2876" i="1"/>
  <c r="G2875" i="1"/>
  <c r="G2861" i="1"/>
  <c r="G2860" i="1"/>
  <c r="G2859" i="1"/>
  <c r="G2845" i="1"/>
  <c r="G2844" i="1"/>
  <c r="G2843" i="1"/>
  <c r="G2829" i="1"/>
  <c r="G2828" i="1"/>
  <c r="G2827" i="1"/>
  <c r="G2814" i="1"/>
  <c r="G2813" i="1"/>
  <c r="G2812" i="1"/>
  <c r="G2800" i="1"/>
  <c r="G2799" i="1"/>
  <c r="G2798" i="1"/>
  <c r="G2785" i="1"/>
  <c r="G2784" i="1"/>
  <c r="G2783" i="1"/>
  <c r="G2771" i="1"/>
  <c r="G2770" i="1"/>
  <c r="G2769" i="1"/>
  <c r="G2756" i="1"/>
  <c r="G2755" i="1"/>
  <c r="G2754" i="1"/>
  <c r="G2740" i="1"/>
  <c r="G2739" i="1"/>
  <c r="G2738" i="1"/>
  <c r="G2725" i="1"/>
  <c r="G2724" i="1"/>
  <c r="G2723" i="1"/>
  <c r="H2726" i="1" s="1"/>
  <c r="H2727" i="1" s="1"/>
  <c r="G2709" i="1"/>
  <c r="G2708" i="1"/>
  <c r="G2707" i="1"/>
  <c r="G2693" i="1"/>
  <c r="G2692" i="1"/>
  <c r="G2691" i="1"/>
  <c r="G2678" i="1"/>
  <c r="G2677" i="1"/>
  <c r="G2676" i="1"/>
  <c r="G2664" i="1"/>
  <c r="G2663" i="1"/>
  <c r="G2662" i="1"/>
  <c r="G2650" i="1"/>
  <c r="G2649" i="1"/>
  <c r="G2648" i="1"/>
  <c r="G2635" i="1"/>
  <c r="G2634" i="1"/>
  <c r="G2633" i="1"/>
  <c r="H2636" i="1" s="1"/>
  <c r="H2637" i="1" s="1"/>
  <c r="G2620" i="1"/>
  <c r="G2619" i="1"/>
  <c r="G2618" i="1"/>
  <c r="G2605" i="1"/>
  <c r="G2604" i="1"/>
  <c r="G2603" i="1"/>
  <c r="G2590" i="1"/>
  <c r="G2589" i="1"/>
  <c r="G2588" i="1"/>
  <c r="G2575" i="1"/>
  <c r="G2574" i="1"/>
  <c r="G2573" i="1"/>
  <c r="G2561" i="1"/>
  <c r="G2560" i="1"/>
  <c r="G2559" i="1"/>
  <c r="G2545" i="1"/>
  <c r="G2544" i="1"/>
  <c r="G2543" i="1"/>
  <c r="G2530" i="1"/>
  <c r="G2529" i="1"/>
  <c r="G2528" i="1"/>
  <c r="G2516" i="1"/>
  <c r="G2515" i="1"/>
  <c r="G2514" i="1"/>
  <c r="G2501" i="1"/>
  <c r="G2500" i="1"/>
  <c r="G2499" i="1"/>
  <c r="G2486" i="1"/>
  <c r="G2485" i="1"/>
  <c r="G2484" i="1"/>
  <c r="G2472" i="1"/>
  <c r="G2471" i="1"/>
  <c r="G2470" i="1"/>
  <c r="G2456" i="1"/>
  <c r="G2455" i="1"/>
  <c r="G2454" i="1"/>
  <c r="G2442" i="1"/>
  <c r="G2441" i="1"/>
  <c r="G2440" i="1"/>
  <c r="G2427" i="1"/>
  <c r="G2426" i="1"/>
  <c r="G2425" i="1"/>
  <c r="G2412" i="1"/>
  <c r="G2411" i="1"/>
  <c r="G2410" i="1"/>
  <c r="G2397" i="1"/>
  <c r="G2396" i="1"/>
  <c r="G2395" i="1"/>
  <c r="G2382" i="1"/>
  <c r="G2381" i="1"/>
  <c r="G2380" i="1"/>
  <c r="G2367" i="1"/>
  <c r="G2366" i="1"/>
  <c r="G2365" i="1"/>
  <c r="H2368" i="1" s="1"/>
  <c r="H2369" i="1" s="1"/>
  <c r="G2353" i="1"/>
  <c r="G2352" i="1"/>
  <c r="G2351" i="1"/>
  <c r="G2339" i="1"/>
  <c r="G2338" i="1"/>
  <c r="G2337" i="1"/>
  <c r="G2324" i="1"/>
  <c r="G2323" i="1"/>
  <c r="G2322" i="1"/>
  <c r="G2310" i="1"/>
  <c r="G2309" i="1"/>
  <c r="G2308" i="1"/>
  <c r="G2297" i="1"/>
  <c r="G2296" i="1"/>
  <c r="G2295" i="1"/>
  <c r="G2283" i="1"/>
  <c r="G2282" i="1"/>
  <c r="G2281" i="1"/>
  <c r="G2267" i="1"/>
  <c r="G2266" i="1"/>
  <c r="G2265" i="1"/>
  <c r="G2250" i="1"/>
  <c r="G2249" i="1"/>
  <c r="G2248" i="1"/>
  <c r="G2233" i="1"/>
  <c r="G2232" i="1"/>
  <c r="G2231" i="1"/>
  <c r="G2218" i="1"/>
  <c r="G2217" i="1"/>
  <c r="G2216" i="1"/>
  <c r="G2199" i="1"/>
  <c r="G2198" i="1"/>
  <c r="G2197" i="1"/>
  <c r="G2185" i="1"/>
  <c r="G2184" i="1"/>
  <c r="G2183" i="1"/>
  <c r="G2170" i="1"/>
  <c r="G2169" i="1"/>
  <c r="G2168" i="1"/>
  <c r="G2156" i="1"/>
  <c r="G2155" i="1"/>
  <c r="G2154" i="1"/>
  <c r="G2141" i="1"/>
  <c r="G2140" i="1"/>
  <c r="G2139" i="1"/>
  <c r="G2126" i="1"/>
  <c r="G2125" i="1"/>
  <c r="G2124" i="1"/>
  <c r="G2111" i="1"/>
  <c r="G2110" i="1"/>
  <c r="G2109" i="1"/>
  <c r="G2096" i="1"/>
  <c r="G2095" i="1"/>
  <c r="G2094" i="1"/>
  <c r="G2081" i="1"/>
  <c r="G2080" i="1"/>
  <c r="G2079" i="1"/>
  <c r="G2066" i="1"/>
  <c r="G2065" i="1"/>
  <c r="G2064" i="1"/>
  <c r="G2050" i="1"/>
  <c r="G2049" i="1"/>
  <c r="G2048" i="1"/>
  <c r="G2035" i="1"/>
  <c r="G2034" i="1"/>
  <c r="G2033" i="1"/>
  <c r="G2021" i="1"/>
  <c r="G2020" i="1"/>
  <c r="G2019" i="1"/>
  <c r="G2007" i="1"/>
  <c r="G2006" i="1"/>
  <c r="G2005" i="1"/>
  <c r="G1992" i="1"/>
  <c r="G1991" i="1"/>
  <c r="G1990" i="1"/>
  <c r="G1978" i="1"/>
  <c r="G1977" i="1"/>
  <c r="G1976" i="1"/>
  <c r="G1964" i="1"/>
  <c r="G1963" i="1"/>
  <c r="G1962" i="1"/>
  <c r="G1949" i="1"/>
  <c r="G1948" i="1"/>
  <c r="G1947" i="1"/>
  <c r="G1934" i="1"/>
  <c r="G1933" i="1"/>
  <c r="G1932" i="1"/>
  <c r="G1918" i="1"/>
  <c r="G1917" i="1"/>
  <c r="G1916" i="1"/>
  <c r="G1902" i="1"/>
  <c r="G1901" i="1"/>
  <c r="G1900" i="1"/>
  <c r="G1887" i="1"/>
  <c r="G1886" i="1"/>
  <c r="G1885" i="1"/>
  <c r="G1870" i="1"/>
  <c r="G1869" i="1"/>
  <c r="G1868" i="1"/>
  <c r="G1852" i="1"/>
  <c r="G1851" i="1"/>
  <c r="G1850" i="1"/>
  <c r="G1836" i="1"/>
  <c r="G1835" i="1"/>
  <c r="G1834" i="1"/>
  <c r="G1817" i="1"/>
  <c r="G1816" i="1"/>
  <c r="G1815" i="1"/>
  <c r="G1802" i="1"/>
  <c r="G1801" i="1"/>
  <c r="G1800" i="1"/>
  <c r="G1787" i="1"/>
  <c r="G1786" i="1"/>
  <c r="G1785" i="1"/>
  <c r="G1771" i="1"/>
  <c r="G1770" i="1"/>
  <c r="G1769" i="1"/>
  <c r="G1756" i="1"/>
  <c r="G1755" i="1"/>
  <c r="G1754" i="1"/>
  <c r="G1740" i="1"/>
  <c r="G1739" i="1"/>
  <c r="G1738" i="1"/>
  <c r="G1725" i="1"/>
  <c r="G1724" i="1"/>
  <c r="G1723" i="1"/>
  <c r="G1710" i="1"/>
  <c r="G1709" i="1"/>
  <c r="G1708" i="1"/>
  <c r="G1695" i="1"/>
  <c r="G1694" i="1"/>
  <c r="G1693" i="1"/>
  <c r="G1680" i="1"/>
  <c r="G1679" i="1"/>
  <c r="G1678" i="1"/>
  <c r="G1665" i="1"/>
  <c r="G1664" i="1"/>
  <c r="G1663" i="1"/>
  <c r="G1651" i="1"/>
  <c r="G1650" i="1"/>
  <c r="G1649" i="1"/>
  <c r="G1635" i="1"/>
  <c r="G1634" i="1"/>
  <c r="G1633" i="1"/>
  <c r="G1619" i="1"/>
  <c r="G1618" i="1"/>
  <c r="G1617" i="1"/>
  <c r="G1604" i="1"/>
  <c r="G1603" i="1"/>
  <c r="G1602" i="1"/>
  <c r="G1588" i="1"/>
  <c r="G1587" i="1"/>
  <c r="G1586" i="1"/>
  <c r="G1571" i="1"/>
  <c r="G1570" i="1"/>
  <c r="G1569" i="1"/>
  <c r="G1555" i="1"/>
  <c r="G1554" i="1"/>
  <c r="G1553" i="1"/>
  <c r="G1540" i="1"/>
  <c r="G1539" i="1"/>
  <c r="G1538" i="1"/>
  <c r="G1525" i="1"/>
  <c r="G1524" i="1"/>
  <c r="G1523" i="1"/>
  <c r="G1510" i="1"/>
  <c r="G1509" i="1"/>
  <c r="G1508" i="1"/>
  <c r="G1495" i="1"/>
  <c r="G1494" i="1"/>
  <c r="G1493" i="1"/>
  <c r="G1481" i="1"/>
  <c r="G1480" i="1"/>
  <c r="G1479" i="1"/>
  <c r="G1467" i="1"/>
  <c r="G1466" i="1"/>
  <c r="G1465" i="1"/>
  <c r="G1452" i="1"/>
  <c r="G1451" i="1"/>
  <c r="G1450" i="1"/>
  <c r="G1437" i="1"/>
  <c r="G1436" i="1"/>
  <c r="G1435" i="1"/>
  <c r="G1422" i="1"/>
  <c r="G1421" i="1"/>
  <c r="G1420" i="1"/>
  <c r="G1407" i="1"/>
  <c r="G1406" i="1"/>
  <c r="G1405" i="1"/>
  <c r="G1392" i="1"/>
  <c r="G1391" i="1"/>
  <c r="G1390" i="1"/>
  <c r="G1378" i="1"/>
  <c r="G1377" i="1"/>
  <c r="G1376" i="1"/>
  <c r="G1362" i="1"/>
  <c r="G1361" i="1"/>
  <c r="G1360" i="1"/>
  <c r="G1348" i="1"/>
  <c r="G1347" i="1"/>
  <c r="G1346" i="1"/>
  <c r="G1334" i="1"/>
  <c r="G1333" i="1"/>
  <c r="G1332" i="1"/>
  <c r="G1315" i="1"/>
  <c r="G1314" i="1"/>
  <c r="G1313" i="1"/>
  <c r="G1302" i="1"/>
  <c r="G1301" i="1"/>
  <c r="G1300" i="1"/>
  <c r="G1287" i="1"/>
  <c r="G1286" i="1"/>
  <c r="G1285" i="1"/>
  <c r="G1271" i="1"/>
  <c r="G1270" i="1"/>
  <c r="G1269" i="1"/>
  <c r="G1257" i="1"/>
  <c r="G1256" i="1"/>
  <c r="G1255" i="1"/>
  <c r="G1240" i="1"/>
  <c r="G1239" i="1"/>
  <c r="G1238" i="1"/>
  <c r="G1224" i="1"/>
  <c r="G1223" i="1"/>
  <c r="G1222" i="1"/>
  <c r="G1209" i="1"/>
  <c r="G1208" i="1"/>
  <c r="G1207" i="1"/>
  <c r="G1192" i="1"/>
  <c r="G1191" i="1"/>
  <c r="G1190" i="1"/>
  <c r="G1177" i="1"/>
  <c r="G1176" i="1"/>
  <c r="G1175" i="1"/>
  <c r="G1163" i="1"/>
  <c r="G1162" i="1"/>
  <c r="G1161" i="1"/>
  <c r="G1147" i="1"/>
  <c r="G1146" i="1"/>
  <c r="G1145" i="1"/>
  <c r="G1132" i="1"/>
  <c r="G1131" i="1"/>
  <c r="G1130" i="1"/>
  <c r="G1118" i="1"/>
  <c r="G1117" i="1"/>
  <c r="G1116" i="1"/>
  <c r="G1103" i="1"/>
  <c r="G1102" i="1"/>
  <c r="G1101" i="1"/>
  <c r="G1088" i="1"/>
  <c r="G1087" i="1"/>
  <c r="G1086" i="1"/>
  <c r="G1074" i="1"/>
  <c r="G1073" i="1"/>
  <c r="G1072" i="1"/>
  <c r="G1059" i="1"/>
  <c r="G1058" i="1"/>
  <c r="G1057" i="1"/>
  <c r="G1044" i="1"/>
  <c r="G1043" i="1"/>
  <c r="G1042" i="1"/>
  <c r="G1027" i="1"/>
  <c r="G1026" i="1"/>
  <c r="G1025" i="1"/>
  <c r="G1010" i="1"/>
  <c r="G1009" i="1"/>
  <c r="G1008" i="1"/>
  <c r="G994" i="1"/>
  <c r="G993" i="1"/>
  <c r="G992" i="1"/>
  <c r="G979" i="1"/>
  <c r="G978" i="1"/>
  <c r="G977" i="1"/>
  <c r="G962" i="1"/>
  <c r="G961" i="1"/>
  <c r="G960" i="1"/>
  <c r="G946" i="1"/>
  <c r="G945" i="1"/>
  <c r="G944" i="1"/>
  <c r="G931" i="1"/>
  <c r="G930" i="1"/>
  <c r="G929" i="1"/>
  <c r="G916" i="1"/>
  <c r="G915" i="1"/>
  <c r="G914" i="1"/>
  <c r="G902" i="1"/>
  <c r="G901" i="1"/>
  <c r="G900" i="1"/>
  <c r="G888" i="1"/>
  <c r="G887" i="1"/>
  <c r="G886" i="1"/>
  <c r="G873" i="1"/>
  <c r="G872" i="1"/>
  <c r="G871" i="1"/>
  <c r="G859" i="1"/>
  <c r="G858" i="1"/>
  <c r="G857" i="1"/>
  <c r="G843" i="1"/>
  <c r="G842" i="1"/>
  <c r="G841" i="1"/>
  <c r="G828" i="1"/>
  <c r="G827" i="1"/>
  <c r="G826" i="1"/>
  <c r="G813" i="1"/>
  <c r="G812" i="1"/>
  <c r="G811" i="1"/>
  <c r="G798" i="1"/>
  <c r="G797" i="1"/>
  <c r="G796" i="1"/>
  <c r="G783" i="1"/>
  <c r="G782" i="1"/>
  <c r="G781" i="1"/>
  <c r="G768" i="1"/>
  <c r="G767" i="1"/>
  <c r="G766" i="1"/>
  <c r="G752" i="1"/>
  <c r="G751" i="1"/>
  <c r="G750" i="1"/>
  <c r="G738" i="1"/>
  <c r="G737" i="1"/>
  <c r="G736" i="1"/>
  <c r="G724" i="1"/>
  <c r="G723" i="1"/>
  <c r="G722" i="1"/>
  <c r="G709" i="1"/>
  <c r="G708" i="1"/>
  <c r="G707" i="1"/>
  <c r="G693" i="1"/>
  <c r="G692" i="1"/>
  <c r="G691" i="1"/>
  <c r="G677" i="1"/>
  <c r="G676" i="1"/>
  <c r="G675" i="1"/>
  <c r="G661" i="1"/>
  <c r="G660" i="1"/>
  <c r="G659" i="1"/>
  <c r="G646" i="1"/>
  <c r="G645" i="1"/>
  <c r="G644" i="1"/>
  <c r="G633" i="1"/>
  <c r="G632" i="1"/>
  <c r="G631" i="1"/>
  <c r="G619" i="1"/>
  <c r="G618" i="1"/>
  <c r="G617" i="1"/>
  <c r="G606" i="1"/>
  <c r="G605" i="1"/>
  <c r="G604" i="1"/>
  <c r="G589" i="1"/>
  <c r="G588" i="1"/>
  <c r="G587" i="1"/>
  <c r="G572" i="1"/>
  <c r="G571" i="1"/>
  <c r="G570" i="1"/>
  <c r="G554" i="1"/>
  <c r="G553" i="1"/>
  <c r="G552" i="1"/>
  <c r="G538" i="1"/>
  <c r="G537" i="1"/>
  <c r="G536" i="1"/>
  <c r="G521" i="1"/>
  <c r="G520" i="1"/>
  <c r="G519" i="1"/>
  <c r="G505" i="1"/>
  <c r="G504" i="1"/>
  <c r="G503" i="1"/>
  <c r="G489" i="1"/>
  <c r="G488" i="1"/>
  <c r="G487" i="1"/>
  <c r="G475" i="1"/>
  <c r="G474" i="1"/>
  <c r="G473" i="1"/>
  <c r="G460" i="1"/>
  <c r="G459" i="1"/>
  <c r="G458" i="1"/>
  <c r="G445" i="1"/>
  <c r="G444" i="1"/>
  <c r="G443" i="1"/>
  <c r="G429" i="1"/>
  <c r="G428" i="1"/>
  <c r="G427" i="1"/>
  <c r="G415" i="1"/>
  <c r="G414" i="1"/>
  <c r="G413" i="1"/>
  <c r="G400" i="1"/>
  <c r="G399" i="1"/>
  <c r="G398" i="1"/>
  <c r="G385" i="1"/>
  <c r="G384" i="1"/>
  <c r="G383" i="1"/>
  <c r="G369" i="1"/>
  <c r="G368" i="1"/>
  <c r="G367" i="1"/>
  <c r="G354" i="1"/>
  <c r="G353" i="1"/>
  <c r="G352" i="1"/>
  <c r="G338" i="1"/>
  <c r="G337" i="1"/>
  <c r="G336" i="1"/>
  <c r="G323" i="1"/>
  <c r="G322" i="1"/>
  <c r="G321" i="1"/>
  <c r="G309" i="1"/>
  <c r="G308" i="1"/>
  <c r="G307" i="1"/>
  <c r="G293" i="1"/>
  <c r="G292" i="1"/>
  <c r="G291" i="1"/>
  <c r="G278" i="1"/>
  <c r="G277" i="1"/>
  <c r="G276" i="1"/>
  <c r="G264" i="1"/>
  <c r="G263" i="1"/>
  <c r="G262" i="1"/>
  <c r="G249" i="1"/>
  <c r="G248" i="1"/>
  <c r="G247" i="1"/>
  <c r="G233" i="1"/>
  <c r="G232" i="1"/>
  <c r="G231" i="1"/>
  <c r="G218" i="1"/>
  <c r="G217" i="1"/>
  <c r="G216" i="1"/>
  <c r="G202" i="1"/>
  <c r="G201" i="1"/>
  <c r="G200" i="1"/>
  <c r="G187" i="1"/>
  <c r="G186" i="1"/>
  <c r="G185" i="1"/>
  <c r="G173" i="1"/>
  <c r="G172" i="1"/>
  <c r="G171" i="1"/>
  <c r="G160" i="1"/>
  <c r="G159" i="1"/>
  <c r="G158" i="1"/>
  <c r="G146" i="1"/>
  <c r="G145" i="1"/>
  <c r="G144" i="1"/>
  <c r="G132" i="1"/>
  <c r="G131" i="1"/>
  <c r="G130" i="1"/>
  <c r="G119" i="1"/>
  <c r="G118" i="1"/>
  <c r="G117" i="1"/>
  <c r="G104" i="1"/>
  <c r="G103" i="1"/>
  <c r="G102" i="1"/>
  <c r="G90" i="1"/>
  <c r="G89" i="1"/>
  <c r="G88" i="1"/>
  <c r="G75" i="1"/>
  <c r="G74" i="1"/>
  <c r="G73" i="1"/>
  <c r="G61" i="1"/>
  <c r="G60" i="1"/>
  <c r="G59" i="1"/>
  <c r="G47" i="1"/>
  <c r="G46" i="1"/>
  <c r="G45" i="1"/>
  <c r="G33" i="1"/>
  <c r="G32" i="1"/>
  <c r="G31" i="1"/>
  <c r="H2621" i="1" l="1"/>
  <c r="H2622" i="1" s="1"/>
  <c r="H4721" i="1"/>
  <c r="H4722" i="1" s="1"/>
  <c r="H4786" i="1"/>
  <c r="H4787" i="1" s="1"/>
  <c r="H2487" i="1"/>
  <c r="H2488" i="1" s="1"/>
  <c r="H4005" i="1"/>
  <c r="H4006" i="1" s="1"/>
  <c r="H4033" i="1"/>
  <c r="H4034" i="1" s="1"/>
  <c r="H4277" i="1"/>
  <c r="H4278" i="1" s="1"/>
  <c r="H5527" i="1"/>
  <c r="H5528" i="1" s="1"/>
  <c r="H5920" i="1"/>
  <c r="H5921" i="1" s="1"/>
  <c r="H1726" i="1"/>
  <c r="H1727" i="1" s="1"/>
  <c r="H2008" i="1"/>
  <c r="H2009" i="1" s="1"/>
  <c r="H3182" i="1"/>
  <c r="H3183" i="1" s="1"/>
  <c r="H3551" i="1"/>
  <c r="H3552" i="1" s="1"/>
  <c r="H3948" i="1"/>
  <c r="H3949" i="1" s="1"/>
  <c r="H490" i="1"/>
  <c r="H491" i="1" s="1"/>
  <c r="H769" i="1"/>
  <c r="H770" i="1" s="1"/>
  <c r="H1045" i="1"/>
  <c r="H1046" i="1" s="1"/>
  <c r="H1316" i="1"/>
  <c r="H1317" i="1" s="1"/>
  <c r="H1589" i="1"/>
  <c r="H1590" i="1" s="1"/>
  <c r="H1803" i="1"/>
  <c r="H1804" i="1" s="1"/>
  <c r="H2142" i="1"/>
  <c r="H2143" i="1" s="1"/>
  <c r="H3439" i="1"/>
  <c r="H3440" i="1" s="1"/>
  <c r="H219" i="1"/>
  <c r="H220" i="1" s="1"/>
  <c r="H310" i="1"/>
  <c r="H311" i="1" s="1"/>
  <c r="H401" i="1"/>
  <c r="H402" i="1" s="1"/>
  <c r="H522" i="1"/>
  <c r="H523" i="1" s="1"/>
  <c r="H590" i="1"/>
  <c r="H591" i="1" s="1"/>
  <c r="H678" i="1"/>
  <c r="H679" i="1" s="1"/>
  <c r="H799" i="1"/>
  <c r="H800" i="1" s="1"/>
  <c r="H860" i="1"/>
  <c r="H861" i="1" s="1"/>
  <c r="H947" i="1"/>
  <c r="H948" i="1" s="1"/>
  <c r="H1075" i="1"/>
  <c r="H1076" i="1" s="1"/>
  <c r="H1133" i="1"/>
  <c r="H1134" i="1" s="1"/>
  <c r="H1225" i="1"/>
  <c r="H1226" i="1" s="1"/>
  <c r="H1349" i="1"/>
  <c r="H1350" i="1" s="1"/>
  <c r="H1408" i="1"/>
  <c r="H1409" i="1" s="1"/>
  <c r="H1496" i="1"/>
  <c r="H1497" i="1" s="1"/>
  <c r="H1620" i="1"/>
  <c r="H1621" i="1" s="1"/>
  <c r="H1681" i="1"/>
  <c r="H1682" i="1" s="1"/>
  <c r="H1711" i="1"/>
  <c r="H1712" i="1" s="1"/>
  <c r="H1741" i="1"/>
  <c r="H1742" i="1" s="1"/>
  <c r="H1965" i="1"/>
  <c r="H1966" i="1" s="1"/>
  <c r="H2022" i="1"/>
  <c r="H2023" i="1" s="1"/>
  <c r="H2051" i="1"/>
  <c r="H2052" i="1" s="1"/>
  <c r="H2457" i="1"/>
  <c r="H2458" i="1" s="1"/>
  <c r="H2908" i="1"/>
  <c r="H2909" i="1" s="1"/>
  <c r="H2965" i="1"/>
  <c r="H2966" i="1" s="1"/>
  <c r="H2994" i="1"/>
  <c r="H2995" i="1" s="1"/>
  <c r="H3024" i="1"/>
  <c r="H3025" i="1" s="1"/>
  <c r="H3331" i="1"/>
  <c r="H3332" i="1" s="1"/>
  <c r="H3424" i="1"/>
  <c r="H3425" i="1" s="1"/>
  <c r="H3453" i="1"/>
  <c r="H3454" i="1" s="1"/>
  <c r="H3764" i="1"/>
  <c r="H3765" i="1" s="1"/>
  <c r="H3795" i="1"/>
  <c r="H3796" i="1" s="1"/>
  <c r="H3824" i="1"/>
  <c r="H3825" i="1" s="1"/>
  <c r="H4907" i="1"/>
  <c r="H4908" i="1" s="1"/>
  <c r="H5421" i="1"/>
  <c r="H5422" i="1" s="1"/>
  <c r="H5889" i="1"/>
  <c r="H5890" i="1" s="1"/>
  <c r="H370" i="1"/>
  <c r="H371" i="1" s="1"/>
  <c r="H647" i="1"/>
  <c r="H648" i="1" s="1"/>
  <c r="H917" i="1"/>
  <c r="H918" i="1" s="1"/>
  <c r="H1193" i="1"/>
  <c r="H1194" i="1" s="1"/>
  <c r="H1468" i="1"/>
  <c r="H1469" i="1" s="1"/>
  <c r="H1837" i="1"/>
  <c r="H1838" i="1" s="1"/>
  <c r="H1871" i="1"/>
  <c r="H1872" i="1" s="1"/>
  <c r="H1935" i="1"/>
  <c r="H1936" i="1" s="1"/>
  <c r="H2200" i="1"/>
  <c r="H2201" i="1" s="1"/>
  <c r="H2383" i="1"/>
  <c r="H2384" i="1" s="1"/>
  <c r="H2473" i="1"/>
  <c r="H2474" i="1" s="1"/>
  <c r="H2502" i="1"/>
  <c r="H2503" i="1" s="1"/>
  <c r="H2815" i="1"/>
  <c r="H2816" i="1" s="1"/>
  <c r="H2846" i="1"/>
  <c r="H2847" i="1" s="1"/>
  <c r="H3273" i="1"/>
  <c r="H3274" i="1" s="1"/>
  <c r="H3586" i="1"/>
  <c r="H3587" i="1" s="1"/>
  <c r="H3643" i="1"/>
  <c r="H3644" i="1" s="1"/>
  <c r="H3677" i="1"/>
  <c r="H3678" i="1" s="1"/>
  <c r="H3734" i="1"/>
  <c r="H3735" i="1" s="1"/>
  <c r="H3853" i="1"/>
  <c r="H3854" i="1" s="1"/>
  <c r="H3918" i="1"/>
  <c r="H3919" i="1" s="1"/>
  <c r="H4064" i="1"/>
  <c r="H4065" i="1" s="1"/>
  <c r="H4095" i="1"/>
  <c r="H4096" i="1" s="1"/>
  <c r="H4307" i="1"/>
  <c r="H4308" i="1" s="1"/>
  <c r="H4335" i="1"/>
  <c r="H4336" i="1" s="1"/>
  <c r="H4364" i="1"/>
  <c r="H4365" i="1" s="1"/>
  <c r="H4504" i="1"/>
  <c r="H4505" i="1" s="1"/>
  <c r="H4560" i="1"/>
  <c r="H4561" i="1" s="1"/>
  <c r="H4588" i="1"/>
  <c r="H4589" i="1" s="1"/>
  <c r="H5054" i="1"/>
  <c r="H5055" i="1" s="1"/>
  <c r="H5452" i="1"/>
  <c r="H5453" i="1" s="1"/>
  <c r="H5482" i="1"/>
  <c r="H5483" i="1" s="1"/>
  <c r="H5724" i="1"/>
  <c r="H5725" i="1" s="1"/>
  <c r="H5784" i="1"/>
  <c r="H5785" i="1" s="1"/>
  <c r="H5875" i="1"/>
  <c r="H5876" i="1" s="1"/>
  <c r="H2651" i="1"/>
  <c r="H2652" i="1" s="1"/>
  <c r="H34" i="1"/>
  <c r="H35" i="1" s="1"/>
  <c r="H234" i="1"/>
  <c r="H235" i="1" s="1"/>
  <c r="H963" i="1"/>
  <c r="H964" i="1" s="1"/>
  <c r="H1241" i="1"/>
  <c r="H1242" i="1" s="1"/>
  <c r="H1511" i="1"/>
  <c r="H1512" i="1" s="1"/>
  <c r="H1757" i="1"/>
  <c r="H1758" i="1" s="1"/>
  <c r="H1818" i="1"/>
  <c r="H1819" i="1" s="1"/>
  <c r="H2097" i="1"/>
  <c r="H2098" i="1" s="1"/>
  <c r="H2127" i="1"/>
  <c r="H2128" i="1" s="1"/>
  <c r="H2219" i="1"/>
  <c r="H2220" i="1" s="1"/>
  <c r="H2251" i="1"/>
  <c r="H2252" i="1" s="1"/>
  <c r="H2741" i="1"/>
  <c r="H2742" i="1" s="1"/>
  <c r="H2772" i="1"/>
  <c r="H2773" i="1" s="1"/>
  <c r="H2830" i="1"/>
  <c r="H2831" i="1" s="1"/>
  <c r="H3040" i="1"/>
  <c r="H3041" i="1" s="1"/>
  <c r="H3196" i="1"/>
  <c r="H3197" i="1" s="1"/>
  <c r="H3470" i="1"/>
  <c r="H3471" i="1" s="1"/>
  <c r="H3504" i="1"/>
  <c r="H3505" i="1" s="1"/>
  <c r="H3568" i="1"/>
  <c r="H3569" i="1" s="1"/>
  <c r="H3601" i="1"/>
  <c r="H3602" i="1" s="1"/>
  <c r="H3720" i="1"/>
  <c r="H3721" i="1" s="1"/>
  <c r="H3933" i="1"/>
  <c r="H3934" i="1" s="1"/>
  <c r="H4648" i="1"/>
  <c r="H4649" i="1" s="1"/>
  <c r="H4706" i="1"/>
  <c r="H4707" i="1" s="1"/>
  <c r="H4737" i="1"/>
  <c r="H4738" i="1" s="1"/>
  <c r="H4892" i="1"/>
  <c r="H4893" i="1" s="1"/>
  <c r="H5099" i="1"/>
  <c r="H5100" i="1" s="1"/>
  <c r="H5130" i="1"/>
  <c r="H5131" i="1" s="1"/>
  <c r="H5162" i="1"/>
  <c r="H5163" i="1" s="1"/>
  <c r="H5278" i="1"/>
  <c r="H5279" i="1" s="1"/>
  <c r="H5308" i="1"/>
  <c r="H5309" i="1" s="1"/>
  <c r="H5340" i="1"/>
  <c r="H5341" i="1" s="1"/>
  <c r="H5371" i="1"/>
  <c r="H5372" i="1" s="1"/>
  <c r="H5404" i="1"/>
  <c r="H5405" i="1" s="1"/>
  <c r="H203" i="1"/>
  <c r="H204" i="1" s="1"/>
  <c r="H265" i="1"/>
  <c r="H266" i="1" s="1"/>
  <c r="H416" i="1"/>
  <c r="H417" i="1" s="1"/>
  <c r="H694" i="1"/>
  <c r="H695" i="1" s="1"/>
  <c r="H120" i="1"/>
  <c r="H121" i="1" s="1"/>
  <c r="H2517" i="1"/>
  <c r="H2518" i="1" s="1"/>
  <c r="H2606" i="1"/>
  <c r="H2607" i="1" s="1"/>
  <c r="H3992" i="1"/>
  <c r="H3993" i="1" s="1"/>
  <c r="H4110" i="1"/>
  <c r="H4111" i="1" s="1"/>
  <c r="H4141" i="1"/>
  <c r="H4142" i="1" s="1"/>
  <c r="H4171" i="1"/>
  <c r="H4172" i="1" s="1"/>
  <c r="H4203" i="1"/>
  <c r="H4204" i="1" s="1"/>
  <c r="H4262" i="1"/>
  <c r="H4263" i="1" s="1"/>
  <c r="H4602" i="1"/>
  <c r="H4603" i="1" s="1"/>
  <c r="H4801" i="1"/>
  <c r="H4802" i="1" s="1"/>
  <c r="H4833" i="1"/>
  <c r="H4834" i="1" s="1"/>
  <c r="H5068" i="1"/>
  <c r="H5069" i="1" s="1"/>
  <c r="H5192" i="1"/>
  <c r="H5193" i="1" s="1"/>
  <c r="H5249" i="1"/>
  <c r="H5250" i="1" s="1"/>
  <c r="H5557" i="1"/>
  <c r="H5558" i="1" s="1"/>
  <c r="H5617" i="1"/>
  <c r="H5618" i="1" s="1"/>
  <c r="H5647" i="1"/>
  <c r="H5648" i="1" s="1"/>
  <c r="H5707" i="1"/>
  <c r="H5708" i="1" s="1"/>
  <c r="H5947" i="1"/>
  <c r="H5948" i="1" s="1"/>
  <c r="H5976" i="1"/>
  <c r="H5977" i="1" s="1"/>
  <c r="H6040" i="1"/>
  <c r="H6041" i="1" s="1"/>
  <c r="H279" i="1"/>
  <c r="H280" i="1" s="1"/>
  <c r="H555" i="1"/>
  <c r="H556" i="1" s="1"/>
  <c r="H829" i="1"/>
  <c r="H830" i="1" s="1"/>
  <c r="H2546" i="1"/>
  <c r="H2547" i="1" s="1"/>
  <c r="H3303" i="1"/>
  <c r="H3304" i="1" s="1"/>
  <c r="H932" i="1"/>
  <c r="H933" i="1" s="1"/>
  <c r="H2576" i="1"/>
  <c r="H2577" i="1" s="1"/>
  <c r="H62" i="1"/>
  <c r="H63" i="1" s="1"/>
  <c r="H174" i="1"/>
  <c r="H175" i="1" s="1"/>
  <c r="H339" i="1"/>
  <c r="H340" i="1" s="1"/>
  <c r="H506" i="1"/>
  <c r="H507" i="1" s="1"/>
  <c r="H620" i="1"/>
  <c r="H621" i="1" s="1"/>
  <c r="H784" i="1"/>
  <c r="H785" i="1" s="1"/>
  <c r="H889" i="1"/>
  <c r="H890" i="1" s="1"/>
  <c r="H1060" i="1"/>
  <c r="H1061" i="1" s="1"/>
  <c r="H1164" i="1"/>
  <c r="H1165" i="1" s="1"/>
  <c r="H1335" i="1"/>
  <c r="H1336" i="1" s="1"/>
  <c r="H1438" i="1"/>
  <c r="H1439" i="1" s="1"/>
  <c r="H1605" i="1"/>
  <c r="H1606" i="1" s="1"/>
  <c r="H1919" i="1"/>
  <c r="H1920" i="1" s="1"/>
  <c r="H2354" i="1"/>
  <c r="H2355" i="1" s="1"/>
  <c r="H3361" i="1"/>
  <c r="H3362" i="1" s="1"/>
  <c r="H3394" i="1"/>
  <c r="H3395" i="1" s="1"/>
  <c r="H386" i="1"/>
  <c r="H387" i="1" s="1"/>
  <c r="H1104" i="1"/>
  <c r="H1105" i="1" s="1"/>
  <c r="H1379" i="1"/>
  <c r="H1380" i="1" s="1"/>
  <c r="H1652" i="1"/>
  <c r="H1653" i="1" s="1"/>
  <c r="H2562" i="1"/>
  <c r="H2563" i="1" s="1"/>
  <c r="H2694" i="1"/>
  <c r="H2695" i="1" s="1"/>
  <c r="H3166" i="1"/>
  <c r="H3167" i="1" s="1"/>
  <c r="H3288" i="1"/>
  <c r="H3289" i="1" s="1"/>
  <c r="H3317" i="1"/>
  <c r="H3318" i="1" s="1"/>
  <c r="H3886" i="1"/>
  <c r="H3887" i="1" s="1"/>
  <c r="H4048" i="1"/>
  <c r="H4049" i="1" s="1"/>
  <c r="H4391" i="1"/>
  <c r="H4392" i="1" s="1"/>
  <c r="H4449" i="1"/>
  <c r="H4450" i="1" s="1"/>
  <c r="H4477" i="1"/>
  <c r="H4478" i="1" s="1"/>
  <c r="H4532" i="1"/>
  <c r="H4533" i="1" s="1"/>
  <c r="H5083" i="1"/>
  <c r="H5084" i="1" s="1"/>
  <c r="H5114" i="1"/>
  <c r="H5115" i="1" s="1"/>
  <c r="H5512" i="1"/>
  <c r="H5513" i="1" s="1"/>
  <c r="H5542" i="1"/>
  <c r="H5543" i="1" s="1"/>
  <c r="H5934" i="1"/>
  <c r="H5935" i="1" s="1"/>
  <c r="H5962" i="1"/>
  <c r="H5963" i="1" s="1"/>
  <c r="H1482" i="1"/>
  <c r="H1483" i="1" s="1"/>
  <c r="H476" i="1"/>
  <c r="H477" i="1" s="1"/>
  <c r="H324" i="1"/>
  <c r="H325" i="1" s="1"/>
  <c r="H874" i="1"/>
  <c r="H875" i="1" s="1"/>
  <c r="H980" i="1"/>
  <c r="H981" i="1" s="1"/>
  <c r="H1423" i="1"/>
  <c r="H1424" i="1" s="1"/>
  <c r="H1979" i="1"/>
  <c r="H1980" i="1" s="1"/>
  <c r="H2284" i="1"/>
  <c r="H2285" i="1" s="1"/>
  <c r="H2311" i="1"/>
  <c r="H2312" i="1" s="1"/>
  <c r="H2428" i="1"/>
  <c r="H2429" i="1" s="1"/>
  <c r="H2923" i="1"/>
  <c r="H2924" i="1" s="1"/>
  <c r="H3057" i="1"/>
  <c r="H3058" i="1" s="1"/>
  <c r="H3379" i="1"/>
  <c r="H3380" i="1" s="1"/>
  <c r="H3520" i="1"/>
  <c r="H3521" i="1" s="1"/>
  <c r="H3662" i="1"/>
  <c r="H3663" i="1" s="1"/>
  <c r="H3809" i="1"/>
  <c r="H3810" i="1" s="1"/>
  <c r="H3979" i="1"/>
  <c r="H3980" i="1" s="1"/>
  <c r="H4080" i="1"/>
  <c r="H4081" i="1" s="1"/>
  <c r="H4248" i="1"/>
  <c r="H4249" i="1" s="1"/>
  <c r="H4292" i="1"/>
  <c r="H4293" i="1" s="1"/>
  <c r="H4321" i="1"/>
  <c r="H4322" i="1" s="1"/>
  <c r="H4817" i="1"/>
  <c r="H4818" i="1" s="1"/>
  <c r="H4862" i="1"/>
  <c r="H4863" i="1" s="1"/>
  <c r="H5041" i="1"/>
  <c r="H5042" i="1" s="1"/>
  <c r="H5177" i="1"/>
  <c r="H5178" i="1" s="1"/>
  <c r="H5207" i="1"/>
  <c r="H5208" i="1" s="1"/>
  <c r="H5263" i="1"/>
  <c r="H5264" i="1" s="1"/>
  <c r="H5602" i="1"/>
  <c r="H5603" i="1" s="1"/>
  <c r="H5992" i="1"/>
  <c r="H5993" i="1" s="1"/>
  <c r="H188" i="1"/>
  <c r="H189" i="1" s="1"/>
  <c r="H662" i="1"/>
  <c r="H663" i="1" s="1"/>
  <c r="H1210" i="1"/>
  <c r="H1211" i="1" s="1"/>
  <c r="H2234" i="1"/>
  <c r="H2235" i="1" s="1"/>
  <c r="H753" i="1"/>
  <c r="H754" i="1" s="1"/>
  <c r="H1028" i="1"/>
  <c r="H1029" i="1" s="1"/>
  <c r="H1303" i="1"/>
  <c r="H1304" i="1" s="1"/>
  <c r="H1572" i="1"/>
  <c r="H1573" i="1" s="1"/>
  <c r="H91" i="1"/>
  <c r="H92" i="1" s="1"/>
  <c r="H430" i="1"/>
  <c r="H431" i="1" s="1"/>
  <c r="H607" i="1"/>
  <c r="H608" i="1" s="1"/>
  <c r="H710" i="1"/>
  <c r="H711" i="1" s="1"/>
  <c r="H1148" i="1"/>
  <c r="H1149" i="1" s="1"/>
  <c r="H1258" i="1"/>
  <c r="H1259" i="1" s="1"/>
  <c r="H1526" i="1"/>
  <c r="H1527" i="1" s="1"/>
  <c r="H1696" i="1"/>
  <c r="H1697" i="1" s="1"/>
  <c r="H2398" i="1"/>
  <c r="H2399" i="1" s="1"/>
  <c r="H48" i="1"/>
  <c r="H49" i="1" s="1"/>
  <c r="H76" i="1"/>
  <c r="H77" i="1" s="1"/>
  <c r="H105" i="1"/>
  <c r="H106" i="1" s="1"/>
  <c r="H133" i="1"/>
  <c r="H134" i="1" s="1"/>
  <c r="H161" i="1"/>
  <c r="H162" i="1" s="1"/>
  <c r="H294" i="1"/>
  <c r="H295" i="1" s="1"/>
  <c r="H461" i="1"/>
  <c r="H462" i="1" s="1"/>
  <c r="H573" i="1"/>
  <c r="H574" i="1" s="1"/>
  <c r="H739" i="1"/>
  <c r="H740" i="1" s="1"/>
  <c r="H844" i="1"/>
  <c r="H845" i="1" s="1"/>
  <c r="H1011" i="1"/>
  <c r="H1012" i="1" s="1"/>
  <c r="H1119" i="1"/>
  <c r="H1120" i="1" s="1"/>
  <c r="H1288" i="1"/>
  <c r="H1289" i="1" s="1"/>
  <c r="H1393" i="1"/>
  <c r="H1394" i="1" s="1"/>
  <c r="H1556" i="1"/>
  <c r="H1557" i="1" s="1"/>
  <c r="H1666" i="1"/>
  <c r="H1667" i="1" s="1"/>
  <c r="H1903" i="1"/>
  <c r="H1904" i="1" s="1"/>
  <c r="H1950" i="1"/>
  <c r="H1951" i="1" s="1"/>
  <c r="H2036" i="1"/>
  <c r="H2037" i="1" s="1"/>
  <c r="H2082" i="1"/>
  <c r="H2083" i="1" s="1"/>
  <c r="H2112" i="1"/>
  <c r="H2113" i="1" s="1"/>
  <c r="H2171" i="1"/>
  <c r="H2172" i="1" s="1"/>
  <c r="H2757" i="1"/>
  <c r="H2758" i="1" s="1"/>
  <c r="H2786" i="1"/>
  <c r="H2787" i="1" s="1"/>
  <c r="H2894" i="1"/>
  <c r="H2895" i="1" s="1"/>
  <c r="H3008" i="1"/>
  <c r="H3009" i="1" s="1"/>
  <c r="H3087" i="1"/>
  <c r="H3088" i="1" s="1"/>
  <c r="H3117" i="1"/>
  <c r="H3118" i="1" s="1"/>
  <c r="H3211" i="1"/>
  <c r="H3212" i="1" s="1"/>
  <c r="H3243" i="1"/>
  <c r="H3244" i="1" s="1"/>
  <c r="H3615" i="1"/>
  <c r="H3616" i="1" s="1"/>
  <c r="H3706" i="1"/>
  <c r="H3707" i="1" s="1"/>
  <c r="H3838" i="1"/>
  <c r="H3839" i="1" s="1"/>
  <c r="H4125" i="1"/>
  <c r="H4126" i="1" s="1"/>
  <c r="H4187" i="1"/>
  <c r="H4188" i="1" s="1"/>
  <c r="H4218" i="1"/>
  <c r="H4219" i="1" s="1"/>
  <c r="H4377" i="1"/>
  <c r="H4378" i="1" s="1"/>
  <c r="H4405" i="1"/>
  <c r="H4406" i="1" s="1"/>
  <c r="H4463" i="1"/>
  <c r="H4464" i="1" s="1"/>
  <c r="H4518" i="1"/>
  <c r="H4519" i="1" s="1"/>
  <c r="H4574" i="1"/>
  <c r="H4575" i="1" s="1"/>
  <c r="H4678" i="1"/>
  <c r="H4679" i="1" s="1"/>
  <c r="H4847" i="1"/>
  <c r="H4848" i="1" s="1"/>
  <c r="H4921" i="1"/>
  <c r="H4922" i="1" s="1"/>
  <c r="H4981" i="1"/>
  <c r="H4982" i="1" s="1"/>
  <c r="H5010" i="1"/>
  <c r="H5011" i="1" s="1"/>
  <c r="H5325" i="1"/>
  <c r="H5326" i="1" s="1"/>
  <c r="H5740" i="1"/>
  <c r="H5741" i="1" s="1"/>
  <c r="H5799" i="1"/>
  <c r="H5800" i="1" s="1"/>
  <c r="H5830" i="1"/>
  <c r="H5831" i="1" s="1"/>
  <c r="H6022" i="1"/>
  <c r="H6023" i="1" s="1"/>
  <c r="H4633" i="1"/>
  <c r="H4634" i="1" s="1"/>
  <c r="H4937" i="1"/>
  <c r="H4938" i="1" s="1"/>
  <c r="H4995" i="1"/>
  <c r="H4996" i="1" s="1"/>
  <c r="H5355" i="1"/>
  <c r="H5356" i="1" s="1"/>
  <c r="H5467" i="1"/>
  <c r="H5468" i="1" s="1"/>
  <c r="H5861" i="1"/>
  <c r="H5862" i="1" s="1"/>
  <c r="H6007" i="1"/>
  <c r="H6008" i="1" s="1"/>
  <c r="H1788" i="1"/>
  <c r="H1789" i="1" s="1"/>
  <c r="H1993" i="1"/>
  <c r="H1994" i="1" s="1"/>
  <c r="H2186" i="1"/>
  <c r="H2187" i="1" s="1"/>
  <c r="H2340" i="1"/>
  <c r="H2341" i="1" s="1"/>
  <c r="H2937" i="1"/>
  <c r="H2938" i="1" s="1"/>
  <c r="H3149" i="1"/>
  <c r="H3150" i="1" s="1"/>
  <c r="H3779" i="1"/>
  <c r="H3780" i="1" s="1"/>
  <c r="H4965" i="1"/>
  <c r="H4966" i="1" s="1"/>
  <c r="H355" i="1"/>
  <c r="H356" i="1" s="1"/>
  <c r="H446" i="1"/>
  <c r="H447" i="1" s="1"/>
  <c r="H539" i="1"/>
  <c r="H540" i="1" s="1"/>
  <c r="H634" i="1"/>
  <c r="H635" i="1" s="1"/>
  <c r="H725" i="1"/>
  <c r="H726" i="1" s="1"/>
  <c r="H814" i="1"/>
  <c r="H815" i="1" s="1"/>
  <c r="H903" i="1"/>
  <c r="H904" i="1" s="1"/>
  <c r="H995" i="1"/>
  <c r="H996" i="1" s="1"/>
  <c r="H1089" i="1"/>
  <c r="H1090" i="1" s="1"/>
  <c r="H1178" i="1"/>
  <c r="H1179" i="1" s="1"/>
  <c r="H1272" i="1"/>
  <c r="H1273" i="1" s="1"/>
  <c r="H1363" i="1"/>
  <c r="H1364" i="1" s="1"/>
  <c r="H1453" i="1"/>
  <c r="H1454" i="1" s="1"/>
  <c r="H1541" i="1"/>
  <c r="H1542" i="1" s="1"/>
  <c r="H1636" i="1"/>
  <c r="H1637" i="1" s="1"/>
  <c r="H1853" i="1"/>
  <c r="H1854" i="1" s="1"/>
  <c r="H2067" i="1"/>
  <c r="H2068" i="1" s="1"/>
  <c r="H2298" i="1"/>
  <c r="H2299" i="1" s="1"/>
  <c r="H2665" i="1"/>
  <c r="H2666" i="1" s="1"/>
  <c r="H2878" i="1"/>
  <c r="H2879" i="1" s="1"/>
  <c r="H3102" i="1"/>
  <c r="H3103" i="1" s="1"/>
  <c r="H3487" i="1"/>
  <c r="H3488" i="1" s="1"/>
  <c r="H4019" i="1"/>
  <c r="H4020" i="1" s="1"/>
  <c r="H147" i="1"/>
  <c r="H148" i="1" s="1"/>
  <c r="H250" i="1"/>
  <c r="H251" i="1" s="1"/>
  <c r="H1772" i="1"/>
  <c r="H1773" i="1" s="1"/>
  <c r="H4420" i="1"/>
  <c r="H4421" i="1" s="1"/>
  <c r="H4770" i="1"/>
  <c r="H4771" i="1" s="1"/>
  <c r="H5497" i="1"/>
  <c r="H5498" i="1" s="1"/>
  <c r="H5661" i="1"/>
  <c r="H5662" i="1" s="1"/>
  <c r="H5690" i="1"/>
  <c r="H5691" i="1" s="1"/>
  <c r="H5769" i="1"/>
  <c r="H5770" i="1" s="1"/>
  <c r="H5905" i="1"/>
  <c r="H5906" i="1" s="1"/>
  <c r="H3629" i="1"/>
  <c r="H3630" i="1" s="1"/>
  <c r="H4435" i="1"/>
  <c r="H4436" i="1" s="1"/>
  <c r="H4878" i="1"/>
  <c r="H4879" i="1" s="1"/>
  <c r="H5235" i="1"/>
  <c r="H5236" i="1" s="1"/>
  <c r="H1888" i="1"/>
  <c r="H1889" i="1" s="1"/>
  <c r="H2157" i="1"/>
  <c r="H2158" i="1" s="1"/>
  <c r="H2268" i="1"/>
  <c r="H2269" i="1" s="1"/>
  <c r="H2325" i="1"/>
  <c r="H2326" i="1" s="1"/>
  <c r="H2413" i="1"/>
  <c r="H2414" i="1" s="1"/>
  <c r="H2531" i="1"/>
  <c r="H2532" i="1" s="1"/>
  <c r="H2591" i="1"/>
  <c r="H2592" i="1" s="1"/>
  <c r="H2679" i="1"/>
  <c r="H2680" i="1" s="1"/>
  <c r="H2801" i="1"/>
  <c r="H2802" i="1" s="1"/>
  <c r="H2862" i="1"/>
  <c r="H2863" i="1" s="1"/>
  <c r="H2950" i="1"/>
  <c r="H2951" i="1" s="1"/>
  <c r="H3071" i="1"/>
  <c r="H3072" i="1" s="1"/>
  <c r="H3135" i="1"/>
  <c r="H3136" i="1" s="1"/>
  <c r="H3227" i="1"/>
  <c r="H3228" i="1" s="1"/>
  <c r="H3346" i="1"/>
  <c r="H3347" i="1" s="1"/>
  <c r="H3409" i="1"/>
  <c r="H3410" i="1" s="1"/>
  <c r="H3750" i="1"/>
  <c r="H3751" i="1" s="1"/>
  <c r="H3869" i="1"/>
  <c r="H3870" i="1" s="1"/>
  <c r="H4156" i="1"/>
  <c r="H4157" i="1" s="1"/>
  <c r="H4546" i="1"/>
  <c r="H4547" i="1" s="1"/>
  <c r="H4663" i="1"/>
  <c r="H4664" i="1" s="1"/>
  <c r="H4950" i="1"/>
  <c r="H4951" i="1" s="1"/>
  <c r="H2443" i="1"/>
  <c r="H2444" i="1" s="1"/>
  <c r="H2710" i="1"/>
  <c r="H2711" i="1" s="1"/>
  <c r="H2979" i="1"/>
  <c r="H2980" i="1" s="1"/>
  <c r="H3258" i="1"/>
  <c r="H3259" i="1" s="1"/>
  <c r="H3536" i="1"/>
  <c r="H3537" i="1" s="1"/>
  <c r="H3902" i="1"/>
  <c r="H3903" i="1" s="1"/>
  <c r="H4349" i="1"/>
  <c r="H4350" i="1" s="1"/>
  <c r="H4692" i="1"/>
  <c r="H4693" i="1" s="1"/>
  <c r="H5146" i="1"/>
  <c r="H5147" i="1" s="1"/>
  <c r="H5675" i="1"/>
  <c r="H5676" i="1" s="1"/>
  <c r="H5755" i="1"/>
  <c r="H5756" i="1" s="1"/>
  <c r="H5221" i="1"/>
  <c r="H5222" i="1" s="1"/>
  <c r="H5387" i="1"/>
  <c r="H5388" i="1" s="1"/>
  <c r="H5588" i="1"/>
  <c r="H5589" i="1" s="1"/>
  <c r="H5632" i="1"/>
  <c r="H5633" i="1" s="1"/>
  <c r="H5815" i="1"/>
  <c r="H5816" i="1" s="1"/>
  <c r="H3692" i="1"/>
  <c r="H3693" i="1" s="1"/>
  <c r="H3964" i="1"/>
  <c r="H3965" i="1" s="1"/>
  <c r="H4233" i="1"/>
  <c r="H4234" i="1" s="1"/>
  <c r="H4490" i="1"/>
  <c r="H4491" i="1" s="1"/>
  <c r="H4753" i="1"/>
  <c r="H4754" i="1" s="1"/>
  <c r="H5025" i="1"/>
  <c r="H5026" i="1" s="1"/>
  <c r="H5293" i="1"/>
  <c r="H5294" i="1" s="1"/>
  <c r="H5573" i="1"/>
  <c r="H5574" i="1" s="1"/>
  <c r="H5845" i="1"/>
  <c r="H5846" i="1" s="1"/>
</calcChain>
</file>

<file path=xl/sharedStrings.xml><?xml version="1.0" encoding="utf-8"?>
<sst xmlns="http://schemas.openxmlformats.org/spreadsheetml/2006/main" count="8023" uniqueCount="1334">
  <si>
    <t>فاکتور فروش پارچه اوت لت</t>
  </si>
  <si>
    <t>کد سبد 00901</t>
  </si>
  <si>
    <t>ردیف</t>
  </si>
  <si>
    <t>نام طرح‌ها</t>
  </si>
  <si>
    <t>کد اوت لت</t>
  </si>
  <si>
    <t>جنس پارچه</t>
  </si>
  <si>
    <t>متراژ (متر)</t>
  </si>
  <si>
    <t>قیمت واحد (تومان)</t>
  </si>
  <si>
    <t>جمع  (تومان)</t>
  </si>
  <si>
    <t>رز بزرگ مشکی 6731</t>
  </si>
  <si>
    <t>06325/</t>
  </si>
  <si>
    <t xml:space="preserve">بوگاتی </t>
  </si>
  <si>
    <t>باغ هزار گل 6811</t>
  </si>
  <si>
    <t xml:space="preserve">ژاکارد </t>
  </si>
  <si>
    <t>هزینه ارسال رایگان</t>
  </si>
  <si>
    <t>جمع کل بدون تخفیف (تومان):</t>
  </si>
  <si>
    <t>سود شما از این فاکتور (تومان):</t>
  </si>
  <si>
    <t>جمع کل با تخفیف (تومان):</t>
  </si>
  <si>
    <t>از کل مبلغ فروش این فاکتور یک درصد صرف امور خیریه می‌شود.</t>
  </si>
  <si>
    <t>کد سبد 00902</t>
  </si>
  <si>
    <t>گیلای پاپیونی  6724</t>
  </si>
  <si>
    <t>02347/</t>
  </si>
  <si>
    <t>پاپیون دانتلی 6809</t>
  </si>
  <si>
    <t>05369/</t>
  </si>
  <si>
    <t>کد سبد 00903</t>
  </si>
  <si>
    <t>کاشی گل ابی 6825</t>
  </si>
  <si>
    <t>05034/</t>
  </si>
  <si>
    <t>گل و بلبل ابی 6012</t>
  </si>
  <si>
    <t>02398/</t>
  </si>
  <si>
    <t>کد سبد 00904</t>
  </si>
  <si>
    <t>پروانه 4047</t>
  </si>
  <si>
    <t>05033/</t>
  </si>
  <si>
    <t>05024/</t>
  </si>
  <si>
    <t>کد سبد 00905</t>
  </si>
  <si>
    <t>بابونه ریز سورمه ای 6740</t>
  </si>
  <si>
    <t>05545/</t>
  </si>
  <si>
    <t>کاشی پرنده 6686</t>
  </si>
  <si>
    <t>05547/</t>
  </si>
  <si>
    <t>کد سبد 00906</t>
  </si>
  <si>
    <t>گیلاسی پاپیونی 6724</t>
  </si>
  <si>
    <t>05470/</t>
  </si>
  <si>
    <t>پاپیون زمینه مشکی 6713</t>
  </si>
  <si>
    <t>05056/</t>
  </si>
  <si>
    <t>کد سبد 00907</t>
  </si>
  <si>
    <t>پروانه لونا 6858</t>
  </si>
  <si>
    <t>05534/</t>
  </si>
  <si>
    <t>05603*/</t>
  </si>
  <si>
    <t>کد سبد 00908</t>
  </si>
  <si>
    <t>قلبی ریز 6857</t>
  </si>
  <si>
    <t>05005/</t>
  </si>
  <si>
    <t>شکوفه و پرنده و یلدایی قرمز 6765</t>
  </si>
  <si>
    <t>0616/</t>
  </si>
  <si>
    <t>کد سبد 00909</t>
  </si>
  <si>
    <t>پروانه الماسی 6690</t>
  </si>
  <si>
    <t>05041/</t>
  </si>
  <si>
    <t>کرم تک رنگ 6837</t>
  </si>
  <si>
    <t>05528/</t>
  </si>
  <si>
    <t>کد سبد 00910</t>
  </si>
  <si>
    <t>پاپیون لند 6855</t>
  </si>
  <si>
    <t>05003/</t>
  </si>
  <si>
    <t>بلبل کرمی 6845</t>
  </si>
  <si>
    <t>05604/</t>
  </si>
  <si>
    <t>کد سبد 00911</t>
  </si>
  <si>
    <t>گیلاسی مشکی 6715</t>
  </si>
  <si>
    <t>06114/</t>
  </si>
  <si>
    <t>پاپیون خال خالی 6761</t>
  </si>
  <si>
    <t>05610/</t>
  </si>
  <si>
    <t>کد سبد 00912</t>
  </si>
  <si>
    <t>05004/</t>
  </si>
  <si>
    <t>06084/</t>
  </si>
  <si>
    <t xml:space="preserve"> </t>
  </si>
  <si>
    <t>کد سبد 00913</t>
  </si>
  <si>
    <t>گل و پرنده 6329</t>
  </si>
  <si>
    <t>05565/</t>
  </si>
  <si>
    <t>بابونه ابی ریز 6727</t>
  </si>
  <si>
    <t>05554/</t>
  </si>
  <si>
    <t>کد سبد 00914</t>
  </si>
  <si>
    <t>گل سبز پینترستی 6780</t>
  </si>
  <si>
    <t>05560/</t>
  </si>
  <si>
    <t>ماربل رنگی 6682</t>
  </si>
  <si>
    <t>02356/</t>
  </si>
  <si>
    <t>کد سبد 00915</t>
  </si>
  <si>
    <t>02589/</t>
  </si>
  <si>
    <t>05055/</t>
  </si>
  <si>
    <t>کد سبد 00916</t>
  </si>
  <si>
    <t>05031/</t>
  </si>
  <si>
    <t>05455/</t>
  </si>
  <si>
    <t>کد سبد 00917</t>
  </si>
  <si>
    <t>پروانه و مرغ بهاری 6674</t>
  </si>
  <si>
    <t>05570/</t>
  </si>
  <si>
    <t>01458/</t>
  </si>
  <si>
    <t>کد سبد 00918</t>
  </si>
  <si>
    <t>ببری مشکی 6518</t>
  </si>
  <si>
    <t>05044/</t>
  </si>
  <si>
    <t>گل پینترستی سبز 6780</t>
  </si>
  <si>
    <t>02145/</t>
  </si>
  <si>
    <t>کد سبد 00919</t>
  </si>
  <si>
    <t>گل وینتیج 6806</t>
  </si>
  <si>
    <t>پروانه مورفو 6743</t>
  </si>
  <si>
    <t>02154/</t>
  </si>
  <si>
    <t>کد سبد 00920</t>
  </si>
  <si>
    <t>بابونه ریز زرشکی 6758</t>
  </si>
  <si>
    <t>05018/</t>
  </si>
  <si>
    <t>شکوفه و پرنده یلدایی قرمز 6765</t>
  </si>
  <si>
    <t>05623/</t>
  </si>
  <si>
    <t>کد سبد 00921</t>
  </si>
  <si>
    <t>انار مرواریدی 6777</t>
  </si>
  <si>
    <t>05615/</t>
  </si>
  <si>
    <t>03224/</t>
  </si>
  <si>
    <t>کد سبد 00922</t>
  </si>
  <si>
    <t>قلب تو خالی 6725</t>
  </si>
  <si>
    <t>05540/</t>
  </si>
  <si>
    <t>05605/</t>
  </si>
  <si>
    <t>کد سبد 00923</t>
  </si>
  <si>
    <t>02365/</t>
  </si>
  <si>
    <t>03698/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</si>
  <si>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</si>
  <si>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کد سبد 00924</t>
  </si>
  <si>
    <t>پاپیون شکلاتی 6833</t>
  </si>
  <si>
    <t>05471/</t>
  </si>
  <si>
    <t>05456/</t>
  </si>
  <si>
    <t>کد سبد 00925</t>
  </si>
  <si>
    <t>گل و پرنده زمردی 6843</t>
  </si>
  <si>
    <t>05548/</t>
  </si>
  <si>
    <t>06385/</t>
  </si>
  <si>
    <t>کد سبد 00926</t>
  </si>
  <si>
    <t>طاووس آبی 6842</t>
  </si>
  <si>
    <t>05035/</t>
  </si>
  <si>
    <t>شکوفه و گنجشک سبز 6839</t>
  </si>
  <si>
    <t>05696/</t>
  </si>
  <si>
    <t>کد سبد 00927</t>
  </si>
  <si>
    <t>پروانه اطلسی 6536</t>
  </si>
  <si>
    <t>05536/</t>
  </si>
  <si>
    <t>باغ گل صورتی 6724</t>
  </si>
  <si>
    <t>0629/</t>
  </si>
  <si>
    <t>کد سبد 00928</t>
  </si>
  <si>
    <t>05525/</t>
  </si>
  <si>
    <t>گل 5038</t>
  </si>
  <si>
    <t>05048/</t>
  </si>
  <si>
    <t>کد سبد 00929</t>
  </si>
  <si>
    <t>5037/</t>
  </si>
  <si>
    <t>02378/</t>
  </si>
  <si>
    <t>کد سبد 00930</t>
  </si>
  <si>
    <t>05527/</t>
  </si>
  <si>
    <t>گل ابی 5009</t>
  </si>
  <si>
    <t>05006/</t>
  </si>
  <si>
    <t>کد سبد 00931</t>
  </si>
  <si>
    <t>06110/</t>
  </si>
  <si>
    <t>پاپیون ترندی 6744</t>
  </si>
  <si>
    <t>02568/</t>
  </si>
  <si>
    <t>کد سبد 00932</t>
  </si>
  <si>
    <t>پاپیون رزی 6759</t>
  </si>
  <si>
    <t>05030/</t>
  </si>
  <si>
    <t>05628/</t>
  </si>
  <si>
    <t>کد سبد 00933</t>
  </si>
  <si>
    <t>گل و پرنده قرمز یلدایی 6762</t>
  </si>
  <si>
    <t>06094/</t>
  </si>
  <si>
    <t>تک رنگ صورتی پودری 6865</t>
  </si>
  <si>
    <t>03695/</t>
  </si>
  <si>
    <t>کد سبد 00934</t>
  </si>
  <si>
    <t>05529/</t>
  </si>
  <si>
    <t>04587/</t>
  </si>
  <si>
    <t>کد سبد 00935</t>
  </si>
  <si>
    <t>05629/</t>
  </si>
  <si>
    <t>02547/</t>
  </si>
  <si>
    <t>کد سبد 00936</t>
  </si>
  <si>
    <t>03265/</t>
  </si>
  <si>
    <t>05453/</t>
  </si>
  <si>
    <t>کد سبد 00937</t>
  </si>
  <si>
    <t>رز پینترستی 6730</t>
  </si>
  <si>
    <t>05021/</t>
  </si>
  <si>
    <t>گل ریز شاخه ای 6789</t>
  </si>
  <si>
    <t>02345/</t>
  </si>
  <si>
    <t>کد سبد 00938</t>
  </si>
  <si>
    <t>05572/</t>
  </si>
  <si>
    <t>پرنده سبز یلدایی 6766</t>
  </si>
  <si>
    <t>05060/</t>
  </si>
  <si>
    <t>کد سبد 00939</t>
  </si>
  <si>
    <t>اسپایدر من 6831</t>
  </si>
  <si>
    <t>05457/</t>
  </si>
  <si>
    <t>05438/</t>
  </si>
  <si>
    <t>.</t>
  </si>
  <si>
    <t>کد سبد 00940</t>
  </si>
  <si>
    <t>باندانا مشکی 5065</t>
  </si>
  <si>
    <t>05047/</t>
  </si>
  <si>
    <t>باندانا ابی 6380</t>
  </si>
  <si>
    <t>04178/</t>
  </si>
  <si>
    <t>کد سبد 00941</t>
  </si>
  <si>
    <t>پروانه و گل مینیاتوری 6786</t>
  </si>
  <si>
    <t>06131/</t>
  </si>
  <si>
    <t>گل و مرغ بهاری 6381</t>
  </si>
  <si>
    <t>03400/</t>
  </si>
  <si>
    <t>کد سبد 00942</t>
  </si>
  <si>
    <t>فیس کیتی زمینه صورتی 6522</t>
  </si>
  <si>
    <t>05521/</t>
  </si>
  <si>
    <t>09528/</t>
  </si>
  <si>
    <t>کد سبد 00943</t>
  </si>
  <si>
    <t>گل 5039</t>
  </si>
  <si>
    <t>05538/</t>
  </si>
  <si>
    <t>06099/</t>
  </si>
  <si>
    <t>کد سبد 00944</t>
  </si>
  <si>
    <t>05042/</t>
  </si>
  <si>
    <t>بلبل بهاری 6807</t>
  </si>
  <si>
    <t>05468/</t>
  </si>
  <si>
    <t>کد سبد 00945</t>
  </si>
  <si>
    <t>02198/</t>
  </si>
  <si>
    <t>گل سرخ ریز 6745</t>
  </si>
  <si>
    <t>06589/</t>
  </si>
  <si>
    <t>کد سبد 00946</t>
  </si>
  <si>
    <t>05050/</t>
  </si>
  <si>
    <t>03269/</t>
  </si>
  <si>
    <t>کد سبد 00947</t>
  </si>
  <si>
    <t>چهل تیکه سرخ 6817</t>
  </si>
  <si>
    <t>05544/</t>
  </si>
  <si>
    <t>کتیبه ای 3065</t>
  </si>
  <si>
    <t>05043/</t>
  </si>
  <si>
    <t>کد سبد 00948</t>
  </si>
  <si>
    <t>05036/</t>
  </si>
  <si>
    <t>باغ هزار گل سورمه ای 6836</t>
  </si>
  <si>
    <t>06120/</t>
  </si>
  <si>
    <t>کد سبد 00949</t>
  </si>
  <si>
    <t>05543/</t>
  </si>
  <si>
    <t>06100/</t>
  </si>
  <si>
    <t>کد سبد 00950</t>
  </si>
  <si>
    <t>05553/</t>
  </si>
  <si>
    <t>05430/</t>
  </si>
  <si>
    <t>کد سبد 00951</t>
  </si>
  <si>
    <t>تدی پاپیونی 6751</t>
  </si>
  <si>
    <t>05015/</t>
  </si>
  <si>
    <t>05054/</t>
  </si>
  <si>
    <t>کد سبد 00952</t>
  </si>
  <si>
    <t>05019/</t>
  </si>
  <si>
    <t>08527/</t>
  </si>
  <si>
    <t>کد سبد 00953</t>
  </si>
  <si>
    <t>پاپیون مشکی خالدار 6692</t>
  </si>
  <si>
    <t>05062/</t>
  </si>
  <si>
    <t>05523/</t>
  </si>
  <si>
    <t>کد سبد 00954</t>
  </si>
  <si>
    <t>گل سبز ریز 6785</t>
  </si>
  <si>
    <t>05432/</t>
  </si>
  <si>
    <t>گل و بته 6810</t>
  </si>
  <si>
    <t>05616/</t>
  </si>
  <si>
    <t>کد سبد 00955</t>
  </si>
  <si>
    <t>بابونه بهشتی شکلاتی 6813</t>
  </si>
  <si>
    <t>05027/</t>
  </si>
  <si>
    <t>0196/</t>
  </si>
  <si>
    <t>کد سبد 00956</t>
  </si>
  <si>
    <t>گل رز صورتی 6774</t>
  </si>
  <si>
    <t>05001/</t>
  </si>
  <si>
    <t>بابونه زمینه مشکی 6719</t>
  </si>
  <si>
    <t>01245/</t>
  </si>
  <si>
    <t>کد سبد 00957</t>
  </si>
  <si>
    <t>05046/</t>
  </si>
  <si>
    <t>کد سبد 00958</t>
  </si>
  <si>
    <t>باغ گل صورتی 6742</t>
  </si>
  <si>
    <t>05689/</t>
  </si>
  <si>
    <t>05057/</t>
  </si>
  <si>
    <t>کد سبد 00959</t>
  </si>
  <si>
    <t>پرستو 3066</t>
  </si>
  <si>
    <t>05013/</t>
  </si>
  <si>
    <t>چهل تیکه ارمغان 6332</t>
  </si>
  <si>
    <t>05546/</t>
  </si>
  <si>
    <t>کد سبد 00960</t>
  </si>
  <si>
    <t>گل و بلبل 6699</t>
  </si>
  <si>
    <t>05002/</t>
  </si>
  <si>
    <t>گل سنتی سبز 6779</t>
  </si>
  <si>
    <t>05618/</t>
  </si>
  <si>
    <t>کد سبد 00961</t>
  </si>
  <si>
    <t>05039/</t>
  </si>
  <si>
    <t>تک رنگ سبز ماچا 6867</t>
  </si>
  <si>
    <t>کد سبد 00962</t>
  </si>
  <si>
    <t>05023/</t>
  </si>
  <si>
    <t>05022/</t>
  </si>
  <si>
    <t>کد سبد 00963</t>
  </si>
  <si>
    <t>05533/</t>
  </si>
  <si>
    <t>05556/</t>
  </si>
  <si>
    <t>کد سبد 00964</t>
  </si>
  <si>
    <t>قلب سرخ ابی زمینه مشکی 6315</t>
  </si>
  <si>
    <t>05552/</t>
  </si>
  <si>
    <t>پاپیون گیپور مشکی 6870</t>
  </si>
  <si>
    <t>055557/</t>
  </si>
  <si>
    <t>کد سبد 00965</t>
  </si>
  <si>
    <t>قلب 4041</t>
  </si>
  <si>
    <t>02204/</t>
  </si>
  <si>
    <t>05488/</t>
  </si>
  <si>
    <t>کد سبد 00966</t>
  </si>
  <si>
    <t>05436/</t>
  </si>
  <si>
    <t>0896/</t>
  </si>
  <si>
    <t>کد سبد 00967</t>
  </si>
  <si>
    <t>رزگون ابی 6851</t>
  </si>
  <si>
    <t>05494/</t>
  </si>
  <si>
    <t>0884/</t>
  </si>
  <si>
    <t>کد سبد 00968</t>
  </si>
  <si>
    <t>05503/</t>
  </si>
  <si>
    <t>گل ترنم 6029</t>
  </si>
  <si>
    <t>0217/</t>
  </si>
  <si>
    <t>کد سبد 00969</t>
  </si>
  <si>
    <t>05444/</t>
  </si>
  <si>
    <t>پاپیون و گل 6705</t>
  </si>
  <si>
    <t>04036/</t>
  </si>
  <si>
    <t>کد سبد 00970</t>
  </si>
  <si>
    <t>پروانه بهاری 6701</t>
  </si>
  <si>
    <t>04064/</t>
  </si>
  <si>
    <t>0885/</t>
  </si>
  <si>
    <t>کد سبد 00971</t>
  </si>
  <si>
    <t>05449/</t>
  </si>
  <si>
    <t>02193/</t>
  </si>
  <si>
    <t>کد سبد 00972</t>
  </si>
  <si>
    <t>پاپیون خالدار ریز 6856</t>
  </si>
  <si>
    <t>02183/</t>
  </si>
  <si>
    <t>پروانه مونلا 6863</t>
  </si>
  <si>
    <t>04052/</t>
  </si>
  <si>
    <t>کد سبد 00973</t>
  </si>
  <si>
    <t>02188/</t>
  </si>
  <si>
    <t>0159/</t>
  </si>
  <si>
    <t>کد سبد 00974</t>
  </si>
  <si>
    <t>گل رنگین 6816</t>
  </si>
  <si>
    <t>01301/</t>
  </si>
  <si>
    <t>کد سبد 00975</t>
  </si>
  <si>
    <t>04037/</t>
  </si>
  <si>
    <t>دختر توت فرنگی 2037</t>
  </si>
  <si>
    <t>05507/</t>
  </si>
  <si>
    <t>کد سبد 00976</t>
  </si>
  <si>
    <t>کهکشان (گلگسی) 6050</t>
  </si>
  <si>
    <t>05441/</t>
  </si>
  <si>
    <t>05502/</t>
  </si>
  <si>
    <t>کد سبد 00977</t>
  </si>
  <si>
    <t>جنگل دیور 6545</t>
  </si>
  <si>
    <t>05435/</t>
  </si>
  <si>
    <t>05643/</t>
  </si>
  <si>
    <t>کد سبد 00978</t>
  </si>
  <si>
    <t>شکوفه کارمل 6835</t>
  </si>
  <si>
    <t>05431/</t>
  </si>
  <si>
    <t>05484/</t>
  </si>
  <si>
    <t>کد سبد 00979</t>
  </si>
  <si>
    <t>04065/</t>
  </si>
  <si>
    <t>0593/</t>
  </si>
  <si>
    <t>کد سبد 00980</t>
  </si>
  <si>
    <t>05564/</t>
  </si>
  <si>
    <t>کد سبد 00981</t>
  </si>
  <si>
    <t>05498/</t>
  </si>
  <si>
    <t>04041/</t>
  </si>
  <si>
    <t>کد سبد 00982</t>
  </si>
  <si>
    <t>دیپلمات مشکی سفید 6543</t>
  </si>
  <si>
    <t>02167/</t>
  </si>
  <si>
    <t>کد سبد 00983</t>
  </si>
  <si>
    <t>0888/</t>
  </si>
  <si>
    <t>کد سبد 00984</t>
  </si>
  <si>
    <t>رز زرد 6852</t>
  </si>
  <si>
    <t>05499/</t>
  </si>
  <si>
    <t>05429/</t>
  </si>
  <si>
    <t>کد سبد 00985</t>
  </si>
  <si>
    <t>02197/</t>
  </si>
  <si>
    <t>04048/</t>
  </si>
  <si>
    <t>کد سبد 00986</t>
  </si>
  <si>
    <t>05476/</t>
  </si>
  <si>
    <t>کد سبد 00987</t>
  </si>
  <si>
    <t>05469/</t>
  </si>
  <si>
    <t>05482/</t>
  </si>
  <si>
    <t>کد سبد 00988</t>
  </si>
  <si>
    <t>02177/</t>
  </si>
  <si>
    <t>04071/</t>
  </si>
  <si>
    <t>کد سبد 00989</t>
  </si>
  <si>
    <t>پروانه کهکشانی 6846</t>
  </si>
  <si>
    <t>05500/</t>
  </si>
  <si>
    <t>03515/</t>
  </si>
  <si>
    <t>کد سبد 00990</t>
  </si>
  <si>
    <t>02178/</t>
  </si>
  <si>
    <t>05473/</t>
  </si>
  <si>
    <t>کد سبد 00991</t>
  </si>
  <si>
    <t>پرنده یلدایی چیریکی 6764</t>
  </si>
  <si>
    <t>05530/</t>
  </si>
  <si>
    <t>کد سبد 00992</t>
  </si>
  <si>
    <t>پاپیون و گل صورتی 6853</t>
  </si>
  <si>
    <t>05486/</t>
  </si>
  <si>
    <t>گوچی صورتی 6821</t>
  </si>
  <si>
    <t>04045/</t>
  </si>
  <si>
    <t>کد سبد 00993</t>
  </si>
  <si>
    <t>05009/</t>
  </si>
  <si>
    <t>پاپیون درشت 6769</t>
  </si>
  <si>
    <t>05061/</t>
  </si>
  <si>
    <t>کد سبد 00994</t>
  </si>
  <si>
    <t>05568/</t>
  </si>
  <si>
    <t>پروانه طلایی 6768</t>
  </si>
  <si>
    <t>023657/</t>
  </si>
  <si>
    <t>کد سبد 00995</t>
  </si>
  <si>
    <t>02189/</t>
  </si>
  <si>
    <t>کد سبد 00996</t>
  </si>
  <si>
    <t>06093/</t>
  </si>
  <si>
    <t>کد سبد 00997</t>
  </si>
  <si>
    <t>05626/</t>
  </si>
  <si>
    <t>دسته گل کرمی 6781</t>
  </si>
  <si>
    <t>06118/</t>
  </si>
  <si>
    <t>کد سبد 00998</t>
  </si>
  <si>
    <t>02541/</t>
  </si>
  <si>
    <t>05559/</t>
  </si>
  <si>
    <t>کد سبد 00999</t>
  </si>
  <si>
    <t>05561/</t>
  </si>
  <si>
    <t>06087/</t>
  </si>
  <si>
    <t>کد سبد 001000</t>
  </si>
  <si>
    <t>پاپیون گلی ریز 6862</t>
  </si>
  <si>
    <t>کد سبد 001001</t>
  </si>
  <si>
    <t>06065/</t>
  </si>
  <si>
    <t>06051/</t>
  </si>
  <si>
    <t>کد سبد 001002</t>
  </si>
  <si>
    <t>06028/</t>
  </si>
  <si>
    <t>کد سبد 001003</t>
  </si>
  <si>
    <t>04072/</t>
  </si>
  <si>
    <t>مه گل 6850</t>
  </si>
  <si>
    <t>06024/</t>
  </si>
  <si>
    <t>کد سبد 001004</t>
  </si>
  <si>
    <t>06075/</t>
  </si>
  <si>
    <t>شکوفه و وپرنده قرمز یلدایی 6765</t>
  </si>
  <si>
    <t>06033/</t>
  </si>
  <si>
    <t>کد سبد 001005</t>
  </si>
  <si>
    <t>07386/</t>
  </si>
  <si>
    <t>02354/</t>
  </si>
  <si>
    <t>کد سبد 001006</t>
  </si>
  <si>
    <t>02251/</t>
  </si>
  <si>
    <t>کد سبد 001007</t>
  </si>
  <si>
    <t>بربری 6385</t>
  </si>
  <si>
    <t>05734/</t>
  </si>
  <si>
    <t>06022/</t>
  </si>
  <si>
    <t>کد سبد 001008</t>
  </si>
  <si>
    <t>مینی موس و گوچی 6054</t>
  </si>
  <si>
    <t>06049/</t>
  </si>
  <si>
    <t>کد سبد 001009</t>
  </si>
  <si>
    <t>گل رز صورتی 6714</t>
  </si>
  <si>
    <t>06050/</t>
  </si>
  <si>
    <t>04022/</t>
  </si>
  <si>
    <t>کد سبد 001010</t>
  </si>
  <si>
    <t>باغ پرنده 6840</t>
  </si>
  <si>
    <t>.05841/</t>
  </si>
  <si>
    <t>کد سبد 001011</t>
  </si>
  <si>
    <t>شکوفه سبز ماچا 6866</t>
  </si>
  <si>
    <t>03423/</t>
  </si>
  <si>
    <t>کد سبد 001012</t>
  </si>
  <si>
    <t>گل گل صورتی 6847</t>
  </si>
  <si>
    <t>02548/</t>
  </si>
  <si>
    <t>02536/</t>
  </si>
  <si>
    <t>کد سبد 001013</t>
  </si>
  <si>
    <t>06072/</t>
  </si>
  <si>
    <t>03273/</t>
  </si>
  <si>
    <t>کد سبد 001014</t>
  </si>
  <si>
    <t>06061/</t>
  </si>
  <si>
    <t>03518/</t>
  </si>
  <si>
    <t>کد سبد 001015</t>
  </si>
  <si>
    <t>پروانه رویایی 6675 صورتی</t>
  </si>
  <si>
    <t>06060/</t>
  </si>
  <si>
    <t>شکوفه کارامل 6835</t>
  </si>
  <si>
    <t>05843/</t>
  </si>
  <si>
    <t>کد سبد 001016</t>
  </si>
  <si>
    <t>05236/</t>
  </si>
  <si>
    <t>بتمن 6830</t>
  </si>
  <si>
    <t>05722/</t>
  </si>
  <si>
    <t>کد سبد 001017</t>
  </si>
  <si>
    <t>02369/</t>
  </si>
  <si>
    <t>04075/</t>
  </si>
  <si>
    <t>کد سبد 001018</t>
  </si>
  <si>
    <t>06027/</t>
  </si>
  <si>
    <t>02264/</t>
  </si>
  <si>
    <t>کد سبد 001019</t>
  </si>
  <si>
    <t>کهکشان گلکسی 5063</t>
  </si>
  <si>
    <t>05834/</t>
  </si>
  <si>
    <t>کد سبد 001020</t>
  </si>
  <si>
    <t>04063/</t>
  </si>
  <si>
    <t>05740/</t>
  </si>
  <si>
    <t>کد سبد 001021</t>
  </si>
  <si>
    <t>بابونه بهشتی سبز 6732</t>
  </si>
  <si>
    <t>05424/</t>
  </si>
  <si>
    <t>کد سبد 001022</t>
  </si>
  <si>
    <t>06062/</t>
  </si>
  <si>
    <t>کد سبد 001023</t>
  </si>
  <si>
    <t>06080/</t>
  </si>
  <si>
    <t>03520/</t>
  </si>
  <si>
    <t>کد سبد 001024</t>
  </si>
  <si>
    <t>06078/</t>
  </si>
  <si>
    <t>کد سبد 001025</t>
  </si>
  <si>
    <t>02375/</t>
  </si>
  <si>
    <t>کد سبد 001026</t>
  </si>
  <si>
    <t>05738/</t>
  </si>
  <si>
    <t>نت 3044</t>
  </si>
  <si>
    <t>کد سبد 001027</t>
  </si>
  <si>
    <t>06046/</t>
  </si>
  <si>
    <t>گل ابی 5006</t>
  </si>
  <si>
    <t>03271/</t>
  </si>
  <si>
    <t>کد سبد 001028</t>
  </si>
  <si>
    <t>کاشی بلبل رنگی 6051</t>
  </si>
  <si>
    <t>02471/</t>
  </si>
  <si>
    <t>05373/</t>
  </si>
  <si>
    <t>کد سبد 001029</t>
  </si>
  <si>
    <t>کهکشان گلگسی 5063</t>
  </si>
  <si>
    <t>04010/</t>
  </si>
  <si>
    <t>0124/</t>
  </si>
  <si>
    <t>کد سبد 001030</t>
  </si>
  <si>
    <t>05394/</t>
  </si>
  <si>
    <t>01715/</t>
  </si>
  <si>
    <t>کد سبد 001031</t>
  </si>
  <si>
    <t>05365/</t>
  </si>
  <si>
    <t>04074/</t>
  </si>
  <si>
    <t>کد سبد 001032</t>
  </si>
  <si>
    <t>06057/</t>
  </si>
  <si>
    <t>01840/</t>
  </si>
  <si>
    <t>کد سبد 001033</t>
  </si>
  <si>
    <t>05485/</t>
  </si>
  <si>
    <t>05225/</t>
  </si>
  <si>
    <t>کد سبد 001034</t>
  </si>
  <si>
    <t>06037/</t>
  </si>
  <si>
    <t>01772/</t>
  </si>
  <si>
    <t>کد سبد 001035</t>
  </si>
  <si>
    <t>02539/</t>
  </si>
  <si>
    <t>ببری سورمه ای 6517</t>
  </si>
  <si>
    <t>01477/</t>
  </si>
  <si>
    <t>کد سبد 001036</t>
  </si>
  <si>
    <t>02111/</t>
  </si>
  <si>
    <t>02209/</t>
  </si>
  <si>
    <t>کد سبد 001037</t>
  </si>
  <si>
    <t>02995/</t>
  </si>
  <si>
    <t>کد سبد 001038</t>
  </si>
  <si>
    <t>06076/</t>
  </si>
  <si>
    <t>01371/</t>
  </si>
  <si>
    <t>کد سبد 001039</t>
  </si>
  <si>
    <t>02808/</t>
  </si>
  <si>
    <t>02243/</t>
  </si>
  <si>
    <t>کد سبد 001040</t>
  </si>
  <si>
    <t>06047/</t>
  </si>
  <si>
    <t>گل رنگی زرد نارنجی 6733</t>
  </si>
  <si>
    <t>02245/</t>
  </si>
  <si>
    <t>کد سبد 001041</t>
  </si>
  <si>
    <t>قلب زمینه مشکی 6314</t>
  </si>
  <si>
    <t>02786/</t>
  </si>
  <si>
    <t>کد سبد 001042</t>
  </si>
  <si>
    <t>02857/</t>
  </si>
  <si>
    <t>گل ترنج زرد 6824</t>
  </si>
  <si>
    <t>05849/</t>
  </si>
  <si>
    <t>کد سبد 001043</t>
  </si>
  <si>
    <t>05472/</t>
  </si>
  <si>
    <t>07568/</t>
  </si>
  <si>
    <t>کد سبد 001044</t>
  </si>
  <si>
    <t>دیور مشکی 6546</t>
  </si>
  <si>
    <t>01548/</t>
  </si>
  <si>
    <t>انیمه 6352</t>
  </si>
  <si>
    <t>05890/*</t>
  </si>
  <si>
    <t>کد سبد 001045</t>
  </si>
  <si>
    <t>گیلاس 2071</t>
  </si>
  <si>
    <t>06958/</t>
  </si>
  <si>
    <t>02753/</t>
  </si>
  <si>
    <t>کد سبد 001046</t>
  </si>
  <si>
    <t>04157/</t>
  </si>
  <si>
    <t>02140/</t>
  </si>
  <si>
    <t>کد سبد 001047</t>
  </si>
  <si>
    <t>06598/</t>
  </si>
  <si>
    <t>پلنگی قهوه ای 6834</t>
  </si>
  <si>
    <t>02770/</t>
  </si>
  <si>
    <t>کد سبد 001048</t>
  </si>
  <si>
    <t>خرگوش صورتی 6667</t>
  </si>
  <si>
    <t>05725/</t>
  </si>
  <si>
    <t>05831/</t>
  </si>
  <si>
    <t>کد سبد 001049</t>
  </si>
  <si>
    <t>05848/</t>
  </si>
  <si>
    <t>05855/</t>
  </si>
  <si>
    <t>کد سبد 001050</t>
  </si>
  <si>
    <t>پاپبون زمینه مشکی 6713</t>
  </si>
  <si>
    <t>05837/</t>
  </si>
  <si>
    <t>پاپیون زمینه سفید 6712</t>
  </si>
  <si>
    <t>05844/</t>
  </si>
  <si>
    <t>کد سبد 001051</t>
  </si>
  <si>
    <t>05492/8</t>
  </si>
  <si>
    <t>کد سبد 001052</t>
  </si>
  <si>
    <t>05195/</t>
  </si>
  <si>
    <t>کد سبد 001053</t>
  </si>
  <si>
    <t>راه راه بابونه 6345</t>
  </si>
  <si>
    <t>05467/</t>
  </si>
  <si>
    <t>05460/</t>
  </si>
  <si>
    <t>کد سبد 001054</t>
  </si>
  <si>
    <t>05032/</t>
  </si>
  <si>
    <t xml:space="preserve"> پاپیون دانتلی 6809</t>
  </si>
  <si>
    <t>05140/</t>
  </si>
  <si>
    <t>کد سبد 001055</t>
  </si>
  <si>
    <t>05026/</t>
  </si>
  <si>
    <t>03138/</t>
  </si>
  <si>
    <t>کد سبد 001056</t>
  </si>
  <si>
    <t>05526/</t>
  </si>
  <si>
    <t>پروانه موکا 6829</t>
  </si>
  <si>
    <t>05633/</t>
  </si>
  <si>
    <t>کد سبد 001057</t>
  </si>
  <si>
    <t>05539/</t>
  </si>
  <si>
    <t>05555/</t>
  </si>
  <si>
    <t>کد سبد 001058</t>
  </si>
  <si>
    <t>06130/</t>
  </si>
  <si>
    <t>05017/</t>
  </si>
  <si>
    <t>کد سبد 001059</t>
  </si>
  <si>
    <t>05053/</t>
  </si>
  <si>
    <t>05602/</t>
  </si>
  <si>
    <t>کد سبد 001060</t>
  </si>
  <si>
    <t>قلب شکلاتی 6826</t>
  </si>
  <si>
    <t>05497/</t>
  </si>
  <si>
    <t>ونگوک 5096</t>
  </si>
  <si>
    <t>05385/</t>
  </si>
  <si>
    <t>کد سبد 001061</t>
  </si>
  <si>
    <t>05125/</t>
  </si>
  <si>
    <t>05405/</t>
  </si>
  <si>
    <t>کد سبد 001062</t>
  </si>
  <si>
    <t>05224/</t>
  </si>
  <si>
    <t>06591/</t>
  </si>
  <si>
    <t>کد سبد 001063</t>
  </si>
  <si>
    <t>گوچی مشکی 6368</t>
  </si>
  <si>
    <t>06039/</t>
  </si>
  <si>
    <t xml:space="preserve"> پاپیون گیپور مشکی 6870</t>
  </si>
  <si>
    <t>06582/</t>
  </si>
  <si>
    <t>کد سبد 001064</t>
  </si>
  <si>
    <t>گل 5004</t>
  </si>
  <si>
    <t>04016/</t>
  </si>
  <si>
    <t>پاپیون راه راه شکلاتی 6871</t>
  </si>
  <si>
    <t>06532/</t>
  </si>
  <si>
    <t>کد سبد 001065</t>
  </si>
  <si>
    <t>04058/</t>
  </si>
  <si>
    <t>فرش قرمز ایرانی 6804</t>
  </si>
  <si>
    <t>05366/</t>
  </si>
  <si>
    <t>کد سبد 001066</t>
  </si>
  <si>
    <t>06036/</t>
  </si>
  <si>
    <t>پروانه شاینی 6525</t>
  </si>
  <si>
    <t>05393/</t>
  </si>
  <si>
    <t>کد سبد 001067</t>
  </si>
  <si>
    <t>05359/</t>
  </si>
  <si>
    <t>کد سبد 001068</t>
  </si>
  <si>
    <t>05207/</t>
  </si>
  <si>
    <t>05315/</t>
  </si>
  <si>
    <t>کد سبد 001069</t>
  </si>
  <si>
    <t>06611/</t>
  </si>
  <si>
    <t>05328/</t>
  </si>
  <si>
    <t>کد سبد 001070</t>
  </si>
  <si>
    <t>05357/</t>
  </si>
  <si>
    <t>کد سبد 001071</t>
  </si>
  <si>
    <t>05228/</t>
  </si>
  <si>
    <t>05675/</t>
  </si>
  <si>
    <t>کد سبد 001072</t>
  </si>
  <si>
    <t>05215/</t>
  </si>
  <si>
    <t>05374/</t>
  </si>
  <si>
    <t>کد سبد 001073</t>
  </si>
  <si>
    <t>قلب توخالی 6725</t>
  </si>
  <si>
    <t>03658/</t>
  </si>
  <si>
    <t>پیردوپل ریز 6555</t>
  </si>
  <si>
    <t>05388/</t>
  </si>
  <si>
    <t>کد سبد 001074</t>
  </si>
  <si>
    <t>05386/</t>
  </si>
  <si>
    <t>05361/</t>
  </si>
  <si>
    <t>کد سبد 001075</t>
  </si>
  <si>
    <t>08546/</t>
  </si>
  <si>
    <t>پی دو پل 3089</t>
  </si>
  <si>
    <t>05389/</t>
  </si>
  <si>
    <t>کد سبد 001076</t>
  </si>
  <si>
    <t>البالویی زمینه مشکی خالدار قرمز 6177</t>
  </si>
  <si>
    <t>05319/</t>
  </si>
  <si>
    <t>05325/</t>
  </si>
  <si>
    <t>کد سبد 001077</t>
  </si>
  <si>
    <t>05227/</t>
  </si>
  <si>
    <t>کد سبد 001078</t>
  </si>
  <si>
    <t>05203/</t>
  </si>
  <si>
    <t>05341/</t>
  </si>
  <si>
    <t>کد سبد 001079</t>
  </si>
  <si>
    <t>05229/</t>
  </si>
  <si>
    <t>زنانه قاجار 3070</t>
  </si>
  <si>
    <t>05329/</t>
  </si>
  <si>
    <t>کد سبد 001080</t>
  </si>
  <si>
    <t>گوچی 6313</t>
  </si>
  <si>
    <t>05216/</t>
  </si>
  <si>
    <t>کد سبد 001081</t>
  </si>
  <si>
    <t>02200/</t>
  </si>
  <si>
    <t xml:space="preserve"> پرنده سبز یلدایی 6766</t>
  </si>
  <si>
    <t>06358/</t>
  </si>
  <si>
    <t>کد سبد 001082</t>
  </si>
  <si>
    <t>04589/</t>
  </si>
  <si>
    <t>05413/</t>
  </si>
  <si>
    <t>کد سبد 001083</t>
  </si>
  <si>
    <t>05134/</t>
  </si>
  <si>
    <t>03296/</t>
  </si>
  <si>
    <t>کد سبد 001084</t>
  </si>
  <si>
    <t>پاپیون مشکی کیوت 6726</t>
  </si>
  <si>
    <t>06578/</t>
  </si>
  <si>
    <t>06338/</t>
  </si>
  <si>
    <t>کد سبد 001085</t>
  </si>
  <si>
    <t>لبوبو ماچا 6880</t>
  </si>
  <si>
    <t>05139/</t>
  </si>
  <si>
    <t>05783/</t>
  </si>
  <si>
    <t>کد سبد 001086</t>
  </si>
  <si>
    <t>06638/</t>
  </si>
  <si>
    <t>05358/</t>
  </si>
  <si>
    <t>کد سبد 001087</t>
  </si>
  <si>
    <t>05126/</t>
  </si>
  <si>
    <t>05344/</t>
  </si>
  <si>
    <t>کد سبد 001088</t>
  </si>
  <si>
    <t>06629/</t>
  </si>
  <si>
    <t>05766/</t>
  </si>
  <si>
    <t>کد سبد 001089</t>
  </si>
  <si>
    <t>06602/</t>
  </si>
  <si>
    <t>05416/</t>
  </si>
  <si>
    <t>کد سبد 001090</t>
  </si>
  <si>
    <t>06612/</t>
  </si>
  <si>
    <t>05635/</t>
  </si>
  <si>
    <t>کد سبد 001091</t>
  </si>
  <si>
    <t>بابونه کیوت 6736 یاسی</t>
  </si>
  <si>
    <t>0801/</t>
  </si>
  <si>
    <t>ابرنگی 6511</t>
  </si>
  <si>
    <t>03335/</t>
  </si>
  <si>
    <t>کد سبد 001092</t>
  </si>
  <si>
    <t>دونه های برفی 6038</t>
  </si>
  <si>
    <t>گل ابی ملیح 6776</t>
  </si>
  <si>
    <t>03336/</t>
  </si>
  <si>
    <t>کد سبد 001093</t>
  </si>
  <si>
    <t>03360/</t>
  </si>
  <si>
    <t>گوچی 6058</t>
  </si>
  <si>
    <t>02333/</t>
  </si>
  <si>
    <t>کد سبد 001094</t>
  </si>
  <si>
    <t>02907/</t>
  </si>
  <si>
    <t>05647/</t>
  </si>
  <si>
    <t>کد سبد 001095</t>
  </si>
  <si>
    <t>04195/</t>
  </si>
  <si>
    <t>گل ابی 5005</t>
  </si>
  <si>
    <t>05662/</t>
  </si>
  <si>
    <t>کد سبد 001096</t>
  </si>
  <si>
    <t>07780/</t>
  </si>
  <si>
    <t>05703/</t>
  </si>
  <si>
    <t>کد سبد 001097</t>
  </si>
  <si>
    <t>پاپیون راه راه شیری 6873</t>
  </si>
  <si>
    <t>پاپبون زمینه سفید 6712</t>
  </si>
  <si>
    <t>05889/</t>
  </si>
  <si>
    <t>کد سبد 001098</t>
  </si>
  <si>
    <t>07378/</t>
  </si>
  <si>
    <t>06428/</t>
  </si>
  <si>
    <t>کد سبد 001099</t>
  </si>
  <si>
    <t>لبوبو مشکی 6883</t>
  </si>
  <si>
    <t>05143/</t>
  </si>
  <si>
    <t>دیور صورتی 6819</t>
  </si>
  <si>
    <t>02203/</t>
  </si>
  <si>
    <t>کد سبد 001100</t>
  </si>
  <si>
    <t xml:space="preserve"> 05391/</t>
  </si>
  <si>
    <t>05462/</t>
  </si>
  <si>
    <t>کد سبد 001101</t>
  </si>
  <si>
    <t>05672/</t>
  </si>
  <si>
    <t>05400/</t>
  </si>
  <si>
    <t>کد سبد 001102</t>
  </si>
  <si>
    <t>گل وینیج 6806</t>
  </si>
  <si>
    <t>06714/</t>
  </si>
  <si>
    <t>05893/</t>
  </si>
  <si>
    <t>کد سبد 001103</t>
  </si>
  <si>
    <t>06320/</t>
  </si>
  <si>
    <t>گل ترمه نارنجی 6822</t>
  </si>
  <si>
    <t>05842/</t>
  </si>
  <si>
    <t>کد سبد 001104</t>
  </si>
  <si>
    <t>چهار خونه مشکی 6371</t>
  </si>
  <si>
    <t>06140/</t>
  </si>
  <si>
    <t>07992/</t>
  </si>
  <si>
    <t>کد سبد 001105</t>
  </si>
  <si>
    <t>05846/</t>
  </si>
  <si>
    <t>05410/</t>
  </si>
  <si>
    <t>کد سبد 001106</t>
  </si>
  <si>
    <t>0467/</t>
  </si>
  <si>
    <t>05684/</t>
  </si>
  <si>
    <t>کد سبد 001107</t>
  </si>
  <si>
    <t>06597/</t>
  </si>
  <si>
    <t>05379/</t>
  </si>
  <si>
    <t>کد سبد 001108</t>
  </si>
  <si>
    <t>بابونه بهشتی زرد 6739</t>
  </si>
  <si>
    <t>05407/</t>
  </si>
  <si>
    <t>05354/</t>
  </si>
  <si>
    <t>کد سبد 001109</t>
  </si>
  <si>
    <t>06063/</t>
  </si>
  <si>
    <t>06643/</t>
  </si>
  <si>
    <t>کد سبد 001110</t>
  </si>
  <si>
    <t>04569/</t>
  </si>
  <si>
    <t>05419/</t>
  </si>
  <si>
    <t>کد سبد 001111</t>
  </si>
  <si>
    <t>06636/</t>
  </si>
  <si>
    <t>01751/</t>
  </si>
  <si>
    <t>کد سبد 001112</t>
  </si>
  <si>
    <t>بابونه گلبهی 6734</t>
  </si>
  <si>
    <t>05414/</t>
  </si>
  <si>
    <t>گل زنبق 6790</t>
  </si>
  <si>
    <t>05764/</t>
  </si>
  <si>
    <t>کد سبد 001113</t>
  </si>
  <si>
    <t>03346/</t>
  </si>
  <si>
    <t>زبرا مشکی 6528</t>
  </si>
  <si>
    <t>05351/</t>
  </si>
  <si>
    <t>کد سبد 001114</t>
  </si>
  <si>
    <t>05702/</t>
  </si>
  <si>
    <t>0132/</t>
  </si>
  <si>
    <t>کد سبد 001115</t>
  </si>
  <si>
    <t>03251/</t>
  </si>
  <si>
    <t>05641/</t>
  </si>
  <si>
    <t>کد سبد 001116</t>
  </si>
  <si>
    <t>02254/</t>
  </si>
  <si>
    <t>05320/</t>
  </si>
  <si>
    <t>کد سبد 001117</t>
  </si>
  <si>
    <t>دختر ستاره ای 6530</t>
  </si>
  <si>
    <t>03331/</t>
  </si>
  <si>
    <t>05132/</t>
  </si>
  <si>
    <t>کد سبد 001118</t>
  </si>
  <si>
    <t>03357/</t>
  </si>
  <si>
    <t>05364/</t>
  </si>
  <si>
    <t>کد سبد 001119</t>
  </si>
  <si>
    <t>05383/</t>
  </si>
  <si>
    <t>0142/</t>
  </si>
  <si>
    <t>کد سبد 001120</t>
  </si>
  <si>
    <t>شکوفه ریز سورمه ای 6748</t>
  </si>
  <si>
    <t>02353/</t>
  </si>
  <si>
    <t>01815/</t>
  </si>
  <si>
    <t>کد سبد 001121</t>
  </si>
  <si>
    <t>03195/</t>
  </si>
  <si>
    <t>02339/</t>
  </si>
  <si>
    <t>کد سبد 001122</t>
  </si>
  <si>
    <t>05272/</t>
  </si>
  <si>
    <t>05266/</t>
  </si>
  <si>
    <t>کد سبد 001123</t>
  </si>
  <si>
    <t>03337/</t>
  </si>
  <si>
    <t>05214/</t>
  </si>
  <si>
    <t>کد سبد 001124</t>
  </si>
  <si>
    <t>06349/</t>
  </si>
  <si>
    <t>کد سبد 001125</t>
  </si>
  <si>
    <t>03181/</t>
  </si>
  <si>
    <t>کد سبد 001126</t>
  </si>
  <si>
    <t>05149/</t>
  </si>
  <si>
    <t>04512/</t>
  </si>
  <si>
    <t>کد سبد 001127</t>
  </si>
  <si>
    <t>نیلوفر ابی 6399</t>
  </si>
  <si>
    <t>02349/</t>
  </si>
  <si>
    <t>کد سبد 001128</t>
  </si>
  <si>
    <t>01611/</t>
  </si>
  <si>
    <t>کد سبد 001129</t>
  </si>
  <si>
    <t>01622/</t>
  </si>
  <si>
    <t>0614/</t>
  </si>
  <si>
    <t>کد سبد 001130</t>
  </si>
  <si>
    <t>گل افسون 6815</t>
  </si>
  <si>
    <t>05637/</t>
  </si>
  <si>
    <t>کد سبد 001131</t>
  </si>
  <si>
    <t>بابونه شرابی 6750</t>
  </si>
  <si>
    <t>06639/</t>
  </si>
  <si>
    <t>کد سبد 001132</t>
  </si>
  <si>
    <t>01846/</t>
  </si>
  <si>
    <t>0877/</t>
  </si>
  <si>
    <t>کد سبد 001133</t>
  </si>
  <si>
    <t>بابونه ریز ابی 6727</t>
  </si>
  <si>
    <t>05205/</t>
  </si>
  <si>
    <t>کد سبد 001134</t>
  </si>
  <si>
    <t>06133/</t>
  </si>
  <si>
    <t>03167/</t>
  </si>
  <si>
    <t>کد سبد 001135</t>
  </si>
  <si>
    <t>میکی و موس پس زمینه سبز 6022</t>
  </si>
  <si>
    <t>07245/</t>
  </si>
  <si>
    <t>توت فرنگی و انیمه 6363</t>
  </si>
  <si>
    <t>01625/</t>
  </si>
  <si>
    <t>کد سبد 001136</t>
  </si>
  <si>
    <t>هلو کیتی 6328</t>
  </si>
  <si>
    <t>05700/</t>
  </si>
  <si>
    <t>کد سبد 001137</t>
  </si>
  <si>
    <t>آدمک مشکی 6336</t>
  </si>
  <si>
    <t>01832/</t>
  </si>
  <si>
    <t>06067/</t>
  </si>
  <si>
    <t>کد سبد 001138</t>
  </si>
  <si>
    <t>06132/</t>
  </si>
  <si>
    <t>07495/</t>
  </si>
  <si>
    <t>کد سبد 001139</t>
  </si>
  <si>
    <t>گل رز 6680</t>
  </si>
  <si>
    <t>05719/</t>
  </si>
  <si>
    <t>کد سبد 001140</t>
  </si>
  <si>
    <t>07808/</t>
  </si>
  <si>
    <t>کد سبد 001141</t>
  </si>
  <si>
    <t>05346/</t>
  </si>
  <si>
    <t>کد سبد 001142</t>
  </si>
  <si>
    <t>05650/</t>
  </si>
  <si>
    <t>طاووسی آبی 6842</t>
  </si>
  <si>
    <t>05795/</t>
  </si>
  <si>
    <t>کد سبد 001143</t>
  </si>
  <si>
    <t xml:space="preserve">بابونه کیوت 6736 یاسی </t>
  </si>
  <si>
    <t>03175/</t>
  </si>
  <si>
    <t>کد سبد 001144</t>
  </si>
  <si>
    <t>02079/</t>
  </si>
  <si>
    <t>05651/</t>
  </si>
  <si>
    <t>کد سبد 001145</t>
  </si>
  <si>
    <t>پوست انیمال 6788</t>
  </si>
  <si>
    <t>08358/</t>
  </si>
  <si>
    <t>05732/</t>
  </si>
  <si>
    <t>کد سبد 001146</t>
  </si>
  <si>
    <t>زبرا شکلاتی 6808</t>
  </si>
  <si>
    <t>05418/</t>
  </si>
  <si>
    <t>08548/</t>
  </si>
  <si>
    <t>کد سبد 001147</t>
  </si>
  <si>
    <t>شکوفه و پرنده قرمز یلدایی 6765</t>
  </si>
  <si>
    <t>06548/</t>
  </si>
  <si>
    <t>گل و گلی 6187</t>
  </si>
  <si>
    <t>05335/</t>
  </si>
  <si>
    <t>کد سبد 001148</t>
  </si>
  <si>
    <t>چشم نظر 2024</t>
  </si>
  <si>
    <t>02269/</t>
  </si>
  <si>
    <t>کد سبد 001149</t>
  </si>
  <si>
    <t>بابونه راه راه 6702</t>
  </si>
  <si>
    <t>05845/</t>
  </si>
  <si>
    <t>کد سبد 001150</t>
  </si>
  <si>
    <t>بابونه گل گلی 6747</t>
  </si>
  <si>
    <t>05412/</t>
  </si>
  <si>
    <t>05362/</t>
  </si>
  <si>
    <t>کد سبد 001151</t>
  </si>
  <si>
    <t>01624/</t>
  </si>
  <si>
    <t>گل 5006</t>
  </si>
  <si>
    <t>0418/</t>
  </si>
  <si>
    <t>کد سبد 001152</t>
  </si>
  <si>
    <t>06440/</t>
  </si>
  <si>
    <t>05850/</t>
  </si>
  <si>
    <t>کد سبد 001153</t>
  </si>
  <si>
    <t>05270/</t>
  </si>
  <si>
    <t>03264/</t>
  </si>
  <si>
    <t>کد سبد 001154</t>
  </si>
  <si>
    <t>05680/</t>
  </si>
  <si>
    <t>کد سبد 001155</t>
  </si>
  <si>
    <t>رز بزرگ سفید 6735</t>
  </si>
  <si>
    <t>06366/</t>
  </si>
  <si>
    <t>کد سبد 001156</t>
  </si>
  <si>
    <t>05380/</t>
  </si>
  <si>
    <t>کد سبد 001157</t>
  </si>
  <si>
    <t>05630/</t>
  </si>
  <si>
    <t>05342/</t>
  </si>
  <si>
    <t>کد سبد 001158</t>
  </si>
  <si>
    <t>05632/</t>
  </si>
  <si>
    <t>04125/</t>
  </si>
  <si>
    <t>کد سبد 001159</t>
  </si>
  <si>
    <t>بابونه 3058</t>
  </si>
  <si>
    <t>01640/</t>
  </si>
  <si>
    <t>قاصدک 5024</t>
  </si>
  <si>
    <t>01836/</t>
  </si>
  <si>
    <t>کد سبد 001160</t>
  </si>
  <si>
    <t>0358/</t>
  </si>
  <si>
    <t>کد سبد 001161</t>
  </si>
  <si>
    <t>هلوکیتی 6738</t>
  </si>
  <si>
    <t>01024/</t>
  </si>
  <si>
    <t>02993/</t>
  </si>
  <si>
    <t>کد سبد 001162</t>
  </si>
  <si>
    <t>03625/</t>
  </si>
  <si>
    <t>0401/</t>
  </si>
  <si>
    <t>کد سبد 001163</t>
  </si>
  <si>
    <t>02118/</t>
  </si>
  <si>
    <t>کد سبد 001164</t>
  </si>
  <si>
    <t>گیلاس پاپیونی  6724</t>
  </si>
  <si>
    <t>03166/</t>
  </si>
  <si>
    <t>07412/</t>
  </si>
  <si>
    <t>کد سبد 001165</t>
  </si>
  <si>
    <t>01641/</t>
  </si>
  <si>
    <t>08564/</t>
  </si>
  <si>
    <t>کد سبد 001166</t>
  </si>
  <si>
    <t>01791/</t>
  </si>
  <si>
    <t>کد سبد 001167</t>
  </si>
  <si>
    <t>کت صورتی 6030</t>
  </si>
  <si>
    <t>01619/</t>
  </si>
  <si>
    <t>کد سبد 001168</t>
  </si>
  <si>
    <t>05415/</t>
  </si>
  <si>
    <t>کد سبد 001169</t>
  </si>
  <si>
    <t>01634/</t>
  </si>
  <si>
    <t>باغ طاووس آبی 6842</t>
  </si>
  <si>
    <t>0171/</t>
  </si>
  <si>
    <t>کد سبد 001170</t>
  </si>
  <si>
    <t>0566/</t>
  </si>
  <si>
    <t>01950/</t>
  </si>
  <si>
    <t>کد سبد 001171</t>
  </si>
  <si>
    <t>06437/</t>
  </si>
  <si>
    <t>05326/</t>
  </si>
  <si>
    <t>کد سبد 001172</t>
  </si>
  <si>
    <t>05283/</t>
  </si>
  <si>
    <t>کد سبد 001173</t>
  </si>
  <si>
    <t>01614/</t>
  </si>
  <si>
    <t>کد سبد 001174</t>
  </si>
  <si>
    <t>01080/</t>
  </si>
  <si>
    <t>پاپیون و گل کیوت 6770</t>
  </si>
  <si>
    <t>01632/</t>
  </si>
  <si>
    <t>کد سبد 001175</t>
  </si>
  <si>
    <t>03170/</t>
  </si>
  <si>
    <t>کد سبد 001176</t>
  </si>
  <si>
    <t>03179/</t>
  </si>
  <si>
    <t>05721/</t>
  </si>
  <si>
    <t>کد سبد 001177</t>
  </si>
  <si>
    <t>03496/</t>
  </si>
  <si>
    <t>کد سبد 001178</t>
  </si>
  <si>
    <t>05463/</t>
  </si>
  <si>
    <t>کد سبد 001179</t>
  </si>
  <si>
    <t>کد سبد 001180</t>
  </si>
  <si>
    <t>05212/</t>
  </si>
  <si>
    <t>کد سبد 001181</t>
  </si>
  <si>
    <t>توت فرنگی 5099</t>
  </si>
  <si>
    <t>07876/</t>
  </si>
  <si>
    <t>کد سبد 001182</t>
  </si>
  <si>
    <t>02732/</t>
  </si>
  <si>
    <t>کد سبد 001183</t>
  </si>
  <si>
    <t>پاپ آرت 2028</t>
  </si>
  <si>
    <t>08820/</t>
  </si>
  <si>
    <t>خرگوشی و پاپیون 6791</t>
  </si>
  <si>
    <t>0636/</t>
  </si>
  <si>
    <t>کد سبد 001184</t>
  </si>
  <si>
    <t>03194/</t>
  </si>
  <si>
    <t>کد سبد 001185</t>
  </si>
  <si>
    <t>0618/</t>
  </si>
  <si>
    <t>01265/</t>
  </si>
  <si>
    <t>کد سبد 001186</t>
  </si>
  <si>
    <t>پروانه رویایی صورتی 6675</t>
  </si>
  <si>
    <t>03186/</t>
  </si>
  <si>
    <t>05345/</t>
  </si>
  <si>
    <t>کد سبد 001187</t>
  </si>
  <si>
    <t>دایناسور 6194</t>
  </si>
  <si>
    <t>04057/</t>
  </si>
  <si>
    <t>شکوفه زار صورتی 6844</t>
  </si>
  <si>
    <t>کد سبد 001188</t>
  </si>
  <si>
    <t>پروانه 1030</t>
  </si>
  <si>
    <t>03334/</t>
  </si>
  <si>
    <t>کد سبد 001189</t>
  </si>
  <si>
    <t>01621/</t>
  </si>
  <si>
    <t>کد سبد 001190</t>
  </si>
  <si>
    <t>01097/</t>
  </si>
  <si>
    <t>گوچی گلدار 6752</t>
  </si>
  <si>
    <t>02605/</t>
  </si>
  <si>
    <t>کد سبد 001191</t>
  </si>
  <si>
    <t>کد سبد 001192</t>
  </si>
  <si>
    <t>کد سبد 001193</t>
  </si>
  <si>
    <t>05254/</t>
  </si>
  <si>
    <t>گل پینکورا 6890</t>
  </si>
  <si>
    <t>03156/</t>
  </si>
  <si>
    <t>کد سبد 001194</t>
  </si>
  <si>
    <t>فندی 4034</t>
  </si>
  <si>
    <t>02350/</t>
  </si>
  <si>
    <t>02351/</t>
  </si>
  <si>
    <t>کد سبد 001195</t>
  </si>
  <si>
    <t>06448/</t>
  </si>
  <si>
    <t>02135/</t>
  </si>
  <si>
    <t>کد سبد 001196</t>
  </si>
  <si>
    <t>هرمس ابی 6684</t>
  </si>
  <si>
    <t>02344/</t>
  </si>
  <si>
    <t>کد سبد 001197</t>
  </si>
  <si>
    <t>01617/</t>
  </si>
  <si>
    <t>شکوفه صورتی پودری 6864</t>
  </si>
  <si>
    <t>05408/</t>
  </si>
  <si>
    <t>کد سبد 001198</t>
  </si>
  <si>
    <t>05267/</t>
  </si>
  <si>
    <t>03185/</t>
  </si>
  <si>
    <t>کد سبد 001199</t>
  </si>
  <si>
    <t>03509/</t>
  </si>
  <si>
    <t>کد سبد 001200</t>
  </si>
  <si>
    <t>01610/</t>
  </si>
  <si>
    <t>کد سبد 001201</t>
  </si>
  <si>
    <t>02533/</t>
  </si>
  <si>
    <t>02904/</t>
  </si>
  <si>
    <t>کد سبد 001202</t>
  </si>
  <si>
    <t>03820/</t>
  </si>
  <si>
    <t>03126/</t>
  </si>
  <si>
    <t>کد سبد 001203</t>
  </si>
  <si>
    <t>08298/</t>
  </si>
  <si>
    <t>کاشی سنتی 4082</t>
  </si>
  <si>
    <t>کد سبد 001204</t>
  </si>
  <si>
    <t>00325/</t>
  </si>
  <si>
    <t>02801/</t>
  </si>
  <si>
    <t>کد سبد 001205</t>
  </si>
  <si>
    <t>گل 3080</t>
  </si>
  <si>
    <t>05231/</t>
  </si>
  <si>
    <t>0692/</t>
  </si>
  <si>
    <t>کد سبد 001206</t>
  </si>
  <si>
    <t>04025/</t>
  </si>
  <si>
    <t>کد سبد 001207</t>
  </si>
  <si>
    <t>0756/</t>
  </si>
  <si>
    <t>کد سبد 001208</t>
  </si>
  <si>
    <t>05640/</t>
  </si>
  <si>
    <t>05247/</t>
  </si>
  <si>
    <t>کد سبد 001209</t>
  </si>
  <si>
    <t>بابونه خالدار ابی 6394</t>
  </si>
  <si>
    <t>05251/</t>
  </si>
  <si>
    <t>کد سبد 001210</t>
  </si>
  <si>
    <t>05237/</t>
  </si>
  <si>
    <t>01746/</t>
  </si>
  <si>
    <t>کد سبد 001211</t>
  </si>
  <si>
    <t>پرنده لی لی 6693</t>
  </si>
  <si>
    <t>05769/</t>
  </si>
  <si>
    <t>کد سبد 001212</t>
  </si>
  <si>
    <t>074011/</t>
  </si>
  <si>
    <t>01623/</t>
  </si>
  <si>
    <t>کد سبد 001213</t>
  </si>
  <si>
    <t>هلو کیتی پاپیون گلبهی 6841</t>
  </si>
  <si>
    <t>05245/</t>
  </si>
  <si>
    <t>05194/</t>
  </si>
  <si>
    <t>کد سبد 001214</t>
  </si>
  <si>
    <t>03065/</t>
  </si>
  <si>
    <t>کد سبد 001215</t>
  </si>
  <si>
    <t>03614/</t>
  </si>
  <si>
    <t>03259/</t>
  </si>
  <si>
    <t>کد سبد 001216</t>
  </si>
  <si>
    <t>08845/</t>
  </si>
  <si>
    <t>05417/</t>
  </si>
  <si>
    <t>کد سبد 001217</t>
  </si>
  <si>
    <t>شکوفه ریز شکلاتی 6827</t>
  </si>
  <si>
    <t>02343/</t>
  </si>
  <si>
    <t>برون لاین فرندز شکلاتی 5093</t>
  </si>
  <si>
    <t>05339/</t>
  </si>
  <si>
    <t>کد سبد 001218</t>
  </si>
  <si>
    <t>02364/</t>
  </si>
  <si>
    <t>08413/</t>
  </si>
  <si>
    <t>کد سبد 001219</t>
  </si>
  <si>
    <t>03191/</t>
  </si>
  <si>
    <t>کد سبد 001220</t>
  </si>
  <si>
    <t>پرنده طلایی 6888</t>
  </si>
  <si>
    <t>03985/</t>
  </si>
  <si>
    <t>کد سبد 001221</t>
  </si>
  <si>
    <t>02184/</t>
  </si>
  <si>
    <t>09658/</t>
  </si>
  <si>
    <t>کد سبد 001222</t>
  </si>
  <si>
    <t>0554/</t>
  </si>
  <si>
    <t>03430/</t>
  </si>
  <si>
    <t>کد سبد 001223</t>
  </si>
  <si>
    <t>تدی لاین فرندز کرم 5062</t>
  </si>
  <si>
    <t>01451/</t>
  </si>
  <si>
    <t>0487/</t>
  </si>
  <si>
    <t>کد سبد 001224</t>
  </si>
  <si>
    <t>توت فرنگی 6362</t>
  </si>
  <si>
    <t>02355/</t>
  </si>
  <si>
    <t>05265/</t>
  </si>
  <si>
    <t>کد سبد 001225</t>
  </si>
  <si>
    <t>01810/</t>
  </si>
  <si>
    <t>05263/</t>
  </si>
  <si>
    <t>کد سبد 001226</t>
  </si>
  <si>
    <t>08547/</t>
  </si>
  <si>
    <t>کد سبد 001227</t>
  </si>
  <si>
    <t>03168/</t>
  </si>
  <si>
    <t>09856/</t>
  </si>
  <si>
    <t>کد سبد 001228</t>
  </si>
  <si>
    <t>اسکویت گیم 3055</t>
  </si>
  <si>
    <t>08802/</t>
  </si>
  <si>
    <t>شکوفه ماچا 6866</t>
  </si>
  <si>
    <t>01642/</t>
  </si>
  <si>
    <t>کد سبد 001229</t>
  </si>
  <si>
    <t>02055/</t>
  </si>
  <si>
    <t>کد سبد 001230</t>
  </si>
  <si>
    <t>02058/</t>
  </si>
  <si>
    <t>03173/</t>
  </si>
  <si>
    <t>کد سبد 001231</t>
  </si>
  <si>
    <t>06540/</t>
  </si>
  <si>
    <t>04042/</t>
  </si>
  <si>
    <t>کد سبد 001232</t>
  </si>
  <si>
    <t>01184/</t>
  </si>
  <si>
    <t>05235/</t>
  </si>
  <si>
    <t>کد سبد 001233</t>
  </si>
  <si>
    <t>01442/</t>
  </si>
  <si>
    <t>پرنده  یلدایی چیریکی  6764</t>
  </si>
  <si>
    <t>02749/</t>
  </si>
  <si>
    <t>کد سبد 001234</t>
  </si>
  <si>
    <t>01590/</t>
  </si>
  <si>
    <t>08569/</t>
  </si>
  <si>
    <t>کد سبد 001235</t>
  </si>
  <si>
    <t>06535/</t>
  </si>
  <si>
    <t>08141/</t>
  </si>
  <si>
    <t>کد سبد 001236</t>
  </si>
  <si>
    <t>05426/</t>
  </si>
  <si>
    <t>کد سبد 001237</t>
  </si>
  <si>
    <t>08523/</t>
  </si>
  <si>
    <t>کد سبد 001238</t>
  </si>
  <si>
    <t>04033/</t>
  </si>
  <si>
    <t>کد سبد 001239</t>
  </si>
  <si>
    <t>05253/</t>
  </si>
  <si>
    <t>06562/</t>
  </si>
  <si>
    <t>کد سبد 001240</t>
  </si>
  <si>
    <t>06685/</t>
  </si>
  <si>
    <t>02656/</t>
  </si>
  <si>
    <t>کد سبد 001241</t>
  </si>
  <si>
    <t>آلبالویی 7034</t>
  </si>
  <si>
    <t>02110/</t>
  </si>
  <si>
    <t>کد سبد 001242</t>
  </si>
  <si>
    <t>06527/</t>
  </si>
  <si>
    <t>پاپیون شکلانی 6833</t>
  </si>
  <si>
    <t>01109/</t>
  </si>
  <si>
    <t>کد سبد 001243</t>
  </si>
  <si>
    <t>02061/</t>
  </si>
  <si>
    <t>کد سبد 001244</t>
  </si>
  <si>
    <t>05258/</t>
  </si>
  <si>
    <t>01787/</t>
  </si>
  <si>
    <t>کد سبد 001245</t>
  </si>
  <si>
    <t>0878/</t>
  </si>
  <si>
    <t>کد سبد 001246</t>
  </si>
  <si>
    <t>04164/</t>
  </si>
  <si>
    <t>08745/</t>
  </si>
  <si>
    <t>کد سبد 001247</t>
  </si>
  <si>
    <t>پروانه پاپیونی 6782</t>
  </si>
  <si>
    <t>05230/</t>
  </si>
  <si>
    <t>بته جقه ایرانی 6677</t>
  </si>
  <si>
    <t>05248/</t>
  </si>
  <si>
    <t>کد سبد 001248</t>
  </si>
  <si>
    <t>01356/</t>
  </si>
  <si>
    <t>کد سبد 001249</t>
  </si>
  <si>
    <t>07519/</t>
  </si>
  <si>
    <t>دختر فرفری 6673</t>
  </si>
  <si>
    <t>کد سبد 001250</t>
  </si>
  <si>
    <t>07238/</t>
  </si>
  <si>
    <t>08965/</t>
  </si>
  <si>
    <t>کد سبد 001251</t>
  </si>
  <si>
    <t>01569/</t>
  </si>
  <si>
    <t>08754/</t>
  </si>
  <si>
    <t>کد سبد 001252</t>
  </si>
  <si>
    <t>گل نارنجی 6741</t>
  </si>
  <si>
    <t>01214/</t>
  </si>
  <si>
    <t>کد سبد 001253</t>
  </si>
  <si>
    <t>02066/</t>
  </si>
  <si>
    <t>پروانه و شکوفه 6818</t>
  </si>
  <si>
    <t>07845/</t>
  </si>
  <si>
    <t>کد سبد 001254</t>
  </si>
  <si>
    <t>06541/</t>
  </si>
  <si>
    <t>کد سبد 001255</t>
  </si>
  <si>
    <t>06542/</t>
  </si>
  <si>
    <t>01767/</t>
  </si>
  <si>
    <t>کد سبد 001256</t>
  </si>
  <si>
    <t>02754/</t>
  </si>
  <si>
    <t>کد سبد 001257</t>
  </si>
  <si>
    <t>0893/</t>
  </si>
  <si>
    <t>کد سبد 001258</t>
  </si>
  <si>
    <t>گکاشی گل ابی 6825</t>
  </si>
  <si>
    <t>01733/</t>
  </si>
  <si>
    <t>کد سبد 001259</t>
  </si>
  <si>
    <t>04062/</t>
  </si>
  <si>
    <t>کد سبد 001260</t>
  </si>
  <si>
    <t>03177/</t>
  </si>
  <si>
    <t>کد سبد 001261</t>
  </si>
  <si>
    <t>08568/</t>
  </si>
  <si>
    <t>کد سبد 001262</t>
  </si>
  <si>
    <t>03319/</t>
  </si>
  <si>
    <t>05885/</t>
  </si>
  <si>
    <t>کد سبد 001263</t>
  </si>
  <si>
    <t>03190/</t>
  </si>
  <si>
    <t>کد سبد 001264</t>
  </si>
  <si>
    <t>01541/</t>
  </si>
  <si>
    <t>05399/</t>
  </si>
  <si>
    <t>کد سبد 001265</t>
  </si>
  <si>
    <t>01199/</t>
  </si>
  <si>
    <t>05176/</t>
  </si>
  <si>
    <t>کد سبد 001266</t>
  </si>
  <si>
    <t>03321/</t>
  </si>
  <si>
    <t>05660/</t>
  </si>
  <si>
    <t>کد سبد 001267</t>
  </si>
  <si>
    <t>گیلاس مشکی 6715</t>
  </si>
  <si>
    <t>05865/</t>
  </si>
  <si>
    <t>02097/</t>
  </si>
  <si>
    <t>کد سبد 001268</t>
  </si>
  <si>
    <t>01376/</t>
  </si>
  <si>
    <t>02164/</t>
  </si>
  <si>
    <t>کد سبد 001269</t>
  </si>
  <si>
    <t>گل اسلیمی سرخ 6823</t>
  </si>
  <si>
    <t>05880/</t>
  </si>
  <si>
    <t>کد سبد 001270</t>
  </si>
  <si>
    <t>05642/</t>
  </si>
  <si>
    <t>02056/</t>
  </si>
  <si>
    <t>کد سبد 001271</t>
  </si>
  <si>
    <t>07841/</t>
  </si>
  <si>
    <t>05172/</t>
  </si>
  <si>
    <t>کد سبد 001272</t>
  </si>
  <si>
    <t>02322/</t>
  </si>
  <si>
    <t>کد سبد 001273</t>
  </si>
  <si>
    <t>گیلاس و بابونه 6746</t>
  </si>
  <si>
    <t>0974/</t>
  </si>
  <si>
    <t>03356/</t>
  </si>
  <si>
    <t>کد سبد 001274</t>
  </si>
  <si>
    <t>03381/</t>
  </si>
  <si>
    <t>دسنه گل کرمی 6781</t>
  </si>
  <si>
    <t>کد سبد 001275</t>
  </si>
  <si>
    <t>کد سبد 001276</t>
  </si>
  <si>
    <t>انیمه ای 6523</t>
  </si>
  <si>
    <t>05222/</t>
  </si>
  <si>
    <t>05655/</t>
  </si>
  <si>
    <t>کد سبد 001277</t>
  </si>
  <si>
    <t>شکوفه سبز 6879</t>
  </si>
  <si>
    <t>02933/</t>
  </si>
  <si>
    <t>کد سبد 001278</t>
  </si>
  <si>
    <t>05204/</t>
  </si>
  <si>
    <t>کد سبد 001279</t>
  </si>
  <si>
    <t>05352/</t>
  </si>
  <si>
    <t>04060/</t>
  </si>
  <si>
    <t>کد سبد 001280</t>
  </si>
  <si>
    <t>08665/</t>
  </si>
  <si>
    <t>05356/</t>
  </si>
  <si>
    <t>کد سبد 001281</t>
  </si>
  <si>
    <t>03308/</t>
  </si>
  <si>
    <t>05396/</t>
  </si>
  <si>
    <t>کد سبد 001282</t>
  </si>
  <si>
    <t>0533/</t>
  </si>
  <si>
    <t>کد سبد 001283</t>
  </si>
  <si>
    <t>0965/</t>
  </si>
  <si>
    <t>03511/</t>
  </si>
  <si>
    <t>کد سبد 001284</t>
  </si>
  <si>
    <t>02063/</t>
  </si>
  <si>
    <t>05238/</t>
  </si>
  <si>
    <t>کد سبد 001285</t>
  </si>
  <si>
    <t>01643/</t>
  </si>
  <si>
    <t>پترن چیریکی 7002</t>
  </si>
  <si>
    <t>05871/</t>
  </si>
  <si>
    <t>کد سبد 001286</t>
  </si>
  <si>
    <t>5152/</t>
  </si>
  <si>
    <t>کد سبد 001287</t>
  </si>
  <si>
    <t>05226/</t>
  </si>
  <si>
    <t>03307/</t>
  </si>
  <si>
    <t>کد سبد 001288</t>
  </si>
  <si>
    <t>05891/</t>
  </si>
  <si>
    <t>03522/</t>
  </si>
  <si>
    <t>کد سبد 001289</t>
  </si>
  <si>
    <t>02314/</t>
  </si>
  <si>
    <t>05510/</t>
  </si>
  <si>
    <t>کد سبد 001290</t>
  </si>
  <si>
    <t>لیمو و طوطی 6859</t>
  </si>
  <si>
    <t>03309/</t>
  </si>
  <si>
    <t>کد سبد 001291</t>
  </si>
  <si>
    <t>باغ  هزار گل سورمه ای 6836</t>
  </si>
  <si>
    <t>05701/</t>
  </si>
  <si>
    <t>1..29</t>
  </si>
  <si>
    <t>کد سبد 001292</t>
  </si>
  <si>
    <t>06534/</t>
  </si>
  <si>
    <t>کد سبد 001293</t>
  </si>
  <si>
    <t>06895/</t>
  </si>
  <si>
    <t>05421/</t>
  </si>
  <si>
    <t>کد سبد 001294</t>
  </si>
  <si>
    <t>05199/</t>
  </si>
  <si>
    <t>کد سبد 001295</t>
  </si>
  <si>
    <t>06127/</t>
  </si>
  <si>
    <t>02762/</t>
  </si>
  <si>
    <t>کد سبد 001296</t>
  </si>
  <si>
    <t>05522/</t>
  </si>
  <si>
    <t>0748/</t>
  </si>
  <si>
    <t>کد سبد 001297</t>
  </si>
  <si>
    <t>02327/</t>
  </si>
  <si>
    <t>0562/</t>
  </si>
  <si>
    <t>کد سبد 001298</t>
  </si>
  <si>
    <t>05631/</t>
  </si>
  <si>
    <t>کد سبد 001299</t>
  </si>
  <si>
    <t>05391/</t>
  </si>
  <si>
    <t>کد سبد 001300</t>
  </si>
  <si>
    <t>پاپیون صورتی 6691</t>
  </si>
  <si>
    <t>02313/</t>
  </si>
  <si>
    <t>آلبالو 2015</t>
  </si>
  <si>
    <t>05712/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</si>
</sst>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_);_(* \(#,##0\);_(* &quot;-&quot;??_);_(@_)"/>
    <numFmt numFmtId="165" formatCode="00000"/>
  </numFmts>
  <fonts count="9" x14ac:knownFonts="1">
    <font>
      <sz val="10"/>
      <color rgb="FF000000"/>
      <name val="Arial"/>
      <scheme val="minor"/>
    </font>
    <font>
      <sz val="20"/>
      <color theme="1"/>
      <name val="Calibri"/>
    </font>
    <font>
      <sz val="10"/>
      <name val="Arial"/>
    </font>
    <font>
      <sz val="11"/>
      <color theme="1"/>
      <name val="Calibri"/>
    </font>
    <font>
      <sz val="10"/>
      <color theme="1"/>
      <name val="Arial"/>
    </font>
    <font>
      <sz val="14"/>
      <color theme="1"/>
      <name val="Calibri"/>
    </font>
    <font>
      <sz val="12"/>
      <color theme="1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3D6D6"/>
        <bgColor rgb="FFF3D6D6"/>
      </patternFill>
    </fill>
    <fill>
      <patternFill patternType="solid">
        <fgColor rgb="FFCFE0F4"/>
        <bgColor rgb="FFCFE0F4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D9E7F6"/>
        <bgColor rgb="FFD9E7F6"/>
      </patternFill>
    </fill>
    <fill>
      <patternFill patternType="solid">
        <fgColor rgb="FFB7E1A1"/>
        <bgColor rgb="FFB7E1A1"/>
      </patternFill>
    </fill>
  </fills>
  <borders count="6">
    <border>
      <left/>
      <right/>
      <top/>
      <bottom/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/>
    <xf numFmtId="0" fontId="5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4" fillId="3" borderId="4" xfId="0" applyFont="1" applyFill="1" applyBorder="1"/>
    <xf numFmtId="0" fontId="1" fillId="0" borderId="4" xfId="0" applyFont="1" applyBorder="1" applyAlignment="1">
      <alignment horizontal="center"/>
    </xf>
    <xf numFmtId="0" fontId="7" fillId="0" borderId="0" xfId="0" applyFont="1"/>
    <xf numFmtId="0" fontId="3" fillId="4" borderId="0" xfId="0" applyFont="1" applyFill="1" applyAlignment="1">
      <alignment horizontal="right"/>
    </xf>
    <xf numFmtId="164" fontId="5" fillId="0" borderId="5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4" fillId="0" borderId="4" xfId="0" applyFont="1" applyBorder="1"/>
    <xf numFmtId="165" fontId="3" fillId="4" borderId="0" xfId="0" applyNumberFormat="1" applyFont="1" applyFill="1"/>
    <xf numFmtId="0" fontId="3" fillId="5" borderId="0" xfId="0" applyFont="1" applyFill="1" applyAlignment="1">
      <alignment horizontal="right"/>
    </xf>
    <xf numFmtId="164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3" fontId="1" fillId="6" borderId="4" xfId="0" applyNumberFormat="1" applyFont="1" applyFill="1" applyBorder="1" applyAlignment="1">
      <alignment horizontal="center"/>
    </xf>
    <xf numFmtId="3" fontId="1" fillId="7" borderId="4" xfId="0" applyNumberFormat="1" applyFont="1" applyFill="1" applyBorder="1" applyAlignment="1">
      <alignment horizontal="center"/>
    </xf>
    <xf numFmtId="165" fontId="3" fillId="5" borderId="0" xfId="0" applyNumberFormat="1" applyFont="1" applyFill="1"/>
    <xf numFmtId="0" fontId="4" fillId="4" borderId="0" xfId="0" applyFont="1" applyFill="1"/>
    <xf numFmtId="165" fontId="4" fillId="4" borderId="0" xfId="0" applyNumberFormat="1" applyFont="1" applyFill="1"/>
    <xf numFmtId="0" fontId="4" fillId="5" borderId="0" xfId="0" applyFont="1" applyFill="1"/>
    <xf numFmtId="165" fontId="4" fillId="5" borderId="0" xfId="0" applyNumberFormat="1" applyFont="1" applyFill="1"/>
    <xf numFmtId="0" fontId="8" fillId="0" borderId="0" xfId="0" applyFont="1"/>
    <xf numFmtId="0" fontId="1" fillId="7" borderId="1" xfId="0" applyFont="1" applyFill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right"/>
    </xf>
    <xf numFmtId="0" fontId="1" fillId="7" borderId="3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right"/>
    </xf>
    <xf numFmtId="0" fontId="1" fillId="6" borderId="3" xfId="0" applyFont="1" applyFill="1" applyBorder="1" applyAlignment="1">
      <alignment horizontal="right"/>
    </xf>
  </cellXfs>
  <cellStyles count="1">
    <cellStyle name="Normal" xfId="0" builtinId="0"/>
  </cellStyles>
  <dxfs count="800"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</dxfs>
  <tableStyles count="400">
    <tableStyle name="Sheet1-style" pivot="0" count="2" xr9:uid="{00000000-0011-0000-FFFF-FFFF00000000}">
      <tableStyleElement type="firstRowStripe" dxfId="799"/>
      <tableStyleElement type="secondRowStripe" dxfId="798"/>
    </tableStyle>
    <tableStyle name="Sheet1-style 2" pivot="0" count="2" xr9:uid="{00000000-0011-0000-FFFF-FFFF01000000}">
      <tableStyleElement type="firstRowStripe" dxfId="797"/>
      <tableStyleElement type="secondRowStripe" dxfId="796"/>
    </tableStyle>
    <tableStyle name="Sheet1-style 3" pivot="0" count="2" xr9:uid="{00000000-0011-0000-FFFF-FFFF02000000}">
      <tableStyleElement type="firstRowStripe" dxfId="795"/>
      <tableStyleElement type="secondRowStripe" dxfId="794"/>
    </tableStyle>
    <tableStyle name="Sheet1-style 4" pivot="0" count="2" xr9:uid="{00000000-0011-0000-FFFF-FFFF03000000}">
      <tableStyleElement type="firstRowStripe" dxfId="793"/>
      <tableStyleElement type="secondRowStripe" dxfId="792"/>
    </tableStyle>
    <tableStyle name="Sheet1-style 5" pivot="0" count="2" xr9:uid="{00000000-0011-0000-FFFF-FFFF04000000}">
      <tableStyleElement type="firstRowStripe" dxfId="791"/>
      <tableStyleElement type="secondRowStripe" dxfId="790"/>
    </tableStyle>
    <tableStyle name="Sheet1-style 6" pivot="0" count="2" xr9:uid="{00000000-0011-0000-FFFF-FFFF05000000}">
      <tableStyleElement type="firstRowStripe" dxfId="789"/>
      <tableStyleElement type="secondRowStripe" dxfId="788"/>
    </tableStyle>
    <tableStyle name="Sheet1-style 7" pivot="0" count="2" xr9:uid="{00000000-0011-0000-FFFF-FFFF06000000}">
      <tableStyleElement type="firstRowStripe" dxfId="787"/>
      <tableStyleElement type="secondRowStripe" dxfId="786"/>
    </tableStyle>
    <tableStyle name="Sheet1-style 8" pivot="0" count="2" xr9:uid="{00000000-0011-0000-FFFF-FFFF07000000}">
      <tableStyleElement type="firstRowStripe" dxfId="785"/>
      <tableStyleElement type="secondRowStripe" dxfId="784"/>
    </tableStyle>
    <tableStyle name="Sheet1-style 9" pivot="0" count="2" xr9:uid="{00000000-0011-0000-FFFF-FFFF08000000}">
      <tableStyleElement type="firstRowStripe" dxfId="783"/>
      <tableStyleElement type="secondRowStripe" dxfId="782"/>
    </tableStyle>
    <tableStyle name="Sheet1-style 10" pivot="0" count="2" xr9:uid="{00000000-0011-0000-FFFF-FFFF09000000}">
      <tableStyleElement type="firstRowStripe" dxfId="781"/>
      <tableStyleElement type="secondRowStripe" dxfId="780"/>
    </tableStyle>
    <tableStyle name="Sheet1-style 11" pivot="0" count="2" xr9:uid="{00000000-0011-0000-FFFF-FFFF0A000000}">
      <tableStyleElement type="firstRowStripe" dxfId="779"/>
      <tableStyleElement type="secondRowStripe" dxfId="778"/>
    </tableStyle>
    <tableStyle name="Sheet1-style 12" pivot="0" count="2" xr9:uid="{00000000-0011-0000-FFFF-FFFF0B000000}">
      <tableStyleElement type="firstRowStripe" dxfId="777"/>
      <tableStyleElement type="secondRowStripe" dxfId="776"/>
    </tableStyle>
    <tableStyle name="Sheet1-style 13" pivot="0" count="2" xr9:uid="{00000000-0011-0000-FFFF-FFFF0C000000}">
      <tableStyleElement type="firstRowStripe" dxfId="775"/>
      <tableStyleElement type="secondRowStripe" dxfId="774"/>
    </tableStyle>
    <tableStyle name="Sheet1-style 14" pivot="0" count="2" xr9:uid="{00000000-0011-0000-FFFF-FFFF0D000000}">
      <tableStyleElement type="firstRowStripe" dxfId="773"/>
      <tableStyleElement type="secondRowStripe" dxfId="772"/>
    </tableStyle>
    <tableStyle name="Sheet1-style 15" pivot="0" count="2" xr9:uid="{00000000-0011-0000-FFFF-FFFF0E000000}">
      <tableStyleElement type="firstRowStripe" dxfId="771"/>
      <tableStyleElement type="secondRowStripe" dxfId="770"/>
    </tableStyle>
    <tableStyle name="Sheet1-style 16" pivot="0" count="2" xr9:uid="{00000000-0011-0000-FFFF-FFFF0F000000}">
      <tableStyleElement type="firstRowStripe" dxfId="769"/>
      <tableStyleElement type="secondRowStripe" dxfId="768"/>
    </tableStyle>
    <tableStyle name="Sheet1-style 17" pivot="0" count="2" xr9:uid="{00000000-0011-0000-FFFF-FFFF10000000}">
      <tableStyleElement type="firstRowStripe" dxfId="767"/>
      <tableStyleElement type="secondRowStripe" dxfId="766"/>
    </tableStyle>
    <tableStyle name="Sheet1-style 18" pivot="0" count="2" xr9:uid="{00000000-0011-0000-FFFF-FFFF11000000}">
      <tableStyleElement type="firstRowStripe" dxfId="765"/>
      <tableStyleElement type="secondRowStripe" dxfId="764"/>
    </tableStyle>
    <tableStyle name="Sheet1-style 19" pivot="0" count="2" xr9:uid="{00000000-0011-0000-FFFF-FFFF12000000}">
      <tableStyleElement type="firstRowStripe" dxfId="763"/>
      <tableStyleElement type="secondRowStripe" dxfId="762"/>
    </tableStyle>
    <tableStyle name="Sheet1-style 20" pivot="0" count="2" xr9:uid="{00000000-0011-0000-FFFF-FFFF13000000}">
      <tableStyleElement type="firstRowStripe" dxfId="761"/>
      <tableStyleElement type="secondRowStripe" dxfId="760"/>
    </tableStyle>
    <tableStyle name="Sheet1-style 21" pivot="0" count="2" xr9:uid="{00000000-0011-0000-FFFF-FFFF14000000}">
      <tableStyleElement type="firstRowStripe" dxfId="759"/>
      <tableStyleElement type="secondRowStripe" dxfId="758"/>
    </tableStyle>
    <tableStyle name="Sheet1-style 22" pivot="0" count="2" xr9:uid="{00000000-0011-0000-FFFF-FFFF15000000}">
      <tableStyleElement type="firstRowStripe" dxfId="757"/>
      <tableStyleElement type="secondRowStripe" dxfId="756"/>
    </tableStyle>
    <tableStyle name="Sheet1-style 23" pivot="0" count="2" xr9:uid="{00000000-0011-0000-FFFF-FFFF16000000}">
      <tableStyleElement type="firstRowStripe" dxfId="755"/>
      <tableStyleElement type="secondRowStripe" dxfId="754"/>
    </tableStyle>
    <tableStyle name="Sheet1-style 24" pivot="0" count="2" xr9:uid="{00000000-0011-0000-FFFF-FFFF17000000}">
      <tableStyleElement type="firstRowStripe" dxfId="753"/>
      <tableStyleElement type="secondRowStripe" dxfId="752"/>
    </tableStyle>
    <tableStyle name="Sheet1-style 25" pivot="0" count="2" xr9:uid="{00000000-0011-0000-FFFF-FFFF18000000}">
      <tableStyleElement type="firstRowStripe" dxfId="751"/>
      <tableStyleElement type="secondRowStripe" dxfId="750"/>
    </tableStyle>
    <tableStyle name="Sheet1-style 26" pivot="0" count="2" xr9:uid="{00000000-0011-0000-FFFF-FFFF19000000}">
      <tableStyleElement type="firstRowStripe" dxfId="749"/>
      <tableStyleElement type="secondRowStripe" dxfId="748"/>
    </tableStyle>
    <tableStyle name="Sheet1-style 27" pivot="0" count="2" xr9:uid="{00000000-0011-0000-FFFF-FFFF1A000000}">
      <tableStyleElement type="firstRowStripe" dxfId="747"/>
      <tableStyleElement type="secondRowStripe" dxfId="746"/>
    </tableStyle>
    <tableStyle name="Sheet1-style 28" pivot="0" count="2" xr9:uid="{00000000-0011-0000-FFFF-FFFF1B000000}">
      <tableStyleElement type="firstRowStripe" dxfId="745"/>
      <tableStyleElement type="secondRowStripe" dxfId="744"/>
    </tableStyle>
    <tableStyle name="Sheet1-style 29" pivot="0" count="2" xr9:uid="{00000000-0011-0000-FFFF-FFFF1C000000}">
      <tableStyleElement type="firstRowStripe" dxfId="743"/>
      <tableStyleElement type="secondRowStripe" dxfId="742"/>
    </tableStyle>
    <tableStyle name="Sheet1-style 30" pivot="0" count="2" xr9:uid="{00000000-0011-0000-FFFF-FFFF1D000000}">
      <tableStyleElement type="firstRowStripe" dxfId="741"/>
      <tableStyleElement type="secondRowStripe" dxfId="740"/>
    </tableStyle>
    <tableStyle name="Sheet1-style 31" pivot="0" count="2" xr9:uid="{00000000-0011-0000-FFFF-FFFF1E000000}">
      <tableStyleElement type="firstRowStripe" dxfId="739"/>
      <tableStyleElement type="secondRowStripe" dxfId="738"/>
    </tableStyle>
    <tableStyle name="Sheet1-style 32" pivot="0" count="2" xr9:uid="{00000000-0011-0000-FFFF-FFFF1F000000}">
      <tableStyleElement type="firstRowStripe" dxfId="737"/>
      <tableStyleElement type="secondRowStripe" dxfId="736"/>
    </tableStyle>
    <tableStyle name="Sheet1-style 33" pivot="0" count="2" xr9:uid="{00000000-0011-0000-FFFF-FFFF20000000}">
      <tableStyleElement type="firstRowStripe" dxfId="735"/>
      <tableStyleElement type="secondRowStripe" dxfId="734"/>
    </tableStyle>
    <tableStyle name="Sheet1-style 34" pivot="0" count="2" xr9:uid="{00000000-0011-0000-FFFF-FFFF21000000}">
      <tableStyleElement type="firstRowStripe" dxfId="733"/>
      <tableStyleElement type="secondRowStripe" dxfId="732"/>
    </tableStyle>
    <tableStyle name="Sheet1-style 35" pivot="0" count="2" xr9:uid="{00000000-0011-0000-FFFF-FFFF22000000}">
      <tableStyleElement type="firstRowStripe" dxfId="731"/>
      <tableStyleElement type="secondRowStripe" dxfId="730"/>
    </tableStyle>
    <tableStyle name="Sheet1-style 36" pivot="0" count="2" xr9:uid="{00000000-0011-0000-FFFF-FFFF23000000}">
      <tableStyleElement type="firstRowStripe" dxfId="729"/>
      <tableStyleElement type="secondRowStripe" dxfId="728"/>
    </tableStyle>
    <tableStyle name="Sheet1-style 37" pivot="0" count="2" xr9:uid="{00000000-0011-0000-FFFF-FFFF24000000}">
      <tableStyleElement type="firstRowStripe" dxfId="727"/>
      <tableStyleElement type="secondRowStripe" dxfId="726"/>
    </tableStyle>
    <tableStyle name="Sheet1-style 38" pivot="0" count="2" xr9:uid="{00000000-0011-0000-FFFF-FFFF25000000}">
      <tableStyleElement type="firstRowStripe" dxfId="725"/>
      <tableStyleElement type="secondRowStripe" dxfId="724"/>
    </tableStyle>
    <tableStyle name="Sheet1-style 39" pivot="0" count="2" xr9:uid="{00000000-0011-0000-FFFF-FFFF26000000}">
      <tableStyleElement type="firstRowStripe" dxfId="723"/>
      <tableStyleElement type="secondRowStripe" dxfId="722"/>
    </tableStyle>
    <tableStyle name="Sheet1-style 40" pivot="0" count="2" xr9:uid="{00000000-0011-0000-FFFF-FFFF27000000}">
      <tableStyleElement type="firstRowStripe" dxfId="721"/>
      <tableStyleElement type="secondRowStripe" dxfId="720"/>
    </tableStyle>
    <tableStyle name="Sheet1-style 41" pivot="0" count="2" xr9:uid="{00000000-0011-0000-FFFF-FFFF28000000}">
      <tableStyleElement type="firstRowStripe" dxfId="719"/>
      <tableStyleElement type="secondRowStripe" dxfId="718"/>
    </tableStyle>
    <tableStyle name="Sheet1-style 42" pivot="0" count="2" xr9:uid="{00000000-0011-0000-FFFF-FFFF29000000}">
      <tableStyleElement type="firstRowStripe" dxfId="717"/>
      <tableStyleElement type="secondRowStripe" dxfId="716"/>
    </tableStyle>
    <tableStyle name="Sheet1-style 43" pivot="0" count="2" xr9:uid="{00000000-0011-0000-FFFF-FFFF2A000000}">
      <tableStyleElement type="firstRowStripe" dxfId="715"/>
      <tableStyleElement type="secondRowStripe" dxfId="714"/>
    </tableStyle>
    <tableStyle name="Sheet1-style 44" pivot="0" count="2" xr9:uid="{00000000-0011-0000-FFFF-FFFF2B000000}">
      <tableStyleElement type="firstRowStripe" dxfId="713"/>
      <tableStyleElement type="secondRowStripe" dxfId="712"/>
    </tableStyle>
    <tableStyle name="Sheet1-style 45" pivot="0" count="2" xr9:uid="{00000000-0011-0000-FFFF-FFFF2C000000}">
      <tableStyleElement type="firstRowStripe" dxfId="711"/>
      <tableStyleElement type="secondRowStripe" dxfId="710"/>
    </tableStyle>
    <tableStyle name="Sheet1-style 46" pivot="0" count="2" xr9:uid="{00000000-0011-0000-FFFF-FFFF2D000000}">
      <tableStyleElement type="firstRowStripe" dxfId="709"/>
      <tableStyleElement type="secondRowStripe" dxfId="708"/>
    </tableStyle>
    <tableStyle name="Sheet1-style 47" pivot="0" count="2" xr9:uid="{00000000-0011-0000-FFFF-FFFF2E000000}">
      <tableStyleElement type="firstRowStripe" dxfId="707"/>
      <tableStyleElement type="secondRowStripe" dxfId="706"/>
    </tableStyle>
    <tableStyle name="Sheet1-style 48" pivot="0" count="2" xr9:uid="{00000000-0011-0000-FFFF-FFFF2F000000}">
      <tableStyleElement type="firstRowStripe" dxfId="705"/>
      <tableStyleElement type="secondRowStripe" dxfId="704"/>
    </tableStyle>
    <tableStyle name="Sheet1-style 49" pivot="0" count="2" xr9:uid="{00000000-0011-0000-FFFF-FFFF30000000}">
      <tableStyleElement type="firstRowStripe" dxfId="703"/>
      <tableStyleElement type="secondRowStripe" dxfId="702"/>
    </tableStyle>
    <tableStyle name="Sheet1-style 50" pivot="0" count="2" xr9:uid="{00000000-0011-0000-FFFF-FFFF31000000}">
      <tableStyleElement type="firstRowStripe" dxfId="701"/>
      <tableStyleElement type="secondRowStripe" dxfId="700"/>
    </tableStyle>
    <tableStyle name="Sheet1-style 51" pivot="0" count="2" xr9:uid="{00000000-0011-0000-FFFF-FFFF32000000}">
      <tableStyleElement type="firstRowStripe" dxfId="699"/>
      <tableStyleElement type="secondRowStripe" dxfId="698"/>
    </tableStyle>
    <tableStyle name="Sheet1-style 52" pivot="0" count="2" xr9:uid="{00000000-0011-0000-FFFF-FFFF33000000}">
      <tableStyleElement type="firstRowStripe" dxfId="697"/>
      <tableStyleElement type="secondRowStripe" dxfId="696"/>
    </tableStyle>
    <tableStyle name="Sheet1-style 53" pivot="0" count="2" xr9:uid="{00000000-0011-0000-FFFF-FFFF34000000}">
      <tableStyleElement type="firstRowStripe" dxfId="695"/>
      <tableStyleElement type="secondRowStripe" dxfId="694"/>
    </tableStyle>
    <tableStyle name="Sheet1-style 54" pivot="0" count="2" xr9:uid="{00000000-0011-0000-FFFF-FFFF35000000}">
      <tableStyleElement type="firstRowStripe" dxfId="693"/>
      <tableStyleElement type="secondRowStripe" dxfId="692"/>
    </tableStyle>
    <tableStyle name="Sheet1-style 55" pivot="0" count="2" xr9:uid="{00000000-0011-0000-FFFF-FFFF36000000}">
      <tableStyleElement type="firstRowStripe" dxfId="691"/>
      <tableStyleElement type="secondRowStripe" dxfId="690"/>
    </tableStyle>
    <tableStyle name="Sheet1-style 56" pivot="0" count="2" xr9:uid="{00000000-0011-0000-FFFF-FFFF37000000}">
      <tableStyleElement type="firstRowStripe" dxfId="689"/>
      <tableStyleElement type="secondRowStripe" dxfId="688"/>
    </tableStyle>
    <tableStyle name="Sheet1-style 57" pivot="0" count="2" xr9:uid="{00000000-0011-0000-FFFF-FFFF38000000}">
      <tableStyleElement type="firstRowStripe" dxfId="687"/>
      <tableStyleElement type="secondRowStripe" dxfId="686"/>
    </tableStyle>
    <tableStyle name="Sheet1-style 58" pivot="0" count="2" xr9:uid="{00000000-0011-0000-FFFF-FFFF39000000}">
      <tableStyleElement type="firstRowStripe" dxfId="685"/>
      <tableStyleElement type="secondRowStripe" dxfId="684"/>
    </tableStyle>
    <tableStyle name="Sheet1-style 59" pivot="0" count="2" xr9:uid="{00000000-0011-0000-FFFF-FFFF3A000000}">
      <tableStyleElement type="firstRowStripe" dxfId="683"/>
      <tableStyleElement type="secondRowStripe" dxfId="682"/>
    </tableStyle>
    <tableStyle name="Sheet1-style 60" pivot="0" count="2" xr9:uid="{00000000-0011-0000-FFFF-FFFF3B000000}">
      <tableStyleElement type="firstRowStripe" dxfId="681"/>
      <tableStyleElement type="secondRowStripe" dxfId="680"/>
    </tableStyle>
    <tableStyle name="Sheet1-style 61" pivot="0" count="2" xr9:uid="{00000000-0011-0000-FFFF-FFFF3C000000}">
      <tableStyleElement type="firstRowStripe" dxfId="679"/>
      <tableStyleElement type="secondRowStripe" dxfId="678"/>
    </tableStyle>
    <tableStyle name="Sheet1-style 62" pivot="0" count="2" xr9:uid="{00000000-0011-0000-FFFF-FFFF3D000000}">
      <tableStyleElement type="firstRowStripe" dxfId="677"/>
      <tableStyleElement type="secondRowStripe" dxfId="676"/>
    </tableStyle>
    <tableStyle name="Sheet1-style 63" pivot="0" count="2" xr9:uid="{00000000-0011-0000-FFFF-FFFF3E000000}">
      <tableStyleElement type="firstRowStripe" dxfId="675"/>
      <tableStyleElement type="secondRowStripe" dxfId="674"/>
    </tableStyle>
    <tableStyle name="Sheet1-style 64" pivot="0" count="2" xr9:uid="{00000000-0011-0000-FFFF-FFFF3F000000}">
      <tableStyleElement type="firstRowStripe" dxfId="673"/>
      <tableStyleElement type="secondRowStripe" dxfId="672"/>
    </tableStyle>
    <tableStyle name="Sheet1-style 65" pivot="0" count="2" xr9:uid="{00000000-0011-0000-FFFF-FFFF40000000}">
      <tableStyleElement type="firstRowStripe" dxfId="671"/>
      <tableStyleElement type="secondRowStripe" dxfId="670"/>
    </tableStyle>
    <tableStyle name="Sheet1-style 66" pivot="0" count="2" xr9:uid="{00000000-0011-0000-FFFF-FFFF41000000}">
      <tableStyleElement type="firstRowStripe" dxfId="669"/>
      <tableStyleElement type="secondRowStripe" dxfId="668"/>
    </tableStyle>
    <tableStyle name="Sheet1-style 67" pivot="0" count="2" xr9:uid="{00000000-0011-0000-FFFF-FFFF42000000}">
      <tableStyleElement type="firstRowStripe" dxfId="667"/>
      <tableStyleElement type="secondRowStripe" dxfId="666"/>
    </tableStyle>
    <tableStyle name="Sheet1-style 68" pivot="0" count="2" xr9:uid="{00000000-0011-0000-FFFF-FFFF43000000}">
      <tableStyleElement type="firstRowStripe" dxfId="665"/>
      <tableStyleElement type="secondRowStripe" dxfId="664"/>
    </tableStyle>
    <tableStyle name="Sheet1-style 69" pivot="0" count="2" xr9:uid="{00000000-0011-0000-FFFF-FFFF44000000}">
      <tableStyleElement type="firstRowStripe" dxfId="663"/>
      <tableStyleElement type="secondRowStripe" dxfId="662"/>
    </tableStyle>
    <tableStyle name="Sheet1-style 70" pivot="0" count="2" xr9:uid="{00000000-0011-0000-FFFF-FFFF45000000}">
      <tableStyleElement type="firstRowStripe" dxfId="661"/>
      <tableStyleElement type="secondRowStripe" dxfId="660"/>
    </tableStyle>
    <tableStyle name="Sheet1-style 71" pivot="0" count="2" xr9:uid="{00000000-0011-0000-FFFF-FFFF46000000}">
      <tableStyleElement type="firstRowStripe" dxfId="659"/>
      <tableStyleElement type="secondRowStripe" dxfId="658"/>
    </tableStyle>
    <tableStyle name="Sheet1-style 72" pivot="0" count="2" xr9:uid="{00000000-0011-0000-FFFF-FFFF47000000}">
      <tableStyleElement type="firstRowStripe" dxfId="657"/>
      <tableStyleElement type="secondRowStripe" dxfId="656"/>
    </tableStyle>
    <tableStyle name="Sheet1-style 73" pivot="0" count="2" xr9:uid="{00000000-0011-0000-FFFF-FFFF48000000}">
      <tableStyleElement type="firstRowStripe" dxfId="655"/>
      <tableStyleElement type="secondRowStripe" dxfId="654"/>
    </tableStyle>
    <tableStyle name="Sheet1-style 74" pivot="0" count="2" xr9:uid="{00000000-0011-0000-FFFF-FFFF49000000}">
      <tableStyleElement type="firstRowStripe" dxfId="653"/>
      <tableStyleElement type="secondRowStripe" dxfId="652"/>
    </tableStyle>
    <tableStyle name="Sheet1-style 75" pivot="0" count="2" xr9:uid="{00000000-0011-0000-FFFF-FFFF4A000000}">
      <tableStyleElement type="firstRowStripe" dxfId="651"/>
      <tableStyleElement type="secondRowStripe" dxfId="650"/>
    </tableStyle>
    <tableStyle name="Sheet1-style 76" pivot="0" count="2" xr9:uid="{00000000-0011-0000-FFFF-FFFF4B000000}">
      <tableStyleElement type="firstRowStripe" dxfId="649"/>
      <tableStyleElement type="secondRowStripe" dxfId="648"/>
    </tableStyle>
    <tableStyle name="Sheet1-style 77" pivot="0" count="2" xr9:uid="{00000000-0011-0000-FFFF-FFFF4C000000}">
      <tableStyleElement type="firstRowStripe" dxfId="647"/>
      <tableStyleElement type="secondRowStripe" dxfId="646"/>
    </tableStyle>
    <tableStyle name="Sheet1-style 78" pivot="0" count="2" xr9:uid="{00000000-0011-0000-FFFF-FFFF4D000000}">
      <tableStyleElement type="firstRowStripe" dxfId="645"/>
      <tableStyleElement type="secondRowStripe" dxfId="644"/>
    </tableStyle>
    <tableStyle name="Sheet1-style 79" pivot="0" count="2" xr9:uid="{00000000-0011-0000-FFFF-FFFF4E000000}">
      <tableStyleElement type="firstRowStripe" dxfId="643"/>
      <tableStyleElement type="secondRowStripe" dxfId="642"/>
    </tableStyle>
    <tableStyle name="Sheet1-style 80" pivot="0" count="2" xr9:uid="{00000000-0011-0000-FFFF-FFFF4F000000}">
      <tableStyleElement type="firstRowStripe" dxfId="641"/>
      <tableStyleElement type="secondRowStripe" dxfId="640"/>
    </tableStyle>
    <tableStyle name="Sheet1-style 81" pivot="0" count="2" xr9:uid="{00000000-0011-0000-FFFF-FFFF50000000}">
      <tableStyleElement type="firstRowStripe" dxfId="639"/>
      <tableStyleElement type="secondRowStripe" dxfId="638"/>
    </tableStyle>
    <tableStyle name="Sheet1-style 82" pivot="0" count="2" xr9:uid="{00000000-0011-0000-FFFF-FFFF51000000}">
      <tableStyleElement type="firstRowStripe" dxfId="637"/>
      <tableStyleElement type="secondRowStripe" dxfId="636"/>
    </tableStyle>
    <tableStyle name="Sheet1-style 83" pivot="0" count="2" xr9:uid="{00000000-0011-0000-FFFF-FFFF52000000}">
      <tableStyleElement type="firstRowStripe" dxfId="635"/>
      <tableStyleElement type="secondRowStripe" dxfId="634"/>
    </tableStyle>
    <tableStyle name="Sheet1-style 84" pivot="0" count="2" xr9:uid="{00000000-0011-0000-FFFF-FFFF53000000}">
      <tableStyleElement type="firstRowStripe" dxfId="633"/>
      <tableStyleElement type="secondRowStripe" dxfId="632"/>
    </tableStyle>
    <tableStyle name="Sheet1-style 85" pivot="0" count="2" xr9:uid="{00000000-0011-0000-FFFF-FFFF54000000}">
      <tableStyleElement type="firstRowStripe" dxfId="631"/>
      <tableStyleElement type="secondRowStripe" dxfId="630"/>
    </tableStyle>
    <tableStyle name="Sheet1-style 86" pivot="0" count="2" xr9:uid="{00000000-0011-0000-FFFF-FFFF55000000}">
      <tableStyleElement type="firstRowStripe" dxfId="629"/>
      <tableStyleElement type="secondRowStripe" dxfId="628"/>
    </tableStyle>
    <tableStyle name="Sheet1-style 87" pivot="0" count="2" xr9:uid="{00000000-0011-0000-FFFF-FFFF56000000}">
      <tableStyleElement type="firstRowStripe" dxfId="627"/>
      <tableStyleElement type="secondRowStripe" dxfId="626"/>
    </tableStyle>
    <tableStyle name="Sheet1-style 88" pivot="0" count="2" xr9:uid="{00000000-0011-0000-FFFF-FFFF57000000}">
      <tableStyleElement type="firstRowStripe" dxfId="625"/>
      <tableStyleElement type="secondRowStripe" dxfId="624"/>
    </tableStyle>
    <tableStyle name="Sheet1-style 89" pivot="0" count="2" xr9:uid="{00000000-0011-0000-FFFF-FFFF58000000}">
      <tableStyleElement type="firstRowStripe" dxfId="623"/>
      <tableStyleElement type="secondRowStripe" dxfId="622"/>
    </tableStyle>
    <tableStyle name="Sheet1-style 90" pivot="0" count="2" xr9:uid="{00000000-0011-0000-FFFF-FFFF59000000}">
      <tableStyleElement type="firstRowStripe" dxfId="621"/>
      <tableStyleElement type="secondRowStripe" dxfId="620"/>
    </tableStyle>
    <tableStyle name="Sheet1-style 91" pivot="0" count="2" xr9:uid="{00000000-0011-0000-FFFF-FFFF5A000000}">
      <tableStyleElement type="firstRowStripe" dxfId="619"/>
      <tableStyleElement type="secondRowStripe" dxfId="618"/>
    </tableStyle>
    <tableStyle name="Sheet1-style 92" pivot="0" count="2" xr9:uid="{00000000-0011-0000-FFFF-FFFF5B000000}">
      <tableStyleElement type="firstRowStripe" dxfId="617"/>
      <tableStyleElement type="secondRowStripe" dxfId="616"/>
    </tableStyle>
    <tableStyle name="Sheet1-style 93" pivot="0" count="2" xr9:uid="{00000000-0011-0000-FFFF-FFFF5C000000}">
      <tableStyleElement type="firstRowStripe" dxfId="615"/>
      <tableStyleElement type="secondRowStripe" dxfId="614"/>
    </tableStyle>
    <tableStyle name="Sheet1-style 94" pivot="0" count="2" xr9:uid="{00000000-0011-0000-FFFF-FFFF5D000000}">
      <tableStyleElement type="firstRowStripe" dxfId="613"/>
      <tableStyleElement type="secondRowStripe" dxfId="612"/>
    </tableStyle>
    <tableStyle name="Sheet1-style 95" pivot="0" count="2" xr9:uid="{00000000-0011-0000-FFFF-FFFF5E000000}">
      <tableStyleElement type="firstRowStripe" dxfId="611"/>
      <tableStyleElement type="secondRowStripe" dxfId="610"/>
    </tableStyle>
    <tableStyle name="Sheet1-style 96" pivot="0" count="2" xr9:uid="{00000000-0011-0000-FFFF-FFFF5F000000}">
      <tableStyleElement type="firstRowStripe" dxfId="609"/>
      <tableStyleElement type="secondRowStripe" dxfId="608"/>
    </tableStyle>
    <tableStyle name="Sheet1-style 97" pivot="0" count="2" xr9:uid="{00000000-0011-0000-FFFF-FFFF60000000}">
      <tableStyleElement type="firstRowStripe" dxfId="607"/>
      <tableStyleElement type="secondRowStripe" dxfId="606"/>
    </tableStyle>
    <tableStyle name="Sheet1-style 98" pivot="0" count="2" xr9:uid="{00000000-0011-0000-FFFF-FFFF61000000}">
      <tableStyleElement type="firstRowStripe" dxfId="605"/>
      <tableStyleElement type="secondRowStripe" dxfId="604"/>
    </tableStyle>
    <tableStyle name="Sheet1-style 99" pivot="0" count="2" xr9:uid="{00000000-0011-0000-FFFF-FFFF62000000}">
      <tableStyleElement type="firstRowStripe" dxfId="603"/>
      <tableStyleElement type="secondRowStripe" dxfId="602"/>
    </tableStyle>
    <tableStyle name="Sheet1-style 100" pivot="0" count="2" xr9:uid="{00000000-0011-0000-FFFF-FFFF63000000}">
      <tableStyleElement type="firstRowStripe" dxfId="601"/>
      <tableStyleElement type="secondRowStripe" dxfId="600"/>
    </tableStyle>
    <tableStyle name="Sheet1-style 101" pivot="0" count="2" xr9:uid="{00000000-0011-0000-FFFF-FFFF64000000}">
      <tableStyleElement type="firstRowStripe" dxfId="599"/>
      <tableStyleElement type="secondRowStripe" dxfId="598"/>
    </tableStyle>
    <tableStyle name="Sheet1-style 102" pivot="0" count="2" xr9:uid="{00000000-0011-0000-FFFF-FFFF65000000}">
      <tableStyleElement type="firstRowStripe" dxfId="597"/>
      <tableStyleElement type="secondRowStripe" dxfId="596"/>
    </tableStyle>
    <tableStyle name="Sheet1-style 103" pivot="0" count="2" xr9:uid="{00000000-0011-0000-FFFF-FFFF66000000}">
      <tableStyleElement type="firstRowStripe" dxfId="595"/>
      <tableStyleElement type="secondRowStripe" dxfId="594"/>
    </tableStyle>
    <tableStyle name="Sheet1-style 104" pivot="0" count="2" xr9:uid="{00000000-0011-0000-FFFF-FFFF67000000}">
      <tableStyleElement type="firstRowStripe" dxfId="593"/>
      <tableStyleElement type="secondRowStripe" dxfId="592"/>
    </tableStyle>
    <tableStyle name="Sheet1-style 105" pivot="0" count="2" xr9:uid="{00000000-0011-0000-FFFF-FFFF68000000}">
      <tableStyleElement type="firstRowStripe" dxfId="591"/>
      <tableStyleElement type="secondRowStripe" dxfId="590"/>
    </tableStyle>
    <tableStyle name="Sheet1-style 106" pivot="0" count="2" xr9:uid="{00000000-0011-0000-FFFF-FFFF69000000}">
      <tableStyleElement type="firstRowStripe" dxfId="589"/>
      <tableStyleElement type="secondRowStripe" dxfId="588"/>
    </tableStyle>
    <tableStyle name="Sheet1-style 107" pivot="0" count="2" xr9:uid="{00000000-0011-0000-FFFF-FFFF6A000000}">
      <tableStyleElement type="firstRowStripe" dxfId="587"/>
      <tableStyleElement type="secondRowStripe" dxfId="586"/>
    </tableStyle>
    <tableStyle name="Sheet1-style 108" pivot="0" count="2" xr9:uid="{00000000-0011-0000-FFFF-FFFF6B000000}">
      <tableStyleElement type="firstRowStripe" dxfId="585"/>
      <tableStyleElement type="secondRowStripe" dxfId="584"/>
    </tableStyle>
    <tableStyle name="Sheet1-style 109" pivot="0" count="2" xr9:uid="{00000000-0011-0000-FFFF-FFFF6C000000}">
      <tableStyleElement type="firstRowStripe" dxfId="583"/>
      <tableStyleElement type="secondRowStripe" dxfId="582"/>
    </tableStyle>
    <tableStyle name="Sheet1-style 110" pivot="0" count="2" xr9:uid="{00000000-0011-0000-FFFF-FFFF6D000000}">
      <tableStyleElement type="firstRowStripe" dxfId="581"/>
      <tableStyleElement type="secondRowStripe" dxfId="580"/>
    </tableStyle>
    <tableStyle name="Sheet1-style 111" pivot="0" count="2" xr9:uid="{00000000-0011-0000-FFFF-FFFF6E000000}">
      <tableStyleElement type="firstRowStripe" dxfId="579"/>
      <tableStyleElement type="secondRowStripe" dxfId="578"/>
    </tableStyle>
    <tableStyle name="Sheet1-style 112" pivot="0" count="2" xr9:uid="{00000000-0011-0000-FFFF-FFFF6F000000}">
      <tableStyleElement type="firstRowStripe" dxfId="577"/>
      <tableStyleElement type="secondRowStripe" dxfId="576"/>
    </tableStyle>
    <tableStyle name="Sheet1-style 113" pivot="0" count="2" xr9:uid="{00000000-0011-0000-FFFF-FFFF70000000}">
      <tableStyleElement type="firstRowStripe" dxfId="575"/>
      <tableStyleElement type="secondRowStripe" dxfId="574"/>
    </tableStyle>
    <tableStyle name="Sheet1-style 114" pivot="0" count="2" xr9:uid="{00000000-0011-0000-FFFF-FFFF71000000}">
      <tableStyleElement type="firstRowStripe" dxfId="573"/>
      <tableStyleElement type="secondRowStripe" dxfId="572"/>
    </tableStyle>
    <tableStyle name="Sheet1-style 115" pivot="0" count="2" xr9:uid="{00000000-0011-0000-FFFF-FFFF72000000}">
      <tableStyleElement type="firstRowStripe" dxfId="571"/>
      <tableStyleElement type="secondRowStripe" dxfId="570"/>
    </tableStyle>
    <tableStyle name="Sheet1-style 116" pivot="0" count="2" xr9:uid="{00000000-0011-0000-FFFF-FFFF73000000}">
      <tableStyleElement type="firstRowStripe" dxfId="569"/>
      <tableStyleElement type="secondRowStripe" dxfId="568"/>
    </tableStyle>
    <tableStyle name="Sheet1-style 117" pivot="0" count="2" xr9:uid="{00000000-0011-0000-FFFF-FFFF74000000}">
      <tableStyleElement type="firstRowStripe" dxfId="567"/>
      <tableStyleElement type="secondRowStripe" dxfId="566"/>
    </tableStyle>
    <tableStyle name="Sheet1-style 118" pivot="0" count="2" xr9:uid="{00000000-0011-0000-FFFF-FFFF75000000}">
      <tableStyleElement type="firstRowStripe" dxfId="565"/>
      <tableStyleElement type="secondRowStripe" dxfId="564"/>
    </tableStyle>
    <tableStyle name="Sheet1-style 119" pivot="0" count="2" xr9:uid="{00000000-0011-0000-FFFF-FFFF76000000}">
      <tableStyleElement type="firstRowStripe" dxfId="563"/>
      <tableStyleElement type="secondRowStripe" dxfId="562"/>
    </tableStyle>
    <tableStyle name="Sheet1-style 120" pivot="0" count="2" xr9:uid="{00000000-0011-0000-FFFF-FFFF77000000}">
      <tableStyleElement type="firstRowStripe" dxfId="561"/>
      <tableStyleElement type="secondRowStripe" dxfId="560"/>
    </tableStyle>
    <tableStyle name="Sheet1-style 121" pivot="0" count="2" xr9:uid="{00000000-0011-0000-FFFF-FFFF78000000}">
      <tableStyleElement type="firstRowStripe" dxfId="559"/>
      <tableStyleElement type="secondRowStripe" dxfId="558"/>
    </tableStyle>
    <tableStyle name="Sheet1-style 122" pivot="0" count="2" xr9:uid="{00000000-0011-0000-FFFF-FFFF79000000}">
      <tableStyleElement type="firstRowStripe" dxfId="557"/>
      <tableStyleElement type="secondRowStripe" dxfId="556"/>
    </tableStyle>
    <tableStyle name="Sheet1-style 123" pivot="0" count="2" xr9:uid="{00000000-0011-0000-FFFF-FFFF7A000000}">
      <tableStyleElement type="firstRowStripe" dxfId="555"/>
      <tableStyleElement type="secondRowStripe" dxfId="554"/>
    </tableStyle>
    <tableStyle name="Sheet1-style 124" pivot="0" count="2" xr9:uid="{00000000-0011-0000-FFFF-FFFF7B000000}">
      <tableStyleElement type="firstRowStripe" dxfId="553"/>
      <tableStyleElement type="secondRowStripe" dxfId="552"/>
    </tableStyle>
    <tableStyle name="Sheet1-style 125" pivot="0" count="2" xr9:uid="{00000000-0011-0000-FFFF-FFFF7C000000}">
      <tableStyleElement type="firstRowStripe" dxfId="551"/>
      <tableStyleElement type="secondRowStripe" dxfId="550"/>
    </tableStyle>
    <tableStyle name="Sheet1-style 126" pivot="0" count="2" xr9:uid="{00000000-0011-0000-FFFF-FFFF7D000000}">
      <tableStyleElement type="firstRowStripe" dxfId="549"/>
      <tableStyleElement type="secondRowStripe" dxfId="548"/>
    </tableStyle>
    <tableStyle name="Sheet1-style 127" pivot="0" count="2" xr9:uid="{00000000-0011-0000-FFFF-FFFF7E000000}">
      <tableStyleElement type="firstRowStripe" dxfId="547"/>
      <tableStyleElement type="secondRowStripe" dxfId="546"/>
    </tableStyle>
    <tableStyle name="Sheet1-style 128" pivot="0" count="2" xr9:uid="{00000000-0011-0000-FFFF-FFFF7F000000}">
      <tableStyleElement type="firstRowStripe" dxfId="545"/>
      <tableStyleElement type="secondRowStripe" dxfId="544"/>
    </tableStyle>
    <tableStyle name="Sheet1-style 129" pivot="0" count="2" xr9:uid="{00000000-0011-0000-FFFF-FFFF80000000}">
      <tableStyleElement type="firstRowStripe" dxfId="543"/>
      <tableStyleElement type="secondRowStripe" dxfId="542"/>
    </tableStyle>
    <tableStyle name="Sheet1-style 130" pivot="0" count="2" xr9:uid="{00000000-0011-0000-FFFF-FFFF81000000}">
      <tableStyleElement type="firstRowStripe" dxfId="541"/>
      <tableStyleElement type="secondRowStripe" dxfId="540"/>
    </tableStyle>
    <tableStyle name="Sheet1-style 131" pivot="0" count="2" xr9:uid="{00000000-0011-0000-FFFF-FFFF82000000}">
      <tableStyleElement type="firstRowStripe" dxfId="539"/>
      <tableStyleElement type="secondRowStripe" dxfId="538"/>
    </tableStyle>
    <tableStyle name="Sheet1-style 132" pivot="0" count="2" xr9:uid="{00000000-0011-0000-FFFF-FFFF83000000}">
      <tableStyleElement type="firstRowStripe" dxfId="537"/>
      <tableStyleElement type="secondRowStripe" dxfId="536"/>
    </tableStyle>
    <tableStyle name="Sheet1-style 133" pivot="0" count="2" xr9:uid="{00000000-0011-0000-FFFF-FFFF84000000}">
      <tableStyleElement type="firstRowStripe" dxfId="535"/>
      <tableStyleElement type="secondRowStripe" dxfId="534"/>
    </tableStyle>
    <tableStyle name="Sheet1-style 134" pivot="0" count="2" xr9:uid="{00000000-0011-0000-FFFF-FFFF85000000}">
      <tableStyleElement type="firstRowStripe" dxfId="533"/>
      <tableStyleElement type="secondRowStripe" dxfId="532"/>
    </tableStyle>
    <tableStyle name="Sheet1-style 135" pivot="0" count="2" xr9:uid="{00000000-0011-0000-FFFF-FFFF86000000}">
      <tableStyleElement type="firstRowStripe" dxfId="531"/>
      <tableStyleElement type="secondRowStripe" dxfId="530"/>
    </tableStyle>
    <tableStyle name="Sheet1-style 136" pivot="0" count="2" xr9:uid="{00000000-0011-0000-FFFF-FFFF87000000}">
      <tableStyleElement type="firstRowStripe" dxfId="529"/>
      <tableStyleElement type="secondRowStripe" dxfId="528"/>
    </tableStyle>
    <tableStyle name="Sheet1-style 137" pivot="0" count="2" xr9:uid="{00000000-0011-0000-FFFF-FFFF88000000}">
      <tableStyleElement type="firstRowStripe" dxfId="527"/>
      <tableStyleElement type="secondRowStripe" dxfId="526"/>
    </tableStyle>
    <tableStyle name="Sheet1-style 138" pivot="0" count="2" xr9:uid="{00000000-0011-0000-FFFF-FFFF89000000}">
      <tableStyleElement type="firstRowStripe" dxfId="525"/>
      <tableStyleElement type="secondRowStripe" dxfId="524"/>
    </tableStyle>
    <tableStyle name="Sheet1-style 139" pivot="0" count="2" xr9:uid="{00000000-0011-0000-FFFF-FFFF8A000000}">
      <tableStyleElement type="firstRowStripe" dxfId="523"/>
      <tableStyleElement type="secondRowStripe" dxfId="522"/>
    </tableStyle>
    <tableStyle name="Sheet1-style 140" pivot="0" count="2" xr9:uid="{00000000-0011-0000-FFFF-FFFF8B000000}">
      <tableStyleElement type="firstRowStripe" dxfId="521"/>
      <tableStyleElement type="secondRowStripe" dxfId="520"/>
    </tableStyle>
    <tableStyle name="Sheet1-style 141" pivot="0" count="2" xr9:uid="{00000000-0011-0000-FFFF-FFFF8C000000}">
      <tableStyleElement type="firstRowStripe" dxfId="519"/>
      <tableStyleElement type="secondRowStripe" dxfId="518"/>
    </tableStyle>
    <tableStyle name="Sheet1-style 142" pivot="0" count="2" xr9:uid="{00000000-0011-0000-FFFF-FFFF8D000000}">
      <tableStyleElement type="firstRowStripe" dxfId="517"/>
      <tableStyleElement type="secondRowStripe" dxfId="516"/>
    </tableStyle>
    <tableStyle name="Sheet1-style 143" pivot="0" count="2" xr9:uid="{00000000-0011-0000-FFFF-FFFF8E000000}">
      <tableStyleElement type="firstRowStripe" dxfId="515"/>
      <tableStyleElement type="secondRowStripe" dxfId="514"/>
    </tableStyle>
    <tableStyle name="Sheet1-style 144" pivot="0" count="2" xr9:uid="{00000000-0011-0000-FFFF-FFFF8F000000}">
      <tableStyleElement type="firstRowStripe" dxfId="513"/>
      <tableStyleElement type="secondRowStripe" dxfId="512"/>
    </tableStyle>
    <tableStyle name="Sheet1-style 145" pivot="0" count="2" xr9:uid="{00000000-0011-0000-FFFF-FFFF90000000}">
      <tableStyleElement type="firstRowStripe" dxfId="511"/>
      <tableStyleElement type="secondRowStripe" dxfId="510"/>
    </tableStyle>
    <tableStyle name="Sheet1-style 146" pivot="0" count="2" xr9:uid="{00000000-0011-0000-FFFF-FFFF91000000}">
      <tableStyleElement type="firstRowStripe" dxfId="509"/>
      <tableStyleElement type="secondRowStripe" dxfId="508"/>
    </tableStyle>
    <tableStyle name="Sheet1-style 147" pivot="0" count="2" xr9:uid="{00000000-0011-0000-FFFF-FFFF92000000}">
      <tableStyleElement type="firstRowStripe" dxfId="507"/>
      <tableStyleElement type="secondRowStripe" dxfId="506"/>
    </tableStyle>
    <tableStyle name="Sheet1-style 148" pivot="0" count="2" xr9:uid="{00000000-0011-0000-FFFF-FFFF93000000}">
      <tableStyleElement type="firstRowStripe" dxfId="505"/>
      <tableStyleElement type="secondRowStripe" dxfId="504"/>
    </tableStyle>
    <tableStyle name="Sheet1-style 149" pivot="0" count="2" xr9:uid="{00000000-0011-0000-FFFF-FFFF94000000}">
      <tableStyleElement type="firstRowStripe" dxfId="503"/>
      <tableStyleElement type="secondRowStripe" dxfId="502"/>
    </tableStyle>
    <tableStyle name="Sheet1-style 150" pivot="0" count="2" xr9:uid="{00000000-0011-0000-FFFF-FFFF95000000}">
      <tableStyleElement type="firstRowStripe" dxfId="501"/>
      <tableStyleElement type="secondRowStripe" dxfId="500"/>
    </tableStyle>
    <tableStyle name="Sheet1-style 151" pivot="0" count="2" xr9:uid="{00000000-0011-0000-FFFF-FFFF96000000}">
      <tableStyleElement type="firstRowStripe" dxfId="499"/>
      <tableStyleElement type="secondRowStripe" dxfId="498"/>
    </tableStyle>
    <tableStyle name="Sheet1-style 152" pivot="0" count="2" xr9:uid="{00000000-0011-0000-FFFF-FFFF97000000}">
      <tableStyleElement type="firstRowStripe" dxfId="497"/>
      <tableStyleElement type="secondRowStripe" dxfId="496"/>
    </tableStyle>
    <tableStyle name="Sheet1-style 153" pivot="0" count="2" xr9:uid="{00000000-0011-0000-FFFF-FFFF98000000}">
      <tableStyleElement type="firstRowStripe" dxfId="495"/>
      <tableStyleElement type="secondRowStripe" dxfId="494"/>
    </tableStyle>
    <tableStyle name="Sheet1-style 154" pivot="0" count="2" xr9:uid="{00000000-0011-0000-FFFF-FFFF99000000}">
      <tableStyleElement type="firstRowStripe" dxfId="493"/>
      <tableStyleElement type="secondRowStripe" dxfId="492"/>
    </tableStyle>
    <tableStyle name="Sheet1-style 155" pivot="0" count="2" xr9:uid="{00000000-0011-0000-FFFF-FFFF9A000000}">
      <tableStyleElement type="firstRowStripe" dxfId="491"/>
      <tableStyleElement type="secondRowStripe" dxfId="490"/>
    </tableStyle>
    <tableStyle name="Sheet1-style 156" pivot="0" count="2" xr9:uid="{00000000-0011-0000-FFFF-FFFF9B000000}">
      <tableStyleElement type="firstRowStripe" dxfId="489"/>
      <tableStyleElement type="secondRowStripe" dxfId="488"/>
    </tableStyle>
    <tableStyle name="Sheet1-style 157" pivot="0" count="2" xr9:uid="{00000000-0011-0000-FFFF-FFFF9C000000}">
      <tableStyleElement type="firstRowStripe" dxfId="487"/>
      <tableStyleElement type="secondRowStripe" dxfId="486"/>
    </tableStyle>
    <tableStyle name="Sheet1-style 158" pivot="0" count="2" xr9:uid="{00000000-0011-0000-FFFF-FFFF9D000000}">
      <tableStyleElement type="firstRowStripe" dxfId="485"/>
      <tableStyleElement type="secondRowStripe" dxfId="484"/>
    </tableStyle>
    <tableStyle name="Sheet1-style 159" pivot="0" count="2" xr9:uid="{00000000-0011-0000-FFFF-FFFF9E000000}">
      <tableStyleElement type="firstRowStripe" dxfId="483"/>
      <tableStyleElement type="secondRowStripe" dxfId="482"/>
    </tableStyle>
    <tableStyle name="Sheet1-style 160" pivot="0" count="2" xr9:uid="{00000000-0011-0000-FFFF-FFFF9F000000}">
      <tableStyleElement type="firstRowStripe" dxfId="481"/>
      <tableStyleElement type="secondRowStripe" dxfId="480"/>
    </tableStyle>
    <tableStyle name="Sheet1-style 161" pivot="0" count="2" xr9:uid="{00000000-0011-0000-FFFF-FFFFA0000000}">
      <tableStyleElement type="firstRowStripe" dxfId="479"/>
      <tableStyleElement type="secondRowStripe" dxfId="478"/>
    </tableStyle>
    <tableStyle name="Sheet1-style 162" pivot="0" count="2" xr9:uid="{00000000-0011-0000-FFFF-FFFFA1000000}">
      <tableStyleElement type="firstRowStripe" dxfId="477"/>
      <tableStyleElement type="secondRowStripe" dxfId="476"/>
    </tableStyle>
    <tableStyle name="Sheet1-style 163" pivot="0" count="2" xr9:uid="{00000000-0011-0000-FFFF-FFFFA2000000}">
      <tableStyleElement type="firstRowStripe" dxfId="475"/>
      <tableStyleElement type="secondRowStripe" dxfId="474"/>
    </tableStyle>
    <tableStyle name="Sheet1-style 164" pivot="0" count="2" xr9:uid="{00000000-0011-0000-FFFF-FFFFA3000000}">
      <tableStyleElement type="firstRowStripe" dxfId="473"/>
      <tableStyleElement type="secondRowStripe" dxfId="472"/>
    </tableStyle>
    <tableStyle name="Sheet1-style 165" pivot="0" count="2" xr9:uid="{00000000-0011-0000-FFFF-FFFFA4000000}">
      <tableStyleElement type="firstRowStripe" dxfId="471"/>
      <tableStyleElement type="secondRowStripe" dxfId="470"/>
    </tableStyle>
    <tableStyle name="Sheet1-style 166" pivot="0" count="2" xr9:uid="{00000000-0011-0000-FFFF-FFFFA5000000}">
      <tableStyleElement type="firstRowStripe" dxfId="469"/>
      <tableStyleElement type="secondRowStripe" dxfId="468"/>
    </tableStyle>
    <tableStyle name="Sheet1-style 167" pivot="0" count="2" xr9:uid="{00000000-0011-0000-FFFF-FFFFA6000000}">
      <tableStyleElement type="firstRowStripe" dxfId="467"/>
      <tableStyleElement type="secondRowStripe" dxfId="466"/>
    </tableStyle>
    <tableStyle name="Sheet1-style 168" pivot="0" count="2" xr9:uid="{00000000-0011-0000-FFFF-FFFFA7000000}">
      <tableStyleElement type="firstRowStripe" dxfId="465"/>
      <tableStyleElement type="secondRowStripe" dxfId="464"/>
    </tableStyle>
    <tableStyle name="Sheet1-style 169" pivot="0" count="2" xr9:uid="{00000000-0011-0000-FFFF-FFFFA8000000}">
      <tableStyleElement type="firstRowStripe" dxfId="463"/>
      <tableStyleElement type="secondRowStripe" dxfId="462"/>
    </tableStyle>
    <tableStyle name="Sheet1-style 170" pivot="0" count="2" xr9:uid="{00000000-0011-0000-FFFF-FFFFA9000000}">
      <tableStyleElement type="firstRowStripe" dxfId="461"/>
      <tableStyleElement type="secondRowStripe" dxfId="460"/>
    </tableStyle>
    <tableStyle name="Sheet1-style 171" pivot="0" count="2" xr9:uid="{00000000-0011-0000-FFFF-FFFFAA000000}">
      <tableStyleElement type="firstRowStripe" dxfId="459"/>
      <tableStyleElement type="secondRowStripe" dxfId="458"/>
    </tableStyle>
    <tableStyle name="Sheet1-style 172" pivot="0" count="2" xr9:uid="{00000000-0011-0000-FFFF-FFFFAB000000}">
      <tableStyleElement type="firstRowStripe" dxfId="457"/>
      <tableStyleElement type="secondRowStripe" dxfId="456"/>
    </tableStyle>
    <tableStyle name="Sheet1-style 173" pivot="0" count="2" xr9:uid="{00000000-0011-0000-FFFF-FFFFAC000000}">
      <tableStyleElement type="firstRowStripe" dxfId="455"/>
      <tableStyleElement type="secondRowStripe" dxfId="454"/>
    </tableStyle>
    <tableStyle name="Sheet1-style 174" pivot="0" count="2" xr9:uid="{00000000-0011-0000-FFFF-FFFFAD000000}">
      <tableStyleElement type="firstRowStripe" dxfId="453"/>
      <tableStyleElement type="secondRowStripe" dxfId="452"/>
    </tableStyle>
    <tableStyle name="Sheet1-style 175" pivot="0" count="2" xr9:uid="{00000000-0011-0000-FFFF-FFFFAE000000}">
      <tableStyleElement type="firstRowStripe" dxfId="451"/>
      <tableStyleElement type="secondRowStripe" dxfId="450"/>
    </tableStyle>
    <tableStyle name="Sheet1-style 176" pivot="0" count="2" xr9:uid="{00000000-0011-0000-FFFF-FFFFAF000000}">
      <tableStyleElement type="firstRowStripe" dxfId="449"/>
      <tableStyleElement type="secondRowStripe" dxfId="448"/>
    </tableStyle>
    <tableStyle name="Sheet1-style 177" pivot="0" count="2" xr9:uid="{00000000-0011-0000-FFFF-FFFFB0000000}">
      <tableStyleElement type="firstRowStripe" dxfId="447"/>
      <tableStyleElement type="secondRowStripe" dxfId="446"/>
    </tableStyle>
    <tableStyle name="Sheet1-style 178" pivot="0" count="2" xr9:uid="{00000000-0011-0000-FFFF-FFFFB1000000}">
      <tableStyleElement type="firstRowStripe" dxfId="445"/>
      <tableStyleElement type="secondRowStripe" dxfId="444"/>
    </tableStyle>
    <tableStyle name="Sheet1-style 179" pivot="0" count="2" xr9:uid="{00000000-0011-0000-FFFF-FFFFB2000000}">
      <tableStyleElement type="firstRowStripe" dxfId="443"/>
      <tableStyleElement type="secondRowStripe" dxfId="442"/>
    </tableStyle>
    <tableStyle name="Sheet1-style 180" pivot="0" count="2" xr9:uid="{00000000-0011-0000-FFFF-FFFFB3000000}">
      <tableStyleElement type="firstRowStripe" dxfId="441"/>
      <tableStyleElement type="secondRowStripe" dxfId="440"/>
    </tableStyle>
    <tableStyle name="Sheet1-style 181" pivot="0" count="2" xr9:uid="{00000000-0011-0000-FFFF-FFFFB4000000}">
      <tableStyleElement type="firstRowStripe" dxfId="439"/>
      <tableStyleElement type="secondRowStripe" dxfId="438"/>
    </tableStyle>
    <tableStyle name="Sheet1-style 182" pivot="0" count="2" xr9:uid="{00000000-0011-0000-FFFF-FFFFB5000000}">
      <tableStyleElement type="firstRowStripe" dxfId="437"/>
      <tableStyleElement type="secondRowStripe" dxfId="436"/>
    </tableStyle>
    <tableStyle name="Sheet1-style 183" pivot="0" count="2" xr9:uid="{00000000-0011-0000-FFFF-FFFFB6000000}">
      <tableStyleElement type="firstRowStripe" dxfId="435"/>
      <tableStyleElement type="secondRowStripe" dxfId="434"/>
    </tableStyle>
    <tableStyle name="Sheet1-style 184" pivot="0" count="2" xr9:uid="{00000000-0011-0000-FFFF-FFFFB7000000}">
      <tableStyleElement type="firstRowStripe" dxfId="433"/>
      <tableStyleElement type="secondRowStripe" dxfId="432"/>
    </tableStyle>
    <tableStyle name="Sheet1-style 185" pivot="0" count="2" xr9:uid="{00000000-0011-0000-FFFF-FFFFB8000000}">
      <tableStyleElement type="firstRowStripe" dxfId="431"/>
      <tableStyleElement type="secondRowStripe" dxfId="430"/>
    </tableStyle>
    <tableStyle name="Sheet1-style 186" pivot="0" count="2" xr9:uid="{00000000-0011-0000-FFFF-FFFFB9000000}">
      <tableStyleElement type="firstRowStripe" dxfId="429"/>
      <tableStyleElement type="secondRowStripe" dxfId="428"/>
    </tableStyle>
    <tableStyle name="Sheet1-style 187" pivot="0" count="2" xr9:uid="{00000000-0011-0000-FFFF-FFFFBA000000}">
      <tableStyleElement type="firstRowStripe" dxfId="427"/>
      <tableStyleElement type="secondRowStripe" dxfId="426"/>
    </tableStyle>
    <tableStyle name="Sheet1-style 188" pivot="0" count="2" xr9:uid="{00000000-0011-0000-FFFF-FFFFBB000000}">
      <tableStyleElement type="firstRowStripe" dxfId="425"/>
      <tableStyleElement type="secondRowStripe" dxfId="424"/>
    </tableStyle>
    <tableStyle name="Sheet1-style 189" pivot="0" count="2" xr9:uid="{00000000-0011-0000-FFFF-FFFFBC000000}">
      <tableStyleElement type="firstRowStripe" dxfId="423"/>
      <tableStyleElement type="secondRowStripe" dxfId="422"/>
    </tableStyle>
    <tableStyle name="Sheet1-style 190" pivot="0" count="2" xr9:uid="{00000000-0011-0000-FFFF-FFFFBD000000}">
      <tableStyleElement type="firstRowStripe" dxfId="421"/>
      <tableStyleElement type="secondRowStripe" dxfId="420"/>
    </tableStyle>
    <tableStyle name="Sheet1-style 191" pivot="0" count="2" xr9:uid="{00000000-0011-0000-FFFF-FFFFBE000000}">
      <tableStyleElement type="firstRowStripe" dxfId="419"/>
      <tableStyleElement type="secondRowStripe" dxfId="418"/>
    </tableStyle>
    <tableStyle name="Sheet1-style 192" pivot="0" count="2" xr9:uid="{00000000-0011-0000-FFFF-FFFFBF000000}">
      <tableStyleElement type="firstRowStripe" dxfId="417"/>
      <tableStyleElement type="secondRowStripe" dxfId="416"/>
    </tableStyle>
    <tableStyle name="Sheet1-style 193" pivot="0" count="2" xr9:uid="{00000000-0011-0000-FFFF-FFFFC0000000}">
      <tableStyleElement type="firstRowStripe" dxfId="415"/>
      <tableStyleElement type="secondRowStripe" dxfId="414"/>
    </tableStyle>
    <tableStyle name="Sheet1-style 194" pivot="0" count="2" xr9:uid="{00000000-0011-0000-FFFF-FFFFC1000000}">
      <tableStyleElement type="firstRowStripe" dxfId="413"/>
      <tableStyleElement type="secondRowStripe" dxfId="412"/>
    </tableStyle>
    <tableStyle name="Sheet1-style 195" pivot="0" count="2" xr9:uid="{00000000-0011-0000-FFFF-FFFFC2000000}">
      <tableStyleElement type="firstRowStripe" dxfId="411"/>
      <tableStyleElement type="secondRowStripe" dxfId="410"/>
    </tableStyle>
    <tableStyle name="Sheet1-style 196" pivot="0" count="2" xr9:uid="{00000000-0011-0000-FFFF-FFFFC3000000}">
      <tableStyleElement type="firstRowStripe" dxfId="409"/>
      <tableStyleElement type="secondRowStripe" dxfId="408"/>
    </tableStyle>
    <tableStyle name="Sheet1-style 197" pivot="0" count="2" xr9:uid="{00000000-0011-0000-FFFF-FFFFC4000000}">
      <tableStyleElement type="firstRowStripe" dxfId="407"/>
      <tableStyleElement type="secondRowStripe" dxfId="406"/>
    </tableStyle>
    <tableStyle name="Sheet1-style 198" pivot="0" count="2" xr9:uid="{00000000-0011-0000-FFFF-FFFFC5000000}">
      <tableStyleElement type="firstRowStripe" dxfId="405"/>
      <tableStyleElement type="secondRowStripe" dxfId="404"/>
    </tableStyle>
    <tableStyle name="Sheet1-style 199" pivot="0" count="2" xr9:uid="{00000000-0011-0000-FFFF-FFFFC6000000}">
      <tableStyleElement type="firstRowStripe" dxfId="403"/>
      <tableStyleElement type="secondRowStripe" dxfId="402"/>
    </tableStyle>
    <tableStyle name="Sheet1-style 200" pivot="0" count="2" xr9:uid="{00000000-0011-0000-FFFF-FFFFC7000000}">
      <tableStyleElement type="firstRowStripe" dxfId="401"/>
      <tableStyleElement type="secondRowStripe" dxfId="400"/>
    </tableStyle>
    <tableStyle name="Sheet1-style 201" pivot="0" count="2" xr9:uid="{00000000-0011-0000-FFFF-FFFFC8000000}">
      <tableStyleElement type="firstRowStripe" dxfId="399"/>
      <tableStyleElement type="secondRowStripe" dxfId="398"/>
    </tableStyle>
    <tableStyle name="Sheet1-style 202" pivot="0" count="2" xr9:uid="{00000000-0011-0000-FFFF-FFFFC9000000}">
      <tableStyleElement type="firstRowStripe" dxfId="397"/>
      <tableStyleElement type="secondRowStripe" dxfId="396"/>
    </tableStyle>
    <tableStyle name="Sheet1-style 203" pivot="0" count="2" xr9:uid="{00000000-0011-0000-FFFF-FFFFCA000000}">
      <tableStyleElement type="firstRowStripe" dxfId="395"/>
      <tableStyleElement type="secondRowStripe" dxfId="394"/>
    </tableStyle>
    <tableStyle name="Sheet1-style 204" pivot="0" count="2" xr9:uid="{00000000-0011-0000-FFFF-FFFFCB000000}">
      <tableStyleElement type="firstRowStripe" dxfId="393"/>
      <tableStyleElement type="secondRowStripe" dxfId="392"/>
    </tableStyle>
    <tableStyle name="Sheet1-style 205" pivot="0" count="2" xr9:uid="{00000000-0011-0000-FFFF-FFFFCC000000}">
      <tableStyleElement type="firstRowStripe" dxfId="391"/>
      <tableStyleElement type="secondRowStripe" dxfId="390"/>
    </tableStyle>
    <tableStyle name="Sheet1-style 206" pivot="0" count="2" xr9:uid="{00000000-0011-0000-FFFF-FFFFCD000000}">
      <tableStyleElement type="firstRowStripe" dxfId="389"/>
      <tableStyleElement type="secondRowStripe" dxfId="388"/>
    </tableStyle>
    <tableStyle name="Sheet1-style 207" pivot="0" count="2" xr9:uid="{00000000-0011-0000-FFFF-FFFFCE000000}">
      <tableStyleElement type="firstRowStripe" dxfId="387"/>
      <tableStyleElement type="secondRowStripe" dxfId="386"/>
    </tableStyle>
    <tableStyle name="Sheet1-style 208" pivot="0" count="2" xr9:uid="{00000000-0011-0000-FFFF-FFFFCF000000}">
      <tableStyleElement type="firstRowStripe" dxfId="385"/>
      <tableStyleElement type="secondRowStripe" dxfId="384"/>
    </tableStyle>
    <tableStyle name="Sheet1-style 209" pivot="0" count="2" xr9:uid="{00000000-0011-0000-FFFF-FFFFD0000000}">
      <tableStyleElement type="firstRowStripe" dxfId="383"/>
      <tableStyleElement type="secondRowStripe" dxfId="382"/>
    </tableStyle>
    <tableStyle name="Sheet1-style 210" pivot="0" count="2" xr9:uid="{00000000-0011-0000-FFFF-FFFFD1000000}">
      <tableStyleElement type="firstRowStripe" dxfId="381"/>
      <tableStyleElement type="secondRowStripe" dxfId="380"/>
    </tableStyle>
    <tableStyle name="Sheet1-style 211" pivot="0" count="2" xr9:uid="{00000000-0011-0000-FFFF-FFFFD2000000}">
      <tableStyleElement type="firstRowStripe" dxfId="379"/>
      <tableStyleElement type="secondRowStripe" dxfId="378"/>
    </tableStyle>
    <tableStyle name="Sheet1-style 212" pivot="0" count="2" xr9:uid="{00000000-0011-0000-FFFF-FFFFD3000000}">
      <tableStyleElement type="firstRowStripe" dxfId="377"/>
      <tableStyleElement type="secondRowStripe" dxfId="376"/>
    </tableStyle>
    <tableStyle name="Sheet1-style 213" pivot="0" count="2" xr9:uid="{00000000-0011-0000-FFFF-FFFFD4000000}">
      <tableStyleElement type="firstRowStripe" dxfId="375"/>
      <tableStyleElement type="secondRowStripe" dxfId="374"/>
    </tableStyle>
    <tableStyle name="Sheet1-style 214" pivot="0" count="2" xr9:uid="{00000000-0011-0000-FFFF-FFFFD5000000}">
      <tableStyleElement type="firstRowStripe" dxfId="373"/>
      <tableStyleElement type="secondRowStripe" dxfId="372"/>
    </tableStyle>
    <tableStyle name="Sheet1-style 215" pivot="0" count="2" xr9:uid="{00000000-0011-0000-FFFF-FFFFD6000000}">
      <tableStyleElement type="firstRowStripe" dxfId="371"/>
      <tableStyleElement type="secondRowStripe" dxfId="370"/>
    </tableStyle>
    <tableStyle name="Sheet1-style 216" pivot="0" count="2" xr9:uid="{00000000-0011-0000-FFFF-FFFFD7000000}">
      <tableStyleElement type="firstRowStripe" dxfId="369"/>
      <tableStyleElement type="secondRowStripe" dxfId="368"/>
    </tableStyle>
    <tableStyle name="Sheet1-style 217" pivot="0" count="2" xr9:uid="{00000000-0011-0000-FFFF-FFFFD8000000}">
      <tableStyleElement type="firstRowStripe" dxfId="367"/>
      <tableStyleElement type="secondRowStripe" dxfId="366"/>
    </tableStyle>
    <tableStyle name="Sheet1-style 218" pivot="0" count="2" xr9:uid="{00000000-0011-0000-FFFF-FFFFD9000000}">
      <tableStyleElement type="firstRowStripe" dxfId="365"/>
      <tableStyleElement type="secondRowStripe" dxfId="364"/>
    </tableStyle>
    <tableStyle name="Sheet1-style 219" pivot="0" count="2" xr9:uid="{00000000-0011-0000-FFFF-FFFFDA000000}">
      <tableStyleElement type="firstRowStripe" dxfId="363"/>
      <tableStyleElement type="secondRowStripe" dxfId="362"/>
    </tableStyle>
    <tableStyle name="Sheet1-style 220" pivot="0" count="2" xr9:uid="{00000000-0011-0000-FFFF-FFFFDB000000}">
      <tableStyleElement type="firstRowStripe" dxfId="361"/>
      <tableStyleElement type="secondRowStripe" dxfId="360"/>
    </tableStyle>
    <tableStyle name="Sheet1-style 221" pivot="0" count="2" xr9:uid="{00000000-0011-0000-FFFF-FFFFDC000000}">
      <tableStyleElement type="firstRowStripe" dxfId="359"/>
      <tableStyleElement type="secondRowStripe" dxfId="358"/>
    </tableStyle>
    <tableStyle name="Sheet1-style 222" pivot="0" count="2" xr9:uid="{00000000-0011-0000-FFFF-FFFFDD000000}">
      <tableStyleElement type="firstRowStripe" dxfId="357"/>
      <tableStyleElement type="secondRowStripe" dxfId="356"/>
    </tableStyle>
    <tableStyle name="Sheet1-style 223" pivot="0" count="2" xr9:uid="{00000000-0011-0000-FFFF-FFFFDE000000}">
      <tableStyleElement type="firstRowStripe" dxfId="355"/>
      <tableStyleElement type="secondRowStripe" dxfId="354"/>
    </tableStyle>
    <tableStyle name="Sheet1-style 224" pivot="0" count="2" xr9:uid="{00000000-0011-0000-FFFF-FFFFDF000000}">
      <tableStyleElement type="firstRowStripe" dxfId="353"/>
      <tableStyleElement type="secondRowStripe" dxfId="352"/>
    </tableStyle>
    <tableStyle name="Sheet1-style 225" pivot="0" count="2" xr9:uid="{00000000-0011-0000-FFFF-FFFFE0000000}">
      <tableStyleElement type="firstRowStripe" dxfId="351"/>
      <tableStyleElement type="secondRowStripe" dxfId="350"/>
    </tableStyle>
    <tableStyle name="Sheet1-style 226" pivot="0" count="2" xr9:uid="{00000000-0011-0000-FFFF-FFFFE1000000}">
      <tableStyleElement type="firstRowStripe" dxfId="349"/>
      <tableStyleElement type="secondRowStripe" dxfId="348"/>
    </tableStyle>
    <tableStyle name="Sheet1-style 227" pivot="0" count="2" xr9:uid="{00000000-0011-0000-FFFF-FFFFE2000000}">
      <tableStyleElement type="firstRowStripe" dxfId="347"/>
      <tableStyleElement type="secondRowStripe" dxfId="346"/>
    </tableStyle>
    <tableStyle name="Sheet1-style 228" pivot="0" count="2" xr9:uid="{00000000-0011-0000-FFFF-FFFFE3000000}">
      <tableStyleElement type="firstRowStripe" dxfId="345"/>
      <tableStyleElement type="secondRowStripe" dxfId="344"/>
    </tableStyle>
    <tableStyle name="Sheet1-style 229" pivot="0" count="2" xr9:uid="{00000000-0011-0000-FFFF-FFFFE4000000}">
      <tableStyleElement type="firstRowStripe" dxfId="343"/>
      <tableStyleElement type="secondRowStripe" dxfId="342"/>
    </tableStyle>
    <tableStyle name="Sheet1-style 230" pivot="0" count="2" xr9:uid="{00000000-0011-0000-FFFF-FFFFE5000000}">
      <tableStyleElement type="firstRowStripe" dxfId="341"/>
      <tableStyleElement type="secondRowStripe" dxfId="340"/>
    </tableStyle>
    <tableStyle name="Sheet1-style 231" pivot="0" count="2" xr9:uid="{00000000-0011-0000-FFFF-FFFFE6000000}">
      <tableStyleElement type="firstRowStripe" dxfId="339"/>
      <tableStyleElement type="secondRowStripe" dxfId="338"/>
    </tableStyle>
    <tableStyle name="Sheet1-style 232" pivot="0" count="2" xr9:uid="{00000000-0011-0000-FFFF-FFFFE7000000}">
      <tableStyleElement type="firstRowStripe" dxfId="337"/>
      <tableStyleElement type="secondRowStripe" dxfId="336"/>
    </tableStyle>
    <tableStyle name="Sheet1-style 233" pivot="0" count="2" xr9:uid="{00000000-0011-0000-FFFF-FFFFE8000000}">
      <tableStyleElement type="firstRowStripe" dxfId="335"/>
      <tableStyleElement type="secondRowStripe" dxfId="334"/>
    </tableStyle>
    <tableStyle name="Sheet1-style 234" pivot="0" count="2" xr9:uid="{00000000-0011-0000-FFFF-FFFFE9000000}">
      <tableStyleElement type="firstRowStripe" dxfId="333"/>
      <tableStyleElement type="secondRowStripe" dxfId="332"/>
    </tableStyle>
    <tableStyle name="Sheet1-style 235" pivot="0" count="2" xr9:uid="{00000000-0011-0000-FFFF-FFFFEA000000}">
      <tableStyleElement type="firstRowStripe" dxfId="331"/>
      <tableStyleElement type="secondRowStripe" dxfId="330"/>
    </tableStyle>
    <tableStyle name="Sheet1-style 236" pivot="0" count="2" xr9:uid="{00000000-0011-0000-FFFF-FFFFEB000000}">
      <tableStyleElement type="firstRowStripe" dxfId="329"/>
      <tableStyleElement type="secondRowStripe" dxfId="328"/>
    </tableStyle>
    <tableStyle name="Sheet1-style 237" pivot="0" count="2" xr9:uid="{00000000-0011-0000-FFFF-FFFFEC000000}">
      <tableStyleElement type="firstRowStripe" dxfId="327"/>
      <tableStyleElement type="secondRowStripe" dxfId="326"/>
    </tableStyle>
    <tableStyle name="Sheet1-style 238" pivot="0" count="2" xr9:uid="{00000000-0011-0000-FFFF-FFFFED000000}">
      <tableStyleElement type="firstRowStripe" dxfId="325"/>
      <tableStyleElement type="secondRowStripe" dxfId="324"/>
    </tableStyle>
    <tableStyle name="Sheet1-style 239" pivot="0" count="2" xr9:uid="{00000000-0011-0000-FFFF-FFFFEE000000}">
      <tableStyleElement type="firstRowStripe" dxfId="323"/>
      <tableStyleElement type="secondRowStripe" dxfId="322"/>
    </tableStyle>
    <tableStyle name="Sheet1-style 240" pivot="0" count="2" xr9:uid="{00000000-0011-0000-FFFF-FFFFEF000000}">
      <tableStyleElement type="firstRowStripe" dxfId="321"/>
      <tableStyleElement type="secondRowStripe" dxfId="320"/>
    </tableStyle>
    <tableStyle name="Sheet1-style 241" pivot="0" count="2" xr9:uid="{00000000-0011-0000-FFFF-FFFFF0000000}">
      <tableStyleElement type="firstRowStripe" dxfId="319"/>
      <tableStyleElement type="secondRowStripe" dxfId="318"/>
    </tableStyle>
    <tableStyle name="Sheet1-style 242" pivot="0" count="2" xr9:uid="{00000000-0011-0000-FFFF-FFFFF1000000}">
      <tableStyleElement type="firstRowStripe" dxfId="317"/>
      <tableStyleElement type="secondRowStripe" dxfId="316"/>
    </tableStyle>
    <tableStyle name="Sheet1-style 243" pivot="0" count="2" xr9:uid="{00000000-0011-0000-FFFF-FFFFF2000000}">
      <tableStyleElement type="firstRowStripe" dxfId="315"/>
      <tableStyleElement type="secondRowStripe" dxfId="314"/>
    </tableStyle>
    <tableStyle name="Sheet1-style 244" pivot="0" count="2" xr9:uid="{00000000-0011-0000-FFFF-FFFFF3000000}">
      <tableStyleElement type="firstRowStripe" dxfId="313"/>
      <tableStyleElement type="secondRowStripe" dxfId="312"/>
    </tableStyle>
    <tableStyle name="Sheet1-style 245" pivot="0" count="2" xr9:uid="{00000000-0011-0000-FFFF-FFFFF4000000}">
      <tableStyleElement type="firstRowStripe" dxfId="311"/>
      <tableStyleElement type="secondRowStripe" dxfId="310"/>
    </tableStyle>
    <tableStyle name="Sheet1-style 246" pivot="0" count="2" xr9:uid="{00000000-0011-0000-FFFF-FFFFF5000000}">
      <tableStyleElement type="firstRowStripe" dxfId="309"/>
      <tableStyleElement type="secondRowStripe" dxfId="308"/>
    </tableStyle>
    <tableStyle name="Sheet1-style 247" pivot="0" count="2" xr9:uid="{00000000-0011-0000-FFFF-FFFFF6000000}">
      <tableStyleElement type="firstRowStripe" dxfId="307"/>
      <tableStyleElement type="secondRowStripe" dxfId="306"/>
    </tableStyle>
    <tableStyle name="Sheet1-style 248" pivot="0" count="2" xr9:uid="{00000000-0011-0000-FFFF-FFFFF7000000}">
      <tableStyleElement type="firstRowStripe" dxfId="305"/>
      <tableStyleElement type="secondRowStripe" dxfId="304"/>
    </tableStyle>
    <tableStyle name="Sheet1-style 249" pivot="0" count="2" xr9:uid="{00000000-0011-0000-FFFF-FFFFF8000000}">
      <tableStyleElement type="firstRowStripe" dxfId="303"/>
      <tableStyleElement type="secondRowStripe" dxfId="302"/>
    </tableStyle>
    <tableStyle name="Sheet1-style 250" pivot="0" count="2" xr9:uid="{00000000-0011-0000-FFFF-FFFFF9000000}">
      <tableStyleElement type="firstRowStripe" dxfId="301"/>
      <tableStyleElement type="secondRowStripe" dxfId="300"/>
    </tableStyle>
    <tableStyle name="Sheet1-style 251" pivot="0" count="2" xr9:uid="{00000000-0011-0000-FFFF-FFFFFA000000}">
      <tableStyleElement type="firstRowStripe" dxfId="299"/>
      <tableStyleElement type="secondRowStripe" dxfId="298"/>
    </tableStyle>
    <tableStyle name="Sheet1-style 252" pivot="0" count="2" xr9:uid="{00000000-0011-0000-FFFF-FFFFFB000000}">
      <tableStyleElement type="firstRowStripe" dxfId="297"/>
      <tableStyleElement type="secondRowStripe" dxfId="296"/>
    </tableStyle>
    <tableStyle name="Sheet1-style 253" pivot="0" count="2" xr9:uid="{00000000-0011-0000-FFFF-FFFFFC000000}">
      <tableStyleElement type="firstRowStripe" dxfId="295"/>
      <tableStyleElement type="secondRowStripe" dxfId="294"/>
    </tableStyle>
    <tableStyle name="Sheet1-style 254" pivot="0" count="2" xr9:uid="{00000000-0011-0000-FFFF-FFFFFD000000}">
      <tableStyleElement type="firstRowStripe" dxfId="293"/>
      <tableStyleElement type="secondRowStripe" dxfId="292"/>
    </tableStyle>
    <tableStyle name="Sheet1-style 255" pivot="0" count="2" xr9:uid="{00000000-0011-0000-FFFF-FFFFFE000000}">
      <tableStyleElement type="firstRowStripe" dxfId="291"/>
      <tableStyleElement type="secondRowStripe" dxfId="290"/>
    </tableStyle>
    <tableStyle name="Sheet1-style 256" pivot="0" count="2" xr9:uid="{00000000-0011-0000-FFFF-FFFFFF000000}">
      <tableStyleElement type="firstRowStripe" dxfId="289"/>
      <tableStyleElement type="secondRowStripe" dxfId="288"/>
    </tableStyle>
    <tableStyle name="Sheet1-style 257" pivot="0" count="2" xr9:uid="{00000000-0011-0000-FFFF-FFFF00010000}">
      <tableStyleElement type="firstRowStripe" dxfId="287"/>
      <tableStyleElement type="secondRowStripe" dxfId="286"/>
    </tableStyle>
    <tableStyle name="Sheet1-style 258" pivot="0" count="2" xr9:uid="{00000000-0011-0000-FFFF-FFFF01010000}">
      <tableStyleElement type="firstRowStripe" dxfId="285"/>
      <tableStyleElement type="secondRowStripe" dxfId="284"/>
    </tableStyle>
    <tableStyle name="Sheet1-style 259" pivot="0" count="2" xr9:uid="{00000000-0011-0000-FFFF-FFFF02010000}">
      <tableStyleElement type="firstRowStripe" dxfId="283"/>
      <tableStyleElement type="secondRowStripe" dxfId="282"/>
    </tableStyle>
    <tableStyle name="Sheet1-style 260" pivot="0" count="2" xr9:uid="{00000000-0011-0000-FFFF-FFFF03010000}">
      <tableStyleElement type="firstRowStripe" dxfId="281"/>
      <tableStyleElement type="secondRowStripe" dxfId="280"/>
    </tableStyle>
    <tableStyle name="Sheet1-style 261" pivot="0" count="2" xr9:uid="{00000000-0011-0000-FFFF-FFFF04010000}">
      <tableStyleElement type="firstRowStripe" dxfId="279"/>
      <tableStyleElement type="secondRowStripe" dxfId="278"/>
    </tableStyle>
    <tableStyle name="Sheet1-style 262" pivot="0" count="2" xr9:uid="{00000000-0011-0000-FFFF-FFFF05010000}">
      <tableStyleElement type="firstRowStripe" dxfId="277"/>
      <tableStyleElement type="secondRowStripe" dxfId="276"/>
    </tableStyle>
    <tableStyle name="Sheet1-style 263" pivot="0" count="2" xr9:uid="{00000000-0011-0000-FFFF-FFFF06010000}">
      <tableStyleElement type="firstRowStripe" dxfId="275"/>
      <tableStyleElement type="secondRowStripe" dxfId="274"/>
    </tableStyle>
    <tableStyle name="Sheet1-style 264" pivot="0" count="2" xr9:uid="{00000000-0011-0000-FFFF-FFFF07010000}">
      <tableStyleElement type="firstRowStripe" dxfId="273"/>
      <tableStyleElement type="secondRowStripe" dxfId="272"/>
    </tableStyle>
    <tableStyle name="Sheet1-style 265" pivot="0" count="2" xr9:uid="{00000000-0011-0000-FFFF-FFFF08010000}">
      <tableStyleElement type="firstRowStripe" dxfId="271"/>
      <tableStyleElement type="secondRowStripe" dxfId="270"/>
    </tableStyle>
    <tableStyle name="Sheet1-style 266" pivot="0" count="2" xr9:uid="{00000000-0011-0000-FFFF-FFFF09010000}">
      <tableStyleElement type="firstRowStripe" dxfId="269"/>
      <tableStyleElement type="secondRowStripe" dxfId="268"/>
    </tableStyle>
    <tableStyle name="Sheet1-style 267" pivot="0" count="2" xr9:uid="{00000000-0011-0000-FFFF-FFFF0A010000}">
      <tableStyleElement type="firstRowStripe" dxfId="267"/>
      <tableStyleElement type="secondRowStripe" dxfId="266"/>
    </tableStyle>
    <tableStyle name="Sheet1-style 268" pivot="0" count="2" xr9:uid="{00000000-0011-0000-FFFF-FFFF0B010000}">
      <tableStyleElement type="firstRowStripe" dxfId="265"/>
      <tableStyleElement type="secondRowStripe" dxfId="264"/>
    </tableStyle>
    <tableStyle name="Sheet1-style 269" pivot="0" count="2" xr9:uid="{00000000-0011-0000-FFFF-FFFF0C010000}">
      <tableStyleElement type="firstRowStripe" dxfId="263"/>
      <tableStyleElement type="secondRowStripe" dxfId="262"/>
    </tableStyle>
    <tableStyle name="Sheet1-style 270" pivot="0" count="2" xr9:uid="{00000000-0011-0000-FFFF-FFFF0D010000}">
      <tableStyleElement type="firstRowStripe" dxfId="261"/>
      <tableStyleElement type="secondRowStripe" dxfId="260"/>
    </tableStyle>
    <tableStyle name="Sheet1-style 271" pivot="0" count="2" xr9:uid="{00000000-0011-0000-FFFF-FFFF0E010000}">
      <tableStyleElement type="firstRowStripe" dxfId="259"/>
      <tableStyleElement type="secondRowStripe" dxfId="258"/>
    </tableStyle>
    <tableStyle name="Sheet1-style 272" pivot="0" count="2" xr9:uid="{00000000-0011-0000-FFFF-FFFF0F010000}">
      <tableStyleElement type="firstRowStripe" dxfId="257"/>
      <tableStyleElement type="secondRowStripe" dxfId="256"/>
    </tableStyle>
    <tableStyle name="Sheet1-style 273" pivot="0" count="2" xr9:uid="{00000000-0011-0000-FFFF-FFFF10010000}">
      <tableStyleElement type="firstRowStripe" dxfId="255"/>
      <tableStyleElement type="secondRowStripe" dxfId="254"/>
    </tableStyle>
    <tableStyle name="Sheet1-style 274" pivot="0" count="2" xr9:uid="{00000000-0011-0000-FFFF-FFFF11010000}">
      <tableStyleElement type="firstRowStripe" dxfId="253"/>
      <tableStyleElement type="secondRowStripe" dxfId="252"/>
    </tableStyle>
    <tableStyle name="Sheet1-style 275" pivot="0" count="2" xr9:uid="{00000000-0011-0000-FFFF-FFFF12010000}">
      <tableStyleElement type="firstRowStripe" dxfId="251"/>
      <tableStyleElement type="secondRowStripe" dxfId="250"/>
    </tableStyle>
    <tableStyle name="Sheet1-style 276" pivot="0" count="2" xr9:uid="{00000000-0011-0000-FFFF-FFFF13010000}">
      <tableStyleElement type="firstRowStripe" dxfId="249"/>
      <tableStyleElement type="secondRowStripe" dxfId="248"/>
    </tableStyle>
    <tableStyle name="Sheet1-style 277" pivot="0" count="2" xr9:uid="{00000000-0011-0000-FFFF-FFFF14010000}">
      <tableStyleElement type="firstRowStripe" dxfId="247"/>
      <tableStyleElement type="secondRowStripe" dxfId="246"/>
    </tableStyle>
    <tableStyle name="Sheet1-style 278" pivot="0" count="2" xr9:uid="{00000000-0011-0000-FFFF-FFFF15010000}">
      <tableStyleElement type="firstRowStripe" dxfId="245"/>
      <tableStyleElement type="secondRowStripe" dxfId="244"/>
    </tableStyle>
    <tableStyle name="Sheet1-style 279" pivot="0" count="2" xr9:uid="{00000000-0011-0000-FFFF-FFFF16010000}">
      <tableStyleElement type="firstRowStripe" dxfId="243"/>
      <tableStyleElement type="secondRowStripe" dxfId="242"/>
    </tableStyle>
    <tableStyle name="Sheet1-style 280" pivot="0" count="2" xr9:uid="{00000000-0011-0000-FFFF-FFFF17010000}">
      <tableStyleElement type="firstRowStripe" dxfId="241"/>
      <tableStyleElement type="secondRowStripe" dxfId="240"/>
    </tableStyle>
    <tableStyle name="Sheet1-style 281" pivot="0" count="2" xr9:uid="{00000000-0011-0000-FFFF-FFFF18010000}">
      <tableStyleElement type="firstRowStripe" dxfId="239"/>
      <tableStyleElement type="secondRowStripe" dxfId="238"/>
    </tableStyle>
    <tableStyle name="Sheet1-style 282" pivot="0" count="2" xr9:uid="{00000000-0011-0000-FFFF-FFFF19010000}">
      <tableStyleElement type="firstRowStripe" dxfId="237"/>
      <tableStyleElement type="secondRowStripe" dxfId="236"/>
    </tableStyle>
    <tableStyle name="Sheet1-style 283" pivot="0" count="2" xr9:uid="{00000000-0011-0000-FFFF-FFFF1A010000}">
      <tableStyleElement type="firstRowStripe" dxfId="235"/>
      <tableStyleElement type="secondRowStripe" dxfId="234"/>
    </tableStyle>
    <tableStyle name="Sheet1-style 284" pivot="0" count="2" xr9:uid="{00000000-0011-0000-FFFF-FFFF1B010000}">
      <tableStyleElement type="firstRowStripe" dxfId="233"/>
      <tableStyleElement type="secondRowStripe" dxfId="232"/>
    </tableStyle>
    <tableStyle name="Sheet1-style 285" pivot="0" count="2" xr9:uid="{00000000-0011-0000-FFFF-FFFF1C010000}">
      <tableStyleElement type="firstRowStripe" dxfId="231"/>
      <tableStyleElement type="secondRowStripe" dxfId="230"/>
    </tableStyle>
    <tableStyle name="Sheet1-style 286" pivot="0" count="2" xr9:uid="{00000000-0011-0000-FFFF-FFFF1D010000}">
      <tableStyleElement type="firstRowStripe" dxfId="229"/>
      <tableStyleElement type="secondRowStripe" dxfId="228"/>
    </tableStyle>
    <tableStyle name="Sheet1-style 287" pivot="0" count="2" xr9:uid="{00000000-0011-0000-FFFF-FFFF1E010000}">
      <tableStyleElement type="firstRowStripe" dxfId="227"/>
      <tableStyleElement type="secondRowStripe" dxfId="226"/>
    </tableStyle>
    <tableStyle name="Sheet1-style 288" pivot="0" count="2" xr9:uid="{00000000-0011-0000-FFFF-FFFF1F010000}">
      <tableStyleElement type="firstRowStripe" dxfId="225"/>
      <tableStyleElement type="secondRowStripe" dxfId="224"/>
    </tableStyle>
    <tableStyle name="Sheet1-style 289" pivot="0" count="2" xr9:uid="{00000000-0011-0000-FFFF-FFFF20010000}">
      <tableStyleElement type="firstRowStripe" dxfId="223"/>
      <tableStyleElement type="secondRowStripe" dxfId="222"/>
    </tableStyle>
    <tableStyle name="Sheet1-style 290" pivot="0" count="2" xr9:uid="{00000000-0011-0000-FFFF-FFFF21010000}">
      <tableStyleElement type="firstRowStripe" dxfId="221"/>
      <tableStyleElement type="secondRowStripe" dxfId="220"/>
    </tableStyle>
    <tableStyle name="Sheet1-style 291" pivot="0" count="2" xr9:uid="{00000000-0011-0000-FFFF-FFFF22010000}">
      <tableStyleElement type="firstRowStripe" dxfId="219"/>
      <tableStyleElement type="secondRowStripe" dxfId="218"/>
    </tableStyle>
    <tableStyle name="Sheet1-style 292" pivot="0" count="2" xr9:uid="{00000000-0011-0000-FFFF-FFFF23010000}">
      <tableStyleElement type="firstRowStripe" dxfId="217"/>
      <tableStyleElement type="secondRowStripe" dxfId="216"/>
    </tableStyle>
    <tableStyle name="Sheet1-style 293" pivot="0" count="2" xr9:uid="{00000000-0011-0000-FFFF-FFFF24010000}">
      <tableStyleElement type="firstRowStripe" dxfId="215"/>
      <tableStyleElement type="secondRowStripe" dxfId="214"/>
    </tableStyle>
    <tableStyle name="Sheet1-style 294" pivot="0" count="2" xr9:uid="{00000000-0011-0000-FFFF-FFFF25010000}">
      <tableStyleElement type="firstRowStripe" dxfId="213"/>
      <tableStyleElement type="secondRowStripe" dxfId="212"/>
    </tableStyle>
    <tableStyle name="Sheet1-style 295" pivot="0" count="2" xr9:uid="{00000000-0011-0000-FFFF-FFFF26010000}">
      <tableStyleElement type="firstRowStripe" dxfId="211"/>
      <tableStyleElement type="secondRowStripe" dxfId="210"/>
    </tableStyle>
    <tableStyle name="Sheet1-style 296" pivot="0" count="2" xr9:uid="{00000000-0011-0000-FFFF-FFFF27010000}">
      <tableStyleElement type="firstRowStripe" dxfId="209"/>
      <tableStyleElement type="secondRowStripe" dxfId="208"/>
    </tableStyle>
    <tableStyle name="Sheet1-style 297" pivot="0" count="2" xr9:uid="{00000000-0011-0000-FFFF-FFFF28010000}">
      <tableStyleElement type="firstRowStripe" dxfId="207"/>
      <tableStyleElement type="secondRowStripe" dxfId="206"/>
    </tableStyle>
    <tableStyle name="Sheet1-style 298" pivot="0" count="2" xr9:uid="{00000000-0011-0000-FFFF-FFFF29010000}">
      <tableStyleElement type="firstRowStripe" dxfId="205"/>
      <tableStyleElement type="secondRowStripe" dxfId="204"/>
    </tableStyle>
    <tableStyle name="Sheet1-style 299" pivot="0" count="2" xr9:uid="{00000000-0011-0000-FFFF-FFFF2A010000}">
      <tableStyleElement type="firstRowStripe" dxfId="203"/>
      <tableStyleElement type="secondRowStripe" dxfId="202"/>
    </tableStyle>
    <tableStyle name="Sheet1-style 300" pivot="0" count="2" xr9:uid="{00000000-0011-0000-FFFF-FFFF2B010000}">
      <tableStyleElement type="firstRowStripe" dxfId="201"/>
      <tableStyleElement type="secondRowStripe" dxfId="200"/>
    </tableStyle>
    <tableStyle name="Sheet1-style 301" pivot="0" count="2" xr9:uid="{00000000-0011-0000-FFFF-FFFF2C010000}">
      <tableStyleElement type="firstRowStripe" dxfId="199"/>
      <tableStyleElement type="secondRowStripe" dxfId="198"/>
    </tableStyle>
    <tableStyle name="Sheet1-style 302" pivot="0" count="2" xr9:uid="{00000000-0011-0000-FFFF-FFFF2D010000}">
      <tableStyleElement type="firstRowStripe" dxfId="197"/>
      <tableStyleElement type="secondRowStripe" dxfId="196"/>
    </tableStyle>
    <tableStyle name="Sheet1-style 303" pivot="0" count="2" xr9:uid="{00000000-0011-0000-FFFF-FFFF2E010000}">
      <tableStyleElement type="firstRowStripe" dxfId="195"/>
      <tableStyleElement type="secondRowStripe" dxfId="194"/>
    </tableStyle>
    <tableStyle name="Sheet1-style 304" pivot="0" count="2" xr9:uid="{00000000-0011-0000-FFFF-FFFF2F010000}">
      <tableStyleElement type="firstRowStripe" dxfId="193"/>
      <tableStyleElement type="secondRowStripe" dxfId="192"/>
    </tableStyle>
    <tableStyle name="Sheet1-style 305" pivot="0" count="2" xr9:uid="{00000000-0011-0000-FFFF-FFFF30010000}">
      <tableStyleElement type="firstRowStripe" dxfId="191"/>
      <tableStyleElement type="secondRowStripe" dxfId="190"/>
    </tableStyle>
    <tableStyle name="Sheet1-style 306" pivot="0" count="2" xr9:uid="{00000000-0011-0000-FFFF-FFFF31010000}">
      <tableStyleElement type="firstRowStripe" dxfId="189"/>
      <tableStyleElement type="secondRowStripe" dxfId="188"/>
    </tableStyle>
    <tableStyle name="Sheet1-style 307" pivot="0" count="2" xr9:uid="{00000000-0011-0000-FFFF-FFFF32010000}">
      <tableStyleElement type="firstRowStripe" dxfId="187"/>
      <tableStyleElement type="secondRowStripe" dxfId="186"/>
    </tableStyle>
    <tableStyle name="Sheet1-style 308" pivot="0" count="2" xr9:uid="{00000000-0011-0000-FFFF-FFFF33010000}">
      <tableStyleElement type="firstRowStripe" dxfId="185"/>
      <tableStyleElement type="secondRowStripe" dxfId="184"/>
    </tableStyle>
    <tableStyle name="Sheet1-style 309" pivot="0" count="2" xr9:uid="{00000000-0011-0000-FFFF-FFFF34010000}">
      <tableStyleElement type="firstRowStripe" dxfId="183"/>
      <tableStyleElement type="secondRowStripe" dxfId="182"/>
    </tableStyle>
    <tableStyle name="Sheet1-style 310" pivot="0" count="2" xr9:uid="{00000000-0011-0000-FFFF-FFFF35010000}">
      <tableStyleElement type="firstRowStripe" dxfId="181"/>
      <tableStyleElement type="secondRowStripe" dxfId="180"/>
    </tableStyle>
    <tableStyle name="Sheet1-style 311" pivot="0" count="2" xr9:uid="{00000000-0011-0000-FFFF-FFFF36010000}">
      <tableStyleElement type="firstRowStripe" dxfId="179"/>
      <tableStyleElement type="secondRowStripe" dxfId="178"/>
    </tableStyle>
    <tableStyle name="Sheet1-style 312" pivot="0" count="2" xr9:uid="{00000000-0011-0000-FFFF-FFFF37010000}">
      <tableStyleElement type="firstRowStripe" dxfId="177"/>
      <tableStyleElement type="secondRowStripe" dxfId="176"/>
    </tableStyle>
    <tableStyle name="Sheet1-style 313" pivot="0" count="2" xr9:uid="{00000000-0011-0000-FFFF-FFFF38010000}">
      <tableStyleElement type="firstRowStripe" dxfId="175"/>
      <tableStyleElement type="secondRowStripe" dxfId="174"/>
    </tableStyle>
    <tableStyle name="Sheet1-style 314" pivot="0" count="2" xr9:uid="{00000000-0011-0000-FFFF-FFFF39010000}">
      <tableStyleElement type="firstRowStripe" dxfId="173"/>
      <tableStyleElement type="secondRowStripe" dxfId="172"/>
    </tableStyle>
    <tableStyle name="Sheet1-style 315" pivot="0" count="2" xr9:uid="{00000000-0011-0000-FFFF-FFFF3A010000}">
      <tableStyleElement type="firstRowStripe" dxfId="171"/>
      <tableStyleElement type="secondRowStripe" dxfId="170"/>
    </tableStyle>
    <tableStyle name="Sheet1-style 316" pivot="0" count="2" xr9:uid="{00000000-0011-0000-FFFF-FFFF3B010000}">
      <tableStyleElement type="firstRowStripe" dxfId="169"/>
      <tableStyleElement type="secondRowStripe" dxfId="168"/>
    </tableStyle>
    <tableStyle name="Sheet1-style 317" pivot="0" count="2" xr9:uid="{00000000-0011-0000-FFFF-FFFF3C010000}">
      <tableStyleElement type="firstRowStripe" dxfId="167"/>
      <tableStyleElement type="secondRowStripe" dxfId="166"/>
    </tableStyle>
    <tableStyle name="Sheet1-style 318" pivot="0" count="2" xr9:uid="{00000000-0011-0000-FFFF-FFFF3D010000}">
      <tableStyleElement type="firstRowStripe" dxfId="165"/>
      <tableStyleElement type="secondRowStripe" dxfId="164"/>
    </tableStyle>
    <tableStyle name="Sheet1-style 319" pivot="0" count="2" xr9:uid="{00000000-0011-0000-FFFF-FFFF3E010000}">
      <tableStyleElement type="firstRowStripe" dxfId="163"/>
      <tableStyleElement type="secondRowStripe" dxfId="162"/>
    </tableStyle>
    <tableStyle name="Sheet1-style 320" pivot="0" count="2" xr9:uid="{00000000-0011-0000-FFFF-FFFF3F010000}">
      <tableStyleElement type="firstRowStripe" dxfId="161"/>
      <tableStyleElement type="secondRowStripe" dxfId="160"/>
    </tableStyle>
    <tableStyle name="Sheet1-style 321" pivot="0" count="2" xr9:uid="{00000000-0011-0000-FFFF-FFFF40010000}">
      <tableStyleElement type="firstRowStripe" dxfId="159"/>
      <tableStyleElement type="secondRowStripe" dxfId="158"/>
    </tableStyle>
    <tableStyle name="Sheet1-style 322" pivot="0" count="2" xr9:uid="{00000000-0011-0000-FFFF-FFFF41010000}">
      <tableStyleElement type="firstRowStripe" dxfId="157"/>
      <tableStyleElement type="secondRowStripe" dxfId="156"/>
    </tableStyle>
    <tableStyle name="Sheet1-style 323" pivot="0" count="2" xr9:uid="{00000000-0011-0000-FFFF-FFFF42010000}">
      <tableStyleElement type="firstRowStripe" dxfId="155"/>
      <tableStyleElement type="secondRowStripe" dxfId="154"/>
    </tableStyle>
    <tableStyle name="Sheet1-style 324" pivot="0" count="2" xr9:uid="{00000000-0011-0000-FFFF-FFFF43010000}">
      <tableStyleElement type="firstRowStripe" dxfId="153"/>
      <tableStyleElement type="secondRowStripe" dxfId="152"/>
    </tableStyle>
    <tableStyle name="Sheet1-style 325" pivot="0" count="2" xr9:uid="{00000000-0011-0000-FFFF-FFFF44010000}">
      <tableStyleElement type="firstRowStripe" dxfId="151"/>
      <tableStyleElement type="secondRowStripe" dxfId="150"/>
    </tableStyle>
    <tableStyle name="Sheet1-style 326" pivot="0" count="2" xr9:uid="{00000000-0011-0000-FFFF-FFFF45010000}">
      <tableStyleElement type="firstRowStripe" dxfId="149"/>
      <tableStyleElement type="secondRowStripe" dxfId="148"/>
    </tableStyle>
    <tableStyle name="Sheet1-style 327" pivot="0" count="2" xr9:uid="{00000000-0011-0000-FFFF-FFFF46010000}">
      <tableStyleElement type="firstRowStripe" dxfId="147"/>
      <tableStyleElement type="secondRowStripe" dxfId="146"/>
    </tableStyle>
    <tableStyle name="Sheet1-style 328" pivot="0" count="2" xr9:uid="{00000000-0011-0000-FFFF-FFFF47010000}">
      <tableStyleElement type="firstRowStripe" dxfId="145"/>
      <tableStyleElement type="secondRowStripe" dxfId="144"/>
    </tableStyle>
    <tableStyle name="Sheet1-style 329" pivot="0" count="2" xr9:uid="{00000000-0011-0000-FFFF-FFFF48010000}">
      <tableStyleElement type="firstRowStripe" dxfId="143"/>
      <tableStyleElement type="secondRowStripe" dxfId="142"/>
    </tableStyle>
    <tableStyle name="Sheet1-style 330" pivot="0" count="2" xr9:uid="{00000000-0011-0000-FFFF-FFFF49010000}">
      <tableStyleElement type="firstRowStripe" dxfId="141"/>
      <tableStyleElement type="secondRowStripe" dxfId="140"/>
    </tableStyle>
    <tableStyle name="Sheet1-style 331" pivot="0" count="2" xr9:uid="{00000000-0011-0000-FFFF-FFFF4A010000}">
      <tableStyleElement type="firstRowStripe" dxfId="139"/>
      <tableStyleElement type="secondRowStripe" dxfId="138"/>
    </tableStyle>
    <tableStyle name="Sheet1-style 332" pivot="0" count="2" xr9:uid="{00000000-0011-0000-FFFF-FFFF4B010000}">
      <tableStyleElement type="firstRowStripe" dxfId="137"/>
      <tableStyleElement type="secondRowStripe" dxfId="136"/>
    </tableStyle>
    <tableStyle name="Sheet1-style 333" pivot="0" count="2" xr9:uid="{00000000-0011-0000-FFFF-FFFF4C010000}">
      <tableStyleElement type="firstRowStripe" dxfId="135"/>
      <tableStyleElement type="secondRowStripe" dxfId="134"/>
    </tableStyle>
    <tableStyle name="Sheet1-style 334" pivot="0" count="2" xr9:uid="{00000000-0011-0000-FFFF-FFFF4D010000}">
      <tableStyleElement type="firstRowStripe" dxfId="133"/>
      <tableStyleElement type="secondRowStripe" dxfId="132"/>
    </tableStyle>
    <tableStyle name="Sheet1-style 335" pivot="0" count="2" xr9:uid="{00000000-0011-0000-FFFF-FFFF4E010000}">
      <tableStyleElement type="firstRowStripe" dxfId="131"/>
      <tableStyleElement type="secondRowStripe" dxfId="130"/>
    </tableStyle>
    <tableStyle name="Sheet1-style 336" pivot="0" count="2" xr9:uid="{00000000-0011-0000-FFFF-FFFF4F010000}">
      <tableStyleElement type="firstRowStripe" dxfId="129"/>
      <tableStyleElement type="secondRowStripe" dxfId="128"/>
    </tableStyle>
    <tableStyle name="Sheet1-style 337" pivot="0" count="2" xr9:uid="{00000000-0011-0000-FFFF-FFFF50010000}">
      <tableStyleElement type="firstRowStripe" dxfId="127"/>
      <tableStyleElement type="secondRowStripe" dxfId="126"/>
    </tableStyle>
    <tableStyle name="Sheet1-style 338" pivot="0" count="2" xr9:uid="{00000000-0011-0000-FFFF-FFFF51010000}">
      <tableStyleElement type="firstRowStripe" dxfId="125"/>
      <tableStyleElement type="secondRowStripe" dxfId="124"/>
    </tableStyle>
    <tableStyle name="Sheet1-style 339" pivot="0" count="2" xr9:uid="{00000000-0011-0000-FFFF-FFFF52010000}">
      <tableStyleElement type="firstRowStripe" dxfId="123"/>
      <tableStyleElement type="secondRowStripe" dxfId="122"/>
    </tableStyle>
    <tableStyle name="Sheet1-style 340" pivot="0" count="2" xr9:uid="{00000000-0011-0000-FFFF-FFFF53010000}">
      <tableStyleElement type="firstRowStripe" dxfId="121"/>
      <tableStyleElement type="secondRowStripe" dxfId="120"/>
    </tableStyle>
    <tableStyle name="Sheet1-style 341" pivot="0" count="2" xr9:uid="{00000000-0011-0000-FFFF-FFFF54010000}">
      <tableStyleElement type="firstRowStripe" dxfId="119"/>
      <tableStyleElement type="secondRowStripe" dxfId="118"/>
    </tableStyle>
    <tableStyle name="Sheet1-style 342" pivot="0" count="2" xr9:uid="{00000000-0011-0000-FFFF-FFFF55010000}">
      <tableStyleElement type="firstRowStripe" dxfId="117"/>
      <tableStyleElement type="secondRowStripe" dxfId="116"/>
    </tableStyle>
    <tableStyle name="Sheet1-style 343" pivot="0" count="2" xr9:uid="{00000000-0011-0000-FFFF-FFFF56010000}">
      <tableStyleElement type="firstRowStripe" dxfId="115"/>
      <tableStyleElement type="secondRowStripe" dxfId="114"/>
    </tableStyle>
    <tableStyle name="Sheet1-style 344" pivot="0" count="2" xr9:uid="{00000000-0011-0000-FFFF-FFFF57010000}">
      <tableStyleElement type="firstRowStripe" dxfId="113"/>
      <tableStyleElement type="secondRowStripe" dxfId="112"/>
    </tableStyle>
    <tableStyle name="Sheet1-style 345" pivot="0" count="2" xr9:uid="{00000000-0011-0000-FFFF-FFFF58010000}">
      <tableStyleElement type="firstRowStripe" dxfId="111"/>
      <tableStyleElement type="secondRowStripe" dxfId="110"/>
    </tableStyle>
    <tableStyle name="Sheet1-style 346" pivot="0" count="2" xr9:uid="{00000000-0011-0000-FFFF-FFFF59010000}">
      <tableStyleElement type="firstRowStripe" dxfId="109"/>
      <tableStyleElement type="secondRowStripe" dxfId="108"/>
    </tableStyle>
    <tableStyle name="Sheet1-style 347" pivot="0" count="2" xr9:uid="{00000000-0011-0000-FFFF-FFFF5A010000}">
      <tableStyleElement type="firstRowStripe" dxfId="107"/>
      <tableStyleElement type="secondRowStripe" dxfId="106"/>
    </tableStyle>
    <tableStyle name="Sheet1-style 348" pivot="0" count="2" xr9:uid="{00000000-0011-0000-FFFF-FFFF5B010000}">
      <tableStyleElement type="firstRowStripe" dxfId="105"/>
      <tableStyleElement type="secondRowStripe" dxfId="104"/>
    </tableStyle>
    <tableStyle name="Sheet1-style 349" pivot="0" count="2" xr9:uid="{00000000-0011-0000-FFFF-FFFF5C010000}">
      <tableStyleElement type="firstRowStripe" dxfId="103"/>
      <tableStyleElement type="secondRowStripe" dxfId="102"/>
    </tableStyle>
    <tableStyle name="Sheet1-style 350" pivot="0" count="2" xr9:uid="{00000000-0011-0000-FFFF-FFFF5D010000}">
      <tableStyleElement type="firstRowStripe" dxfId="101"/>
      <tableStyleElement type="secondRowStripe" dxfId="100"/>
    </tableStyle>
    <tableStyle name="Sheet1-style 351" pivot="0" count="2" xr9:uid="{00000000-0011-0000-FFFF-FFFF5E010000}">
      <tableStyleElement type="firstRowStripe" dxfId="99"/>
      <tableStyleElement type="secondRowStripe" dxfId="98"/>
    </tableStyle>
    <tableStyle name="Sheet1-style 352" pivot="0" count="2" xr9:uid="{00000000-0011-0000-FFFF-FFFF5F010000}">
      <tableStyleElement type="firstRowStripe" dxfId="97"/>
      <tableStyleElement type="secondRowStripe" dxfId="96"/>
    </tableStyle>
    <tableStyle name="Sheet1-style 353" pivot="0" count="2" xr9:uid="{00000000-0011-0000-FFFF-FFFF60010000}">
      <tableStyleElement type="firstRowStripe" dxfId="95"/>
      <tableStyleElement type="secondRowStripe" dxfId="94"/>
    </tableStyle>
    <tableStyle name="Sheet1-style 354" pivot="0" count="2" xr9:uid="{00000000-0011-0000-FFFF-FFFF61010000}">
      <tableStyleElement type="firstRowStripe" dxfId="93"/>
      <tableStyleElement type="secondRowStripe" dxfId="92"/>
    </tableStyle>
    <tableStyle name="Sheet1-style 355" pivot="0" count="2" xr9:uid="{00000000-0011-0000-FFFF-FFFF62010000}">
      <tableStyleElement type="firstRowStripe" dxfId="91"/>
      <tableStyleElement type="secondRowStripe" dxfId="90"/>
    </tableStyle>
    <tableStyle name="Sheet1-style 356" pivot="0" count="2" xr9:uid="{00000000-0011-0000-FFFF-FFFF63010000}">
      <tableStyleElement type="firstRowStripe" dxfId="89"/>
      <tableStyleElement type="secondRowStripe" dxfId="88"/>
    </tableStyle>
    <tableStyle name="Sheet1-style 357" pivot="0" count="2" xr9:uid="{00000000-0011-0000-FFFF-FFFF64010000}">
      <tableStyleElement type="firstRowStripe" dxfId="87"/>
      <tableStyleElement type="secondRowStripe" dxfId="86"/>
    </tableStyle>
    <tableStyle name="Sheet1-style 358" pivot="0" count="2" xr9:uid="{00000000-0011-0000-FFFF-FFFF65010000}">
      <tableStyleElement type="firstRowStripe" dxfId="85"/>
      <tableStyleElement type="secondRowStripe" dxfId="84"/>
    </tableStyle>
    <tableStyle name="Sheet1-style 359" pivot="0" count="2" xr9:uid="{00000000-0011-0000-FFFF-FFFF66010000}">
      <tableStyleElement type="firstRowStripe" dxfId="83"/>
      <tableStyleElement type="secondRowStripe" dxfId="82"/>
    </tableStyle>
    <tableStyle name="Sheet1-style 360" pivot="0" count="2" xr9:uid="{00000000-0011-0000-FFFF-FFFF67010000}">
      <tableStyleElement type="firstRowStripe" dxfId="81"/>
      <tableStyleElement type="secondRowStripe" dxfId="80"/>
    </tableStyle>
    <tableStyle name="Sheet1-style 361" pivot="0" count="2" xr9:uid="{00000000-0011-0000-FFFF-FFFF68010000}">
      <tableStyleElement type="firstRowStripe" dxfId="79"/>
      <tableStyleElement type="secondRowStripe" dxfId="78"/>
    </tableStyle>
    <tableStyle name="Sheet1-style 362" pivot="0" count="2" xr9:uid="{00000000-0011-0000-FFFF-FFFF69010000}">
      <tableStyleElement type="firstRowStripe" dxfId="77"/>
      <tableStyleElement type="secondRowStripe" dxfId="76"/>
    </tableStyle>
    <tableStyle name="Sheet1-style 363" pivot="0" count="2" xr9:uid="{00000000-0011-0000-FFFF-FFFF6A010000}">
      <tableStyleElement type="firstRowStripe" dxfId="75"/>
      <tableStyleElement type="secondRowStripe" dxfId="74"/>
    </tableStyle>
    <tableStyle name="Sheet1-style 364" pivot="0" count="2" xr9:uid="{00000000-0011-0000-FFFF-FFFF6B010000}">
      <tableStyleElement type="firstRowStripe" dxfId="73"/>
      <tableStyleElement type="secondRowStripe" dxfId="72"/>
    </tableStyle>
    <tableStyle name="Sheet1-style 365" pivot="0" count="2" xr9:uid="{00000000-0011-0000-FFFF-FFFF6C010000}">
      <tableStyleElement type="firstRowStripe" dxfId="71"/>
      <tableStyleElement type="secondRowStripe" dxfId="70"/>
    </tableStyle>
    <tableStyle name="Sheet1-style 366" pivot="0" count="2" xr9:uid="{00000000-0011-0000-FFFF-FFFF6D010000}">
      <tableStyleElement type="firstRowStripe" dxfId="69"/>
      <tableStyleElement type="secondRowStripe" dxfId="68"/>
    </tableStyle>
    <tableStyle name="Sheet1-style 367" pivot="0" count="2" xr9:uid="{00000000-0011-0000-FFFF-FFFF6E010000}">
      <tableStyleElement type="firstRowStripe" dxfId="67"/>
      <tableStyleElement type="secondRowStripe" dxfId="66"/>
    </tableStyle>
    <tableStyle name="Sheet1-style 368" pivot="0" count="2" xr9:uid="{00000000-0011-0000-FFFF-FFFF6F010000}">
      <tableStyleElement type="firstRowStripe" dxfId="65"/>
      <tableStyleElement type="secondRowStripe" dxfId="64"/>
    </tableStyle>
    <tableStyle name="Sheet1-style 369" pivot="0" count="2" xr9:uid="{00000000-0011-0000-FFFF-FFFF70010000}">
      <tableStyleElement type="firstRowStripe" dxfId="63"/>
      <tableStyleElement type="secondRowStripe" dxfId="62"/>
    </tableStyle>
    <tableStyle name="Sheet1-style 370" pivot="0" count="2" xr9:uid="{00000000-0011-0000-FFFF-FFFF71010000}">
      <tableStyleElement type="firstRowStripe" dxfId="61"/>
      <tableStyleElement type="secondRowStripe" dxfId="60"/>
    </tableStyle>
    <tableStyle name="Sheet1-style 371" pivot="0" count="2" xr9:uid="{00000000-0011-0000-FFFF-FFFF72010000}">
      <tableStyleElement type="firstRowStripe" dxfId="59"/>
      <tableStyleElement type="secondRowStripe" dxfId="58"/>
    </tableStyle>
    <tableStyle name="Sheet1-style 372" pivot="0" count="2" xr9:uid="{00000000-0011-0000-FFFF-FFFF73010000}">
      <tableStyleElement type="firstRowStripe" dxfId="57"/>
      <tableStyleElement type="secondRowStripe" dxfId="56"/>
    </tableStyle>
    <tableStyle name="Sheet1-style 373" pivot="0" count="2" xr9:uid="{00000000-0011-0000-FFFF-FFFF74010000}">
      <tableStyleElement type="firstRowStripe" dxfId="55"/>
      <tableStyleElement type="secondRowStripe" dxfId="54"/>
    </tableStyle>
    <tableStyle name="Sheet1-style 374" pivot="0" count="2" xr9:uid="{00000000-0011-0000-FFFF-FFFF75010000}">
      <tableStyleElement type="firstRowStripe" dxfId="53"/>
      <tableStyleElement type="secondRowStripe" dxfId="52"/>
    </tableStyle>
    <tableStyle name="Sheet1-style 375" pivot="0" count="2" xr9:uid="{00000000-0011-0000-FFFF-FFFF76010000}">
      <tableStyleElement type="firstRowStripe" dxfId="51"/>
      <tableStyleElement type="secondRowStripe" dxfId="50"/>
    </tableStyle>
    <tableStyle name="Sheet1-style 376" pivot="0" count="2" xr9:uid="{00000000-0011-0000-FFFF-FFFF77010000}">
      <tableStyleElement type="firstRowStripe" dxfId="49"/>
      <tableStyleElement type="secondRowStripe" dxfId="48"/>
    </tableStyle>
    <tableStyle name="Sheet1-style 377" pivot="0" count="2" xr9:uid="{00000000-0011-0000-FFFF-FFFF78010000}">
      <tableStyleElement type="firstRowStripe" dxfId="47"/>
      <tableStyleElement type="secondRowStripe" dxfId="46"/>
    </tableStyle>
    <tableStyle name="Sheet1-style 378" pivot="0" count="2" xr9:uid="{00000000-0011-0000-FFFF-FFFF79010000}">
      <tableStyleElement type="firstRowStripe" dxfId="45"/>
      <tableStyleElement type="secondRowStripe" dxfId="44"/>
    </tableStyle>
    <tableStyle name="Sheet1-style 379" pivot="0" count="2" xr9:uid="{00000000-0011-0000-FFFF-FFFF7A010000}">
      <tableStyleElement type="firstRowStripe" dxfId="43"/>
      <tableStyleElement type="secondRowStripe" dxfId="42"/>
    </tableStyle>
    <tableStyle name="Sheet1-style 380" pivot="0" count="2" xr9:uid="{00000000-0011-0000-FFFF-FFFF7B010000}">
      <tableStyleElement type="firstRowStripe" dxfId="41"/>
      <tableStyleElement type="secondRowStripe" dxfId="40"/>
    </tableStyle>
    <tableStyle name="Sheet1-style 381" pivot="0" count="2" xr9:uid="{00000000-0011-0000-FFFF-FFFF7C010000}">
      <tableStyleElement type="firstRowStripe" dxfId="39"/>
      <tableStyleElement type="secondRowStripe" dxfId="38"/>
    </tableStyle>
    <tableStyle name="Sheet1-style 382" pivot="0" count="2" xr9:uid="{00000000-0011-0000-FFFF-FFFF7D010000}">
      <tableStyleElement type="firstRowStripe" dxfId="37"/>
      <tableStyleElement type="secondRowStripe" dxfId="36"/>
    </tableStyle>
    <tableStyle name="Sheet1-style 383" pivot="0" count="2" xr9:uid="{00000000-0011-0000-FFFF-FFFF7E010000}">
      <tableStyleElement type="firstRowStripe" dxfId="35"/>
      <tableStyleElement type="secondRowStripe" dxfId="34"/>
    </tableStyle>
    <tableStyle name="Sheet1-style 384" pivot="0" count="2" xr9:uid="{00000000-0011-0000-FFFF-FFFF7F010000}">
      <tableStyleElement type="firstRowStripe" dxfId="33"/>
      <tableStyleElement type="secondRowStripe" dxfId="32"/>
    </tableStyle>
    <tableStyle name="Sheet1-style 385" pivot="0" count="2" xr9:uid="{00000000-0011-0000-FFFF-FFFF80010000}">
      <tableStyleElement type="firstRowStripe" dxfId="31"/>
      <tableStyleElement type="secondRowStripe" dxfId="30"/>
    </tableStyle>
    <tableStyle name="Sheet1-style 386" pivot="0" count="2" xr9:uid="{00000000-0011-0000-FFFF-FFFF81010000}">
      <tableStyleElement type="firstRowStripe" dxfId="29"/>
      <tableStyleElement type="secondRowStripe" dxfId="28"/>
    </tableStyle>
    <tableStyle name="Sheet1-style 387" pivot="0" count="2" xr9:uid="{00000000-0011-0000-FFFF-FFFF82010000}">
      <tableStyleElement type="firstRowStripe" dxfId="27"/>
      <tableStyleElement type="secondRowStripe" dxfId="26"/>
    </tableStyle>
    <tableStyle name="Sheet1-style 388" pivot="0" count="2" xr9:uid="{00000000-0011-0000-FFFF-FFFF83010000}">
      <tableStyleElement type="firstRowStripe" dxfId="25"/>
      <tableStyleElement type="secondRowStripe" dxfId="24"/>
    </tableStyle>
    <tableStyle name="Sheet1-style 389" pivot="0" count="2" xr9:uid="{00000000-0011-0000-FFFF-FFFF84010000}">
      <tableStyleElement type="firstRowStripe" dxfId="23"/>
      <tableStyleElement type="secondRowStripe" dxfId="22"/>
    </tableStyle>
    <tableStyle name="Sheet1-style 390" pivot="0" count="2" xr9:uid="{00000000-0011-0000-FFFF-FFFF85010000}">
      <tableStyleElement type="firstRowStripe" dxfId="21"/>
      <tableStyleElement type="secondRowStripe" dxfId="20"/>
    </tableStyle>
    <tableStyle name="Sheet1-style 391" pivot="0" count="2" xr9:uid="{00000000-0011-0000-FFFF-FFFF86010000}">
      <tableStyleElement type="firstRowStripe" dxfId="19"/>
      <tableStyleElement type="secondRowStripe" dxfId="18"/>
    </tableStyle>
    <tableStyle name="Sheet1-style 392" pivot="0" count="2" xr9:uid="{00000000-0011-0000-FFFF-FFFF87010000}">
      <tableStyleElement type="firstRowStripe" dxfId="17"/>
      <tableStyleElement type="secondRowStripe" dxfId="16"/>
    </tableStyle>
    <tableStyle name="Sheet1-style 393" pivot="0" count="2" xr9:uid="{00000000-0011-0000-FFFF-FFFF88010000}">
      <tableStyleElement type="firstRowStripe" dxfId="15"/>
      <tableStyleElement type="secondRowStripe" dxfId="14"/>
    </tableStyle>
    <tableStyle name="Sheet1-style 394" pivot="0" count="2" xr9:uid="{00000000-0011-0000-FFFF-FFFF89010000}">
      <tableStyleElement type="firstRowStripe" dxfId="13"/>
      <tableStyleElement type="secondRowStripe" dxfId="12"/>
    </tableStyle>
    <tableStyle name="Sheet1-style 395" pivot="0" count="2" xr9:uid="{00000000-0011-0000-FFFF-FFFF8A010000}">
      <tableStyleElement type="firstRowStripe" dxfId="11"/>
      <tableStyleElement type="secondRowStripe" dxfId="10"/>
    </tableStyle>
    <tableStyle name="Sheet1-style 396" pivot="0" count="2" xr9:uid="{00000000-0011-0000-FFFF-FFFF8B010000}">
      <tableStyleElement type="firstRowStripe" dxfId="9"/>
      <tableStyleElement type="secondRowStripe" dxfId="8"/>
    </tableStyle>
    <tableStyle name="Sheet1-style 397" pivot="0" count="2" xr9:uid="{00000000-0011-0000-FFFF-FFFF8C010000}">
      <tableStyleElement type="firstRowStripe" dxfId="7"/>
      <tableStyleElement type="secondRowStripe" dxfId="6"/>
    </tableStyle>
    <tableStyle name="Sheet1-style 398" pivot="0" count="2" xr9:uid="{00000000-0011-0000-FFFF-FFFF8D010000}">
      <tableStyleElement type="firstRowStripe" dxfId="5"/>
      <tableStyleElement type="secondRowStripe" dxfId="4"/>
    </tableStyle>
    <tableStyle name="Sheet1-style 399" pivot="0" count="2" xr9:uid="{00000000-0011-0000-FFFF-FFFF8E010000}">
      <tableStyleElement type="firstRowStripe" dxfId="3"/>
      <tableStyleElement type="secondRowStripe" dxfId="2"/>
    </tableStyle>
    <tableStyle name="Sheet1-style 400" pivot="0" count="2" xr9:uid="{00000000-0011-0000-FFFF-FFFF8F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7:E18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31:E32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45:E46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59:E60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73:E74" headerRowCount="0">
  <tableColumns count="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88:E89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Sheet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02:E103" headerRowCount="0">
  <tableColumns count="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</tableColumns>
  <tableStyleInfo name="Sheet1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117:E118" headerRowCount="0">
  <tableColumns count="4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</tableColumns>
  <tableStyleInfo name="Sheet1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130:E131" headerRowCount="0">
  <tableColumns count="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</tableColumns>
  <tableStyleInfo name="Sheet1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144:E145" headerRowCount="0">
  <tableColumns count="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</tableColumns>
  <tableStyleInfo name="Sheet1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158:E159" headerRowCount="0">
  <tableColumns count="4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</tableColumns>
  <tableStyleInfo name="Sheet1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171:E172" headerRowCount="0">
  <tableColumns count="4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</tableColumns>
  <tableStyleInfo name="Sheet1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185:E186" headerRowCount="0">
  <tableColumns count="4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</tableColumns>
  <tableStyleInfo name="Sheet1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200:E201" headerRowCount="0">
  <tableColumns count="4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</tableColumns>
  <tableStyleInfo name="Sheet1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216:E217" headerRowCount="0">
  <tableColumns count="4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</tableColumns>
  <tableStyleInfo name="Sheet1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231:E232" headerRowCount="0">
  <tableColumns count="4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</tableColumns>
  <tableStyleInfo name="Sheet1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247:E248" headerRowCount="0">
  <tableColumns count="4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</tableColumns>
  <tableStyleInfo name="Sheet1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262:E263" headerRowCount="0">
  <tableColumns count="4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</tableColumns>
  <tableStyleInfo name="Sheet1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276:E277" headerRowCount="0">
  <tableColumns count="4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</tableColumns>
  <tableStyleInfo name="Sheet1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291:E292" headerRowCount="0">
  <tableColumns count="4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</tableColumns>
  <tableStyleInfo name="Sheet1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B307:E308" headerRowCount="0">
  <tableColumns count="4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</tableColumns>
  <tableStyleInfo name="Sheet1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321:E322" headerRowCount="0">
  <tableColumns count="4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</tableColumns>
  <tableStyleInfo name="Sheet1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B336:E337" headerRowCount="0">
  <tableColumns count="4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</tableColumns>
  <tableStyleInfo name="Sheet1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B352:E353" headerRowCount="0">
  <tableColumns count="4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</tableColumns>
  <tableStyleInfo name="Sheet1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367:E368" headerRowCount="0">
  <tableColumns count="4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</tableColumns>
  <tableStyleInfo name="Sheet1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383:E384" headerRowCount="0">
  <tableColumns count="4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</tableColumns>
  <tableStyleInfo name="Sheet1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398:E399" headerRowCount="0">
  <tableColumns count="4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</tableColumns>
  <tableStyleInfo name="Sheet1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B413:E414" headerRowCount="0">
  <tableColumns count="4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</tableColumns>
  <tableStyleInfo name="Sheet1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427:E428" headerRowCount="0">
  <tableColumns count="4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</tableColumns>
  <tableStyleInfo name="Sheet1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B443:E444" headerRowCount="0">
  <tableColumns count="4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</tableColumns>
  <tableStyleInfo name="Sheet1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B458:E459" headerRowCount="0">
  <tableColumns count="4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</tableColumns>
  <tableStyleInfo name="Sheet1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473:E474" headerRowCount="0">
  <tableColumns count="4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</tableColumns>
  <tableStyleInfo name="Sheet1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487:E488" headerRowCount="0">
  <tableColumns count="4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</tableColumns>
  <tableStyleInfo name="Sheet1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503:E504" headerRowCount="0">
  <tableColumns count="4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</tableColumns>
  <tableStyleInfo name="Sheet1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B519:E520" headerRowCount="0">
  <tableColumns count="4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</tableColumns>
  <tableStyleInfo name="Sheet1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536:E537" headerRowCount="0">
  <tableColumns count="4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</tableColumns>
  <tableStyleInfo name="Sheet1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B552:E553" headerRowCount="0">
  <tableColumns count="4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</tableColumns>
  <tableStyleInfo name="Sheet1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B570:E571" headerRowCount="0">
  <tableColumns count="4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</tableColumns>
  <tableStyleInfo name="Sheet1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587:E588" headerRowCount="0">
  <tableColumns count="4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</tableColumns>
  <tableStyleInfo name="Sheet1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B604:E605" headerRowCount="0">
  <tableColumns count="4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</tableColumns>
  <tableStyleInfo name="Sheet1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B617:E618" headerRowCount="0">
  <tableColumns count="4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</tableColumns>
  <tableStyleInfo name="Sheet1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B631:E632" headerRowCount="0">
  <tableColumns count="4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</tableColumns>
  <tableStyleInfo name="Sheet1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B644:E645" headerRowCount="0">
  <tableColumns count="4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</tableColumns>
  <tableStyleInfo name="Sheet1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B659:E660" headerRowCount="0">
  <tableColumns count="4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</tableColumns>
  <tableStyleInfo name="Sheet1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B675:E676" headerRowCount="0">
  <tableColumns count="4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</tableColumns>
  <tableStyleInfo name="Sheet1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691:E692" headerRowCount="0">
  <tableColumns count="4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</tableColumns>
  <tableStyleInfo name="Sheet1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B707:E708" headerRowCount="0">
  <tableColumns count="4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</tableColumns>
  <tableStyleInfo name="Sheet1-style 47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B722:E723" headerRowCount="0">
  <tableColumns count="4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</tableColumns>
  <tableStyleInfo name="Sheet1-style 48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B736:E737" headerRowCount="0">
  <tableColumns count="4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</tableColumns>
  <tableStyleInfo name="Sheet1-style 49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B750:E751" headerRowCount="0">
  <tableColumns count="4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</tableColumns>
  <tableStyleInfo name="Sheet1-style 50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B766:E767" headerRowCount="0">
  <tableColumns count="4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</tableColumns>
  <tableStyleInfo name="Sheet1-style 51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B781:E782" headerRowCount="0">
  <tableColumns count="4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</tableColumns>
  <tableStyleInfo name="Sheet1-style 5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B796:E797" headerRowCount="0">
  <tableColumns count="4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</tableColumns>
  <tableStyleInfo name="Sheet1-style 53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B811:E812" headerRowCount="0">
  <tableColumns count="4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</tableColumns>
  <tableStyleInfo name="Sheet1-style 54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B826:E827" headerRowCount="0">
  <tableColumns count="4">
    <tableColumn id="1" xr3:uid="{00000000-0010-0000-3600-000001000000}" name="Column1"/>
    <tableColumn id="2" xr3:uid="{00000000-0010-0000-3600-000002000000}" name="Column2"/>
    <tableColumn id="3" xr3:uid="{00000000-0010-0000-3600-000003000000}" name="Column3"/>
    <tableColumn id="4" xr3:uid="{00000000-0010-0000-3600-000004000000}" name="Column4"/>
  </tableColumns>
  <tableStyleInfo name="Sheet1-style 55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B841:E842" headerRowCount="0">
  <tableColumns count="4">
    <tableColumn id="1" xr3:uid="{00000000-0010-0000-3700-000001000000}" name="Column1"/>
    <tableColumn id="2" xr3:uid="{00000000-0010-0000-3700-000002000000}" name="Column2"/>
    <tableColumn id="3" xr3:uid="{00000000-0010-0000-3700-000003000000}" name="Column3"/>
    <tableColumn id="4" xr3:uid="{00000000-0010-0000-3700-000004000000}" name="Column4"/>
  </tableColumns>
  <tableStyleInfo name="Sheet1-style 56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B857:E858" headerRowCount="0">
  <tableColumns count="4">
    <tableColumn id="1" xr3:uid="{00000000-0010-0000-3800-000001000000}" name="Column1"/>
    <tableColumn id="2" xr3:uid="{00000000-0010-0000-3800-000002000000}" name="Column2"/>
    <tableColumn id="3" xr3:uid="{00000000-0010-0000-3800-000003000000}" name="Column3"/>
    <tableColumn id="4" xr3:uid="{00000000-0010-0000-3800-000004000000}" name="Column4"/>
  </tableColumns>
  <tableStyleInfo name="Sheet1-style 57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B871:E872" headerRowCount="0">
  <tableColumns count="4">
    <tableColumn id="1" xr3:uid="{00000000-0010-0000-3900-000001000000}" name="Column1"/>
    <tableColumn id="2" xr3:uid="{00000000-0010-0000-3900-000002000000}" name="Column2"/>
    <tableColumn id="3" xr3:uid="{00000000-0010-0000-3900-000003000000}" name="Column3"/>
    <tableColumn id="4" xr3:uid="{00000000-0010-0000-3900-000004000000}" name="Column4"/>
  </tableColumns>
  <tableStyleInfo name="Sheet1-style 58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B886:E887" headerRowCount="0">
  <tableColumns count="4">
    <tableColumn id="1" xr3:uid="{00000000-0010-0000-3A00-000001000000}" name="Column1"/>
    <tableColumn id="2" xr3:uid="{00000000-0010-0000-3A00-000002000000}" name="Column2"/>
    <tableColumn id="3" xr3:uid="{00000000-0010-0000-3A00-000003000000}" name="Column3"/>
    <tableColumn id="4" xr3:uid="{00000000-0010-0000-3A00-000004000000}" name="Column4"/>
  </tableColumns>
  <tableStyleInfo name="Sheet1-style 59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B900:E901" headerRowCount="0">
  <tableColumns count="4">
    <tableColumn id="1" xr3:uid="{00000000-0010-0000-3B00-000001000000}" name="Column1"/>
    <tableColumn id="2" xr3:uid="{00000000-0010-0000-3B00-000002000000}" name="Column2"/>
    <tableColumn id="3" xr3:uid="{00000000-0010-0000-3B00-000003000000}" name="Column3"/>
    <tableColumn id="4" xr3:uid="{00000000-0010-0000-3B00-000004000000}" name="Column4"/>
  </tableColumns>
  <tableStyleInfo name="Sheet1-style 60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B914:E915" headerRowCount="0">
  <tableColumns count="4">
    <tableColumn id="1" xr3:uid="{00000000-0010-0000-3C00-000001000000}" name="Column1"/>
    <tableColumn id="2" xr3:uid="{00000000-0010-0000-3C00-000002000000}" name="Column2"/>
    <tableColumn id="3" xr3:uid="{00000000-0010-0000-3C00-000003000000}" name="Column3"/>
    <tableColumn id="4" xr3:uid="{00000000-0010-0000-3C00-000004000000}" name="Column4"/>
  </tableColumns>
  <tableStyleInfo name="Sheet1-style 61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B929:E930" headerRowCount="0">
  <tableColumns count="4">
    <tableColumn id="1" xr3:uid="{00000000-0010-0000-3D00-000001000000}" name="Column1"/>
    <tableColumn id="2" xr3:uid="{00000000-0010-0000-3D00-000002000000}" name="Column2"/>
    <tableColumn id="3" xr3:uid="{00000000-0010-0000-3D00-000003000000}" name="Column3"/>
    <tableColumn id="4" xr3:uid="{00000000-0010-0000-3D00-000004000000}" name="Column4"/>
  </tableColumns>
  <tableStyleInfo name="Sheet1-style 62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B944:E945" headerRowCount="0">
  <tableColumns count="4">
    <tableColumn id="1" xr3:uid="{00000000-0010-0000-3E00-000001000000}" name="Column1"/>
    <tableColumn id="2" xr3:uid="{00000000-0010-0000-3E00-000002000000}" name="Column2"/>
    <tableColumn id="3" xr3:uid="{00000000-0010-0000-3E00-000003000000}" name="Column3"/>
    <tableColumn id="4" xr3:uid="{00000000-0010-0000-3E00-000004000000}" name="Column4"/>
  </tableColumns>
  <tableStyleInfo name="Sheet1-style 63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B960:E961" headerRowCount="0">
  <tableColumns count="4">
    <tableColumn id="1" xr3:uid="{00000000-0010-0000-3F00-000001000000}" name="Column1"/>
    <tableColumn id="2" xr3:uid="{00000000-0010-0000-3F00-000002000000}" name="Column2"/>
    <tableColumn id="3" xr3:uid="{00000000-0010-0000-3F00-000003000000}" name="Column3"/>
    <tableColumn id="4" xr3:uid="{00000000-0010-0000-3F00-000004000000}" name="Column4"/>
  </tableColumns>
  <tableStyleInfo name="Sheet1-style 64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B977:E978" headerRowCount="0">
  <tableColumns count="4">
    <tableColumn id="1" xr3:uid="{00000000-0010-0000-4000-000001000000}" name="Column1"/>
    <tableColumn id="2" xr3:uid="{00000000-0010-0000-4000-000002000000}" name="Column2"/>
    <tableColumn id="3" xr3:uid="{00000000-0010-0000-4000-000003000000}" name="Column3"/>
    <tableColumn id="4" xr3:uid="{00000000-0010-0000-4000-000004000000}" name="Column4"/>
  </tableColumns>
  <tableStyleInfo name="Sheet1-style 65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B992:E993" headerRowCount="0">
  <tableColumns count="4">
    <tableColumn id="1" xr3:uid="{00000000-0010-0000-4100-000001000000}" name="Column1"/>
    <tableColumn id="2" xr3:uid="{00000000-0010-0000-4100-000002000000}" name="Column2"/>
    <tableColumn id="3" xr3:uid="{00000000-0010-0000-4100-000003000000}" name="Column3"/>
    <tableColumn id="4" xr3:uid="{00000000-0010-0000-4100-000004000000}" name="Column4"/>
  </tableColumns>
  <tableStyleInfo name="Sheet1-style 66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B1008:E1009" headerRowCount="0">
  <tableColumns count="4">
    <tableColumn id="1" xr3:uid="{00000000-0010-0000-4200-000001000000}" name="Column1"/>
    <tableColumn id="2" xr3:uid="{00000000-0010-0000-4200-000002000000}" name="Column2"/>
    <tableColumn id="3" xr3:uid="{00000000-0010-0000-4200-000003000000}" name="Column3"/>
    <tableColumn id="4" xr3:uid="{00000000-0010-0000-4200-000004000000}" name="Column4"/>
  </tableColumns>
  <tableStyleInfo name="Sheet1-style 67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8" displayName="Table_68" ref="B1025:E1026" headerRowCount="0">
  <tableColumns count="4">
    <tableColumn id="1" xr3:uid="{00000000-0010-0000-4300-000001000000}" name="Column1"/>
    <tableColumn id="2" xr3:uid="{00000000-0010-0000-4300-000002000000}" name="Column2"/>
    <tableColumn id="3" xr3:uid="{00000000-0010-0000-4300-000003000000}" name="Column3"/>
    <tableColumn id="4" xr3:uid="{00000000-0010-0000-4300-000004000000}" name="Column4"/>
  </tableColumns>
  <tableStyleInfo name="Sheet1-style 68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B1042:E1043" headerRowCount="0">
  <tableColumns count="4">
    <tableColumn id="1" xr3:uid="{00000000-0010-0000-4400-000001000000}" name="Column1"/>
    <tableColumn id="2" xr3:uid="{00000000-0010-0000-4400-000002000000}" name="Column2"/>
    <tableColumn id="3" xr3:uid="{00000000-0010-0000-4400-000003000000}" name="Column3"/>
    <tableColumn id="4" xr3:uid="{00000000-0010-0000-4400-000004000000}" name="Column4"/>
  </tableColumns>
  <tableStyleInfo name="Sheet1-style 69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B1057:E1058" headerRowCount="0">
  <tableColumns count="4">
    <tableColumn id="1" xr3:uid="{00000000-0010-0000-4500-000001000000}" name="Column1"/>
    <tableColumn id="2" xr3:uid="{00000000-0010-0000-4500-000002000000}" name="Column2"/>
    <tableColumn id="3" xr3:uid="{00000000-0010-0000-4500-000003000000}" name="Column3"/>
    <tableColumn id="4" xr3:uid="{00000000-0010-0000-4500-000004000000}" name="Column4"/>
  </tableColumns>
  <tableStyleInfo name="Sheet1-style 70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71" displayName="Table_71" ref="B1072:E1073" headerRowCount="0">
  <tableColumns count="4">
    <tableColumn id="1" xr3:uid="{00000000-0010-0000-4600-000001000000}" name="Column1"/>
    <tableColumn id="2" xr3:uid="{00000000-0010-0000-4600-000002000000}" name="Column2"/>
    <tableColumn id="3" xr3:uid="{00000000-0010-0000-4600-000003000000}" name="Column3"/>
    <tableColumn id="4" xr3:uid="{00000000-0010-0000-4600-000004000000}" name="Column4"/>
  </tableColumns>
  <tableStyleInfo name="Sheet1-style 71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2" displayName="Table_72" ref="B1086:E1087" headerRowCount="0">
  <tableColumns count="4">
    <tableColumn id="1" xr3:uid="{00000000-0010-0000-4700-000001000000}" name="Column1"/>
    <tableColumn id="2" xr3:uid="{00000000-0010-0000-4700-000002000000}" name="Column2"/>
    <tableColumn id="3" xr3:uid="{00000000-0010-0000-4700-000003000000}" name="Column3"/>
    <tableColumn id="4" xr3:uid="{00000000-0010-0000-4700-000004000000}" name="Column4"/>
  </tableColumns>
  <tableStyleInfo name="Sheet1-style 72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3" displayName="Table_73" ref="B1101:E1102" headerRowCount="0">
  <tableColumns count="4">
    <tableColumn id="1" xr3:uid="{00000000-0010-0000-4800-000001000000}" name="Column1"/>
    <tableColumn id="2" xr3:uid="{00000000-0010-0000-4800-000002000000}" name="Column2"/>
    <tableColumn id="3" xr3:uid="{00000000-0010-0000-4800-000003000000}" name="Column3"/>
    <tableColumn id="4" xr3:uid="{00000000-0010-0000-4800-000004000000}" name="Column4"/>
  </tableColumns>
  <tableStyleInfo name="Sheet1-style 73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4" displayName="Table_74" ref="B1116:E1117" headerRowCount="0">
  <tableColumns count="4">
    <tableColumn id="1" xr3:uid="{00000000-0010-0000-4900-000001000000}" name="Column1"/>
    <tableColumn id="2" xr3:uid="{00000000-0010-0000-4900-000002000000}" name="Column2"/>
    <tableColumn id="3" xr3:uid="{00000000-0010-0000-4900-000003000000}" name="Column3"/>
    <tableColumn id="4" xr3:uid="{00000000-0010-0000-4900-000004000000}" name="Column4"/>
  </tableColumns>
  <tableStyleInfo name="Sheet1-style 74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5" displayName="Table_75" ref="B1130:E1131" headerRowCount="0">
  <tableColumns count="4">
    <tableColumn id="1" xr3:uid="{00000000-0010-0000-4A00-000001000000}" name="Column1"/>
    <tableColumn id="2" xr3:uid="{00000000-0010-0000-4A00-000002000000}" name="Column2"/>
    <tableColumn id="3" xr3:uid="{00000000-0010-0000-4A00-000003000000}" name="Column3"/>
    <tableColumn id="4" xr3:uid="{00000000-0010-0000-4A00-000004000000}" name="Column4"/>
  </tableColumns>
  <tableStyleInfo name="Sheet1-style 75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6" displayName="Table_76" ref="B1145:E1146" headerRowCount="0">
  <tableColumns count="4">
    <tableColumn id="1" xr3:uid="{00000000-0010-0000-4B00-000001000000}" name="Column1"/>
    <tableColumn id="2" xr3:uid="{00000000-0010-0000-4B00-000002000000}" name="Column2"/>
    <tableColumn id="3" xr3:uid="{00000000-0010-0000-4B00-000003000000}" name="Column3"/>
    <tableColumn id="4" xr3:uid="{00000000-0010-0000-4B00-000004000000}" name="Column4"/>
  </tableColumns>
  <tableStyleInfo name="Sheet1-style 76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B1161:E1162" headerRowCount="0">
  <tableColumns count="4">
    <tableColumn id="1" xr3:uid="{00000000-0010-0000-4C00-000001000000}" name="Column1"/>
    <tableColumn id="2" xr3:uid="{00000000-0010-0000-4C00-000002000000}" name="Column2"/>
    <tableColumn id="3" xr3:uid="{00000000-0010-0000-4C00-000003000000}" name="Column3"/>
    <tableColumn id="4" xr3:uid="{00000000-0010-0000-4C00-000004000000}" name="Column4"/>
  </tableColumns>
  <tableStyleInfo name="Sheet1-style 77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B1175:E1176" headerRowCount="0">
  <tableColumns count="4">
    <tableColumn id="1" xr3:uid="{00000000-0010-0000-4D00-000001000000}" name="Column1"/>
    <tableColumn id="2" xr3:uid="{00000000-0010-0000-4D00-000002000000}" name="Column2"/>
    <tableColumn id="3" xr3:uid="{00000000-0010-0000-4D00-000003000000}" name="Column3"/>
    <tableColumn id="4" xr3:uid="{00000000-0010-0000-4D00-000004000000}" name="Column4"/>
  </tableColumns>
  <tableStyleInfo name="Sheet1-style 78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9" displayName="Table_79" ref="B1190:E1191" headerRowCount="0">
  <tableColumns count="4">
    <tableColumn id="1" xr3:uid="{00000000-0010-0000-4E00-000001000000}" name="Column1"/>
    <tableColumn id="2" xr3:uid="{00000000-0010-0000-4E00-000002000000}" name="Column2"/>
    <tableColumn id="3" xr3:uid="{00000000-0010-0000-4E00-000003000000}" name="Column3"/>
    <tableColumn id="4" xr3:uid="{00000000-0010-0000-4E00-000004000000}" name="Column4"/>
  </tableColumns>
  <tableStyleInfo name="Sheet1-style 79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80" displayName="Table_80" ref="B1207:E1208" headerRowCount="0">
  <tableColumns count="4">
    <tableColumn id="1" xr3:uid="{00000000-0010-0000-4F00-000001000000}" name="Column1"/>
    <tableColumn id="2" xr3:uid="{00000000-0010-0000-4F00-000002000000}" name="Column2"/>
    <tableColumn id="3" xr3:uid="{00000000-0010-0000-4F00-000003000000}" name="Column3"/>
    <tableColumn id="4" xr3:uid="{00000000-0010-0000-4F00-000004000000}" name="Column4"/>
  </tableColumns>
  <tableStyleInfo name="Sheet1-style 80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81" displayName="Table_81" ref="B1222:E1223" headerRowCount="0">
  <tableColumns count="4">
    <tableColumn id="1" xr3:uid="{00000000-0010-0000-5000-000001000000}" name="Column1"/>
    <tableColumn id="2" xr3:uid="{00000000-0010-0000-5000-000002000000}" name="Column2"/>
    <tableColumn id="3" xr3:uid="{00000000-0010-0000-5000-000003000000}" name="Column3"/>
    <tableColumn id="4" xr3:uid="{00000000-0010-0000-5000-000004000000}" name="Column4"/>
  </tableColumns>
  <tableStyleInfo name="Sheet1-style 81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82" displayName="Table_82" ref="B1238:E1239" headerRowCount="0">
  <tableColumns count="4">
    <tableColumn id="1" xr3:uid="{00000000-0010-0000-5100-000001000000}" name="Column1"/>
    <tableColumn id="2" xr3:uid="{00000000-0010-0000-5100-000002000000}" name="Column2"/>
    <tableColumn id="3" xr3:uid="{00000000-0010-0000-5100-000003000000}" name="Column3"/>
    <tableColumn id="4" xr3:uid="{00000000-0010-0000-5100-000004000000}" name="Column4"/>
  </tableColumns>
  <tableStyleInfo name="Sheet1-style 82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83" displayName="Table_83" ref="B1255:E1256" headerRowCount="0">
  <tableColumns count="4">
    <tableColumn id="1" xr3:uid="{00000000-0010-0000-5200-000001000000}" name="Column1"/>
    <tableColumn id="2" xr3:uid="{00000000-0010-0000-5200-000002000000}" name="Column2"/>
    <tableColumn id="3" xr3:uid="{00000000-0010-0000-5200-000003000000}" name="Column3"/>
    <tableColumn id="4" xr3:uid="{00000000-0010-0000-5200-000004000000}" name="Column4"/>
  </tableColumns>
  <tableStyleInfo name="Sheet1-style 83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4" displayName="Table_84" ref="B1269:E1270" headerRowCount="0">
  <tableColumns count="4">
    <tableColumn id="1" xr3:uid="{00000000-0010-0000-5300-000001000000}" name="Column1"/>
    <tableColumn id="2" xr3:uid="{00000000-0010-0000-5300-000002000000}" name="Column2"/>
    <tableColumn id="3" xr3:uid="{00000000-0010-0000-5300-000003000000}" name="Column3"/>
    <tableColumn id="4" xr3:uid="{00000000-0010-0000-5300-000004000000}" name="Column4"/>
  </tableColumns>
  <tableStyleInfo name="Sheet1-style 84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5" displayName="Table_85" ref="B1285:E1286" headerRowCount="0">
  <tableColumns count="4">
    <tableColumn id="1" xr3:uid="{00000000-0010-0000-5400-000001000000}" name="Column1"/>
    <tableColumn id="2" xr3:uid="{00000000-0010-0000-5400-000002000000}" name="Column2"/>
    <tableColumn id="3" xr3:uid="{00000000-0010-0000-5400-000003000000}" name="Column3"/>
    <tableColumn id="4" xr3:uid="{00000000-0010-0000-5400-000004000000}" name="Column4"/>
  </tableColumns>
  <tableStyleInfo name="Sheet1-style 85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6" displayName="Table_86" ref="B1300:E1301" headerRowCount="0">
  <tableColumns count="4">
    <tableColumn id="1" xr3:uid="{00000000-0010-0000-5500-000001000000}" name="Column1"/>
    <tableColumn id="2" xr3:uid="{00000000-0010-0000-5500-000002000000}" name="Column2"/>
    <tableColumn id="3" xr3:uid="{00000000-0010-0000-5500-000003000000}" name="Column3"/>
    <tableColumn id="4" xr3:uid="{00000000-0010-0000-5500-000004000000}" name="Column4"/>
  </tableColumns>
  <tableStyleInfo name="Sheet1-style 86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7" displayName="Table_87" ref="B1313:E1314" headerRowCount="0">
  <tableColumns count="4">
    <tableColumn id="1" xr3:uid="{00000000-0010-0000-5600-000001000000}" name="Column1"/>
    <tableColumn id="2" xr3:uid="{00000000-0010-0000-5600-000002000000}" name="Column2"/>
    <tableColumn id="3" xr3:uid="{00000000-0010-0000-5600-000003000000}" name="Column3"/>
    <tableColumn id="4" xr3:uid="{00000000-0010-0000-5600-000004000000}" name="Column4"/>
  </tableColumns>
  <tableStyleInfo name="Sheet1-style 87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8" displayName="Table_88" ref="B1332:E1333" headerRowCount="0">
  <tableColumns count="4">
    <tableColumn id="1" xr3:uid="{00000000-0010-0000-5700-000001000000}" name="Column1"/>
    <tableColumn id="2" xr3:uid="{00000000-0010-0000-5700-000002000000}" name="Column2"/>
    <tableColumn id="3" xr3:uid="{00000000-0010-0000-5700-000003000000}" name="Column3"/>
    <tableColumn id="4" xr3:uid="{00000000-0010-0000-5700-000004000000}" name="Column4"/>
  </tableColumns>
  <tableStyleInfo name="Sheet1-style 88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9" displayName="Table_89" ref="B1346:E1347" headerRowCount="0">
  <tableColumns count="4">
    <tableColumn id="1" xr3:uid="{00000000-0010-0000-5800-000001000000}" name="Column1"/>
    <tableColumn id="2" xr3:uid="{00000000-0010-0000-5800-000002000000}" name="Column2"/>
    <tableColumn id="3" xr3:uid="{00000000-0010-0000-5800-000003000000}" name="Column3"/>
    <tableColumn id="4" xr3:uid="{00000000-0010-0000-5800-000004000000}" name="Column4"/>
  </tableColumns>
  <tableStyleInfo name="Sheet1-style 89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90" displayName="Table_90" ref="B1360:E1361" headerRowCount="0">
  <tableColumns count="4">
    <tableColumn id="1" xr3:uid="{00000000-0010-0000-5900-000001000000}" name="Column1"/>
    <tableColumn id="2" xr3:uid="{00000000-0010-0000-5900-000002000000}" name="Column2"/>
    <tableColumn id="3" xr3:uid="{00000000-0010-0000-5900-000003000000}" name="Column3"/>
    <tableColumn id="4" xr3:uid="{00000000-0010-0000-5900-000004000000}" name="Column4"/>
  </tableColumns>
  <tableStyleInfo name="Sheet1-style 90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91" displayName="Table_91" ref="B1376:E1377" headerRowCount="0">
  <tableColumns count="4">
    <tableColumn id="1" xr3:uid="{00000000-0010-0000-5A00-000001000000}" name="Column1"/>
    <tableColumn id="2" xr3:uid="{00000000-0010-0000-5A00-000002000000}" name="Column2"/>
    <tableColumn id="3" xr3:uid="{00000000-0010-0000-5A00-000003000000}" name="Column3"/>
    <tableColumn id="4" xr3:uid="{00000000-0010-0000-5A00-000004000000}" name="Column4"/>
  </tableColumns>
  <tableStyleInfo name="Sheet1-style 91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92" displayName="Table_92" ref="B1390:E1391" headerRowCount="0">
  <tableColumns count="4">
    <tableColumn id="1" xr3:uid="{00000000-0010-0000-5B00-000001000000}" name="Column1"/>
    <tableColumn id="2" xr3:uid="{00000000-0010-0000-5B00-000002000000}" name="Column2"/>
    <tableColumn id="3" xr3:uid="{00000000-0010-0000-5B00-000003000000}" name="Column3"/>
    <tableColumn id="4" xr3:uid="{00000000-0010-0000-5B00-000004000000}" name="Column4"/>
  </tableColumns>
  <tableStyleInfo name="Sheet1-style 92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93" displayName="Table_93" ref="B1405:E1406" headerRowCount="0">
  <tableColumns count="4">
    <tableColumn id="1" xr3:uid="{00000000-0010-0000-5C00-000001000000}" name="Column1"/>
    <tableColumn id="2" xr3:uid="{00000000-0010-0000-5C00-000002000000}" name="Column2"/>
    <tableColumn id="3" xr3:uid="{00000000-0010-0000-5C00-000003000000}" name="Column3"/>
    <tableColumn id="4" xr3:uid="{00000000-0010-0000-5C00-000004000000}" name="Column4"/>
  </tableColumns>
  <tableStyleInfo name="Sheet1-style 93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94" displayName="Table_94" ref="B1420:E1421" headerRowCount="0">
  <tableColumns count="4">
    <tableColumn id="1" xr3:uid="{00000000-0010-0000-5D00-000001000000}" name="Column1"/>
    <tableColumn id="2" xr3:uid="{00000000-0010-0000-5D00-000002000000}" name="Column2"/>
    <tableColumn id="3" xr3:uid="{00000000-0010-0000-5D00-000003000000}" name="Column3"/>
    <tableColumn id="4" xr3:uid="{00000000-0010-0000-5D00-000004000000}" name="Column4"/>
  </tableColumns>
  <tableStyleInfo name="Sheet1-style 94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5" displayName="Table_95" ref="B1435:E1436" headerRowCount="0">
  <tableColumns count="4">
    <tableColumn id="1" xr3:uid="{00000000-0010-0000-5E00-000001000000}" name="Column1"/>
    <tableColumn id="2" xr3:uid="{00000000-0010-0000-5E00-000002000000}" name="Column2"/>
    <tableColumn id="3" xr3:uid="{00000000-0010-0000-5E00-000003000000}" name="Column3"/>
    <tableColumn id="4" xr3:uid="{00000000-0010-0000-5E00-000004000000}" name="Column4"/>
  </tableColumns>
  <tableStyleInfo name="Sheet1-style 95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6" displayName="Table_96" ref="B1450:E1451" headerRowCount="0">
  <tableColumns count="4">
    <tableColumn id="1" xr3:uid="{00000000-0010-0000-5F00-000001000000}" name="Column1"/>
    <tableColumn id="2" xr3:uid="{00000000-0010-0000-5F00-000002000000}" name="Column2"/>
    <tableColumn id="3" xr3:uid="{00000000-0010-0000-5F00-000003000000}" name="Column3"/>
    <tableColumn id="4" xr3:uid="{00000000-0010-0000-5F00-000004000000}" name="Column4"/>
  </tableColumns>
  <tableStyleInfo name="Sheet1-style 96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7" displayName="Table_97" ref="B1465:E1466" headerRowCount="0">
  <tableColumns count="4">
    <tableColumn id="1" xr3:uid="{00000000-0010-0000-6000-000001000000}" name="Column1"/>
    <tableColumn id="2" xr3:uid="{00000000-0010-0000-6000-000002000000}" name="Column2"/>
    <tableColumn id="3" xr3:uid="{00000000-0010-0000-6000-000003000000}" name="Column3"/>
    <tableColumn id="4" xr3:uid="{00000000-0010-0000-6000-000004000000}" name="Column4"/>
  </tableColumns>
  <tableStyleInfo name="Sheet1-style 97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8" displayName="Table_98" ref="B1479:E1480" headerRowCount="0">
  <tableColumns count="4">
    <tableColumn id="1" xr3:uid="{00000000-0010-0000-6100-000001000000}" name="Column1"/>
    <tableColumn id="2" xr3:uid="{00000000-0010-0000-6100-000002000000}" name="Column2"/>
    <tableColumn id="3" xr3:uid="{00000000-0010-0000-6100-000003000000}" name="Column3"/>
    <tableColumn id="4" xr3:uid="{00000000-0010-0000-6100-000004000000}" name="Column4"/>
  </tableColumns>
  <tableStyleInfo name="Sheet1-style 98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9" displayName="Table_99" ref="B1493:E1494" headerRowCount="0">
  <tableColumns count="4">
    <tableColumn id="1" xr3:uid="{00000000-0010-0000-6200-000001000000}" name="Column1"/>
    <tableColumn id="2" xr3:uid="{00000000-0010-0000-6200-000002000000}" name="Column2"/>
    <tableColumn id="3" xr3:uid="{00000000-0010-0000-6200-000003000000}" name="Column3"/>
    <tableColumn id="4" xr3:uid="{00000000-0010-0000-6200-000004000000}" name="Column4"/>
  </tableColumns>
  <tableStyleInfo name="Sheet1-style 99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_100" displayName="Table_100" ref="B1508:E1509" headerRowCount="0">
  <tableColumns count="4">
    <tableColumn id="1" xr3:uid="{00000000-0010-0000-6300-000001000000}" name="Column1"/>
    <tableColumn id="2" xr3:uid="{00000000-0010-0000-6300-000002000000}" name="Column2"/>
    <tableColumn id="3" xr3:uid="{00000000-0010-0000-6300-000003000000}" name="Column3"/>
    <tableColumn id="4" xr3:uid="{00000000-0010-0000-6300-000004000000}" name="Column4"/>
  </tableColumns>
  <tableStyleInfo name="Sheet1-style 100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Table_101" displayName="Table_101" ref="B1523:E1524" headerRowCount="0">
  <tableColumns count="4">
    <tableColumn id="1" xr3:uid="{00000000-0010-0000-6400-000001000000}" name="Column1"/>
    <tableColumn id="2" xr3:uid="{00000000-0010-0000-6400-000002000000}" name="Column2"/>
    <tableColumn id="3" xr3:uid="{00000000-0010-0000-6400-000003000000}" name="Column3"/>
    <tableColumn id="4" xr3:uid="{00000000-0010-0000-6400-000004000000}" name="Column4"/>
  </tableColumns>
  <tableStyleInfo name="Sheet1-style 101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Table_102" displayName="Table_102" ref="B1538:E1539" headerRowCount="0">
  <tableColumns count="4">
    <tableColumn id="1" xr3:uid="{00000000-0010-0000-6500-000001000000}" name="Column1"/>
    <tableColumn id="2" xr3:uid="{00000000-0010-0000-6500-000002000000}" name="Column2"/>
    <tableColumn id="3" xr3:uid="{00000000-0010-0000-6500-000003000000}" name="Column3"/>
    <tableColumn id="4" xr3:uid="{00000000-0010-0000-6500-000004000000}" name="Column4"/>
  </tableColumns>
  <tableStyleInfo name="Sheet1-style 102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Table_103" displayName="Table_103" ref="B1553:E1554" headerRowCount="0">
  <tableColumns count="4">
    <tableColumn id="1" xr3:uid="{00000000-0010-0000-6600-000001000000}" name="Column1"/>
    <tableColumn id="2" xr3:uid="{00000000-0010-0000-6600-000002000000}" name="Column2"/>
    <tableColumn id="3" xr3:uid="{00000000-0010-0000-6600-000003000000}" name="Column3"/>
    <tableColumn id="4" xr3:uid="{00000000-0010-0000-6600-000004000000}" name="Column4"/>
  </tableColumns>
  <tableStyleInfo name="Sheet1-style 103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Table_104" displayName="Table_104" ref="B1569:E1570" headerRowCount="0">
  <tableColumns count="4">
    <tableColumn id="1" xr3:uid="{00000000-0010-0000-6700-000001000000}" name="Column1"/>
    <tableColumn id="2" xr3:uid="{00000000-0010-0000-6700-000002000000}" name="Column2"/>
    <tableColumn id="3" xr3:uid="{00000000-0010-0000-6700-000003000000}" name="Column3"/>
    <tableColumn id="4" xr3:uid="{00000000-0010-0000-6700-000004000000}" name="Column4"/>
  </tableColumns>
  <tableStyleInfo name="Sheet1-style 104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Table_105" displayName="Table_105" ref="B1586:E1587" headerRowCount="0">
  <tableColumns count="4">
    <tableColumn id="1" xr3:uid="{00000000-0010-0000-6800-000001000000}" name="Column1"/>
    <tableColumn id="2" xr3:uid="{00000000-0010-0000-6800-000002000000}" name="Column2"/>
    <tableColumn id="3" xr3:uid="{00000000-0010-0000-6800-000003000000}" name="Column3"/>
    <tableColumn id="4" xr3:uid="{00000000-0010-0000-6800-000004000000}" name="Column4"/>
  </tableColumns>
  <tableStyleInfo name="Sheet1-style 105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Table_106" displayName="Table_106" ref="B1602:E1603" headerRowCount="0">
  <tableColumns count="4">
    <tableColumn id="1" xr3:uid="{00000000-0010-0000-6900-000001000000}" name="Column1"/>
    <tableColumn id="2" xr3:uid="{00000000-0010-0000-6900-000002000000}" name="Column2"/>
    <tableColumn id="3" xr3:uid="{00000000-0010-0000-6900-000003000000}" name="Column3"/>
    <tableColumn id="4" xr3:uid="{00000000-0010-0000-6900-000004000000}" name="Column4"/>
  </tableColumns>
  <tableStyleInfo name="Sheet1-style 106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Table_107" displayName="Table_107" ref="B1617:E1618" headerRowCount="0">
  <tableColumns count="4">
    <tableColumn id="1" xr3:uid="{00000000-0010-0000-6A00-000001000000}" name="Column1"/>
    <tableColumn id="2" xr3:uid="{00000000-0010-0000-6A00-000002000000}" name="Column2"/>
    <tableColumn id="3" xr3:uid="{00000000-0010-0000-6A00-000003000000}" name="Column3"/>
    <tableColumn id="4" xr3:uid="{00000000-0010-0000-6A00-000004000000}" name="Column4"/>
  </tableColumns>
  <tableStyleInfo name="Sheet1-style 107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Table_108" displayName="Table_108" ref="B1633:E1634" headerRowCount="0">
  <tableColumns count="4">
    <tableColumn id="1" xr3:uid="{00000000-0010-0000-6B00-000001000000}" name="Column1"/>
    <tableColumn id="2" xr3:uid="{00000000-0010-0000-6B00-000002000000}" name="Column2"/>
    <tableColumn id="3" xr3:uid="{00000000-0010-0000-6B00-000003000000}" name="Column3"/>
    <tableColumn id="4" xr3:uid="{00000000-0010-0000-6B00-000004000000}" name="Column4"/>
  </tableColumns>
  <tableStyleInfo name="Sheet1-style 108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Table_109" displayName="Table_109" ref="B1649:E1650" headerRowCount="0">
  <tableColumns count="4">
    <tableColumn id="1" xr3:uid="{00000000-0010-0000-6C00-000001000000}" name="Column1"/>
    <tableColumn id="2" xr3:uid="{00000000-0010-0000-6C00-000002000000}" name="Column2"/>
    <tableColumn id="3" xr3:uid="{00000000-0010-0000-6C00-000003000000}" name="Column3"/>
    <tableColumn id="4" xr3:uid="{00000000-0010-0000-6C00-000004000000}" name="Column4"/>
  </tableColumns>
  <tableStyleInfo name="Sheet1-style 109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Table_110" displayName="Table_110" ref="B1663:E1664" headerRowCount="0">
  <tableColumns count="4">
    <tableColumn id="1" xr3:uid="{00000000-0010-0000-6D00-000001000000}" name="Column1"/>
    <tableColumn id="2" xr3:uid="{00000000-0010-0000-6D00-000002000000}" name="Column2"/>
    <tableColumn id="3" xr3:uid="{00000000-0010-0000-6D00-000003000000}" name="Column3"/>
    <tableColumn id="4" xr3:uid="{00000000-0010-0000-6D00-000004000000}" name="Column4"/>
  </tableColumns>
  <tableStyleInfo name="Sheet1-style 110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Table_111" displayName="Table_111" ref="B1678:E1679" headerRowCount="0">
  <tableColumns count="4">
    <tableColumn id="1" xr3:uid="{00000000-0010-0000-6E00-000001000000}" name="Column1"/>
    <tableColumn id="2" xr3:uid="{00000000-0010-0000-6E00-000002000000}" name="Column2"/>
    <tableColumn id="3" xr3:uid="{00000000-0010-0000-6E00-000003000000}" name="Column3"/>
    <tableColumn id="4" xr3:uid="{00000000-0010-0000-6E00-000004000000}" name="Column4"/>
  </tableColumns>
  <tableStyleInfo name="Sheet1-style 111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Table_112" displayName="Table_112" ref="B1693:E1694" headerRowCount="0">
  <tableColumns count="4">
    <tableColumn id="1" xr3:uid="{00000000-0010-0000-6F00-000001000000}" name="Column1"/>
    <tableColumn id="2" xr3:uid="{00000000-0010-0000-6F00-000002000000}" name="Column2"/>
    <tableColumn id="3" xr3:uid="{00000000-0010-0000-6F00-000003000000}" name="Column3"/>
    <tableColumn id="4" xr3:uid="{00000000-0010-0000-6F00-000004000000}" name="Column4"/>
  </tableColumns>
  <tableStyleInfo name="Sheet1-style 112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Table_113" displayName="Table_113" ref="B1708:E1709" headerRowCount="0">
  <tableColumns count="4">
    <tableColumn id="1" xr3:uid="{00000000-0010-0000-7000-000001000000}" name="Column1"/>
    <tableColumn id="2" xr3:uid="{00000000-0010-0000-7000-000002000000}" name="Column2"/>
    <tableColumn id="3" xr3:uid="{00000000-0010-0000-7000-000003000000}" name="Column3"/>
    <tableColumn id="4" xr3:uid="{00000000-0010-0000-7000-000004000000}" name="Column4"/>
  </tableColumns>
  <tableStyleInfo name="Sheet1-style 113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Table_114" displayName="Table_114" ref="B1723:E1724" headerRowCount="0">
  <tableColumns count="4">
    <tableColumn id="1" xr3:uid="{00000000-0010-0000-7100-000001000000}" name="Column1"/>
    <tableColumn id="2" xr3:uid="{00000000-0010-0000-7100-000002000000}" name="Column2"/>
    <tableColumn id="3" xr3:uid="{00000000-0010-0000-7100-000003000000}" name="Column3"/>
    <tableColumn id="4" xr3:uid="{00000000-0010-0000-7100-000004000000}" name="Column4"/>
  </tableColumns>
  <tableStyleInfo name="Sheet1-style 114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Table_115" displayName="Table_115" ref="B1738:E1739" headerRowCount="0">
  <tableColumns count="4">
    <tableColumn id="1" xr3:uid="{00000000-0010-0000-7200-000001000000}" name="Column1"/>
    <tableColumn id="2" xr3:uid="{00000000-0010-0000-7200-000002000000}" name="Column2"/>
    <tableColumn id="3" xr3:uid="{00000000-0010-0000-7200-000003000000}" name="Column3"/>
    <tableColumn id="4" xr3:uid="{00000000-0010-0000-7200-000004000000}" name="Column4"/>
  </tableColumns>
  <tableStyleInfo name="Sheet1-style 115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_116" displayName="Table_116" ref="B1754:E1755" headerRowCount="0">
  <tableColumns count="4">
    <tableColumn id="1" xr3:uid="{00000000-0010-0000-7300-000001000000}" name="Column1"/>
    <tableColumn id="2" xr3:uid="{00000000-0010-0000-7300-000002000000}" name="Column2"/>
    <tableColumn id="3" xr3:uid="{00000000-0010-0000-7300-000003000000}" name="Column3"/>
    <tableColumn id="4" xr3:uid="{00000000-0010-0000-7300-000004000000}" name="Column4"/>
  </tableColumns>
  <tableStyleInfo name="Sheet1-style 116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_117" displayName="Table_117" ref="B1769:E1770" headerRowCount="0">
  <tableColumns count="4">
    <tableColumn id="1" xr3:uid="{00000000-0010-0000-7400-000001000000}" name="Column1"/>
    <tableColumn id="2" xr3:uid="{00000000-0010-0000-7400-000002000000}" name="Column2"/>
    <tableColumn id="3" xr3:uid="{00000000-0010-0000-7400-000003000000}" name="Column3"/>
    <tableColumn id="4" xr3:uid="{00000000-0010-0000-7400-000004000000}" name="Column4"/>
  </tableColumns>
  <tableStyleInfo name="Sheet1-style 117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_118" displayName="Table_118" ref="B1785:E1786" headerRowCount="0">
  <tableColumns count="4">
    <tableColumn id="1" xr3:uid="{00000000-0010-0000-7500-000001000000}" name="Column1"/>
    <tableColumn id="2" xr3:uid="{00000000-0010-0000-7500-000002000000}" name="Column2"/>
    <tableColumn id="3" xr3:uid="{00000000-0010-0000-7500-000003000000}" name="Column3"/>
    <tableColumn id="4" xr3:uid="{00000000-0010-0000-7500-000004000000}" name="Column4"/>
  </tableColumns>
  <tableStyleInfo name="Sheet1-style 118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_119" displayName="Table_119" ref="B1800:E1801" headerRowCount="0">
  <tableColumns count="4">
    <tableColumn id="1" xr3:uid="{00000000-0010-0000-7600-000001000000}" name="Column1"/>
    <tableColumn id="2" xr3:uid="{00000000-0010-0000-7600-000002000000}" name="Column2"/>
    <tableColumn id="3" xr3:uid="{00000000-0010-0000-7600-000003000000}" name="Column3"/>
    <tableColumn id="4" xr3:uid="{00000000-0010-0000-7600-000004000000}" name="Column4"/>
  </tableColumns>
  <tableStyleInfo name="Sheet1-style 119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_120" displayName="Table_120" ref="B1815:E1816" headerRowCount="0">
  <tableColumns count="4">
    <tableColumn id="1" xr3:uid="{00000000-0010-0000-7700-000001000000}" name="Column1"/>
    <tableColumn id="2" xr3:uid="{00000000-0010-0000-7700-000002000000}" name="Column2"/>
    <tableColumn id="3" xr3:uid="{00000000-0010-0000-7700-000003000000}" name="Column3"/>
    <tableColumn id="4" xr3:uid="{00000000-0010-0000-7700-000004000000}" name="Column4"/>
  </tableColumns>
  <tableStyleInfo name="Sheet1-style 120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_121" displayName="Table_121" ref="B1834:E1835" headerRowCount="0">
  <tableColumns count="4">
    <tableColumn id="1" xr3:uid="{00000000-0010-0000-7800-000001000000}" name="Column1"/>
    <tableColumn id="2" xr3:uid="{00000000-0010-0000-7800-000002000000}" name="Column2"/>
    <tableColumn id="3" xr3:uid="{00000000-0010-0000-7800-000003000000}" name="Column3"/>
    <tableColumn id="4" xr3:uid="{00000000-0010-0000-7800-000004000000}" name="Column4"/>
  </tableColumns>
  <tableStyleInfo name="Sheet1-style 121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Table_122" displayName="Table_122" ref="B1850:E1851" headerRowCount="0">
  <tableColumns count="4">
    <tableColumn id="1" xr3:uid="{00000000-0010-0000-7900-000001000000}" name="Column1"/>
    <tableColumn id="2" xr3:uid="{00000000-0010-0000-7900-000002000000}" name="Column2"/>
    <tableColumn id="3" xr3:uid="{00000000-0010-0000-7900-000003000000}" name="Column3"/>
    <tableColumn id="4" xr3:uid="{00000000-0010-0000-7900-000004000000}" name="Column4"/>
  </tableColumns>
  <tableStyleInfo name="Sheet1-style 122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Table_123" displayName="Table_123" ref="B1868:E1869" headerRowCount="0">
  <tableColumns count="4">
    <tableColumn id="1" xr3:uid="{00000000-0010-0000-7A00-000001000000}" name="Column1"/>
    <tableColumn id="2" xr3:uid="{00000000-0010-0000-7A00-000002000000}" name="Column2"/>
    <tableColumn id="3" xr3:uid="{00000000-0010-0000-7A00-000003000000}" name="Column3"/>
    <tableColumn id="4" xr3:uid="{00000000-0010-0000-7A00-000004000000}" name="Column4"/>
  </tableColumns>
  <tableStyleInfo name="Sheet1-style 123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Table_124" displayName="Table_124" ref="B1885:E1886" headerRowCount="0">
  <tableColumns count="4">
    <tableColumn id="1" xr3:uid="{00000000-0010-0000-7B00-000001000000}" name="Column1"/>
    <tableColumn id="2" xr3:uid="{00000000-0010-0000-7B00-000002000000}" name="Column2"/>
    <tableColumn id="3" xr3:uid="{00000000-0010-0000-7B00-000003000000}" name="Column3"/>
    <tableColumn id="4" xr3:uid="{00000000-0010-0000-7B00-000004000000}" name="Column4"/>
  </tableColumns>
  <tableStyleInfo name="Sheet1-style 124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Table_125" displayName="Table_125" ref="B1900:E1901" headerRowCount="0">
  <tableColumns count="4">
    <tableColumn id="1" xr3:uid="{00000000-0010-0000-7C00-000001000000}" name="Column1"/>
    <tableColumn id="2" xr3:uid="{00000000-0010-0000-7C00-000002000000}" name="Column2"/>
    <tableColumn id="3" xr3:uid="{00000000-0010-0000-7C00-000003000000}" name="Column3"/>
    <tableColumn id="4" xr3:uid="{00000000-0010-0000-7C00-000004000000}" name="Column4"/>
  </tableColumns>
  <tableStyleInfo name="Sheet1-style 125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Table_126" displayName="Table_126" ref="B1916:E1917" headerRowCount="0">
  <tableColumns count="4">
    <tableColumn id="1" xr3:uid="{00000000-0010-0000-7D00-000001000000}" name="Column1"/>
    <tableColumn id="2" xr3:uid="{00000000-0010-0000-7D00-000002000000}" name="Column2"/>
    <tableColumn id="3" xr3:uid="{00000000-0010-0000-7D00-000003000000}" name="Column3"/>
    <tableColumn id="4" xr3:uid="{00000000-0010-0000-7D00-000004000000}" name="Column4"/>
  </tableColumns>
  <tableStyleInfo name="Sheet1-style 126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Table_127" displayName="Table_127" ref="B1932:E1933" headerRowCount="0">
  <tableColumns count="4">
    <tableColumn id="1" xr3:uid="{00000000-0010-0000-7E00-000001000000}" name="Column1"/>
    <tableColumn id="2" xr3:uid="{00000000-0010-0000-7E00-000002000000}" name="Column2"/>
    <tableColumn id="3" xr3:uid="{00000000-0010-0000-7E00-000003000000}" name="Column3"/>
    <tableColumn id="4" xr3:uid="{00000000-0010-0000-7E00-000004000000}" name="Column4"/>
  </tableColumns>
  <tableStyleInfo name="Sheet1-style 127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Table_128" displayName="Table_128" ref="B1947:E1948" headerRowCount="0">
  <tableColumns count="4">
    <tableColumn id="1" xr3:uid="{00000000-0010-0000-7F00-000001000000}" name="Column1"/>
    <tableColumn id="2" xr3:uid="{00000000-0010-0000-7F00-000002000000}" name="Column2"/>
    <tableColumn id="3" xr3:uid="{00000000-0010-0000-7F00-000003000000}" name="Column3"/>
    <tableColumn id="4" xr3:uid="{00000000-0010-0000-7F00-000004000000}" name="Column4"/>
  </tableColumns>
  <tableStyleInfo name="Sheet1-style 128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Table_129" displayName="Table_129" ref="B1962:E1963" headerRowCount="0">
  <tableColumns count="4">
    <tableColumn id="1" xr3:uid="{00000000-0010-0000-8000-000001000000}" name="Column1"/>
    <tableColumn id="2" xr3:uid="{00000000-0010-0000-8000-000002000000}" name="Column2"/>
    <tableColumn id="3" xr3:uid="{00000000-0010-0000-8000-000003000000}" name="Column3"/>
    <tableColumn id="4" xr3:uid="{00000000-0010-0000-8000-000004000000}" name="Column4"/>
  </tableColumns>
  <tableStyleInfo name="Sheet1-style 129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Table_130" displayName="Table_130" ref="B1976:E1977" headerRowCount="0">
  <tableColumns count="4">
    <tableColumn id="1" xr3:uid="{00000000-0010-0000-8100-000001000000}" name="Column1"/>
    <tableColumn id="2" xr3:uid="{00000000-0010-0000-8100-000002000000}" name="Column2"/>
    <tableColumn id="3" xr3:uid="{00000000-0010-0000-8100-000003000000}" name="Column3"/>
    <tableColumn id="4" xr3:uid="{00000000-0010-0000-8100-000004000000}" name="Column4"/>
  </tableColumns>
  <tableStyleInfo name="Sheet1-style 130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Table_131" displayName="Table_131" ref="B1990:E1991" headerRowCount="0">
  <tableColumns count="4">
    <tableColumn id="1" xr3:uid="{00000000-0010-0000-8200-000001000000}" name="Column1"/>
    <tableColumn id="2" xr3:uid="{00000000-0010-0000-8200-000002000000}" name="Column2"/>
    <tableColumn id="3" xr3:uid="{00000000-0010-0000-8200-000003000000}" name="Column3"/>
    <tableColumn id="4" xr3:uid="{00000000-0010-0000-8200-000004000000}" name="Column4"/>
  </tableColumns>
  <tableStyleInfo name="Sheet1-style 131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Table_132" displayName="Table_132" ref="B2005:E2006" headerRowCount="0">
  <tableColumns count="4">
    <tableColumn id="1" xr3:uid="{00000000-0010-0000-8300-000001000000}" name="Column1"/>
    <tableColumn id="2" xr3:uid="{00000000-0010-0000-8300-000002000000}" name="Column2"/>
    <tableColumn id="3" xr3:uid="{00000000-0010-0000-8300-000003000000}" name="Column3"/>
    <tableColumn id="4" xr3:uid="{00000000-0010-0000-8300-000004000000}" name="Column4"/>
  </tableColumns>
  <tableStyleInfo name="Sheet1-style 132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Table_133" displayName="Table_133" ref="B2019:E2020" headerRowCount="0">
  <tableColumns count="4">
    <tableColumn id="1" xr3:uid="{00000000-0010-0000-8400-000001000000}" name="Column1"/>
    <tableColumn id="2" xr3:uid="{00000000-0010-0000-8400-000002000000}" name="Column2"/>
    <tableColumn id="3" xr3:uid="{00000000-0010-0000-8400-000003000000}" name="Column3"/>
    <tableColumn id="4" xr3:uid="{00000000-0010-0000-8400-000004000000}" name="Column4"/>
  </tableColumns>
  <tableStyleInfo name="Sheet1-style 133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Table_134" displayName="Table_134" ref="B2033:E2034" headerRowCount="0">
  <tableColumns count="4">
    <tableColumn id="1" xr3:uid="{00000000-0010-0000-8500-000001000000}" name="Column1"/>
    <tableColumn id="2" xr3:uid="{00000000-0010-0000-8500-000002000000}" name="Column2"/>
    <tableColumn id="3" xr3:uid="{00000000-0010-0000-8500-000003000000}" name="Column3"/>
    <tableColumn id="4" xr3:uid="{00000000-0010-0000-8500-000004000000}" name="Column4"/>
  </tableColumns>
  <tableStyleInfo name="Sheet1-style 134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Table_135" displayName="Table_135" ref="B2048:E2049" headerRowCount="0">
  <tableColumns count="4">
    <tableColumn id="1" xr3:uid="{00000000-0010-0000-8600-000001000000}" name="Column1"/>
    <tableColumn id="2" xr3:uid="{00000000-0010-0000-8600-000002000000}" name="Column2"/>
    <tableColumn id="3" xr3:uid="{00000000-0010-0000-8600-000003000000}" name="Column3"/>
    <tableColumn id="4" xr3:uid="{00000000-0010-0000-8600-000004000000}" name="Column4"/>
  </tableColumns>
  <tableStyleInfo name="Sheet1-style 135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Table_136" displayName="Table_136" ref="B2064:E2065" headerRowCount="0">
  <tableColumns count="4">
    <tableColumn id="1" xr3:uid="{00000000-0010-0000-8700-000001000000}" name="Column1"/>
    <tableColumn id="2" xr3:uid="{00000000-0010-0000-8700-000002000000}" name="Column2"/>
    <tableColumn id="3" xr3:uid="{00000000-0010-0000-8700-000003000000}" name="Column3"/>
    <tableColumn id="4" xr3:uid="{00000000-0010-0000-8700-000004000000}" name="Column4"/>
  </tableColumns>
  <tableStyleInfo name="Sheet1-style 136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Table_137" displayName="Table_137" ref="B2079:E2080" headerRowCount="0">
  <tableColumns count="4">
    <tableColumn id="1" xr3:uid="{00000000-0010-0000-8800-000001000000}" name="Column1"/>
    <tableColumn id="2" xr3:uid="{00000000-0010-0000-8800-000002000000}" name="Column2"/>
    <tableColumn id="3" xr3:uid="{00000000-0010-0000-8800-000003000000}" name="Column3"/>
    <tableColumn id="4" xr3:uid="{00000000-0010-0000-8800-000004000000}" name="Column4"/>
  </tableColumns>
  <tableStyleInfo name="Sheet1-style 137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Table_138" displayName="Table_138" ref="B2094:E2095" headerRowCount="0">
  <tableColumns count="4">
    <tableColumn id="1" xr3:uid="{00000000-0010-0000-8900-000001000000}" name="Column1"/>
    <tableColumn id="2" xr3:uid="{00000000-0010-0000-8900-000002000000}" name="Column2"/>
    <tableColumn id="3" xr3:uid="{00000000-0010-0000-8900-000003000000}" name="Column3"/>
    <tableColumn id="4" xr3:uid="{00000000-0010-0000-8900-000004000000}" name="Column4"/>
  </tableColumns>
  <tableStyleInfo name="Sheet1-style 138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Table_139" displayName="Table_139" ref="B2109:E2110" headerRowCount="0">
  <tableColumns count="4">
    <tableColumn id="1" xr3:uid="{00000000-0010-0000-8A00-000001000000}" name="Column1"/>
    <tableColumn id="2" xr3:uid="{00000000-0010-0000-8A00-000002000000}" name="Column2"/>
    <tableColumn id="3" xr3:uid="{00000000-0010-0000-8A00-000003000000}" name="Column3"/>
    <tableColumn id="4" xr3:uid="{00000000-0010-0000-8A00-000004000000}" name="Column4"/>
  </tableColumns>
  <tableStyleInfo name="Sheet1-style 139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Table_140" displayName="Table_140" ref="B2124:E2125" headerRowCount="0">
  <tableColumns count="4">
    <tableColumn id="1" xr3:uid="{00000000-0010-0000-8B00-000001000000}" name="Column1"/>
    <tableColumn id="2" xr3:uid="{00000000-0010-0000-8B00-000002000000}" name="Column2"/>
    <tableColumn id="3" xr3:uid="{00000000-0010-0000-8B00-000003000000}" name="Column3"/>
    <tableColumn id="4" xr3:uid="{00000000-0010-0000-8B00-000004000000}" name="Column4"/>
  </tableColumns>
  <tableStyleInfo name="Sheet1-style 140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Table_141" displayName="Table_141" ref="B2139:E2140" headerRowCount="0">
  <tableColumns count="4">
    <tableColumn id="1" xr3:uid="{00000000-0010-0000-8C00-000001000000}" name="Column1"/>
    <tableColumn id="2" xr3:uid="{00000000-0010-0000-8C00-000002000000}" name="Column2"/>
    <tableColumn id="3" xr3:uid="{00000000-0010-0000-8C00-000003000000}" name="Column3"/>
    <tableColumn id="4" xr3:uid="{00000000-0010-0000-8C00-000004000000}" name="Column4"/>
  </tableColumns>
  <tableStyleInfo name="Sheet1-style 141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Table_142" displayName="Table_142" ref="B2154:E2155" headerRowCount="0">
  <tableColumns count="4">
    <tableColumn id="1" xr3:uid="{00000000-0010-0000-8D00-000001000000}" name="Column1"/>
    <tableColumn id="2" xr3:uid="{00000000-0010-0000-8D00-000002000000}" name="Column2"/>
    <tableColumn id="3" xr3:uid="{00000000-0010-0000-8D00-000003000000}" name="Column3"/>
    <tableColumn id="4" xr3:uid="{00000000-0010-0000-8D00-000004000000}" name="Column4"/>
  </tableColumns>
  <tableStyleInfo name="Sheet1-style 142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able_143" displayName="Table_143" ref="B2168:E2169" headerRowCount="0">
  <tableColumns count="4">
    <tableColumn id="1" xr3:uid="{00000000-0010-0000-8E00-000001000000}" name="Column1"/>
    <tableColumn id="2" xr3:uid="{00000000-0010-0000-8E00-000002000000}" name="Column2"/>
    <tableColumn id="3" xr3:uid="{00000000-0010-0000-8E00-000003000000}" name="Column3"/>
    <tableColumn id="4" xr3:uid="{00000000-0010-0000-8E00-000004000000}" name="Column4"/>
  </tableColumns>
  <tableStyleInfo name="Sheet1-style 143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Table_144" displayName="Table_144" ref="B2183:E2184" headerRowCount="0">
  <tableColumns count="4">
    <tableColumn id="1" xr3:uid="{00000000-0010-0000-8F00-000001000000}" name="Column1"/>
    <tableColumn id="2" xr3:uid="{00000000-0010-0000-8F00-000002000000}" name="Column2"/>
    <tableColumn id="3" xr3:uid="{00000000-0010-0000-8F00-000003000000}" name="Column3"/>
    <tableColumn id="4" xr3:uid="{00000000-0010-0000-8F00-000004000000}" name="Column4"/>
  </tableColumns>
  <tableStyleInfo name="Sheet1-style 144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Table_145" displayName="Table_145" ref="B2197:E2198" headerRowCount="0">
  <tableColumns count="4">
    <tableColumn id="1" xr3:uid="{00000000-0010-0000-9000-000001000000}" name="Column1"/>
    <tableColumn id="2" xr3:uid="{00000000-0010-0000-9000-000002000000}" name="Column2"/>
    <tableColumn id="3" xr3:uid="{00000000-0010-0000-9000-000003000000}" name="Column3"/>
    <tableColumn id="4" xr3:uid="{00000000-0010-0000-9000-000004000000}" name="Column4"/>
  </tableColumns>
  <tableStyleInfo name="Sheet1-style 145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Table_146" displayName="Table_146" ref="B2216:E2217" headerRowCount="0">
  <tableColumns count="4">
    <tableColumn id="1" xr3:uid="{00000000-0010-0000-9100-000001000000}" name="Column1"/>
    <tableColumn id="2" xr3:uid="{00000000-0010-0000-9100-000002000000}" name="Column2"/>
    <tableColumn id="3" xr3:uid="{00000000-0010-0000-9100-000003000000}" name="Column3"/>
    <tableColumn id="4" xr3:uid="{00000000-0010-0000-9100-000004000000}" name="Column4"/>
  </tableColumns>
  <tableStyleInfo name="Sheet1-style 146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Table_147" displayName="Table_147" ref="B2231:E2232" headerRowCount="0">
  <tableColumns count="4">
    <tableColumn id="1" xr3:uid="{00000000-0010-0000-9200-000001000000}" name="Column1"/>
    <tableColumn id="2" xr3:uid="{00000000-0010-0000-9200-000002000000}" name="Column2"/>
    <tableColumn id="3" xr3:uid="{00000000-0010-0000-9200-000003000000}" name="Column3"/>
    <tableColumn id="4" xr3:uid="{00000000-0010-0000-9200-000004000000}" name="Column4"/>
  </tableColumns>
  <tableStyleInfo name="Sheet1-style 147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Table_148" displayName="Table_148" ref="B2248:E2249" headerRowCount="0">
  <tableColumns count="4">
    <tableColumn id="1" xr3:uid="{00000000-0010-0000-9300-000001000000}" name="Column1"/>
    <tableColumn id="2" xr3:uid="{00000000-0010-0000-9300-000002000000}" name="Column2"/>
    <tableColumn id="3" xr3:uid="{00000000-0010-0000-9300-000003000000}" name="Column3"/>
    <tableColumn id="4" xr3:uid="{00000000-0010-0000-9300-000004000000}" name="Column4"/>
  </tableColumns>
  <tableStyleInfo name="Sheet1-style 148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Table_149" displayName="Table_149" ref="B2265:E2266" headerRowCount="0">
  <tableColumns count="4">
    <tableColumn id="1" xr3:uid="{00000000-0010-0000-9400-000001000000}" name="Column1"/>
    <tableColumn id="2" xr3:uid="{00000000-0010-0000-9400-000002000000}" name="Column2"/>
    <tableColumn id="3" xr3:uid="{00000000-0010-0000-9400-000003000000}" name="Column3"/>
    <tableColumn id="4" xr3:uid="{00000000-0010-0000-9400-000004000000}" name="Column4"/>
  </tableColumns>
  <tableStyleInfo name="Sheet1-style 149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Table_150" displayName="Table_150" ref="B2281:E2282" headerRowCount="0">
  <tableColumns count="4">
    <tableColumn id="1" xr3:uid="{00000000-0010-0000-9500-000001000000}" name="Column1"/>
    <tableColumn id="2" xr3:uid="{00000000-0010-0000-9500-000002000000}" name="Column2"/>
    <tableColumn id="3" xr3:uid="{00000000-0010-0000-9500-000003000000}" name="Column3"/>
    <tableColumn id="4" xr3:uid="{00000000-0010-0000-9500-000004000000}" name="Column4"/>
  </tableColumns>
  <tableStyleInfo name="Sheet1-style 150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Table_151" displayName="Table_151" ref="B2295:E2296" headerRowCount="0">
  <tableColumns count="4">
    <tableColumn id="1" xr3:uid="{00000000-0010-0000-9600-000001000000}" name="Column1"/>
    <tableColumn id="2" xr3:uid="{00000000-0010-0000-9600-000002000000}" name="Column2"/>
    <tableColumn id="3" xr3:uid="{00000000-0010-0000-9600-000003000000}" name="Column3"/>
    <tableColumn id="4" xr3:uid="{00000000-0010-0000-9600-000004000000}" name="Column4"/>
  </tableColumns>
  <tableStyleInfo name="Sheet1-style 151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Table_152" displayName="Table_152" ref="B2308:E2309" headerRowCount="0">
  <tableColumns count="4">
    <tableColumn id="1" xr3:uid="{00000000-0010-0000-9700-000001000000}" name="Column1"/>
    <tableColumn id="2" xr3:uid="{00000000-0010-0000-9700-000002000000}" name="Column2"/>
    <tableColumn id="3" xr3:uid="{00000000-0010-0000-9700-000003000000}" name="Column3"/>
    <tableColumn id="4" xr3:uid="{00000000-0010-0000-9700-000004000000}" name="Column4"/>
  </tableColumns>
  <tableStyleInfo name="Sheet1-style 152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Table_153" displayName="Table_153" ref="B2322:E2323" headerRowCount="0">
  <tableColumns count="4">
    <tableColumn id="1" xr3:uid="{00000000-0010-0000-9800-000001000000}" name="Column1"/>
    <tableColumn id="2" xr3:uid="{00000000-0010-0000-9800-000002000000}" name="Column2"/>
    <tableColumn id="3" xr3:uid="{00000000-0010-0000-9800-000003000000}" name="Column3"/>
    <tableColumn id="4" xr3:uid="{00000000-0010-0000-9800-000004000000}" name="Column4"/>
  </tableColumns>
  <tableStyleInfo name="Sheet1-style 153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Table_154" displayName="Table_154" ref="B2337:E2338" headerRowCount="0">
  <tableColumns count="4">
    <tableColumn id="1" xr3:uid="{00000000-0010-0000-9900-000001000000}" name="Column1"/>
    <tableColumn id="2" xr3:uid="{00000000-0010-0000-9900-000002000000}" name="Column2"/>
    <tableColumn id="3" xr3:uid="{00000000-0010-0000-9900-000003000000}" name="Column3"/>
    <tableColumn id="4" xr3:uid="{00000000-0010-0000-9900-000004000000}" name="Column4"/>
  </tableColumns>
  <tableStyleInfo name="Sheet1-style 154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Table_155" displayName="Table_155" ref="B2351:E2352" headerRowCount="0">
  <tableColumns count="4">
    <tableColumn id="1" xr3:uid="{00000000-0010-0000-9A00-000001000000}" name="Column1"/>
    <tableColumn id="2" xr3:uid="{00000000-0010-0000-9A00-000002000000}" name="Column2"/>
    <tableColumn id="3" xr3:uid="{00000000-0010-0000-9A00-000003000000}" name="Column3"/>
    <tableColumn id="4" xr3:uid="{00000000-0010-0000-9A00-000004000000}" name="Column4"/>
  </tableColumns>
  <tableStyleInfo name="Sheet1-style 155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Table_156" displayName="Table_156" ref="B2365:E2366" headerRowCount="0">
  <tableColumns count="4">
    <tableColumn id="1" xr3:uid="{00000000-0010-0000-9B00-000001000000}" name="Column1"/>
    <tableColumn id="2" xr3:uid="{00000000-0010-0000-9B00-000002000000}" name="Column2"/>
    <tableColumn id="3" xr3:uid="{00000000-0010-0000-9B00-000003000000}" name="Column3"/>
    <tableColumn id="4" xr3:uid="{00000000-0010-0000-9B00-000004000000}" name="Column4"/>
  </tableColumns>
  <tableStyleInfo name="Sheet1-style 156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able_157" displayName="Table_157" ref="B2380:E2381" headerRowCount="0">
  <tableColumns count="4">
    <tableColumn id="1" xr3:uid="{00000000-0010-0000-9C00-000001000000}" name="Column1"/>
    <tableColumn id="2" xr3:uid="{00000000-0010-0000-9C00-000002000000}" name="Column2"/>
    <tableColumn id="3" xr3:uid="{00000000-0010-0000-9C00-000003000000}" name="Column3"/>
    <tableColumn id="4" xr3:uid="{00000000-0010-0000-9C00-000004000000}" name="Column4"/>
  </tableColumns>
  <tableStyleInfo name="Sheet1-style 157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Table_158" displayName="Table_158" ref="B2395:E2396" headerRowCount="0">
  <tableColumns count="4">
    <tableColumn id="1" xr3:uid="{00000000-0010-0000-9D00-000001000000}" name="Column1"/>
    <tableColumn id="2" xr3:uid="{00000000-0010-0000-9D00-000002000000}" name="Column2"/>
    <tableColumn id="3" xr3:uid="{00000000-0010-0000-9D00-000003000000}" name="Column3"/>
    <tableColumn id="4" xr3:uid="{00000000-0010-0000-9D00-000004000000}" name="Column4"/>
  </tableColumns>
  <tableStyleInfo name="Sheet1-style 158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Table_159" displayName="Table_159" ref="B2410:E2411" headerRowCount="0">
  <tableColumns count="4">
    <tableColumn id="1" xr3:uid="{00000000-0010-0000-9E00-000001000000}" name="Column1"/>
    <tableColumn id="2" xr3:uid="{00000000-0010-0000-9E00-000002000000}" name="Column2"/>
    <tableColumn id="3" xr3:uid="{00000000-0010-0000-9E00-000003000000}" name="Column3"/>
    <tableColumn id="4" xr3:uid="{00000000-0010-0000-9E00-000004000000}" name="Column4"/>
  </tableColumns>
  <tableStyleInfo name="Sheet1-style 159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Table_160" displayName="Table_160" ref="B2425:E2426" headerRowCount="0">
  <tableColumns count="4">
    <tableColumn id="1" xr3:uid="{00000000-0010-0000-9F00-000001000000}" name="Column1"/>
    <tableColumn id="2" xr3:uid="{00000000-0010-0000-9F00-000002000000}" name="Column2"/>
    <tableColumn id="3" xr3:uid="{00000000-0010-0000-9F00-000003000000}" name="Column3"/>
    <tableColumn id="4" xr3:uid="{00000000-0010-0000-9F00-000004000000}" name="Column4"/>
  </tableColumns>
  <tableStyleInfo name="Sheet1-style 160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Table_161" displayName="Table_161" ref="B2440:E2441" headerRowCount="0">
  <tableColumns count="4">
    <tableColumn id="1" xr3:uid="{00000000-0010-0000-A000-000001000000}" name="Column1"/>
    <tableColumn id="2" xr3:uid="{00000000-0010-0000-A000-000002000000}" name="Column2"/>
    <tableColumn id="3" xr3:uid="{00000000-0010-0000-A000-000003000000}" name="Column3"/>
    <tableColumn id="4" xr3:uid="{00000000-0010-0000-A000-000004000000}" name="Column4"/>
  </tableColumns>
  <tableStyleInfo name="Sheet1-style 161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Table_162" displayName="Table_162" ref="B2454:E2455" headerRowCount="0">
  <tableColumns count="4">
    <tableColumn id="1" xr3:uid="{00000000-0010-0000-A100-000001000000}" name="Column1"/>
    <tableColumn id="2" xr3:uid="{00000000-0010-0000-A100-000002000000}" name="Column2"/>
    <tableColumn id="3" xr3:uid="{00000000-0010-0000-A100-000003000000}" name="Column3"/>
    <tableColumn id="4" xr3:uid="{00000000-0010-0000-A100-000004000000}" name="Column4"/>
  </tableColumns>
  <tableStyleInfo name="Sheet1-style 162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Table_163" displayName="Table_163" ref="B2470:E2471" headerRowCount="0">
  <tableColumns count="4">
    <tableColumn id="1" xr3:uid="{00000000-0010-0000-A200-000001000000}" name="Column1"/>
    <tableColumn id="2" xr3:uid="{00000000-0010-0000-A200-000002000000}" name="Column2"/>
    <tableColumn id="3" xr3:uid="{00000000-0010-0000-A200-000003000000}" name="Column3"/>
    <tableColumn id="4" xr3:uid="{00000000-0010-0000-A200-000004000000}" name="Column4"/>
  </tableColumns>
  <tableStyleInfo name="Sheet1-style 163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Table_164" displayName="Table_164" ref="B2484:E2485" headerRowCount="0">
  <tableColumns count="4">
    <tableColumn id="1" xr3:uid="{00000000-0010-0000-A300-000001000000}" name="Column1"/>
    <tableColumn id="2" xr3:uid="{00000000-0010-0000-A300-000002000000}" name="Column2"/>
    <tableColumn id="3" xr3:uid="{00000000-0010-0000-A300-000003000000}" name="Column3"/>
    <tableColumn id="4" xr3:uid="{00000000-0010-0000-A300-000004000000}" name="Column4"/>
  </tableColumns>
  <tableStyleInfo name="Sheet1-style 164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Table_165" displayName="Table_165" ref="B2499:E2500" headerRowCount="0">
  <tableColumns count="4">
    <tableColumn id="1" xr3:uid="{00000000-0010-0000-A400-000001000000}" name="Column1"/>
    <tableColumn id="2" xr3:uid="{00000000-0010-0000-A400-000002000000}" name="Column2"/>
    <tableColumn id="3" xr3:uid="{00000000-0010-0000-A400-000003000000}" name="Column3"/>
    <tableColumn id="4" xr3:uid="{00000000-0010-0000-A400-000004000000}" name="Column4"/>
  </tableColumns>
  <tableStyleInfo name="Sheet1-style 165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Table_166" displayName="Table_166" ref="B2514:E2515" headerRowCount="0">
  <tableColumns count="4">
    <tableColumn id="1" xr3:uid="{00000000-0010-0000-A500-000001000000}" name="Column1"/>
    <tableColumn id="2" xr3:uid="{00000000-0010-0000-A500-000002000000}" name="Column2"/>
    <tableColumn id="3" xr3:uid="{00000000-0010-0000-A500-000003000000}" name="Column3"/>
    <tableColumn id="4" xr3:uid="{00000000-0010-0000-A500-000004000000}" name="Column4"/>
  </tableColumns>
  <tableStyleInfo name="Sheet1-style 166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Table_167" displayName="Table_167" ref="B2528:E2529" headerRowCount="0">
  <tableColumns count="4">
    <tableColumn id="1" xr3:uid="{00000000-0010-0000-A600-000001000000}" name="Column1"/>
    <tableColumn id="2" xr3:uid="{00000000-0010-0000-A600-000002000000}" name="Column2"/>
    <tableColumn id="3" xr3:uid="{00000000-0010-0000-A600-000003000000}" name="Column3"/>
    <tableColumn id="4" xr3:uid="{00000000-0010-0000-A600-000004000000}" name="Column4"/>
  </tableColumns>
  <tableStyleInfo name="Sheet1-style 167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Table_168" displayName="Table_168" ref="B2543:E2544" headerRowCount="0">
  <tableColumns count="4">
    <tableColumn id="1" xr3:uid="{00000000-0010-0000-A700-000001000000}" name="Column1"/>
    <tableColumn id="2" xr3:uid="{00000000-0010-0000-A700-000002000000}" name="Column2"/>
    <tableColumn id="3" xr3:uid="{00000000-0010-0000-A700-000003000000}" name="Column3"/>
    <tableColumn id="4" xr3:uid="{00000000-0010-0000-A700-000004000000}" name="Column4"/>
  </tableColumns>
  <tableStyleInfo name="Sheet1-style 168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ble_169" displayName="Table_169" ref="B2559:E2560" headerRowCount="0">
  <tableColumns count="4">
    <tableColumn id="1" xr3:uid="{00000000-0010-0000-A800-000001000000}" name="Column1"/>
    <tableColumn id="2" xr3:uid="{00000000-0010-0000-A800-000002000000}" name="Column2"/>
    <tableColumn id="3" xr3:uid="{00000000-0010-0000-A800-000003000000}" name="Column3"/>
    <tableColumn id="4" xr3:uid="{00000000-0010-0000-A800-000004000000}" name="Column4"/>
  </tableColumns>
  <tableStyleInfo name="Sheet1-style 169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ble_170" displayName="Table_170" ref="B2573:E2574" headerRowCount="0">
  <tableColumns count="4">
    <tableColumn id="1" xr3:uid="{00000000-0010-0000-A900-000001000000}" name="Column1"/>
    <tableColumn id="2" xr3:uid="{00000000-0010-0000-A900-000002000000}" name="Column2"/>
    <tableColumn id="3" xr3:uid="{00000000-0010-0000-A900-000003000000}" name="Column3"/>
    <tableColumn id="4" xr3:uid="{00000000-0010-0000-A900-000004000000}" name="Column4"/>
  </tableColumns>
  <tableStyleInfo name="Sheet1-style 170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ble_171" displayName="Table_171" ref="B2588:E2589" headerRowCount="0">
  <tableColumns count="4">
    <tableColumn id="1" xr3:uid="{00000000-0010-0000-AA00-000001000000}" name="Column1"/>
    <tableColumn id="2" xr3:uid="{00000000-0010-0000-AA00-000002000000}" name="Column2"/>
    <tableColumn id="3" xr3:uid="{00000000-0010-0000-AA00-000003000000}" name="Column3"/>
    <tableColumn id="4" xr3:uid="{00000000-0010-0000-AA00-000004000000}" name="Column4"/>
  </tableColumns>
  <tableStyleInfo name="Sheet1-style 171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ble_172" displayName="Table_172" ref="B2603:E2604" headerRowCount="0">
  <tableColumns count="4">
    <tableColumn id="1" xr3:uid="{00000000-0010-0000-AB00-000001000000}" name="Column1"/>
    <tableColumn id="2" xr3:uid="{00000000-0010-0000-AB00-000002000000}" name="Column2"/>
    <tableColumn id="3" xr3:uid="{00000000-0010-0000-AB00-000003000000}" name="Column3"/>
    <tableColumn id="4" xr3:uid="{00000000-0010-0000-AB00-000004000000}" name="Column4"/>
  </tableColumns>
  <tableStyleInfo name="Sheet1-style 172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able_173" displayName="Table_173" ref="B2618:E2619" headerRowCount="0">
  <tableColumns count="4">
    <tableColumn id="1" xr3:uid="{00000000-0010-0000-AC00-000001000000}" name="Column1"/>
    <tableColumn id="2" xr3:uid="{00000000-0010-0000-AC00-000002000000}" name="Column2"/>
    <tableColumn id="3" xr3:uid="{00000000-0010-0000-AC00-000003000000}" name="Column3"/>
    <tableColumn id="4" xr3:uid="{00000000-0010-0000-AC00-000004000000}" name="Column4"/>
  </tableColumns>
  <tableStyleInfo name="Sheet1-style 173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able_174" displayName="Table_174" ref="B2633:E2634" headerRowCount="0">
  <tableColumns count="4">
    <tableColumn id="1" xr3:uid="{00000000-0010-0000-AD00-000001000000}" name="Column1"/>
    <tableColumn id="2" xr3:uid="{00000000-0010-0000-AD00-000002000000}" name="Column2"/>
    <tableColumn id="3" xr3:uid="{00000000-0010-0000-AD00-000003000000}" name="Column3"/>
    <tableColumn id="4" xr3:uid="{00000000-0010-0000-AD00-000004000000}" name="Column4"/>
  </tableColumns>
  <tableStyleInfo name="Sheet1-style 174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able_175" displayName="Table_175" ref="B2648:E2649" headerRowCount="0">
  <tableColumns count="4">
    <tableColumn id="1" xr3:uid="{00000000-0010-0000-AE00-000001000000}" name="Column1"/>
    <tableColumn id="2" xr3:uid="{00000000-0010-0000-AE00-000002000000}" name="Column2"/>
    <tableColumn id="3" xr3:uid="{00000000-0010-0000-AE00-000003000000}" name="Column3"/>
    <tableColumn id="4" xr3:uid="{00000000-0010-0000-AE00-000004000000}" name="Column4"/>
  </tableColumns>
  <tableStyleInfo name="Sheet1-style 175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able_176" displayName="Table_176" ref="B2662:E2663" headerRowCount="0">
  <tableColumns count="4">
    <tableColumn id="1" xr3:uid="{00000000-0010-0000-AF00-000001000000}" name="Column1"/>
    <tableColumn id="2" xr3:uid="{00000000-0010-0000-AF00-000002000000}" name="Column2"/>
    <tableColumn id="3" xr3:uid="{00000000-0010-0000-AF00-000003000000}" name="Column3"/>
    <tableColumn id="4" xr3:uid="{00000000-0010-0000-AF00-000004000000}" name="Column4"/>
  </tableColumns>
  <tableStyleInfo name="Sheet1-style 176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able_177" displayName="Table_177" ref="B2676:E2677" headerRowCount="0">
  <tableColumns count="4">
    <tableColumn id="1" xr3:uid="{00000000-0010-0000-B000-000001000000}" name="Column1"/>
    <tableColumn id="2" xr3:uid="{00000000-0010-0000-B000-000002000000}" name="Column2"/>
    <tableColumn id="3" xr3:uid="{00000000-0010-0000-B000-000003000000}" name="Column3"/>
    <tableColumn id="4" xr3:uid="{00000000-0010-0000-B000-000004000000}" name="Column4"/>
  </tableColumns>
  <tableStyleInfo name="Sheet1-style 177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able_178" displayName="Table_178" ref="B2691:E2692" headerRowCount="0">
  <tableColumns count="4">
    <tableColumn id="1" xr3:uid="{00000000-0010-0000-B100-000001000000}" name="Column1"/>
    <tableColumn id="2" xr3:uid="{00000000-0010-0000-B100-000002000000}" name="Column2"/>
    <tableColumn id="3" xr3:uid="{00000000-0010-0000-B100-000003000000}" name="Column3"/>
    <tableColumn id="4" xr3:uid="{00000000-0010-0000-B100-000004000000}" name="Column4"/>
  </tableColumns>
  <tableStyleInfo name="Sheet1-style 178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Table_179" displayName="Table_179" ref="B2707:E2708" headerRowCount="0">
  <tableColumns count="4">
    <tableColumn id="1" xr3:uid="{00000000-0010-0000-B200-000001000000}" name="Column1"/>
    <tableColumn id="2" xr3:uid="{00000000-0010-0000-B200-000002000000}" name="Column2"/>
    <tableColumn id="3" xr3:uid="{00000000-0010-0000-B200-000003000000}" name="Column3"/>
    <tableColumn id="4" xr3:uid="{00000000-0010-0000-B200-000004000000}" name="Column4"/>
  </tableColumns>
  <tableStyleInfo name="Sheet1-style 179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Table_180" displayName="Table_180" ref="B2723:E2724" headerRowCount="0">
  <tableColumns count="4">
    <tableColumn id="1" xr3:uid="{00000000-0010-0000-B300-000001000000}" name="Column1"/>
    <tableColumn id="2" xr3:uid="{00000000-0010-0000-B300-000002000000}" name="Column2"/>
    <tableColumn id="3" xr3:uid="{00000000-0010-0000-B300-000003000000}" name="Column3"/>
    <tableColumn id="4" xr3:uid="{00000000-0010-0000-B300-000004000000}" name="Column4"/>
  </tableColumns>
  <tableStyleInfo name="Sheet1-style 180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Table_181" displayName="Table_181" ref="B2738:E2739" headerRowCount="0">
  <tableColumns count="4">
    <tableColumn id="1" xr3:uid="{00000000-0010-0000-B400-000001000000}" name="Column1"/>
    <tableColumn id="2" xr3:uid="{00000000-0010-0000-B400-000002000000}" name="Column2"/>
    <tableColumn id="3" xr3:uid="{00000000-0010-0000-B400-000003000000}" name="Column3"/>
    <tableColumn id="4" xr3:uid="{00000000-0010-0000-B400-000004000000}" name="Column4"/>
  </tableColumns>
  <tableStyleInfo name="Sheet1-style 181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Table_182" displayName="Table_182" ref="B2754:E2755" headerRowCount="0">
  <tableColumns count="4">
    <tableColumn id="1" xr3:uid="{00000000-0010-0000-B500-000001000000}" name="Column1"/>
    <tableColumn id="2" xr3:uid="{00000000-0010-0000-B500-000002000000}" name="Column2"/>
    <tableColumn id="3" xr3:uid="{00000000-0010-0000-B500-000003000000}" name="Column3"/>
    <tableColumn id="4" xr3:uid="{00000000-0010-0000-B500-000004000000}" name="Column4"/>
  </tableColumns>
  <tableStyleInfo name="Sheet1-style 182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Table_183" displayName="Table_183" ref="B2769:E2770" headerRowCount="0">
  <tableColumns count="4">
    <tableColumn id="1" xr3:uid="{00000000-0010-0000-B600-000001000000}" name="Column1"/>
    <tableColumn id="2" xr3:uid="{00000000-0010-0000-B600-000002000000}" name="Column2"/>
    <tableColumn id="3" xr3:uid="{00000000-0010-0000-B600-000003000000}" name="Column3"/>
    <tableColumn id="4" xr3:uid="{00000000-0010-0000-B600-000004000000}" name="Column4"/>
  </tableColumns>
  <tableStyleInfo name="Sheet1-style 183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Table_184" displayName="Table_184" ref="B2783:E2784" headerRowCount="0">
  <tableColumns count="4">
    <tableColumn id="1" xr3:uid="{00000000-0010-0000-B700-000001000000}" name="Column1"/>
    <tableColumn id="2" xr3:uid="{00000000-0010-0000-B700-000002000000}" name="Column2"/>
    <tableColumn id="3" xr3:uid="{00000000-0010-0000-B700-000003000000}" name="Column3"/>
    <tableColumn id="4" xr3:uid="{00000000-0010-0000-B700-000004000000}" name="Column4"/>
  </tableColumns>
  <tableStyleInfo name="Sheet1-style 184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Table_185" displayName="Table_185" ref="B2798:E2799" headerRowCount="0">
  <tableColumns count="4">
    <tableColumn id="1" xr3:uid="{00000000-0010-0000-B800-000001000000}" name="Column1"/>
    <tableColumn id="2" xr3:uid="{00000000-0010-0000-B800-000002000000}" name="Column2"/>
    <tableColumn id="3" xr3:uid="{00000000-0010-0000-B800-000003000000}" name="Column3"/>
    <tableColumn id="4" xr3:uid="{00000000-0010-0000-B800-000004000000}" name="Column4"/>
  </tableColumns>
  <tableStyleInfo name="Sheet1-style 185" showFirstColumn="1" showLastColumn="1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Table_186" displayName="Table_186" ref="B2812:E2813" headerRowCount="0">
  <tableColumns count="4">
    <tableColumn id="1" xr3:uid="{00000000-0010-0000-B900-000001000000}" name="Column1"/>
    <tableColumn id="2" xr3:uid="{00000000-0010-0000-B900-000002000000}" name="Column2"/>
    <tableColumn id="3" xr3:uid="{00000000-0010-0000-B900-000003000000}" name="Column3"/>
    <tableColumn id="4" xr3:uid="{00000000-0010-0000-B900-000004000000}" name="Column4"/>
  </tableColumns>
  <tableStyleInfo name="Sheet1-style 186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Table_187" displayName="Table_187" ref="B2827:E2828" headerRowCount="0">
  <tableColumns count="4">
    <tableColumn id="1" xr3:uid="{00000000-0010-0000-BA00-000001000000}" name="Column1"/>
    <tableColumn id="2" xr3:uid="{00000000-0010-0000-BA00-000002000000}" name="Column2"/>
    <tableColumn id="3" xr3:uid="{00000000-0010-0000-BA00-000003000000}" name="Column3"/>
    <tableColumn id="4" xr3:uid="{00000000-0010-0000-BA00-000004000000}" name="Column4"/>
  </tableColumns>
  <tableStyleInfo name="Sheet1-style 187" showFirstColumn="1" showLastColumn="1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le_188" displayName="Table_188" ref="B2843:E2844" headerRowCount="0">
  <tableColumns count="4">
    <tableColumn id="1" xr3:uid="{00000000-0010-0000-BB00-000001000000}" name="Column1"/>
    <tableColumn id="2" xr3:uid="{00000000-0010-0000-BB00-000002000000}" name="Column2"/>
    <tableColumn id="3" xr3:uid="{00000000-0010-0000-BB00-000003000000}" name="Column3"/>
    <tableColumn id="4" xr3:uid="{00000000-0010-0000-BB00-000004000000}" name="Column4"/>
  </tableColumns>
  <tableStyleInfo name="Sheet1-style 188" showFirstColumn="1" showLastColumn="1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Table_189" displayName="Table_189" ref="B2859:E2860" headerRowCount="0">
  <tableColumns count="4">
    <tableColumn id="1" xr3:uid="{00000000-0010-0000-BC00-000001000000}" name="Column1"/>
    <tableColumn id="2" xr3:uid="{00000000-0010-0000-BC00-000002000000}" name="Column2"/>
    <tableColumn id="3" xr3:uid="{00000000-0010-0000-BC00-000003000000}" name="Column3"/>
    <tableColumn id="4" xr3:uid="{00000000-0010-0000-BC00-000004000000}" name="Column4"/>
  </tableColumns>
  <tableStyleInfo name="Sheet1-style 189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Table_190" displayName="Table_190" ref="B2875:E2876" headerRowCount="0">
  <tableColumns count="4">
    <tableColumn id="1" xr3:uid="{00000000-0010-0000-BD00-000001000000}" name="Column1"/>
    <tableColumn id="2" xr3:uid="{00000000-0010-0000-BD00-000002000000}" name="Column2"/>
    <tableColumn id="3" xr3:uid="{00000000-0010-0000-BD00-000003000000}" name="Column3"/>
    <tableColumn id="4" xr3:uid="{00000000-0010-0000-BD00-000004000000}" name="Column4"/>
  </tableColumns>
  <tableStyleInfo name="Sheet1-style 190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Table_191" displayName="Table_191" ref="B2891:E2892" headerRowCount="0">
  <tableColumns count="4">
    <tableColumn id="1" xr3:uid="{00000000-0010-0000-BE00-000001000000}" name="Column1"/>
    <tableColumn id="2" xr3:uid="{00000000-0010-0000-BE00-000002000000}" name="Column2"/>
    <tableColumn id="3" xr3:uid="{00000000-0010-0000-BE00-000003000000}" name="Column3"/>
    <tableColumn id="4" xr3:uid="{00000000-0010-0000-BE00-000004000000}" name="Column4"/>
  </tableColumns>
  <tableStyleInfo name="Sheet1-style 191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Table_192" displayName="Table_192" ref="B2905:E2906" headerRowCount="0">
  <tableColumns count="4">
    <tableColumn id="1" xr3:uid="{00000000-0010-0000-BF00-000001000000}" name="Column1"/>
    <tableColumn id="2" xr3:uid="{00000000-0010-0000-BF00-000002000000}" name="Column2"/>
    <tableColumn id="3" xr3:uid="{00000000-0010-0000-BF00-000003000000}" name="Column3"/>
    <tableColumn id="4" xr3:uid="{00000000-0010-0000-BF00-000004000000}" name="Column4"/>
  </tableColumns>
  <tableStyleInfo name="Sheet1-style 192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Table_193" displayName="Table_193" ref="B2920:E2921" headerRowCount="0">
  <tableColumns count="4">
    <tableColumn id="1" xr3:uid="{00000000-0010-0000-C000-000001000000}" name="Column1"/>
    <tableColumn id="2" xr3:uid="{00000000-0010-0000-C000-000002000000}" name="Column2"/>
    <tableColumn id="3" xr3:uid="{00000000-0010-0000-C000-000003000000}" name="Column3"/>
    <tableColumn id="4" xr3:uid="{00000000-0010-0000-C000-000004000000}" name="Column4"/>
  </tableColumns>
  <tableStyleInfo name="Sheet1-style 193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Table_194" displayName="Table_194" ref="B2934:E2935" headerRowCount="0">
  <tableColumns count="4">
    <tableColumn id="1" xr3:uid="{00000000-0010-0000-C100-000001000000}" name="Column1"/>
    <tableColumn id="2" xr3:uid="{00000000-0010-0000-C100-000002000000}" name="Column2"/>
    <tableColumn id="3" xr3:uid="{00000000-0010-0000-C100-000003000000}" name="Column3"/>
    <tableColumn id="4" xr3:uid="{00000000-0010-0000-C100-000004000000}" name="Column4"/>
  </tableColumns>
  <tableStyleInfo name="Sheet1-style 194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Table_195" displayName="Table_195" ref="B2947:E2948" headerRowCount="0">
  <tableColumns count="4">
    <tableColumn id="1" xr3:uid="{00000000-0010-0000-C200-000001000000}" name="Column1"/>
    <tableColumn id="2" xr3:uid="{00000000-0010-0000-C200-000002000000}" name="Column2"/>
    <tableColumn id="3" xr3:uid="{00000000-0010-0000-C200-000003000000}" name="Column3"/>
    <tableColumn id="4" xr3:uid="{00000000-0010-0000-C200-000004000000}" name="Column4"/>
  </tableColumns>
  <tableStyleInfo name="Sheet1-style 195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Table_196" displayName="Table_196" ref="B2962:E2963" headerRowCount="0">
  <tableColumns count="4">
    <tableColumn id="1" xr3:uid="{00000000-0010-0000-C300-000001000000}" name="Column1"/>
    <tableColumn id="2" xr3:uid="{00000000-0010-0000-C300-000002000000}" name="Column2"/>
    <tableColumn id="3" xr3:uid="{00000000-0010-0000-C300-000003000000}" name="Column3"/>
    <tableColumn id="4" xr3:uid="{00000000-0010-0000-C300-000004000000}" name="Column4"/>
  </tableColumns>
  <tableStyleInfo name="Sheet1-style 196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Table_197" displayName="Table_197" ref="B2976:E2977" headerRowCount="0">
  <tableColumns count="4">
    <tableColumn id="1" xr3:uid="{00000000-0010-0000-C400-000001000000}" name="Column1"/>
    <tableColumn id="2" xr3:uid="{00000000-0010-0000-C400-000002000000}" name="Column2"/>
    <tableColumn id="3" xr3:uid="{00000000-0010-0000-C400-000003000000}" name="Column3"/>
    <tableColumn id="4" xr3:uid="{00000000-0010-0000-C400-000004000000}" name="Column4"/>
  </tableColumns>
  <tableStyleInfo name="Sheet1-style 197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Table_198" displayName="Table_198" ref="B2991:E2992" headerRowCount="0">
  <tableColumns count="4">
    <tableColumn id="1" xr3:uid="{00000000-0010-0000-C500-000001000000}" name="Column1"/>
    <tableColumn id="2" xr3:uid="{00000000-0010-0000-C500-000002000000}" name="Column2"/>
    <tableColumn id="3" xr3:uid="{00000000-0010-0000-C500-000003000000}" name="Column3"/>
    <tableColumn id="4" xr3:uid="{00000000-0010-0000-C500-000004000000}" name="Column4"/>
  </tableColumns>
  <tableStyleInfo name="Sheet1-style 198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Table_199" displayName="Table_199" ref="B3005:E3006" headerRowCount="0">
  <tableColumns count="4">
    <tableColumn id="1" xr3:uid="{00000000-0010-0000-C600-000001000000}" name="Column1"/>
    <tableColumn id="2" xr3:uid="{00000000-0010-0000-C600-000002000000}" name="Column2"/>
    <tableColumn id="3" xr3:uid="{00000000-0010-0000-C600-000003000000}" name="Column3"/>
    <tableColumn id="4" xr3:uid="{00000000-0010-0000-C600-000004000000}" name="Column4"/>
  </tableColumns>
  <tableStyleInfo name="Sheet1-style 199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Table_200" displayName="Table_200" ref="B3021:E3022" headerRowCount="0">
  <tableColumns count="4">
    <tableColumn id="1" xr3:uid="{00000000-0010-0000-C700-000001000000}" name="Column1"/>
    <tableColumn id="2" xr3:uid="{00000000-0010-0000-C700-000002000000}" name="Column2"/>
    <tableColumn id="3" xr3:uid="{00000000-0010-0000-C700-000003000000}" name="Column3"/>
    <tableColumn id="4" xr3:uid="{00000000-0010-0000-C700-000004000000}" name="Column4"/>
  </tableColumns>
  <tableStyleInfo name="Sheet1-style 200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Table_201" displayName="Table_201" ref="B3037:E3038" headerRowCount="0">
  <tableColumns count="4">
    <tableColumn id="1" xr3:uid="{00000000-0010-0000-C800-000001000000}" name="Column1"/>
    <tableColumn id="2" xr3:uid="{00000000-0010-0000-C800-000002000000}" name="Column2"/>
    <tableColumn id="3" xr3:uid="{00000000-0010-0000-C800-000003000000}" name="Column3"/>
    <tableColumn id="4" xr3:uid="{00000000-0010-0000-C800-000004000000}" name="Column4"/>
  </tableColumns>
  <tableStyleInfo name="Sheet1-style 201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Table_202" displayName="Table_202" ref="B3054:E3055" headerRowCount="0">
  <tableColumns count="4">
    <tableColumn id="1" xr3:uid="{00000000-0010-0000-C900-000001000000}" name="Column1"/>
    <tableColumn id="2" xr3:uid="{00000000-0010-0000-C900-000002000000}" name="Column2"/>
    <tableColumn id="3" xr3:uid="{00000000-0010-0000-C900-000003000000}" name="Column3"/>
    <tableColumn id="4" xr3:uid="{00000000-0010-0000-C900-000004000000}" name="Column4"/>
  </tableColumns>
  <tableStyleInfo name="Sheet1-style 202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Table_203" displayName="Table_203" ref="B3068:E3069" headerRowCount="0">
  <tableColumns count="4">
    <tableColumn id="1" xr3:uid="{00000000-0010-0000-CA00-000001000000}" name="Column1"/>
    <tableColumn id="2" xr3:uid="{00000000-0010-0000-CA00-000002000000}" name="Column2"/>
    <tableColumn id="3" xr3:uid="{00000000-0010-0000-CA00-000003000000}" name="Column3"/>
    <tableColumn id="4" xr3:uid="{00000000-0010-0000-CA00-000004000000}" name="Column4"/>
  </tableColumns>
  <tableStyleInfo name="Sheet1-style 203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Table_204" displayName="Table_204" ref="B3084:E3085" headerRowCount="0">
  <tableColumns count="4">
    <tableColumn id="1" xr3:uid="{00000000-0010-0000-CB00-000001000000}" name="Column1"/>
    <tableColumn id="2" xr3:uid="{00000000-0010-0000-CB00-000002000000}" name="Column2"/>
    <tableColumn id="3" xr3:uid="{00000000-0010-0000-CB00-000003000000}" name="Column3"/>
    <tableColumn id="4" xr3:uid="{00000000-0010-0000-CB00-000004000000}" name="Column4"/>
  </tableColumns>
  <tableStyleInfo name="Sheet1-style 204" showFirstColumn="1" showLastColumn="1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C000000}" name="Table_205" displayName="Table_205" ref="B3099:E3100" headerRowCount="0">
  <tableColumns count="4">
    <tableColumn id="1" xr3:uid="{00000000-0010-0000-CC00-000001000000}" name="Column1"/>
    <tableColumn id="2" xr3:uid="{00000000-0010-0000-CC00-000002000000}" name="Column2"/>
    <tableColumn id="3" xr3:uid="{00000000-0010-0000-CC00-000003000000}" name="Column3"/>
    <tableColumn id="4" xr3:uid="{00000000-0010-0000-CC00-000004000000}" name="Column4"/>
  </tableColumns>
  <tableStyleInfo name="Sheet1-style 205" showFirstColumn="1" showLastColumn="1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D000000}" name="Table_206" displayName="Table_206" ref="B3114:E3115" headerRowCount="0">
  <tableColumns count="4">
    <tableColumn id="1" xr3:uid="{00000000-0010-0000-CD00-000001000000}" name="Column1"/>
    <tableColumn id="2" xr3:uid="{00000000-0010-0000-CD00-000002000000}" name="Column2"/>
    <tableColumn id="3" xr3:uid="{00000000-0010-0000-CD00-000003000000}" name="Column3"/>
    <tableColumn id="4" xr3:uid="{00000000-0010-0000-CD00-000004000000}" name="Column4"/>
  </tableColumns>
  <tableStyleInfo name="Sheet1-style 206" showFirstColumn="1" showLastColumn="1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E000000}" name="Table_207" displayName="Table_207" ref="B3132:E3133" headerRowCount="0">
  <tableColumns count="4">
    <tableColumn id="1" xr3:uid="{00000000-0010-0000-CE00-000001000000}" name="Column1"/>
    <tableColumn id="2" xr3:uid="{00000000-0010-0000-CE00-000002000000}" name="Column2"/>
    <tableColumn id="3" xr3:uid="{00000000-0010-0000-CE00-000003000000}" name="Column3"/>
    <tableColumn id="4" xr3:uid="{00000000-0010-0000-CE00-000004000000}" name="Column4"/>
  </tableColumns>
  <tableStyleInfo name="Sheet1-style 207" showFirstColumn="1" showLastColumn="1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F000000}" name="Table_208" displayName="Table_208" ref="B3146:E3147" headerRowCount="0">
  <tableColumns count="4">
    <tableColumn id="1" xr3:uid="{00000000-0010-0000-CF00-000001000000}" name="Column1"/>
    <tableColumn id="2" xr3:uid="{00000000-0010-0000-CF00-000002000000}" name="Column2"/>
    <tableColumn id="3" xr3:uid="{00000000-0010-0000-CF00-000003000000}" name="Column3"/>
    <tableColumn id="4" xr3:uid="{00000000-0010-0000-CF00-000004000000}" name="Column4"/>
  </tableColumns>
  <tableStyleInfo name="Sheet1-style 208" showFirstColumn="1" showLastColumn="1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D0000000}" name="Table_209" displayName="Table_209" ref="B3163:E3164" headerRowCount="0">
  <tableColumns count="4">
    <tableColumn id="1" xr3:uid="{00000000-0010-0000-D000-000001000000}" name="Column1"/>
    <tableColumn id="2" xr3:uid="{00000000-0010-0000-D000-000002000000}" name="Column2"/>
    <tableColumn id="3" xr3:uid="{00000000-0010-0000-D000-000003000000}" name="Column3"/>
    <tableColumn id="4" xr3:uid="{00000000-0010-0000-D000-000004000000}" name="Column4"/>
  </tableColumns>
  <tableStyleInfo name="Sheet1-style 209" showFirstColumn="1" showLastColumn="1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D1000000}" name="Table_210" displayName="Table_210" ref="B3179:E3180" headerRowCount="0">
  <tableColumns count="4">
    <tableColumn id="1" xr3:uid="{00000000-0010-0000-D100-000001000000}" name="Column1"/>
    <tableColumn id="2" xr3:uid="{00000000-0010-0000-D100-000002000000}" name="Column2"/>
    <tableColumn id="3" xr3:uid="{00000000-0010-0000-D100-000003000000}" name="Column3"/>
    <tableColumn id="4" xr3:uid="{00000000-0010-0000-D100-000004000000}" name="Column4"/>
  </tableColumns>
  <tableStyleInfo name="Sheet1-style 210" showFirstColumn="1" showLastColumn="1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D2000000}" name="Table_211" displayName="Table_211" ref="B3193:E3194" headerRowCount="0">
  <tableColumns count="4">
    <tableColumn id="1" xr3:uid="{00000000-0010-0000-D200-000001000000}" name="Column1"/>
    <tableColumn id="2" xr3:uid="{00000000-0010-0000-D200-000002000000}" name="Column2"/>
    <tableColumn id="3" xr3:uid="{00000000-0010-0000-D200-000003000000}" name="Column3"/>
    <tableColumn id="4" xr3:uid="{00000000-0010-0000-D200-000004000000}" name="Column4"/>
  </tableColumns>
  <tableStyleInfo name="Sheet1-style 211" showFirstColumn="1" showLastColumn="1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D3000000}" name="Table_212" displayName="Table_212" ref="B3208:E3209" headerRowCount="0">
  <tableColumns count="4">
    <tableColumn id="1" xr3:uid="{00000000-0010-0000-D300-000001000000}" name="Column1"/>
    <tableColumn id="2" xr3:uid="{00000000-0010-0000-D300-000002000000}" name="Column2"/>
    <tableColumn id="3" xr3:uid="{00000000-0010-0000-D300-000003000000}" name="Column3"/>
    <tableColumn id="4" xr3:uid="{00000000-0010-0000-D300-000004000000}" name="Column4"/>
  </tableColumns>
  <tableStyleInfo name="Sheet1-style 212" showFirstColumn="1" showLastColumn="1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D4000000}" name="Table_213" displayName="Table_213" ref="B3224:E3225" headerRowCount="0">
  <tableColumns count="4">
    <tableColumn id="1" xr3:uid="{00000000-0010-0000-D400-000001000000}" name="Column1"/>
    <tableColumn id="2" xr3:uid="{00000000-0010-0000-D400-000002000000}" name="Column2"/>
    <tableColumn id="3" xr3:uid="{00000000-0010-0000-D400-000003000000}" name="Column3"/>
    <tableColumn id="4" xr3:uid="{00000000-0010-0000-D400-000004000000}" name="Column4"/>
  </tableColumns>
  <tableStyleInfo name="Sheet1-style 213" showFirstColumn="1" showLastColumn="1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5000000}" name="Table_214" displayName="Table_214" ref="B3240:E3241" headerRowCount="0">
  <tableColumns count="4">
    <tableColumn id="1" xr3:uid="{00000000-0010-0000-D500-000001000000}" name="Column1"/>
    <tableColumn id="2" xr3:uid="{00000000-0010-0000-D500-000002000000}" name="Column2"/>
    <tableColumn id="3" xr3:uid="{00000000-0010-0000-D500-000003000000}" name="Column3"/>
    <tableColumn id="4" xr3:uid="{00000000-0010-0000-D500-000004000000}" name="Column4"/>
  </tableColumns>
  <tableStyleInfo name="Sheet1-style 214" showFirstColumn="1" showLastColumn="1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6000000}" name="Table_215" displayName="Table_215" ref="B3255:E3256" headerRowCount="0">
  <tableColumns count="4">
    <tableColumn id="1" xr3:uid="{00000000-0010-0000-D600-000001000000}" name="Column1"/>
    <tableColumn id="2" xr3:uid="{00000000-0010-0000-D600-000002000000}" name="Column2"/>
    <tableColumn id="3" xr3:uid="{00000000-0010-0000-D600-000003000000}" name="Column3"/>
    <tableColumn id="4" xr3:uid="{00000000-0010-0000-D600-000004000000}" name="Column4"/>
  </tableColumns>
  <tableStyleInfo name="Sheet1-style 215" showFirstColumn="1" showLastColumn="1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7000000}" name="Table_216" displayName="Table_216" ref="B3270:E3271" headerRowCount="0">
  <tableColumns count="4">
    <tableColumn id="1" xr3:uid="{00000000-0010-0000-D700-000001000000}" name="Column1"/>
    <tableColumn id="2" xr3:uid="{00000000-0010-0000-D700-000002000000}" name="Column2"/>
    <tableColumn id="3" xr3:uid="{00000000-0010-0000-D700-000003000000}" name="Column3"/>
    <tableColumn id="4" xr3:uid="{00000000-0010-0000-D700-000004000000}" name="Column4"/>
  </tableColumns>
  <tableStyleInfo name="Sheet1-style 216" showFirstColumn="1" showLastColumn="1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8000000}" name="Table_217" displayName="Table_217" ref="B3285:E3286" headerRowCount="0">
  <tableColumns count="4">
    <tableColumn id="1" xr3:uid="{00000000-0010-0000-D800-000001000000}" name="Column1"/>
    <tableColumn id="2" xr3:uid="{00000000-0010-0000-D800-000002000000}" name="Column2"/>
    <tableColumn id="3" xr3:uid="{00000000-0010-0000-D800-000003000000}" name="Column3"/>
    <tableColumn id="4" xr3:uid="{00000000-0010-0000-D800-000004000000}" name="Column4"/>
  </tableColumns>
  <tableStyleInfo name="Sheet1-style 217" showFirstColumn="1" showLastColumn="1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9000000}" name="Table_218" displayName="Table_218" ref="B3300:E3301" headerRowCount="0">
  <tableColumns count="4">
    <tableColumn id="1" xr3:uid="{00000000-0010-0000-D900-000001000000}" name="Column1"/>
    <tableColumn id="2" xr3:uid="{00000000-0010-0000-D900-000002000000}" name="Column2"/>
    <tableColumn id="3" xr3:uid="{00000000-0010-0000-D900-000003000000}" name="Column3"/>
    <tableColumn id="4" xr3:uid="{00000000-0010-0000-D900-000004000000}" name="Column4"/>
  </tableColumns>
  <tableStyleInfo name="Sheet1-style 218" showFirstColumn="1" showLastColumn="1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A000000}" name="Table_219" displayName="Table_219" ref="B3314:E3315" headerRowCount="0">
  <tableColumns count="4">
    <tableColumn id="1" xr3:uid="{00000000-0010-0000-DA00-000001000000}" name="Column1"/>
    <tableColumn id="2" xr3:uid="{00000000-0010-0000-DA00-000002000000}" name="Column2"/>
    <tableColumn id="3" xr3:uid="{00000000-0010-0000-DA00-000003000000}" name="Column3"/>
    <tableColumn id="4" xr3:uid="{00000000-0010-0000-DA00-000004000000}" name="Column4"/>
  </tableColumns>
  <tableStyleInfo name="Sheet1-style 219" showFirstColumn="1" showLastColumn="1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B000000}" name="Table_220" displayName="Table_220" ref="B3328:E3329" headerRowCount="0">
  <tableColumns count="4">
    <tableColumn id="1" xr3:uid="{00000000-0010-0000-DB00-000001000000}" name="Column1"/>
    <tableColumn id="2" xr3:uid="{00000000-0010-0000-DB00-000002000000}" name="Column2"/>
    <tableColumn id="3" xr3:uid="{00000000-0010-0000-DB00-000003000000}" name="Column3"/>
    <tableColumn id="4" xr3:uid="{00000000-0010-0000-DB00-000004000000}" name="Column4"/>
  </tableColumns>
  <tableStyleInfo name="Sheet1-style 220" showFirstColumn="1" showLastColumn="1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C000000}" name="Table_221" displayName="Table_221" ref="B3343:E3344" headerRowCount="0">
  <tableColumns count="4">
    <tableColumn id="1" xr3:uid="{00000000-0010-0000-DC00-000001000000}" name="Column1"/>
    <tableColumn id="2" xr3:uid="{00000000-0010-0000-DC00-000002000000}" name="Column2"/>
    <tableColumn id="3" xr3:uid="{00000000-0010-0000-DC00-000003000000}" name="Column3"/>
    <tableColumn id="4" xr3:uid="{00000000-0010-0000-DC00-000004000000}" name="Column4"/>
  </tableColumns>
  <tableStyleInfo name="Sheet1-style 221" showFirstColumn="1" showLastColumn="1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D000000}" name="Table_222" displayName="Table_222" ref="B3358:E3359" headerRowCount="0">
  <tableColumns count="4">
    <tableColumn id="1" xr3:uid="{00000000-0010-0000-DD00-000001000000}" name="Column1"/>
    <tableColumn id="2" xr3:uid="{00000000-0010-0000-DD00-000002000000}" name="Column2"/>
    <tableColumn id="3" xr3:uid="{00000000-0010-0000-DD00-000003000000}" name="Column3"/>
    <tableColumn id="4" xr3:uid="{00000000-0010-0000-DD00-000004000000}" name="Column4"/>
  </tableColumns>
  <tableStyleInfo name="Sheet1-style 222" showFirstColumn="1" showLastColumn="1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E000000}" name="Table_223" displayName="Table_223" ref="B3376:E3377" headerRowCount="0">
  <tableColumns count="4">
    <tableColumn id="1" xr3:uid="{00000000-0010-0000-DE00-000001000000}" name="Column1"/>
    <tableColumn id="2" xr3:uid="{00000000-0010-0000-DE00-000002000000}" name="Column2"/>
    <tableColumn id="3" xr3:uid="{00000000-0010-0000-DE00-000003000000}" name="Column3"/>
    <tableColumn id="4" xr3:uid="{00000000-0010-0000-DE00-000004000000}" name="Column4"/>
  </tableColumns>
  <tableStyleInfo name="Sheet1-style 223" showFirstColumn="1" showLastColumn="1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F000000}" name="Table_224" displayName="Table_224" ref="B3391:E3392" headerRowCount="0">
  <tableColumns count="4">
    <tableColumn id="1" xr3:uid="{00000000-0010-0000-DF00-000001000000}" name="Column1"/>
    <tableColumn id="2" xr3:uid="{00000000-0010-0000-DF00-000002000000}" name="Column2"/>
    <tableColumn id="3" xr3:uid="{00000000-0010-0000-DF00-000003000000}" name="Column3"/>
    <tableColumn id="4" xr3:uid="{00000000-0010-0000-DF00-000004000000}" name="Column4"/>
  </tableColumns>
  <tableStyleInfo name="Sheet1-style 224" showFirstColumn="1" showLastColumn="1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E0000000}" name="Table_225" displayName="Table_225" ref="B3406:E3407" headerRowCount="0">
  <tableColumns count="4">
    <tableColumn id="1" xr3:uid="{00000000-0010-0000-E000-000001000000}" name="Column1"/>
    <tableColumn id="2" xr3:uid="{00000000-0010-0000-E000-000002000000}" name="Column2"/>
    <tableColumn id="3" xr3:uid="{00000000-0010-0000-E000-000003000000}" name="Column3"/>
    <tableColumn id="4" xr3:uid="{00000000-0010-0000-E000-000004000000}" name="Column4"/>
  </tableColumns>
  <tableStyleInfo name="Sheet1-style 225" showFirstColumn="1" showLastColumn="1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E1000000}" name="Table_226" displayName="Table_226" ref="B3421:E3422" headerRowCount="0">
  <tableColumns count="4">
    <tableColumn id="1" xr3:uid="{00000000-0010-0000-E100-000001000000}" name="Column1"/>
    <tableColumn id="2" xr3:uid="{00000000-0010-0000-E100-000002000000}" name="Column2"/>
    <tableColumn id="3" xr3:uid="{00000000-0010-0000-E100-000003000000}" name="Column3"/>
    <tableColumn id="4" xr3:uid="{00000000-0010-0000-E100-000004000000}" name="Column4"/>
  </tableColumns>
  <tableStyleInfo name="Sheet1-style 226" showFirstColumn="1" showLastColumn="1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E2000000}" name="Table_227" displayName="Table_227" ref="B3436:E3437" headerRowCount="0">
  <tableColumns count="4">
    <tableColumn id="1" xr3:uid="{00000000-0010-0000-E200-000001000000}" name="Column1"/>
    <tableColumn id="2" xr3:uid="{00000000-0010-0000-E200-000002000000}" name="Column2"/>
    <tableColumn id="3" xr3:uid="{00000000-0010-0000-E200-000003000000}" name="Column3"/>
    <tableColumn id="4" xr3:uid="{00000000-0010-0000-E200-000004000000}" name="Column4"/>
  </tableColumns>
  <tableStyleInfo name="Sheet1-style 227" showFirstColumn="1" showLastColumn="1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E3000000}" name="Table_228" displayName="Table_228" ref="B3450:E3451" headerRowCount="0">
  <tableColumns count="4">
    <tableColumn id="1" xr3:uid="{00000000-0010-0000-E300-000001000000}" name="Column1"/>
    <tableColumn id="2" xr3:uid="{00000000-0010-0000-E300-000002000000}" name="Column2"/>
    <tableColumn id="3" xr3:uid="{00000000-0010-0000-E300-000003000000}" name="Column3"/>
    <tableColumn id="4" xr3:uid="{00000000-0010-0000-E300-000004000000}" name="Column4"/>
  </tableColumns>
  <tableStyleInfo name="Sheet1-style 228" showFirstColumn="1" showLastColumn="1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E4000000}" name="Table_229" displayName="Table_229" ref="B3467:E3468" headerRowCount="0">
  <tableColumns count="4">
    <tableColumn id="1" xr3:uid="{00000000-0010-0000-E400-000001000000}" name="Column1"/>
    <tableColumn id="2" xr3:uid="{00000000-0010-0000-E400-000002000000}" name="Column2"/>
    <tableColumn id="3" xr3:uid="{00000000-0010-0000-E400-000003000000}" name="Column3"/>
    <tableColumn id="4" xr3:uid="{00000000-0010-0000-E400-000004000000}" name="Column4"/>
  </tableColumns>
  <tableStyleInfo name="Sheet1-style 229" showFirstColumn="1" showLastColumn="1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5000000}" name="Table_230" displayName="Table_230" ref="B3484:E3485" headerRowCount="0">
  <tableColumns count="4">
    <tableColumn id="1" xr3:uid="{00000000-0010-0000-E500-000001000000}" name="Column1"/>
    <tableColumn id="2" xr3:uid="{00000000-0010-0000-E500-000002000000}" name="Column2"/>
    <tableColumn id="3" xr3:uid="{00000000-0010-0000-E500-000003000000}" name="Column3"/>
    <tableColumn id="4" xr3:uid="{00000000-0010-0000-E500-000004000000}" name="Column4"/>
  </tableColumns>
  <tableStyleInfo name="Sheet1-style 230" showFirstColumn="1" showLastColumn="1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6000000}" name="Table_231" displayName="Table_231" ref="B3501:E3502" headerRowCount="0">
  <tableColumns count="4">
    <tableColumn id="1" xr3:uid="{00000000-0010-0000-E600-000001000000}" name="Column1"/>
    <tableColumn id="2" xr3:uid="{00000000-0010-0000-E600-000002000000}" name="Column2"/>
    <tableColumn id="3" xr3:uid="{00000000-0010-0000-E600-000003000000}" name="Column3"/>
    <tableColumn id="4" xr3:uid="{00000000-0010-0000-E600-000004000000}" name="Column4"/>
  </tableColumns>
  <tableStyleInfo name="Sheet1-style 231" showFirstColumn="1" showLastColumn="1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00000000-000C-0000-FFFF-FFFFE7000000}" name="Table_232" displayName="Table_232" ref="B3517:E3518" headerRowCount="0">
  <tableColumns count="4">
    <tableColumn id="1" xr3:uid="{00000000-0010-0000-E700-000001000000}" name="Column1"/>
    <tableColumn id="2" xr3:uid="{00000000-0010-0000-E700-000002000000}" name="Column2"/>
    <tableColumn id="3" xr3:uid="{00000000-0010-0000-E700-000003000000}" name="Column3"/>
    <tableColumn id="4" xr3:uid="{00000000-0010-0000-E700-000004000000}" name="Column4"/>
  </tableColumns>
  <tableStyleInfo name="Sheet1-style 232" showFirstColumn="1" showLastColumn="1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0000000-000C-0000-FFFF-FFFFE8000000}" name="Table_233" displayName="Table_233" ref="B3533:E3534" headerRowCount="0">
  <tableColumns count="4">
    <tableColumn id="1" xr3:uid="{00000000-0010-0000-E800-000001000000}" name="Column1"/>
    <tableColumn id="2" xr3:uid="{00000000-0010-0000-E800-000002000000}" name="Column2"/>
    <tableColumn id="3" xr3:uid="{00000000-0010-0000-E800-000003000000}" name="Column3"/>
    <tableColumn id="4" xr3:uid="{00000000-0010-0000-E800-000004000000}" name="Column4"/>
  </tableColumns>
  <tableStyleInfo name="Sheet1-style 233" showFirstColumn="1" showLastColumn="1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00000000-000C-0000-FFFF-FFFFE9000000}" name="Table_234" displayName="Table_234" ref="B3548:E3549" headerRowCount="0">
  <tableColumns count="4">
    <tableColumn id="1" xr3:uid="{00000000-0010-0000-E900-000001000000}" name="Column1"/>
    <tableColumn id="2" xr3:uid="{00000000-0010-0000-E900-000002000000}" name="Column2"/>
    <tableColumn id="3" xr3:uid="{00000000-0010-0000-E900-000003000000}" name="Column3"/>
    <tableColumn id="4" xr3:uid="{00000000-0010-0000-E900-000004000000}" name="Column4"/>
  </tableColumns>
  <tableStyleInfo name="Sheet1-style 234" showFirstColumn="1" showLastColumn="1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00000000-000C-0000-FFFF-FFFFEA000000}" name="Table_235" displayName="Table_235" ref="B3565:E3566" headerRowCount="0">
  <tableColumns count="4">
    <tableColumn id="1" xr3:uid="{00000000-0010-0000-EA00-000001000000}" name="Column1"/>
    <tableColumn id="2" xr3:uid="{00000000-0010-0000-EA00-000002000000}" name="Column2"/>
    <tableColumn id="3" xr3:uid="{00000000-0010-0000-EA00-000003000000}" name="Column3"/>
    <tableColumn id="4" xr3:uid="{00000000-0010-0000-EA00-000004000000}" name="Column4"/>
  </tableColumns>
  <tableStyleInfo name="Sheet1-style 235" showFirstColumn="1" showLastColumn="1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00000000-000C-0000-FFFF-FFFFEB000000}" name="Table_236" displayName="Table_236" ref="B3583:E3584" headerRowCount="0">
  <tableColumns count="4">
    <tableColumn id="1" xr3:uid="{00000000-0010-0000-EB00-000001000000}" name="Column1"/>
    <tableColumn id="2" xr3:uid="{00000000-0010-0000-EB00-000002000000}" name="Column2"/>
    <tableColumn id="3" xr3:uid="{00000000-0010-0000-EB00-000003000000}" name="Column3"/>
    <tableColumn id="4" xr3:uid="{00000000-0010-0000-EB00-000004000000}" name="Column4"/>
  </tableColumns>
  <tableStyleInfo name="Sheet1-style 236" showFirstColumn="1" showLastColumn="1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00000000-000C-0000-FFFF-FFFFEC000000}" name="Table_237" displayName="Table_237" ref="B3598:E3599" headerRowCount="0">
  <tableColumns count="4">
    <tableColumn id="1" xr3:uid="{00000000-0010-0000-EC00-000001000000}" name="Column1"/>
    <tableColumn id="2" xr3:uid="{00000000-0010-0000-EC00-000002000000}" name="Column2"/>
    <tableColumn id="3" xr3:uid="{00000000-0010-0000-EC00-000003000000}" name="Column3"/>
    <tableColumn id="4" xr3:uid="{00000000-0010-0000-EC00-000004000000}" name="Column4"/>
  </tableColumns>
  <tableStyleInfo name="Sheet1-style 237" showFirstColumn="1" showLastColumn="1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00000000-000C-0000-FFFF-FFFFED000000}" name="Table_238" displayName="Table_238" ref="B3612:E3613" headerRowCount="0">
  <tableColumns count="4">
    <tableColumn id="1" xr3:uid="{00000000-0010-0000-ED00-000001000000}" name="Column1"/>
    <tableColumn id="2" xr3:uid="{00000000-0010-0000-ED00-000002000000}" name="Column2"/>
    <tableColumn id="3" xr3:uid="{00000000-0010-0000-ED00-000003000000}" name="Column3"/>
    <tableColumn id="4" xr3:uid="{00000000-0010-0000-ED00-000004000000}" name="Column4"/>
  </tableColumns>
  <tableStyleInfo name="Sheet1-style 238" showFirstColumn="1" showLastColumn="1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00000000-000C-0000-FFFF-FFFFEE000000}" name="Table_239" displayName="Table_239" ref="B3626:E3627" headerRowCount="0">
  <tableColumns count="4">
    <tableColumn id="1" xr3:uid="{00000000-0010-0000-EE00-000001000000}" name="Column1"/>
    <tableColumn id="2" xr3:uid="{00000000-0010-0000-EE00-000002000000}" name="Column2"/>
    <tableColumn id="3" xr3:uid="{00000000-0010-0000-EE00-000003000000}" name="Column3"/>
    <tableColumn id="4" xr3:uid="{00000000-0010-0000-EE00-000004000000}" name="Column4"/>
  </tableColumns>
  <tableStyleInfo name="Sheet1-style 239" showFirstColumn="1" showLastColumn="1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00000000-000C-0000-FFFF-FFFFEF000000}" name="Table_240" displayName="Table_240" ref="B3640:E3641" headerRowCount="0">
  <tableColumns count="4">
    <tableColumn id="1" xr3:uid="{00000000-0010-0000-EF00-000001000000}" name="Column1"/>
    <tableColumn id="2" xr3:uid="{00000000-0010-0000-EF00-000002000000}" name="Column2"/>
    <tableColumn id="3" xr3:uid="{00000000-0010-0000-EF00-000003000000}" name="Column3"/>
    <tableColumn id="4" xr3:uid="{00000000-0010-0000-EF00-000004000000}" name="Column4"/>
  </tableColumns>
  <tableStyleInfo name="Sheet1-style 240" showFirstColumn="1" showLastColumn="1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00000000-000C-0000-FFFF-FFFFF0000000}" name="Table_241" displayName="Table_241" ref="B3659:E3660" headerRowCount="0">
  <tableColumns count="4">
    <tableColumn id="1" xr3:uid="{00000000-0010-0000-F000-000001000000}" name="Column1"/>
    <tableColumn id="2" xr3:uid="{00000000-0010-0000-F000-000002000000}" name="Column2"/>
    <tableColumn id="3" xr3:uid="{00000000-0010-0000-F000-000003000000}" name="Column3"/>
    <tableColumn id="4" xr3:uid="{00000000-0010-0000-F000-000004000000}" name="Column4"/>
  </tableColumns>
  <tableStyleInfo name="Sheet1-style 241" showFirstColumn="1" showLastColumn="1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00000000-000C-0000-FFFF-FFFFF1000000}" name="Table_242" displayName="Table_242" ref="B3674:E3675" headerRowCount="0">
  <tableColumns count="4">
    <tableColumn id="1" xr3:uid="{00000000-0010-0000-F100-000001000000}" name="Column1"/>
    <tableColumn id="2" xr3:uid="{00000000-0010-0000-F100-000002000000}" name="Column2"/>
    <tableColumn id="3" xr3:uid="{00000000-0010-0000-F100-000003000000}" name="Column3"/>
    <tableColumn id="4" xr3:uid="{00000000-0010-0000-F100-000004000000}" name="Column4"/>
  </tableColumns>
  <tableStyleInfo name="Sheet1-style 242" showFirstColumn="1" showLastColumn="1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00000000-000C-0000-FFFF-FFFFF2000000}" name="Table_243" displayName="Table_243" ref="B3689:E3690" headerRowCount="0">
  <tableColumns count="4">
    <tableColumn id="1" xr3:uid="{00000000-0010-0000-F200-000001000000}" name="Column1"/>
    <tableColumn id="2" xr3:uid="{00000000-0010-0000-F200-000002000000}" name="Column2"/>
    <tableColumn id="3" xr3:uid="{00000000-0010-0000-F200-000003000000}" name="Column3"/>
    <tableColumn id="4" xr3:uid="{00000000-0010-0000-F200-000004000000}" name="Column4"/>
  </tableColumns>
  <tableStyleInfo name="Sheet1-style 243" showFirstColumn="1" showLastColumn="1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00000000-000C-0000-FFFF-FFFFF3000000}" name="Table_244" displayName="Table_244" ref="B3703:E3704" headerRowCount="0">
  <tableColumns count="4">
    <tableColumn id="1" xr3:uid="{00000000-0010-0000-F300-000001000000}" name="Column1"/>
    <tableColumn id="2" xr3:uid="{00000000-0010-0000-F300-000002000000}" name="Column2"/>
    <tableColumn id="3" xr3:uid="{00000000-0010-0000-F300-000003000000}" name="Column3"/>
    <tableColumn id="4" xr3:uid="{00000000-0010-0000-F300-000004000000}" name="Column4"/>
  </tableColumns>
  <tableStyleInfo name="Sheet1-style 244" showFirstColumn="1" showLastColumn="1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00000000-000C-0000-FFFF-FFFFF4000000}" name="Table_245" displayName="Table_245" ref="B3717:E3718" headerRowCount="0">
  <tableColumns count="4">
    <tableColumn id="1" xr3:uid="{00000000-0010-0000-F400-000001000000}" name="Column1"/>
    <tableColumn id="2" xr3:uid="{00000000-0010-0000-F400-000002000000}" name="Column2"/>
    <tableColumn id="3" xr3:uid="{00000000-0010-0000-F400-000003000000}" name="Column3"/>
    <tableColumn id="4" xr3:uid="{00000000-0010-0000-F400-000004000000}" name="Column4"/>
  </tableColumns>
  <tableStyleInfo name="Sheet1-style 245" showFirstColumn="1" showLastColumn="1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00000000-000C-0000-FFFF-FFFFF5000000}" name="Table_246" displayName="Table_246" ref="B3731:E3732" headerRowCount="0">
  <tableColumns count="4">
    <tableColumn id="1" xr3:uid="{00000000-0010-0000-F500-000001000000}" name="Column1"/>
    <tableColumn id="2" xr3:uid="{00000000-0010-0000-F500-000002000000}" name="Column2"/>
    <tableColumn id="3" xr3:uid="{00000000-0010-0000-F500-000003000000}" name="Column3"/>
    <tableColumn id="4" xr3:uid="{00000000-0010-0000-F500-000004000000}" name="Column4"/>
  </tableColumns>
  <tableStyleInfo name="Sheet1-style 246" showFirstColumn="1" showLastColumn="1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00000000-000C-0000-FFFF-FFFFF6000000}" name="Table_247" displayName="Table_247" ref="B3747:E3748" headerRowCount="0">
  <tableColumns count="4">
    <tableColumn id="1" xr3:uid="{00000000-0010-0000-F600-000001000000}" name="Column1"/>
    <tableColumn id="2" xr3:uid="{00000000-0010-0000-F600-000002000000}" name="Column2"/>
    <tableColumn id="3" xr3:uid="{00000000-0010-0000-F600-000003000000}" name="Column3"/>
    <tableColumn id="4" xr3:uid="{00000000-0010-0000-F600-000004000000}" name="Column4"/>
  </tableColumns>
  <tableStyleInfo name="Sheet1-style 247" showFirstColumn="1" showLastColumn="1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00000000-000C-0000-FFFF-FFFFF7000000}" name="Table_248" displayName="Table_248" ref="B3761:E3762" headerRowCount="0">
  <tableColumns count="4">
    <tableColumn id="1" xr3:uid="{00000000-0010-0000-F700-000001000000}" name="Column1"/>
    <tableColumn id="2" xr3:uid="{00000000-0010-0000-F700-000002000000}" name="Column2"/>
    <tableColumn id="3" xr3:uid="{00000000-0010-0000-F700-000003000000}" name="Column3"/>
    <tableColumn id="4" xr3:uid="{00000000-0010-0000-F700-000004000000}" name="Column4"/>
  </tableColumns>
  <tableStyleInfo name="Sheet1-style 248" showFirstColumn="1" showLastColumn="1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00000000-000C-0000-FFFF-FFFFF8000000}" name="Table_249" displayName="Table_249" ref="B3776:E3777" headerRowCount="0">
  <tableColumns count="4">
    <tableColumn id="1" xr3:uid="{00000000-0010-0000-F800-000001000000}" name="Column1"/>
    <tableColumn id="2" xr3:uid="{00000000-0010-0000-F800-000002000000}" name="Column2"/>
    <tableColumn id="3" xr3:uid="{00000000-0010-0000-F800-000003000000}" name="Column3"/>
    <tableColumn id="4" xr3:uid="{00000000-0010-0000-F800-000004000000}" name="Column4"/>
  </tableColumns>
  <tableStyleInfo name="Sheet1-style 249" showFirstColumn="1" showLastColumn="1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00000000-000C-0000-FFFF-FFFFF9000000}" name="Table_250" displayName="Table_250" ref="B3792:E3793" headerRowCount="0">
  <tableColumns count="4">
    <tableColumn id="1" xr3:uid="{00000000-0010-0000-F900-000001000000}" name="Column1"/>
    <tableColumn id="2" xr3:uid="{00000000-0010-0000-F900-000002000000}" name="Column2"/>
    <tableColumn id="3" xr3:uid="{00000000-0010-0000-F900-000003000000}" name="Column3"/>
    <tableColumn id="4" xr3:uid="{00000000-0010-0000-F900-000004000000}" name="Column4"/>
  </tableColumns>
  <tableStyleInfo name="Sheet1-style 250" showFirstColumn="1" showLastColumn="1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00000000-000C-0000-FFFF-FFFFFA000000}" name="Table_251" displayName="Table_251" ref="B3806:E3807" headerRowCount="0">
  <tableColumns count="4">
    <tableColumn id="1" xr3:uid="{00000000-0010-0000-FA00-000001000000}" name="Column1"/>
    <tableColumn id="2" xr3:uid="{00000000-0010-0000-FA00-000002000000}" name="Column2"/>
    <tableColumn id="3" xr3:uid="{00000000-0010-0000-FA00-000003000000}" name="Column3"/>
    <tableColumn id="4" xr3:uid="{00000000-0010-0000-FA00-000004000000}" name="Column4"/>
  </tableColumns>
  <tableStyleInfo name="Sheet1-style 251" showFirstColumn="1" showLastColumn="1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00000000-000C-0000-FFFF-FFFFFB000000}" name="Table_252" displayName="Table_252" ref="B3821:E3822" headerRowCount="0">
  <tableColumns count="4">
    <tableColumn id="1" xr3:uid="{00000000-0010-0000-FB00-000001000000}" name="Column1"/>
    <tableColumn id="2" xr3:uid="{00000000-0010-0000-FB00-000002000000}" name="Column2"/>
    <tableColumn id="3" xr3:uid="{00000000-0010-0000-FB00-000003000000}" name="Column3"/>
    <tableColumn id="4" xr3:uid="{00000000-0010-0000-FB00-000004000000}" name="Column4"/>
  </tableColumns>
  <tableStyleInfo name="Sheet1-style 252" showFirstColumn="1" showLastColumn="1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00000000-000C-0000-FFFF-FFFFFC000000}" name="Table_253" displayName="Table_253" ref="B3835:E3836" headerRowCount="0">
  <tableColumns count="4">
    <tableColumn id="1" xr3:uid="{00000000-0010-0000-FC00-000001000000}" name="Column1"/>
    <tableColumn id="2" xr3:uid="{00000000-0010-0000-FC00-000002000000}" name="Column2"/>
    <tableColumn id="3" xr3:uid="{00000000-0010-0000-FC00-000003000000}" name="Column3"/>
    <tableColumn id="4" xr3:uid="{00000000-0010-0000-FC00-000004000000}" name="Column4"/>
  </tableColumns>
  <tableStyleInfo name="Sheet1-style 253" showFirstColumn="1" showLastColumn="1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00000000-000C-0000-FFFF-FFFFFD000000}" name="Table_254" displayName="Table_254" ref="B3850:E3851" headerRowCount="0">
  <tableColumns count="4">
    <tableColumn id="1" xr3:uid="{00000000-0010-0000-FD00-000001000000}" name="Column1"/>
    <tableColumn id="2" xr3:uid="{00000000-0010-0000-FD00-000002000000}" name="Column2"/>
    <tableColumn id="3" xr3:uid="{00000000-0010-0000-FD00-000003000000}" name="Column3"/>
    <tableColumn id="4" xr3:uid="{00000000-0010-0000-FD00-000004000000}" name="Column4"/>
  </tableColumns>
  <tableStyleInfo name="Sheet1-style 254" showFirstColumn="1" showLastColumn="1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00000000-000C-0000-FFFF-FFFFFE000000}" name="Table_255" displayName="Table_255" ref="B3866:E3867" headerRowCount="0">
  <tableColumns count="4">
    <tableColumn id="1" xr3:uid="{00000000-0010-0000-FE00-000001000000}" name="Column1"/>
    <tableColumn id="2" xr3:uid="{00000000-0010-0000-FE00-000002000000}" name="Column2"/>
    <tableColumn id="3" xr3:uid="{00000000-0010-0000-FE00-000003000000}" name="Column3"/>
    <tableColumn id="4" xr3:uid="{00000000-0010-0000-FE00-000004000000}" name="Column4"/>
  </tableColumns>
  <tableStyleInfo name="Sheet1-style 255" showFirstColumn="1" showLastColumn="1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00000000-000C-0000-FFFF-FFFFFF000000}" name="Table_256" displayName="Table_256" ref="B3883:E3884" headerRowCount="0">
  <tableColumns count="4">
    <tableColumn id="1" xr3:uid="{00000000-0010-0000-FF00-000001000000}" name="Column1"/>
    <tableColumn id="2" xr3:uid="{00000000-0010-0000-FF00-000002000000}" name="Column2"/>
    <tableColumn id="3" xr3:uid="{00000000-0010-0000-FF00-000003000000}" name="Column3"/>
    <tableColumn id="4" xr3:uid="{00000000-0010-0000-FF00-000004000000}" name="Column4"/>
  </tableColumns>
  <tableStyleInfo name="Sheet1-style 256" showFirstColumn="1" showLastColumn="1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00000000-000C-0000-FFFF-FFFF00010000}" name="Table_257" displayName="Table_257" ref="B3899:E3900" headerRowCount="0">
  <tableColumns count="4">
    <tableColumn id="1" xr3:uid="{00000000-0010-0000-0001-000001000000}" name="Column1"/>
    <tableColumn id="2" xr3:uid="{00000000-0010-0000-0001-000002000000}" name="Column2"/>
    <tableColumn id="3" xr3:uid="{00000000-0010-0000-0001-000003000000}" name="Column3"/>
    <tableColumn id="4" xr3:uid="{00000000-0010-0000-0001-000004000000}" name="Column4"/>
  </tableColumns>
  <tableStyleInfo name="Sheet1-style 257" showFirstColumn="1" showLastColumn="1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00000000-000C-0000-FFFF-FFFF01010000}" name="Table_258" displayName="Table_258" ref="B3915:E3916" headerRowCount="0">
  <tableColumns count="4">
    <tableColumn id="1" xr3:uid="{00000000-0010-0000-0101-000001000000}" name="Column1"/>
    <tableColumn id="2" xr3:uid="{00000000-0010-0000-0101-000002000000}" name="Column2"/>
    <tableColumn id="3" xr3:uid="{00000000-0010-0000-0101-000003000000}" name="Column3"/>
    <tableColumn id="4" xr3:uid="{00000000-0010-0000-0101-000004000000}" name="Column4"/>
  </tableColumns>
  <tableStyleInfo name="Sheet1-style 258" showFirstColumn="1" showLastColumn="1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00000000-000C-0000-FFFF-FFFF02010000}" name="Table_259" displayName="Table_259" ref="B3930:E3931" headerRowCount="0">
  <tableColumns count="4">
    <tableColumn id="1" xr3:uid="{00000000-0010-0000-0201-000001000000}" name="Column1"/>
    <tableColumn id="2" xr3:uid="{00000000-0010-0000-0201-000002000000}" name="Column2"/>
    <tableColumn id="3" xr3:uid="{00000000-0010-0000-0201-000003000000}" name="Column3"/>
    <tableColumn id="4" xr3:uid="{00000000-0010-0000-0201-000004000000}" name="Column4"/>
  </tableColumns>
  <tableStyleInfo name="Sheet1-style 259" showFirstColumn="1" showLastColumn="1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00000000-000C-0000-FFFF-FFFF03010000}" name="Table_260" displayName="Table_260" ref="B3945:E3946" headerRowCount="0">
  <tableColumns count="4">
    <tableColumn id="1" xr3:uid="{00000000-0010-0000-0301-000001000000}" name="Column1"/>
    <tableColumn id="2" xr3:uid="{00000000-0010-0000-0301-000002000000}" name="Column2"/>
    <tableColumn id="3" xr3:uid="{00000000-0010-0000-0301-000003000000}" name="Column3"/>
    <tableColumn id="4" xr3:uid="{00000000-0010-0000-0301-000004000000}" name="Column4"/>
  </tableColumns>
  <tableStyleInfo name="Sheet1-style 260" showFirstColumn="1" showLastColumn="1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00000000-000C-0000-FFFF-FFFF04010000}" name="Table_261" displayName="Table_261" ref="B3961:E3962" headerRowCount="0">
  <tableColumns count="4">
    <tableColumn id="1" xr3:uid="{00000000-0010-0000-0401-000001000000}" name="Column1"/>
    <tableColumn id="2" xr3:uid="{00000000-0010-0000-0401-000002000000}" name="Column2"/>
    <tableColumn id="3" xr3:uid="{00000000-0010-0000-0401-000003000000}" name="Column3"/>
    <tableColumn id="4" xr3:uid="{00000000-0010-0000-0401-000004000000}" name="Column4"/>
  </tableColumns>
  <tableStyleInfo name="Sheet1-style 261" showFirstColumn="1" showLastColumn="1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00000000-000C-0000-FFFF-FFFF05010000}" name="Table_262" displayName="Table_262" ref="B3976:E3977" headerRowCount="0">
  <tableColumns count="4">
    <tableColumn id="1" xr3:uid="{00000000-0010-0000-0501-000001000000}" name="Column1"/>
    <tableColumn id="2" xr3:uid="{00000000-0010-0000-0501-000002000000}" name="Column2"/>
    <tableColumn id="3" xr3:uid="{00000000-0010-0000-0501-000003000000}" name="Column3"/>
    <tableColumn id="4" xr3:uid="{00000000-0010-0000-0501-000004000000}" name="Column4"/>
  </tableColumns>
  <tableStyleInfo name="Sheet1-style 262" showFirstColumn="1" showLastColumn="1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00000000-000C-0000-FFFF-FFFF06010000}" name="Table_263" displayName="Table_263" ref="B3989:E3990" headerRowCount="0">
  <tableColumns count="4">
    <tableColumn id="1" xr3:uid="{00000000-0010-0000-0601-000001000000}" name="Column1"/>
    <tableColumn id="2" xr3:uid="{00000000-0010-0000-0601-000002000000}" name="Column2"/>
    <tableColumn id="3" xr3:uid="{00000000-0010-0000-0601-000003000000}" name="Column3"/>
    <tableColumn id="4" xr3:uid="{00000000-0010-0000-0601-000004000000}" name="Column4"/>
  </tableColumns>
  <tableStyleInfo name="Sheet1-style 263" showFirstColumn="1" showLastColumn="1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00000000-000C-0000-FFFF-FFFF07010000}" name="Table_264" displayName="Table_264" ref="B4002:E4003" headerRowCount="0">
  <tableColumns count="4">
    <tableColumn id="1" xr3:uid="{00000000-0010-0000-0701-000001000000}" name="Column1"/>
    <tableColumn id="2" xr3:uid="{00000000-0010-0000-0701-000002000000}" name="Column2"/>
    <tableColumn id="3" xr3:uid="{00000000-0010-0000-0701-000003000000}" name="Column3"/>
    <tableColumn id="4" xr3:uid="{00000000-0010-0000-0701-000004000000}" name="Column4"/>
  </tableColumns>
  <tableStyleInfo name="Sheet1-style 264" showFirstColumn="1" showLastColumn="1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00000000-000C-0000-FFFF-FFFF08010000}" name="Table_265" displayName="Table_265" ref="B4016:E4017" headerRowCount="0">
  <tableColumns count="4">
    <tableColumn id="1" xr3:uid="{00000000-0010-0000-0801-000001000000}" name="Column1"/>
    <tableColumn id="2" xr3:uid="{00000000-0010-0000-0801-000002000000}" name="Column2"/>
    <tableColumn id="3" xr3:uid="{00000000-0010-0000-0801-000003000000}" name="Column3"/>
    <tableColumn id="4" xr3:uid="{00000000-0010-0000-0801-000004000000}" name="Column4"/>
  </tableColumns>
  <tableStyleInfo name="Sheet1-style 265" showFirstColumn="1" showLastColumn="1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00000000-000C-0000-FFFF-FFFF09010000}" name="Table_266" displayName="Table_266" ref="B4030:E4031" headerRowCount="0">
  <tableColumns count="4">
    <tableColumn id="1" xr3:uid="{00000000-0010-0000-0901-000001000000}" name="Column1"/>
    <tableColumn id="2" xr3:uid="{00000000-0010-0000-0901-000002000000}" name="Column2"/>
    <tableColumn id="3" xr3:uid="{00000000-0010-0000-0901-000003000000}" name="Column3"/>
    <tableColumn id="4" xr3:uid="{00000000-0010-0000-0901-000004000000}" name="Column4"/>
  </tableColumns>
  <tableStyleInfo name="Sheet1-style 266" showFirstColumn="1" showLastColumn="1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00000000-000C-0000-FFFF-FFFF0A010000}" name="Table_267" displayName="Table_267" ref="B4045:E4046" headerRowCount="0">
  <tableColumns count="4">
    <tableColumn id="1" xr3:uid="{00000000-0010-0000-0A01-000001000000}" name="Column1"/>
    <tableColumn id="2" xr3:uid="{00000000-0010-0000-0A01-000002000000}" name="Column2"/>
    <tableColumn id="3" xr3:uid="{00000000-0010-0000-0A01-000003000000}" name="Column3"/>
    <tableColumn id="4" xr3:uid="{00000000-0010-0000-0A01-000004000000}" name="Column4"/>
  </tableColumns>
  <tableStyleInfo name="Sheet1-style 267" showFirstColumn="1" showLastColumn="1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00000000-000C-0000-FFFF-FFFF0B010000}" name="Table_268" displayName="Table_268" ref="B4061:E4062" headerRowCount="0">
  <tableColumns count="4">
    <tableColumn id="1" xr3:uid="{00000000-0010-0000-0B01-000001000000}" name="Column1"/>
    <tableColumn id="2" xr3:uid="{00000000-0010-0000-0B01-000002000000}" name="Column2"/>
    <tableColumn id="3" xr3:uid="{00000000-0010-0000-0B01-000003000000}" name="Column3"/>
    <tableColumn id="4" xr3:uid="{00000000-0010-0000-0B01-000004000000}" name="Column4"/>
  </tableColumns>
  <tableStyleInfo name="Sheet1-style 268" showFirstColumn="1" showLastColumn="1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00000000-000C-0000-FFFF-FFFF0C010000}" name="Table_269" displayName="Table_269" ref="B4077:E4078" headerRowCount="0">
  <tableColumns count="4">
    <tableColumn id="1" xr3:uid="{00000000-0010-0000-0C01-000001000000}" name="Column1"/>
    <tableColumn id="2" xr3:uid="{00000000-0010-0000-0C01-000002000000}" name="Column2"/>
    <tableColumn id="3" xr3:uid="{00000000-0010-0000-0C01-000003000000}" name="Column3"/>
    <tableColumn id="4" xr3:uid="{00000000-0010-0000-0C01-000004000000}" name="Column4"/>
  </tableColumns>
  <tableStyleInfo name="Sheet1-style 269" showFirstColumn="1" showLastColumn="1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00000000-000C-0000-FFFF-FFFF0D010000}" name="Table_270" displayName="Table_270" ref="B4092:E4093" headerRowCount="0">
  <tableColumns count="4">
    <tableColumn id="1" xr3:uid="{00000000-0010-0000-0D01-000001000000}" name="Column1"/>
    <tableColumn id="2" xr3:uid="{00000000-0010-0000-0D01-000002000000}" name="Column2"/>
    <tableColumn id="3" xr3:uid="{00000000-0010-0000-0D01-000003000000}" name="Column3"/>
    <tableColumn id="4" xr3:uid="{00000000-0010-0000-0D01-000004000000}" name="Column4"/>
  </tableColumns>
  <tableStyleInfo name="Sheet1-style 270" showFirstColumn="1" showLastColumn="1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00000000-000C-0000-FFFF-FFFF0E010000}" name="Table_271" displayName="Table_271" ref="B4107:E4108" headerRowCount="0">
  <tableColumns count="4">
    <tableColumn id="1" xr3:uid="{00000000-0010-0000-0E01-000001000000}" name="Column1"/>
    <tableColumn id="2" xr3:uid="{00000000-0010-0000-0E01-000002000000}" name="Column2"/>
    <tableColumn id="3" xr3:uid="{00000000-0010-0000-0E01-000003000000}" name="Column3"/>
    <tableColumn id="4" xr3:uid="{00000000-0010-0000-0E01-000004000000}" name="Column4"/>
  </tableColumns>
  <tableStyleInfo name="Sheet1-style 271" showFirstColumn="1" showLastColumn="1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00000000-000C-0000-FFFF-FFFF0F010000}" name="Table_272" displayName="Table_272" ref="B4122:E4123" headerRowCount="0">
  <tableColumns count="4">
    <tableColumn id="1" xr3:uid="{00000000-0010-0000-0F01-000001000000}" name="Column1"/>
    <tableColumn id="2" xr3:uid="{00000000-0010-0000-0F01-000002000000}" name="Column2"/>
    <tableColumn id="3" xr3:uid="{00000000-0010-0000-0F01-000003000000}" name="Column3"/>
    <tableColumn id="4" xr3:uid="{00000000-0010-0000-0F01-000004000000}" name="Column4"/>
  </tableColumns>
  <tableStyleInfo name="Sheet1-style 272" showFirstColumn="1" showLastColumn="1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00000000-000C-0000-FFFF-FFFF10010000}" name="Table_273" displayName="Table_273" ref="B4138:E4139" headerRowCount="0">
  <tableColumns count="4">
    <tableColumn id="1" xr3:uid="{00000000-0010-0000-1001-000001000000}" name="Column1"/>
    <tableColumn id="2" xr3:uid="{00000000-0010-0000-1001-000002000000}" name="Column2"/>
    <tableColumn id="3" xr3:uid="{00000000-0010-0000-1001-000003000000}" name="Column3"/>
    <tableColumn id="4" xr3:uid="{00000000-0010-0000-1001-000004000000}" name="Column4"/>
  </tableColumns>
  <tableStyleInfo name="Sheet1-style 273" showFirstColumn="1" showLastColumn="1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00000000-000C-0000-FFFF-FFFF11010000}" name="Table_274" displayName="Table_274" ref="B4153:E4154" headerRowCount="0">
  <tableColumns count="4">
    <tableColumn id="1" xr3:uid="{00000000-0010-0000-1101-000001000000}" name="Column1"/>
    <tableColumn id="2" xr3:uid="{00000000-0010-0000-1101-000002000000}" name="Column2"/>
    <tableColumn id="3" xr3:uid="{00000000-0010-0000-1101-000003000000}" name="Column3"/>
    <tableColumn id="4" xr3:uid="{00000000-0010-0000-1101-000004000000}" name="Column4"/>
  </tableColumns>
  <tableStyleInfo name="Sheet1-style 274" showFirstColumn="1" showLastColumn="1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00000000-000C-0000-FFFF-FFFF12010000}" name="Table_275" displayName="Table_275" ref="B4168:E4169" headerRowCount="0">
  <tableColumns count="4">
    <tableColumn id="1" xr3:uid="{00000000-0010-0000-1201-000001000000}" name="Column1"/>
    <tableColumn id="2" xr3:uid="{00000000-0010-0000-1201-000002000000}" name="Column2"/>
    <tableColumn id="3" xr3:uid="{00000000-0010-0000-1201-000003000000}" name="Column3"/>
    <tableColumn id="4" xr3:uid="{00000000-0010-0000-1201-000004000000}" name="Column4"/>
  </tableColumns>
  <tableStyleInfo name="Sheet1-style 275" showFirstColumn="1" showLastColumn="1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00000000-000C-0000-FFFF-FFFF13010000}" name="Table_276" displayName="Table_276" ref="B4184:E4185" headerRowCount="0">
  <tableColumns count="4">
    <tableColumn id="1" xr3:uid="{00000000-0010-0000-1301-000001000000}" name="Column1"/>
    <tableColumn id="2" xr3:uid="{00000000-0010-0000-1301-000002000000}" name="Column2"/>
    <tableColumn id="3" xr3:uid="{00000000-0010-0000-1301-000003000000}" name="Column3"/>
    <tableColumn id="4" xr3:uid="{00000000-0010-0000-1301-000004000000}" name="Column4"/>
  </tableColumns>
  <tableStyleInfo name="Sheet1-style 276" showFirstColumn="1" showLastColumn="1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xr:uid="{00000000-000C-0000-FFFF-FFFF14010000}" name="Table_277" displayName="Table_277" ref="B4200:E4201" headerRowCount="0">
  <tableColumns count="4">
    <tableColumn id="1" xr3:uid="{00000000-0010-0000-1401-000001000000}" name="Column1"/>
    <tableColumn id="2" xr3:uid="{00000000-0010-0000-1401-000002000000}" name="Column2"/>
    <tableColumn id="3" xr3:uid="{00000000-0010-0000-1401-000003000000}" name="Column3"/>
    <tableColumn id="4" xr3:uid="{00000000-0010-0000-1401-000004000000}" name="Column4"/>
  </tableColumns>
  <tableStyleInfo name="Sheet1-style 277" showFirstColumn="1" showLastColumn="1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xr:uid="{00000000-000C-0000-FFFF-FFFF15010000}" name="Table_278" displayName="Table_278" ref="B4215:E4216" headerRowCount="0">
  <tableColumns count="4">
    <tableColumn id="1" xr3:uid="{00000000-0010-0000-1501-000001000000}" name="Column1"/>
    <tableColumn id="2" xr3:uid="{00000000-0010-0000-1501-000002000000}" name="Column2"/>
    <tableColumn id="3" xr3:uid="{00000000-0010-0000-1501-000003000000}" name="Column3"/>
    <tableColumn id="4" xr3:uid="{00000000-0010-0000-1501-000004000000}" name="Column4"/>
  </tableColumns>
  <tableStyleInfo name="Sheet1-style 278" showFirstColumn="1" showLastColumn="1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00000000-000C-0000-FFFF-FFFF16010000}" name="Table_279" displayName="Table_279" ref="B4230:E4231" headerRowCount="0">
  <tableColumns count="4">
    <tableColumn id="1" xr3:uid="{00000000-0010-0000-1601-000001000000}" name="Column1"/>
    <tableColumn id="2" xr3:uid="{00000000-0010-0000-1601-000002000000}" name="Column2"/>
    <tableColumn id="3" xr3:uid="{00000000-0010-0000-1601-000003000000}" name="Column3"/>
    <tableColumn id="4" xr3:uid="{00000000-0010-0000-1601-000004000000}" name="Column4"/>
  </tableColumns>
  <tableStyleInfo name="Sheet1-style 279" showFirstColumn="1" showLastColumn="1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00000000-000C-0000-FFFF-FFFF17010000}" name="Table_280" displayName="Table_280" ref="B4245:E4246" headerRowCount="0">
  <tableColumns count="4">
    <tableColumn id="1" xr3:uid="{00000000-0010-0000-1701-000001000000}" name="Column1"/>
    <tableColumn id="2" xr3:uid="{00000000-0010-0000-1701-000002000000}" name="Column2"/>
    <tableColumn id="3" xr3:uid="{00000000-0010-0000-1701-000003000000}" name="Column3"/>
    <tableColumn id="4" xr3:uid="{00000000-0010-0000-1701-000004000000}" name="Column4"/>
  </tableColumns>
  <tableStyleInfo name="Sheet1-style 280" showFirstColumn="1" showLastColumn="1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00000000-000C-0000-FFFF-FFFF18010000}" name="Table_281" displayName="Table_281" ref="B4259:E4260" headerRowCount="0">
  <tableColumns count="4">
    <tableColumn id="1" xr3:uid="{00000000-0010-0000-1801-000001000000}" name="Column1"/>
    <tableColumn id="2" xr3:uid="{00000000-0010-0000-1801-000002000000}" name="Column2"/>
    <tableColumn id="3" xr3:uid="{00000000-0010-0000-1801-000003000000}" name="Column3"/>
    <tableColumn id="4" xr3:uid="{00000000-0010-0000-1801-000004000000}" name="Column4"/>
  </tableColumns>
  <tableStyleInfo name="Sheet1-style 281" showFirstColumn="1" showLastColumn="1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00000000-000C-0000-FFFF-FFFF19010000}" name="Table_282" displayName="Table_282" ref="B4274:E4275" headerRowCount="0">
  <tableColumns count="4">
    <tableColumn id="1" xr3:uid="{00000000-0010-0000-1901-000001000000}" name="Column1"/>
    <tableColumn id="2" xr3:uid="{00000000-0010-0000-1901-000002000000}" name="Column2"/>
    <tableColumn id="3" xr3:uid="{00000000-0010-0000-1901-000003000000}" name="Column3"/>
    <tableColumn id="4" xr3:uid="{00000000-0010-0000-1901-000004000000}" name="Column4"/>
  </tableColumns>
  <tableStyleInfo name="Sheet1-style 282" showFirstColumn="1" showLastColumn="1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00000000-000C-0000-FFFF-FFFF1A010000}" name="Table_283" displayName="Table_283" ref="B4289:E4290" headerRowCount="0">
  <tableColumns count="4">
    <tableColumn id="1" xr3:uid="{00000000-0010-0000-1A01-000001000000}" name="Column1"/>
    <tableColumn id="2" xr3:uid="{00000000-0010-0000-1A01-000002000000}" name="Column2"/>
    <tableColumn id="3" xr3:uid="{00000000-0010-0000-1A01-000003000000}" name="Column3"/>
    <tableColumn id="4" xr3:uid="{00000000-0010-0000-1A01-000004000000}" name="Column4"/>
  </tableColumns>
  <tableStyleInfo name="Sheet1-style 283" showFirstColumn="1" showLastColumn="1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00000000-000C-0000-FFFF-FFFF1B010000}" name="Table_284" displayName="Table_284" ref="B4304:E4305" headerRowCount="0">
  <tableColumns count="4">
    <tableColumn id="1" xr3:uid="{00000000-0010-0000-1B01-000001000000}" name="Column1"/>
    <tableColumn id="2" xr3:uid="{00000000-0010-0000-1B01-000002000000}" name="Column2"/>
    <tableColumn id="3" xr3:uid="{00000000-0010-0000-1B01-000003000000}" name="Column3"/>
    <tableColumn id="4" xr3:uid="{00000000-0010-0000-1B01-000004000000}" name="Column4"/>
  </tableColumns>
  <tableStyleInfo name="Sheet1-style 284" showFirstColumn="1" showLastColumn="1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00000000-000C-0000-FFFF-FFFF1C010000}" name="Table_285" displayName="Table_285" ref="B4318:E4319" headerRowCount="0">
  <tableColumns count="4">
    <tableColumn id="1" xr3:uid="{00000000-0010-0000-1C01-000001000000}" name="Column1"/>
    <tableColumn id="2" xr3:uid="{00000000-0010-0000-1C01-000002000000}" name="Column2"/>
    <tableColumn id="3" xr3:uid="{00000000-0010-0000-1C01-000003000000}" name="Column3"/>
    <tableColumn id="4" xr3:uid="{00000000-0010-0000-1C01-000004000000}" name="Column4"/>
  </tableColumns>
  <tableStyleInfo name="Sheet1-style 285" showFirstColumn="1" showLastColumn="1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00000000-000C-0000-FFFF-FFFF1D010000}" name="Table_286" displayName="Table_286" ref="B4332:E4333" headerRowCount="0">
  <tableColumns count="4">
    <tableColumn id="1" xr3:uid="{00000000-0010-0000-1D01-000001000000}" name="Column1"/>
    <tableColumn id="2" xr3:uid="{00000000-0010-0000-1D01-000002000000}" name="Column2"/>
    <tableColumn id="3" xr3:uid="{00000000-0010-0000-1D01-000003000000}" name="Column3"/>
    <tableColumn id="4" xr3:uid="{00000000-0010-0000-1D01-000004000000}" name="Column4"/>
  </tableColumns>
  <tableStyleInfo name="Sheet1-style 286" showFirstColumn="1" showLastColumn="1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xr:uid="{00000000-000C-0000-FFFF-FFFF1E010000}" name="Table_287" displayName="Table_287" ref="B4346:E4347" headerRowCount="0">
  <tableColumns count="4">
    <tableColumn id="1" xr3:uid="{00000000-0010-0000-1E01-000001000000}" name="Column1"/>
    <tableColumn id="2" xr3:uid="{00000000-0010-0000-1E01-000002000000}" name="Column2"/>
    <tableColumn id="3" xr3:uid="{00000000-0010-0000-1E01-000003000000}" name="Column3"/>
    <tableColumn id="4" xr3:uid="{00000000-0010-0000-1E01-000004000000}" name="Column4"/>
  </tableColumns>
  <tableStyleInfo name="Sheet1-style 287" showFirstColumn="1" showLastColumn="1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00000000-000C-0000-FFFF-FFFF1F010000}" name="Table_288" displayName="Table_288" ref="B4361:E4362" headerRowCount="0">
  <tableColumns count="4">
    <tableColumn id="1" xr3:uid="{00000000-0010-0000-1F01-000001000000}" name="Column1"/>
    <tableColumn id="2" xr3:uid="{00000000-0010-0000-1F01-000002000000}" name="Column2"/>
    <tableColumn id="3" xr3:uid="{00000000-0010-0000-1F01-000003000000}" name="Column3"/>
    <tableColumn id="4" xr3:uid="{00000000-0010-0000-1F01-000004000000}" name="Column4"/>
  </tableColumns>
  <tableStyleInfo name="Sheet1-style 288" showFirstColumn="1" showLastColumn="1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00000000-000C-0000-FFFF-FFFF20010000}" name="Table_289" displayName="Table_289" ref="B4374:E4375" headerRowCount="0">
  <tableColumns count="4">
    <tableColumn id="1" xr3:uid="{00000000-0010-0000-2001-000001000000}" name="Column1"/>
    <tableColumn id="2" xr3:uid="{00000000-0010-0000-2001-000002000000}" name="Column2"/>
    <tableColumn id="3" xr3:uid="{00000000-0010-0000-2001-000003000000}" name="Column3"/>
    <tableColumn id="4" xr3:uid="{00000000-0010-0000-2001-000004000000}" name="Column4"/>
  </tableColumns>
  <tableStyleInfo name="Sheet1-style 289" showFirstColumn="1" showLastColumn="1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00000000-000C-0000-FFFF-FFFF21010000}" name="Table_290" displayName="Table_290" ref="B4388:E4389" headerRowCount="0">
  <tableColumns count="4">
    <tableColumn id="1" xr3:uid="{00000000-0010-0000-2101-000001000000}" name="Column1"/>
    <tableColumn id="2" xr3:uid="{00000000-0010-0000-2101-000002000000}" name="Column2"/>
    <tableColumn id="3" xr3:uid="{00000000-0010-0000-2101-000003000000}" name="Column3"/>
    <tableColumn id="4" xr3:uid="{00000000-0010-0000-2101-000004000000}" name="Column4"/>
  </tableColumns>
  <tableStyleInfo name="Sheet1-style 290" showFirstColumn="1" showLastColumn="1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00000000-000C-0000-FFFF-FFFF22010000}" name="Table_291" displayName="Table_291" ref="B4402:E4403" headerRowCount="0">
  <tableColumns count="4">
    <tableColumn id="1" xr3:uid="{00000000-0010-0000-2201-000001000000}" name="Column1"/>
    <tableColumn id="2" xr3:uid="{00000000-0010-0000-2201-000002000000}" name="Column2"/>
    <tableColumn id="3" xr3:uid="{00000000-0010-0000-2201-000003000000}" name="Column3"/>
    <tableColumn id="4" xr3:uid="{00000000-0010-0000-2201-000004000000}" name="Column4"/>
  </tableColumns>
  <tableStyleInfo name="Sheet1-style 291" showFirstColumn="1" showLastColumn="1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00000000-000C-0000-FFFF-FFFF23010000}" name="Table_292" displayName="Table_292" ref="B4417:E4418" headerRowCount="0">
  <tableColumns count="4">
    <tableColumn id="1" xr3:uid="{00000000-0010-0000-2301-000001000000}" name="Column1"/>
    <tableColumn id="2" xr3:uid="{00000000-0010-0000-2301-000002000000}" name="Column2"/>
    <tableColumn id="3" xr3:uid="{00000000-0010-0000-2301-000003000000}" name="Column3"/>
    <tableColumn id="4" xr3:uid="{00000000-0010-0000-2301-000004000000}" name="Column4"/>
  </tableColumns>
  <tableStyleInfo name="Sheet1-style 292" showFirstColumn="1" showLastColumn="1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00000000-000C-0000-FFFF-FFFF24010000}" name="Table_293" displayName="Table_293" ref="B4432:E4433" headerRowCount="0">
  <tableColumns count="4">
    <tableColumn id="1" xr3:uid="{00000000-0010-0000-2401-000001000000}" name="Column1"/>
    <tableColumn id="2" xr3:uid="{00000000-0010-0000-2401-000002000000}" name="Column2"/>
    <tableColumn id="3" xr3:uid="{00000000-0010-0000-2401-000003000000}" name="Column3"/>
    <tableColumn id="4" xr3:uid="{00000000-0010-0000-2401-000004000000}" name="Column4"/>
  </tableColumns>
  <tableStyleInfo name="Sheet1-style 293" showFirstColumn="1" showLastColumn="1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00000000-000C-0000-FFFF-FFFF25010000}" name="Table_294" displayName="Table_294" ref="B4446:E4447" headerRowCount="0">
  <tableColumns count="4">
    <tableColumn id="1" xr3:uid="{00000000-0010-0000-2501-000001000000}" name="Column1"/>
    <tableColumn id="2" xr3:uid="{00000000-0010-0000-2501-000002000000}" name="Column2"/>
    <tableColumn id="3" xr3:uid="{00000000-0010-0000-2501-000003000000}" name="Column3"/>
    <tableColumn id="4" xr3:uid="{00000000-0010-0000-2501-000004000000}" name="Column4"/>
  </tableColumns>
  <tableStyleInfo name="Sheet1-style 294" showFirstColumn="1" showLastColumn="1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00000000-000C-0000-FFFF-FFFF26010000}" name="Table_295" displayName="Table_295" ref="B4460:E4461" headerRowCount="0">
  <tableColumns count="4">
    <tableColumn id="1" xr3:uid="{00000000-0010-0000-2601-000001000000}" name="Column1"/>
    <tableColumn id="2" xr3:uid="{00000000-0010-0000-2601-000002000000}" name="Column2"/>
    <tableColumn id="3" xr3:uid="{00000000-0010-0000-2601-000003000000}" name="Column3"/>
    <tableColumn id="4" xr3:uid="{00000000-0010-0000-2601-000004000000}" name="Column4"/>
  </tableColumns>
  <tableStyleInfo name="Sheet1-style 295" showFirstColumn="1" showLastColumn="1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00000000-000C-0000-FFFF-FFFF27010000}" name="Table_296" displayName="Table_296" ref="B4474:E4475" headerRowCount="0">
  <tableColumns count="4">
    <tableColumn id="1" xr3:uid="{00000000-0010-0000-2701-000001000000}" name="Column1"/>
    <tableColumn id="2" xr3:uid="{00000000-0010-0000-2701-000002000000}" name="Column2"/>
    <tableColumn id="3" xr3:uid="{00000000-0010-0000-2701-000003000000}" name="Column3"/>
    <tableColumn id="4" xr3:uid="{00000000-0010-0000-2701-000004000000}" name="Column4"/>
  </tableColumns>
  <tableStyleInfo name="Sheet1-style 296" showFirstColumn="1" showLastColumn="1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00000000-000C-0000-FFFF-FFFF28010000}" name="Table_297" displayName="Table_297" ref="B4487:E4488" headerRowCount="0">
  <tableColumns count="4">
    <tableColumn id="1" xr3:uid="{00000000-0010-0000-2801-000001000000}" name="Column1"/>
    <tableColumn id="2" xr3:uid="{00000000-0010-0000-2801-000002000000}" name="Column2"/>
    <tableColumn id="3" xr3:uid="{00000000-0010-0000-2801-000003000000}" name="Column3"/>
    <tableColumn id="4" xr3:uid="{00000000-0010-0000-2801-000004000000}" name="Column4"/>
  </tableColumns>
  <tableStyleInfo name="Sheet1-style 297" showFirstColumn="1" showLastColumn="1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xr:uid="{00000000-000C-0000-FFFF-FFFF29010000}" name="Table_298" displayName="Table_298" ref="B4501:E4502" headerRowCount="0">
  <tableColumns count="4">
    <tableColumn id="1" xr3:uid="{00000000-0010-0000-2901-000001000000}" name="Column1"/>
    <tableColumn id="2" xr3:uid="{00000000-0010-0000-2901-000002000000}" name="Column2"/>
    <tableColumn id="3" xr3:uid="{00000000-0010-0000-2901-000003000000}" name="Column3"/>
    <tableColumn id="4" xr3:uid="{00000000-0010-0000-2901-000004000000}" name="Column4"/>
  </tableColumns>
  <tableStyleInfo name="Sheet1-style 298" showFirstColumn="1" showLastColumn="1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xr:uid="{00000000-000C-0000-FFFF-FFFF2A010000}" name="Table_299" displayName="Table_299" ref="B4515:E4516" headerRowCount="0">
  <tableColumns count="4">
    <tableColumn id="1" xr3:uid="{00000000-0010-0000-2A01-000001000000}" name="Column1"/>
    <tableColumn id="2" xr3:uid="{00000000-0010-0000-2A01-000002000000}" name="Column2"/>
    <tableColumn id="3" xr3:uid="{00000000-0010-0000-2A01-000003000000}" name="Column3"/>
    <tableColumn id="4" xr3:uid="{00000000-0010-0000-2A01-000004000000}" name="Column4"/>
  </tableColumns>
  <tableStyleInfo name="Sheet1-style 299" showFirstColumn="1" showLastColumn="1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00000000-000C-0000-FFFF-FFFF2B010000}" name="Table_300" displayName="Table_300" ref="B4529:E4530" headerRowCount="0">
  <tableColumns count="4">
    <tableColumn id="1" xr3:uid="{00000000-0010-0000-2B01-000001000000}" name="Column1"/>
    <tableColumn id="2" xr3:uid="{00000000-0010-0000-2B01-000002000000}" name="Column2"/>
    <tableColumn id="3" xr3:uid="{00000000-0010-0000-2B01-000003000000}" name="Column3"/>
    <tableColumn id="4" xr3:uid="{00000000-0010-0000-2B01-000004000000}" name="Column4"/>
  </tableColumns>
  <tableStyleInfo name="Sheet1-style 300" showFirstColumn="1" showLastColumn="1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00000000-000C-0000-FFFF-FFFF2C010000}" name="Table_301" displayName="Table_301" ref="B4543:E4544" headerRowCount="0">
  <tableColumns count="4">
    <tableColumn id="1" xr3:uid="{00000000-0010-0000-2C01-000001000000}" name="Column1"/>
    <tableColumn id="2" xr3:uid="{00000000-0010-0000-2C01-000002000000}" name="Column2"/>
    <tableColumn id="3" xr3:uid="{00000000-0010-0000-2C01-000003000000}" name="Column3"/>
    <tableColumn id="4" xr3:uid="{00000000-0010-0000-2C01-000004000000}" name="Column4"/>
  </tableColumns>
  <tableStyleInfo name="Sheet1-style 301" showFirstColumn="1" showLastColumn="1" showRowStripes="1" showColumnStripes="0"/>
</table>
</file>

<file path=xl/tables/table3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xr:uid="{00000000-000C-0000-FFFF-FFFF2D010000}" name="Table_302" displayName="Table_302" ref="B4557:E4558" headerRowCount="0">
  <tableColumns count="4">
    <tableColumn id="1" xr3:uid="{00000000-0010-0000-2D01-000001000000}" name="Column1"/>
    <tableColumn id="2" xr3:uid="{00000000-0010-0000-2D01-000002000000}" name="Column2"/>
    <tableColumn id="3" xr3:uid="{00000000-0010-0000-2D01-000003000000}" name="Column3"/>
    <tableColumn id="4" xr3:uid="{00000000-0010-0000-2D01-000004000000}" name="Column4"/>
  </tableColumns>
  <tableStyleInfo name="Sheet1-style 302" showFirstColumn="1" showLastColumn="1" showRowStripes="1" showColumnStripes="0"/>
</table>
</file>

<file path=xl/tables/table3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3" xr:uid="{00000000-000C-0000-FFFF-FFFF2E010000}" name="Table_303" displayName="Table_303" ref="B4571:E4572" headerRowCount="0">
  <tableColumns count="4">
    <tableColumn id="1" xr3:uid="{00000000-0010-0000-2E01-000001000000}" name="Column1"/>
    <tableColumn id="2" xr3:uid="{00000000-0010-0000-2E01-000002000000}" name="Column2"/>
    <tableColumn id="3" xr3:uid="{00000000-0010-0000-2E01-000003000000}" name="Column3"/>
    <tableColumn id="4" xr3:uid="{00000000-0010-0000-2E01-000004000000}" name="Column4"/>
  </tableColumns>
  <tableStyleInfo name="Sheet1-style 303" showFirstColumn="1" showLastColumn="1" showRowStripes="1" showColumnStripes="0"/>
</table>
</file>

<file path=xl/tables/table3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4" xr:uid="{00000000-000C-0000-FFFF-FFFF2F010000}" name="Table_304" displayName="Table_304" ref="B4585:E4586" headerRowCount="0">
  <tableColumns count="4">
    <tableColumn id="1" xr3:uid="{00000000-0010-0000-2F01-000001000000}" name="Column1"/>
    <tableColumn id="2" xr3:uid="{00000000-0010-0000-2F01-000002000000}" name="Column2"/>
    <tableColumn id="3" xr3:uid="{00000000-0010-0000-2F01-000003000000}" name="Column3"/>
    <tableColumn id="4" xr3:uid="{00000000-0010-0000-2F01-000004000000}" name="Column4"/>
  </tableColumns>
  <tableStyleInfo name="Sheet1-style 304" showFirstColumn="1" showLastColumn="1" showRowStripes="1" showColumnStripes="0"/>
</table>
</file>

<file path=xl/tables/table3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xr:uid="{00000000-000C-0000-FFFF-FFFF30010000}" name="Table_305" displayName="Table_305" ref="B4599:E4600" headerRowCount="0">
  <tableColumns count="4">
    <tableColumn id="1" xr3:uid="{00000000-0010-0000-3001-000001000000}" name="Column1"/>
    <tableColumn id="2" xr3:uid="{00000000-0010-0000-3001-000002000000}" name="Column2"/>
    <tableColumn id="3" xr3:uid="{00000000-0010-0000-3001-000003000000}" name="Column3"/>
    <tableColumn id="4" xr3:uid="{00000000-0010-0000-3001-000004000000}" name="Column4"/>
  </tableColumns>
  <tableStyleInfo name="Sheet1-style 305" showFirstColumn="1" showLastColumn="1" showRowStripes="1" showColumnStripes="0"/>
</table>
</file>

<file path=xl/tables/table3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6" xr:uid="{00000000-000C-0000-FFFF-FFFF31010000}" name="Table_306" displayName="Table_306" ref="B4614:E4615" headerRowCount="0">
  <tableColumns count="4">
    <tableColumn id="1" xr3:uid="{00000000-0010-0000-3101-000001000000}" name="Column1"/>
    <tableColumn id="2" xr3:uid="{00000000-0010-0000-3101-000002000000}" name="Column2"/>
    <tableColumn id="3" xr3:uid="{00000000-0010-0000-3101-000003000000}" name="Column3"/>
    <tableColumn id="4" xr3:uid="{00000000-0010-0000-3101-000004000000}" name="Column4"/>
  </tableColumns>
  <tableStyleInfo name="Sheet1-style 306" showFirstColumn="1" showLastColumn="1" showRowStripes="1" showColumnStripes="0"/>
</table>
</file>

<file path=xl/tables/table3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xr:uid="{00000000-000C-0000-FFFF-FFFF32010000}" name="Table_307" displayName="Table_307" ref="B4630:E4631" headerRowCount="0">
  <tableColumns count="4">
    <tableColumn id="1" xr3:uid="{00000000-0010-0000-3201-000001000000}" name="Column1"/>
    <tableColumn id="2" xr3:uid="{00000000-0010-0000-3201-000002000000}" name="Column2"/>
    <tableColumn id="3" xr3:uid="{00000000-0010-0000-3201-000003000000}" name="Column3"/>
    <tableColumn id="4" xr3:uid="{00000000-0010-0000-3201-000004000000}" name="Column4"/>
  </tableColumns>
  <tableStyleInfo name="Sheet1-style 307" showFirstColumn="1" showLastColumn="1" showRowStripes="1" showColumnStripes="0"/>
</table>
</file>

<file path=xl/tables/table3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8" xr:uid="{00000000-000C-0000-FFFF-FFFF33010000}" name="Table_308" displayName="Table_308" ref="B4645:E4646" headerRowCount="0">
  <tableColumns count="4">
    <tableColumn id="1" xr3:uid="{00000000-0010-0000-3301-000001000000}" name="Column1"/>
    <tableColumn id="2" xr3:uid="{00000000-0010-0000-3301-000002000000}" name="Column2"/>
    <tableColumn id="3" xr3:uid="{00000000-0010-0000-3301-000003000000}" name="Column3"/>
    <tableColumn id="4" xr3:uid="{00000000-0010-0000-3301-000004000000}" name="Column4"/>
  </tableColumns>
  <tableStyleInfo name="Sheet1-style 308" showFirstColumn="1" showLastColumn="1" showRowStripes="1" showColumnStripes="0"/>
</table>
</file>

<file path=xl/tables/table3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xr:uid="{00000000-000C-0000-FFFF-FFFF34010000}" name="Table_309" displayName="Table_309" ref="B4660:E4661" headerRowCount="0">
  <tableColumns count="4">
    <tableColumn id="1" xr3:uid="{00000000-0010-0000-3401-000001000000}" name="Column1"/>
    <tableColumn id="2" xr3:uid="{00000000-0010-0000-3401-000002000000}" name="Column2"/>
    <tableColumn id="3" xr3:uid="{00000000-0010-0000-3401-000003000000}" name="Column3"/>
    <tableColumn id="4" xr3:uid="{00000000-0010-0000-3401-000004000000}" name="Column4"/>
  </tableColumns>
  <tableStyleInfo name="Sheet1-style 309" showFirstColumn="1" showLastColumn="1" showRowStripes="1" showColumnStripes="0"/>
</table>
</file>

<file path=xl/tables/table3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xr:uid="{00000000-000C-0000-FFFF-FFFF35010000}" name="Table_310" displayName="Table_310" ref="B4675:E4676" headerRowCount="0">
  <tableColumns count="4">
    <tableColumn id="1" xr3:uid="{00000000-0010-0000-3501-000001000000}" name="Column1"/>
    <tableColumn id="2" xr3:uid="{00000000-0010-0000-3501-000002000000}" name="Column2"/>
    <tableColumn id="3" xr3:uid="{00000000-0010-0000-3501-000003000000}" name="Column3"/>
    <tableColumn id="4" xr3:uid="{00000000-0010-0000-3501-000004000000}" name="Column4"/>
  </tableColumns>
  <tableStyleInfo name="Sheet1-style 310" showFirstColumn="1" showLastColumn="1" showRowStripes="1" showColumnStripes="0"/>
</table>
</file>

<file path=xl/tables/table3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1" xr:uid="{00000000-000C-0000-FFFF-FFFF36010000}" name="Table_311" displayName="Table_311" ref="B4689:E4690" headerRowCount="0">
  <tableColumns count="4">
    <tableColumn id="1" xr3:uid="{00000000-0010-0000-3601-000001000000}" name="Column1"/>
    <tableColumn id="2" xr3:uid="{00000000-0010-0000-3601-000002000000}" name="Column2"/>
    <tableColumn id="3" xr3:uid="{00000000-0010-0000-3601-000003000000}" name="Column3"/>
    <tableColumn id="4" xr3:uid="{00000000-0010-0000-3601-000004000000}" name="Column4"/>
  </tableColumns>
  <tableStyleInfo name="Sheet1-style 311" showFirstColumn="1" showLastColumn="1" showRowStripes="1" showColumnStripes="0"/>
</table>
</file>

<file path=xl/tables/table3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2" xr:uid="{00000000-000C-0000-FFFF-FFFF37010000}" name="Table_312" displayName="Table_312" ref="B4703:E4704" headerRowCount="0">
  <tableColumns count="4">
    <tableColumn id="1" xr3:uid="{00000000-0010-0000-3701-000001000000}" name="Column1"/>
    <tableColumn id="2" xr3:uid="{00000000-0010-0000-3701-000002000000}" name="Column2"/>
    <tableColumn id="3" xr3:uid="{00000000-0010-0000-3701-000003000000}" name="Column3"/>
    <tableColumn id="4" xr3:uid="{00000000-0010-0000-3701-000004000000}" name="Column4"/>
  </tableColumns>
  <tableStyleInfo name="Sheet1-style 312" showFirstColumn="1" showLastColumn="1" showRowStripes="1" showColumnStripes="0"/>
</table>
</file>

<file path=xl/tables/table3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3" xr:uid="{00000000-000C-0000-FFFF-FFFF38010000}" name="Table_313" displayName="Table_313" ref="B4718:E4719" headerRowCount="0">
  <tableColumns count="4">
    <tableColumn id="1" xr3:uid="{00000000-0010-0000-3801-000001000000}" name="Column1"/>
    <tableColumn id="2" xr3:uid="{00000000-0010-0000-3801-000002000000}" name="Column2"/>
    <tableColumn id="3" xr3:uid="{00000000-0010-0000-3801-000003000000}" name="Column3"/>
    <tableColumn id="4" xr3:uid="{00000000-0010-0000-3801-000004000000}" name="Column4"/>
  </tableColumns>
  <tableStyleInfo name="Sheet1-style 313" showFirstColumn="1" showLastColumn="1" showRowStripes="1" showColumnStripes="0"/>
</table>
</file>

<file path=xl/tables/table3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4" xr:uid="{00000000-000C-0000-FFFF-FFFF39010000}" name="Table_314" displayName="Table_314" ref="B4734:E4735" headerRowCount="0">
  <tableColumns count="4">
    <tableColumn id="1" xr3:uid="{00000000-0010-0000-3901-000001000000}" name="Column1"/>
    <tableColumn id="2" xr3:uid="{00000000-0010-0000-3901-000002000000}" name="Column2"/>
    <tableColumn id="3" xr3:uid="{00000000-0010-0000-3901-000003000000}" name="Column3"/>
    <tableColumn id="4" xr3:uid="{00000000-0010-0000-3901-000004000000}" name="Column4"/>
  </tableColumns>
  <tableStyleInfo name="Sheet1-style 314" showFirstColumn="1" showLastColumn="1" showRowStripes="1" showColumnStripes="0"/>
</table>
</file>

<file path=xl/tables/table3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5" xr:uid="{00000000-000C-0000-FFFF-FFFF3A010000}" name="Table_315" displayName="Table_315" ref="B4750:E4751" headerRowCount="0">
  <tableColumns count="4">
    <tableColumn id="1" xr3:uid="{00000000-0010-0000-3A01-000001000000}" name="Column1"/>
    <tableColumn id="2" xr3:uid="{00000000-0010-0000-3A01-000002000000}" name="Column2"/>
    <tableColumn id="3" xr3:uid="{00000000-0010-0000-3A01-000003000000}" name="Column3"/>
    <tableColumn id="4" xr3:uid="{00000000-0010-0000-3A01-000004000000}" name="Column4"/>
  </tableColumns>
  <tableStyleInfo name="Sheet1-style 315" showFirstColumn="1" showLastColumn="1" showRowStripes="1" showColumnStripes="0"/>
</table>
</file>

<file path=xl/tables/table3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6" xr:uid="{00000000-000C-0000-FFFF-FFFF3B010000}" name="Table_316" displayName="Table_316" ref="B4767:E4768" headerRowCount="0">
  <tableColumns count="4">
    <tableColumn id="1" xr3:uid="{00000000-0010-0000-3B01-000001000000}" name="Column1"/>
    <tableColumn id="2" xr3:uid="{00000000-0010-0000-3B01-000002000000}" name="Column2"/>
    <tableColumn id="3" xr3:uid="{00000000-0010-0000-3B01-000003000000}" name="Column3"/>
    <tableColumn id="4" xr3:uid="{00000000-0010-0000-3B01-000004000000}" name="Column4"/>
  </tableColumns>
  <tableStyleInfo name="Sheet1-style 316" showFirstColumn="1" showLastColumn="1" showRowStripes="1" showColumnStripes="0"/>
</table>
</file>

<file path=xl/tables/table3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7" xr:uid="{00000000-000C-0000-FFFF-FFFF3C010000}" name="Table_317" displayName="Table_317" ref="B4783:E4784" headerRowCount="0">
  <tableColumns count="4">
    <tableColumn id="1" xr3:uid="{00000000-0010-0000-3C01-000001000000}" name="Column1"/>
    <tableColumn id="2" xr3:uid="{00000000-0010-0000-3C01-000002000000}" name="Column2"/>
    <tableColumn id="3" xr3:uid="{00000000-0010-0000-3C01-000003000000}" name="Column3"/>
    <tableColumn id="4" xr3:uid="{00000000-0010-0000-3C01-000004000000}" name="Column4"/>
  </tableColumns>
  <tableStyleInfo name="Sheet1-style 317" showFirstColumn="1" showLastColumn="1" showRowStripes="1" showColumnStripes="0"/>
</table>
</file>

<file path=xl/tables/table3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8" xr:uid="{00000000-000C-0000-FFFF-FFFF3D010000}" name="Table_318" displayName="Table_318" ref="B4798:E4799" headerRowCount="0">
  <tableColumns count="4">
    <tableColumn id="1" xr3:uid="{00000000-0010-0000-3D01-000001000000}" name="Column1"/>
    <tableColumn id="2" xr3:uid="{00000000-0010-0000-3D01-000002000000}" name="Column2"/>
    <tableColumn id="3" xr3:uid="{00000000-0010-0000-3D01-000003000000}" name="Column3"/>
    <tableColumn id="4" xr3:uid="{00000000-0010-0000-3D01-000004000000}" name="Column4"/>
  </tableColumns>
  <tableStyleInfo name="Sheet1-style 318" showFirstColumn="1" showLastColumn="1" showRowStripes="1" showColumnStripes="0"/>
</table>
</file>

<file path=xl/tables/table3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9" xr:uid="{00000000-000C-0000-FFFF-FFFF3E010000}" name="Table_319" displayName="Table_319" ref="B4814:E4815" headerRowCount="0">
  <tableColumns count="4">
    <tableColumn id="1" xr3:uid="{00000000-0010-0000-3E01-000001000000}" name="Column1"/>
    <tableColumn id="2" xr3:uid="{00000000-0010-0000-3E01-000002000000}" name="Column2"/>
    <tableColumn id="3" xr3:uid="{00000000-0010-0000-3E01-000003000000}" name="Column3"/>
    <tableColumn id="4" xr3:uid="{00000000-0010-0000-3E01-000004000000}" name="Column4"/>
  </tableColumns>
  <tableStyleInfo name="Sheet1-style 319" showFirstColumn="1" showLastColumn="1" showRowStripes="1" showColumnStripes="0"/>
</table>
</file>

<file path=xl/tables/table3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xr:uid="{00000000-000C-0000-FFFF-FFFF3F010000}" name="Table_320" displayName="Table_320" ref="B4830:E4831" headerRowCount="0">
  <tableColumns count="4">
    <tableColumn id="1" xr3:uid="{00000000-0010-0000-3F01-000001000000}" name="Column1"/>
    <tableColumn id="2" xr3:uid="{00000000-0010-0000-3F01-000002000000}" name="Column2"/>
    <tableColumn id="3" xr3:uid="{00000000-0010-0000-3F01-000003000000}" name="Column3"/>
    <tableColumn id="4" xr3:uid="{00000000-0010-0000-3F01-000004000000}" name="Column4"/>
  </tableColumns>
  <tableStyleInfo name="Sheet1-style 320" showFirstColumn="1" showLastColumn="1" showRowStripes="1" showColumnStripes="0"/>
</table>
</file>

<file path=xl/tables/table3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1" xr:uid="{00000000-000C-0000-FFFF-FFFF40010000}" name="Table_321" displayName="Table_321" ref="B4844:E4845" headerRowCount="0">
  <tableColumns count="4">
    <tableColumn id="1" xr3:uid="{00000000-0010-0000-4001-000001000000}" name="Column1"/>
    <tableColumn id="2" xr3:uid="{00000000-0010-0000-4001-000002000000}" name="Column2"/>
    <tableColumn id="3" xr3:uid="{00000000-0010-0000-4001-000003000000}" name="Column3"/>
    <tableColumn id="4" xr3:uid="{00000000-0010-0000-4001-000004000000}" name="Column4"/>
  </tableColumns>
  <tableStyleInfo name="Sheet1-style 321" showFirstColumn="1" showLastColumn="1" showRowStripes="1" showColumnStripes="0"/>
</table>
</file>

<file path=xl/tables/table3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2" xr:uid="{00000000-000C-0000-FFFF-FFFF41010000}" name="Table_322" displayName="Table_322" ref="B4859:E4860" headerRowCount="0">
  <tableColumns count="4">
    <tableColumn id="1" xr3:uid="{00000000-0010-0000-4101-000001000000}" name="Column1"/>
    <tableColumn id="2" xr3:uid="{00000000-0010-0000-4101-000002000000}" name="Column2"/>
    <tableColumn id="3" xr3:uid="{00000000-0010-0000-4101-000003000000}" name="Column3"/>
    <tableColumn id="4" xr3:uid="{00000000-0010-0000-4101-000004000000}" name="Column4"/>
  </tableColumns>
  <tableStyleInfo name="Sheet1-style 322" showFirstColumn="1" showLastColumn="1" showRowStripes="1" showColumnStripes="0"/>
</table>
</file>

<file path=xl/tables/table3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3" xr:uid="{00000000-000C-0000-FFFF-FFFF42010000}" name="Table_323" displayName="Table_323" ref="B4875:E4876" headerRowCount="0">
  <tableColumns count="4">
    <tableColumn id="1" xr3:uid="{00000000-0010-0000-4201-000001000000}" name="Column1"/>
    <tableColumn id="2" xr3:uid="{00000000-0010-0000-4201-000002000000}" name="Column2"/>
    <tableColumn id="3" xr3:uid="{00000000-0010-0000-4201-000003000000}" name="Column3"/>
    <tableColumn id="4" xr3:uid="{00000000-0010-0000-4201-000004000000}" name="Column4"/>
  </tableColumns>
  <tableStyleInfo name="Sheet1-style 323" showFirstColumn="1" showLastColumn="1" showRowStripes="1" showColumnStripes="0"/>
</table>
</file>

<file path=xl/tables/table3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4" xr:uid="{00000000-000C-0000-FFFF-FFFF43010000}" name="Table_324" displayName="Table_324" ref="B4889:E4890" headerRowCount="0">
  <tableColumns count="4">
    <tableColumn id="1" xr3:uid="{00000000-0010-0000-4301-000001000000}" name="Column1"/>
    <tableColumn id="2" xr3:uid="{00000000-0010-0000-4301-000002000000}" name="Column2"/>
    <tableColumn id="3" xr3:uid="{00000000-0010-0000-4301-000003000000}" name="Column3"/>
    <tableColumn id="4" xr3:uid="{00000000-0010-0000-4301-000004000000}" name="Column4"/>
  </tableColumns>
  <tableStyleInfo name="Sheet1-style 324" showFirstColumn="1" showLastColumn="1" showRowStripes="1" showColumnStripes="0"/>
</table>
</file>

<file path=xl/tables/table3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5" xr:uid="{00000000-000C-0000-FFFF-FFFF44010000}" name="Table_325" displayName="Table_325" ref="B4904:E4905" headerRowCount="0">
  <tableColumns count="4">
    <tableColumn id="1" xr3:uid="{00000000-0010-0000-4401-000001000000}" name="Column1"/>
    <tableColumn id="2" xr3:uid="{00000000-0010-0000-4401-000002000000}" name="Column2"/>
    <tableColumn id="3" xr3:uid="{00000000-0010-0000-4401-000003000000}" name="Column3"/>
    <tableColumn id="4" xr3:uid="{00000000-0010-0000-4401-000004000000}" name="Column4"/>
  </tableColumns>
  <tableStyleInfo name="Sheet1-style 325" showFirstColumn="1" showLastColumn="1" showRowStripes="1" showColumnStripes="0"/>
</table>
</file>

<file path=xl/tables/table3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6" xr:uid="{00000000-000C-0000-FFFF-FFFF45010000}" name="Table_326" displayName="Table_326" ref="B4918:E4919" headerRowCount="0">
  <tableColumns count="4">
    <tableColumn id="1" xr3:uid="{00000000-0010-0000-4501-000001000000}" name="Column1"/>
    <tableColumn id="2" xr3:uid="{00000000-0010-0000-4501-000002000000}" name="Column2"/>
    <tableColumn id="3" xr3:uid="{00000000-0010-0000-4501-000003000000}" name="Column3"/>
    <tableColumn id="4" xr3:uid="{00000000-0010-0000-4501-000004000000}" name="Column4"/>
  </tableColumns>
  <tableStyleInfo name="Sheet1-style 326" showFirstColumn="1" showLastColumn="1" showRowStripes="1" showColumnStripes="0"/>
</table>
</file>

<file path=xl/tables/table3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7" xr:uid="{00000000-000C-0000-FFFF-FFFF46010000}" name="Table_327" displayName="Table_327" ref="B4934:E4935" headerRowCount="0">
  <tableColumns count="4">
    <tableColumn id="1" xr3:uid="{00000000-0010-0000-4601-000001000000}" name="Column1"/>
    <tableColumn id="2" xr3:uid="{00000000-0010-0000-4601-000002000000}" name="Column2"/>
    <tableColumn id="3" xr3:uid="{00000000-0010-0000-4601-000003000000}" name="Column3"/>
    <tableColumn id="4" xr3:uid="{00000000-0010-0000-4601-000004000000}" name="Column4"/>
  </tableColumns>
  <tableStyleInfo name="Sheet1-style 327" showFirstColumn="1" showLastColumn="1" showRowStripes="1" showColumnStripes="0"/>
</table>
</file>

<file path=xl/tables/table3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8" xr:uid="{00000000-000C-0000-FFFF-FFFF47010000}" name="Table_328" displayName="Table_328" ref="B4947:E4948" headerRowCount="0">
  <tableColumns count="4">
    <tableColumn id="1" xr3:uid="{00000000-0010-0000-4701-000001000000}" name="Column1"/>
    <tableColumn id="2" xr3:uid="{00000000-0010-0000-4701-000002000000}" name="Column2"/>
    <tableColumn id="3" xr3:uid="{00000000-0010-0000-4701-000003000000}" name="Column3"/>
    <tableColumn id="4" xr3:uid="{00000000-0010-0000-4701-000004000000}" name="Column4"/>
  </tableColumns>
  <tableStyleInfo name="Sheet1-style 328" showFirstColumn="1" showLastColumn="1" showRowStripes="1" showColumnStripes="0"/>
</table>
</file>

<file path=xl/tables/table3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9" xr:uid="{00000000-000C-0000-FFFF-FFFF48010000}" name="Table_329" displayName="Table_329" ref="B4962:E4963" headerRowCount="0">
  <tableColumns count="4">
    <tableColumn id="1" xr3:uid="{00000000-0010-0000-4801-000001000000}" name="Column1"/>
    <tableColumn id="2" xr3:uid="{00000000-0010-0000-4801-000002000000}" name="Column2"/>
    <tableColumn id="3" xr3:uid="{00000000-0010-0000-4801-000003000000}" name="Column3"/>
    <tableColumn id="4" xr3:uid="{00000000-0010-0000-4801-000004000000}" name="Column4"/>
  </tableColumns>
  <tableStyleInfo name="Sheet1-style 329" showFirstColumn="1" showLastColumn="1" showRowStripes="1" showColumnStripes="0"/>
</table>
</file>

<file path=xl/tables/table3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0" xr:uid="{00000000-000C-0000-FFFF-FFFF49010000}" name="Table_330" displayName="Table_330" ref="B4978:E4979" headerRowCount="0">
  <tableColumns count="4">
    <tableColumn id="1" xr3:uid="{00000000-0010-0000-4901-000001000000}" name="Column1"/>
    <tableColumn id="2" xr3:uid="{00000000-0010-0000-4901-000002000000}" name="Column2"/>
    <tableColumn id="3" xr3:uid="{00000000-0010-0000-4901-000003000000}" name="Column3"/>
    <tableColumn id="4" xr3:uid="{00000000-0010-0000-4901-000004000000}" name="Column4"/>
  </tableColumns>
  <tableStyleInfo name="Sheet1-style 330" showFirstColumn="1" showLastColumn="1" showRowStripes="1" showColumnStripes="0"/>
</table>
</file>

<file path=xl/tables/table3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1" xr:uid="{00000000-000C-0000-FFFF-FFFF4A010000}" name="Table_331" displayName="Table_331" ref="B4992:E4993" headerRowCount="0">
  <tableColumns count="4">
    <tableColumn id="1" xr3:uid="{00000000-0010-0000-4A01-000001000000}" name="Column1"/>
    <tableColumn id="2" xr3:uid="{00000000-0010-0000-4A01-000002000000}" name="Column2"/>
    <tableColumn id="3" xr3:uid="{00000000-0010-0000-4A01-000003000000}" name="Column3"/>
    <tableColumn id="4" xr3:uid="{00000000-0010-0000-4A01-000004000000}" name="Column4"/>
  </tableColumns>
  <tableStyleInfo name="Sheet1-style 331" showFirstColumn="1" showLastColumn="1" showRowStripes="1" showColumnStripes="0"/>
</table>
</file>

<file path=xl/tables/table3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2" xr:uid="{00000000-000C-0000-FFFF-FFFF4B010000}" name="Table_332" displayName="Table_332" ref="B5007:E5008" headerRowCount="0">
  <tableColumns count="4">
    <tableColumn id="1" xr3:uid="{00000000-0010-0000-4B01-000001000000}" name="Column1"/>
    <tableColumn id="2" xr3:uid="{00000000-0010-0000-4B01-000002000000}" name="Column2"/>
    <tableColumn id="3" xr3:uid="{00000000-0010-0000-4B01-000003000000}" name="Column3"/>
    <tableColumn id="4" xr3:uid="{00000000-0010-0000-4B01-000004000000}" name="Column4"/>
  </tableColumns>
  <tableStyleInfo name="Sheet1-style 332" showFirstColumn="1" showLastColumn="1" showRowStripes="1" showColumnStripes="0"/>
</table>
</file>

<file path=xl/tables/table3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3" xr:uid="{00000000-000C-0000-FFFF-FFFF4C010000}" name="Table_333" displayName="Table_333" ref="B5022:E5023" headerRowCount="0">
  <tableColumns count="4">
    <tableColumn id="1" xr3:uid="{00000000-0010-0000-4C01-000001000000}" name="Column1"/>
    <tableColumn id="2" xr3:uid="{00000000-0010-0000-4C01-000002000000}" name="Column2"/>
    <tableColumn id="3" xr3:uid="{00000000-0010-0000-4C01-000003000000}" name="Column3"/>
    <tableColumn id="4" xr3:uid="{00000000-0010-0000-4C01-000004000000}" name="Column4"/>
  </tableColumns>
  <tableStyleInfo name="Sheet1-style 333" showFirstColumn="1" showLastColumn="1" showRowStripes="1" showColumnStripes="0"/>
</table>
</file>

<file path=xl/tables/table3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4" xr:uid="{00000000-000C-0000-FFFF-FFFF4D010000}" name="Table_334" displayName="Table_334" ref="B5038:E5039" headerRowCount="0">
  <tableColumns count="4">
    <tableColumn id="1" xr3:uid="{00000000-0010-0000-4D01-000001000000}" name="Column1"/>
    <tableColumn id="2" xr3:uid="{00000000-0010-0000-4D01-000002000000}" name="Column2"/>
    <tableColumn id="3" xr3:uid="{00000000-0010-0000-4D01-000003000000}" name="Column3"/>
    <tableColumn id="4" xr3:uid="{00000000-0010-0000-4D01-000004000000}" name="Column4"/>
  </tableColumns>
  <tableStyleInfo name="Sheet1-style 334" showFirstColumn="1" showLastColumn="1" showRowStripes="1" showColumnStripes="0"/>
</table>
</file>

<file path=xl/tables/table3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5" xr:uid="{00000000-000C-0000-FFFF-FFFF4E010000}" name="Table_335" displayName="Table_335" ref="B5051:E5052" headerRowCount="0">
  <tableColumns count="4">
    <tableColumn id="1" xr3:uid="{00000000-0010-0000-4E01-000001000000}" name="Column1"/>
    <tableColumn id="2" xr3:uid="{00000000-0010-0000-4E01-000002000000}" name="Column2"/>
    <tableColumn id="3" xr3:uid="{00000000-0010-0000-4E01-000003000000}" name="Column3"/>
    <tableColumn id="4" xr3:uid="{00000000-0010-0000-4E01-000004000000}" name="Column4"/>
  </tableColumns>
  <tableStyleInfo name="Sheet1-style 335" showFirstColumn="1" showLastColumn="1" showRowStripes="1" showColumnStripes="0"/>
</table>
</file>

<file path=xl/tables/table3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6" xr:uid="{00000000-000C-0000-FFFF-FFFF4F010000}" name="Table_336" displayName="Table_336" ref="B5065:E5066" headerRowCount="0">
  <tableColumns count="4">
    <tableColumn id="1" xr3:uid="{00000000-0010-0000-4F01-000001000000}" name="Column1"/>
    <tableColumn id="2" xr3:uid="{00000000-0010-0000-4F01-000002000000}" name="Column2"/>
    <tableColumn id="3" xr3:uid="{00000000-0010-0000-4F01-000003000000}" name="Column3"/>
    <tableColumn id="4" xr3:uid="{00000000-0010-0000-4F01-000004000000}" name="Column4"/>
  </tableColumns>
  <tableStyleInfo name="Sheet1-style 336" showFirstColumn="1" showLastColumn="1" showRowStripes="1" showColumnStripes="0"/>
</table>
</file>

<file path=xl/tables/table3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7" xr:uid="{00000000-000C-0000-FFFF-FFFF50010000}" name="Table_337" displayName="Table_337" ref="B5080:E5081" headerRowCount="0">
  <tableColumns count="4">
    <tableColumn id="1" xr3:uid="{00000000-0010-0000-5001-000001000000}" name="Column1"/>
    <tableColumn id="2" xr3:uid="{00000000-0010-0000-5001-000002000000}" name="Column2"/>
    <tableColumn id="3" xr3:uid="{00000000-0010-0000-5001-000003000000}" name="Column3"/>
    <tableColumn id="4" xr3:uid="{00000000-0010-0000-5001-000004000000}" name="Column4"/>
  </tableColumns>
  <tableStyleInfo name="Sheet1-style 337" showFirstColumn="1" showLastColumn="1" showRowStripes="1" showColumnStripes="0"/>
</table>
</file>

<file path=xl/tables/table3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8" xr:uid="{00000000-000C-0000-FFFF-FFFF51010000}" name="Table_338" displayName="Table_338" ref="B5096:E5097" headerRowCount="0">
  <tableColumns count="4">
    <tableColumn id="1" xr3:uid="{00000000-0010-0000-5101-000001000000}" name="Column1"/>
    <tableColumn id="2" xr3:uid="{00000000-0010-0000-5101-000002000000}" name="Column2"/>
    <tableColumn id="3" xr3:uid="{00000000-0010-0000-5101-000003000000}" name="Column3"/>
    <tableColumn id="4" xr3:uid="{00000000-0010-0000-5101-000004000000}" name="Column4"/>
  </tableColumns>
  <tableStyleInfo name="Sheet1-style 338" showFirstColumn="1" showLastColumn="1" showRowStripes="1" showColumnStripes="0"/>
</table>
</file>

<file path=xl/tables/table3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9" xr:uid="{00000000-000C-0000-FFFF-FFFF52010000}" name="Table_339" displayName="Table_339" ref="B5111:E5112" headerRowCount="0">
  <tableColumns count="4">
    <tableColumn id="1" xr3:uid="{00000000-0010-0000-5201-000001000000}" name="Column1"/>
    <tableColumn id="2" xr3:uid="{00000000-0010-0000-5201-000002000000}" name="Column2"/>
    <tableColumn id="3" xr3:uid="{00000000-0010-0000-5201-000003000000}" name="Column3"/>
    <tableColumn id="4" xr3:uid="{00000000-0010-0000-5201-000004000000}" name="Column4"/>
  </tableColumns>
  <tableStyleInfo name="Sheet1-style 339" showFirstColumn="1" showLastColumn="1" showRowStripes="1" showColumnStripes="0"/>
</table>
</file>

<file path=xl/tables/table3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0" xr:uid="{00000000-000C-0000-FFFF-FFFF53010000}" name="Table_340" displayName="Table_340" ref="B5127:E5128" headerRowCount="0">
  <tableColumns count="4">
    <tableColumn id="1" xr3:uid="{00000000-0010-0000-5301-000001000000}" name="Column1"/>
    <tableColumn id="2" xr3:uid="{00000000-0010-0000-5301-000002000000}" name="Column2"/>
    <tableColumn id="3" xr3:uid="{00000000-0010-0000-5301-000003000000}" name="Column3"/>
    <tableColumn id="4" xr3:uid="{00000000-0010-0000-5301-000004000000}" name="Column4"/>
  </tableColumns>
  <tableStyleInfo name="Sheet1-style 340" showFirstColumn="1" showLastColumn="1" showRowStripes="1" showColumnStripes="0"/>
</table>
</file>

<file path=xl/tables/table3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1" xr:uid="{00000000-000C-0000-FFFF-FFFF54010000}" name="Table_341" displayName="Table_341" ref="B5143:E5144" headerRowCount="0">
  <tableColumns count="4">
    <tableColumn id="1" xr3:uid="{00000000-0010-0000-5401-000001000000}" name="Column1"/>
    <tableColumn id="2" xr3:uid="{00000000-0010-0000-5401-000002000000}" name="Column2"/>
    <tableColumn id="3" xr3:uid="{00000000-0010-0000-5401-000003000000}" name="Column3"/>
    <tableColumn id="4" xr3:uid="{00000000-0010-0000-5401-000004000000}" name="Column4"/>
  </tableColumns>
  <tableStyleInfo name="Sheet1-style 341" showFirstColumn="1" showLastColumn="1" showRowStripes="1" showColumnStripes="0"/>
</table>
</file>

<file path=xl/tables/table3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2" xr:uid="{00000000-000C-0000-FFFF-FFFF55010000}" name="Table_342" displayName="Table_342" ref="B5159:E5160" headerRowCount="0">
  <tableColumns count="4">
    <tableColumn id="1" xr3:uid="{00000000-0010-0000-5501-000001000000}" name="Column1"/>
    <tableColumn id="2" xr3:uid="{00000000-0010-0000-5501-000002000000}" name="Column2"/>
    <tableColumn id="3" xr3:uid="{00000000-0010-0000-5501-000003000000}" name="Column3"/>
    <tableColumn id="4" xr3:uid="{00000000-0010-0000-5501-000004000000}" name="Column4"/>
  </tableColumns>
  <tableStyleInfo name="Sheet1-style 342" showFirstColumn="1" showLastColumn="1" showRowStripes="1" showColumnStripes="0"/>
</table>
</file>

<file path=xl/tables/table3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3" xr:uid="{00000000-000C-0000-FFFF-FFFF56010000}" name="Table_343" displayName="Table_343" ref="B5174:E5175" headerRowCount="0">
  <tableColumns count="4">
    <tableColumn id="1" xr3:uid="{00000000-0010-0000-5601-000001000000}" name="Column1"/>
    <tableColumn id="2" xr3:uid="{00000000-0010-0000-5601-000002000000}" name="Column2"/>
    <tableColumn id="3" xr3:uid="{00000000-0010-0000-5601-000003000000}" name="Column3"/>
    <tableColumn id="4" xr3:uid="{00000000-0010-0000-5601-000004000000}" name="Column4"/>
  </tableColumns>
  <tableStyleInfo name="Sheet1-style 343" showFirstColumn="1" showLastColumn="1" showRowStripes="1" showColumnStripes="0"/>
</table>
</file>

<file path=xl/tables/table3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4" xr:uid="{00000000-000C-0000-FFFF-FFFF57010000}" name="Table_344" displayName="Table_344" ref="B5189:E5190" headerRowCount="0">
  <tableColumns count="4">
    <tableColumn id="1" xr3:uid="{00000000-0010-0000-5701-000001000000}" name="Column1"/>
    <tableColumn id="2" xr3:uid="{00000000-0010-0000-5701-000002000000}" name="Column2"/>
    <tableColumn id="3" xr3:uid="{00000000-0010-0000-5701-000003000000}" name="Column3"/>
    <tableColumn id="4" xr3:uid="{00000000-0010-0000-5701-000004000000}" name="Column4"/>
  </tableColumns>
  <tableStyleInfo name="Sheet1-style 344" showFirstColumn="1" showLastColumn="1" showRowStripes="1" showColumnStripes="0"/>
</table>
</file>

<file path=xl/tables/table3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xr:uid="{00000000-000C-0000-FFFF-FFFF58010000}" name="Table_345" displayName="Table_345" ref="B5204:E5205" headerRowCount="0">
  <tableColumns count="4">
    <tableColumn id="1" xr3:uid="{00000000-0010-0000-5801-000001000000}" name="Column1"/>
    <tableColumn id="2" xr3:uid="{00000000-0010-0000-5801-000002000000}" name="Column2"/>
    <tableColumn id="3" xr3:uid="{00000000-0010-0000-5801-000003000000}" name="Column3"/>
    <tableColumn id="4" xr3:uid="{00000000-0010-0000-5801-000004000000}" name="Column4"/>
  </tableColumns>
  <tableStyleInfo name="Sheet1-style 345" showFirstColumn="1" showLastColumn="1" showRowStripes="1" showColumnStripes="0"/>
</table>
</file>

<file path=xl/tables/table3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6" xr:uid="{00000000-000C-0000-FFFF-FFFF59010000}" name="Table_346" displayName="Table_346" ref="B5218:E5219" headerRowCount="0">
  <tableColumns count="4">
    <tableColumn id="1" xr3:uid="{00000000-0010-0000-5901-000001000000}" name="Column1"/>
    <tableColumn id="2" xr3:uid="{00000000-0010-0000-5901-000002000000}" name="Column2"/>
    <tableColumn id="3" xr3:uid="{00000000-0010-0000-5901-000003000000}" name="Column3"/>
    <tableColumn id="4" xr3:uid="{00000000-0010-0000-5901-000004000000}" name="Column4"/>
  </tableColumns>
  <tableStyleInfo name="Sheet1-style 346" showFirstColumn="1" showLastColumn="1" showRowStripes="1" showColumnStripes="0"/>
</table>
</file>

<file path=xl/tables/table3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7" xr:uid="{00000000-000C-0000-FFFF-FFFF5A010000}" name="Table_347" displayName="Table_347" ref="B5232:E5233" headerRowCount="0">
  <tableColumns count="4">
    <tableColumn id="1" xr3:uid="{00000000-0010-0000-5A01-000001000000}" name="Column1"/>
    <tableColumn id="2" xr3:uid="{00000000-0010-0000-5A01-000002000000}" name="Column2"/>
    <tableColumn id="3" xr3:uid="{00000000-0010-0000-5A01-000003000000}" name="Column3"/>
    <tableColumn id="4" xr3:uid="{00000000-0010-0000-5A01-000004000000}" name="Column4"/>
  </tableColumns>
  <tableStyleInfo name="Sheet1-style 347" showFirstColumn="1" showLastColumn="1" showRowStripes="1" showColumnStripes="0"/>
</table>
</file>

<file path=xl/tables/table3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8" xr:uid="{00000000-000C-0000-FFFF-FFFF5B010000}" name="Table_348" displayName="Table_348" ref="B5246:E5247" headerRowCount="0">
  <tableColumns count="4">
    <tableColumn id="1" xr3:uid="{00000000-0010-0000-5B01-000001000000}" name="Column1"/>
    <tableColumn id="2" xr3:uid="{00000000-0010-0000-5B01-000002000000}" name="Column2"/>
    <tableColumn id="3" xr3:uid="{00000000-0010-0000-5B01-000003000000}" name="Column3"/>
    <tableColumn id="4" xr3:uid="{00000000-0010-0000-5B01-000004000000}" name="Column4"/>
  </tableColumns>
  <tableStyleInfo name="Sheet1-style 348" showFirstColumn="1" showLastColumn="1" showRowStripes="1" showColumnStripes="0"/>
</table>
</file>

<file path=xl/tables/table3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9" xr:uid="{00000000-000C-0000-FFFF-FFFF5C010000}" name="Table_349" displayName="Table_349" ref="B5260:E5261" headerRowCount="0">
  <tableColumns count="4">
    <tableColumn id="1" xr3:uid="{00000000-0010-0000-5C01-000001000000}" name="Column1"/>
    <tableColumn id="2" xr3:uid="{00000000-0010-0000-5C01-000002000000}" name="Column2"/>
    <tableColumn id="3" xr3:uid="{00000000-0010-0000-5C01-000003000000}" name="Column3"/>
    <tableColumn id="4" xr3:uid="{00000000-0010-0000-5C01-000004000000}" name="Column4"/>
  </tableColumns>
  <tableStyleInfo name="Sheet1-style 349" showFirstColumn="1" showLastColumn="1" showRowStripes="1" showColumnStripes="0"/>
</table>
</file>

<file path=xl/tables/table3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xr:uid="{00000000-000C-0000-FFFF-FFFF5D010000}" name="Table_350" displayName="Table_350" ref="B5275:E5276" headerRowCount="0">
  <tableColumns count="4">
    <tableColumn id="1" xr3:uid="{00000000-0010-0000-5D01-000001000000}" name="Column1"/>
    <tableColumn id="2" xr3:uid="{00000000-0010-0000-5D01-000002000000}" name="Column2"/>
    <tableColumn id="3" xr3:uid="{00000000-0010-0000-5D01-000003000000}" name="Column3"/>
    <tableColumn id="4" xr3:uid="{00000000-0010-0000-5D01-000004000000}" name="Column4"/>
  </tableColumns>
  <tableStyleInfo name="Sheet1-style 350" showFirstColumn="1" showLastColumn="1" showRowStripes="1" showColumnStripes="0"/>
</table>
</file>

<file path=xl/tables/table3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1" xr:uid="{00000000-000C-0000-FFFF-FFFF5E010000}" name="Table_351" displayName="Table_351" ref="B5290:E5291" headerRowCount="0">
  <tableColumns count="4">
    <tableColumn id="1" xr3:uid="{00000000-0010-0000-5E01-000001000000}" name="Column1"/>
    <tableColumn id="2" xr3:uid="{00000000-0010-0000-5E01-000002000000}" name="Column2"/>
    <tableColumn id="3" xr3:uid="{00000000-0010-0000-5E01-000003000000}" name="Column3"/>
    <tableColumn id="4" xr3:uid="{00000000-0010-0000-5E01-000004000000}" name="Column4"/>
  </tableColumns>
  <tableStyleInfo name="Sheet1-style 351" showFirstColumn="1" showLastColumn="1" showRowStripes="1" showColumnStripes="0"/>
</table>
</file>

<file path=xl/tables/table3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2" xr:uid="{00000000-000C-0000-FFFF-FFFF5F010000}" name="Table_352" displayName="Table_352" ref="B5305:E5306" headerRowCount="0">
  <tableColumns count="4">
    <tableColumn id="1" xr3:uid="{00000000-0010-0000-5F01-000001000000}" name="Column1"/>
    <tableColumn id="2" xr3:uid="{00000000-0010-0000-5F01-000002000000}" name="Column2"/>
    <tableColumn id="3" xr3:uid="{00000000-0010-0000-5F01-000003000000}" name="Column3"/>
    <tableColumn id="4" xr3:uid="{00000000-0010-0000-5F01-000004000000}" name="Column4"/>
  </tableColumns>
  <tableStyleInfo name="Sheet1-style 352" showFirstColumn="1" showLastColumn="1" showRowStripes="1" showColumnStripes="0"/>
</table>
</file>

<file path=xl/tables/table3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3" xr:uid="{00000000-000C-0000-FFFF-FFFF60010000}" name="Table_353" displayName="Table_353" ref="B5322:E5323" headerRowCount="0">
  <tableColumns count="4">
    <tableColumn id="1" xr3:uid="{00000000-0010-0000-6001-000001000000}" name="Column1"/>
    <tableColumn id="2" xr3:uid="{00000000-0010-0000-6001-000002000000}" name="Column2"/>
    <tableColumn id="3" xr3:uid="{00000000-0010-0000-6001-000003000000}" name="Column3"/>
    <tableColumn id="4" xr3:uid="{00000000-0010-0000-6001-000004000000}" name="Column4"/>
  </tableColumns>
  <tableStyleInfo name="Sheet1-style 353" showFirstColumn="1" showLastColumn="1" showRowStripes="1" showColumnStripes="0"/>
</table>
</file>

<file path=xl/tables/table3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4" xr:uid="{00000000-000C-0000-FFFF-FFFF61010000}" name="Table_354" displayName="Table_354" ref="B5337:E5338" headerRowCount="0">
  <tableColumns count="4">
    <tableColumn id="1" xr3:uid="{00000000-0010-0000-6101-000001000000}" name="Column1"/>
    <tableColumn id="2" xr3:uid="{00000000-0010-0000-6101-000002000000}" name="Column2"/>
    <tableColumn id="3" xr3:uid="{00000000-0010-0000-6101-000003000000}" name="Column3"/>
    <tableColumn id="4" xr3:uid="{00000000-0010-0000-6101-000004000000}" name="Column4"/>
  </tableColumns>
  <tableStyleInfo name="Sheet1-style 354" showFirstColumn="1" showLastColumn="1" showRowStripes="1" showColumnStripes="0"/>
</table>
</file>

<file path=xl/tables/table3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5" xr:uid="{00000000-000C-0000-FFFF-FFFF62010000}" name="Table_355" displayName="Table_355" ref="B5352:E5353" headerRowCount="0">
  <tableColumns count="4">
    <tableColumn id="1" xr3:uid="{00000000-0010-0000-6201-000001000000}" name="Column1"/>
    <tableColumn id="2" xr3:uid="{00000000-0010-0000-6201-000002000000}" name="Column2"/>
    <tableColumn id="3" xr3:uid="{00000000-0010-0000-6201-000003000000}" name="Column3"/>
    <tableColumn id="4" xr3:uid="{00000000-0010-0000-6201-000004000000}" name="Column4"/>
  </tableColumns>
  <tableStyleInfo name="Sheet1-style 355" showFirstColumn="1" showLastColumn="1" showRowStripes="1" showColumnStripes="0"/>
</table>
</file>

<file path=xl/tables/table3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6" xr:uid="{00000000-000C-0000-FFFF-FFFF63010000}" name="Table_356" displayName="Table_356" ref="B5368:E5369" headerRowCount="0">
  <tableColumns count="4">
    <tableColumn id="1" xr3:uid="{00000000-0010-0000-6301-000001000000}" name="Column1"/>
    <tableColumn id="2" xr3:uid="{00000000-0010-0000-6301-000002000000}" name="Column2"/>
    <tableColumn id="3" xr3:uid="{00000000-0010-0000-6301-000003000000}" name="Column3"/>
    <tableColumn id="4" xr3:uid="{00000000-0010-0000-6301-000004000000}" name="Column4"/>
  </tableColumns>
  <tableStyleInfo name="Sheet1-style 356" showFirstColumn="1" showLastColumn="1" showRowStripes="1" showColumnStripes="0"/>
</table>
</file>

<file path=xl/tables/table3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7" xr:uid="{00000000-000C-0000-FFFF-FFFF64010000}" name="Table_357" displayName="Table_357" ref="B5384:E5385" headerRowCount="0">
  <tableColumns count="4">
    <tableColumn id="1" xr3:uid="{00000000-0010-0000-6401-000001000000}" name="Column1"/>
    <tableColumn id="2" xr3:uid="{00000000-0010-0000-6401-000002000000}" name="Column2"/>
    <tableColumn id="3" xr3:uid="{00000000-0010-0000-6401-000003000000}" name="Column3"/>
    <tableColumn id="4" xr3:uid="{00000000-0010-0000-6401-000004000000}" name="Column4"/>
  </tableColumns>
  <tableStyleInfo name="Sheet1-style 357" showFirstColumn="1" showLastColumn="1" showRowStripes="1" showColumnStripes="0"/>
</table>
</file>

<file path=xl/tables/table3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8" xr:uid="{00000000-000C-0000-FFFF-FFFF65010000}" name="Table_358" displayName="Table_358" ref="B5401:E5402" headerRowCount="0">
  <tableColumns count="4">
    <tableColumn id="1" xr3:uid="{00000000-0010-0000-6501-000001000000}" name="Column1"/>
    <tableColumn id="2" xr3:uid="{00000000-0010-0000-6501-000002000000}" name="Column2"/>
    <tableColumn id="3" xr3:uid="{00000000-0010-0000-6501-000003000000}" name="Column3"/>
    <tableColumn id="4" xr3:uid="{00000000-0010-0000-6501-000004000000}" name="Column4"/>
  </tableColumns>
  <tableStyleInfo name="Sheet1-style 358" showFirstColumn="1" showLastColumn="1" showRowStripes="1" showColumnStripes="0"/>
</table>
</file>

<file path=xl/tables/table3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9" xr:uid="{00000000-000C-0000-FFFF-FFFF66010000}" name="Table_359" displayName="Table_359" ref="B5418:E5419" headerRowCount="0">
  <tableColumns count="4">
    <tableColumn id="1" xr3:uid="{00000000-0010-0000-6601-000001000000}" name="Column1"/>
    <tableColumn id="2" xr3:uid="{00000000-0010-0000-6601-000002000000}" name="Column2"/>
    <tableColumn id="3" xr3:uid="{00000000-0010-0000-6601-000003000000}" name="Column3"/>
    <tableColumn id="4" xr3:uid="{00000000-0010-0000-6601-000004000000}" name="Column4"/>
  </tableColumns>
  <tableStyleInfo name="Sheet1-style 359" showFirstColumn="1" showLastColumn="1" showRowStripes="1" showColumnStripes="0"/>
</table>
</file>

<file path=xl/tables/table3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0" xr:uid="{00000000-000C-0000-FFFF-FFFF67010000}" name="Table_360" displayName="Table_360" ref="B5433:E5434" headerRowCount="0">
  <tableColumns count="4">
    <tableColumn id="1" xr3:uid="{00000000-0010-0000-6701-000001000000}" name="Column1"/>
    <tableColumn id="2" xr3:uid="{00000000-0010-0000-6701-000002000000}" name="Column2"/>
    <tableColumn id="3" xr3:uid="{00000000-0010-0000-6701-000003000000}" name="Column3"/>
    <tableColumn id="4" xr3:uid="{00000000-0010-0000-6701-000004000000}" name="Column4"/>
  </tableColumns>
  <tableStyleInfo name="Sheet1-style 360" showFirstColumn="1" showLastColumn="1" showRowStripes="1" showColumnStripes="0"/>
</table>
</file>

<file path=xl/tables/table3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1" xr:uid="{00000000-000C-0000-FFFF-FFFF68010000}" name="Table_361" displayName="Table_361" ref="B5449:E5450" headerRowCount="0">
  <tableColumns count="4">
    <tableColumn id="1" xr3:uid="{00000000-0010-0000-6801-000001000000}" name="Column1"/>
    <tableColumn id="2" xr3:uid="{00000000-0010-0000-6801-000002000000}" name="Column2"/>
    <tableColumn id="3" xr3:uid="{00000000-0010-0000-6801-000003000000}" name="Column3"/>
    <tableColumn id="4" xr3:uid="{00000000-0010-0000-6801-000004000000}" name="Column4"/>
  </tableColumns>
  <tableStyleInfo name="Sheet1-style 361" showFirstColumn="1" showLastColumn="1" showRowStripes="1" showColumnStripes="0"/>
</table>
</file>

<file path=xl/tables/table3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2" xr:uid="{00000000-000C-0000-FFFF-FFFF69010000}" name="Table_362" displayName="Table_362" ref="B5464:E5465" headerRowCount="0">
  <tableColumns count="4">
    <tableColumn id="1" xr3:uid="{00000000-0010-0000-6901-000001000000}" name="Column1"/>
    <tableColumn id="2" xr3:uid="{00000000-0010-0000-6901-000002000000}" name="Column2"/>
    <tableColumn id="3" xr3:uid="{00000000-0010-0000-6901-000003000000}" name="Column3"/>
    <tableColumn id="4" xr3:uid="{00000000-0010-0000-6901-000004000000}" name="Column4"/>
  </tableColumns>
  <tableStyleInfo name="Sheet1-style 362" showFirstColumn="1" showLastColumn="1" showRowStripes="1" showColumnStripes="0"/>
</table>
</file>

<file path=xl/tables/table3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3" xr:uid="{00000000-000C-0000-FFFF-FFFF6A010000}" name="Table_363" displayName="Table_363" ref="B5479:E5480" headerRowCount="0">
  <tableColumns count="4">
    <tableColumn id="1" xr3:uid="{00000000-0010-0000-6A01-000001000000}" name="Column1"/>
    <tableColumn id="2" xr3:uid="{00000000-0010-0000-6A01-000002000000}" name="Column2"/>
    <tableColumn id="3" xr3:uid="{00000000-0010-0000-6A01-000003000000}" name="Column3"/>
    <tableColumn id="4" xr3:uid="{00000000-0010-0000-6A01-000004000000}" name="Column4"/>
  </tableColumns>
  <tableStyleInfo name="Sheet1-style 363" showFirstColumn="1" showLastColumn="1" showRowStripes="1" showColumnStripes="0"/>
</table>
</file>

<file path=xl/tables/table3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4" xr:uid="{00000000-000C-0000-FFFF-FFFF6B010000}" name="Table_364" displayName="Table_364" ref="B5494:E5495" headerRowCount="0">
  <tableColumns count="4">
    <tableColumn id="1" xr3:uid="{00000000-0010-0000-6B01-000001000000}" name="Column1"/>
    <tableColumn id="2" xr3:uid="{00000000-0010-0000-6B01-000002000000}" name="Column2"/>
    <tableColumn id="3" xr3:uid="{00000000-0010-0000-6B01-000003000000}" name="Column3"/>
    <tableColumn id="4" xr3:uid="{00000000-0010-0000-6B01-000004000000}" name="Column4"/>
  </tableColumns>
  <tableStyleInfo name="Sheet1-style 364" showFirstColumn="1" showLastColumn="1" showRowStripes="1" showColumnStripes="0"/>
</table>
</file>

<file path=xl/tables/table3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5" xr:uid="{00000000-000C-0000-FFFF-FFFF6C010000}" name="Table_365" displayName="Table_365" ref="B5509:E5510" headerRowCount="0">
  <tableColumns count="4">
    <tableColumn id="1" xr3:uid="{00000000-0010-0000-6C01-000001000000}" name="Column1"/>
    <tableColumn id="2" xr3:uid="{00000000-0010-0000-6C01-000002000000}" name="Column2"/>
    <tableColumn id="3" xr3:uid="{00000000-0010-0000-6C01-000003000000}" name="Column3"/>
    <tableColumn id="4" xr3:uid="{00000000-0010-0000-6C01-000004000000}" name="Column4"/>
  </tableColumns>
  <tableStyleInfo name="Sheet1-style 365" showFirstColumn="1" showLastColumn="1" showRowStripes="1" showColumnStripes="0"/>
</table>
</file>

<file path=xl/tables/table3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6" xr:uid="{00000000-000C-0000-FFFF-FFFF6D010000}" name="Table_366" displayName="Table_366" ref="B5524:E5525" headerRowCount="0">
  <tableColumns count="4">
    <tableColumn id="1" xr3:uid="{00000000-0010-0000-6D01-000001000000}" name="Column1"/>
    <tableColumn id="2" xr3:uid="{00000000-0010-0000-6D01-000002000000}" name="Column2"/>
    <tableColumn id="3" xr3:uid="{00000000-0010-0000-6D01-000003000000}" name="Column3"/>
    <tableColumn id="4" xr3:uid="{00000000-0010-0000-6D01-000004000000}" name="Column4"/>
  </tableColumns>
  <tableStyleInfo name="Sheet1-style 366" showFirstColumn="1" showLastColumn="1" showRowStripes="1" showColumnStripes="0"/>
</table>
</file>

<file path=xl/tables/table3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7" xr:uid="{00000000-000C-0000-FFFF-FFFF6E010000}" name="Table_367" displayName="Table_367" ref="B5539:E5540" headerRowCount="0">
  <tableColumns count="4">
    <tableColumn id="1" xr3:uid="{00000000-0010-0000-6E01-000001000000}" name="Column1"/>
    <tableColumn id="2" xr3:uid="{00000000-0010-0000-6E01-000002000000}" name="Column2"/>
    <tableColumn id="3" xr3:uid="{00000000-0010-0000-6E01-000003000000}" name="Column3"/>
    <tableColumn id="4" xr3:uid="{00000000-0010-0000-6E01-000004000000}" name="Column4"/>
  </tableColumns>
  <tableStyleInfo name="Sheet1-style 367" showFirstColumn="1" showLastColumn="1" showRowStripes="1" showColumnStripes="0"/>
</table>
</file>

<file path=xl/tables/table3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8" xr:uid="{00000000-000C-0000-FFFF-FFFF6F010000}" name="Table_368" displayName="Table_368" ref="B5554:E5555" headerRowCount="0">
  <tableColumns count="4">
    <tableColumn id="1" xr3:uid="{00000000-0010-0000-6F01-000001000000}" name="Column1"/>
    <tableColumn id="2" xr3:uid="{00000000-0010-0000-6F01-000002000000}" name="Column2"/>
    <tableColumn id="3" xr3:uid="{00000000-0010-0000-6F01-000003000000}" name="Column3"/>
    <tableColumn id="4" xr3:uid="{00000000-0010-0000-6F01-000004000000}" name="Column4"/>
  </tableColumns>
  <tableStyleInfo name="Sheet1-style 368" showFirstColumn="1" showLastColumn="1" showRowStripes="1" showColumnStripes="0"/>
</table>
</file>

<file path=xl/tables/table3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9" xr:uid="{00000000-000C-0000-FFFF-FFFF70010000}" name="Table_369" displayName="Table_369" ref="B5570:E5571" headerRowCount="0">
  <tableColumns count="4">
    <tableColumn id="1" xr3:uid="{00000000-0010-0000-7001-000001000000}" name="Column1"/>
    <tableColumn id="2" xr3:uid="{00000000-0010-0000-7001-000002000000}" name="Column2"/>
    <tableColumn id="3" xr3:uid="{00000000-0010-0000-7001-000003000000}" name="Column3"/>
    <tableColumn id="4" xr3:uid="{00000000-0010-0000-7001-000004000000}" name="Column4"/>
  </tableColumns>
  <tableStyleInfo name="Sheet1-style 369" showFirstColumn="1" showLastColumn="1" showRowStripes="1" showColumnStripes="0"/>
</table>
</file>

<file path=xl/tables/table3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0" xr:uid="{00000000-000C-0000-FFFF-FFFF71010000}" name="Table_370" displayName="Table_370" ref="B5585:E5586" headerRowCount="0">
  <tableColumns count="4">
    <tableColumn id="1" xr3:uid="{00000000-0010-0000-7101-000001000000}" name="Column1"/>
    <tableColumn id="2" xr3:uid="{00000000-0010-0000-7101-000002000000}" name="Column2"/>
    <tableColumn id="3" xr3:uid="{00000000-0010-0000-7101-000003000000}" name="Column3"/>
    <tableColumn id="4" xr3:uid="{00000000-0010-0000-7101-000004000000}" name="Column4"/>
  </tableColumns>
  <tableStyleInfo name="Sheet1-style 370" showFirstColumn="1" showLastColumn="1" showRowStripes="1" showColumnStripes="0"/>
</table>
</file>

<file path=xl/tables/table3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1" xr:uid="{00000000-000C-0000-FFFF-FFFF72010000}" name="Table_371" displayName="Table_371" ref="B5599:E5600" headerRowCount="0">
  <tableColumns count="4">
    <tableColumn id="1" xr3:uid="{00000000-0010-0000-7201-000001000000}" name="Column1"/>
    <tableColumn id="2" xr3:uid="{00000000-0010-0000-7201-000002000000}" name="Column2"/>
    <tableColumn id="3" xr3:uid="{00000000-0010-0000-7201-000003000000}" name="Column3"/>
    <tableColumn id="4" xr3:uid="{00000000-0010-0000-7201-000004000000}" name="Column4"/>
  </tableColumns>
  <tableStyleInfo name="Sheet1-style 371" showFirstColumn="1" showLastColumn="1" showRowStripes="1" showColumnStripes="0"/>
</table>
</file>

<file path=xl/tables/table3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2" xr:uid="{00000000-000C-0000-FFFF-FFFF73010000}" name="Table_372" displayName="Table_372" ref="B5614:E5615" headerRowCount="0">
  <tableColumns count="4">
    <tableColumn id="1" xr3:uid="{00000000-0010-0000-7301-000001000000}" name="Column1"/>
    <tableColumn id="2" xr3:uid="{00000000-0010-0000-7301-000002000000}" name="Column2"/>
    <tableColumn id="3" xr3:uid="{00000000-0010-0000-7301-000003000000}" name="Column3"/>
    <tableColumn id="4" xr3:uid="{00000000-0010-0000-7301-000004000000}" name="Column4"/>
  </tableColumns>
  <tableStyleInfo name="Sheet1-style 372" showFirstColumn="1" showLastColumn="1" showRowStripes="1" showColumnStripes="0"/>
</table>
</file>

<file path=xl/tables/table3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3" xr:uid="{00000000-000C-0000-FFFF-FFFF74010000}" name="Table_373" displayName="Table_373" ref="B5629:E5630" headerRowCount="0">
  <tableColumns count="4">
    <tableColumn id="1" xr3:uid="{00000000-0010-0000-7401-000001000000}" name="Column1"/>
    <tableColumn id="2" xr3:uid="{00000000-0010-0000-7401-000002000000}" name="Column2"/>
    <tableColumn id="3" xr3:uid="{00000000-0010-0000-7401-000003000000}" name="Column3"/>
    <tableColumn id="4" xr3:uid="{00000000-0010-0000-7401-000004000000}" name="Column4"/>
  </tableColumns>
  <tableStyleInfo name="Sheet1-style 373" showFirstColumn="1" showLastColumn="1" showRowStripes="1" showColumnStripes="0"/>
</table>
</file>

<file path=xl/tables/table3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4" xr:uid="{00000000-000C-0000-FFFF-FFFF75010000}" name="Table_374" displayName="Table_374" ref="B5644:E5645" headerRowCount="0">
  <tableColumns count="4">
    <tableColumn id="1" xr3:uid="{00000000-0010-0000-7501-000001000000}" name="Column1"/>
    <tableColumn id="2" xr3:uid="{00000000-0010-0000-7501-000002000000}" name="Column2"/>
    <tableColumn id="3" xr3:uid="{00000000-0010-0000-7501-000003000000}" name="Column3"/>
    <tableColumn id="4" xr3:uid="{00000000-0010-0000-7501-000004000000}" name="Column4"/>
  </tableColumns>
  <tableStyleInfo name="Sheet1-style 374" showFirstColumn="1" showLastColumn="1" showRowStripes="1" showColumnStripes="0"/>
</table>
</file>

<file path=xl/tables/table3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5" xr:uid="{00000000-000C-0000-FFFF-FFFF76010000}" name="Table_375" displayName="Table_375" ref="B5658:E5659" headerRowCount="0">
  <tableColumns count="4">
    <tableColumn id="1" xr3:uid="{00000000-0010-0000-7601-000001000000}" name="Column1"/>
    <tableColumn id="2" xr3:uid="{00000000-0010-0000-7601-000002000000}" name="Column2"/>
    <tableColumn id="3" xr3:uid="{00000000-0010-0000-7601-000003000000}" name="Column3"/>
    <tableColumn id="4" xr3:uid="{00000000-0010-0000-7601-000004000000}" name="Column4"/>
  </tableColumns>
  <tableStyleInfo name="Sheet1-style 375" showFirstColumn="1" showLastColumn="1" showRowStripes="1" showColumnStripes="0"/>
</table>
</file>

<file path=xl/tables/table3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6" xr:uid="{00000000-000C-0000-FFFF-FFFF77010000}" name="Table_376" displayName="Table_376" ref="B5672:E5673" headerRowCount="0">
  <tableColumns count="4">
    <tableColumn id="1" xr3:uid="{00000000-0010-0000-7701-000001000000}" name="Column1"/>
    <tableColumn id="2" xr3:uid="{00000000-0010-0000-7701-000002000000}" name="Column2"/>
    <tableColumn id="3" xr3:uid="{00000000-0010-0000-7701-000003000000}" name="Column3"/>
    <tableColumn id="4" xr3:uid="{00000000-0010-0000-7701-000004000000}" name="Column4"/>
  </tableColumns>
  <tableStyleInfo name="Sheet1-style 376" showFirstColumn="1" showLastColumn="1" showRowStripes="1" showColumnStripes="0"/>
</table>
</file>

<file path=xl/tables/table3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7" xr:uid="{00000000-000C-0000-FFFF-FFFF78010000}" name="Table_377" displayName="Table_377" ref="B5687:E5688" headerRowCount="0">
  <tableColumns count="4">
    <tableColumn id="1" xr3:uid="{00000000-0010-0000-7801-000001000000}" name="Column1"/>
    <tableColumn id="2" xr3:uid="{00000000-0010-0000-7801-000002000000}" name="Column2"/>
    <tableColumn id="3" xr3:uid="{00000000-0010-0000-7801-000003000000}" name="Column3"/>
    <tableColumn id="4" xr3:uid="{00000000-0010-0000-7801-000004000000}" name="Column4"/>
  </tableColumns>
  <tableStyleInfo name="Sheet1-style 377" showFirstColumn="1" showLastColumn="1" showRowStripes="1" showColumnStripes="0"/>
</table>
</file>

<file path=xl/tables/table3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8" xr:uid="{00000000-000C-0000-FFFF-FFFF79010000}" name="Table_378" displayName="Table_378" ref="B5704:E5705" headerRowCount="0">
  <tableColumns count="4">
    <tableColumn id="1" xr3:uid="{00000000-0010-0000-7901-000001000000}" name="Column1"/>
    <tableColumn id="2" xr3:uid="{00000000-0010-0000-7901-000002000000}" name="Column2"/>
    <tableColumn id="3" xr3:uid="{00000000-0010-0000-7901-000003000000}" name="Column3"/>
    <tableColumn id="4" xr3:uid="{00000000-0010-0000-7901-000004000000}" name="Column4"/>
  </tableColumns>
  <tableStyleInfo name="Sheet1-style 378" showFirstColumn="1" showLastColumn="1" showRowStripes="1" showColumnStripes="0"/>
</table>
</file>

<file path=xl/tables/table3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9" xr:uid="{00000000-000C-0000-FFFF-FFFF7A010000}" name="Table_379" displayName="Table_379" ref="B5721:E5722" headerRowCount="0">
  <tableColumns count="4">
    <tableColumn id="1" xr3:uid="{00000000-0010-0000-7A01-000001000000}" name="Column1"/>
    <tableColumn id="2" xr3:uid="{00000000-0010-0000-7A01-000002000000}" name="Column2"/>
    <tableColumn id="3" xr3:uid="{00000000-0010-0000-7A01-000003000000}" name="Column3"/>
    <tableColumn id="4" xr3:uid="{00000000-0010-0000-7A01-000004000000}" name="Column4"/>
  </tableColumns>
  <tableStyleInfo name="Sheet1-style 379" showFirstColumn="1" showLastColumn="1" showRowStripes="1" showColumnStripes="0"/>
</table>
</file>

<file path=xl/tables/table3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0" xr:uid="{00000000-000C-0000-FFFF-FFFF7B010000}" name="Table_380" displayName="Table_380" ref="B5737:E5738" headerRowCount="0">
  <tableColumns count="4">
    <tableColumn id="1" xr3:uid="{00000000-0010-0000-7B01-000001000000}" name="Column1"/>
    <tableColumn id="2" xr3:uid="{00000000-0010-0000-7B01-000002000000}" name="Column2"/>
    <tableColumn id="3" xr3:uid="{00000000-0010-0000-7B01-000003000000}" name="Column3"/>
    <tableColumn id="4" xr3:uid="{00000000-0010-0000-7B01-000004000000}" name="Column4"/>
  </tableColumns>
  <tableStyleInfo name="Sheet1-style 380" showFirstColumn="1" showLastColumn="1" showRowStripes="1" showColumnStripes="0"/>
</table>
</file>

<file path=xl/tables/table3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1" xr:uid="{00000000-000C-0000-FFFF-FFFF7C010000}" name="Table_381" displayName="Table_381" ref="B5752:E5753" headerRowCount="0">
  <tableColumns count="4">
    <tableColumn id="1" xr3:uid="{00000000-0010-0000-7C01-000001000000}" name="Column1"/>
    <tableColumn id="2" xr3:uid="{00000000-0010-0000-7C01-000002000000}" name="Column2"/>
    <tableColumn id="3" xr3:uid="{00000000-0010-0000-7C01-000003000000}" name="Column3"/>
    <tableColumn id="4" xr3:uid="{00000000-0010-0000-7C01-000004000000}" name="Column4"/>
  </tableColumns>
  <tableStyleInfo name="Sheet1-style 381" showFirstColumn="1" showLastColumn="1" showRowStripes="1" showColumnStripes="0"/>
</table>
</file>

<file path=xl/tables/table3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2" xr:uid="{00000000-000C-0000-FFFF-FFFF7D010000}" name="Table_382" displayName="Table_382" ref="B5766:E5767" headerRowCount="0">
  <tableColumns count="4">
    <tableColumn id="1" xr3:uid="{00000000-0010-0000-7D01-000001000000}" name="Column1"/>
    <tableColumn id="2" xr3:uid="{00000000-0010-0000-7D01-000002000000}" name="Column2"/>
    <tableColumn id="3" xr3:uid="{00000000-0010-0000-7D01-000003000000}" name="Column3"/>
    <tableColumn id="4" xr3:uid="{00000000-0010-0000-7D01-000004000000}" name="Column4"/>
  </tableColumns>
  <tableStyleInfo name="Sheet1-style 382" showFirstColumn="1" showLastColumn="1" showRowStripes="1" showColumnStripes="0"/>
</table>
</file>

<file path=xl/tables/table3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3" xr:uid="{00000000-000C-0000-FFFF-FFFF7E010000}" name="Table_383" displayName="Table_383" ref="B5781:E5782" headerRowCount="0">
  <tableColumns count="4">
    <tableColumn id="1" xr3:uid="{00000000-0010-0000-7E01-000001000000}" name="Column1"/>
    <tableColumn id="2" xr3:uid="{00000000-0010-0000-7E01-000002000000}" name="Column2"/>
    <tableColumn id="3" xr3:uid="{00000000-0010-0000-7E01-000003000000}" name="Column3"/>
    <tableColumn id="4" xr3:uid="{00000000-0010-0000-7E01-000004000000}" name="Column4"/>
  </tableColumns>
  <tableStyleInfo name="Sheet1-style 383" showFirstColumn="1" showLastColumn="1" showRowStripes="1" showColumnStripes="0"/>
</table>
</file>

<file path=xl/tables/table3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4" xr:uid="{00000000-000C-0000-FFFF-FFFF7F010000}" name="Table_384" displayName="Table_384" ref="B5796:E5797" headerRowCount="0">
  <tableColumns count="4">
    <tableColumn id="1" xr3:uid="{00000000-0010-0000-7F01-000001000000}" name="Column1"/>
    <tableColumn id="2" xr3:uid="{00000000-0010-0000-7F01-000002000000}" name="Column2"/>
    <tableColumn id="3" xr3:uid="{00000000-0010-0000-7F01-000003000000}" name="Column3"/>
    <tableColumn id="4" xr3:uid="{00000000-0010-0000-7F01-000004000000}" name="Column4"/>
  </tableColumns>
  <tableStyleInfo name="Sheet1-style 384" showFirstColumn="1" showLastColumn="1" showRowStripes="1" showColumnStripes="0"/>
</table>
</file>

<file path=xl/tables/table3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5" xr:uid="{00000000-000C-0000-FFFF-FFFF80010000}" name="Table_385" displayName="Table_385" ref="B5812:E5813" headerRowCount="0">
  <tableColumns count="4">
    <tableColumn id="1" xr3:uid="{00000000-0010-0000-8001-000001000000}" name="Column1"/>
    <tableColumn id="2" xr3:uid="{00000000-0010-0000-8001-000002000000}" name="Column2"/>
    <tableColumn id="3" xr3:uid="{00000000-0010-0000-8001-000003000000}" name="Column3"/>
    <tableColumn id="4" xr3:uid="{00000000-0010-0000-8001-000004000000}" name="Column4"/>
  </tableColumns>
  <tableStyleInfo name="Sheet1-style 385" showFirstColumn="1" showLastColumn="1" showRowStripes="1" showColumnStripes="0"/>
</table>
</file>

<file path=xl/tables/table3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6" xr:uid="{00000000-000C-0000-FFFF-FFFF81010000}" name="Table_386" displayName="Table_386" ref="B5827:E5828" headerRowCount="0">
  <tableColumns count="4">
    <tableColumn id="1" xr3:uid="{00000000-0010-0000-8101-000001000000}" name="Column1"/>
    <tableColumn id="2" xr3:uid="{00000000-0010-0000-8101-000002000000}" name="Column2"/>
    <tableColumn id="3" xr3:uid="{00000000-0010-0000-8101-000003000000}" name="Column3"/>
    <tableColumn id="4" xr3:uid="{00000000-0010-0000-8101-000004000000}" name="Column4"/>
  </tableColumns>
  <tableStyleInfo name="Sheet1-style 386" showFirstColumn="1" showLastColumn="1" showRowStripes="1" showColumnStripes="0"/>
</table>
</file>

<file path=xl/tables/table3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7" xr:uid="{00000000-000C-0000-FFFF-FFFF82010000}" name="Table_387" displayName="Table_387" ref="B5842:E5843" headerRowCount="0">
  <tableColumns count="4">
    <tableColumn id="1" xr3:uid="{00000000-0010-0000-8201-000001000000}" name="Column1"/>
    <tableColumn id="2" xr3:uid="{00000000-0010-0000-8201-000002000000}" name="Column2"/>
    <tableColumn id="3" xr3:uid="{00000000-0010-0000-8201-000003000000}" name="Column3"/>
    <tableColumn id="4" xr3:uid="{00000000-0010-0000-8201-000004000000}" name="Column4"/>
  </tableColumns>
  <tableStyleInfo name="Sheet1-style 387" showFirstColumn="1" showLastColumn="1" showRowStripes="1" showColumnStripes="0"/>
</table>
</file>

<file path=xl/tables/table3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8" xr:uid="{00000000-000C-0000-FFFF-FFFF83010000}" name="Table_388" displayName="Table_388" ref="B5858:E5859" headerRowCount="0">
  <tableColumns count="4">
    <tableColumn id="1" xr3:uid="{00000000-0010-0000-8301-000001000000}" name="Column1"/>
    <tableColumn id="2" xr3:uid="{00000000-0010-0000-8301-000002000000}" name="Column2"/>
    <tableColumn id="3" xr3:uid="{00000000-0010-0000-8301-000003000000}" name="Column3"/>
    <tableColumn id="4" xr3:uid="{00000000-0010-0000-8301-000004000000}" name="Column4"/>
  </tableColumns>
  <tableStyleInfo name="Sheet1-style 388" showFirstColumn="1" showLastColumn="1" showRowStripes="1" showColumnStripes="0"/>
</table>
</file>

<file path=xl/tables/table3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9" xr:uid="{00000000-000C-0000-FFFF-FFFF84010000}" name="Table_389" displayName="Table_389" ref="B5872:E5873" headerRowCount="0">
  <tableColumns count="4">
    <tableColumn id="1" xr3:uid="{00000000-0010-0000-8401-000001000000}" name="Column1"/>
    <tableColumn id="2" xr3:uid="{00000000-0010-0000-8401-000002000000}" name="Column2"/>
    <tableColumn id="3" xr3:uid="{00000000-0010-0000-8401-000003000000}" name="Column3"/>
    <tableColumn id="4" xr3:uid="{00000000-0010-0000-8401-000004000000}" name="Column4"/>
  </tableColumns>
  <tableStyleInfo name="Sheet1-style 389" showFirstColumn="1" showLastColumn="1" showRowStripes="1" showColumnStripes="0"/>
</table>
</file>

<file path=xl/tables/table3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0" xr:uid="{00000000-000C-0000-FFFF-FFFF85010000}" name="Table_390" displayName="Table_390" ref="B5886:E5887" headerRowCount="0">
  <tableColumns count="4">
    <tableColumn id="1" xr3:uid="{00000000-0010-0000-8501-000001000000}" name="Column1"/>
    <tableColumn id="2" xr3:uid="{00000000-0010-0000-8501-000002000000}" name="Column2"/>
    <tableColumn id="3" xr3:uid="{00000000-0010-0000-8501-000003000000}" name="Column3"/>
    <tableColumn id="4" xr3:uid="{00000000-0010-0000-8501-000004000000}" name="Column4"/>
  </tableColumns>
  <tableStyleInfo name="Sheet1-style 390" showFirstColumn="1" showLastColumn="1" showRowStripes="1" showColumnStripes="0"/>
</table>
</file>

<file path=xl/tables/table3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1" xr:uid="{00000000-000C-0000-FFFF-FFFF86010000}" name="Table_391" displayName="Table_391" ref="B5902:E5903" headerRowCount="0">
  <tableColumns count="4">
    <tableColumn id="1" xr3:uid="{00000000-0010-0000-8601-000001000000}" name="Column1"/>
    <tableColumn id="2" xr3:uid="{00000000-0010-0000-8601-000002000000}" name="Column2"/>
    <tableColumn id="3" xr3:uid="{00000000-0010-0000-8601-000003000000}" name="Column3"/>
    <tableColumn id="4" xr3:uid="{00000000-0010-0000-8601-000004000000}" name="Column4"/>
  </tableColumns>
  <tableStyleInfo name="Sheet1-style 391" showFirstColumn="1" showLastColumn="1" showRowStripes="1" showColumnStripes="0"/>
</table>
</file>

<file path=xl/tables/table3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2" xr:uid="{00000000-000C-0000-FFFF-FFFF87010000}" name="Table_392" displayName="Table_392" ref="B5917:E5918" headerRowCount="0">
  <tableColumns count="4">
    <tableColumn id="1" xr3:uid="{00000000-0010-0000-8701-000001000000}" name="Column1"/>
    <tableColumn id="2" xr3:uid="{00000000-0010-0000-8701-000002000000}" name="Column2"/>
    <tableColumn id="3" xr3:uid="{00000000-0010-0000-8701-000003000000}" name="Column3"/>
    <tableColumn id="4" xr3:uid="{00000000-0010-0000-8701-000004000000}" name="Column4"/>
  </tableColumns>
  <tableStyleInfo name="Sheet1-style 392" showFirstColumn="1" showLastColumn="1" showRowStripes="1" showColumnStripes="0"/>
</table>
</file>

<file path=xl/tables/table3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3" xr:uid="{00000000-000C-0000-FFFF-FFFF88010000}" name="Table_393" displayName="Table_393" ref="B5931:E5932" headerRowCount="0">
  <tableColumns count="4">
    <tableColumn id="1" xr3:uid="{00000000-0010-0000-8801-000001000000}" name="Column1"/>
    <tableColumn id="2" xr3:uid="{00000000-0010-0000-8801-000002000000}" name="Column2"/>
    <tableColumn id="3" xr3:uid="{00000000-0010-0000-8801-000003000000}" name="Column3"/>
    <tableColumn id="4" xr3:uid="{00000000-0010-0000-8801-000004000000}" name="Column4"/>
  </tableColumns>
  <tableStyleInfo name="Sheet1-style 393" showFirstColumn="1" showLastColumn="1" showRowStripes="1" showColumnStripes="0"/>
</table>
</file>

<file path=xl/tables/table3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4" xr:uid="{00000000-000C-0000-FFFF-FFFF89010000}" name="Table_394" displayName="Table_394" ref="B5944:E5945" headerRowCount="0">
  <tableColumns count="4">
    <tableColumn id="1" xr3:uid="{00000000-0010-0000-8901-000001000000}" name="Column1"/>
    <tableColumn id="2" xr3:uid="{00000000-0010-0000-8901-000002000000}" name="Column2"/>
    <tableColumn id="3" xr3:uid="{00000000-0010-0000-8901-000003000000}" name="Column3"/>
    <tableColumn id="4" xr3:uid="{00000000-0010-0000-8901-000004000000}" name="Column4"/>
  </tableColumns>
  <tableStyleInfo name="Sheet1-style 394" showFirstColumn="1" showLastColumn="1" showRowStripes="1" showColumnStripes="0"/>
</table>
</file>

<file path=xl/tables/table3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5" xr:uid="{00000000-000C-0000-FFFF-FFFF8A010000}" name="Table_395" displayName="Table_395" ref="B5959:E5960" headerRowCount="0">
  <tableColumns count="4">
    <tableColumn id="1" xr3:uid="{00000000-0010-0000-8A01-000001000000}" name="Column1"/>
    <tableColumn id="2" xr3:uid="{00000000-0010-0000-8A01-000002000000}" name="Column2"/>
    <tableColumn id="3" xr3:uid="{00000000-0010-0000-8A01-000003000000}" name="Column3"/>
    <tableColumn id="4" xr3:uid="{00000000-0010-0000-8A01-000004000000}" name="Column4"/>
  </tableColumns>
  <tableStyleInfo name="Sheet1-style 395" showFirstColumn="1" showLastColumn="1" showRowStripes="1" showColumnStripes="0"/>
</table>
</file>

<file path=xl/tables/table3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6" xr:uid="{00000000-000C-0000-FFFF-FFFF8B010000}" name="Table_396" displayName="Table_396" ref="B5973:E5974" headerRowCount="0">
  <tableColumns count="4">
    <tableColumn id="1" xr3:uid="{00000000-0010-0000-8B01-000001000000}" name="Column1"/>
    <tableColumn id="2" xr3:uid="{00000000-0010-0000-8B01-000002000000}" name="Column2"/>
    <tableColumn id="3" xr3:uid="{00000000-0010-0000-8B01-000003000000}" name="Column3"/>
    <tableColumn id="4" xr3:uid="{00000000-0010-0000-8B01-000004000000}" name="Column4"/>
  </tableColumns>
  <tableStyleInfo name="Sheet1-style 396" showFirstColumn="1" showLastColumn="1" showRowStripes="1" showColumnStripes="0"/>
</table>
</file>

<file path=xl/tables/table3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7" xr:uid="{00000000-000C-0000-FFFF-FFFF8C010000}" name="Table_397" displayName="Table_397" ref="B5989:E5990" headerRowCount="0">
  <tableColumns count="4">
    <tableColumn id="1" xr3:uid="{00000000-0010-0000-8C01-000001000000}" name="Column1"/>
    <tableColumn id="2" xr3:uid="{00000000-0010-0000-8C01-000002000000}" name="Column2"/>
    <tableColumn id="3" xr3:uid="{00000000-0010-0000-8C01-000003000000}" name="Column3"/>
    <tableColumn id="4" xr3:uid="{00000000-0010-0000-8C01-000004000000}" name="Column4"/>
  </tableColumns>
  <tableStyleInfo name="Sheet1-style 397" showFirstColumn="1" showLastColumn="1" showRowStripes="1" showColumnStripes="0"/>
</table>
</file>

<file path=xl/tables/table3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8" xr:uid="{00000000-000C-0000-FFFF-FFFF8D010000}" name="Table_398" displayName="Table_398" ref="B6004:E6005" headerRowCount="0">
  <tableColumns count="4">
    <tableColumn id="1" xr3:uid="{00000000-0010-0000-8D01-000001000000}" name="Column1"/>
    <tableColumn id="2" xr3:uid="{00000000-0010-0000-8D01-000002000000}" name="Column2"/>
    <tableColumn id="3" xr3:uid="{00000000-0010-0000-8D01-000003000000}" name="Column3"/>
    <tableColumn id="4" xr3:uid="{00000000-0010-0000-8D01-000004000000}" name="Column4"/>
  </tableColumns>
  <tableStyleInfo name="Sheet1-style 398" showFirstColumn="1" showLastColumn="1" showRowStripes="1" showColumnStripes="0"/>
</table>
</file>

<file path=xl/tables/table3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9" xr:uid="{00000000-000C-0000-FFFF-FFFF8E010000}" name="Table_399" displayName="Table_399" ref="B6019:E6020" headerRowCount="0">
  <tableColumns count="4">
    <tableColumn id="1" xr3:uid="{00000000-0010-0000-8E01-000001000000}" name="Column1"/>
    <tableColumn id="2" xr3:uid="{00000000-0010-0000-8E01-000002000000}" name="Column2"/>
    <tableColumn id="3" xr3:uid="{00000000-0010-0000-8E01-000003000000}" name="Column3"/>
    <tableColumn id="4" xr3:uid="{00000000-0010-0000-8E01-000004000000}" name="Column4"/>
  </tableColumns>
  <tableStyleInfo name="Sheet1-style 399" showFirstColumn="1" showLastColumn="1" showRowStripes="1" showColumnStripes="0"/>
</table>
</file>

<file path=xl/tables/table4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0" xr:uid="{00000000-000C-0000-FFFF-FFFF8F010000}" name="Table_400" displayName="Table_400" ref="B6037:E6038" headerRowCount="0">
  <tableColumns count="4">
    <tableColumn id="1" xr3:uid="{00000000-0010-0000-8F01-000001000000}" name="Column1"/>
    <tableColumn id="2" xr3:uid="{00000000-0010-0000-8F01-000002000000}" name="Column2"/>
    <tableColumn id="3" xr3:uid="{00000000-0010-0000-8F01-000003000000}" name="Column3"/>
    <tableColumn id="4" xr3:uid="{00000000-0010-0000-8F01-000004000000}" name="Column4"/>
  </tableColumns>
  <tableStyleInfo name="Sheet1-style 400" showFirstColumn="1" showLastColumn="1" showRowStripes="1" showColumnStripes="0"/>
</table>
</file>

<file path=xl/tables/table4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6" xr:uid="{4B079B2C-94F5-4A3F-AD9C-C5D519BAE903}" name="Table_10407" displayName="Table_10407" ref="B4:E5" headerRowCount="0">
  <tableColumns count="4">
    <tableColumn id="1" xr3:uid="{D678E485-73C2-4921-8FA3-943B888A14B6}" name="Column1"/>
    <tableColumn id="2" xr3:uid="{7DC14C57-183A-44FA-897E-88D38C222DC4}" name="Column2"/>
    <tableColumn id="3" xr3:uid="{5854B85D-64EF-4587-BF76-2C68FC77049E}" name="Column3"/>
    <tableColumn id="4" xr3:uid="{85ED53C2-24FC-4F09-BF0E-12AF6B1C27AF}" name="Column4"/>
  </tableColumns>
  <tableStyleInfo name="Sheet1-style 10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116.xml"/><Relationship Id="rId299" Type="http://schemas.openxmlformats.org/officeDocument/2006/relationships/table" Target="../tables/table298.xml"/><Relationship Id="rId21" Type="http://schemas.openxmlformats.org/officeDocument/2006/relationships/table" Target="../tables/table20.xml"/><Relationship Id="rId63" Type="http://schemas.openxmlformats.org/officeDocument/2006/relationships/table" Target="../tables/table62.xml"/><Relationship Id="rId159" Type="http://schemas.openxmlformats.org/officeDocument/2006/relationships/table" Target="../tables/table158.xml"/><Relationship Id="rId324" Type="http://schemas.openxmlformats.org/officeDocument/2006/relationships/table" Target="../tables/table323.xml"/><Relationship Id="rId366" Type="http://schemas.openxmlformats.org/officeDocument/2006/relationships/table" Target="../tables/table365.xml"/><Relationship Id="rId170" Type="http://schemas.openxmlformats.org/officeDocument/2006/relationships/table" Target="../tables/table169.xml"/><Relationship Id="rId226" Type="http://schemas.openxmlformats.org/officeDocument/2006/relationships/table" Target="../tables/table225.xml"/><Relationship Id="rId268" Type="http://schemas.openxmlformats.org/officeDocument/2006/relationships/table" Target="../tables/table267.xml"/><Relationship Id="rId32" Type="http://schemas.openxmlformats.org/officeDocument/2006/relationships/table" Target="../tables/table31.xml"/><Relationship Id="rId74" Type="http://schemas.openxmlformats.org/officeDocument/2006/relationships/table" Target="../tables/table73.xml"/><Relationship Id="rId128" Type="http://schemas.openxmlformats.org/officeDocument/2006/relationships/table" Target="../tables/table127.xml"/><Relationship Id="rId335" Type="http://schemas.openxmlformats.org/officeDocument/2006/relationships/table" Target="../tables/table334.xml"/><Relationship Id="rId377" Type="http://schemas.openxmlformats.org/officeDocument/2006/relationships/table" Target="../tables/table376.xml"/><Relationship Id="rId5" Type="http://schemas.openxmlformats.org/officeDocument/2006/relationships/table" Target="../tables/table4.xml"/><Relationship Id="rId181" Type="http://schemas.openxmlformats.org/officeDocument/2006/relationships/table" Target="../tables/table180.xml"/><Relationship Id="rId237" Type="http://schemas.openxmlformats.org/officeDocument/2006/relationships/table" Target="../tables/table236.xml"/><Relationship Id="rId402" Type="http://schemas.openxmlformats.org/officeDocument/2006/relationships/table" Target="../tables/table401.xml"/><Relationship Id="rId279" Type="http://schemas.openxmlformats.org/officeDocument/2006/relationships/table" Target="../tables/table278.xml"/><Relationship Id="rId43" Type="http://schemas.openxmlformats.org/officeDocument/2006/relationships/table" Target="../tables/table42.xml"/><Relationship Id="rId139" Type="http://schemas.openxmlformats.org/officeDocument/2006/relationships/table" Target="../tables/table138.xml"/><Relationship Id="rId290" Type="http://schemas.openxmlformats.org/officeDocument/2006/relationships/table" Target="../tables/table289.xml"/><Relationship Id="rId304" Type="http://schemas.openxmlformats.org/officeDocument/2006/relationships/table" Target="../tables/table303.xml"/><Relationship Id="rId346" Type="http://schemas.openxmlformats.org/officeDocument/2006/relationships/table" Target="../tables/table345.xml"/><Relationship Id="rId388" Type="http://schemas.openxmlformats.org/officeDocument/2006/relationships/table" Target="../tables/table387.xml"/><Relationship Id="rId85" Type="http://schemas.openxmlformats.org/officeDocument/2006/relationships/table" Target="../tables/table84.xml"/><Relationship Id="rId150" Type="http://schemas.openxmlformats.org/officeDocument/2006/relationships/table" Target="../tables/table149.xml"/><Relationship Id="rId192" Type="http://schemas.openxmlformats.org/officeDocument/2006/relationships/table" Target="../tables/table191.xml"/><Relationship Id="rId206" Type="http://schemas.openxmlformats.org/officeDocument/2006/relationships/table" Target="../tables/table205.xml"/><Relationship Id="rId248" Type="http://schemas.openxmlformats.org/officeDocument/2006/relationships/table" Target="../tables/table247.xml"/><Relationship Id="rId12" Type="http://schemas.openxmlformats.org/officeDocument/2006/relationships/table" Target="../tables/table11.xml"/><Relationship Id="rId108" Type="http://schemas.openxmlformats.org/officeDocument/2006/relationships/table" Target="../tables/table107.xml"/><Relationship Id="rId315" Type="http://schemas.openxmlformats.org/officeDocument/2006/relationships/table" Target="../tables/table314.xml"/><Relationship Id="rId357" Type="http://schemas.openxmlformats.org/officeDocument/2006/relationships/table" Target="../tables/table356.xml"/><Relationship Id="rId54" Type="http://schemas.openxmlformats.org/officeDocument/2006/relationships/table" Target="../tables/table53.xml"/><Relationship Id="rId96" Type="http://schemas.openxmlformats.org/officeDocument/2006/relationships/table" Target="../tables/table95.xml"/><Relationship Id="rId161" Type="http://schemas.openxmlformats.org/officeDocument/2006/relationships/table" Target="../tables/table160.xml"/><Relationship Id="rId217" Type="http://schemas.openxmlformats.org/officeDocument/2006/relationships/table" Target="../tables/table216.xml"/><Relationship Id="rId399" Type="http://schemas.openxmlformats.org/officeDocument/2006/relationships/table" Target="../tables/table398.xml"/><Relationship Id="rId259" Type="http://schemas.openxmlformats.org/officeDocument/2006/relationships/table" Target="../tables/table258.xml"/><Relationship Id="rId23" Type="http://schemas.openxmlformats.org/officeDocument/2006/relationships/table" Target="../tables/table22.xml"/><Relationship Id="rId119" Type="http://schemas.openxmlformats.org/officeDocument/2006/relationships/table" Target="../tables/table118.xml"/><Relationship Id="rId270" Type="http://schemas.openxmlformats.org/officeDocument/2006/relationships/table" Target="../tables/table269.xml"/><Relationship Id="rId326" Type="http://schemas.openxmlformats.org/officeDocument/2006/relationships/table" Target="../tables/table325.xml"/><Relationship Id="rId65" Type="http://schemas.openxmlformats.org/officeDocument/2006/relationships/table" Target="../tables/table64.xml"/><Relationship Id="rId130" Type="http://schemas.openxmlformats.org/officeDocument/2006/relationships/table" Target="../tables/table129.xml"/><Relationship Id="rId368" Type="http://schemas.openxmlformats.org/officeDocument/2006/relationships/table" Target="../tables/table367.xml"/><Relationship Id="rId172" Type="http://schemas.openxmlformats.org/officeDocument/2006/relationships/table" Target="../tables/table171.xml"/><Relationship Id="rId228" Type="http://schemas.openxmlformats.org/officeDocument/2006/relationships/table" Target="../tables/table227.xml"/><Relationship Id="rId281" Type="http://schemas.openxmlformats.org/officeDocument/2006/relationships/table" Target="../tables/table280.xml"/><Relationship Id="rId337" Type="http://schemas.openxmlformats.org/officeDocument/2006/relationships/table" Target="../tables/table336.xml"/><Relationship Id="rId34" Type="http://schemas.openxmlformats.org/officeDocument/2006/relationships/table" Target="../tables/table33.xml"/><Relationship Id="rId76" Type="http://schemas.openxmlformats.org/officeDocument/2006/relationships/table" Target="../tables/table75.xml"/><Relationship Id="rId141" Type="http://schemas.openxmlformats.org/officeDocument/2006/relationships/table" Target="../tables/table140.xml"/><Relationship Id="rId379" Type="http://schemas.openxmlformats.org/officeDocument/2006/relationships/table" Target="../tables/table378.xml"/><Relationship Id="rId7" Type="http://schemas.openxmlformats.org/officeDocument/2006/relationships/table" Target="../tables/table6.xml"/><Relationship Id="rId183" Type="http://schemas.openxmlformats.org/officeDocument/2006/relationships/table" Target="../tables/table182.xml"/><Relationship Id="rId239" Type="http://schemas.openxmlformats.org/officeDocument/2006/relationships/table" Target="../tables/table238.xml"/><Relationship Id="rId390" Type="http://schemas.openxmlformats.org/officeDocument/2006/relationships/table" Target="../tables/table389.xml"/><Relationship Id="rId250" Type="http://schemas.openxmlformats.org/officeDocument/2006/relationships/table" Target="../tables/table249.xml"/><Relationship Id="rId292" Type="http://schemas.openxmlformats.org/officeDocument/2006/relationships/table" Target="../tables/table291.xml"/><Relationship Id="rId306" Type="http://schemas.openxmlformats.org/officeDocument/2006/relationships/table" Target="../tables/table305.xml"/><Relationship Id="rId45" Type="http://schemas.openxmlformats.org/officeDocument/2006/relationships/table" Target="../tables/table44.xml"/><Relationship Id="rId87" Type="http://schemas.openxmlformats.org/officeDocument/2006/relationships/table" Target="../tables/table86.xml"/><Relationship Id="rId110" Type="http://schemas.openxmlformats.org/officeDocument/2006/relationships/table" Target="../tables/table109.xml"/><Relationship Id="rId348" Type="http://schemas.openxmlformats.org/officeDocument/2006/relationships/table" Target="../tables/table347.xml"/><Relationship Id="rId152" Type="http://schemas.openxmlformats.org/officeDocument/2006/relationships/table" Target="../tables/table151.xml"/><Relationship Id="rId194" Type="http://schemas.openxmlformats.org/officeDocument/2006/relationships/table" Target="../tables/table193.xml"/><Relationship Id="rId208" Type="http://schemas.openxmlformats.org/officeDocument/2006/relationships/table" Target="../tables/table207.xml"/><Relationship Id="rId261" Type="http://schemas.openxmlformats.org/officeDocument/2006/relationships/table" Target="../tables/table260.xml"/><Relationship Id="rId14" Type="http://schemas.openxmlformats.org/officeDocument/2006/relationships/table" Target="../tables/table13.xml"/><Relationship Id="rId56" Type="http://schemas.openxmlformats.org/officeDocument/2006/relationships/table" Target="../tables/table55.xml"/><Relationship Id="rId317" Type="http://schemas.openxmlformats.org/officeDocument/2006/relationships/table" Target="../tables/table316.xml"/><Relationship Id="rId359" Type="http://schemas.openxmlformats.org/officeDocument/2006/relationships/table" Target="../tables/table358.xml"/><Relationship Id="rId98" Type="http://schemas.openxmlformats.org/officeDocument/2006/relationships/table" Target="../tables/table97.xml"/><Relationship Id="rId121" Type="http://schemas.openxmlformats.org/officeDocument/2006/relationships/table" Target="../tables/table120.xml"/><Relationship Id="rId163" Type="http://schemas.openxmlformats.org/officeDocument/2006/relationships/table" Target="../tables/table162.xml"/><Relationship Id="rId219" Type="http://schemas.openxmlformats.org/officeDocument/2006/relationships/table" Target="../tables/table218.xml"/><Relationship Id="rId370" Type="http://schemas.openxmlformats.org/officeDocument/2006/relationships/table" Target="../tables/table369.xml"/><Relationship Id="rId230" Type="http://schemas.openxmlformats.org/officeDocument/2006/relationships/table" Target="../tables/table229.xml"/><Relationship Id="rId25" Type="http://schemas.openxmlformats.org/officeDocument/2006/relationships/table" Target="../tables/table24.xml"/><Relationship Id="rId67" Type="http://schemas.openxmlformats.org/officeDocument/2006/relationships/table" Target="../tables/table66.xml"/><Relationship Id="rId272" Type="http://schemas.openxmlformats.org/officeDocument/2006/relationships/table" Target="../tables/table271.xml"/><Relationship Id="rId328" Type="http://schemas.openxmlformats.org/officeDocument/2006/relationships/table" Target="../tables/table327.xml"/><Relationship Id="rId132" Type="http://schemas.openxmlformats.org/officeDocument/2006/relationships/table" Target="../tables/table131.xml"/><Relationship Id="rId174" Type="http://schemas.openxmlformats.org/officeDocument/2006/relationships/table" Target="../tables/table173.xml"/><Relationship Id="rId381" Type="http://schemas.openxmlformats.org/officeDocument/2006/relationships/table" Target="../tables/table380.xml"/><Relationship Id="rId241" Type="http://schemas.openxmlformats.org/officeDocument/2006/relationships/table" Target="../tables/table240.xml"/><Relationship Id="rId36" Type="http://schemas.openxmlformats.org/officeDocument/2006/relationships/table" Target="../tables/table35.xml"/><Relationship Id="rId283" Type="http://schemas.openxmlformats.org/officeDocument/2006/relationships/table" Target="../tables/table282.xml"/><Relationship Id="rId339" Type="http://schemas.openxmlformats.org/officeDocument/2006/relationships/table" Target="../tables/table338.xml"/><Relationship Id="rId78" Type="http://schemas.openxmlformats.org/officeDocument/2006/relationships/table" Target="../tables/table77.xml"/><Relationship Id="rId101" Type="http://schemas.openxmlformats.org/officeDocument/2006/relationships/table" Target="../tables/table100.xml"/><Relationship Id="rId143" Type="http://schemas.openxmlformats.org/officeDocument/2006/relationships/table" Target="../tables/table142.xml"/><Relationship Id="rId185" Type="http://schemas.openxmlformats.org/officeDocument/2006/relationships/table" Target="../tables/table184.xml"/><Relationship Id="rId350" Type="http://schemas.openxmlformats.org/officeDocument/2006/relationships/table" Target="../tables/table349.xml"/><Relationship Id="rId9" Type="http://schemas.openxmlformats.org/officeDocument/2006/relationships/table" Target="../tables/table8.xml"/><Relationship Id="rId210" Type="http://schemas.openxmlformats.org/officeDocument/2006/relationships/table" Target="../tables/table209.xml"/><Relationship Id="rId392" Type="http://schemas.openxmlformats.org/officeDocument/2006/relationships/table" Target="../tables/table391.xml"/><Relationship Id="rId252" Type="http://schemas.openxmlformats.org/officeDocument/2006/relationships/table" Target="../tables/table251.xml"/><Relationship Id="rId294" Type="http://schemas.openxmlformats.org/officeDocument/2006/relationships/table" Target="../tables/table293.xml"/><Relationship Id="rId308" Type="http://schemas.openxmlformats.org/officeDocument/2006/relationships/table" Target="../tables/table307.xml"/><Relationship Id="rId47" Type="http://schemas.openxmlformats.org/officeDocument/2006/relationships/table" Target="../tables/table46.xml"/><Relationship Id="rId89" Type="http://schemas.openxmlformats.org/officeDocument/2006/relationships/table" Target="../tables/table88.xml"/><Relationship Id="rId112" Type="http://schemas.openxmlformats.org/officeDocument/2006/relationships/table" Target="../tables/table111.xml"/><Relationship Id="rId154" Type="http://schemas.openxmlformats.org/officeDocument/2006/relationships/table" Target="../tables/table153.xml"/><Relationship Id="rId361" Type="http://schemas.openxmlformats.org/officeDocument/2006/relationships/table" Target="../tables/table360.xml"/><Relationship Id="rId196" Type="http://schemas.openxmlformats.org/officeDocument/2006/relationships/table" Target="../tables/table195.xml"/><Relationship Id="rId16" Type="http://schemas.openxmlformats.org/officeDocument/2006/relationships/table" Target="../tables/table15.xml"/><Relationship Id="rId221" Type="http://schemas.openxmlformats.org/officeDocument/2006/relationships/table" Target="../tables/table220.xml"/><Relationship Id="rId263" Type="http://schemas.openxmlformats.org/officeDocument/2006/relationships/table" Target="../tables/table262.xml"/><Relationship Id="rId319" Type="http://schemas.openxmlformats.org/officeDocument/2006/relationships/table" Target="../tables/table318.xml"/><Relationship Id="rId58" Type="http://schemas.openxmlformats.org/officeDocument/2006/relationships/table" Target="../tables/table57.xml"/><Relationship Id="rId123" Type="http://schemas.openxmlformats.org/officeDocument/2006/relationships/table" Target="../tables/table122.xml"/><Relationship Id="rId330" Type="http://schemas.openxmlformats.org/officeDocument/2006/relationships/table" Target="../tables/table329.xml"/><Relationship Id="rId90" Type="http://schemas.openxmlformats.org/officeDocument/2006/relationships/table" Target="../tables/table89.xml"/><Relationship Id="rId165" Type="http://schemas.openxmlformats.org/officeDocument/2006/relationships/table" Target="../tables/table164.xml"/><Relationship Id="rId186" Type="http://schemas.openxmlformats.org/officeDocument/2006/relationships/table" Target="../tables/table185.xml"/><Relationship Id="rId351" Type="http://schemas.openxmlformats.org/officeDocument/2006/relationships/table" Target="../tables/table350.xml"/><Relationship Id="rId372" Type="http://schemas.openxmlformats.org/officeDocument/2006/relationships/table" Target="../tables/table371.xml"/><Relationship Id="rId393" Type="http://schemas.openxmlformats.org/officeDocument/2006/relationships/table" Target="../tables/table392.xml"/><Relationship Id="rId211" Type="http://schemas.openxmlformats.org/officeDocument/2006/relationships/table" Target="../tables/table210.xml"/><Relationship Id="rId232" Type="http://schemas.openxmlformats.org/officeDocument/2006/relationships/table" Target="../tables/table231.xml"/><Relationship Id="rId253" Type="http://schemas.openxmlformats.org/officeDocument/2006/relationships/table" Target="../tables/table252.xml"/><Relationship Id="rId274" Type="http://schemas.openxmlformats.org/officeDocument/2006/relationships/table" Target="../tables/table273.xml"/><Relationship Id="rId295" Type="http://schemas.openxmlformats.org/officeDocument/2006/relationships/table" Target="../tables/table294.xml"/><Relationship Id="rId309" Type="http://schemas.openxmlformats.org/officeDocument/2006/relationships/table" Target="../tables/table308.xml"/><Relationship Id="rId27" Type="http://schemas.openxmlformats.org/officeDocument/2006/relationships/table" Target="../tables/table26.xml"/><Relationship Id="rId48" Type="http://schemas.openxmlformats.org/officeDocument/2006/relationships/table" Target="../tables/table47.xml"/><Relationship Id="rId69" Type="http://schemas.openxmlformats.org/officeDocument/2006/relationships/table" Target="../tables/table68.xml"/><Relationship Id="rId113" Type="http://schemas.openxmlformats.org/officeDocument/2006/relationships/table" Target="../tables/table112.xml"/><Relationship Id="rId134" Type="http://schemas.openxmlformats.org/officeDocument/2006/relationships/table" Target="../tables/table133.xml"/><Relationship Id="rId320" Type="http://schemas.openxmlformats.org/officeDocument/2006/relationships/table" Target="../tables/table319.xml"/><Relationship Id="rId80" Type="http://schemas.openxmlformats.org/officeDocument/2006/relationships/table" Target="../tables/table79.xml"/><Relationship Id="rId155" Type="http://schemas.openxmlformats.org/officeDocument/2006/relationships/table" Target="../tables/table154.xml"/><Relationship Id="rId176" Type="http://schemas.openxmlformats.org/officeDocument/2006/relationships/table" Target="../tables/table175.xml"/><Relationship Id="rId197" Type="http://schemas.openxmlformats.org/officeDocument/2006/relationships/table" Target="../tables/table196.xml"/><Relationship Id="rId341" Type="http://schemas.openxmlformats.org/officeDocument/2006/relationships/table" Target="../tables/table340.xml"/><Relationship Id="rId362" Type="http://schemas.openxmlformats.org/officeDocument/2006/relationships/table" Target="../tables/table361.xml"/><Relationship Id="rId383" Type="http://schemas.openxmlformats.org/officeDocument/2006/relationships/table" Target="../tables/table382.xml"/><Relationship Id="rId201" Type="http://schemas.openxmlformats.org/officeDocument/2006/relationships/table" Target="../tables/table200.xml"/><Relationship Id="rId222" Type="http://schemas.openxmlformats.org/officeDocument/2006/relationships/table" Target="../tables/table221.xml"/><Relationship Id="rId243" Type="http://schemas.openxmlformats.org/officeDocument/2006/relationships/table" Target="../tables/table242.xml"/><Relationship Id="rId264" Type="http://schemas.openxmlformats.org/officeDocument/2006/relationships/table" Target="../tables/table263.xml"/><Relationship Id="rId285" Type="http://schemas.openxmlformats.org/officeDocument/2006/relationships/table" Target="../tables/table284.xml"/><Relationship Id="rId17" Type="http://schemas.openxmlformats.org/officeDocument/2006/relationships/table" Target="../tables/table16.xml"/><Relationship Id="rId38" Type="http://schemas.openxmlformats.org/officeDocument/2006/relationships/table" Target="../tables/table37.xml"/><Relationship Id="rId59" Type="http://schemas.openxmlformats.org/officeDocument/2006/relationships/table" Target="../tables/table58.xml"/><Relationship Id="rId103" Type="http://schemas.openxmlformats.org/officeDocument/2006/relationships/table" Target="../tables/table102.xml"/><Relationship Id="rId124" Type="http://schemas.openxmlformats.org/officeDocument/2006/relationships/table" Target="../tables/table123.xml"/><Relationship Id="rId310" Type="http://schemas.openxmlformats.org/officeDocument/2006/relationships/table" Target="../tables/table309.xml"/><Relationship Id="rId70" Type="http://schemas.openxmlformats.org/officeDocument/2006/relationships/table" Target="../tables/table69.xml"/><Relationship Id="rId91" Type="http://schemas.openxmlformats.org/officeDocument/2006/relationships/table" Target="../tables/table90.xml"/><Relationship Id="rId145" Type="http://schemas.openxmlformats.org/officeDocument/2006/relationships/table" Target="../tables/table144.xml"/><Relationship Id="rId166" Type="http://schemas.openxmlformats.org/officeDocument/2006/relationships/table" Target="../tables/table165.xml"/><Relationship Id="rId187" Type="http://schemas.openxmlformats.org/officeDocument/2006/relationships/table" Target="../tables/table186.xml"/><Relationship Id="rId331" Type="http://schemas.openxmlformats.org/officeDocument/2006/relationships/table" Target="../tables/table330.xml"/><Relationship Id="rId352" Type="http://schemas.openxmlformats.org/officeDocument/2006/relationships/table" Target="../tables/table351.xml"/><Relationship Id="rId373" Type="http://schemas.openxmlformats.org/officeDocument/2006/relationships/table" Target="../tables/table372.xml"/><Relationship Id="rId394" Type="http://schemas.openxmlformats.org/officeDocument/2006/relationships/table" Target="../tables/table393.xml"/><Relationship Id="rId1" Type="http://schemas.openxmlformats.org/officeDocument/2006/relationships/printerSettings" Target="../printerSettings/printerSettings1.bin"/><Relationship Id="rId212" Type="http://schemas.openxmlformats.org/officeDocument/2006/relationships/table" Target="../tables/table211.xml"/><Relationship Id="rId233" Type="http://schemas.openxmlformats.org/officeDocument/2006/relationships/table" Target="../tables/table232.xml"/><Relationship Id="rId254" Type="http://schemas.openxmlformats.org/officeDocument/2006/relationships/table" Target="../tables/table253.xml"/><Relationship Id="rId28" Type="http://schemas.openxmlformats.org/officeDocument/2006/relationships/table" Target="../tables/table27.xml"/><Relationship Id="rId49" Type="http://schemas.openxmlformats.org/officeDocument/2006/relationships/table" Target="../tables/table48.xml"/><Relationship Id="rId114" Type="http://schemas.openxmlformats.org/officeDocument/2006/relationships/table" Target="../tables/table113.xml"/><Relationship Id="rId275" Type="http://schemas.openxmlformats.org/officeDocument/2006/relationships/table" Target="../tables/table274.xml"/><Relationship Id="rId296" Type="http://schemas.openxmlformats.org/officeDocument/2006/relationships/table" Target="../tables/table295.xml"/><Relationship Id="rId300" Type="http://schemas.openxmlformats.org/officeDocument/2006/relationships/table" Target="../tables/table299.xml"/><Relationship Id="rId60" Type="http://schemas.openxmlformats.org/officeDocument/2006/relationships/table" Target="../tables/table59.xml"/><Relationship Id="rId81" Type="http://schemas.openxmlformats.org/officeDocument/2006/relationships/table" Target="../tables/table80.xml"/><Relationship Id="rId135" Type="http://schemas.openxmlformats.org/officeDocument/2006/relationships/table" Target="../tables/table134.xml"/><Relationship Id="rId156" Type="http://schemas.openxmlformats.org/officeDocument/2006/relationships/table" Target="../tables/table155.xml"/><Relationship Id="rId177" Type="http://schemas.openxmlformats.org/officeDocument/2006/relationships/table" Target="../tables/table176.xml"/><Relationship Id="rId198" Type="http://schemas.openxmlformats.org/officeDocument/2006/relationships/table" Target="../tables/table197.xml"/><Relationship Id="rId321" Type="http://schemas.openxmlformats.org/officeDocument/2006/relationships/table" Target="../tables/table320.xml"/><Relationship Id="rId342" Type="http://schemas.openxmlformats.org/officeDocument/2006/relationships/table" Target="../tables/table341.xml"/><Relationship Id="rId363" Type="http://schemas.openxmlformats.org/officeDocument/2006/relationships/table" Target="../tables/table362.xml"/><Relationship Id="rId384" Type="http://schemas.openxmlformats.org/officeDocument/2006/relationships/table" Target="../tables/table383.xml"/><Relationship Id="rId202" Type="http://schemas.openxmlformats.org/officeDocument/2006/relationships/table" Target="../tables/table201.xml"/><Relationship Id="rId223" Type="http://schemas.openxmlformats.org/officeDocument/2006/relationships/table" Target="../tables/table222.xml"/><Relationship Id="rId244" Type="http://schemas.openxmlformats.org/officeDocument/2006/relationships/table" Target="../tables/table243.xml"/><Relationship Id="rId18" Type="http://schemas.openxmlformats.org/officeDocument/2006/relationships/table" Target="../tables/table17.xml"/><Relationship Id="rId39" Type="http://schemas.openxmlformats.org/officeDocument/2006/relationships/table" Target="../tables/table38.xml"/><Relationship Id="rId265" Type="http://schemas.openxmlformats.org/officeDocument/2006/relationships/table" Target="../tables/table264.xml"/><Relationship Id="rId286" Type="http://schemas.openxmlformats.org/officeDocument/2006/relationships/table" Target="../tables/table285.xml"/><Relationship Id="rId50" Type="http://schemas.openxmlformats.org/officeDocument/2006/relationships/table" Target="../tables/table49.xml"/><Relationship Id="rId104" Type="http://schemas.openxmlformats.org/officeDocument/2006/relationships/table" Target="../tables/table103.xml"/><Relationship Id="rId125" Type="http://schemas.openxmlformats.org/officeDocument/2006/relationships/table" Target="../tables/table124.xml"/><Relationship Id="rId146" Type="http://schemas.openxmlformats.org/officeDocument/2006/relationships/table" Target="../tables/table145.xml"/><Relationship Id="rId167" Type="http://schemas.openxmlformats.org/officeDocument/2006/relationships/table" Target="../tables/table166.xml"/><Relationship Id="rId188" Type="http://schemas.openxmlformats.org/officeDocument/2006/relationships/table" Target="../tables/table187.xml"/><Relationship Id="rId311" Type="http://schemas.openxmlformats.org/officeDocument/2006/relationships/table" Target="../tables/table310.xml"/><Relationship Id="rId332" Type="http://schemas.openxmlformats.org/officeDocument/2006/relationships/table" Target="../tables/table331.xml"/><Relationship Id="rId353" Type="http://schemas.openxmlformats.org/officeDocument/2006/relationships/table" Target="../tables/table352.xml"/><Relationship Id="rId374" Type="http://schemas.openxmlformats.org/officeDocument/2006/relationships/table" Target="../tables/table373.xml"/><Relationship Id="rId395" Type="http://schemas.openxmlformats.org/officeDocument/2006/relationships/table" Target="../tables/table394.xml"/><Relationship Id="rId71" Type="http://schemas.openxmlformats.org/officeDocument/2006/relationships/table" Target="../tables/table70.xml"/><Relationship Id="rId92" Type="http://schemas.openxmlformats.org/officeDocument/2006/relationships/table" Target="../tables/table91.xml"/><Relationship Id="rId213" Type="http://schemas.openxmlformats.org/officeDocument/2006/relationships/table" Target="../tables/table212.xml"/><Relationship Id="rId234" Type="http://schemas.openxmlformats.org/officeDocument/2006/relationships/table" Target="../tables/table233.xml"/><Relationship Id="rId2" Type="http://schemas.openxmlformats.org/officeDocument/2006/relationships/table" Target="../tables/table1.xml"/><Relationship Id="rId29" Type="http://schemas.openxmlformats.org/officeDocument/2006/relationships/table" Target="../tables/table28.xml"/><Relationship Id="rId255" Type="http://schemas.openxmlformats.org/officeDocument/2006/relationships/table" Target="../tables/table254.xml"/><Relationship Id="rId276" Type="http://schemas.openxmlformats.org/officeDocument/2006/relationships/table" Target="../tables/table275.xml"/><Relationship Id="rId297" Type="http://schemas.openxmlformats.org/officeDocument/2006/relationships/table" Target="../tables/table296.xml"/><Relationship Id="rId40" Type="http://schemas.openxmlformats.org/officeDocument/2006/relationships/table" Target="../tables/table39.xml"/><Relationship Id="rId115" Type="http://schemas.openxmlformats.org/officeDocument/2006/relationships/table" Target="../tables/table114.xml"/><Relationship Id="rId136" Type="http://schemas.openxmlformats.org/officeDocument/2006/relationships/table" Target="../tables/table135.xml"/><Relationship Id="rId157" Type="http://schemas.openxmlformats.org/officeDocument/2006/relationships/table" Target="../tables/table156.xml"/><Relationship Id="rId178" Type="http://schemas.openxmlformats.org/officeDocument/2006/relationships/table" Target="../tables/table177.xml"/><Relationship Id="rId301" Type="http://schemas.openxmlformats.org/officeDocument/2006/relationships/table" Target="../tables/table300.xml"/><Relationship Id="rId322" Type="http://schemas.openxmlformats.org/officeDocument/2006/relationships/table" Target="../tables/table321.xml"/><Relationship Id="rId343" Type="http://schemas.openxmlformats.org/officeDocument/2006/relationships/table" Target="../tables/table342.xml"/><Relationship Id="rId364" Type="http://schemas.openxmlformats.org/officeDocument/2006/relationships/table" Target="../tables/table363.xml"/><Relationship Id="rId61" Type="http://schemas.openxmlformats.org/officeDocument/2006/relationships/table" Target="../tables/table60.xml"/><Relationship Id="rId82" Type="http://schemas.openxmlformats.org/officeDocument/2006/relationships/table" Target="../tables/table81.xml"/><Relationship Id="rId199" Type="http://schemas.openxmlformats.org/officeDocument/2006/relationships/table" Target="../tables/table198.xml"/><Relationship Id="rId203" Type="http://schemas.openxmlformats.org/officeDocument/2006/relationships/table" Target="../tables/table202.xml"/><Relationship Id="rId385" Type="http://schemas.openxmlformats.org/officeDocument/2006/relationships/table" Target="../tables/table384.xml"/><Relationship Id="rId19" Type="http://schemas.openxmlformats.org/officeDocument/2006/relationships/table" Target="../tables/table18.xml"/><Relationship Id="rId224" Type="http://schemas.openxmlformats.org/officeDocument/2006/relationships/table" Target="../tables/table223.xml"/><Relationship Id="rId245" Type="http://schemas.openxmlformats.org/officeDocument/2006/relationships/table" Target="../tables/table244.xml"/><Relationship Id="rId266" Type="http://schemas.openxmlformats.org/officeDocument/2006/relationships/table" Target="../tables/table265.xml"/><Relationship Id="rId287" Type="http://schemas.openxmlformats.org/officeDocument/2006/relationships/table" Target="../tables/table286.xml"/><Relationship Id="rId30" Type="http://schemas.openxmlformats.org/officeDocument/2006/relationships/table" Target="../tables/table29.xml"/><Relationship Id="rId105" Type="http://schemas.openxmlformats.org/officeDocument/2006/relationships/table" Target="../tables/table104.xml"/><Relationship Id="rId126" Type="http://schemas.openxmlformats.org/officeDocument/2006/relationships/table" Target="../tables/table125.xml"/><Relationship Id="rId147" Type="http://schemas.openxmlformats.org/officeDocument/2006/relationships/table" Target="../tables/table146.xml"/><Relationship Id="rId168" Type="http://schemas.openxmlformats.org/officeDocument/2006/relationships/table" Target="../tables/table167.xml"/><Relationship Id="rId312" Type="http://schemas.openxmlformats.org/officeDocument/2006/relationships/table" Target="../tables/table311.xml"/><Relationship Id="rId333" Type="http://schemas.openxmlformats.org/officeDocument/2006/relationships/table" Target="../tables/table332.xml"/><Relationship Id="rId354" Type="http://schemas.openxmlformats.org/officeDocument/2006/relationships/table" Target="../tables/table353.xml"/><Relationship Id="rId51" Type="http://schemas.openxmlformats.org/officeDocument/2006/relationships/table" Target="../tables/table50.xml"/><Relationship Id="rId72" Type="http://schemas.openxmlformats.org/officeDocument/2006/relationships/table" Target="../tables/table71.xml"/><Relationship Id="rId93" Type="http://schemas.openxmlformats.org/officeDocument/2006/relationships/table" Target="../tables/table92.xml"/><Relationship Id="rId189" Type="http://schemas.openxmlformats.org/officeDocument/2006/relationships/table" Target="../tables/table188.xml"/><Relationship Id="rId375" Type="http://schemas.openxmlformats.org/officeDocument/2006/relationships/table" Target="../tables/table374.xml"/><Relationship Id="rId396" Type="http://schemas.openxmlformats.org/officeDocument/2006/relationships/table" Target="../tables/table395.xml"/><Relationship Id="rId3" Type="http://schemas.openxmlformats.org/officeDocument/2006/relationships/table" Target="../tables/table2.xml"/><Relationship Id="rId214" Type="http://schemas.openxmlformats.org/officeDocument/2006/relationships/table" Target="../tables/table213.xml"/><Relationship Id="rId235" Type="http://schemas.openxmlformats.org/officeDocument/2006/relationships/table" Target="../tables/table234.xml"/><Relationship Id="rId256" Type="http://schemas.openxmlformats.org/officeDocument/2006/relationships/table" Target="../tables/table255.xml"/><Relationship Id="rId277" Type="http://schemas.openxmlformats.org/officeDocument/2006/relationships/table" Target="../tables/table276.xml"/><Relationship Id="rId298" Type="http://schemas.openxmlformats.org/officeDocument/2006/relationships/table" Target="../tables/table297.xml"/><Relationship Id="rId400" Type="http://schemas.openxmlformats.org/officeDocument/2006/relationships/table" Target="../tables/table399.xml"/><Relationship Id="rId116" Type="http://schemas.openxmlformats.org/officeDocument/2006/relationships/table" Target="../tables/table115.xml"/><Relationship Id="rId137" Type="http://schemas.openxmlformats.org/officeDocument/2006/relationships/table" Target="../tables/table136.xml"/><Relationship Id="rId158" Type="http://schemas.openxmlformats.org/officeDocument/2006/relationships/table" Target="../tables/table157.xml"/><Relationship Id="rId302" Type="http://schemas.openxmlformats.org/officeDocument/2006/relationships/table" Target="../tables/table301.xml"/><Relationship Id="rId323" Type="http://schemas.openxmlformats.org/officeDocument/2006/relationships/table" Target="../tables/table322.xml"/><Relationship Id="rId344" Type="http://schemas.openxmlformats.org/officeDocument/2006/relationships/table" Target="../tables/table343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Relationship Id="rId62" Type="http://schemas.openxmlformats.org/officeDocument/2006/relationships/table" Target="../tables/table61.xml"/><Relationship Id="rId83" Type="http://schemas.openxmlformats.org/officeDocument/2006/relationships/table" Target="../tables/table82.xml"/><Relationship Id="rId179" Type="http://schemas.openxmlformats.org/officeDocument/2006/relationships/table" Target="../tables/table178.xml"/><Relationship Id="rId365" Type="http://schemas.openxmlformats.org/officeDocument/2006/relationships/table" Target="../tables/table364.xml"/><Relationship Id="rId386" Type="http://schemas.openxmlformats.org/officeDocument/2006/relationships/table" Target="../tables/table385.xml"/><Relationship Id="rId190" Type="http://schemas.openxmlformats.org/officeDocument/2006/relationships/table" Target="../tables/table189.xml"/><Relationship Id="rId204" Type="http://schemas.openxmlformats.org/officeDocument/2006/relationships/table" Target="../tables/table203.xml"/><Relationship Id="rId225" Type="http://schemas.openxmlformats.org/officeDocument/2006/relationships/table" Target="../tables/table224.xml"/><Relationship Id="rId246" Type="http://schemas.openxmlformats.org/officeDocument/2006/relationships/table" Target="../tables/table245.xml"/><Relationship Id="rId267" Type="http://schemas.openxmlformats.org/officeDocument/2006/relationships/table" Target="../tables/table266.xml"/><Relationship Id="rId288" Type="http://schemas.openxmlformats.org/officeDocument/2006/relationships/table" Target="../tables/table287.xml"/><Relationship Id="rId106" Type="http://schemas.openxmlformats.org/officeDocument/2006/relationships/table" Target="../tables/table105.xml"/><Relationship Id="rId127" Type="http://schemas.openxmlformats.org/officeDocument/2006/relationships/table" Target="../tables/table126.xml"/><Relationship Id="rId313" Type="http://schemas.openxmlformats.org/officeDocument/2006/relationships/table" Target="../tables/table312.xml"/><Relationship Id="rId10" Type="http://schemas.openxmlformats.org/officeDocument/2006/relationships/table" Target="../tables/table9.xml"/><Relationship Id="rId31" Type="http://schemas.openxmlformats.org/officeDocument/2006/relationships/table" Target="../tables/table30.xml"/><Relationship Id="rId52" Type="http://schemas.openxmlformats.org/officeDocument/2006/relationships/table" Target="../tables/table51.xml"/><Relationship Id="rId73" Type="http://schemas.openxmlformats.org/officeDocument/2006/relationships/table" Target="../tables/table72.xml"/><Relationship Id="rId94" Type="http://schemas.openxmlformats.org/officeDocument/2006/relationships/table" Target="../tables/table93.xml"/><Relationship Id="rId148" Type="http://schemas.openxmlformats.org/officeDocument/2006/relationships/table" Target="../tables/table147.xml"/><Relationship Id="rId169" Type="http://schemas.openxmlformats.org/officeDocument/2006/relationships/table" Target="../tables/table168.xml"/><Relationship Id="rId334" Type="http://schemas.openxmlformats.org/officeDocument/2006/relationships/table" Target="../tables/table333.xml"/><Relationship Id="rId355" Type="http://schemas.openxmlformats.org/officeDocument/2006/relationships/table" Target="../tables/table354.xml"/><Relationship Id="rId376" Type="http://schemas.openxmlformats.org/officeDocument/2006/relationships/table" Target="../tables/table375.xml"/><Relationship Id="rId397" Type="http://schemas.openxmlformats.org/officeDocument/2006/relationships/table" Target="../tables/table396.xml"/><Relationship Id="rId4" Type="http://schemas.openxmlformats.org/officeDocument/2006/relationships/table" Target="../tables/table3.xml"/><Relationship Id="rId180" Type="http://schemas.openxmlformats.org/officeDocument/2006/relationships/table" Target="../tables/table179.xml"/><Relationship Id="rId215" Type="http://schemas.openxmlformats.org/officeDocument/2006/relationships/table" Target="../tables/table214.xml"/><Relationship Id="rId236" Type="http://schemas.openxmlformats.org/officeDocument/2006/relationships/table" Target="../tables/table235.xml"/><Relationship Id="rId257" Type="http://schemas.openxmlformats.org/officeDocument/2006/relationships/table" Target="../tables/table256.xml"/><Relationship Id="rId278" Type="http://schemas.openxmlformats.org/officeDocument/2006/relationships/table" Target="../tables/table277.xml"/><Relationship Id="rId401" Type="http://schemas.openxmlformats.org/officeDocument/2006/relationships/table" Target="../tables/table400.xml"/><Relationship Id="rId303" Type="http://schemas.openxmlformats.org/officeDocument/2006/relationships/table" Target="../tables/table302.xml"/><Relationship Id="rId42" Type="http://schemas.openxmlformats.org/officeDocument/2006/relationships/table" Target="../tables/table41.xml"/><Relationship Id="rId84" Type="http://schemas.openxmlformats.org/officeDocument/2006/relationships/table" Target="../tables/table83.xml"/><Relationship Id="rId138" Type="http://schemas.openxmlformats.org/officeDocument/2006/relationships/table" Target="../tables/table137.xml"/><Relationship Id="rId345" Type="http://schemas.openxmlformats.org/officeDocument/2006/relationships/table" Target="../tables/table344.xml"/><Relationship Id="rId387" Type="http://schemas.openxmlformats.org/officeDocument/2006/relationships/table" Target="../tables/table386.xml"/><Relationship Id="rId191" Type="http://schemas.openxmlformats.org/officeDocument/2006/relationships/table" Target="../tables/table190.xml"/><Relationship Id="rId205" Type="http://schemas.openxmlformats.org/officeDocument/2006/relationships/table" Target="../tables/table204.xml"/><Relationship Id="rId247" Type="http://schemas.openxmlformats.org/officeDocument/2006/relationships/table" Target="../tables/table246.xml"/><Relationship Id="rId107" Type="http://schemas.openxmlformats.org/officeDocument/2006/relationships/table" Target="../tables/table106.xml"/><Relationship Id="rId289" Type="http://schemas.openxmlformats.org/officeDocument/2006/relationships/table" Target="../tables/table288.xml"/><Relationship Id="rId11" Type="http://schemas.openxmlformats.org/officeDocument/2006/relationships/table" Target="../tables/table10.xml"/><Relationship Id="rId53" Type="http://schemas.openxmlformats.org/officeDocument/2006/relationships/table" Target="../tables/table52.xml"/><Relationship Id="rId149" Type="http://schemas.openxmlformats.org/officeDocument/2006/relationships/table" Target="../tables/table148.xml"/><Relationship Id="rId314" Type="http://schemas.openxmlformats.org/officeDocument/2006/relationships/table" Target="../tables/table313.xml"/><Relationship Id="rId356" Type="http://schemas.openxmlformats.org/officeDocument/2006/relationships/table" Target="../tables/table355.xml"/><Relationship Id="rId398" Type="http://schemas.openxmlformats.org/officeDocument/2006/relationships/table" Target="../tables/table397.xml"/><Relationship Id="rId95" Type="http://schemas.openxmlformats.org/officeDocument/2006/relationships/table" Target="../tables/table94.xml"/><Relationship Id="rId160" Type="http://schemas.openxmlformats.org/officeDocument/2006/relationships/table" Target="../tables/table159.xml"/><Relationship Id="rId216" Type="http://schemas.openxmlformats.org/officeDocument/2006/relationships/table" Target="../tables/table215.xml"/><Relationship Id="rId258" Type="http://schemas.openxmlformats.org/officeDocument/2006/relationships/table" Target="../tables/table257.xml"/><Relationship Id="rId22" Type="http://schemas.openxmlformats.org/officeDocument/2006/relationships/table" Target="../tables/table21.xml"/><Relationship Id="rId64" Type="http://schemas.openxmlformats.org/officeDocument/2006/relationships/table" Target="../tables/table63.xml"/><Relationship Id="rId118" Type="http://schemas.openxmlformats.org/officeDocument/2006/relationships/table" Target="../tables/table117.xml"/><Relationship Id="rId325" Type="http://schemas.openxmlformats.org/officeDocument/2006/relationships/table" Target="../tables/table324.xml"/><Relationship Id="rId367" Type="http://schemas.openxmlformats.org/officeDocument/2006/relationships/table" Target="../tables/table366.xml"/><Relationship Id="rId171" Type="http://schemas.openxmlformats.org/officeDocument/2006/relationships/table" Target="../tables/table170.xml"/><Relationship Id="rId227" Type="http://schemas.openxmlformats.org/officeDocument/2006/relationships/table" Target="../tables/table226.xml"/><Relationship Id="rId269" Type="http://schemas.openxmlformats.org/officeDocument/2006/relationships/table" Target="../tables/table268.xml"/><Relationship Id="rId33" Type="http://schemas.openxmlformats.org/officeDocument/2006/relationships/table" Target="../tables/table32.xml"/><Relationship Id="rId129" Type="http://schemas.openxmlformats.org/officeDocument/2006/relationships/table" Target="../tables/table128.xml"/><Relationship Id="rId280" Type="http://schemas.openxmlformats.org/officeDocument/2006/relationships/table" Target="../tables/table279.xml"/><Relationship Id="rId336" Type="http://schemas.openxmlformats.org/officeDocument/2006/relationships/table" Target="../tables/table335.xml"/><Relationship Id="rId75" Type="http://schemas.openxmlformats.org/officeDocument/2006/relationships/table" Target="../tables/table74.xml"/><Relationship Id="rId140" Type="http://schemas.openxmlformats.org/officeDocument/2006/relationships/table" Target="../tables/table139.xml"/><Relationship Id="rId182" Type="http://schemas.openxmlformats.org/officeDocument/2006/relationships/table" Target="../tables/table181.xml"/><Relationship Id="rId378" Type="http://schemas.openxmlformats.org/officeDocument/2006/relationships/table" Target="../tables/table377.xml"/><Relationship Id="rId6" Type="http://schemas.openxmlformats.org/officeDocument/2006/relationships/table" Target="../tables/table5.xml"/><Relationship Id="rId238" Type="http://schemas.openxmlformats.org/officeDocument/2006/relationships/table" Target="../tables/table237.xml"/><Relationship Id="rId291" Type="http://schemas.openxmlformats.org/officeDocument/2006/relationships/table" Target="../tables/table290.xml"/><Relationship Id="rId305" Type="http://schemas.openxmlformats.org/officeDocument/2006/relationships/table" Target="../tables/table304.xml"/><Relationship Id="rId347" Type="http://schemas.openxmlformats.org/officeDocument/2006/relationships/table" Target="../tables/table346.xml"/><Relationship Id="rId44" Type="http://schemas.openxmlformats.org/officeDocument/2006/relationships/table" Target="../tables/table43.xml"/><Relationship Id="rId86" Type="http://schemas.openxmlformats.org/officeDocument/2006/relationships/table" Target="../tables/table85.xml"/><Relationship Id="rId151" Type="http://schemas.openxmlformats.org/officeDocument/2006/relationships/table" Target="../tables/table150.xml"/><Relationship Id="rId389" Type="http://schemas.openxmlformats.org/officeDocument/2006/relationships/table" Target="../tables/table388.xml"/><Relationship Id="rId193" Type="http://schemas.openxmlformats.org/officeDocument/2006/relationships/table" Target="../tables/table192.xml"/><Relationship Id="rId207" Type="http://schemas.openxmlformats.org/officeDocument/2006/relationships/table" Target="../tables/table206.xml"/><Relationship Id="rId249" Type="http://schemas.openxmlformats.org/officeDocument/2006/relationships/table" Target="../tables/table248.xml"/><Relationship Id="rId13" Type="http://schemas.openxmlformats.org/officeDocument/2006/relationships/table" Target="../tables/table12.xml"/><Relationship Id="rId109" Type="http://schemas.openxmlformats.org/officeDocument/2006/relationships/table" Target="../tables/table108.xml"/><Relationship Id="rId260" Type="http://schemas.openxmlformats.org/officeDocument/2006/relationships/table" Target="../tables/table259.xml"/><Relationship Id="rId316" Type="http://schemas.openxmlformats.org/officeDocument/2006/relationships/table" Target="../tables/table315.xml"/><Relationship Id="rId55" Type="http://schemas.openxmlformats.org/officeDocument/2006/relationships/table" Target="../tables/table54.xml"/><Relationship Id="rId97" Type="http://schemas.openxmlformats.org/officeDocument/2006/relationships/table" Target="../tables/table96.xml"/><Relationship Id="rId120" Type="http://schemas.openxmlformats.org/officeDocument/2006/relationships/table" Target="../tables/table119.xml"/><Relationship Id="rId358" Type="http://schemas.openxmlformats.org/officeDocument/2006/relationships/table" Target="../tables/table357.xml"/><Relationship Id="rId162" Type="http://schemas.openxmlformats.org/officeDocument/2006/relationships/table" Target="../tables/table161.xml"/><Relationship Id="rId218" Type="http://schemas.openxmlformats.org/officeDocument/2006/relationships/table" Target="../tables/table217.xml"/><Relationship Id="rId271" Type="http://schemas.openxmlformats.org/officeDocument/2006/relationships/table" Target="../tables/table270.xml"/><Relationship Id="rId24" Type="http://schemas.openxmlformats.org/officeDocument/2006/relationships/table" Target="../tables/table23.xml"/><Relationship Id="rId66" Type="http://schemas.openxmlformats.org/officeDocument/2006/relationships/table" Target="../tables/table65.xml"/><Relationship Id="rId131" Type="http://schemas.openxmlformats.org/officeDocument/2006/relationships/table" Target="../tables/table130.xml"/><Relationship Id="rId327" Type="http://schemas.openxmlformats.org/officeDocument/2006/relationships/table" Target="../tables/table326.xml"/><Relationship Id="rId369" Type="http://schemas.openxmlformats.org/officeDocument/2006/relationships/table" Target="../tables/table368.xml"/><Relationship Id="rId173" Type="http://schemas.openxmlformats.org/officeDocument/2006/relationships/table" Target="../tables/table172.xml"/><Relationship Id="rId229" Type="http://schemas.openxmlformats.org/officeDocument/2006/relationships/table" Target="../tables/table228.xml"/><Relationship Id="rId380" Type="http://schemas.openxmlformats.org/officeDocument/2006/relationships/table" Target="../tables/table379.xml"/><Relationship Id="rId240" Type="http://schemas.openxmlformats.org/officeDocument/2006/relationships/table" Target="../tables/table239.xml"/><Relationship Id="rId35" Type="http://schemas.openxmlformats.org/officeDocument/2006/relationships/table" Target="../tables/table34.xml"/><Relationship Id="rId77" Type="http://schemas.openxmlformats.org/officeDocument/2006/relationships/table" Target="../tables/table76.xml"/><Relationship Id="rId100" Type="http://schemas.openxmlformats.org/officeDocument/2006/relationships/table" Target="../tables/table99.xml"/><Relationship Id="rId282" Type="http://schemas.openxmlformats.org/officeDocument/2006/relationships/table" Target="../tables/table281.xml"/><Relationship Id="rId338" Type="http://schemas.openxmlformats.org/officeDocument/2006/relationships/table" Target="../tables/table337.xml"/><Relationship Id="rId8" Type="http://schemas.openxmlformats.org/officeDocument/2006/relationships/table" Target="../tables/table7.xml"/><Relationship Id="rId142" Type="http://schemas.openxmlformats.org/officeDocument/2006/relationships/table" Target="../tables/table141.xml"/><Relationship Id="rId184" Type="http://schemas.openxmlformats.org/officeDocument/2006/relationships/table" Target="../tables/table183.xml"/><Relationship Id="rId391" Type="http://schemas.openxmlformats.org/officeDocument/2006/relationships/table" Target="../tables/table390.xml"/><Relationship Id="rId251" Type="http://schemas.openxmlformats.org/officeDocument/2006/relationships/table" Target="../tables/table250.xml"/><Relationship Id="rId46" Type="http://schemas.openxmlformats.org/officeDocument/2006/relationships/table" Target="../tables/table45.xml"/><Relationship Id="rId293" Type="http://schemas.openxmlformats.org/officeDocument/2006/relationships/table" Target="../tables/table292.xml"/><Relationship Id="rId307" Type="http://schemas.openxmlformats.org/officeDocument/2006/relationships/table" Target="../tables/table306.xml"/><Relationship Id="rId349" Type="http://schemas.openxmlformats.org/officeDocument/2006/relationships/table" Target="../tables/table348.xml"/><Relationship Id="rId88" Type="http://schemas.openxmlformats.org/officeDocument/2006/relationships/table" Target="../tables/table87.xml"/><Relationship Id="rId111" Type="http://schemas.openxmlformats.org/officeDocument/2006/relationships/table" Target="../tables/table110.xml"/><Relationship Id="rId153" Type="http://schemas.openxmlformats.org/officeDocument/2006/relationships/table" Target="../tables/table152.xml"/><Relationship Id="rId195" Type="http://schemas.openxmlformats.org/officeDocument/2006/relationships/table" Target="../tables/table194.xml"/><Relationship Id="rId209" Type="http://schemas.openxmlformats.org/officeDocument/2006/relationships/table" Target="../tables/table208.xml"/><Relationship Id="rId360" Type="http://schemas.openxmlformats.org/officeDocument/2006/relationships/table" Target="../tables/table359.xml"/><Relationship Id="rId220" Type="http://schemas.openxmlformats.org/officeDocument/2006/relationships/table" Target="../tables/table219.xml"/><Relationship Id="rId15" Type="http://schemas.openxmlformats.org/officeDocument/2006/relationships/table" Target="../tables/table14.xml"/><Relationship Id="rId57" Type="http://schemas.openxmlformats.org/officeDocument/2006/relationships/table" Target="../tables/table56.xml"/><Relationship Id="rId262" Type="http://schemas.openxmlformats.org/officeDocument/2006/relationships/table" Target="../tables/table261.xml"/><Relationship Id="rId318" Type="http://schemas.openxmlformats.org/officeDocument/2006/relationships/table" Target="../tables/table317.xml"/><Relationship Id="rId99" Type="http://schemas.openxmlformats.org/officeDocument/2006/relationships/table" Target="../tables/table98.xml"/><Relationship Id="rId122" Type="http://schemas.openxmlformats.org/officeDocument/2006/relationships/table" Target="../tables/table121.xml"/><Relationship Id="rId164" Type="http://schemas.openxmlformats.org/officeDocument/2006/relationships/table" Target="../tables/table163.xml"/><Relationship Id="rId371" Type="http://schemas.openxmlformats.org/officeDocument/2006/relationships/table" Target="../tables/table370.xml"/><Relationship Id="rId26" Type="http://schemas.openxmlformats.org/officeDocument/2006/relationships/table" Target="../tables/table25.xml"/><Relationship Id="rId231" Type="http://schemas.openxmlformats.org/officeDocument/2006/relationships/table" Target="../tables/table230.xml"/><Relationship Id="rId273" Type="http://schemas.openxmlformats.org/officeDocument/2006/relationships/table" Target="../tables/table272.xml"/><Relationship Id="rId329" Type="http://schemas.openxmlformats.org/officeDocument/2006/relationships/table" Target="../tables/table328.xml"/><Relationship Id="rId68" Type="http://schemas.openxmlformats.org/officeDocument/2006/relationships/table" Target="../tables/table67.xml"/><Relationship Id="rId133" Type="http://schemas.openxmlformats.org/officeDocument/2006/relationships/table" Target="../tables/table132.xml"/><Relationship Id="rId175" Type="http://schemas.openxmlformats.org/officeDocument/2006/relationships/table" Target="../tables/table174.xml"/><Relationship Id="rId340" Type="http://schemas.openxmlformats.org/officeDocument/2006/relationships/table" Target="../tables/table339.xml"/><Relationship Id="rId200" Type="http://schemas.openxmlformats.org/officeDocument/2006/relationships/table" Target="../tables/table199.xml"/><Relationship Id="rId382" Type="http://schemas.openxmlformats.org/officeDocument/2006/relationships/table" Target="../tables/table381.xml"/><Relationship Id="rId242" Type="http://schemas.openxmlformats.org/officeDocument/2006/relationships/table" Target="../tables/table241.xml"/><Relationship Id="rId284" Type="http://schemas.openxmlformats.org/officeDocument/2006/relationships/table" Target="../tables/table283.xml"/><Relationship Id="rId37" Type="http://schemas.openxmlformats.org/officeDocument/2006/relationships/table" Target="../tables/table36.xml"/><Relationship Id="rId79" Type="http://schemas.openxmlformats.org/officeDocument/2006/relationships/table" Target="../tables/table78.xml"/><Relationship Id="rId102" Type="http://schemas.openxmlformats.org/officeDocument/2006/relationships/table" Target="../tables/table101.xml"/><Relationship Id="rId144" Type="http://schemas.openxmlformats.org/officeDocument/2006/relationships/table" Target="../tables/table1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043"/>
  <sheetViews>
    <sheetView rightToLeft="1" tabSelected="1" workbookViewId="0">
      <selection activeCell="D11" sqref="D11"/>
    </sheetView>
  </sheetViews>
  <sheetFormatPr defaultColWidth="12.5703125" defaultRowHeight="15.75" customHeight="1" x14ac:dyDescent="0.2"/>
  <cols>
    <col min="1" max="1" width="6.42578125" customWidth="1"/>
    <col min="2" max="2" width="18" customWidth="1"/>
    <col min="3" max="3" width="9.7109375" customWidth="1"/>
    <col min="4" max="4" width="8" customWidth="1"/>
    <col min="5" max="5" width="7.7109375" customWidth="1"/>
    <col min="6" max="6" width="9.28515625" customWidth="1"/>
    <col min="8" max="8" width="13.28515625" customWidth="1"/>
  </cols>
  <sheetData>
    <row r="1" spans="1:26" ht="26.25" x14ac:dyDescent="0.4">
      <c r="A1" s="28" t="s">
        <v>0</v>
      </c>
      <c r="B1" s="26"/>
      <c r="C1" s="26"/>
      <c r="D1" s="26"/>
      <c r="E1" s="26"/>
      <c r="F1" s="26"/>
      <c r="G1" s="26"/>
      <c r="H1" s="27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x14ac:dyDescent="0.4">
      <c r="A2" s="28" t="s">
        <v>57</v>
      </c>
      <c r="B2" s="26"/>
      <c r="C2" s="26"/>
      <c r="D2" s="26"/>
      <c r="E2" s="26"/>
      <c r="F2" s="26"/>
      <c r="G2" s="26"/>
      <c r="H2" s="27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3" t="s">
        <v>8</v>
      </c>
      <c r="H3" s="5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6.25" x14ac:dyDescent="0.4">
      <c r="A4" s="6">
        <v>1</v>
      </c>
      <c r="B4" s="8" t="s">
        <v>58</v>
      </c>
      <c r="C4" s="12" t="s">
        <v>59</v>
      </c>
      <c r="D4" s="8" t="s">
        <v>11</v>
      </c>
      <c r="E4" s="8">
        <v>3</v>
      </c>
      <c r="F4" s="9">
        <v>293000</v>
      </c>
      <c r="G4" s="10">
        <f t="shared" ref="G4:G6" si="0">IFERROR(E4*F4,0)</f>
        <v>879000</v>
      </c>
      <c r="H4" s="1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6.25" x14ac:dyDescent="0.4">
      <c r="A5" s="6">
        <v>2</v>
      </c>
      <c r="B5" s="13" t="s">
        <v>60</v>
      </c>
      <c r="C5" s="19" t="s">
        <v>61</v>
      </c>
      <c r="D5" s="13" t="s">
        <v>13</v>
      </c>
      <c r="E5" s="13">
        <v>0.43</v>
      </c>
      <c r="F5" s="14">
        <v>435000</v>
      </c>
      <c r="G5" s="10">
        <f t="shared" si="0"/>
        <v>187050</v>
      </c>
      <c r="H5" s="1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6.25" x14ac:dyDescent="0.4">
      <c r="A6" s="6">
        <v>3</v>
      </c>
      <c r="B6" s="15" t="s">
        <v>14</v>
      </c>
      <c r="C6" s="11"/>
      <c r="D6" s="11"/>
      <c r="E6" s="11"/>
      <c r="F6" s="11"/>
      <c r="G6" s="16">
        <f t="shared" si="0"/>
        <v>0</v>
      </c>
      <c r="H6" s="1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6.25" x14ac:dyDescent="0.4">
      <c r="A7" s="29" t="s">
        <v>15</v>
      </c>
      <c r="B7" s="26"/>
      <c r="C7" s="26"/>
      <c r="D7" s="26"/>
      <c r="E7" s="26"/>
      <c r="F7" s="26"/>
      <c r="G7" s="27"/>
      <c r="H7" s="17">
        <f>SUM(G4:G6)</f>
        <v>1066050</v>
      </c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6.25" x14ac:dyDescent="0.4">
      <c r="A8" s="29" t="s">
        <v>16</v>
      </c>
      <c r="B8" s="26"/>
      <c r="C8" s="26"/>
      <c r="D8" s="26"/>
      <c r="E8" s="26"/>
      <c r="F8" s="26"/>
      <c r="G8" s="27"/>
      <c r="H8" s="17">
        <f>MAX(0,H7-648000)</f>
        <v>418050</v>
      </c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6.25" x14ac:dyDescent="0.4">
      <c r="A9" s="25" t="s">
        <v>17</v>
      </c>
      <c r="B9" s="26"/>
      <c r="C9" s="26"/>
      <c r="D9" s="26"/>
      <c r="E9" s="26"/>
      <c r="F9" s="26"/>
      <c r="G9" s="27"/>
      <c r="H9" s="18">
        <v>649000</v>
      </c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6.25" x14ac:dyDescent="0.4">
      <c r="A10" s="28" t="s">
        <v>18</v>
      </c>
      <c r="B10" s="26"/>
      <c r="C10" s="26"/>
      <c r="D10" s="26"/>
      <c r="E10" s="26"/>
      <c r="F10" s="26"/>
      <c r="G10" s="26"/>
      <c r="H10" s="27"/>
      <c r="I10" s="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4" spans="1:26" ht="15.75" customHeight="1" x14ac:dyDescent="0.4">
      <c r="A14" s="28" t="s">
        <v>0</v>
      </c>
      <c r="B14" s="30"/>
      <c r="C14" s="30"/>
      <c r="D14" s="30"/>
      <c r="E14" s="30"/>
      <c r="F14" s="30"/>
      <c r="G14" s="30"/>
      <c r="H14" s="31"/>
    </row>
    <row r="15" spans="1:26" ht="26.25" x14ac:dyDescent="0.4">
      <c r="A15" s="28" t="s">
        <v>1</v>
      </c>
      <c r="B15" s="30"/>
      <c r="C15" s="30"/>
      <c r="D15" s="30"/>
      <c r="E15" s="30"/>
      <c r="F15" s="30"/>
      <c r="G15" s="30"/>
      <c r="H15" s="31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x14ac:dyDescent="0.3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4" t="s">
        <v>7</v>
      </c>
      <c r="G16" s="3" t="s">
        <v>8</v>
      </c>
      <c r="H16" s="5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6.25" x14ac:dyDescent="0.4">
      <c r="A17" s="6">
        <v>1</v>
      </c>
      <c r="B17" s="7" t="s">
        <v>9</v>
      </c>
      <c r="C17" s="7" t="s">
        <v>10</v>
      </c>
      <c r="D17" s="8" t="s">
        <v>11</v>
      </c>
      <c r="E17" s="8">
        <v>2.4</v>
      </c>
      <c r="F17" s="9">
        <v>293000</v>
      </c>
      <c r="G17" s="10">
        <f t="shared" ref="G17:G19" si="1">IFERROR(E17*F17,0)</f>
        <v>703200</v>
      </c>
      <c r="H17" s="11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6.25" x14ac:dyDescent="0.4">
      <c r="A18" s="6">
        <v>2</v>
      </c>
      <c r="B18" s="8" t="s">
        <v>12</v>
      </c>
      <c r="C18" s="12" t="s">
        <v>10</v>
      </c>
      <c r="D18" s="13" t="s">
        <v>13</v>
      </c>
      <c r="E18" s="13">
        <v>0.97</v>
      </c>
      <c r="F18" s="14">
        <v>435000</v>
      </c>
      <c r="G18" s="10">
        <f t="shared" si="1"/>
        <v>421950</v>
      </c>
      <c r="H18" s="11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6.25" x14ac:dyDescent="0.4">
      <c r="A19" s="6">
        <v>3</v>
      </c>
      <c r="B19" s="15" t="s">
        <v>14</v>
      </c>
      <c r="C19" s="11"/>
      <c r="D19" s="11"/>
      <c r="E19" s="11"/>
      <c r="F19" s="11"/>
      <c r="G19" s="16">
        <f t="shared" si="1"/>
        <v>0</v>
      </c>
      <c r="H19" s="11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6.25" x14ac:dyDescent="0.4">
      <c r="A20" s="29" t="s">
        <v>15</v>
      </c>
      <c r="B20" s="34"/>
      <c r="C20" s="34"/>
      <c r="D20" s="34"/>
      <c r="E20" s="34"/>
      <c r="F20" s="34"/>
      <c r="G20" s="35"/>
      <c r="H20" s="17">
        <f>SUM(G17:G19)</f>
        <v>1125150</v>
      </c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6.25" x14ac:dyDescent="0.4">
      <c r="A21" s="29" t="s">
        <v>16</v>
      </c>
      <c r="B21" s="34"/>
      <c r="C21" s="34"/>
      <c r="D21" s="34"/>
      <c r="E21" s="34"/>
      <c r="F21" s="34"/>
      <c r="G21" s="35"/>
      <c r="H21" s="17">
        <f>MAX(0,H20-648000)</f>
        <v>477150</v>
      </c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6.25" x14ac:dyDescent="0.4">
      <c r="A22" s="25" t="s">
        <v>17</v>
      </c>
      <c r="B22" s="32"/>
      <c r="C22" s="32"/>
      <c r="D22" s="32"/>
      <c r="E22" s="32"/>
      <c r="F22" s="32"/>
      <c r="G22" s="33"/>
      <c r="H22" s="18">
        <v>649000</v>
      </c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6.25" x14ac:dyDescent="0.4">
      <c r="A23" s="28" t="s">
        <v>18</v>
      </c>
      <c r="B23" s="30"/>
      <c r="C23" s="30"/>
      <c r="D23" s="30"/>
      <c r="E23" s="30"/>
      <c r="F23" s="30"/>
      <c r="G23" s="30"/>
      <c r="H23" s="3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x14ac:dyDescent="0.25"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8" spans="1:26" ht="15.75" customHeight="1" x14ac:dyDescent="0.4">
      <c r="A28" s="28" t="s">
        <v>0</v>
      </c>
      <c r="B28" s="26"/>
      <c r="C28" s="26"/>
      <c r="D28" s="26"/>
      <c r="E28" s="26"/>
      <c r="F28" s="26"/>
      <c r="G28" s="26"/>
      <c r="H28" s="27"/>
    </row>
    <row r="29" spans="1:26" ht="26.25" x14ac:dyDescent="0.4">
      <c r="A29" s="28" t="s">
        <v>19</v>
      </c>
      <c r="B29" s="26"/>
      <c r="C29" s="26"/>
      <c r="D29" s="26"/>
      <c r="E29" s="26"/>
      <c r="F29" s="26"/>
      <c r="G29" s="26"/>
      <c r="H29" s="27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75" x14ac:dyDescent="0.3">
      <c r="A30" s="3" t="s">
        <v>2</v>
      </c>
      <c r="B30" s="3" t="s">
        <v>3</v>
      </c>
      <c r="C30" s="3" t="s">
        <v>4</v>
      </c>
      <c r="D30" s="3" t="s">
        <v>5</v>
      </c>
      <c r="E30" s="3" t="s">
        <v>6</v>
      </c>
      <c r="F30" s="4" t="s">
        <v>7</v>
      </c>
      <c r="G30" s="3" t="s">
        <v>8</v>
      </c>
      <c r="H30" s="5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6.25" x14ac:dyDescent="0.4">
      <c r="A31" s="6">
        <v>1</v>
      </c>
      <c r="B31" s="8" t="s">
        <v>20</v>
      </c>
      <c r="C31" s="12" t="s">
        <v>21</v>
      </c>
      <c r="D31" s="8" t="s">
        <v>11</v>
      </c>
      <c r="E31" s="8">
        <v>1.5</v>
      </c>
      <c r="F31" s="9">
        <v>293000</v>
      </c>
      <c r="G31" s="10">
        <f t="shared" ref="G31:G33" si="2">IFERROR(E31*F31,0)</f>
        <v>439500</v>
      </c>
      <c r="H31" s="1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6.25" x14ac:dyDescent="0.4">
      <c r="A32" s="6">
        <v>2</v>
      </c>
      <c r="B32" s="13" t="s">
        <v>22</v>
      </c>
      <c r="C32" s="19" t="s">
        <v>23</v>
      </c>
      <c r="D32" s="13" t="s">
        <v>13</v>
      </c>
      <c r="E32" s="13">
        <v>2</v>
      </c>
      <c r="F32" s="14">
        <v>435000</v>
      </c>
      <c r="G32" s="10">
        <f t="shared" si="2"/>
        <v>870000</v>
      </c>
      <c r="H32" s="1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6.25" x14ac:dyDescent="0.4">
      <c r="A33" s="6">
        <v>3</v>
      </c>
      <c r="B33" s="15" t="s">
        <v>14</v>
      </c>
      <c r="C33" s="11"/>
      <c r="D33" s="11"/>
      <c r="E33" s="11"/>
      <c r="F33" s="11"/>
      <c r="G33" s="16">
        <f t="shared" si="2"/>
        <v>0</v>
      </c>
      <c r="H33" s="1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6.25" x14ac:dyDescent="0.4">
      <c r="A34" s="29" t="s">
        <v>15</v>
      </c>
      <c r="B34" s="26"/>
      <c r="C34" s="26"/>
      <c r="D34" s="26"/>
      <c r="E34" s="26"/>
      <c r="F34" s="26"/>
      <c r="G34" s="27"/>
      <c r="H34" s="17">
        <f>SUM(G31:G33)</f>
        <v>1309500</v>
      </c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x14ac:dyDescent="0.4">
      <c r="A35" s="29" t="s">
        <v>16</v>
      </c>
      <c r="B35" s="26"/>
      <c r="C35" s="26"/>
      <c r="D35" s="26"/>
      <c r="E35" s="26"/>
      <c r="F35" s="26"/>
      <c r="G35" s="27"/>
      <c r="H35" s="17">
        <f>MAX(0,H34-648000)</f>
        <v>661500</v>
      </c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6.25" x14ac:dyDescent="0.4">
      <c r="A36" s="25" t="s">
        <v>17</v>
      </c>
      <c r="B36" s="26"/>
      <c r="C36" s="26"/>
      <c r="D36" s="26"/>
      <c r="E36" s="26"/>
      <c r="F36" s="26"/>
      <c r="G36" s="27"/>
      <c r="H36" s="18">
        <v>649000</v>
      </c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6.25" x14ac:dyDescent="0.4">
      <c r="A37" s="28" t="s">
        <v>18</v>
      </c>
      <c r="B37" s="26"/>
      <c r="C37" s="26"/>
      <c r="D37" s="26"/>
      <c r="E37" s="26"/>
      <c r="F37" s="26"/>
      <c r="G37" s="26"/>
      <c r="H37" s="27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25"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42" spans="1:26" ht="15.75" customHeight="1" x14ac:dyDescent="0.4">
      <c r="A42" s="28" t="s">
        <v>0</v>
      </c>
      <c r="B42" s="26"/>
      <c r="C42" s="26"/>
      <c r="D42" s="26"/>
      <c r="E42" s="26"/>
      <c r="F42" s="26"/>
      <c r="G42" s="26"/>
      <c r="H42" s="27"/>
    </row>
    <row r="43" spans="1:26" ht="26.25" x14ac:dyDescent="0.4">
      <c r="A43" s="28" t="s">
        <v>24</v>
      </c>
      <c r="B43" s="26"/>
      <c r="C43" s="26"/>
      <c r="D43" s="26"/>
      <c r="E43" s="26"/>
      <c r="F43" s="26"/>
      <c r="G43" s="26"/>
      <c r="H43" s="27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.75" x14ac:dyDescent="0.3">
      <c r="A44" s="3" t="s">
        <v>2</v>
      </c>
      <c r="B44" s="3" t="s">
        <v>3</v>
      </c>
      <c r="C44" s="3" t="s">
        <v>4</v>
      </c>
      <c r="D44" s="3" t="s">
        <v>5</v>
      </c>
      <c r="E44" s="3" t="s">
        <v>6</v>
      </c>
      <c r="F44" s="4" t="s">
        <v>7</v>
      </c>
      <c r="G44" s="3" t="s">
        <v>8</v>
      </c>
      <c r="H44" s="5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6.25" x14ac:dyDescent="0.4">
      <c r="A45" s="6">
        <v>1</v>
      </c>
      <c r="B45" s="8" t="s">
        <v>25</v>
      </c>
      <c r="C45" s="12" t="s">
        <v>26</v>
      </c>
      <c r="D45" s="8" t="s">
        <v>11</v>
      </c>
      <c r="E45" s="8">
        <v>2</v>
      </c>
      <c r="F45" s="9">
        <v>293000</v>
      </c>
      <c r="G45" s="10">
        <f t="shared" ref="G45:G47" si="3">IFERROR(E45*F45,0)</f>
        <v>586000</v>
      </c>
      <c r="H45" s="1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6.25" x14ac:dyDescent="0.4">
      <c r="A46" s="6">
        <v>2</v>
      </c>
      <c r="B46" s="13" t="s">
        <v>27</v>
      </c>
      <c r="C46" s="19" t="s">
        <v>28</v>
      </c>
      <c r="D46" s="13" t="s">
        <v>13</v>
      </c>
      <c r="E46" s="13">
        <v>1.43</v>
      </c>
      <c r="F46" s="14">
        <v>435000</v>
      </c>
      <c r="G46" s="10">
        <f t="shared" si="3"/>
        <v>622050</v>
      </c>
      <c r="H46" s="1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6.25" x14ac:dyDescent="0.4">
      <c r="A47" s="6">
        <v>3</v>
      </c>
      <c r="B47" s="15" t="s">
        <v>14</v>
      </c>
      <c r="C47" s="11"/>
      <c r="D47" s="11"/>
      <c r="E47" s="11"/>
      <c r="F47" s="11"/>
      <c r="G47" s="16">
        <f t="shared" si="3"/>
        <v>0</v>
      </c>
      <c r="H47" s="1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6.25" x14ac:dyDescent="0.4">
      <c r="A48" s="29" t="s">
        <v>15</v>
      </c>
      <c r="B48" s="26"/>
      <c r="C48" s="26"/>
      <c r="D48" s="26"/>
      <c r="E48" s="26"/>
      <c r="F48" s="26"/>
      <c r="G48" s="27"/>
      <c r="H48" s="17">
        <f>SUM(G45:G47)</f>
        <v>1208050</v>
      </c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6.25" x14ac:dyDescent="0.4">
      <c r="A49" s="29" t="s">
        <v>16</v>
      </c>
      <c r="B49" s="26"/>
      <c r="C49" s="26"/>
      <c r="D49" s="26"/>
      <c r="E49" s="26"/>
      <c r="F49" s="26"/>
      <c r="G49" s="27"/>
      <c r="H49" s="17">
        <f>MAX(0,H48-648000)</f>
        <v>560050</v>
      </c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6.25" x14ac:dyDescent="0.4">
      <c r="A50" s="25" t="s">
        <v>17</v>
      </c>
      <c r="B50" s="26"/>
      <c r="C50" s="26"/>
      <c r="D50" s="26"/>
      <c r="E50" s="26"/>
      <c r="F50" s="26"/>
      <c r="G50" s="27"/>
      <c r="H50" s="18">
        <v>649000</v>
      </c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6.25" x14ac:dyDescent="0.4">
      <c r="A51" s="28" t="s">
        <v>18</v>
      </c>
      <c r="B51" s="26"/>
      <c r="C51" s="26"/>
      <c r="D51" s="26"/>
      <c r="E51" s="26"/>
      <c r="F51" s="26"/>
      <c r="G51" s="26"/>
      <c r="H51" s="27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25"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6" spans="1:26" ht="15.75" customHeight="1" x14ac:dyDescent="0.4">
      <c r="A56" s="28" t="s">
        <v>0</v>
      </c>
      <c r="B56" s="26"/>
      <c r="C56" s="26"/>
      <c r="D56" s="26"/>
      <c r="E56" s="26"/>
      <c r="F56" s="26"/>
      <c r="G56" s="26"/>
      <c r="H56" s="27"/>
    </row>
    <row r="57" spans="1:26" ht="26.25" x14ac:dyDescent="0.4">
      <c r="A57" s="28" t="s">
        <v>29</v>
      </c>
      <c r="B57" s="26"/>
      <c r="C57" s="26"/>
      <c r="D57" s="26"/>
      <c r="E57" s="26"/>
      <c r="F57" s="26"/>
      <c r="G57" s="26"/>
      <c r="H57" s="27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.75" x14ac:dyDescent="0.3">
      <c r="A58" s="3" t="s">
        <v>2</v>
      </c>
      <c r="B58" s="3" t="s">
        <v>3</v>
      </c>
      <c r="C58" s="3" t="s">
        <v>4</v>
      </c>
      <c r="D58" s="3" t="s">
        <v>5</v>
      </c>
      <c r="E58" s="3" t="s">
        <v>6</v>
      </c>
      <c r="F58" s="4" t="s">
        <v>7</v>
      </c>
      <c r="G58" s="3" t="s">
        <v>8</v>
      </c>
      <c r="H58" s="5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6.25" x14ac:dyDescent="0.4">
      <c r="A59" s="6">
        <v>1</v>
      </c>
      <c r="B59" s="8" t="s">
        <v>30</v>
      </c>
      <c r="C59" s="12" t="s">
        <v>31</v>
      </c>
      <c r="D59" s="8" t="s">
        <v>11</v>
      </c>
      <c r="E59" s="8">
        <v>2</v>
      </c>
      <c r="F59" s="9">
        <v>293000</v>
      </c>
      <c r="G59" s="10">
        <f t="shared" ref="G59:G61" si="4">IFERROR(E59*F59,0)</f>
        <v>586000</v>
      </c>
      <c r="H59" s="1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6.25" x14ac:dyDescent="0.4">
      <c r="A60" s="6">
        <v>2</v>
      </c>
      <c r="B60" s="13" t="s">
        <v>12</v>
      </c>
      <c r="C60" s="19" t="s">
        <v>32</v>
      </c>
      <c r="D60" s="13" t="s">
        <v>13</v>
      </c>
      <c r="E60" s="13">
        <v>1.4</v>
      </c>
      <c r="F60" s="14">
        <v>435000</v>
      </c>
      <c r="G60" s="10">
        <f t="shared" si="4"/>
        <v>609000</v>
      </c>
      <c r="H60" s="1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6.25" x14ac:dyDescent="0.4">
      <c r="A61" s="6">
        <v>3</v>
      </c>
      <c r="B61" s="15" t="s">
        <v>14</v>
      </c>
      <c r="C61" s="11"/>
      <c r="D61" s="11"/>
      <c r="E61" s="11"/>
      <c r="F61" s="11"/>
      <c r="G61" s="16">
        <f t="shared" si="4"/>
        <v>0</v>
      </c>
      <c r="H61" s="1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6.25" x14ac:dyDescent="0.4">
      <c r="A62" s="29" t="s">
        <v>15</v>
      </c>
      <c r="B62" s="26"/>
      <c r="C62" s="26"/>
      <c r="D62" s="26"/>
      <c r="E62" s="26"/>
      <c r="F62" s="26"/>
      <c r="G62" s="27"/>
      <c r="H62" s="17">
        <f>SUM(G59:G61)</f>
        <v>1195000</v>
      </c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6.25" x14ac:dyDescent="0.4">
      <c r="A63" s="29" t="s">
        <v>16</v>
      </c>
      <c r="B63" s="26"/>
      <c r="C63" s="26"/>
      <c r="D63" s="26"/>
      <c r="E63" s="26"/>
      <c r="F63" s="26"/>
      <c r="G63" s="27"/>
      <c r="H63" s="17">
        <f>MAX(0,H62-648000)</f>
        <v>547000</v>
      </c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6.25" x14ac:dyDescent="0.4">
      <c r="A64" s="25" t="s">
        <v>17</v>
      </c>
      <c r="B64" s="26"/>
      <c r="C64" s="26"/>
      <c r="D64" s="26"/>
      <c r="E64" s="26"/>
      <c r="F64" s="26"/>
      <c r="G64" s="27"/>
      <c r="H64" s="18">
        <v>649000</v>
      </c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6.25" x14ac:dyDescent="0.4">
      <c r="A65" s="28" t="s">
        <v>18</v>
      </c>
      <c r="B65" s="26"/>
      <c r="C65" s="26"/>
      <c r="D65" s="26"/>
      <c r="E65" s="26"/>
      <c r="F65" s="26"/>
      <c r="G65" s="26"/>
      <c r="H65" s="27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25"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70" spans="1:26" ht="15.75" customHeight="1" x14ac:dyDescent="0.4">
      <c r="A70" s="28" t="s">
        <v>0</v>
      </c>
      <c r="B70" s="26"/>
      <c r="C70" s="26"/>
      <c r="D70" s="26"/>
      <c r="E70" s="26"/>
      <c r="F70" s="26"/>
      <c r="G70" s="26"/>
      <c r="H70" s="27"/>
    </row>
    <row r="71" spans="1:26" ht="15.75" customHeight="1" x14ac:dyDescent="0.4">
      <c r="A71" s="28" t="s">
        <v>33</v>
      </c>
      <c r="B71" s="26"/>
      <c r="C71" s="26"/>
      <c r="D71" s="26"/>
      <c r="E71" s="26"/>
      <c r="F71" s="26"/>
      <c r="G71" s="26"/>
      <c r="H71" s="27"/>
    </row>
    <row r="72" spans="1:26" ht="18.75" x14ac:dyDescent="0.3">
      <c r="A72" s="3" t="s">
        <v>2</v>
      </c>
      <c r="B72" s="3" t="s">
        <v>3</v>
      </c>
      <c r="C72" s="3" t="s">
        <v>4</v>
      </c>
      <c r="D72" s="3" t="s">
        <v>5</v>
      </c>
      <c r="E72" s="3" t="s">
        <v>6</v>
      </c>
      <c r="F72" s="4" t="s">
        <v>7</v>
      </c>
      <c r="G72" s="3" t="s">
        <v>8</v>
      </c>
      <c r="H72" s="5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6.25" x14ac:dyDescent="0.4">
      <c r="A73" s="6">
        <v>1</v>
      </c>
      <c r="B73" s="8" t="s">
        <v>34</v>
      </c>
      <c r="C73" s="12" t="s">
        <v>35</v>
      </c>
      <c r="D73" s="8" t="s">
        <v>11</v>
      </c>
      <c r="E73" s="8">
        <v>1.68</v>
      </c>
      <c r="F73" s="9">
        <v>293000</v>
      </c>
      <c r="G73" s="10">
        <f t="shared" ref="G73:G75" si="5">IFERROR(E73*F73,0)</f>
        <v>492240</v>
      </c>
      <c r="H73" s="1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6.25" x14ac:dyDescent="0.4">
      <c r="A74" s="6">
        <v>2</v>
      </c>
      <c r="B74" s="13" t="s">
        <v>36</v>
      </c>
      <c r="C74" s="19" t="s">
        <v>37</v>
      </c>
      <c r="D74" s="13" t="s">
        <v>13</v>
      </c>
      <c r="E74" s="13">
        <v>1.65</v>
      </c>
      <c r="F74" s="14">
        <v>435000</v>
      </c>
      <c r="G74" s="10">
        <f t="shared" si="5"/>
        <v>717750</v>
      </c>
      <c r="H74" s="1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6.25" x14ac:dyDescent="0.4">
      <c r="A75" s="6">
        <v>3</v>
      </c>
      <c r="B75" s="15" t="s">
        <v>14</v>
      </c>
      <c r="C75" s="11"/>
      <c r="D75" s="11"/>
      <c r="E75" s="11"/>
      <c r="F75" s="11"/>
      <c r="G75" s="16">
        <f t="shared" si="5"/>
        <v>0</v>
      </c>
      <c r="H75" s="1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6.25" x14ac:dyDescent="0.4">
      <c r="A76" s="29" t="s">
        <v>15</v>
      </c>
      <c r="B76" s="26"/>
      <c r="C76" s="26"/>
      <c r="D76" s="26"/>
      <c r="E76" s="26"/>
      <c r="F76" s="26"/>
      <c r="G76" s="27"/>
      <c r="H76" s="17">
        <f>SUM(G73:G75)</f>
        <v>1209990</v>
      </c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6.25" x14ac:dyDescent="0.4">
      <c r="A77" s="29" t="s">
        <v>16</v>
      </c>
      <c r="B77" s="26"/>
      <c r="C77" s="26"/>
      <c r="D77" s="26"/>
      <c r="E77" s="26"/>
      <c r="F77" s="26"/>
      <c r="G77" s="27"/>
      <c r="H77" s="17">
        <f>MAX(0,H76-648000)</f>
        <v>561990</v>
      </c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6.25" x14ac:dyDescent="0.4">
      <c r="A78" s="25" t="s">
        <v>17</v>
      </c>
      <c r="B78" s="26"/>
      <c r="C78" s="26"/>
      <c r="D78" s="26"/>
      <c r="E78" s="26"/>
      <c r="F78" s="26"/>
      <c r="G78" s="27"/>
      <c r="H78" s="18">
        <v>649000</v>
      </c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6.25" x14ac:dyDescent="0.4">
      <c r="A79" s="28" t="s">
        <v>18</v>
      </c>
      <c r="B79" s="26"/>
      <c r="C79" s="26"/>
      <c r="D79" s="26"/>
      <c r="E79" s="26"/>
      <c r="F79" s="26"/>
      <c r="G79" s="26"/>
      <c r="H79" s="27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25"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25"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5" spans="1:26" ht="15.75" customHeight="1" x14ac:dyDescent="0.4">
      <c r="A85" s="28" t="s">
        <v>0</v>
      </c>
      <c r="B85" s="26"/>
      <c r="C85" s="26"/>
      <c r="D85" s="26"/>
      <c r="E85" s="26"/>
      <c r="F85" s="26"/>
      <c r="G85" s="26"/>
      <c r="H85" s="27"/>
    </row>
    <row r="86" spans="1:26" ht="26.25" x14ac:dyDescent="0.4">
      <c r="A86" s="28" t="s">
        <v>38</v>
      </c>
      <c r="B86" s="26"/>
      <c r="C86" s="26"/>
      <c r="D86" s="26"/>
      <c r="E86" s="26"/>
      <c r="F86" s="26"/>
      <c r="G86" s="26"/>
      <c r="H86" s="27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.75" x14ac:dyDescent="0.3">
      <c r="A87" s="3" t="s">
        <v>2</v>
      </c>
      <c r="B87" s="3" t="s">
        <v>3</v>
      </c>
      <c r="C87" s="3" t="s">
        <v>4</v>
      </c>
      <c r="D87" s="3" t="s">
        <v>5</v>
      </c>
      <c r="E87" s="3" t="s">
        <v>6</v>
      </c>
      <c r="F87" s="4" t="s">
        <v>7</v>
      </c>
      <c r="G87" s="3" t="s">
        <v>8</v>
      </c>
      <c r="H87" s="5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6.25" x14ac:dyDescent="0.4">
      <c r="A88" s="6">
        <v>1</v>
      </c>
      <c r="B88" s="8" t="s">
        <v>39</v>
      </c>
      <c r="C88" s="12" t="s">
        <v>40</v>
      </c>
      <c r="D88" s="8" t="s">
        <v>11</v>
      </c>
      <c r="E88" s="8">
        <v>3</v>
      </c>
      <c r="F88" s="9">
        <v>293000</v>
      </c>
      <c r="G88" s="10">
        <f t="shared" ref="G88:G90" si="6">IFERROR(E88*F88,0)</f>
        <v>879000</v>
      </c>
      <c r="H88" s="1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6.25" x14ac:dyDescent="0.4">
      <c r="A89" s="6">
        <v>2</v>
      </c>
      <c r="B89" s="13" t="s">
        <v>41</v>
      </c>
      <c r="C89" s="19" t="s">
        <v>42</v>
      </c>
      <c r="D89" s="13" t="s">
        <v>13</v>
      </c>
      <c r="E89" s="13">
        <v>0.57999999999999996</v>
      </c>
      <c r="F89" s="14">
        <v>435000</v>
      </c>
      <c r="G89" s="10">
        <f t="shared" si="6"/>
        <v>252299.99999999997</v>
      </c>
      <c r="H89" s="1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6.25" x14ac:dyDescent="0.4">
      <c r="A90" s="6">
        <v>3</v>
      </c>
      <c r="B90" s="15" t="s">
        <v>14</v>
      </c>
      <c r="C90" s="11"/>
      <c r="D90" s="11"/>
      <c r="E90" s="11"/>
      <c r="F90" s="11"/>
      <c r="G90" s="16">
        <f t="shared" si="6"/>
        <v>0</v>
      </c>
      <c r="H90" s="1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6.25" x14ac:dyDescent="0.4">
      <c r="A91" s="29" t="s">
        <v>15</v>
      </c>
      <c r="B91" s="26"/>
      <c r="C91" s="26"/>
      <c r="D91" s="26"/>
      <c r="E91" s="26"/>
      <c r="F91" s="26"/>
      <c r="G91" s="27"/>
      <c r="H91" s="17">
        <f>SUM(G88:G90)</f>
        <v>1131300</v>
      </c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6.25" x14ac:dyDescent="0.4">
      <c r="A92" s="29" t="s">
        <v>16</v>
      </c>
      <c r="B92" s="26"/>
      <c r="C92" s="26"/>
      <c r="D92" s="26"/>
      <c r="E92" s="26"/>
      <c r="F92" s="26"/>
      <c r="G92" s="27"/>
      <c r="H92" s="17">
        <f>MAX(0,H91-648000)</f>
        <v>483300</v>
      </c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6.25" x14ac:dyDescent="0.4">
      <c r="A93" s="25" t="s">
        <v>17</v>
      </c>
      <c r="B93" s="26"/>
      <c r="C93" s="26"/>
      <c r="D93" s="26"/>
      <c r="E93" s="26"/>
      <c r="F93" s="26"/>
      <c r="G93" s="27"/>
      <c r="H93" s="18">
        <v>649000</v>
      </c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6.25" x14ac:dyDescent="0.4">
      <c r="A94" s="28" t="s">
        <v>18</v>
      </c>
      <c r="B94" s="26"/>
      <c r="C94" s="26"/>
      <c r="D94" s="26"/>
      <c r="E94" s="26"/>
      <c r="F94" s="26"/>
      <c r="G94" s="26"/>
      <c r="H94" s="27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25"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9" spans="1:26" ht="15.75" customHeight="1" x14ac:dyDescent="0.4">
      <c r="A99" s="28" t="s">
        <v>0</v>
      </c>
      <c r="B99" s="26"/>
      <c r="C99" s="26"/>
      <c r="D99" s="26"/>
      <c r="E99" s="26"/>
      <c r="F99" s="26"/>
      <c r="G99" s="26"/>
      <c r="H99" s="27"/>
    </row>
    <row r="100" spans="1:26" ht="15.75" customHeight="1" x14ac:dyDescent="0.4">
      <c r="A100" s="28" t="s">
        <v>43</v>
      </c>
      <c r="B100" s="26"/>
      <c r="C100" s="26"/>
      <c r="D100" s="26"/>
      <c r="E100" s="26"/>
      <c r="F100" s="26"/>
      <c r="G100" s="26"/>
      <c r="H100" s="27"/>
    </row>
    <row r="101" spans="1:26" ht="18.75" x14ac:dyDescent="0.3">
      <c r="A101" s="3" t="s">
        <v>2</v>
      </c>
      <c r="B101" s="3" t="s">
        <v>3</v>
      </c>
      <c r="C101" s="3" t="s">
        <v>4</v>
      </c>
      <c r="D101" s="3" t="s">
        <v>5</v>
      </c>
      <c r="E101" s="3" t="s">
        <v>6</v>
      </c>
      <c r="F101" s="4" t="s">
        <v>7</v>
      </c>
      <c r="G101" s="3" t="s">
        <v>8</v>
      </c>
      <c r="H101" s="5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6.25" x14ac:dyDescent="0.4">
      <c r="A102" s="6">
        <v>1</v>
      </c>
      <c r="B102" s="8" t="s">
        <v>44</v>
      </c>
      <c r="C102" s="12" t="s">
        <v>45</v>
      </c>
      <c r="D102" s="8" t="s">
        <v>11</v>
      </c>
      <c r="E102" s="8">
        <v>1.55</v>
      </c>
      <c r="F102" s="9">
        <v>293000</v>
      </c>
      <c r="G102" s="10">
        <f t="shared" ref="G102:G104" si="7">IFERROR(E102*F102,0)</f>
        <v>454150</v>
      </c>
      <c r="H102" s="1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6.25" x14ac:dyDescent="0.4">
      <c r="A103" s="6">
        <v>2</v>
      </c>
      <c r="B103" s="13" t="s">
        <v>41</v>
      </c>
      <c r="C103" s="19" t="s">
        <v>46</v>
      </c>
      <c r="D103" s="13" t="s">
        <v>13</v>
      </c>
      <c r="E103" s="13">
        <v>1.7</v>
      </c>
      <c r="F103" s="14">
        <v>435000</v>
      </c>
      <c r="G103" s="10">
        <f t="shared" si="7"/>
        <v>739500</v>
      </c>
      <c r="H103" s="1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6.25" x14ac:dyDescent="0.4">
      <c r="A104" s="6">
        <v>3</v>
      </c>
      <c r="B104" s="15" t="s">
        <v>14</v>
      </c>
      <c r="C104" s="11"/>
      <c r="D104" s="11"/>
      <c r="E104" s="11"/>
      <c r="F104" s="11"/>
      <c r="G104" s="16">
        <f t="shared" si="7"/>
        <v>0</v>
      </c>
      <c r="H104" s="1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6.25" x14ac:dyDescent="0.4">
      <c r="A105" s="29" t="s">
        <v>15</v>
      </c>
      <c r="B105" s="26"/>
      <c r="C105" s="26"/>
      <c r="D105" s="26"/>
      <c r="E105" s="26"/>
      <c r="F105" s="26"/>
      <c r="G105" s="27"/>
      <c r="H105" s="17">
        <f>SUM(G102:G104)</f>
        <v>1193650</v>
      </c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6.25" x14ac:dyDescent="0.4">
      <c r="A106" s="29" t="s">
        <v>16</v>
      </c>
      <c r="B106" s="26"/>
      <c r="C106" s="26"/>
      <c r="D106" s="26"/>
      <c r="E106" s="26"/>
      <c r="F106" s="26"/>
      <c r="G106" s="27"/>
      <c r="H106" s="17">
        <f>MAX(0,H105-648000)</f>
        <v>545650</v>
      </c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6.25" x14ac:dyDescent="0.4">
      <c r="A107" s="25" t="s">
        <v>17</v>
      </c>
      <c r="B107" s="26"/>
      <c r="C107" s="26"/>
      <c r="D107" s="26"/>
      <c r="E107" s="26"/>
      <c r="F107" s="26"/>
      <c r="G107" s="27"/>
      <c r="H107" s="18">
        <v>649000</v>
      </c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6.25" x14ac:dyDescent="0.4">
      <c r="A108" s="28" t="s">
        <v>18</v>
      </c>
      <c r="B108" s="26"/>
      <c r="C108" s="26"/>
      <c r="D108" s="26"/>
      <c r="E108" s="26"/>
      <c r="F108" s="26"/>
      <c r="G108" s="26"/>
      <c r="H108" s="27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25"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25"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4" spans="1:26" ht="26.25" x14ac:dyDescent="0.4">
      <c r="A114" s="28" t="s">
        <v>0</v>
      </c>
      <c r="B114" s="26"/>
      <c r="C114" s="26"/>
      <c r="D114" s="26"/>
      <c r="E114" s="26"/>
      <c r="F114" s="26"/>
      <c r="G114" s="26"/>
      <c r="H114" s="27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6.25" x14ac:dyDescent="0.4">
      <c r="A115" s="28" t="s">
        <v>47</v>
      </c>
      <c r="B115" s="26"/>
      <c r="C115" s="26"/>
      <c r="D115" s="26"/>
      <c r="E115" s="26"/>
      <c r="F115" s="26"/>
      <c r="G115" s="26"/>
      <c r="H115" s="27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.75" x14ac:dyDescent="0.3">
      <c r="A116" s="3" t="s">
        <v>2</v>
      </c>
      <c r="B116" s="3" t="s">
        <v>3</v>
      </c>
      <c r="C116" s="3" t="s">
        <v>4</v>
      </c>
      <c r="D116" s="3" t="s">
        <v>5</v>
      </c>
      <c r="E116" s="3" t="s">
        <v>6</v>
      </c>
      <c r="F116" s="4" t="s">
        <v>7</v>
      </c>
      <c r="G116" s="3" t="s">
        <v>8</v>
      </c>
      <c r="H116" s="5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6.25" x14ac:dyDescent="0.4">
      <c r="A117" s="6">
        <v>1</v>
      </c>
      <c r="B117" s="8" t="s">
        <v>48</v>
      </c>
      <c r="C117" s="12" t="s">
        <v>49</v>
      </c>
      <c r="D117" s="8" t="s">
        <v>11</v>
      </c>
      <c r="E117" s="8">
        <v>2</v>
      </c>
      <c r="F117" s="9">
        <v>293000</v>
      </c>
      <c r="G117" s="10">
        <f t="shared" ref="G117:G119" si="8">IFERROR(E117*F117,0)</f>
        <v>586000</v>
      </c>
      <c r="H117" s="1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6.25" x14ac:dyDescent="0.4">
      <c r="A118" s="6">
        <v>2</v>
      </c>
      <c r="B118" s="13" t="s">
        <v>50</v>
      </c>
      <c r="C118" s="19" t="s">
        <v>51</v>
      </c>
      <c r="D118" s="13" t="s">
        <v>13</v>
      </c>
      <c r="E118" s="13">
        <v>1.48</v>
      </c>
      <c r="F118" s="14">
        <v>435000</v>
      </c>
      <c r="G118" s="10">
        <f t="shared" si="8"/>
        <v>643800</v>
      </c>
      <c r="H118" s="1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6.25" x14ac:dyDescent="0.4">
      <c r="A119" s="6">
        <v>3</v>
      </c>
      <c r="B119" s="15" t="s">
        <v>14</v>
      </c>
      <c r="C119" s="11"/>
      <c r="D119" s="11"/>
      <c r="E119" s="11"/>
      <c r="F119" s="11"/>
      <c r="G119" s="16">
        <f t="shared" si="8"/>
        <v>0</v>
      </c>
      <c r="H119" s="1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6.25" x14ac:dyDescent="0.4">
      <c r="A120" s="29" t="s">
        <v>15</v>
      </c>
      <c r="B120" s="26"/>
      <c r="C120" s="26"/>
      <c r="D120" s="26"/>
      <c r="E120" s="26"/>
      <c r="F120" s="26"/>
      <c r="G120" s="27"/>
      <c r="H120" s="17">
        <f>SUM(G117:G119)</f>
        <v>1229800</v>
      </c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6.25" x14ac:dyDescent="0.4">
      <c r="A121" s="29" t="s">
        <v>16</v>
      </c>
      <c r="B121" s="26"/>
      <c r="C121" s="26"/>
      <c r="D121" s="26"/>
      <c r="E121" s="26"/>
      <c r="F121" s="26"/>
      <c r="G121" s="27"/>
      <c r="H121" s="17">
        <f>MAX(0,H120-648000)</f>
        <v>581800</v>
      </c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6.25" x14ac:dyDescent="0.4">
      <c r="A122" s="25" t="s">
        <v>17</v>
      </c>
      <c r="B122" s="26"/>
      <c r="C122" s="26"/>
      <c r="D122" s="26"/>
      <c r="E122" s="26"/>
      <c r="F122" s="26"/>
      <c r="G122" s="27"/>
      <c r="H122" s="18">
        <v>649000</v>
      </c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6.25" x14ac:dyDescent="0.4">
      <c r="A123" s="28" t="s">
        <v>18</v>
      </c>
      <c r="B123" s="26"/>
      <c r="C123" s="26"/>
      <c r="D123" s="26"/>
      <c r="E123" s="26"/>
      <c r="F123" s="26"/>
      <c r="G123" s="26"/>
      <c r="H123" s="27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7" spans="1:26" ht="15.75" customHeight="1" x14ac:dyDescent="0.4">
      <c r="A127" s="28" t="s">
        <v>0</v>
      </c>
      <c r="B127" s="26"/>
      <c r="C127" s="26"/>
      <c r="D127" s="26"/>
      <c r="E127" s="26"/>
      <c r="F127" s="26"/>
      <c r="G127" s="26"/>
      <c r="H127" s="27"/>
    </row>
    <row r="128" spans="1:26" ht="26.25" x14ac:dyDescent="0.4">
      <c r="A128" s="28" t="s">
        <v>52</v>
      </c>
      <c r="B128" s="26"/>
      <c r="C128" s="26"/>
      <c r="D128" s="26"/>
      <c r="E128" s="26"/>
      <c r="F128" s="26"/>
      <c r="G128" s="26"/>
      <c r="H128" s="27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.75" x14ac:dyDescent="0.3">
      <c r="A129" s="3" t="s">
        <v>2</v>
      </c>
      <c r="B129" s="3" t="s">
        <v>3</v>
      </c>
      <c r="C129" s="3" t="s">
        <v>4</v>
      </c>
      <c r="D129" s="3" t="s">
        <v>5</v>
      </c>
      <c r="E129" s="3" t="s">
        <v>6</v>
      </c>
      <c r="F129" s="4" t="s">
        <v>7</v>
      </c>
      <c r="G129" s="3" t="s">
        <v>8</v>
      </c>
      <c r="H129" s="5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6.25" x14ac:dyDescent="0.4">
      <c r="A130" s="6">
        <v>1</v>
      </c>
      <c r="B130" s="8" t="s">
        <v>53</v>
      </c>
      <c r="C130" s="12" t="s">
        <v>54</v>
      </c>
      <c r="D130" s="8" t="s">
        <v>11</v>
      </c>
      <c r="E130" s="8">
        <v>3</v>
      </c>
      <c r="F130" s="9">
        <v>293000</v>
      </c>
      <c r="G130" s="10">
        <f t="shared" ref="G130:G132" si="9">IFERROR(E130*F130,0)</f>
        <v>879000</v>
      </c>
      <c r="H130" s="1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6.25" x14ac:dyDescent="0.4">
      <c r="A131" s="6">
        <v>2</v>
      </c>
      <c r="B131" s="13" t="s">
        <v>55</v>
      </c>
      <c r="C131" s="19" t="s">
        <v>56</v>
      </c>
      <c r="D131" s="13" t="s">
        <v>13</v>
      </c>
      <c r="E131" s="13">
        <v>0.65</v>
      </c>
      <c r="F131" s="14">
        <v>435000</v>
      </c>
      <c r="G131" s="10">
        <f t="shared" si="9"/>
        <v>282750</v>
      </c>
      <c r="H131" s="1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6.25" x14ac:dyDescent="0.4">
      <c r="A132" s="6">
        <v>3</v>
      </c>
      <c r="B132" s="15" t="s">
        <v>14</v>
      </c>
      <c r="C132" s="11"/>
      <c r="D132" s="11"/>
      <c r="E132" s="11"/>
      <c r="F132" s="11"/>
      <c r="G132" s="16">
        <f t="shared" si="9"/>
        <v>0</v>
      </c>
      <c r="H132" s="1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6.25" x14ac:dyDescent="0.4">
      <c r="A133" s="29" t="s">
        <v>15</v>
      </c>
      <c r="B133" s="26"/>
      <c r="C133" s="26"/>
      <c r="D133" s="26"/>
      <c r="E133" s="26"/>
      <c r="F133" s="26"/>
      <c r="G133" s="27"/>
      <c r="H133" s="17">
        <f>SUM(G130:G132)</f>
        <v>1161750</v>
      </c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6.25" x14ac:dyDescent="0.4">
      <c r="A134" s="29" t="s">
        <v>16</v>
      </c>
      <c r="B134" s="26"/>
      <c r="C134" s="26"/>
      <c r="D134" s="26"/>
      <c r="E134" s="26"/>
      <c r="F134" s="26"/>
      <c r="G134" s="27"/>
      <c r="H134" s="17">
        <f>MAX(0,H133-648000)</f>
        <v>513750</v>
      </c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6.25" x14ac:dyDescent="0.4">
      <c r="A135" s="25" t="s">
        <v>17</v>
      </c>
      <c r="B135" s="26"/>
      <c r="C135" s="26"/>
      <c r="D135" s="26"/>
      <c r="E135" s="26"/>
      <c r="F135" s="26"/>
      <c r="G135" s="27"/>
      <c r="H135" s="18">
        <v>649000</v>
      </c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6.25" x14ac:dyDescent="0.4">
      <c r="A136" s="28" t="s">
        <v>18</v>
      </c>
      <c r="B136" s="26"/>
      <c r="C136" s="26"/>
      <c r="D136" s="26"/>
      <c r="E136" s="26"/>
      <c r="F136" s="26"/>
      <c r="G136" s="26"/>
      <c r="H136" s="27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25"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41" spans="1:26" ht="15.75" customHeight="1" x14ac:dyDescent="0.4">
      <c r="A141" s="28" t="s">
        <v>0</v>
      </c>
      <c r="B141" s="26"/>
      <c r="C141" s="26"/>
      <c r="D141" s="26"/>
      <c r="E141" s="26"/>
      <c r="F141" s="26"/>
      <c r="G141" s="26"/>
      <c r="H141" s="27"/>
    </row>
    <row r="142" spans="1:26" ht="26.25" x14ac:dyDescent="0.4">
      <c r="A142" s="28" t="s">
        <v>57</v>
      </c>
      <c r="B142" s="26"/>
      <c r="C142" s="26"/>
      <c r="D142" s="26"/>
      <c r="E142" s="26"/>
      <c r="F142" s="26"/>
      <c r="G142" s="26"/>
      <c r="H142" s="27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.75" x14ac:dyDescent="0.3">
      <c r="A143" s="3" t="s">
        <v>2</v>
      </c>
      <c r="B143" s="3" t="s">
        <v>3</v>
      </c>
      <c r="C143" s="3" t="s">
        <v>4</v>
      </c>
      <c r="D143" s="3" t="s">
        <v>5</v>
      </c>
      <c r="E143" s="3" t="s">
        <v>6</v>
      </c>
      <c r="F143" s="4" t="s">
        <v>7</v>
      </c>
      <c r="G143" s="3" t="s">
        <v>8</v>
      </c>
      <c r="H143" s="5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6.25" x14ac:dyDescent="0.4">
      <c r="A144" s="6">
        <v>1</v>
      </c>
      <c r="B144" s="8" t="s">
        <v>58</v>
      </c>
      <c r="C144" s="12" t="s">
        <v>59</v>
      </c>
      <c r="D144" s="8" t="s">
        <v>11</v>
      </c>
      <c r="E144" s="8">
        <v>3</v>
      </c>
      <c r="F144" s="9">
        <v>293000</v>
      </c>
      <c r="G144" s="10">
        <f t="shared" ref="G144:G146" si="10">IFERROR(E144*F144,0)</f>
        <v>879000</v>
      </c>
      <c r="H144" s="1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6.25" x14ac:dyDescent="0.4">
      <c r="A145" s="6">
        <v>2</v>
      </c>
      <c r="B145" s="13" t="s">
        <v>60</v>
      </c>
      <c r="C145" s="19" t="s">
        <v>61</v>
      </c>
      <c r="D145" s="13" t="s">
        <v>13</v>
      </c>
      <c r="E145" s="13">
        <v>0.43</v>
      </c>
      <c r="F145" s="14">
        <v>435000</v>
      </c>
      <c r="G145" s="10">
        <f t="shared" si="10"/>
        <v>187050</v>
      </c>
      <c r="H145" s="1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6.25" x14ac:dyDescent="0.4">
      <c r="A146" s="6">
        <v>3</v>
      </c>
      <c r="B146" s="15" t="s">
        <v>14</v>
      </c>
      <c r="C146" s="11"/>
      <c r="D146" s="11"/>
      <c r="E146" s="11"/>
      <c r="F146" s="11"/>
      <c r="G146" s="16">
        <f t="shared" si="10"/>
        <v>0</v>
      </c>
      <c r="H146" s="1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6.25" x14ac:dyDescent="0.4">
      <c r="A147" s="29" t="s">
        <v>15</v>
      </c>
      <c r="B147" s="26"/>
      <c r="C147" s="26"/>
      <c r="D147" s="26"/>
      <c r="E147" s="26"/>
      <c r="F147" s="26"/>
      <c r="G147" s="27"/>
      <c r="H147" s="17">
        <f>SUM(G144:G146)</f>
        <v>1066050</v>
      </c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6.25" x14ac:dyDescent="0.4">
      <c r="A148" s="29" t="s">
        <v>16</v>
      </c>
      <c r="B148" s="26"/>
      <c r="C148" s="26"/>
      <c r="D148" s="26"/>
      <c r="E148" s="26"/>
      <c r="F148" s="26"/>
      <c r="G148" s="27"/>
      <c r="H148" s="17">
        <f>MAX(0,H147-648000)</f>
        <v>418050</v>
      </c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6.25" x14ac:dyDescent="0.4">
      <c r="A149" s="25" t="s">
        <v>17</v>
      </c>
      <c r="B149" s="26"/>
      <c r="C149" s="26"/>
      <c r="D149" s="26"/>
      <c r="E149" s="26"/>
      <c r="F149" s="26"/>
      <c r="G149" s="27"/>
      <c r="H149" s="18">
        <v>649000</v>
      </c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6.25" x14ac:dyDescent="0.4">
      <c r="A150" s="28" t="s">
        <v>18</v>
      </c>
      <c r="B150" s="26"/>
      <c r="C150" s="26"/>
      <c r="D150" s="26"/>
      <c r="E150" s="26"/>
      <c r="F150" s="26"/>
      <c r="G150" s="26"/>
      <c r="H150" s="27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25"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5" spans="1:26" ht="26.25" x14ac:dyDescent="0.4">
      <c r="A155" s="28" t="s">
        <v>0</v>
      </c>
      <c r="B155" s="26"/>
      <c r="C155" s="26"/>
      <c r="D155" s="26"/>
      <c r="E155" s="26"/>
      <c r="F155" s="26"/>
      <c r="G155" s="26"/>
      <c r="H155" s="27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6.25" x14ac:dyDescent="0.4">
      <c r="A156" s="28" t="s">
        <v>62</v>
      </c>
      <c r="B156" s="26"/>
      <c r="C156" s="26"/>
      <c r="D156" s="26"/>
      <c r="E156" s="26"/>
      <c r="F156" s="26"/>
      <c r="G156" s="26"/>
      <c r="H156" s="27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.75" x14ac:dyDescent="0.3">
      <c r="A157" s="3" t="s">
        <v>2</v>
      </c>
      <c r="B157" s="3" t="s">
        <v>3</v>
      </c>
      <c r="C157" s="3" t="s">
        <v>4</v>
      </c>
      <c r="D157" s="3" t="s">
        <v>5</v>
      </c>
      <c r="E157" s="3" t="s">
        <v>6</v>
      </c>
      <c r="F157" s="4" t="s">
        <v>7</v>
      </c>
      <c r="G157" s="3" t="s">
        <v>8</v>
      </c>
      <c r="H157" s="5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6.25" x14ac:dyDescent="0.4">
      <c r="A158" s="6">
        <v>1</v>
      </c>
      <c r="B158" s="8" t="s">
        <v>63</v>
      </c>
      <c r="C158" s="12" t="s">
        <v>64</v>
      </c>
      <c r="D158" s="8" t="s">
        <v>11</v>
      </c>
      <c r="E158" s="8">
        <v>2.94</v>
      </c>
      <c r="F158" s="9">
        <v>293000</v>
      </c>
      <c r="G158" s="10">
        <f t="shared" ref="G158:G160" si="11">IFERROR(E158*F158,0)</f>
        <v>861420</v>
      </c>
      <c r="H158" s="1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6.25" x14ac:dyDescent="0.4">
      <c r="A159" s="6">
        <v>2</v>
      </c>
      <c r="B159" s="13" t="s">
        <v>65</v>
      </c>
      <c r="C159" s="19" t="s">
        <v>66</v>
      </c>
      <c r="D159" s="13" t="s">
        <v>13</v>
      </c>
      <c r="E159" s="13">
        <v>0.6</v>
      </c>
      <c r="F159" s="14">
        <v>435000</v>
      </c>
      <c r="G159" s="10">
        <f t="shared" si="11"/>
        <v>261000</v>
      </c>
      <c r="H159" s="1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6.25" x14ac:dyDescent="0.4">
      <c r="A160" s="6">
        <v>3</v>
      </c>
      <c r="B160" s="15" t="s">
        <v>14</v>
      </c>
      <c r="C160" s="11"/>
      <c r="D160" s="11"/>
      <c r="E160" s="11"/>
      <c r="F160" s="11"/>
      <c r="G160" s="16">
        <f t="shared" si="11"/>
        <v>0</v>
      </c>
      <c r="H160" s="1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6.25" x14ac:dyDescent="0.4">
      <c r="A161" s="29" t="s">
        <v>15</v>
      </c>
      <c r="B161" s="26"/>
      <c r="C161" s="26"/>
      <c r="D161" s="26"/>
      <c r="E161" s="26"/>
      <c r="F161" s="26"/>
      <c r="G161" s="27"/>
      <c r="H161" s="17">
        <f>SUM(G158:G160)</f>
        <v>1122420</v>
      </c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6.25" x14ac:dyDescent="0.4">
      <c r="A162" s="29" t="s">
        <v>16</v>
      </c>
      <c r="B162" s="26"/>
      <c r="C162" s="26"/>
      <c r="D162" s="26"/>
      <c r="E162" s="26"/>
      <c r="F162" s="26"/>
      <c r="G162" s="27"/>
      <c r="H162" s="17">
        <f>MAX(0,H161-648000)</f>
        <v>474420</v>
      </c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6.25" x14ac:dyDescent="0.4">
      <c r="A163" s="25" t="s">
        <v>17</v>
      </c>
      <c r="B163" s="26"/>
      <c r="C163" s="26"/>
      <c r="D163" s="26"/>
      <c r="E163" s="26"/>
      <c r="F163" s="26"/>
      <c r="G163" s="27"/>
      <c r="H163" s="18">
        <v>649000</v>
      </c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6.25" x14ac:dyDescent="0.4">
      <c r="A164" s="28" t="s">
        <v>18</v>
      </c>
      <c r="B164" s="26"/>
      <c r="C164" s="26"/>
      <c r="D164" s="26"/>
      <c r="E164" s="26"/>
      <c r="F164" s="26"/>
      <c r="G164" s="26"/>
      <c r="H164" s="27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8" spans="1:26" ht="15.75" customHeight="1" x14ac:dyDescent="0.4">
      <c r="A168" s="28" t="s">
        <v>0</v>
      </c>
      <c r="B168" s="26"/>
      <c r="C168" s="26"/>
      <c r="D168" s="26"/>
      <c r="E168" s="26"/>
      <c r="F168" s="26"/>
      <c r="G168" s="26"/>
      <c r="H168" s="27"/>
    </row>
    <row r="169" spans="1:26" ht="26.25" x14ac:dyDescent="0.4">
      <c r="A169" s="28" t="s">
        <v>67</v>
      </c>
      <c r="B169" s="26"/>
      <c r="C169" s="26"/>
      <c r="D169" s="26"/>
      <c r="E169" s="26"/>
      <c r="F169" s="26"/>
      <c r="G169" s="26"/>
      <c r="H169" s="27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.75" x14ac:dyDescent="0.3">
      <c r="A170" s="3" t="s">
        <v>2</v>
      </c>
      <c r="B170" s="3" t="s">
        <v>3</v>
      </c>
      <c r="C170" s="3" t="s">
        <v>4</v>
      </c>
      <c r="D170" s="3" t="s">
        <v>5</v>
      </c>
      <c r="E170" s="3" t="s">
        <v>6</v>
      </c>
      <c r="F170" s="4" t="s">
        <v>7</v>
      </c>
      <c r="G170" s="3" t="s">
        <v>8</v>
      </c>
      <c r="H170" s="5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6.25" x14ac:dyDescent="0.4">
      <c r="A171" s="6">
        <v>1</v>
      </c>
      <c r="B171" s="8" t="s">
        <v>22</v>
      </c>
      <c r="C171" s="12" t="s">
        <v>68</v>
      </c>
      <c r="D171" s="8" t="s">
        <v>11</v>
      </c>
      <c r="E171" s="8">
        <v>2.2999999999999998</v>
      </c>
      <c r="F171" s="9">
        <v>293000</v>
      </c>
      <c r="G171" s="10">
        <f t="shared" ref="G171:G173" si="12">IFERROR(E171*F171,0)</f>
        <v>673900</v>
      </c>
      <c r="H171" s="1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6.25" x14ac:dyDescent="0.4">
      <c r="A172" s="6">
        <v>2</v>
      </c>
      <c r="B172" s="13" t="s">
        <v>12</v>
      </c>
      <c r="C172" s="19" t="s">
        <v>69</v>
      </c>
      <c r="D172" s="13" t="s">
        <v>13</v>
      </c>
      <c r="E172" s="13">
        <v>1.2</v>
      </c>
      <c r="F172" s="14">
        <v>435000</v>
      </c>
      <c r="G172" s="10">
        <f t="shared" si="12"/>
        <v>522000</v>
      </c>
      <c r="H172" s="1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6.25" x14ac:dyDescent="0.4">
      <c r="A173" s="6">
        <v>3</v>
      </c>
      <c r="B173" s="15" t="s">
        <v>14</v>
      </c>
      <c r="C173" s="11"/>
      <c r="D173" s="11"/>
      <c r="E173" s="11" t="s">
        <v>70</v>
      </c>
      <c r="F173" s="11"/>
      <c r="G173" s="16">
        <f t="shared" si="12"/>
        <v>0</v>
      </c>
      <c r="H173" s="1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6.25" x14ac:dyDescent="0.4">
      <c r="A174" s="29" t="s">
        <v>15</v>
      </c>
      <c r="B174" s="26"/>
      <c r="C174" s="26"/>
      <c r="D174" s="26"/>
      <c r="E174" s="26"/>
      <c r="F174" s="26"/>
      <c r="G174" s="27"/>
      <c r="H174" s="17">
        <f>SUM(G171:G173)</f>
        <v>1195900</v>
      </c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6.25" x14ac:dyDescent="0.4">
      <c r="A175" s="29" t="s">
        <v>16</v>
      </c>
      <c r="B175" s="26"/>
      <c r="C175" s="26"/>
      <c r="D175" s="26"/>
      <c r="E175" s="26"/>
      <c r="F175" s="26"/>
      <c r="G175" s="27"/>
      <c r="H175" s="17">
        <f>MAX(0,H174-648000)</f>
        <v>547900</v>
      </c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6.25" x14ac:dyDescent="0.4">
      <c r="A176" s="25" t="s">
        <v>17</v>
      </c>
      <c r="B176" s="26"/>
      <c r="C176" s="26"/>
      <c r="D176" s="26"/>
      <c r="E176" s="26"/>
      <c r="F176" s="26"/>
      <c r="G176" s="27"/>
      <c r="H176" s="18">
        <v>649000</v>
      </c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6.25" x14ac:dyDescent="0.4">
      <c r="A177" s="28" t="s">
        <v>18</v>
      </c>
      <c r="B177" s="26"/>
      <c r="C177" s="26"/>
      <c r="D177" s="26"/>
      <c r="E177" s="26"/>
      <c r="F177" s="26"/>
      <c r="G177" s="26"/>
      <c r="H177" s="27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25"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82" spans="1:26" ht="15.75" customHeight="1" x14ac:dyDescent="0.4">
      <c r="A182" s="28" t="s">
        <v>0</v>
      </c>
      <c r="B182" s="26"/>
      <c r="C182" s="26"/>
      <c r="D182" s="26"/>
      <c r="E182" s="26"/>
      <c r="F182" s="26"/>
      <c r="G182" s="26"/>
      <c r="H182" s="27"/>
    </row>
    <row r="183" spans="1:26" ht="15.75" customHeight="1" x14ac:dyDescent="0.4">
      <c r="A183" s="28" t="s">
        <v>71</v>
      </c>
      <c r="B183" s="26"/>
      <c r="C183" s="26"/>
      <c r="D183" s="26"/>
      <c r="E183" s="26"/>
      <c r="F183" s="26"/>
      <c r="G183" s="26"/>
      <c r="H183" s="27"/>
    </row>
    <row r="184" spans="1:26" ht="18.75" x14ac:dyDescent="0.3">
      <c r="A184" s="3" t="s">
        <v>2</v>
      </c>
      <c r="B184" s="3" t="s">
        <v>3</v>
      </c>
      <c r="C184" s="3" t="s">
        <v>4</v>
      </c>
      <c r="D184" s="3" t="s">
        <v>5</v>
      </c>
      <c r="E184" s="3" t="s">
        <v>6</v>
      </c>
      <c r="F184" s="4" t="s">
        <v>7</v>
      </c>
      <c r="G184" s="3" t="s">
        <v>8</v>
      </c>
      <c r="H184" s="5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6.25" x14ac:dyDescent="0.4">
      <c r="A185" s="6">
        <v>1</v>
      </c>
      <c r="B185" s="8" t="s">
        <v>72</v>
      </c>
      <c r="C185" s="12" t="s">
        <v>73</v>
      </c>
      <c r="D185" s="8" t="s">
        <v>11</v>
      </c>
      <c r="E185" s="8">
        <v>2.5499999999999998</v>
      </c>
      <c r="F185" s="9">
        <v>293000</v>
      </c>
      <c r="G185" s="10">
        <f t="shared" ref="G185:G187" si="13">IFERROR(E185*F185,0)</f>
        <v>747150</v>
      </c>
      <c r="H185" s="1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6.25" x14ac:dyDescent="0.4">
      <c r="A186" s="6">
        <v>2</v>
      </c>
      <c r="B186" s="13" t="s">
        <v>74</v>
      </c>
      <c r="C186" s="19" t="s">
        <v>75</v>
      </c>
      <c r="D186" s="13" t="s">
        <v>13</v>
      </c>
      <c r="E186" s="13">
        <v>1</v>
      </c>
      <c r="F186" s="14">
        <v>435000</v>
      </c>
      <c r="G186" s="10">
        <f t="shared" si="13"/>
        <v>435000</v>
      </c>
      <c r="H186" s="1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6.25" x14ac:dyDescent="0.4">
      <c r="A187" s="6">
        <v>3</v>
      </c>
      <c r="B187" s="15" t="s">
        <v>14</v>
      </c>
      <c r="C187" s="11"/>
      <c r="D187" s="11"/>
      <c r="E187" s="11"/>
      <c r="F187" s="11"/>
      <c r="G187" s="16">
        <f t="shared" si="13"/>
        <v>0</v>
      </c>
      <c r="H187" s="1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6.25" x14ac:dyDescent="0.4">
      <c r="A188" s="29" t="s">
        <v>15</v>
      </c>
      <c r="B188" s="26"/>
      <c r="C188" s="26"/>
      <c r="D188" s="26"/>
      <c r="E188" s="26"/>
      <c r="F188" s="26"/>
      <c r="G188" s="27"/>
      <c r="H188" s="17">
        <f>SUM(G185:G187)</f>
        <v>1182150</v>
      </c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6.25" x14ac:dyDescent="0.4">
      <c r="A189" s="29" t="s">
        <v>16</v>
      </c>
      <c r="B189" s="26"/>
      <c r="C189" s="26"/>
      <c r="D189" s="26"/>
      <c r="E189" s="26"/>
      <c r="F189" s="26"/>
      <c r="G189" s="27"/>
      <c r="H189" s="17">
        <f>MAX(0,H188-648000)</f>
        <v>534150</v>
      </c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6.25" x14ac:dyDescent="0.4">
      <c r="A190" s="25" t="s">
        <v>17</v>
      </c>
      <c r="B190" s="26"/>
      <c r="C190" s="26"/>
      <c r="D190" s="26"/>
      <c r="E190" s="26"/>
      <c r="F190" s="26"/>
      <c r="G190" s="27"/>
      <c r="H190" s="18">
        <v>649000</v>
      </c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6.25" x14ac:dyDescent="0.4">
      <c r="A191" s="28" t="s">
        <v>18</v>
      </c>
      <c r="B191" s="26"/>
      <c r="C191" s="26"/>
      <c r="D191" s="26"/>
      <c r="E191" s="26"/>
      <c r="F191" s="26"/>
      <c r="G191" s="26"/>
      <c r="H191" s="27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25"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25"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7" spans="1:26" ht="15.75" customHeight="1" x14ac:dyDescent="0.4">
      <c r="A197" s="28" t="s">
        <v>0</v>
      </c>
      <c r="B197" s="26"/>
      <c r="C197" s="26"/>
      <c r="D197" s="26"/>
      <c r="E197" s="26"/>
      <c r="F197" s="26"/>
      <c r="G197" s="26"/>
      <c r="H197" s="27"/>
    </row>
    <row r="198" spans="1:26" ht="15.75" customHeight="1" x14ac:dyDescent="0.4">
      <c r="A198" s="28" t="s">
        <v>76</v>
      </c>
      <c r="B198" s="26"/>
      <c r="C198" s="26"/>
      <c r="D198" s="26"/>
      <c r="E198" s="26"/>
      <c r="F198" s="26"/>
      <c r="G198" s="26"/>
      <c r="H198" s="27"/>
    </row>
    <row r="199" spans="1:26" ht="15.75" customHeight="1" x14ac:dyDescent="0.3">
      <c r="A199" s="3" t="s">
        <v>2</v>
      </c>
      <c r="B199" s="3" t="s">
        <v>3</v>
      </c>
      <c r="C199" s="3" t="s">
        <v>4</v>
      </c>
      <c r="D199" s="3" t="s">
        <v>5</v>
      </c>
      <c r="E199" s="3" t="s">
        <v>6</v>
      </c>
      <c r="F199" s="4" t="s">
        <v>7</v>
      </c>
      <c r="G199" s="3" t="s">
        <v>8</v>
      </c>
      <c r="H199" s="5"/>
    </row>
    <row r="200" spans="1:26" ht="26.25" x14ac:dyDescent="0.4">
      <c r="A200" s="6">
        <v>1</v>
      </c>
      <c r="B200" s="8" t="s">
        <v>77</v>
      </c>
      <c r="C200" s="12" t="s">
        <v>78</v>
      </c>
      <c r="D200" s="8" t="s">
        <v>11</v>
      </c>
      <c r="E200" s="8">
        <v>2</v>
      </c>
      <c r="F200" s="9">
        <v>293000</v>
      </c>
      <c r="G200" s="10">
        <f t="shared" ref="G200:G202" si="14">IFERROR(E200*F200,0)</f>
        <v>586000</v>
      </c>
      <c r="H200" s="1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6.25" x14ac:dyDescent="0.4">
      <c r="A201" s="6">
        <v>2</v>
      </c>
      <c r="B201" s="13" t="s">
        <v>79</v>
      </c>
      <c r="C201" s="19" t="s">
        <v>80</v>
      </c>
      <c r="D201" s="13" t="s">
        <v>13</v>
      </c>
      <c r="E201" s="13">
        <v>1.28</v>
      </c>
      <c r="F201" s="14">
        <v>435000</v>
      </c>
      <c r="G201" s="10">
        <f t="shared" si="14"/>
        <v>556800</v>
      </c>
      <c r="H201" s="1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6.25" x14ac:dyDescent="0.4">
      <c r="A202" s="6">
        <v>3</v>
      </c>
      <c r="B202" s="15" t="s">
        <v>14</v>
      </c>
      <c r="C202" s="11"/>
      <c r="D202" s="11"/>
      <c r="E202" s="11"/>
      <c r="F202" s="11"/>
      <c r="G202" s="16">
        <f t="shared" si="14"/>
        <v>0</v>
      </c>
      <c r="H202" s="1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6.25" x14ac:dyDescent="0.4">
      <c r="A203" s="29" t="s">
        <v>15</v>
      </c>
      <c r="B203" s="26"/>
      <c r="C203" s="26"/>
      <c r="D203" s="26"/>
      <c r="E203" s="26"/>
      <c r="F203" s="26"/>
      <c r="G203" s="27"/>
      <c r="H203" s="17">
        <f>SUM(G200:G202)</f>
        <v>1142800</v>
      </c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6.25" x14ac:dyDescent="0.4">
      <c r="A204" s="29" t="s">
        <v>16</v>
      </c>
      <c r="B204" s="26"/>
      <c r="C204" s="26"/>
      <c r="D204" s="26"/>
      <c r="E204" s="26"/>
      <c r="F204" s="26"/>
      <c r="G204" s="27"/>
      <c r="H204" s="17">
        <f>MAX(0,H203-648000)</f>
        <v>494800</v>
      </c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6.25" x14ac:dyDescent="0.4">
      <c r="A205" s="25" t="s">
        <v>17</v>
      </c>
      <c r="B205" s="26"/>
      <c r="C205" s="26"/>
      <c r="D205" s="26"/>
      <c r="E205" s="26"/>
      <c r="F205" s="26"/>
      <c r="G205" s="27"/>
      <c r="H205" s="18">
        <v>649000</v>
      </c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6.25" x14ac:dyDescent="0.4">
      <c r="A206" s="28" t="s">
        <v>18</v>
      </c>
      <c r="B206" s="26"/>
      <c r="C206" s="26"/>
      <c r="D206" s="26"/>
      <c r="E206" s="26"/>
      <c r="F206" s="26"/>
      <c r="G206" s="26"/>
      <c r="H206" s="27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25"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25"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25"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3" spans="1:26" ht="15.75" customHeight="1" x14ac:dyDescent="0.4">
      <c r="A213" s="28" t="s">
        <v>0</v>
      </c>
      <c r="B213" s="26"/>
      <c r="C213" s="26"/>
      <c r="D213" s="26"/>
      <c r="E213" s="26"/>
      <c r="F213" s="26"/>
      <c r="G213" s="26"/>
      <c r="H213" s="27"/>
    </row>
    <row r="214" spans="1:26" ht="15.75" customHeight="1" x14ac:dyDescent="0.4">
      <c r="A214" s="28" t="s">
        <v>81</v>
      </c>
      <c r="B214" s="26"/>
      <c r="C214" s="26"/>
      <c r="D214" s="26"/>
      <c r="E214" s="26"/>
      <c r="F214" s="26"/>
      <c r="G214" s="26"/>
      <c r="H214" s="27"/>
    </row>
    <row r="215" spans="1:26" ht="18.75" x14ac:dyDescent="0.3">
      <c r="A215" s="3" t="s">
        <v>2</v>
      </c>
      <c r="B215" s="3" t="s">
        <v>3</v>
      </c>
      <c r="C215" s="3" t="s">
        <v>4</v>
      </c>
      <c r="D215" s="3" t="s">
        <v>5</v>
      </c>
      <c r="E215" s="3" t="s">
        <v>6</v>
      </c>
      <c r="F215" s="4" t="s">
        <v>7</v>
      </c>
      <c r="G215" s="3" t="s">
        <v>8</v>
      </c>
      <c r="H215" s="5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6.25" x14ac:dyDescent="0.4">
      <c r="A216" s="6">
        <v>1</v>
      </c>
      <c r="B216" s="8" t="s">
        <v>77</v>
      </c>
      <c r="C216" s="12" t="s">
        <v>82</v>
      </c>
      <c r="D216" s="8" t="s">
        <v>11</v>
      </c>
      <c r="E216" s="8">
        <v>2.82</v>
      </c>
      <c r="F216" s="9">
        <v>293000</v>
      </c>
      <c r="G216" s="10">
        <f t="shared" ref="G216:G218" si="15">IFERROR(E216*F216,0)</f>
        <v>826260</v>
      </c>
      <c r="H216" s="1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6.25" x14ac:dyDescent="0.4">
      <c r="A217" s="6">
        <v>2</v>
      </c>
      <c r="B217" s="13" t="s">
        <v>55</v>
      </c>
      <c r="C217" s="19" t="s">
        <v>83</v>
      </c>
      <c r="D217" s="13" t="s">
        <v>13</v>
      </c>
      <c r="E217" s="13">
        <v>0.76</v>
      </c>
      <c r="F217" s="14">
        <v>435000</v>
      </c>
      <c r="G217" s="10">
        <f t="shared" si="15"/>
        <v>330600</v>
      </c>
      <c r="H217" s="1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6.25" x14ac:dyDescent="0.4">
      <c r="A218" s="6">
        <v>3</v>
      </c>
      <c r="B218" s="15" t="s">
        <v>14</v>
      </c>
      <c r="C218" s="11"/>
      <c r="D218" s="11"/>
      <c r="E218" s="11"/>
      <c r="F218" s="11"/>
      <c r="G218" s="16">
        <f t="shared" si="15"/>
        <v>0</v>
      </c>
      <c r="H218" s="1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6.25" x14ac:dyDescent="0.4">
      <c r="A219" s="29" t="s">
        <v>15</v>
      </c>
      <c r="B219" s="26"/>
      <c r="C219" s="26"/>
      <c r="D219" s="26"/>
      <c r="E219" s="26"/>
      <c r="F219" s="26"/>
      <c r="G219" s="27"/>
      <c r="H219" s="17">
        <f>SUM(G216:G218)</f>
        <v>1156860</v>
      </c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6.25" x14ac:dyDescent="0.4">
      <c r="A220" s="29" t="s">
        <v>16</v>
      </c>
      <c r="B220" s="26"/>
      <c r="C220" s="26"/>
      <c r="D220" s="26"/>
      <c r="E220" s="26"/>
      <c r="F220" s="26"/>
      <c r="G220" s="27"/>
      <c r="H220" s="17">
        <f>MAX(0,H219-648000)</f>
        <v>508860</v>
      </c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6.25" x14ac:dyDescent="0.4">
      <c r="A221" s="25" t="s">
        <v>17</v>
      </c>
      <c r="B221" s="26"/>
      <c r="C221" s="26"/>
      <c r="D221" s="26"/>
      <c r="E221" s="26"/>
      <c r="F221" s="26"/>
      <c r="G221" s="27"/>
      <c r="H221" s="18">
        <v>649000</v>
      </c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6.25" x14ac:dyDescent="0.4">
      <c r="A222" s="28" t="s">
        <v>18</v>
      </c>
      <c r="B222" s="26"/>
      <c r="C222" s="26"/>
      <c r="D222" s="26"/>
      <c r="E222" s="26"/>
      <c r="F222" s="26"/>
      <c r="G222" s="26"/>
      <c r="H222" s="27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25"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25"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8" spans="1:26" ht="15.75" customHeight="1" x14ac:dyDescent="0.4">
      <c r="A228" s="28" t="s">
        <v>0</v>
      </c>
      <c r="B228" s="26"/>
      <c r="C228" s="26"/>
      <c r="D228" s="26"/>
      <c r="E228" s="26"/>
      <c r="F228" s="26"/>
      <c r="G228" s="26"/>
      <c r="H228" s="27"/>
    </row>
    <row r="229" spans="1:26" ht="15.75" customHeight="1" x14ac:dyDescent="0.4">
      <c r="A229" s="28" t="s">
        <v>84</v>
      </c>
      <c r="B229" s="26"/>
      <c r="C229" s="26"/>
      <c r="D229" s="26"/>
      <c r="E229" s="26"/>
      <c r="F229" s="26"/>
      <c r="G229" s="26"/>
      <c r="H229" s="27"/>
    </row>
    <row r="230" spans="1:26" ht="15.75" customHeight="1" x14ac:dyDescent="0.3">
      <c r="A230" s="3" t="s">
        <v>2</v>
      </c>
      <c r="B230" s="3" t="s">
        <v>3</v>
      </c>
      <c r="C230" s="3" t="s">
        <v>4</v>
      </c>
      <c r="D230" s="3" t="s">
        <v>5</v>
      </c>
      <c r="E230" s="3" t="s">
        <v>6</v>
      </c>
      <c r="F230" s="4" t="s">
        <v>7</v>
      </c>
      <c r="G230" s="3" t="s">
        <v>8</v>
      </c>
      <c r="H230" s="5"/>
    </row>
    <row r="231" spans="1:26" ht="26.25" x14ac:dyDescent="0.4">
      <c r="A231" s="6">
        <v>1</v>
      </c>
      <c r="B231" s="8" t="s">
        <v>41</v>
      </c>
      <c r="C231" s="12" t="s">
        <v>85</v>
      </c>
      <c r="D231" s="8" t="s">
        <v>11</v>
      </c>
      <c r="E231" s="8">
        <v>1.5</v>
      </c>
      <c r="F231" s="9">
        <v>293000</v>
      </c>
      <c r="G231" s="10">
        <f t="shared" ref="G231:G233" si="16">IFERROR(E231*F231,0)</f>
        <v>439500</v>
      </c>
      <c r="H231" s="11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6.25" x14ac:dyDescent="0.4">
      <c r="A232" s="6">
        <v>2</v>
      </c>
      <c r="B232" s="13" t="s">
        <v>55</v>
      </c>
      <c r="C232" s="19" t="s">
        <v>86</v>
      </c>
      <c r="D232" s="13" t="s">
        <v>13</v>
      </c>
      <c r="E232" s="13">
        <v>1.77</v>
      </c>
      <c r="F232" s="14">
        <v>435000</v>
      </c>
      <c r="G232" s="10">
        <f t="shared" si="16"/>
        <v>769950</v>
      </c>
      <c r="H232" s="11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6.25" x14ac:dyDescent="0.4">
      <c r="A233" s="6">
        <v>3</v>
      </c>
      <c r="B233" s="15" t="s">
        <v>14</v>
      </c>
      <c r="C233" s="11"/>
      <c r="D233" s="11"/>
      <c r="E233" s="11"/>
      <c r="F233" s="11"/>
      <c r="G233" s="16">
        <f t="shared" si="16"/>
        <v>0</v>
      </c>
      <c r="H233" s="11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6.25" x14ac:dyDescent="0.4">
      <c r="A234" s="29" t="s">
        <v>15</v>
      </c>
      <c r="B234" s="26"/>
      <c r="C234" s="26"/>
      <c r="D234" s="26"/>
      <c r="E234" s="26"/>
      <c r="F234" s="26"/>
      <c r="G234" s="27"/>
      <c r="H234" s="17">
        <f>SUM(G231:G233)</f>
        <v>1209450</v>
      </c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6.25" x14ac:dyDescent="0.4">
      <c r="A235" s="29" t="s">
        <v>16</v>
      </c>
      <c r="B235" s="26"/>
      <c r="C235" s="26"/>
      <c r="D235" s="26"/>
      <c r="E235" s="26"/>
      <c r="F235" s="26"/>
      <c r="G235" s="27"/>
      <c r="H235" s="17">
        <f>MAX(0,H234-648000)</f>
        <v>561450</v>
      </c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6.25" x14ac:dyDescent="0.4">
      <c r="A236" s="25" t="s">
        <v>17</v>
      </c>
      <c r="B236" s="26"/>
      <c r="C236" s="26"/>
      <c r="D236" s="26"/>
      <c r="E236" s="26"/>
      <c r="F236" s="26"/>
      <c r="G236" s="27"/>
      <c r="H236" s="18">
        <v>649000</v>
      </c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6.25" x14ac:dyDescent="0.4">
      <c r="A237" s="28" t="s">
        <v>18</v>
      </c>
      <c r="B237" s="26"/>
      <c r="C237" s="26"/>
      <c r="D237" s="26"/>
      <c r="E237" s="26"/>
      <c r="F237" s="26"/>
      <c r="G237" s="26"/>
      <c r="H237" s="27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25"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25"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25"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4" spans="1:26" ht="15.75" customHeight="1" x14ac:dyDescent="0.4">
      <c r="A244" s="28" t="s">
        <v>0</v>
      </c>
      <c r="B244" s="26"/>
      <c r="C244" s="26"/>
      <c r="D244" s="26"/>
      <c r="E244" s="26"/>
      <c r="F244" s="26"/>
      <c r="G244" s="26"/>
      <c r="H244" s="27"/>
    </row>
    <row r="245" spans="1:26" ht="15.75" customHeight="1" x14ac:dyDescent="0.4">
      <c r="A245" s="28" t="s">
        <v>87</v>
      </c>
      <c r="B245" s="26"/>
      <c r="C245" s="26"/>
      <c r="D245" s="26"/>
      <c r="E245" s="26"/>
      <c r="F245" s="26"/>
      <c r="G245" s="26"/>
      <c r="H245" s="27"/>
    </row>
    <row r="246" spans="1:26" ht="18.75" x14ac:dyDescent="0.3">
      <c r="A246" s="3" t="s">
        <v>2</v>
      </c>
      <c r="B246" s="3" t="s">
        <v>3</v>
      </c>
      <c r="C246" s="3" t="s">
        <v>4</v>
      </c>
      <c r="D246" s="3" t="s">
        <v>5</v>
      </c>
      <c r="E246" s="3" t="s">
        <v>6</v>
      </c>
      <c r="F246" s="4" t="s">
        <v>7</v>
      </c>
      <c r="G246" s="3" t="s">
        <v>8</v>
      </c>
      <c r="H246" s="5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6.25" x14ac:dyDescent="0.4">
      <c r="A247" s="6">
        <v>1</v>
      </c>
      <c r="B247" s="8" t="s">
        <v>88</v>
      </c>
      <c r="C247" s="12" t="s">
        <v>89</v>
      </c>
      <c r="D247" s="8" t="s">
        <v>11</v>
      </c>
      <c r="E247" s="8">
        <v>2.7</v>
      </c>
      <c r="F247" s="9">
        <v>293000</v>
      </c>
      <c r="G247" s="10">
        <f t="shared" ref="G247:G249" si="17">IFERROR(E247*F247,0)</f>
        <v>791100</v>
      </c>
      <c r="H247" s="11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6.25" x14ac:dyDescent="0.4">
      <c r="A248" s="6">
        <v>2</v>
      </c>
      <c r="B248" s="13" t="s">
        <v>25</v>
      </c>
      <c r="C248" s="19" t="s">
        <v>90</v>
      </c>
      <c r="D248" s="13" t="s">
        <v>13</v>
      </c>
      <c r="E248" s="13">
        <v>0.83</v>
      </c>
      <c r="F248" s="14">
        <v>435000</v>
      </c>
      <c r="G248" s="10">
        <f t="shared" si="17"/>
        <v>361050</v>
      </c>
      <c r="H248" s="11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6.25" x14ac:dyDescent="0.4">
      <c r="A249" s="6">
        <v>3</v>
      </c>
      <c r="B249" s="15" t="s">
        <v>14</v>
      </c>
      <c r="C249" s="11"/>
      <c r="D249" s="11"/>
      <c r="E249" s="11"/>
      <c r="F249" s="11"/>
      <c r="G249" s="16">
        <f t="shared" si="17"/>
        <v>0</v>
      </c>
      <c r="H249" s="11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6.25" x14ac:dyDescent="0.4">
      <c r="A250" s="29" t="s">
        <v>15</v>
      </c>
      <c r="B250" s="26"/>
      <c r="C250" s="26"/>
      <c r="D250" s="26"/>
      <c r="E250" s="26"/>
      <c r="F250" s="26"/>
      <c r="G250" s="27"/>
      <c r="H250" s="17">
        <f>SUM(G247:G249)</f>
        <v>1152150</v>
      </c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6.25" x14ac:dyDescent="0.4">
      <c r="A251" s="29" t="s">
        <v>16</v>
      </c>
      <c r="B251" s="26"/>
      <c r="C251" s="26"/>
      <c r="D251" s="26"/>
      <c r="E251" s="26"/>
      <c r="F251" s="26"/>
      <c r="G251" s="27"/>
      <c r="H251" s="17">
        <f>MAX(0,H250-648000)</f>
        <v>504150</v>
      </c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6.25" x14ac:dyDescent="0.4">
      <c r="A252" s="25" t="s">
        <v>17</v>
      </c>
      <c r="B252" s="26"/>
      <c r="C252" s="26"/>
      <c r="D252" s="26"/>
      <c r="E252" s="26"/>
      <c r="F252" s="26"/>
      <c r="G252" s="27"/>
      <c r="H252" s="18">
        <v>649000</v>
      </c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6.25" x14ac:dyDescent="0.4">
      <c r="A253" s="28" t="s">
        <v>18</v>
      </c>
      <c r="B253" s="26"/>
      <c r="C253" s="26"/>
      <c r="D253" s="26"/>
      <c r="E253" s="26"/>
      <c r="F253" s="26"/>
      <c r="G253" s="26"/>
      <c r="H253" s="27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25"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25"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9" spans="1:26" ht="15.75" customHeight="1" x14ac:dyDescent="0.4">
      <c r="A259" s="28" t="s">
        <v>0</v>
      </c>
      <c r="B259" s="26"/>
      <c r="C259" s="26"/>
      <c r="D259" s="26"/>
      <c r="E259" s="26"/>
      <c r="F259" s="26"/>
      <c r="G259" s="26"/>
      <c r="H259" s="27"/>
    </row>
    <row r="260" spans="1:26" ht="26.25" x14ac:dyDescent="0.4">
      <c r="A260" s="28" t="s">
        <v>91</v>
      </c>
      <c r="B260" s="26"/>
      <c r="C260" s="26"/>
      <c r="D260" s="26"/>
      <c r="E260" s="26"/>
      <c r="F260" s="26"/>
      <c r="G260" s="26"/>
      <c r="H260" s="27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.75" x14ac:dyDescent="0.3">
      <c r="A261" s="3" t="s">
        <v>2</v>
      </c>
      <c r="B261" s="3" t="s">
        <v>3</v>
      </c>
      <c r="C261" s="3" t="s">
        <v>4</v>
      </c>
      <c r="D261" s="3" t="s">
        <v>5</v>
      </c>
      <c r="E261" s="3" t="s">
        <v>6</v>
      </c>
      <c r="F261" s="4" t="s">
        <v>7</v>
      </c>
      <c r="G261" s="3" t="s">
        <v>8</v>
      </c>
      <c r="H261" s="5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6.25" x14ac:dyDescent="0.4">
      <c r="A262" s="6">
        <v>1</v>
      </c>
      <c r="B262" s="8" t="s">
        <v>92</v>
      </c>
      <c r="C262" s="12" t="s">
        <v>93</v>
      </c>
      <c r="D262" s="8" t="s">
        <v>11</v>
      </c>
      <c r="E262" s="8">
        <v>2</v>
      </c>
      <c r="F262" s="9">
        <v>293000</v>
      </c>
      <c r="G262" s="10">
        <f t="shared" ref="G262:G264" si="18">IFERROR(E262*F262,0)</f>
        <v>586000</v>
      </c>
      <c r="H262" s="11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6.25" x14ac:dyDescent="0.4">
      <c r="A263" s="6">
        <v>2</v>
      </c>
      <c r="B263" s="13" t="s">
        <v>94</v>
      </c>
      <c r="C263" s="19" t="s">
        <v>95</v>
      </c>
      <c r="D263" s="13" t="s">
        <v>13</v>
      </c>
      <c r="E263" s="13">
        <v>1.23</v>
      </c>
      <c r="F263" s="14">
        <v>435000</v>
      </c>
      <c r="G263" s="10">
        <f t="shared" si="18"/>
        <v>535050</v>
      </c>
      <c r="H263" s="11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6.25" x14ac:dyDescent="0.4">
      <c r="A264" s="6">
        <v>3</v>
      </c>
      <c r="B264" s="15" t="s">
        <v>14</v>
      </c>
      <c r="C264" s="11"/>
      <c r="D264" s="11"/>
      <c r="E264" s="11"/>
      <c r="F264" s="11"/>
      <c r="G264" s="16">
        <f t="shared" si="18"/>
        <v>0</v>
      </c>
      <c r="H264" s="11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6.25" x14ac:dyDescent="0.4">
      <c r="A265" s="29" t="s">
        <v>15</v>
      </c>
      <c r="B265" s="26"/>
      <c r="C265" s="26"/>
      <c r="D265" s="26"/>
      <c r="E265" s="26"/>
      <c r="F265" s="26"/>
      <c r="G265" s="27"/>
      <c r="H265" s="17">
        <f>SUM(G262:G264)</f>
        <v>1121050</v>
      </c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6.25" x14ac:dyDescent="0.4">
      <c r="A266" s="29" t="s">
        <v>16</v>
      </c>
      <c r="B266" s="26"/>
      <c r="C266" s="26"/>
      <c r="D266" s="26"/>
      <c r="E266" s="26"/>
      <c r="F266" s="26"/>
      <c r="G266" s="27"/>
      <c r="H266" s="17">
        <f>MAX(0,H265-648000)</f>
        <v>473050</v>
      </c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6.25" x14ac:dyDescent="0.4">
      <c r="A267" s="25" t="s">
        <v>17</v>
      </c>
      <c r="B267" s="26"/>
      <c r="C267" s="26"/>
      <c r="D267" s="26"/>
      <c r="E267" s="26"/>
      <c r="F267" s="26"/>
      <c r="G267" s="27"/>
      <c r="H267" s="18">
        <v>649000</v>
      </c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6.25" x14ac:dyDescent="0.4">
      <c r="A268" s="28" t="s">
        <v>18</v>
      </c>
      <c r="B268" s="26"/>
      <c r="C268" s="26"/>
      <c r="D268" s="26"/>
      <c r="E268" s="26"/>
      <c r="F268" s="26"/>
      <c r="G268" s="26"/>
      <c r="H268" s="27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25"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3" spans="1:26" ht="15.75" customHeight="1" x14ac:dyDescent="0.4">
      <c r="A273" s="28" t="s">
        <v>0</v>
      </c>
      <c r="B273" s="26"/>
      <c r="C273" s="26"/>
      <c r="D273" s="26"/>
      <c r="E273" s="26"/>
      <c r="F273" s="26"/>
      <c r="G273" s="26"/>
      <c r="H273" s="27"/>
    </row>
    <row r="274" spans="1:26" ht="15.75" customHeight="1" x14ac:dyDescent="0.4">
      <c r="A274" s="28" t="s">
        <v>96</v>
      </c>
      <c r="B274" s="26"/>
      <c r="C274" s="26"/>
      <c r="D274" s="26"/>
      <c r="E274" s="26"/>
      <c r="F274" s="26"/>
      <c r="G274" s="26"/>
      <c r="H274" s="27"/>
    </row>
    <row r="275" spans="1:26" ht="18.75" x14ac:dyDescent="0.3">
      <c r="A275" s="3" t="s">
        <v>2</v>
      </c>
      <c r="B275" s="3" t="s">
        <v>3</v>
      </c>
      <c r="C275" s="3" t="s">
        <v>4</v>
      </c>
      <c r="D275" s="3" t="s">
        <v>5</v>
      </c>
      <c r="E275" s="3" t="s">
        <v>6</v>
      </c>
      <c r="F275" s="4" t="s">
        <v>7</v>
      </c>
      <c r="G275" s="3" t="s">
        <v>8</v>
      </c>
      <c r="H275" s="5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6.25" x14ac:dyDescent="0.4">
      <c r="A276" s="6">
        <v>1</v>
      </c>
      <c r="B276" s="8" t="s">
        <v>97</v>
      </c>
      <c r="C276" s="12">
        <v>5014</v>
      </c>
      <c r="D276" s="8" t="s">
        <v>11</v>
      </c>
      <c r="E276" s="8">
        <v>2</v>
      </c>
      <c r="F276" s="9">
        <v>293000</v>
      </c>
      <c r="G276" s="10">
        <f t="shared" ref="G276:G278" si="19">IFERROR(E276*F276,0)</f>
        <v>586000</v>
      </c>
      <c r="H276" s="11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6.25" x14ac:dyDescent="0.4">
      <c r="A277" s="6">
        <v>2</v>
      </c>
      <c r="B277" s="13" t="s">
        <v>98</v>
      </c>
      <c r="C277" s="19" t="s">
        <v>99</v>
      </c>
      <c r="D277" s="13" t="s">
        <v>13</v>
      </c>
      <c r="E277" s="13">
        <v>1.37</v>
      </c>
      <c r="F277" s="14">
        <v>435000</v>
      </c>
      <c r="G277" s="10">
        <f t="shared" si="19"/>
        <v>595950</v>
      </c>
      <c r="H277" s="11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6.25" x14ac:dyDescent="0.4">
      <c r="A278" s="6">
        <v>3</v>
      </c>
      <c r="B278" s="15" t="s">
        <v>14</v>
      </c>
      <c r="C278" s="11"/>
      <c r="D278" s="11"/>
      <c r="E278" s="11"/>
      <c r="F278" s="11"/>
      <c r="G278" s="16">
        <f t="shared" si="19"/>
        <v>0</v>
      </c>
      <c r="H278" s="11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6.25" x14ac:dyDescent="0.4">
      <c r="A279" s="29" t="s">
        <v>15</v>
      </c>
      <c r="B279" s="26"/>
      <c r="C279" s="26"/>
      <c r="D279" s="26"/>
      <c r="E279" s="26"/>
      <c r="F279" s="26"/>
      <c r="G279" s="27"/>
      <c r="H279" s="17">
        <f>SUM(G276:G278)</f>
        <v>1181950</v>
      </c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6.25" x14ac:dyDescent="0.4">
      <c r="A280" s="29" t="s">
        <v>16</v>
      </c>
      <c r="B280" s="26"/>
      <c r="C280" s="26"/>
      <c r="D280" s="26"/>
      <c r="E280" s="26"/>
      <c r="F280" s="26"/>
      <c r="G280" s="27"/>
      <c r="H280" s="17">
        <f>MAX(0,H279-648000)</f>
        <v>533950</v>
      </c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6.25" x14ac:dyDescent="0.4">
      <c r="A281" s="25" t="s">
        <v>17</v>
      </c>
      <c r="B281" s="26"/>
      <c r="C281" s="26"/>
      <c r="D281" s="26"/>
      <c r="E281" s="26"/>
      <c r="F281" s="26"/>
      <c r="G281" s="27"/>
      <c r="H281" s="18">
        <v>649000</v>
      </c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6.25" x14ac:dyDescent="0.4">
      <c r="A282" s="28" t="s">
        <v>18</v>
      </c>
      <c r="B282" s="26"/>
      <c r="C282" s="26"/>
      <c r="D282" s="26"/>
      <c r="E282" s="26"/>
      <c r="F282" s="26"/>
      <c r="G282" s="26"/>
      <c r="H282" s="27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25"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25"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8" spans="1:26" ht="15.75" customHeight="1" x14ac:dyDescent="0.4">
      <c r="A288" s="28" t="s">
        <v>0</v>
      </c>
      <c r="B288" s="26"/>
      <c r="C288" s="26"/>
      <c r="D288" s="26"/>
      <c r="E288" s="26"/>
      <c r="F288" s="26"/>
      <c r="G288" s="26"/>
      <c r="H288" s="27"/>
    </row>
    <row r="289" spans="1:26" ht="15.75" customHeight="1" x14ac:dyDescent="0.4">
      <c r="A289" s="28" t="s">
        <v>100</v>
      </c>
      <c r="B289" s="26"/>
      <c r="C289" s="26"/>
      <c r="D289" s="26"/>
      <c r="E289" s="26"/>
      <c r="F289" s="26"/>
      <c r="G289" s="26"/>
      <c r="H289" s="27"/>
    </row>
    <row r="290" spans="1:26" ht="15.75" customHeight="1" x14ac:dyDescent="0.3">
      <c r="A290" s="3" t="s">
        <v>2</v>
      </c>
      <c r="B290" s="3" t="s">
        <v>3</v>
      </c>
      <c r="C290" s="3" t="s">
        <v>4</v>
      </c>
      <c r="D290" s="3" t="s">
        <v>5</v>
      </c>
      <c r="E290" s="3" t="s">
        <v>6</v>
      </c>
      <c r="F290" s="4" t="s">
        <v>7</v>
      </c>
      <c r="G290" s="3" t="s">
        <v>8</v>
      </c>
      <c r="H290" s="5"/>
    </row>
    <row r="291" spans="1:26" ht="26.25" x14ac:dyDescent="0.4">
      <c r="A291" s="6">
        <v>1</v>
      </c>
      <c r="B291" s="8" t="s">
        <v>101</v>
      </c>
      <c r="C291" s="12" t="s">
        <v>102</v>
      </c>
      <c r="D291" s="8" t="s">
        <v>11</v>
      </c>
      <c r="E291" s="8">
        <v>2.5</v>
      </c>
      <c r="F291" s="9">
        <v>293000</v>
      </c>
      <c r="G291" s="10">
        <f t="shared" ref="G291:G293" si="20">IFERROR(E291*F291,0)</f>
        <v>732500</v>
      </c>
      <c r="H291" s="11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6.25" x14ac:dyDescent="0.4">
      <c r="A292" s="6">
        <v>2</v>
      </c>
      <c r="B292" s="13" t="s">
        <v>103</v>
      </c>
      <c r="C292" s="19" t="s">
        <v>104</v>
      </c>
      <c r="D292" s="13" t="s">
        <v>13</v>
      </c>
      <c r="E292" s="13">
        <v>1.1000000000000001</v>
      </c>
      <c r="F292" s="14">
        <v>435000</v>
      </c>
      <c r="G292" s="10">
        <f t="shared" si="20"/>
        <v>478500.00000000006</v>
      </c>
      <c r="H292" s="11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6.25" x14ac:dyDescent="0.4">
      <c r="A293" s="6">
        <v>3</v>
      </c>
      <c r="B293" s="15" t="s">
        <v>14</v>
      </c>
      <c r="C293" s="11"/>
      <c r="D293" s="11"/>
      <c r="E293" s="11"/>
      <c r="F293" s="11"/>
      <c r="G293" s="16">
        <f t="shared" si="20"/>
        <v>0</v>
      </c>
      <c r="H293" s="11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6.25" x14ac:dyDescent="0.4">
      <c r="A294" s="29" t="s">
        <v>15</v>
      </c>
      <c r="B294" s="26"/>
      <c r="C294" s="26"/>
      <c r="D294" s="26"/>
      <c r="E294" s="26"/>
      <c r="F294" s="26"/>
      <c r="G294" s="27"/>
      <c r="H294" s="17">
        <f>SUM(G291:G293)</f>
        <v>1211000</v>
      </c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6.25" x14ac:dyDescent="0.4">
      <c r="A295" s="29" t="s">
        <v>16</v>
      </c>
      <c r="B295" s="26"/>
      <c r="C295" s="26"/>
      <c r="D295" s="26"/>
      <c r="E295" s="26"/>
      <c r="F295" s="26"/>
      <c r="G295" s="27"/>
      <c r="H295" s="17">
        <f>MAX(0,H294-648000)</f>
        <v>563000</v>
      </c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6.25" x14ac:dyDescent="0.4">
      <c r="A296" s="25" t="s">
        <v>17</v>
      </c>
      <c r="B296" s="26"/>
      <c r="C296" s="26"/>
      <c r="D296" s="26"/>
      <c r="E296" s="26"/>
      <c r="F296" s="26"/>
      <c r="G296" s="27"/>
      <c r="H296" s="18">
        <v>649000</v>
      </c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6.25" x14ac:dyDescent="0.4">
      <c r="A297" s="28" t="s">
        <v>18</v>
      </c>
      <c r="B297" s="26"/>
      <c r="C297" s="26"/>
      <c r="D297" s="26"/>
      <c r="E297" s="26"/>
      <c r="F297" s="26"/>
      <c r="G297" s="26"/>
      <c r="H297" s="27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25"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25"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25"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4" spans="1:26" ht="15.75" customHeight="1" x14ac:dyDescent="0.4">
      <c r="A304" s="28" t="s">
        <v>0</v>
      </c>
      <c r="B304" s="26"/>
      <c r="C304" s="26"/>
      <c r="D304" s="26"/>
      <c r="E304" s="26"/>
      <c r="F304" s="26"/>
      <c r="G304" s="26"/>
      <c r="H304" s="27"/>
    </row>
    <row r="305" spans="1:26" ht="26.25" x14ac:dyDescent="0.4">
      <c r="A305" s="28" t="s">
        <v>105</v>
      </c>
      <c r="B305" s="26"/>
      <c r="C305" s="26"/>
      <c r="D305" s="26"/>
      <c r="E305" s="26"/>
      <c r="F305" s="26"/>
      <c r="G305" s="26"/>
      <c r="H305" s="27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.75" x14ac:dyDescent="0.3">
      <c r="A306" s="3" t="s">
        <v>2</v>
      </c>
      <c r="B306" s="3" t="s">
        <v>3</v>
      </c>
      <c r="C306" s="3" t="s">
        <v>4</v>
      </c>
      <c r="D306" s="3" t="s">
        <v>5</v>
      </c>
      <c r="E306" s="3" t="s">
        <v>6</v>
      </c>
      <c r="F306" s="4" t="s">
        <v>7</v>
      </c>
      <c r="G306" s="3" t="s">
        <v>8</v>
      </c>
      <c r="H306" s="5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6.25" x14ac:dyDescent="0.4">
      <c r="A307" s="6">
        <v>1</v>
      </c>
      <c r="B307" s="8" t="s">
        <v>106</v>
      </c>
      <c r="C307" s="12" t="s">
        <v>107</v>
      </c>
      <c r="D307" s="8" t="s">
        <v>11</v>
      </c>
      <c r="E307" s="8">
        <v>1.63</v>
      </c>
      <c r="F307" s="9">
        <v>293000</v>
      </c>
      <c r="G307" s="10">
        <f t="shared" ref="G307:G309" si="21">IFERROR(E307*F307,0)</f>
        <v>477589.99999999994</v>
      </c>
      <c r="H307" s="11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6.25" x14ac:dyDescent="0.4">
      <c r="A308" s="6">
        <v>2</v>
      </c>
      <c r="B308" s="13" t="s">
        <v>94</v>
      </c>
      <c r="C308" s="19" t="s">
        <v>108</v>
      </c>
      <c r="D308" s="13" t="s">
        <v>13</v>
      </c>
      <c r="E308" s="13">
        <v>1.66</v>
      </c>
      <c r="F308" s="14">
        <v>435000</v>
      </c>
      <c r="G308" s="10">
        <f t="shared" si="21"/>
        <v>722100</v>
      </c>
      <c r="H308" s="11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6.25" x14ac:dyDescent="0.4">
      <c r="A309" s="6">
        <v>3</v>
      </c>
      <c r="B309" s="15" t="s">
        <v>14</v>
      </c>
      <c r="C309" s="11"/>
      <c r="D309" s="11"/>
      <c r="E309" s="11"/>
      <c r="F309" s="11"/>
      <c r="G309" s="16">
        <f t="shared" si="21"/>
        <v>0</v>
      </c>
      <c r="H309" s="11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6.25" x14ac:dyDescent="0.4">
      <c r="A310" s="29" t="s">
        <v>15</v>
      </c>
      <c r="B310" s="26"/>
      <c r="C310" s="26"/>
      <c r="D310" s="26"/>
      <c r="E310" s="26"/>
      <c r="F310" s="26"/>
      <c r="G310" s="27"/>
      <c r="H310" s="17">
        <f>SUM(G307:G309)</f>
        <v>1199690</v>
      </c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6.25" x14ac:dyDescent="0.4">
      <c r="A311" s="29" t="s">
        <v>16</v>
      </c>
      <c r="B311" s="26"/>
      <c r="C311" s="26"/>
      <c r="D311" s="26"/>
      <c r="E311" s="26"/>
      <c r="F311" s="26"/>
      <c r="G311" s="27"/>
      <c r="H311" s="17">
        <f>MAX(0,H310-648000)</f>
        <v>551690</v>
      </c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6.25" x14ac:dyDescent="0.4">
      <c r="A312" s="25" t="s">
        <v>17</v>
      </c>
      <c r="B312" s="26"/>
      <c r="C312" s="26"/>
      <c r="D312" s="26"/>
      <c r="E312" s="26"/>
      <c r="F312" s="26"/>
      <c r="G312" s="27"/>
      <c r="H312" s="18">
        <v>649000</v>
      </c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6.25" x14ac:dyDescent="0.4">
      <c r="A313" s="28" t="s">
        <v>18</v>
      </c>
      <c r="B313" s="26"/>
      <c r="C313" s="26"/>
      <c r="D313" s="26"/>
      <c r="E313" s="26"/>
      <c r="F313" s="26"/>
      <c r="G313" s="26"/>
      <c r="H313" s="27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25"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8" spans="1:26" ht="15.75" customHeight="1" x14ac:dyDescent="0.4">
      <c r="A318" s="28" t="s">
        <v>0</v>
      </c>
      <c r="B318" s="26"/>
      <c r="C318" s="26"/>
      <c r="D318" s="26"/>
      <c r="E318" s="26"/>
      <c r="F318" s="26"/>
      <c r="G318" s="26"/>
      <c r="H318" s="27"/>
    </row>
    <row r="319" spans="1:26" ht="15.75" customHeight="1" x14ac:dyDescent="0.4">
      <c r="A319" s="28" t="s">
        <v>109</v>
      </c>
      <c r="B319" s="26"/>
      <c r="C319" s="26"/>
      <c r="D319" s="26"/>
      <c r="E319" s="26"/>
      <c r="F319" s="26"/>
      <c r="G319" s="26"/>
      <c r="H319" s="27"/>
    </row>
    <row r="320" spans="1:26" ht="18.75" x14ac:dyDescent="0.3">
      <c r="A320" s="3" t="s">
        <v>2</v>
      </c>
      <c r="B320" s="3" t="s">
        <v>3</v>
      </c>
      <c r="C320" s="3" t="s">
        <v>4</v>
      </c>
      <c r="D320" s="3" t="s">
        <v>5</v>
      </c>
      <c r="E320" s="3" t="s">
        <v>6</v>
      </c>
      <c r="F320" s="4" t="s">
        <v>7</v>
      </c>
      <c r="G320" s="3" t="s">
        <v>8</v>
      </c>
      <c r="H320" s="5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6.25" x14ac:dyDescent="0.4">
      <c r="A321" s="6">
        <v>1</v>
      </c>
      <c r="B321" s="8" t="s">
        <v>110</v>
      </c>
      <c r="C321" s="12" t="s">
        <v>111</v>
      </c>
      <c r="D321" s="8" t="s">
        <v>11</v>
      </c>
      <c r="E321" s="8">
        <v>2.5</v>
      </c>
      <c r="F321" s="9">
        <v>293000</v>
      </c>
      <c r="G321" s="10">
        <f t="shared" ref="G321:G323" si="22">IFERROR(E321*F321,0)</f>
        <v>732500</v>
      </c>
      <c r="H321" s="11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6.25" x14ac:dyDescent="0.4">
      <c r="A322" s="6">
        <v>2</v>
      </c>
      <c r="B322" s="13" t="s">
        <v>12</v>
      </c>
      <c r="C322" s="19" t="s">
        <v>112</v>
      </c>
      <c r="D322" s="13" t="s">
        <v>13</v>
      </c>
      <c r="E322" s="13">
        <v>1</v>
      </c>
      <c r="F322" s="14">
        <v>435000</v>
      </c>
      <c r="G322" s="10">
        <f t="shared" si="22"/>
        <v>435000</v>
      </c>
      <c r="H322" s="11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6.25" x14ac:dyDescent="0.4">
      <c r="A323" s="6">
        <v>3</v>
      </c>
      <c r="B323" s="15" t="s">
        <v>14</v>
      </c>
      <c r="C323" s="11"/>
      <c r="D323" s="11"/>
      <c r="E323" s="11"/>
      <c r="F323" s="11"/>
      <c r="G323" s="16">
        <f t="shared" si="22"/>
        <v>0</v>
      </c>
      <c r="H323" s="11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6.25" x14ac:dyDescent="0.4">
      <c r="A324" s="29" t="s">
        <v>15</v>
      </c>
      <c r="B324" s="26"/>
      <c r="C324" s="26"/>
      <c r="D324" s="26"/>
      <c r="E324" s="26"/>
      <c r="F324" s="26"/>
      <c r="G324" s="27"/>
      <c r="H324" s="17">
        <f>SUM(G321:G323)</f>
        <v>1167500</v>
      </c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6.25" x14ac:dyDescent="0.4">
      <c r="A325" s="29" t="s">
        <v>16</v>
      </c>
      <c r="B325" s="26"/>
      <c r="C325" s="26"/>
      <c r="D325" s="26"/>
      <c r="E325" s="26"/>
      <c r="F325" s="26"/>
      <c r="G325" s="27"/>
      <c r="H325" s="17">
        <f>MAX(0,H324-648000)</f>
        <v>519500</v>
      </c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6.25" x14ac:dyDescent="0.4">
      <c r="A326" s="25" t="s">
        <v>17</v>
      </c>
      <c r="B326" s="26"/>
      <c r="C326" s="26"/>
      <c r="D326" s="26"/>
      <c r="E326" s="26"/>
      <c r="F326" s="26"/>
      <c r="G326" s="27"/>
      <c r="H326" s="18">
        <v>649000</v>
      </c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6.25" x14ac:dyDescent="0.4">
      <c r="A327" s="28" t="s">
        <v>18</v>
      </c>
      <c r="B327" s="26"/>
      <c r="C327" s="26"/>
      <c r="D327" s="26"/>
      <c r="E327" s="26"/>
      <c r="F327" s="26"/>
      <c r="G327" s="26"/>
      <c r="H327" s="27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25"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25"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3" spans="1:26" ht="15.75" customHeight="1" x14ac:dyDescent="0.4">
      <c r="A333" s="28" t="s">
        <v>0</v>
      </c>
      <c r="B333" s="26"/>
      <c r="C333" s="26"/>
      <c r="D333" s="26"/>
      <c r="E333" s="26"/>
      <c r="F333" s="26"/>
      <c r="G333" s="26"/>
      <c r="H333" s="27"/>
    </row>
    <row r="334" spans="1:26" ht="15.75" customHeight="1" x14ac:dyDescent="0.4">
      <c r="A334" s="28" t="s">
        <v>113</v>
      </c>
      <c r="B334" s="26"/>
      <c r="C334" s="26"/>
      <c r="D334" s="26"/>
      <c r="E334" s="26"/>
      <c r="F334" s="26"/>
      <c r="G334" s="26"/>
      <c r="H334" s="27"/>
    </row>
    <row r="335" spans="1:26" ht="15.75" customHeight="1" x14ac:dyDescent="0.3">
      <c r="A335" s="3" t="s">
        <v>2</v>
      </c>
      <c r="B335" s="3" t="s">
        <v>3</v>
      </c>
      <c r="C335" s="3" t="s">
        <v>4</v>
      </c>
      <c r="D335" s="3" t="s">
        <v>5</v>
      </c>
      <c r="E335" s="3" t="s">
        <v>6</v>
      </c>
      <c r="F335" s="4" t="s">
        <v>7</v>
      </c>
      <c r="G335" s="3" t="s">
        <v>8</v>
      </c>
      <c r="H335" s="5"/>
    </row>
    <row r="336" spans="1:26" ht="26.25" x14ac:dyDescent="0.4">
      <c r="A336" s="6">
        <v>1</v>
      </c>
      <c r="B336" s="8" t="s">
        <v>72</v>
      </c>
      <c r="C336" s="12" t="s">
        <v>114</v>
      </c>
      <c r="D336" s="8" t="s">
        <v>11</v>
      </c>
      <c r="E336" s="8">
        <v>2.5</v>
      </c>
      <c r="F336" s="9">
        <v>293000</v>
      </c>
      <c r="G336" s="10">
        <f t="shared" ref="G336:G338" si="23">IFERROR(E336*F336,0)</f>
        <v>732500</v>
      </c>
      <c r="H336" s="11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6.25" x14ac:dyDescent="0.4">
      <c r="A337" s="6">
        <v>2</v>
      </c>
      <c r="B337" s="13" t="s">
        <v>94</v>
      </c>
      <c r="C337" s="19" t="s">
        <v>115</v>
      </c>
      <c r="D337" s="13" t="s">
        <v>13</v>
      </c>
      <c r="E337" s="13">
        <v>1</v>
      </c>
      <c r="F337" s="14">
        <v>435000</v>
      </c>
      <c r="G337" s="10">
        <f t="shared" si="23"/>
        <v>435000</v>
      </c>
      <c r="H337" s="11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6.25" x14ac:dyDescent="0.4">
      <c r="A338" s="6">
        <v>3</v>
      </c>
      <c r="B338" s="15" t="s">
        <v>14</v>
      </c>
      <c r="C338" s="11"/>
      <c r="D338" s="11"/>
      <c r="E338" s="11" t="s">
        <v>116</v>
      </c>
      <c r="F338" s="11"/>
      <c r="G338" s="16">
        <f t="shared" si="23"/>
        <v>0</v>
      </c>
      <c r="H338" s="11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6.25" x14ac:dyDescent="0.4">
      <c r="A339" s="29" t="s">
        <v>15</v>
      </c>
      <c r="B339" s="26"/>
      <c r="C339" s="26"/>
      <c r="D339" s="26"/>
      <c r="E339" s="26"/>
      <c r="F339" s="26"/>
      <c r="G339" s="27"/>
      <c r="H339" s="17">
        <f>SUM(G336:G338)</f>
        <v>1167500</v>
      </c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6.25" x14ac:dyDescent="0.4">
      <c r="A340" s="29" t="s">
        <v>16</v>
      </c>
      <c r="B340" s="26"/>
      <c r="C340" s="26"/>
      <c r="D340" s="26"/>
      <c r="E340" s="26"/>
      <c r="F340" s="26"/>
      <c r="G340" s="27"/>
      <c r="H340" s="17">
        <f>MAX(0,H339-648000)</f>
        <v>519500</v>
      </c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6.25" x14ac:dyDescent="0.4">
      <c r="A341" s="25" t="s">
        <v>17</v>
      </c>
      <c r="B341" s="26"/>
      <c r="C341" s="26"/>
      <c r="D341" s="26"/>
      <c r="E341" s="26"/>
      <c r="F341" s="26"/>
      <c r="G341" s="27"/>
      <c r="H341" s="18">
        <v>649000</v>
      </c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6.25" x14ac:dyDescent="0.4">
      <c r="A342" s="28" t="s">
        <v>18</v>
      </c>
      <c r="B342" s="26"/>
      <c r="C342" s="26"/>
      <c r="D342" s="26"/>
      <c r="E342" s="26"/>
      <c r="F342" s="26"/>
      <c r="G342" s="26"/>
      <c r="H342" s="27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25"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25"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25"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9" spans="1:26" ht="15.75" customHeight="1" x14ac:dyDescent="0.4">
      <c r="A349" s="28" t="s">
        <v>0</v>
      </c>
      <c r="B349" s="26"/>
      <c r="C349" s="26"/>
      <c r="D349" s="26"/>
      <c r="E349" s="26"/>
      <c r="F349" s="26"/>
      <c r="G349" s="26"/>
      <c r="H349" s="27"/>
    </row>
    <row r="350" spans="1:26" ht="15.75" customHeight="1" x14ac:dyDescent="0.4">
      <c r="A350" s="28" t="s">
        <v>117</v>
      </c>
      <c r="B350" s="26"/>
      <c r="C350" s="26"/>
      <c r="D350" s="26"/>
      <c r="E350" s="26"/>
      <c r="F350" s="26"/>
      <c r="G350" s="26"/>
      <c r="H350" s="27"/>
    </row>
    <row r="351" spans="1:26" ht="18.75" x14ac:dyDescent="0.3">
      <c r="A351" s="3" t="s">
        <v>2</v>
      </c>
      <c r="B351" s="3" t="s">
        <v>3</v>
      </c>
      <c r="C351" s="3" t="s">
        <v>4</v>
      </c>
      <c r="D351" s="3" t="s">
        <v>5</v>
      </c>
      <c r="E351" s="3" t="s">
        <v>6</v>
      </c>
      <c r="F351" s="4" t="s">
        <v>7</v>
      </c>
      <c r="G351" s="3" t="s">
        <v>8</v>
      </c>
      <c r="H351" s="5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6.25" x14ac:dyDescent="0.4">
      <c r="A352" s="6">
        <v>1</v>
      </c>
      <c r="B352" s="8" t="s">
        <v>118</v>
      </c>
      <c r="C352" s="12" t="s">
        <v>119</v>
      </c>
      <c r="D352" s="8" t="s">
        <v>11</v>
      </c>
      <c r="E352" s="8">
        <v>3</v>
      </c>
      <c r="F352" s="9">
        <v>293000</v>
      </c>
      <c r="G352" s="10">
        <f t="shared" ref="G352:G354" si="24">IFERROR(E352*F352,0)</f>
        <v>879000</v>
      </c>
      <c r="H352" s="11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6.25" x14ac:dyDescent="0.4">
      <c r="A353" s="6">
        <v>2</v>
      </c>
      <c r="B353" s="13" t="s">
        <v>98</v>
      </c>
      <c r="C353" s="19" t="s">
        <v>120</v>
      </c>
      <c r="D353" s="13" t="s">
        <v>13</v>
      </c>
      <c r="E353" s="13">
        <v>0.6</v>
      </c>
      <c r="F353" s="14">
        <v>435000</v>
      </c>
      <c r="G353" s="10">
        <f t="shared" si="24"/>
        <v>261000</v>
      </c>
      <c r="H353" s="11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6.25" x14ac:dyDescent="0.4">
      <c r="A354" s="6">
        <v>3</v>
      </c>
      <c r="B354" s="15" t="s">
        <v>14</v>
      </c>
      <c r="C354" s="11"/>
      <c r="D354" s="11"/>
      <c r="E354" s="11"/>
      <c r="F354" s="11"/>
      <c r="G354" s="16">
        <f t="shared" si="24"/>
        <v>0</v>
      </c>
      <c r="H354" s="11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6.25" x14ac:dyDescent="0.4">
      <c r="A355" s="29" t="s">
        <v>15</v>
      </c>
      <c r="B355" s="26"/>
      <c r="C355" s="26"/>
      <c r="D355" s="26"/>
      <c r="E355" s="26"/>
      <c r="F355" s="26"/>
      <c r="G355" s="27"/>
      <c r="H355" s="17">
        <f>SUM(G352:G354)</f>
        <v>1140000</v>
      </c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6.25" x14ac:dyDescent="0.4">
      <c r="A356" s="29" t="s">
        <v>16</v>
      </c>
      <c r="B356" s="26"/>
      <c r="C356" s="26"/>
      <c r="D356" s="26"/>
      <c r="E356" s="26"/>
      <c r="F356" s="26"/>
      <c r="G356" s="27"/>
      <c r="H356" s="17">
        <f>MAX(0,H355-648000)</f>
        <v>492000</v>
      </c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6.25" x14ac:dyDescent="0.4">
      <c r="A357" s="25" t="s">
        <v>17</v>
      </c>
      <c r="B357" s="26"/>
      <c r="C357" s="26"/>
      <c r="D357" s="26"/>
      <c r="E357" s="26"/>
      <c r="F357" s="26"/>
      <c r="G357" s="27"/>
      <c r="H357" s="18">
        <v>649000</v>
      </c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6.25" x14ac:dyDescent="0.4">
      <c r="A358" s="28" t="s">
        <v>18</v>
      </c>
      <c r="B358" s="26"/>
      <c r="C358" s="26"/>
      <c r="D358" s="26"/>
      <c r="E358" s="26"/>
      <c r="F358" s="26"/>
      <c r="G358" s="26"/>
      <c r="H358" s="27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25"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25"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4" spans="1:26" ht="15.75" customHeight="1" x14ac:dyDescent="0.4">
      <c r="A364" s="28" t="s">
        <v>0</v>
      </c>
      <c r="B364" s="26"/>
      <c r="C364" s="26"/>
      <c r="D364" s="26"/>
      <c r="E364" s="26"/>
      <c r="F364" s="26"/>
      <c r="G364" s="26"/>
      <c r="H364" s="27"/>
    </row>
    <row r="365" spans="1:26" ht="15.75" customHeight="1" x14ac:dyDescent="0.4">
      <c r="A365" s="28" t="s">
        <v>121</v>
      </c>
      <c r="B365" s="26"/>
      <c r="C365" s="26"/>
      <c r="D365" s="26"/>
      <c r="E365" s="26"/>
      <c r="F365" s="26"/>
      <c r="G365" s="26"/>
      <c r="H365" s="27"/>
    </row>
    <row r="366" spans="1:26" ht="15.75" customHeight="1" x14ac:dyDescent="0.3">
      <c r="A366" s="3" t="s">
        <v>2</v>
      </c>
      <c r="B366" s="3" t="s">
        <v>3</v>
      </c>
      <c r="C366" s="3" t="s">
        <v>4</v>
      </c>
      <c r="D366" s="3" t="s">
        <v>5</v>
      </c>
      <c r="E366" s="3" t="s">
        <v>6</v>
      </c>
      <c r="F366" s="4" t="s">
        <v>7</v>
      </c>
      <c r="G366" s="3" t="s">
        <v>8</v>
      </c>
      <c r="H366" s="5"/>
    </row>
    <row r="367" spans="1:26" ht="26.25" x14ac:dyDescent="0.4">
      <c r="A367" s="6">
        <v>1</v>
      </c>
      <c r="B367" s="8" t="s">
        <v>122</v>
      </c>
      <c r="C367" s="12" t="s">
        <v>123</v>
      </c>
      <c r="D367" s="8" t="s">
        <v>11</v>
      </c>
      <c r="E367" s="8">
        <v>2</v>
      </c>
      <c r="F367" s="9">
        <v>293000</v>
      </c>
      <c r="G367" s="10">
        <f t="shared" ref="G367:G369" si="25">IFERROR(E367*F367,0)</f>
        <v>586000</v>
      </c>
      <c r="H367" s="11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6.25" x14ac:dyDescent="0.4">
      <c r="A368" s="6">
        <v>2</v>
      </c>
      <c r="B368" s="13" t="s">
        <v>12</v>
      </c>
      <c r="C368" s="19" t="s">
        <v>124</v>
      </c>
      <c r="D368" s="13" t="s">
        <v>13</v>
      </c>
      <c r="E368" s="13">
        <v>1.4</v>
      </c>
      <c r="F368" s="14">
        <v>435000</v>
      </c>
      <c r="G368" s="10">
        <f t="shared" si="25"/>
        <v>609000</v>
      </c>
      <c r="H368" s="11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6.25" x14ac:dyDescent="0.4">
      <c r="A369" s="6">
        <v>3</v>
      </c>
      <c r="B369" s="15" t="s">
        <v>14</v>
      </c>
      <c r="C369" s="11"/>
      <c r="D369" s="11"/>
      <c r="E369" s="11"/>
      <c r="F369" s="11"/>
      <c r="G369" s="16">
        <f t="shared" si="25"/>
        <v>0</v>
      </c>
      <c r="H369" s="11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6.25" x14ac:dyDescent="0.4">
      <c r="A370" s="29" t="s">
        <v>15</v>
      </c>
      <c r="B370" s="26"/>
      <c r="C370" s="26"/>
      <c r="D370" s="26"/>
      <c r="E370" s="26"/>
      <c r="F370" s="26"/>
      <c r="G370" s="27"/>
      <c r="H370" s="17">
        <f>SUM(G367:G369)</f>
        <v>1195000</v>
      </c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6.25" x14ac:dyDescent="0.4">
      <c r="A371" s="29" t="s">
        <v>16</v>
      </c>
      <c r="B371" s="26"/>
      <c r="C371" s="26"/>
      <c r="D371" s="26"/>
      <c r="E371" s="26"/>
      <c r="F371" s="26"/>
      <c r="G371" s="27"/>
      <c r="H371" s="17">
        <f>MAX(0,H370-648000)</f>
        <v>547000</v>
      </c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6.25" x14ac:dyDescent="0.4">
      <c r="A372" s="25" t="s">
        <v>17</v>
      </c>
      <c r="B372" s="26"/>
      <c r="C372" s="26"/>
      <c r="D372" s="26"/>
      <c r="E372" s="26"/>
      <c r="F372" s="26"/>
      <c r="G372" s="27"/>
      <c r="H372" s="18">
        <v>649000</v>
      </c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6.25" x14ac:dyDescent="0.4">
      <c r="A373" s="28" t="s">
        <v>18</v>
      </c>
      <c r="B373" s="26"/>
      <c r="C373" s="26"/>
      <c r="D373" s="26"/>
      <c r="E373" s="26"/>
      <c r="F373" s="26"/>
      <c r="G373" s="26"/>
      <c r="H373" s="27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25"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25"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25"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80" spans="1:26" ht="15.75" customHeight="1" x14ac:dyDescent="0.4">
      <c r="A380" s="28" t="s">
        <v>0</v>
      </c>
      <c r="B380" s="26"/>
      <c r="C380" s="26"/>
      <c r="D380" s="26"/>
      <c r="E380" s="26"/>
      <c r="F380" s="26"/>
      <c r="G380" s="26"/>
      <c r="H380" s="27"/>
    </row>
    <row r="381" spans="1:26" ht="15.75" customHeight="1" x14ac:dyDescent="0.4">
      <c r="A381" s="28" t="s">
        <v>125</v>
      </c>
      <c r="B381" s="26"/>
      <c r="C381" s="26"/>
      <c r="D381" s="26"/>
      <c r="E381" s="26"/>
      <c r="F381" s="26"/>
      <c r="G381" s="26"/>
      <c r="H381" s="27"/>
    </row>
    <row r="382" spans="1:26" ht="18.75" x14ac:dyDescent="0.3">
      <c r="A382" s="3" t="s">
        <v>2</v>
      </c>
      <c r="B382" s="3" t="s">
        <v>3</v>
      </c>
      <c r="C382" s="3" t="s">
        <v>4</v>
      </c>
      <c r="D382" s="3" t="s">
        <v>5</v>
      </c>
      <c r="E382" s="3" t="s">
        <v>6</v>
      </c>
      <c r="F382" s="4" t="s">
        <v>7</v>
      </c>
      <c r="G382" s="3" t="s">
        <v>8</v>
      </c>
      <c r="H382" s="5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6.25" x14ac:dyDescent="0.4">
      <c r="A383" s="6">
        <v>1</v>
      </c>
      <c r="B383" s="8" t="s">
        <v>126</v>
      </c>
      <c r="C383" s="12" t="s">
        <v>127</v>
      </c>
      <c r="D383" s="8" t="s">
        <v>11</v>
      </c>
      <c r="E383" s="8">
        <v>2.5</v>
      </c>
      <c r="F383" s="9">
        <v>293000</v>
      </c>
      <c r="G383" s="10">
        <f t="shared" ref="G383:G385" si="26">IFERROR(E383*F383,0)</f>
        <v>732500</v>
      </c>
      <c r="H383" s="11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6.25" x14ac:dyDescent="0.4">
      <c r="A384" s="6">
        <v>2</v>
      </c>
      <c r="B384" s="13" t="s">
        <v>128</v>
      </c>
      <c r="C384" s="19" t="s">
        <v>129</v>
      </c>
      <c r="D384" s="13" t="s">
        <v>13</v>
      </c>
      <c r="E384" s="13">
        <v>1</v>
      </c>
      <c r="F384" s="14">
        <v>435000</v>
      </c>
      <c r="G384" s="10">
        <f t="shared" si="26"/>
        <v>435000</v>
      </c>
      <c r="H384" s="11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6.25" x14ac:dyDescent="0.4">
      <c r="A385" s="6">
        <v>3</v>
      </c>
      <c r="B385" s="15" t="s">
        <v>14</v>
      </c>
      <c r="C385" s="11"/>
      <c r="D385" s="11"/>
      <c r="E385" s="11"/>
      <c r="F385" s="11"/>
      <c r="G385" s="16">
        <f t="shared" si="26"/>
        <v>0</v>
      </c>
      <c r="H385" s="11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6.25" x14ac:dyDescent="0.4">
      <c r="A386" s="29" t="s">
        <v>15</v>
      </c>
      <c r="B386" s="26"/>
      <c r="C386" s="26"/>
      <c r="D386" s="26"/>
      <c r="E386" s="26"/>
      <c r="F386" s="26"/>
      <c r="G386" s="27"/>
      <c r="H386" s="17">
        <f>SUM(G383:G385)</f>
        <v>1167500</v>
      </c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6.25" x14ac:dyDescent="0.4">
      <c r="A387" s="29" t="s">
        <v>16</v>
      </c>
      <c r="B387" s="26"/>
      <c r="C387" s="26"/>
      <c r="D387" s="26"/>
      <c r="E387" s="26"/>
      <c r="F387" s="26"/>
      <c r="G387" s="27"/>
      <c r="H387" s="17">
        <f>MAX(0,H386-648000)</f>
        <v>519500</v>
      </c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6.25" x14ac:dyDescent="0.4">
      <c r="A388" s="25" t="s">
        <v>17</v>
      </c>
      <c r="B388" s="26"/>
      <c r="C388" s="26"/>
      <c r="D388" s="26"/>
      <c r="E388" s="26"/>
      <c r="F388" s="26"/>
      <c r="G388" s="27"/>
      <c r="H388" s="18">
        <v>649000</v>
      </c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6.25" x14ac:dyDescent="0.4">
      <c r="A389" s="28" t="s">
        <v>18</v>
      </c>
      <c r="B389" s="26"/>
      <c r="C389" s="26"/>
      <c r="D389" s="26"/>
      <c r="E389" s="26"/>
      <c r="F389" s="26"/>
      <c r="G389" s="26"/>
      <c r="H389" s="27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25"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25"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5" spans="1:26" ht="15.75" customHeight="1" x14ac:dyDescent="0.4">
      <c r="A395" s="28" t="s">
        <v>0</v>
      </c>
      <c r="B395" s="26"/>
      <c r="C395" s="26"/>
      <c r="D395" s="26"/>
      <c r="E395" s="26"/>
      <c r="F395" s="26"/>
      <c r="G395" s="26"/>
      <c r="H395" s="27"/>
    </row>
    <row r="396" spans="1:26" ht="15.75" customHeight="1" x14ac:dyDescent="0.4">
      <c r="A396" s="28" t="s">
        <v>130</v>
      </c>
      <c r="B396" s="26"/>
      <c r="C396" s="26"/>
      <c r="D396" s="26"/>
      <c r="E396" s="26"/>
      <c r="F396" s="26"/>
      <c r="G396" s="26"/>
      <c r="H396" s="27"/>
    </row>
    <row r="397" spans="1:26" ht="18.75" x14ac:dyDescent="0.3">
      <c r="A397" s="3" t="s">
        <v>2</v>
      </c>
      <c r="B397" s="3" t="s">
        <v>3</v>
      </c>
      <c r="C397" s="3" t="s">
        <v>4</v>
      </c>
      <c r="D397" s="3" t="s">
        <v>5</v>
      </c>
      <c r="E397" s="3" t="s">
        <v>6</v>
      </c>
      <c r="F397" s="4" t="s">
        <v>7</v>
      </c>
      <c r="G397" s="3" t="s">
        <v>8</v>
      </c>
      <c r="H397" s="5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6.25" x14ac:dyDescent="0.4">
      <c r="A398" s="6">
        <v>1</v>
      </c>
      <c r="B398" s="8" t="s">
        <v>131</v>
      </c>
      <c r="C398" s="12" t="s">
        <v>132</v>
      </c>
      <c r="D398" s="8" t="s">
        <v>11</v>
      </c>
      <c r="E398" s="8">
        <v>2</v>
      </c>
      <c r="F398" s="9">
        <v>293000</v>
      </c>
      <c r="G398" s="10">
        <f t="shared" ref="G398:G400" si="27">IFERROR(E398*F398,0)</f>
        <v>586000</v>
      </c>
      <c r="H398" s="11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6.25" x14ac:dyDescent="0.4">
      <c r="A399" s="6">
        <v>2</v>
      </c>
      <c r="B399" s="13" t="s">
        <v>133</v>
      </c>
      <c r="C399" s="19" t="s">
        <v>134</v>
      </c>
      <c r="D399" s="13" t="s">
        <v>13</v>
      </c>
      <c r="E399" s="13">
        <v>1.43</v>
      </c>
      <c r="F399" s="14">
        <v>435000</v>
      </c>
      <c r="G399" s="10">
        <f t="shared" si="27"/>
        <v>622050</v>
      </c>
      <c r="H399" s="11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6.25" x14ac:dyDescent="0.4">
      <c r="A400" s="6">
        <v>3</v>
      </c>
      <c r="B400" s="15" t="s">
        <v>14</v>
      </c>
      <c r="C400" s="11"/>
      <c r="D400" s="11"/>
      <c r="E400" s="11"/>
      <c r="F400" s="11"/>
      <c r="G400" s="16">
        <f t="shared" si="27"/>
        <v>0</v>
      </c>
      <c r="H400" s="11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6.25" x14ac:dyDescent="0.4">
      <c r="A401" s="29" t="s">
        <v>15</v>
      </c>
      <c r="B401" s="26"/>
      <c r="C401" s="26"/>
      <c r="D401" s="26"/>
      <c r="E401" s="26"/>
      <c r="F401" s="26"/>
      <c r="G401" s="27"/>
      <c r="H401" s="17">
        <f>SUM(G398:G400)</f>
        <v>1208050</v>
      </c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6.25" x14ac:dyDescent="0.4">
      <c r="A402" s="29" t="s">
        <v>16</v>
      </c>
      <c r="B402" s="26"/>
      <c r="C402" s="26"/>
      <c r="D402" s="26"/>
      <c r="E402" s="26"/>
      <c r="F402" s="26"/>
      <c r="G402" s="27"/>
      <c r="H402" s="17">
        <f>MAX(0,H401-648000)</f>
        <v>560050</v>
      </c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6.25" x14ac:dyDescent="0.4">
      <c r="A403" s="25" t="s">
        <v>17</v>
      </c>
      <c r="B403" s="26"/>
      <c r="C403" s="26"/>
      <c r="D403" s="26"/>
      <c r="E403" s="26"/>
      <c r="F403" s="26"/>
      <c r="G403" s="27"/>
      <c r="H403" s="18">
        <v>649000</v>
      </c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6.25" x14ac:dyDescent="0.4">
      <c r="A404" s="28" t="s">
        <v>18</v>
      </c>
      <c r="B404" s="26"/>
      <c r="C404" s="26"/>
      <c r="D404" s="26"/>
      <c r="E404" s="26"/>
      <c r="F404" s="26"/>
      <c r="G404" s="26"/>
      <c r="H404" s="27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25"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25"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10" spans="1:26" ht="15.75" customHeight="1" x14ac:dyDescent="0.4">
      <c r="A410" s="28" t="s">
        <v>0</v>
      </c>
      <c r="B410" s="26"/>
      <c r="C410" s="26"/>
      <c r="D410" s="26"/>
      <c r="E410" s="26"/>
      <c r="F410" s="26"/>
      <c r="G410" s="26"/>
      <c r="H410" s="27"/>
    </row>
    <row r="411" spans="1:26" ht="26.25" x14ac:dyDescent="0.4">
      <c r="A411" s="28" t="s">
        <v>135</v>
      </c>
      <c r="B411" s="26"/>
      <c r="C411" s="26"/>
      <c r="D411" s="26"/>
      <c r="E411" s="26"/>
      <c r="F411" s="26"/>
      <c r="G411" s="26"/>
      <c r="H411" s="27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.75" x14ac:dyDescent="0.3">
      <c r="A412" s="3" t="s">
        <v>2</v>
      </c>
      <c r="B412" s="3" t="s">
        <v>3</v>
      </c>
      <c r="C412" s="3" t="s">
        <v>4</v>
      </c>
      <c r="D412" s="3" t="s">
        <v>5</v>
      </c>
      <c r="E412" s="3" t="s">
        <v>6</v>
      </c>
      <c r="F412" s="4" t="s">
        <v>7</v>
      </c>
      <c r="G412" s="3" t="s">
        <v>8</v>
      </c>
      <c r="H412" s="5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6.25" x14ac:dyDescent="0.4">
      <c r="A413" s="6">
        <v>1</v>
      </c>
      <c r="B413" s="8" t="s">
        <v>98</v>
      </c>
      <c r="C413" s="12" t="s">
        <v>136</v>
      </c>
      <c r="D413" s="8" t="s">
        <v>11</v>
      </c>
      <c r="E413" s="8">
        <v>1.5</v>
      </c>
      <c r="F413" s="9">
        <v>293000</v>
      </c>
      <c r="G413" s="10">
        <f t="shared" ref="G413:G415" si="28">IFERROR(E413*F413,0)</f>
        <v>439500</v>
      </c>
      <c r="H413" s="11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6.25" x14ac:dyDescent="0.4">
      <c r="A414" s="6">
        <v>2</v>
      </c>
      <c r="B414" s="13" t="s">
        <v>137</v>
      </c>
      <c r="C414" s="19" t="s">
        <v>138</v>
      </c>
      <c r="D414" s="13" t="s">
        <v>13</v>
      </c>
      <c r="E414" s="13">
        <v>2</v>
      </c>
      <c r="F414" s="14">
        <v>435000</v>
      </c>
      <c r="G414" s="10">
        <f t="shared" si="28"/>
        <v>870000</v>
      </c>
      <c r="H414" s="11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6.25" x14ac:dyDescent="0.4">
      <c r="A415" s="6">
        <v>3</v>
      </c>
      <c r="B415" s="15" t="s">
        <v>14</v>
      </c>
      <c r="C415" s="11"/>
      <c r="D415" s="11"/>
      <c r="E415" s="11"/>
      <c r="F415" s="11"/>
      <c r="G415" s="16">
        <f t="shared" si="28"/>
        <v>0</v>
      </c>
      <c r="H415" s="11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6.25" x14ac:dyDescent="0.4">
      <c r="A416" s="29" t="s">
        <v>15</v>
      </c>
      <c r="B416" s="26"/>
      <c r="C416" s="26"/>
      <c r="D416" s="26"/>
      <c r="E416" s="26"/>
      <c r="F416" s="26"/>
      <c r="G416" s="27"/>
      <c r="H416" s="17">
        <f>SUM(G413:G415)</f>
        <v>1309500</v>
      </c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6.25" x14ac:dyDescent="0.4">
      <c r="A417" s="29" t="s">
        <v>16</v>
      </c>
      <c r="B417" s="26"/>
      <c r="C417" s="26"/>
      <c r="D417" s="26"/>
      <c r="E417" s="26"/>
      <c r="F417" s="26"/>
      <c r="G417" s="27"/>
      <c r="H417" s="17">
        <f>MAX(0,H416-648000)</f>
        <v>661500</v>
      </c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6.25" x14ac:dyDescent="0.4">
      <c r="A418" s="25" t="s">
        <v>17</v>
      </c>
      <c r="B418" s="26"/>
      <c r="C418" s="26"/>
      <c r="D418" s="26"/>
      <c r="E418" s="26"/>
      <c r="F418" s="26"/>
      <c r="G418" s="27"/>
      <c r="H418" s="18">
        <v>649000</v>
      </c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6.25" x14ac:dyDescent="0.4">
      <c r="A419" s="28" t="s">
        <v>18</v>
      </c>
      <c r="B419" s="26"/>
      <c r="C419" s="26"/>
      <c r="D419" s="26"/>
      <c r="E419" s="26"/>
      <c r="F419" s="26"/>
      <c r="G419" s="26"/>
      <c r="H419" s="27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25"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4" spans="1:26" ht="15.75" customHeight="1" x14ac:dyDescent="0.4">
      <c r="A424" s="28" t="s">
        <v>0</v>
      </c>
      <c r="B424" s="26"/>
      <c r="C424" s="26"/>
      <c r="D424" s="26"/>
      <c r="E424" s="26"/>
      <c r="F424" s="26"/>
      <c r="G424" s="26"/>
      <c r="H424" s="27"/>
    </row>
    <row r="425" spans="1:26" ht="15.75" customHeight="1" x14ac:dyDescent="0.4">
      <c r="A425" s="28" t="s">
        <v>139</v>
      </c>
      <c r="B425" s="26"/>
      <c r="C425" s="26"/>
      <c r="D425" s="26"/>
      <c r="E425" s="26"/>
      <c r="F425" s="26"/>
      <c r="G425" s="26"/>
      <c r="H425" s="27"/>
    </row>
    <row r="426" spans="1:26" ht="15.75" customHeight="1" x14ac:dyDescent="0.3">
      <c r="A426" s="3" t="s">
        <v>2</v>
      </c>
      <c r="B426" s="3" t="s">
        <v>3</v>
      </c>
      <c r="C426" s="3" t="s">
        <v>4</v>
      </c>
      <c r="D426" s="3" t="s">
        <v>5</v>
      </c>
      <c r="E426" s="3" t="s">
        <v>6</v>
      </c>
      <c r="F426" s="4" t="s">
        <v>7</v>
      </c>
      <c r="G426" s="3" t="s">
        <v>8</v>
      </c>
      <c r="H426" s="5"/>
    </row>
    <row r="427" spans="1:26" ht="26.25" x14ac:dyDescent="0.4">
      <c r="A427" s="6">
        <v>1</v>
      </c>
      <c r="B427" s="8" t="s">
        <v>12</v>
      </c>
      <c r="C427" s="12" t="s">
        <v>140</v>
      </c>
      <c r="D427" s="8" t="s">
        <v>11</v>
      </c>
      <c r="E427" s="8">
        <v>2</v>
      </c>
      <c r="F427" s="9">
        <v>293000</v>
      </c>
      <c r="G427" s="10">
        <f t="shared" ref="G427:G429" si="29">IFERROR(E427*F427,0)</f>
        <v>586000</v>
      </c>
      <c r="H427" s="11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6.25" x14ac:dyDescent="0.4">
      <c r="A428" s="6">
        <v>2</v>
      </c>
      <c r="B428" s="13" t="s">
        <v>55</v>
      </c>
      <c r="C428" s="19" t="s">
        <v>141</v>
      </c>
      <c r="D428" s="13" t="s">
        <v>13</v>
      </c>
      <c r="E428" s="13">
        <v>1.45</v>
      </c>
      <c r="F428" s="14">
        <v>435000</v>
      </c>
      <c r="G428" s="10">
        <f t="shared" si="29"/>
        <v>630750</v>
      </c>
      <c r="H428" s="11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6.25" x14ac:dyDescent="0.4">
      <c r="A429" s="6">
        <v>3</v>
      </c>
      <c r="B429" s="15" t="s">
        <v>14</v>
      </c>
      <c r="C429" s="11"/>
      <c r="D429" s="11"/>
      <c r="E429" s="11"/>
      <c r="F429" s="11"/>
      <c r="G429" s="16">
        <f t="shared" si="29"/>
        <v>0</v>
      </c>
      <c r="H429" s="11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6.25" x14ac:dyDescent="0.4">
      <c r="A430" s="29" t="s">
        <v>15</v>
      </c>
      <c r="B430" s="26"/>
      <c r="C430" s="26"/>
      <c r="D430" s="26"/>
      <c r="E430" s="26"/>
      <c r="F430" s="26"/>
      <c r="G430" s="27"/>
      <c r="H430" s="17">
        <f>SUM(G427:G429)</f>
        <v>1216750</v>
      </c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6.25" x14ac:dyDescent="0.4">
      <c r="A431" s="29" t="s">
        <v>16</v>
      </c>
      <c r="B431" s="26"/>
      <c r="C431" s="26"/>
      <c r="D431" s="26"/>
      <c r="E431" s="26"/>
      <c r="F431" s="26"/>
      <c r="G431" s="27"/>
      <c r="H431" s="17">
        <f>MAX(0,H430-648000)</f>
        <v>568750</v>
      </c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6.25" x14ac:dyDescent="0.4">
      <c r="A432" s="25" t="s">
        <v>17</v>
      </c>
      <c r="B432" s="26"/>
      <c r="C432" s="26"/>
      <c r="D432" s="26"/>
      <c r="E432" s="26"/>
      <c r="F432" s="26"/>
      <c r="G432" s="27"/>
      <c r="H432" s="18">
        <v>649000</v>
      </c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6.25" x14ac:dyDescent="0.4">
      <c r="A433" s="28" t="s">
        <v>18</v>
      </c>
      <c r="B433" s="26"/>
      <c r="C433" s="26"/>
      <c r="D433" s="26"/>
      <c r="E433" s="26"/>
      <c r="F433" s="26"/>
      <c r="G433" s="26"/>
      <c r="H433" s="27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25"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25"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25"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40" spans="1:26" ht="15.75" customHeight="1" x14ac:dyDescent="0.4">
      <c r="A440" s="28" t="s">
        <v>0</v>
      </c>
      <c r="B440" s="26"/>
      <c r="C440" s="26"/>
      <c r="D440" s="26"/>
      <c r="E440" s="26"/>
      <c r="F440" s="26"/>
      <c r="G440" s="26"/>
      <c r="H440" s="27"/>
    </row>
    <row r="441" spans="1:26" ht="15.75" customHeight="1" x14ac:dyDescent="0.4">
      <c r="A441" s="28" t="s">
        <v>142</v>
      </c>
      <c r="B441" s="26"/>
      <c r="C441" s="26"/>
      <c r="D441" s="26"/>
      <c r="E441" s="26"/>
      <c r="F441" s="26"/>
      <c r="G441" s="26"/>
      <c r="H441" s="27"/>
    </row>
    <row r="442" spans="1:26" ht="18.75" x14ac:dyDescent="0.3">
      <c r="A442" s="3" t="s">
        <v>2</v>
      </c>
      <c r="B442" s="3" t="s">
        <v>3</v>
      </c>
      <c r="C442" s="3" t="s">
        <v>4</v>
      </c>
      <c r="D442" s="3" t="s">
        <v>5</v>
      </c>
      <c r="E442" s="3" t="s">
        <v>6</v>
      </c>
      <c r="F442" s="4" t="s">
        <v>7</v>
      </c>
      <c r="G442" s="3" t="s">
        <v>8</v>
      </c>
      <c r="H442" s="5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6.25" x14ac:dyDescent="0.4">
      <c r="A443" s="6">
        <v>1</v>
      </c>
      <c r="B443" s="8" t="s">
        <v>25</v>
      </c>
      <c r="C443" s="12" t="s">
        <v>143</v>
      </c>
      <c r="D443" s="8" t="s">
        <v>11</v>
      </c>
      <c r="E443" s="8">
        <v>1.5</v>
      </c>
      <c r="F443" s="9">
        <v>293000</v>
      </c>
      <c r="G443" s="10">
        <f t="shared" ref="G443:G445" si="30">IFERROR(E443*F443,0)</f>
        <v>439500</v>
      </c>
      <c r="H443" s="11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6.25" x14ac:dyDescent="0.4">
      <c r="A444" s="6">
        <v>2</v>
      </c>
      <c r="B444" s="13" t="s">
        <v>144</v>
      </c>
      <c r="C444" s="19" t="s">
        <v>145</v>
      </c>
      <c r="D444" s="13" t="s">
        <v>13</v>
      </c>
      <c r="E444" s="13">
        <v>2</v>
      </c>
      <c r="F444" s="14">
        <v>435000</v>
      </c>
      <c r="G444" s="10">
        <f t="shared" si="30"/>
        <v>870000</v>
      </c>
      <c r="H444" s="11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6.25" x14ac:dyDescent="0.4">
      <c r="A445" s="6">
        <v>3</v>
      </c>
      <c r="B445" s="15" t="s">
        <v>14</v>
      </c>
      <c r="C445" s="11"/>
      <c r="D445" s="11"/>
      <c r="E445" s="11"/>
      <c r="F445" s="11"/>
      <c r="G445" s="16">
        <f t="shared" si="30"/>
        <v>0</v>
      </c>
      <c r="H445" s="11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6.25" x14ac:dyDescent="0.4">
      <c r="A446" s="29" t="s">
        <v>15</v>
      </c>
      <c r="B446" s="26"/>
      <c r="C446" s="26"/>
      <c r="D446" s="26"/>
      <c r="E446" s="26"/>
      <c r="F446" s="26"/>
      <c r="G446" s="27"/>
      <c r="H446" s="17">
        <f>SUM(G443:G445)</f>
        <v>1309500</v>
      </c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6.25" x14ac:dyDescent="0.4">
      <c r="A447" s="29" t="s">
        <v>16</v>
      </c>
      <c r="B447" s="26"/>
      <c r="C447" s="26"/>
      <c r="D447" s="26"/>
      <c r="E447" s="26"/>
      <c r="F447" s="26"/>
      <c r="G447" s="27"/>
      <c r="H447" s="17">
        <f>MAX(0,H446-648000)</f>
        <v>661500</v>
      </c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6.25" x14ac:dyDescent="0.4">
      <c r="A448" s="25" t="s">
        <v>17</v>
      </c>
      <c r="B448" s="26"/>
      <c r="C448" s="26"/>
      <c r="D448" s="26"/>
      <c r="E448" s="26"/>
      <c r="F448" s="26"/>
      <c r="G448" s="27"/>
      <c r="H448" s="18">
        <v>649000</v>
      </c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6.25" x14ac:dyDescent="0.4">
      <c r="A449" s="28" t="s">
        <v>18</v>
      </c>
      <c r="B449" s="26"/>
      <c r="C449" s="26"/>
      <c r="D449" s="26"/>
      <c r="E449" s="26"/>
      <c r="F449" s="26"/>
      <c r="G449" s="26"/>
      <c r="H449" s="27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25"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25"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5" spans="1:26" ht="15.75" customHeight="1" x14ac:dyDescent="0.4">
      <c r="A455" s="28" t="s">
        <v>0</v>
      </c>
      <c r="B455" s="26"/>
      <c r="C455" s="26"/>
      <c r="D455" s="26"/>
      <c r="E455" s="26"/>
      <c r="F455" s="26"/>
      <c r="G455" s="26"/>
      <c r="H455" s="27"/>
    </row>
    <row r="456" spans="1:26" ht="15.75" customHeight="1" x14ac:dyDescent="0.4">
      <c r="A456" s="28" t="s">
        <v>146</v>
      </c>
      <c r="B456" s="26"/>
      <c r="C456" s="26"/>
      <c r="D456" s="26"/>
      <c r="E456" s="26"/>
      <c r="F456" s="26"/>
      <c r="G456" s="26"/>
      <c r="H456" s="27"/>
    </row>
    <row r="457" spans="1:26" ht="18.75" x14ac:dyDescent="0.3">
      <c r="A457" s="3" t="s">
        <v>2</v>
      </c>
      <c r="B457" s="3" t="s">
        <v>3</v>
      </c>
      <c r="C457" s="3" t="s">
        <v>4</v>
      </c>
      <c r="D457" s="3" t="s">
        <v>5</v>
      </c>
      <c r="E457" s="3" t="s">
        <v>6</v>
      </c>
      <c r="F457" s="4" t="s">
        <v>7</v>
      </c>
      <c r="G457" s="3" t="s">
        <v>8</v>
      </c>
      <c r="H457" s="5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6.25" x14ac:dyDescent="0.4">
      <c r="A458" s="6">
        <v>1</v>
      </c>
      <c r="B458" s="8" t="s">
        <v>72</v>
      </c>
      <c r="C458" s="12" t="s">
        <v>147</v>
      </c>
      <c r="D458" s="8" t="s">
        <v>11</v>
      </c>
      <c r="E458" s="8">
        <v>1.5</v>
      </c>
      <c r="F458" s="9">
        <v>293000</v>
      </c>
      <c r="G458" s="10">
        <f t="shared" ref="G458:G460" si="31">IFERROR(E458*F458,0)</f>
        <v>439500</v>
      </c>
      <c r="H458" s="11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6.25" x14ac:dyDescent="0.4">
      <c r="A459" s="6">
        <v>2</v>
      </c>
      <c r="B459" s="13" t="s">
        <v>148</v>
      </c>
      <c r="C459" s="19" t="s">
        <v>149</v>
      </c>
      <c r="D459" s="13" t="s">
        <v>13</v>
      </c>
      <c r="E459" s="13">
        <v>2</v>
      </c>
      <c r="F459" s="14">
        <v>435000</v>
      </c>
      <c r="G459" s="10">
        <f t="shared" si="31"/>
        <v>870000</v>
      </c>
      <c r="H459" s="11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6.25" x14ac:dyDescent="0.4">
      <c r="A460" s="6">
        <v>3</v>
      </c>
      <c r="B460" s="15" t="s">
        <v>14</v>
      </c>
      <c r="C460" s="11"/>
      <c r="D460" s="11"/>
      <c r="E460" s="11"/>
      <c r="F460" s="11"/>
      <c r="G460" s="16">
        <f t="shared" si="31"/>
        <v>0</v>
      </c>
      <c r="H460" s="11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6.25" x14ac:dyDescent="0.4">
      <c r="A461" s="29" t="s">
        <v>15</v>
      </c>
      <c r="B461" s="26"/>
      <c r="C461" s="26"/>
      <c r="D461" s="26"/>
      <c r="E461" s="26"/>
      <c r="F461" s="26"/>
      <c r="G461" s="27"/>
      <c r="H461" s="17">
        <f>SUM(G458:G460)</f>
        <v>1309500</v>
      </c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6.25" x14ac:dyDescent="0.4">
      <c r="A462" s="29" t="s">
        <v>16</v>
      </c>
      <c r="B462" s="26"/>
      <c r="C462" s="26"/>
      <c r="D462" s="26"/>
      <c r="E462" s="26"/>
      <c r="F462" s="26"/>
      <c r="G462" s="27"/>
      <c r="H462" s="17">
        <f>MAX(0,H461-648000)</f>
        <v>661500</v>
      </c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6.25" x14ac:dyDescent="0.4">
      <c r="A463" s="25" t="s">
        <v>17</v>
      </c>
      <c r="B463" s="26"/>
      <c r="C463" s="26"/>
      <c r="D463" s="26"/>
      <c r="E463" s="26"/>
      <c r="F463" s="26"/>
      <c r="G463" s="27"/>
      <c r="H463" s="18">
        <v>649000</v>
      </c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6.25" x14ac:dyDescent="0.4">
      <c r="A464" s="28" t="s">
        <v>18</v>
      </c>
      <c r="B464" s="26"/>
      <c r="C464" s="26"/>
      <c r="D464" s="26"/>
      <c r="E464" s="26"/>
      <c r="F464" s="26"/>
      <c r="G464" s="26"/>
      <c r="H464" s="27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25"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25"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70" spans="1:26" ht="15.75" customHeight="1" x14ac:dyDescent="0.4">
      <c r="A470" s="28" t="s">
        <v>0</v>
      </c>
      <c r="B470" s="26"/>
      <c r="C470" s="26"/>
      <c r="D470" s="26"/>
      <c r="E470" s="26"/>
      <c r="F470" s="26"/>
      <c r="G470" s="26"/>
      <c r="H470" s="27"/>
    </row>
    <row r="471" spans="1:26" ht="26.25" x14ac:dyDescent="0.4">
      <c r="A471" s="28" t="s">
        <v>150</v>
      </c>
      <c r="B471" s="26"/>
      <c r="C471" s="26"/>
      <c r="D471" s="26"/>
      <c r="E471" s="26"/>
      <c r="F471" s="26"/>
      <c r="G471" s="26"/>
      <c r="H471" s="27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.75" x14ac:dyDescent="0.3">
      <c r="A472" s="3" t="s">
        <v>2</v>
      </c>
      <c r="B472" s="3" t="s">
        <v>3</v>
      </c>
      <c r="C472" s="3" t="s">
        <v>4</v>
      </c>
      <c r="D472" s="3" t="s">
        <v>5</v>
      </c>
      <c r="E472" s="3" t="s">
        <v>6</v>
      </c>
      <c r="F472" s="4" t="s">
        <v>7</v>
      </c>
      <c r="G472" s="3" t="s">
        <v>8</v>
      </c>
      <c r="H472" s="5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6.25" x14ac:dyDescent="0.4">
      <c r="A473" s="6">
        <v>1</v>
      </c>
      <c r="B473" s="8" t="s">
        <v>151</v>
      </c>
      <c r="C473" s="12" t="s">
        <v>152</v>
      </c>
      <c r="D473" s="8" t="s">
        <v>11</v>
      </c>
      <c r="E473" s="8">
        <v>2.83</v>
      </c>
      <c r="F473" s="9">
        <v>293000</v>
      </c>
      <c r="G473" s="10">
        <f t="shared" ref="G473:G475" si="32">IFERROR(E473*F473,0)</f>
        <v>829190</v>
      </c>
      <c r="H473" s="11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6.25" x14ac:dyDescent="0.4">
      <c r="A474" s="6">
        <v>2</v>
      </c>
      <c r="B474" s="13" t="s">
        <v>34</v>
      </c>
      <c r="C474" s="19" t="s">
        <v>153</v>
      </c>
      <c r="D474" s="13" t="s">
        <v>13</v>
      </c>
      <c r="E474" s="13">
        <v>0.72</v>
      </c>
      <c r="F474" s="14">
        <v>435000</v>
      </c>
      <c r="G474" s="10">
        <f t="shared" si="32"/>
        <v>313200</v>
      </c>
      <c r="H474" s="11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6.25" x14ac:dyDescent="0.4">
      <c r="A475" s="6">
        <v>3</v>
      </c>
      <c r="B475" s="15" t="s">
        <v>14</v>
      </c>
      <c r="C475" s="11"/>
      <c r="D475" s="11"/>
      <c r="E475" s="11"/>
      <c r="F475" s="11"/>
      <c r="G475" s="16">
        <f t="shared" si="32"/>
        <v>0</v>
      </c>
      <c r="H475" s="11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6.25" x14ac:dyDescent="0.4">
      <c r="A476" s="29" t="s">
        <v>15</v>
      </c>
      <c r="B476" s="26"/>
      <c r="C476" s="26"/>
      <c r="D476" s="26"/>
      <c r="E476" s="26"/>
      <c r="F476" s="26"/>
      <c r="G476" s="27"/>
      <c r="H476" s="17">
        <f>SUM(G473:G475)</f>
        <v>1142390</v>
      </c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6.25" x14ac:dyDescent="0.4">
      <c r="A477" s="29" t="s">
        <v>16</v>
      </c>
      <c r="B477" s="26"/>
      <c r="C477" s="26"/>
      <c r="D477" s="26"/>
      <c r="E477" s="26"/>
      <c r="F477" s="26"/>
      <c r="G477" s="27"/>
      <c r="H477" s="17">
        <f>MAX(0,H476-648000)</f>
        <v>494390</v>
      </c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6.25" x14ac:dyDescent="0.4">
      <c r="A478" s="25" t="s">
        <v>17</v>
      </c>
      <c r="B478" s="26"/>
      <c r="C478" s="26"/>
      <c r="D478" s="26"/>
      <c r="E478" s="26"/>
      <c r="F478" s="26"/>
      <c r="G478" s="27"/>
      <c r="H478" s="18">
        <v>649000</v>
      </c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6.25" x14ac:dyDescent="0.4">
      <c r="A479" s="28" t="s">
        <v>18</v>
      </c>
      <c r="B479" s="26"/>
      <c r="C479" s="26"/>
      <c r="D479" s="26"/>
      <c r="E479" s="26"/>
      <c r="F479" s="26"/>
      <c r="G479" s="26"/>
      <c r="H479" s="27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25"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4" spans="1:26" ht="15.75" customHeight="1" x14ac:dyDescent="0.4">
      <c r="A484" s="28" t="s">
        <v>0</v>
      </c>
      <c r="B484" s="26"/>
      <c r="C484" s="26"/>
      <c r="D484" s="26"/>
      <c r="E484" s="26"/>
      <c r="F484" s="26"/>
      <c r="G484" s="26"/>
      <c r="H484" s="27"/>
    </row>
    <row r="485" spans="1:26" ht="15.75" customHeight="1" x14ac:dyDescent="0.4">
      <c r="A485" s="28" t="s">
        <v>154</v>
      </c>
      <c r="B485" s="26"/>
      <c r="C485" s="26"/>
      <c r="D485" s="26"/>
      <c r="E485" s="26"/>
      <c r="F485" s="26"/>
      <c r="G485" s="26"/>
      <c r="H485" s="27"/>
    </row>
    <row r="486" spans="1:26" ht="15.75" customHeight="1" x14ac:dyDescent="0.3">
      <c r="A486" s="3" t="s">
        <v>2</v>
      </c>
      <c r="B486" s="3" t="s">
        <v>3</v>
      </c>
      <c r="C486" s="3" t="s">
        <v>4</v>
      </c>
      <c r="D486" s="3" t="s">
        <v>5</v>
      </c>
      <c r="E486" s="3" t="s">
        <v>6</v>
      </c>
      <c r="F486" s="4" t="s">
        <v>7</v>
      </c>
      <c r="G486" s="3" t="s">
        <v>8</v>
      </c>
      <c r="H486" s="5"/>
    </row>
    <row r="487" spans="1:26" ht="26.25" x14ac:dyDescent="0.4">
      <c r="A487" s="6">
        <v>1</v>
      </c>
      <c r="B487" s="8" t="s">
        <v>155</v>
      </c>
      <c r="C487" s="12" t="s">
        <v>156</v>
      </c>
      <c r="D487" s="8" t="s">
        <v>11</v>
      </c>
      <c r="E487" s="8">
        <v>2.5</v>
      </c>
      <c r="F487" s="9">
        <v>293000</v>
      </c>
      <c r="G487" s="10">
        <f t="shared" ref="G487:G489" si="33">IFERROR(E487*F487,0)</f>
        <v>732500</v>
      </c>
      <c r="H487" s="11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6.25" x14ac:dyDescent="0.4">
      <c r="A488" s="6">
        <v>2</v>
      </c>
      <c r="B488" s="13" t="s">
        <v>157</v>
      </c>
      <c r="C488" s="19" t="s">
        <v>158</v>
      </c>
      <c r="D488" s="13" t="s">
        <v>13</v>
      </c>
      <c r="E488" s="13">
        <v>0.97</v>
      </c>
      <c r="F488" s="14">
        <v>435000</v>
      </c>
      <c r="G488" s="10">
        <f t="shared" si="33"/>
        <v>421950</v>
      </c>
      <c r="H488" s="11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6.25" x14ac:dyDescent="0.4">
      <c r="A489" s="6">
        <v>3</v>
      </c>
      <c r="B489" s="15" t="s">
        <v>14</v>
      </c>
      <c r="C489" s="11"/>
      <c r="D489" s="11"/>
      <c r="E489" s="11"/>
      <c r="F489" s="11"/>
      <c r="G489" s="16">
        <f t="shared" si="33"/>
        <v>0</v>
      </c>
      <c r="H489" s="11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6.25" x14ac:dyDescent="0.4">
      <c r="A490" s="29" t="s">
        <v>15</v>
      </c>
      <c r="B490" s="26"/>
      <c r="C490" s="26"/>
      <c r="D490" s="26"/>
      <c r="E490" s="26"/>
      <c r="F490" s="26"/>
      <c r="G490" s="27"/>
      <c r="H490" s="17">
        <f>SUM(G487:G489)</f>
        <v>1154450</v>
      </c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6.25" x14ac:dyDescent="0.4">
      <c r="A491" s="29" t="s">
        <v>16</v>
      </c>
      <c r="B491" s="26"/>
      <c r="C491" s="26"/>
      <c r="D491" s="26"/>
      <c r="E491" s="26"/>
      <c r="F491" s="26"/>
      <c r="G491" s="27"/>
      <c r="H491" s="17">
        <f>MAX(0,H490-648000)</f>
        <v>506450</v>
      </c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6.25" x14ac:dyDescent="0.4">
      <c r="A492" s="25" t="s">
        <v>17</v>
      </c>
      <c r="B492" s="26"/>
      <c r="C492" s="26"/>
      <c r="D492" s="26"/>
      <c r="E492" s="26"/>
      <c r="F492" s="26"/>
      <c r="G492" s="27"/>
      <c r="H492" s="18">
        <v>649000</v>
      </c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6.25" x14ac:dyDescent="0.4">
      <c r="A493" s="28" t="s">
        <v>18</v>
      </c>
      <c r="B493" s="26"/>
      <c r="C493" s="26"/>
      <c r="D493" s="26"/>
      <c r="E493" s="26"/>
      <c r="F493" s="26"/>
      <c r="G493" s="26"/>
      <c r="H493" s="27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25"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25"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25"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500" spans="1:26" ht="15.75" customHeight="1" x14ac:dyDescent="0.4">
      <c r="A500" s="28" t="s">
        <v>0</v>
      </c>
      <c r="B500" s="26"/>
      <c r="C500" s="26"/>
      <c r="D500" s="26"/>
      <c r="E500" s="26"/>
      <c r="F500" s="26"/>
      <c r="G500" s="26"/>
      <c r="H500" s="27"/>
    </row>
    <row r="501" spans="1:26" ht="15.75" customHeight="1" x14ac:dyDescent="0.4">
      <c r="A501" s="28" t="s">
        <v>159</v>
      </c>
      <c r="B501" s="26"/>
      <c r="C501" s="26"/>
      <c r="D501" s="26"/>
      <c r="E501" s="26"/>
      <c r="F501" s="26"/>
      <c r="G501" s="26"/>
      <c r="H501" s="27"/>
    </row>
    <row r="502" spans="1:26" ht="15.75" customHeight="1" x14ac:dyDescent="0.3">
      <c r="A502" s="3" t="s">
        <v>2</v>
      </c>
      <c r="B502" s="3" t="s">
        <v>3</v>
      </c>
      <c r="C502" s="3" t="s">
        <v>4</v>
      </c>
      <c r="D502" s="3" t="s">
        <v>5</v>
      </c>
      <c r="E502" s="3" t="s">
        <v>6</v>
      </c>
      <c r="F502" s="4" t="s">
        <v>7</v>
      </c>
      <c r="G502" s="3" t="s">
        <v>8</v>
      </c>
      <c r="H502" s="5"/>
    </row>
    <row r="503" spans="1:26" ht="26.25" x14ac:dyDescent="0.4">
      <c r="A503" s="6">
        <v>1</v>
      </c>
      <c r="B503" s="8" t="s">
        <v>74</v>
      </c>
      <c r="C503" s="12" t="s">
        <v>160</v>
      </c>
      <c r="D503" s="8" t="s">
        <v>11</v>
      </c>
      <c r="E503" s="8">
        <v>2.08</v>
      </c>
      <c r="F503" s="9">
        <v>293000</v>
      </c>
      <c r="G503" s="10">
        <f t="shared" ref="G503:G505" si="34">IFERROR(E503*F503,0)</f>
        <v>609440</v>
      </c>
      <c r="H503" s="11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6.25" x14ac:dyDescent="0.4">
      <c r="A504" s="6">
        <v>2</v>
      </c>
      <c r="B504" s="13" t="s">
        <v>22</v>
      </c>
      <c r="C504" s="19" t="s">
        <v>161</v>
      </c>
      <c r="D504" s="13" t="s">
        <v>13</v>
      </c>
      <c r="E504" s="13">
        <v>1.27</v>
      </c>
      <c r="F504" s="14">
        <v>435000</v>
      </c>
      <c r="G504" s="10">
        <f t="shared" si="34"/>
        <v>552450</v>
      </c>
      <c r="H504" s="11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6.25" x14ac:dyDescent="0.4">
      <c r="A505" s="6">
        <v>3</v>
      </c>
      <c r="B505" s="15" t="s">
        <v>14</v>
      </c>
      <c r="C505" s="11"/>
      <c r="D505" s="11"/>
      <c r="E505" s="11"/>
      <c r="F505" s="11"/>
      <c r="G505" s="16">
        <f t="shared" si="34"/>
        <v>0</v>
      </c>
      <c r="H505" s="11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6.25" x14ac:dyDescent="0.4">
      <c r="A506" s="29" t="s">
        <v>15</v>
      </c>
      <c r="B506" s="26"/>
      <c r="C506" s="26"/>
      <c r="D506" s="26"/>
      <c r="E506" s="26"/>
      <c r="F506" s="26"/>
      <c r="G506" s="27"/>
      <c r="H506" s="17">
        <f>SUM(G503:G505)</f>
        <v>1161890</v>
      </c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6.25" x14ac:dyDescent="0.4">
      <c r="A507" s="29" t="s">
        <v>16</v>
      </c>
      <c r="B507" s="26"/>
      <c r="C507" s="26"/>
      <c r="D507" s="26"/>
      <c r="E507" s="26"/>
      <c r="F507" s="26"/>
      <c r="G507" s="27"/>
      <c r="H507" s="17">
        <f>MAX(0,H506-648000)</f>
        <v>513890</v>
      </c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6.25" x14ac:dyDescent="0.4">
      <c r="A508" s="25" t="s">
        <v>17</v>
      </c>
      <c r="B508" s="26"/>
      <c r="C508" s="26"/>
      <c r="D508" s="26"/>
      <c r="E508" s="26"/>
      <c r="F508" s="26"/>
      <c r="G508" s="27"/>
      <c r="H508" s="18">
        <v>649000</v>
      </c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6.25" x14ac:dyDescent="0.4">
      <c r="A509" s="28" t="s">
        <v>18</v>
      </c>
      <c r="B509" s="26"/>
      <c r="C509" s="26"/>
      <c r="D509" s="26"/>
      <c r="E509" s="26"/>
      <c r="F509" s="26"/>
      <c r="G509" s="26"/>
      <c r="H509" s="27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25"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25"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25"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6" spans="1:26" ht="15.75" customHeight="1" x14ac:dyDescent="0.4">
      <c r="A516" s="28" t="s">
        <v>0</v>
      </c>
      <c r="B516" s="26"/>
      <c r="C516" s="26"/>
      <c r="D516" s="26"/>
      <c r="E516" s="26"/>
      <c r="F516" s="26"/>
      <c r="G516" s="26"/>
      <c r="H516" s="27"/>
    </row>
    <row r="517" spans="1:26" ht="15.75" customHeight="1" x14ac:dyDescent="0.4">
      <c r="A517" s="28" t="s">
        <v>162</v>
      </c>
      <c r="B517" s="26"/>
      <c r="C517" s="26"/>
      <c r="D517" s="26"/>
      <c r="E517" s="26"/>
      <c r="F517" s="26"/>
      <c r="G517" s="26"/>
      <c r="H517" s="27"/>
    </row>
    <row r="518" spans="1:26" ht="15.75" customHeight="1" x14ac:dyDescent="0.3">
      <c r="A518" s="3" t="s">
        <v>2</v>
      </c>
      <c r="B518" s="3" t="s">
        <v>3</v>
      </c>
      <c r="C518" s="3" t="s">
        <v>4</v>
      </c>
      <c r="D518" s="3" t="s">
        <v>5</v>
      </c>
      <c r="E518" s="3" t="s">
        <v>6</v>
      </c>
      <c r="F518" s="4" t="s">
        <v>7</v>
      </c>
      <c r="G518" s="3" t="s">
        <v>8</v>
      </c>
      <c r="H518" s="5"/>
    </row>
    <row r="519" spans="1:26" ht="15.75" customHeight="1" x14ac:dyDescent="0.4">
      <c r="A519" s="6">
        <v>1</v>
      </c>
      <c r="B519" s="8" t="s">
        <v>94</v>
      </c>
      <c r="C519" s="12" t="s">
        <v>163</v>
      </c>
      <c r="D519" s="8" t="s">
        <v>11</v>
      </c>
      <c r="E519" s="8">
        <v>2.5</v>
      </c>
      <c r="F519" s="9">
        <v>293000</v>
      </c>
      <c r="G519" s="10">
        <f t="shared" ref="G519:G521" si="35">IFERROR(E519*F519,0)</f>
        <v>732500</v>
      </c>
      <c r="H519" s="11"/>
    </row>
    <row r="520" spans="1:26" ht="26.25" x14ac:dyDescent="0.4">
      <c r="A520" s="6">
        <v>2</v>
      </c>
      <c r="B520" s="13" t="s">
        <v>22</v>
      </c>
      <c r="C520" s="19" t="s">
        <v>164</v>
      </c>
      <c r="D520" s="13" t="s">
        <v>13</v>
      </c>
      <c r="E520" s="13">
        <v>0.98</v>
      </c>
      <c r="F520" s="14">
        <v>435000</v>
      </c>
      <c r="G520" s="10">
        <f t="shared" si="35"/>
        <v>426300</v>
      </c>
      <c r="H520" s="11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6.25" x14ac:dyDescent="0.4">
      <c r="A521" s="6">
        <v>3</v>
      </c>
      <c r="B521" s="15" t="s">
        <v>14</v>
      </c>
      <c r="C521" s="11"/>
      <c r="D521" s="11"/>
      <c r="E521" s="11"/>
      <c r="F521" s="11"/>
      <c r="G521" s="16">
        <f t="shared" si="35"/>
        <v>0</v>
      </c>
      <c r="H521" s="11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6.25" x14ac:dyDescent="0.4">
      <c r="A522" s="29" t="s">
        <v>15</v>
      </c>
      <c r="B522" s="26"/>
      <c r="C522" s="26"/>
      <c r="D522" s="26"/>
      <c r="E522" s="26"/>
      <c r="F522" s="26"/>
      <c r="G522" s="27"/>
      <c r="H522" s="17">
        <f>SUM(G519:G521)</f>
        <v>1158800</v>
      </c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6.25" x14ac:dyDescent="0.4">
      <c r="A523" s="29" t="s">
        <v>16</v>
      </c>
      <c r="B523" s="26"/>
      <c r="C523" s="26"/>
      <c r="D523" s="26"/>
      <c r="E523" s="26"/>
      <c r="F523" s="26"/>
      <c r="G523" s="27"/>
      <c r="H523" s="17">
        <f>MAX(0,H522-648000)</f>
        <v>510800</v>
      </c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6.25" x14ac:dyDescent="0.4">
      <c r="A524" s="25" t="s">
        <v>17</v>
      </c>
      <c r="B524" s="26"/>
      <c r="C524" s="26"/>
      <c r="D524" s="26"/>
      <c r="E524" s="26"/>
      <c r="F524" s="26"/>
      <c r="G524" s="27"/>
      <c r="H524" s="18">
        <v>649000</v>
      </c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6.25" x14ac:dyDescent="0.4">
      <c r="A525" s="28" t="s">
        <v>18</v>
      </c>
      <c r="B525" s="26"/>
      <c r="C525" s="26"/>
      <c r="D525" s="26"/>
      <c r="E525" s="26"/>
      <c r="F525" s="26"/>
      <c r="G525" s="26"/>
      <c r="H525" s="27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25"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25"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25"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25"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3" spans="1:26" ht="15.75" customHeight="1" x14ac:dyDescent="0.4">
      <c r="A533" s="28" t="s">
        <v>0</v>
      </c>
      <c r="B533" s="26"/>
      <c r="C533" s="26"/>
      <c r="D533" s="26"/>
      <c r="E533" s="26"/>
      <c r="F533" s="26"/>
      <c r="G533" s="26"/>
      <c r="H533" s="27"/>
    </row>
    <row r="534" spans="1:26" ht="15.75" customHeight="1" x14ac:dyDescent="0.4">
      <c r="A534" s="28" t="s">
        <v>165</v>
      </c>
      <c r="B534" s="26"/>
      <c r="C534" s="26"/>
      <c r="D534" s="26"/>
      <c r="E534" s="26"/>
      <c r="F534" s="26"/>
      <c r="G534" s="26"/>
      <c r="H534" s="27"/>
    </row>
    <row r="535" spans="1:26" ht="15.75" customHeight="1" x14ac:dyDescent="0.3">
      <c r="A535" s="3" t="s">
        <v>2</v>
      </c>
      <c r="B535" s="3" t="s">
        <v>3</v>
      </c>
      <c r="C535" s="3" t="s">
        <v>4</v>
      </c>
      <c r="D535" s="3" t="s">
        <v>5</v>
      </c>
      <c r="E535" s="3" t="s">
        <v>6</v>
      </c>
      <c r="F535" s="4" t="s">
        <v>7</v>
      </c>
      <c r="G535" s="3" t="s">
        <v>8</v>
      </c>
      <c r="H535" s="5"/>
    </row>
    <row r="536" spans="1:26" ht="26.25" x14ac:dyDescent="0.4">
      <c r="A536" s="6">
        <v>1</v>
      </c>
      <c r="B536" s="8" t="s">
        <v>94</v>
      </c>
      <c r="C536" s="12" t="s">
        <v>166</v>
      </c>
      <c r="D536" s="8" t="s">
        <v>11</v>
      </c>
      <c r="E536" s="8">
        <v>2</v>
      </c>
      <c r="F536" s="9">
        <v>293000</v>
      </c>
      <c r="G536" s="10">
        <f t="shared" ref="G536:G538" si="36">IFERROR(E536*F536,0)</f>
        <v>586000</v>
      </c>
      <c r="H536" s="11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6.25" x14ac:dyDescent="0.4">
      <c r="A537" s="6">
        <v>2</v>
      </c>
      <c r="B537" s="13" t="s">
        <v>25</v>
      </c>
      <c r="C537" s="19" t="s">
        <v>167</v>
      </c>
      <c r="D537" s="13" t="s">
        <v>13</v>
      </c>
      <c r="E537" s="13">
        <v>1.39</v>
      </c>
      <c r="F537" s="14">
        <v>435000</v>
      </c>
      <c r="G537" s="10">
        <f t="shared" si="36"/>
        <v>604650</v>
      </c>
      <c r="H537" s="11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6.25" x14ac:dyDescent="0.4">
      <c r="A538" s="6">
        <v>3</v>
      </c>
      <c r="B538" s="15" t="s">
        <v>14</v>
      </c>
      <c r="C538" s="11"/>
      <c r="D538" s="11"/>
      <c r="E538" s="11"/>
      <c r="F538" s="11"/>
      <c r="G538" s="16">
        <f t="shared" si="36"/>
        <v>0</v>
      </c>
      <c r="H538" s="11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6.25" x14ac:dyDescent="0.4">
      <c r="A539" s="29" t="s">
        <v>15</v>
      </c>
      <c r="B539" s="26"/>
      <c r="C539" s="26"/>
      <c r="D539" s="26"/>
      <c r="E539" s="26"/>
      <c r="F539" s="26"/>
      <c r="G539" s="27"/>
      <c r="H539" s="17">
        <f>SUM(G536:G538)</f>
        <v>1190650</v>
      </c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6.25" x14ac:dyDescent="0.4">
      <c r="A540" s="29" t="s">
        <v>16</v>
      </c>
      <c r="B540" s="26"/>
      <c r="C540" s="26"/>
      <c r="D540" s="26"/>
      <c r="E540" s="26"/>
      <c r="F540" s="26"/>
      <c r="G540" s="27"/>
      <c r="H540" s="17">
        <f>MAX(0,H539-648000)</f>
        <v>542650</v>
      </c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6.25" x14ac:dyDescent="0.4">
      <c r="A541" s="25" t="s">
        <v>17</v>
      </c>
      <c r="B541" s="26"/>
      <c r="C541" s="26"/>
      <c r="D541" s="26"/>
      <c r="E541" s="26"/>
      <c r="F541" s="26"/>
      <c r="G541" s="27"/>
      <c r="H541" s="18">
        <v>649000</v>
      </c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6.25" x14ac:dyDescent="0.4">
      <c r="A542" s="28" t="s">
        <v>18</v>
      </c>
      <c r="B542" s="26"/>
      <c r="C542" s="26"/>
      <c r="D542" s="26"/>
      <c r="E542" s="26"/>
      <c r="F542" s="26"/>
      <c r="G542" s="26"/>
      <c r="H542" s="27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25"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25"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25"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9" spans="1:26" ht="15.75" customHeight="1" x14ac:dyDescent="0.4">
      <c r="A549" s="28" t="s">
        <v>0</v>
      </c>
      <c r="B549" s="26"/>
      <c r="C549" s="26"/>
      <c r="D549" s="26"/>
      <c r="E549" s="26"/>
      <c r="F549" s="26"/>
      <c r="G549" s="26"/>
      <c r="H549" s="27"/>
    </row>
    <row r="550" spans="1:26" ht="15.75" customHeight="1" x14ac:dyDescent="0.4">
      <c r="A550" s="28" t="s">
        <v>168</v>
      </c>
      <c r="B550" s="26"/>
      <c r="C550" s="26"/>
      <c r="D550" s="26"/>
      <c r="E550" s="26"/>
      <c r="F550" s="26"/>
      <c r="G550" s="26"/>
      <c r="H550" s="27"/>
    </row>
    <row r="551" spans="1:26" ht="15.75" customHeight="1" x14ac:dyDescent="0.3">
      <c r="A551" s="3" t="s">
        <v>2</v>
      </c>
      <c r="B551" s="3" t="s">
        <v>3</v>
      </c>
      <c r="C551" s="3" t="s">
        <v>4</v>
      </c>
      <c r="D551" s="3" t="s">
        <v>5</v>
      </c>
      <c r="E551" s="3" t="s">
        <v>6</v>
      </c>
      <c r="F551" s="4" t="s">
        <v>7</v>
      </c>
      <c r="G551" s="3" t="s">
        <v>8</v>
      </c>
      <c r="H551" s="5"/>
    </row>
    <row r="552" spans="1:26" ht="15.75" customHeight="1" x14ac:dyDescent="0.4">
      <c r="A552" s="6">
        <v>1</v>
      </c>
      <c r="B552" s="8" t="s">
        <v>169</v>
      </c>
      <c r="C552" s="12" t="s">
        <v>170</v>
      </c>
      <c r="D552" s="8" t="s">
        <v>11</v>
      </c>
      <c r="E552" s="8">
        <v>2</v>
      </c>
      <c r="F552" s="9">
        <v>293000</v>
      </c>
      <c r="G552" s="10">
        <f t="shared" ref="G552:G554" si="37">IFERROR(E552*F552,0)</f>
        <v>586000</v>
      </c>
      <c r="H552" s="11"/>
    </row>
    <row r="553" spans="1:26" ht="15.75" customHeight="1" x14ac:dyDescent="0.4">
      <c r="A553" s="6">
        <v>2</v>
      </c>
      <c r="B553" s="13" t="s">
        <v>171</v>
      </c>
      <c r="C553" s="19" t="s">
        <v>172</v>
      </c>
      <c r="D553" s="13" t="s">
        <v>13</v>
      </c>
      <c r="E553" s="13">
        <v>1.4</v>
      </c>
      <c r="F553" s="14">
        <v>435000</v>
      </c>
      <c r="G553" s="10">
        <f t="shared" si="37"/>
        <v>609000</v>
      </c>
      <c r="H553" s="11"/>
    </row>
    <row r="554" spans="1:26" ht="26.25" x14ac:dyDescent="0.4">
      <c r="A554" s="6">
        <v>3</v>
      </c>
      <c r="B554" s="15" t="s">
        <v>14</v>
      </c>
      <c r="C554" s="11"/>
      <c r="D554" s="11"/>
      <c r="E554" s="11"/>
      <c r="F554" s="11"/>
      <c r="G554" s="16">
        <f t="shared" si="37"/>
        <v>0</v>
      </c>
      <c r="H554" s="11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6.25" x14ac:dyDescent="0.4">
      <c r="A555" s="29" t="s">
        <v>15</v>
      </c>
      <c r="B555" s="26"/>
      <c r="C555" s="26"/>
      <c r="D555" s="26"/>
      <c r="E555" s="26"/>
      <c r="F555" s="26"/>
      <c r="G555" s="27"/>
      <c r="H555" s="17">
        <f>SUM(G552:G554)</f>
        <v>1195000</v>
      </c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6.25" x14ac:dyDescent="0.4">
      <c r="A556" s="29" t="s">
        <v>16</v>
      </c>
      <c r="B556" s="26"/>
      <c r="C556" s="26"/>
      <c r="D556" s="26"/>
      <c r="E556" s="26"/>
      <c r="F556" s="26"/>
      <c r="G556" s="27"/>
      <c r="H556" s="17">
        <f>MAX(0,H555-648000)</f>
        <v>547000</v>
      </c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6.25" x14ac:dyDescent="0.4">
      <c r="A557" s="25" t="s">
        <v>17</v>
      </c>
      <c r="B557" s="26"/>
      <c r="C557" s="26"/>
      <c r="D557" s="26"/>
      <c r="E557" s="26"/>
      <c r="F557" s="26"/>
      <c r="G557" s="27"/>
      <c r="H557" s="18">
        <v>649000</v>
      </c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6.25" x14ac:dyDescent="0.4">
      <c r="A558" s="28" t="s">
        <v>18</v>
      </c>
      <c r="B558" s="26"/>
      <c r="C558" s="26"/>
      <c r="D558" s="26"/>
      <c r="E558" s="26"/>
      <c r="F558" s="26"/>
      <c r="G558" s="26"/>
      <c r="H558" s="27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25"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25"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25"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25"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25"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7" spans="1:26" ht="15.75" customHeight="1" x14ac:dyDescent="0.4">
      <c r="A567" s="28" t="s">
        <v>0</v>
      </c>
      <c r="B567" s="26"/>
      <c r="C567" s="26"/>
      <c r="D567" s="26"/>
      <c r="E567" s="26"/>
      <c r="F567" s="26"/>
      <c r="G567" s="26"/>
      <c r="H567" s="27"/>
    </row>
    <row r="568" spans="1:26" ht="15.75" customHeight="1" x14ac:dyDescent="0.4">
      <c r="A568" s="28" t="s">
        <v>173</v>
      </c>
      <c r="B568" s="26"/>
      <c r="C568" s="26"/>
      <c r="D568" s="26"/>
      <c r="E568" s="26"/>
      <c r="F568" s="26"/>
      <c r="G568" s="26"/>
      <c r="H568" s="27"/>
    </row>
    <row r="569" spans="1:26" ht="15.75" customHeight="1" x14ac:dyDescent="0.3">
      <c r="A569" s="3" t="s">
        <v>2</v>
      </c>
      <c r="B569" s="3" t="s">
        <v>3</v>
      </c>
      <c r="C569" s="3" t="s">
        <v>4</v>
      </c>
      <c r="D569" s="3" t="s">
        <v>5</v>
      </c>
      <c r="E569" s="3" t="s">
        <v>6</v>
      </c>
      <c r="F569" s="4" t="s">
        <v>7</v>
      </c>
      <c r="G569" s="3" t="s">
        <v>8</v>
      </c>
      <c r="H569" s="5"/>
    </row>
    <row r="570" spans="1:26" ht="15.75" customHeight="1" x14ac:dyDescent="0.4">
      <c r="A570" s="6">
        <v>1</v>
      </c>
      <c r="B570" s="8" t="s">
        <v>101</v>
      </c>
      <c r="C570" s="12" t="s">
        <v>174</v>
      </c>
      <c r="D570" s="8" t="s">
        <v>11</v>
      </c>
      <c r="E570" s="8">
        <v>2.12</v>
      </c>
      <c r="F570" s="9">
        <v>293000</v>
      </c>
      <c r="G570" s="10">
        <f t="shared" ref="G570:G572" si="38">IFERROR(E570*F570,0)</f>
        <v>621160</v>
      </c>
      <c r="H570" s="11"/>
    </row>
    <row r="571" spans="1:26" ht="26.25" x14ac:dyDescent="0.4">
      <c r="A571" s="6">
        <v>2</v>
      </c>
      <c r="B571" s="13" t="s">
        <v>175</v>
      </c>
      <c r="C571" s="19" t="s">
        <v>176</v>
      </c>
      <c r="D571" s="13" t="s">
        <v>13</v>
      </c>
      <c r="E571" s="13">
        <v>1.31</v>
      </c>
      <c r="F571" s="14">
        <v>435000</v>
      </c>
      <c r="G571" s="10">
        <f t="shared" si="38"/>
        <v>569850</v>
      </c>
      <c r="H571" s="1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6.25" x14ac:dyDescent="0.4">
      <c r="A572" s="6">
        <v>3</v>
      </c>
      <c r="B572" s="15" t="s">
        <v>14</v>
      </c>
      <c r="C572" s="11"/>
      <c r="D572" s="11"/>
      <c r="E572" s="11"/>
      <c r="F572" s="11"/>
      <c r="G572" s="16">
        <f t="shared" si="38"/>
        <v>0</v>
      </c>
      <c r="H572" s="11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6.25" x14ac:dyDescent="0.4">
      <c r="A573" s="29" t="s">
        <v>15</v>
      </c>
      <c r="B573" s="26"/>
      <c r="C573" s="26"/>
      <c r="D573" s="26"/>
      <c r="E573" s="26"/>
      <c r="F573" s="26"/>
      <c r="G573" s="27"/>
      <c r="H573" s="17">
        <f>SUM(G570:G572)</f>
        <v>1191010</v>
      </c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6.25" x14ac:dyDescent="0.4">
      <c r="A574" s="29" t="s">
        <v>16</v>
      </c>
      <c r="B574" s="26"/>
      <c r="C574" s="26"/>
      <c r="D574" s="26"/>
      <c r="E574" s="26"/>
      <c r="F574" s="26"/>
      <c r="G574" s="27"/>
      <c r="H574" s="17">
        <f>MAX(0,H573-648000)</f>
        <v>543010</v>
      </c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6.25" x14ac:dyDescent="0.4">
      <c r="A575" s="25" t="s">
        <v>17</v>
      </c>
      <c r="B575" s="26"/>
      <c r="C575" s="26"/>
      <c r="D575" s="26"/>
      <c r="E575" s="26"/>
      <c r="F575" s="26"/>
      <c r="G575" s="27"/>
      <c r="H575" s="18">
        <v>649000</v>
      </c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6.25" x14ac:dyDescent="0.4">
      <c r="A576" s="28" t="s">
        <v>18</v>
      </c>
      <c r="B576" s="26"/>
      <c r="C576" s="26"/>
      <c r="D576" s="26"/>
      <c r="E576" s="26"/>
      <c r="F576" s="26"/>
      <c r="G576" s="26"/>
      <c r="H576" s="27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25"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25"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25"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25"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4" spans="1:26" ht="15.75" customHeight="1" x14ac:dyDescent="0.4">
      <c r="A584" s="28" t="s">
        <v>0</v>
      </c>
      <c r="B584" s="26"/>
      <c r="C584" s="26"/>
      <c r="D584" s="26"/>
      <c r="E584" s="26"/>
      <c r="F584" s="26"/>
      <c r="G584" s="26"/>
      <c r="H584" s="27"/>
    </row>
    <row r="585" spans="1:26" ht="15.75" customHeight="1" x14ac:dyDescent="0.4">
      <c r="A585" s="28" t="s">
        <v>177</v>
      </c>
      <c r="B585" s="26"/>
      <c r="C585" s="26"/>
      <c r="D585" s="26"/>
      <c r="E585" s="26"/>
      <c r="F585" s="26"/>
      <c r="G585" s="26"/>
      <c r="H585" s="27"/>
    </row>
    <row r="586" spans="1:26" ht="15.75" customHeight="1" x14ac:dyDescent="0.3">
      <c r="A586" s="3" t="s">
        <v>2</v>
      </c>
      <c r="B586" s="3" t="s">
        <v>3</v>
      </c>
      <c r="C586" s="3" t="s">
        <v>4</v>
      </c>
      <c r="D586" s="3" t="s">
        <v>5</v>
      </c>
      <c r="E586" s="3" t="s">
        <v>6</v>
      </c>
      <c r="F586" s="4" t="s">
        <v>7</v>
      </c>
      <c r="G586" s="3" t="s">
        <v>8</v>
      </c>
      <c r="H586" s="5"/>
    </row>
    <row r="587" spans="1:26" ht="15.75" customHeight="1" x14ac:dyDescent="0.4">
      <c r="A587" s="6">
        <v>1</v>
      </c>
      <c r="B587" s="8" t="s">
        <v>178</v>
      </c>
      <c r="C587" s="12" t="s">
        <v>179</v>
      </c>
      <c r="D587" s="8" t="s">
        <v>11</v>
      </c>
      <c r="E587" s="8">
        <v>2.25</v>
      </c>
      <c r="F587" s="9">
        <v>293000</v>
      </c>
      <c r="G587" s="10">
        <f t="shared" ref="G587:G589" si="39">IFERROR(E587*F587,0)</f>
        <v>659250</v>
      </c>
      <c r="H587" s="11"/>
    </row>
    <row r="588" spans="1:26" ht="26.25" x14ac:dyDescent="0.4">
      <c r="A588" s="6">
        <v>2</v>
      </c>
      <c r="B588" s="13" t="s">
        <v>94</v>
      </c>
      <c r="C588" s="19" t="s">
        <v>180</v>
      </c>
      <c r="D588" s="13" t="s">
        <v>13</v>
      </c>
      <c r="E588" s="13">
        <v>1.37</v>
      </c>
      <c r="F588" s="14">
        <v>435000</v>
      </c>
      <c r="G588" s="10">
        <f t="shared" si="39"/>
        <v>595950</v>
      </c>
      <c r="H588" s="11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6.25" x14ac:dyDescent="0.4">
      <c r="A589" s="6">
        <v>3</v>
      </c>
      <c r="B589" s="15" t="s">
        <v>14</v>
      </c>
      <c r="C589" s="11"/>
      <c r="D589" s="11"/>
      <c r="E589" s="11" t="s">
        <v>181</v>
      </c>
      <c r="F589" s="11"/>
      <c r="G589" s="16">
        <f t="shared" si="39"/>
        <v>0</v>
      </c>
      <c r="H589" s="11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6.25" x14ac:dyDescent="0.4">
      <c r="A590" s="29" t="s">
        <v>15</v>
      </c>
      <c r="B590" s="26"/>
      <c r="C590" s="26"/>
      <c r="D590" s="26"/>
      <c r="E590" s="26"/>
      <c r="F590" s="26"/>
      <c r="G590" s="27"/>
      <c r="H590" s="17">
        <f>SUM(G587:G589)</f>
        <v>1255200</v>
      </c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6.25" x14ac:dyDescent="0.4">
      <c r="A591" s="29" t="s">
        <v>16</v>
      </c>
      <c r="B591" s="26"/>
      <c r="C591" s="26"/>
      <c r="D591" s="26"/>
      <c r="E591" s="26"/>
      <c r="F591" s="26"/>
      <c r="G591" s="27"/>
      <c r="H591" s="17">
        <f>MAX(0,H590-648000)</f>
        <v>607200</v>
      </c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6.25" x14ac:dyDescent="0.4">
      <c r="A592" s="25" t="s">
        <v>17</v>
      </c>
      <c r="B592" s="26"/>
      <c r="C592" s="26"/>
      <c r="D592" s="26"/>
      <c r="E592" s="26"/>
      <c r="F592" s="26"/>
      <c r="G592" s="27"/>
      <c r="H592" s="18">
        <v>649000</v>
      </c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6.25" x14ac:dyDescent="0.4">
      <c r="A593" s="28" t="s">
        <v>18</v>
      </c>
      <c r="B593" s="26"/>
      <c r="C593" s="26"/>
      <c r="D593" s="26"/>
      <c r="E593" s="26"/>
      <c r="F593" s="26"/>
      <c r="G593" s="26"/>
      <c r="H593" s="27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25"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25"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25"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25"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601" spans="1:26" ht="26.25" x14ac:dyDescent="0.4">
      <c r="A601" s="28" t="s">
        <v>0</v>
      </c>
      <c r="B601" s="26"/>
      <c r="C601" s="26"/>
      <c r="D601" s="26"/>
      <c r="E601" s="26"/>
      <c r="F601" s="26"/>
      <c r="G601" s="26"/>
      <c r="H601" s="27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6.25" x14ac:dyDescent="0.4">
      <c r="A602" s="28" t="s">
        <v>182</v>
      </c>
      <c r="B602" s="26"/>
      <c r="C602" s="26"/>
      <c r="D602" s="26"/>
      <c r="E602" s="26"/>
      <c r="F602" s="26"/>
      <c r="G602" s="26"/>
      <c r="H602" s="27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.75" x14ac:dyDescent="0.3">
      <c r="A603" s="3" t="s">
        <v>2</v>
      </c>
      <c r="B603" s="3" t="s">
        <v>3</v>
      </c>
      <c r="C603" s="3" t="s">
        <v>4</v>
      </c>
      <c r="D603" s="3" t="s">
        <v>5</v>
      </c>
      <c r="E603" s="3" t="s">
        <v>70</v>
      </c>
      <c r="F603" s="4" t="s">
        <v>7</v>
      </c>
      <c r="G603" s="3" t="s">
        <v>8</v>
      </c>
      <c r="H603" s="5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6.25" x14ac:dyDescent="0.4">
      <c r="A604" s="6">
        <v>1</v>
      </c>
      <c r="B604" s="8" t="s">
        <v>183</v>
      </c>
      <c r="C604" s="12" t="s">
        <v>184</v>
      </c>
      <c r="D604" s="8" t="s">
        <v>11</v>
      </c>
      <c r="E604" s="8">
        <v>2</v>
      </c>
      <c r="F604" s="9">
        <v>293000</v>
      </c>
      <c r="G604" s="10">
        <f t="shared" ref="G604:G606" si="40">IFERROR(E604*F604,0)</f>
        <v>586000</v>
      </c>
      <c r="H604" s="11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6.25" x14ac:dyDescent="0.4">
      <c r="A605" s="6">
        <v>2</v>
      </c>
      <c r="B605" s="13" t="s">
        <v>185</v>
      </c>
      <c r="C605" s="19" t="s">
        <v>186</v>
      </c>
      <c r="D605" s="13" t="s">
        <v>13</v>
      </c>
      <c r="E605" s="13">
        <v>1.55</v>
      </c>
      <c r="F605" s="14">
        <v>435000</v>
      </c>
      <c r="G605" s="10">
        <f t="shared" si="40"/>
        <v>674250</v>
      </c>
      <c r="H605" s="11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6.25" x14ac:dyDescent="0.4">
      <c r="A606" s="6">
        <v>3</v>
      </c>
      <c r="B606" s="15" t="s">
        <v>14</v>
      </c>
      <c r="C606" s="11"/>
      <c r="D606" s="11"/>
      <c r="E606" s="11"/>
      <c r="F606" s="11"/>
      <c r="G606" s="16">
        <f t="shared" si="40"/>
        <v>0</v>
      </c>
      <c r="H606" s="11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6.25" x14ac:dyDescent="0.4">
      <c r="A607" s="29" t="s">
        <v>15</v>
      </c>
      <c r="B607" s="26"/>
      <c r="C607" s="26"/>
      <c r="D607" s="26"/>
      <c r="E607" s="26"/>
      <c r="F607" s="26"/>
      <c r="G607" s="27"/>
      <c r="H607" s="17">
        <f>SUM(G604:G606)</f>
        <v>1260250</v>
      </c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6.25" x14ac:dyDescent="0.4">
      <c r="A608" s="29" t="s">
        <v>16</v>
      </c>
      <c r="B608" s="26"/>
      <c r="C608" s="26"/>
      <c r="D608" s="26"/>
      <c r="E608" s="26"/>
      <c r="F608" s="26"/>
      <c r="G608" s="27"/>
      <c r="H608" s="17">
        <f>MAX(0,H607-648000)</f>
        <v>612250</v>
      </c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6.25" x14ac:dyDescent="0.4">
      <c r="A609" s="25" t="s">
        <v>17</v>
      </c>
      <c r="B609" s="26"/>
      <c r="C609" s="26"/>
      <c r="D609" s="26"/>
      <c r="E609" s="26"/>
      <c r="F609" s="26"/>
      <c r="G609" s="27"/>
      <c r="H609" s="18">
        <v>649000</v>
      </c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6.25" x14ac:dyDescent="0.4">
      <c r="A610" s="28" t="s">
        <v>18</v>
      </c>
      <c r="B610" s="26"/>
      <c r="C610" s="26"/>
      <c r="D610" s="26"/>
      <c r="E610" s="26"/>
      <c r="F610" s="26"/>
      <c r="G610" s="26"/>
      <c r="H610" s="27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4" spans="1:26" ht="15.75" customHeight="1" x14ac:dyDescent="0.4">
      <c r="A614" s="28" t="s">
        <v>0</v>
      </c>
      <c r="B614" s="26"/>
      <c r="C614" s="26"/>
      <c r="D614" s="26"/>
      <c r="E614" s="26"/>
      <c r="F614" s="26"/>
      <c r="G614" s="26"/>
      <c r="H614" s="27"/>
    </row>
    <row r="615" spans="1:26" ht="26.25" x14ac:dyDescent="0.4">
      <c r="A615" s="28" t="s">
        <v>187</v>
      </c>
      <c r="B615" s="26"/>
      <c r="C615" s="26"/>
      <c r="D615" s="26"/>
      <c r="E615" s="26"/>
      <c r="F615" s="26"/>
      <c r="G615" s="26"/>
      <c r="H615" s="27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.75" x14ac:dyDescent="0.3">
      <c r="A616" s="3" t="s">
        <v>2</v>
      </c>
      <c r="B616" s="3" t="s">
        <v>3</v>
      </c>
      <c r="C616" s="3" t="s">
        <v>4</v>
      </c>
      <c r="D616" s="3" t="s">
        <v>5</v>
      </c>
      <c r="E616" s="3" t="s">
        <v>6</v>
      </c>
      <c r="F616" s="4" t="s">
        <v>7</v>
      </c>
      <c r="G616" s="3" t="s">
        <v>8</v>
      </c>
      <c r="H616" s="5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6.25" x14ac:dyDescent="0.4">
      <c r="A617" s="6">
        <v>1</v>
      </c>
      <c r="B617" s="8" t="s">
        <v>188</v>
      </c>
      <c r="C617" s="12" t="s">
        <v>189</v>
      </c>
      <c r="D617" s="8" t="s">
        <v>11</v>
      </c>
      <c r="E617" s="8">
        <v>1.75</v>
      </c>
      <c r="F617" s="9">
        <v>293000</v>
      </c>
      <c r="G617" s="10">
        <f t="shared" ref="G617:G619" si="41">IFERROR(E617*F617,0)</f>
        <v>512750</v>
      </c>
      <c r="H617" s="11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6.25" x14ac:dyDescent="0.4">
      <c r="A618" s="6">
        <v>2</v>
      </c>
      <c r="B618" s="13" t="s">
        <v>190</v>
      </c>
      <c r="C618" s="19" t="s">
        <v>191</v>
      </c>
      <c r="D618" s="13" t="s">
        <v>13</v>
      </c>
      <c r="E618" s="13">
        <v>1.68</v>
      </c>
      <c r="F618" s="14">
        <v>435000</v>
      </c>
      <c r="G618" s="10">
        <f t="shared" si="41"/>
        <v>730800</v>
      </c>
      <c r="H618" s="11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6.25" x14ac:dyDescent="0.4">
      <c r="A619" s="6">
        <v>3</v>
      </c>
      <c r="B619" s="15" t="s">
        <v>14</v>
      </c>
      <c r="C619" s="11"/>
      <c r="D619" s="11"/>
      <c r="E619" s="11"/>
      <c r="F619" s="11"/>
      <c r="G619" s="16">
        <f t="shared" si="41"/>
        <v>0</v>
      </c>
      <c r="H619" s="11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6.25" x14ac:dyDescent="0.4">
      <c r="A620" s="29" t="s">
        <v>15</v>
      </c>
      <c r="B620" s="26"/>
      <c r="C620" s="26"/>
      <c r="D620" s="26"/>
      <c r="E620" s="26"/>
      <c r="F620" s="26"/>
      <c r="G620" s="27"/>
      <c r="H620" s="17">
        <f>SUM(G617:G619)</f>
        <v>1243550</v>
      </c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6.25" x14ac:dyDescent="0.4">
      <c r="A621" s="29" t="s">
        <v>16</v>
      </c>
      <c r="B621" s="26"/>
      <c r="C621" s="26"/>
      <c r="D621" s="26"/>
      <c r="E621" s="26"/>
      <c r="F621" s="26"/>
      <c r="G621" s="27"/>
      <c r="H621" s="17">
        <f>MAX(0,H620-648000)</f>
        <v>595550</v>
      </c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6.25" x14ac:dyDescent="0.4">
      <c r="A622" s="25" t="s">
        <v>17</v>
      </c>
      <c r="B622" s="26"/>
      <c r="C622" s="26"/>
      <c r="D622" s="26"/>
      <c r="E622" s="26"/>
      <c r="F622" s="26"/>
      <c r="G622" s="27"/>
      <c r="H622" s="18">
        <v>649000</v>
      </c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6.25" x14ac:dyDescent="0.4">
      <c r="A623" s="28" t="s">
        <v>18</v>
      </c>
      <c r="B623" s="26"/>
      <c r="C623" s="26"/>
      <c r="D623" s="26"/>
      <c r="E623" s="26"/>
      <c r="F623" s="26"/>
      <c r="G623" s="26"/>
      <c r="H623" s="27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25"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8" spans="1:26" ht="26.25" x14ac:dyDescent="0.4">
      <c r="A628" s="28" t="s">
        <v>0</v>
      </c>
      <c r="B628" s="26"/>
      <c r="C628" s="26"/>
      <c r="D628" s="26"/>
      <c r="E628" s="26"/>
      <c r="F628" s="26"/>
      <c r="G628" s="26"/>
      <c r="H628" s="27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6.25" x14ac:dyDescent="0.4">
      <c r="A629" s="28" t="s">
        <v>192</v>
      </c>
      <c r="B629" s="26"/>
      <c r="C629" s="26"/>
      <c r="D629" s="26"/>
      <c r="E629" s="26"/>
      <c r="F629" s="26"/>
      <c r="G629" s="26"/>
      <c r="H629" s="27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.75" x14ac:dyDescent="0.3">
      <c r="A630" s="3" t="s">
        <v>2</v>
      </c>
      <c r="B630" s="3" t="s">
        <v>3</v>
      </c>
      <c r="C630" s="3" t="s">
        <v>4</v>
      </c>
      <c r="D630" s="3" t="s">
        <v>5</v>
      </c>
      <c r="E630" s="3" t="s">
        <v>6</v>
      </c>
      <c r="F630" s="4" t="s">
        <v>7</v>
      </c>
      <c r="G630" s="3" t="s">
        <v>8</v>
      </c>
      <c r="H630" s="5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6.25" x14ac:dyDescent="0.4">
      <c r="A631" s="6">
        <v>1</v>
      </c>
      <c r="B631" s="8" t="s">
        <v>193</v>
      </c>
      <c r="C631" s="12" t="s">
        <v>194</v>
      </c>
      <c r="D631" s="8" t="s">
        <v>11</v>
      </c>
      <c r="E631" s="8">
        <v>1.84</v>
      </c>
      <c r="F631" s="9">
        <v>293000</v>
      </c>
      <c r="G631" s="10">
        <f t="shared" ref="G631:G633" si="42">IFERROR(E631*F631,0)</f>
        <v>539120</v>
      </c>
      <c r="H631" s="11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6.25" x14ac:dyDescent="0.4">
      <c r="A632" s="6">
        <v>2</v>
      </c>
      <c r="B632" s="13" t="s">
        <v>27</v>
      </c>
      <c r="C632" s="19" t="s">
        <v>195</v>
      </c>
      <c r="D632" s="13" t="s">
        <v>13</v>
      </c>
      <c r="E632" s="13">
        <v>1.63</v>
      </c>
      <c r="F632" s="14">
        <v>435000</v>
      </c>
      <c r="G632" s="10">
        <f t="shared" si="42"/>
        <v>709050</v>
      </c>
      <c r="H632" s="11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6.25" x14ac:dyDescent="0.4">
      <c r="A633" s="6">
        <v>3</v>
      </c>
      <c r="B633" s="15" t="s">
        <v>14</v>
      </c>
      <c r="C633" s="11"/>
      <c r="D633" s="11"/>
      <c r="E633" s="11"/>
      <c r="F633" s="11"/>
      <c r="G633" s="16">
        <f t="shared" si="42"/>
        <v>0</v>
      </c>
      <c r="H633" s="11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6.25" x14ac:dyDescent="0.4">
      <c r="A634" s="29" t="s">
        <v>15</v>
      </c>
      <c r="B634" s="26"/>
      <c r="C634" s="26"/>
      <c r="D634" s="26"/>
      <c r="E634" s="26"/>
      <c r="F634" s="26"/>
      <c r="G634" s="27"/>
      <c r="H634" s="17">
        <f>SUM(G631:G633)</f>
        <v>1248170</v>
      </c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6.25" x14ac:dyDescent="0.4">
      <c r="A635" s="29" t="s">
        <v>16</v>
      </c>
      <c r="B635" s="26"/>
      <c r="C635" s="26"/>
      <c r="D635" s="26"/>
      <c r="E635" s="26"/>
      <c r="F635" s="26"/>
      <c r="G635" s="27"/>
      <c r="H635" s="17">
        <f>MAX(0,H634-648000)</f>
        <v>600170</v>
      </c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6.25" x14ac:dyDescent="0.4">
      <c r="A636" s="25" t="s">
        <v>17</v>
      </c>
      <c r="B636" s="26"/>
      <c r="C636" s="26"/>
      <c r="D636" s="26"/>
      <c r="E636" s="26"/>
      <c r="F636" s="26"/>
      <c r="G636" s="27"/>
      <c r="H636" s="18">
        <v>649000</v>
      </c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6.25" x14ac:dyDescent="0.4">
      <c r="A637" s="28" t="s">
        <v>18</v>
      </c>
      <c r="B637" s="26"/>
      <c r="C637" s="26"/>
      <c r="D637" s="26"/>
      <c r="E637" s="26"/>
      <c r="F637" s="26"/>
      <c r="G637" s="26"/>
      <c r="H637" s="27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41" spans="1:26" ht="15.75" customHeight="1" x14ac:dyDescent="0.4">
      <c r="A641" s="28" t="s">
        <v>0</v>
      </c>
      <c r="B641" s="26"/>
      <c r="C641" s="26"/>
      <c r="D641" s="26"/>
      <c r="E641" s="26"/>
      <c r="F641" s="26"/>
      <c r="G641" s="26"/>
      <c r="H641" s="27"/>
    </row>
    <row r="642" spans="1:26" ht="15.75" customHeight="1" x14ac:dyDescent="0.4">
      <c r="A642" s="28" t="s">
        <v>196</v>
      </c>
      <c r="B642" s="26"/>
      <c r="C642" s="26"/>
      <c r="D642" s="26"/>
      <c r="E642" s="26"/>
      <c r="F642" s="26"/>
      <c r="G642" s="26"/>
      <c r="H642" s="27"/>
    </row>
    <row r="643" spans="1:26" ht="18.75" x14ac:dyDescent="0.3">
      <c r="A643" s="3" t="s">
        <v>2</v>
      </c>
      <c r="B643" s="3" t="s">
        <v>3</v>
      </c>
      <c r="C643" s="3" t="s">
        <v>4</v>
      </c>
      <c r="D643" s="3" t="s">
        <v>5</v>
      </c>
      <c r="E643" s="3" t="s">
        <v>6</v>
      </c>
      <c r="F643" s="4" t="s">
        <v>7</v>
      </c>
      <c r="G643" s="3" t="s">
        <v>8</v>
      </c>
      <c r="H643" s="5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6.25" x14ac:dyDescent="0.4">
      <c r="A644" s="6">
        <v>1</v>
      </c>
      <c r="B644" s="8" t="s">
        <v>197</v>
      </c>
      <c r="C644" s="12" t="s">
        <v>198</v>
      </c>
      <c r="D644" s="8" t="s">
        <v>11</v>
      </c>
      <c r="E644" s="8">
        <v>1.4</v>
      </c>
      <c r="F644" s="9">
        <v>293000</v>
      </c>
      <c r="G644" s="10">
        <f t="shared" ref="G644:G646" si="43">IFERROR(E644*F644,0)</f>
        <v>410200</v>
      </c>
      <c r="H644" s="11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6.25" x14ac:dyDescent="0.4">
      <c r="A645" s="6">
        <v>2</v>
      </c>
      <c r="B645" s="13" t="s">
        <v>12</v>
      </c>
      <c r="C645" s="19" t="s">
        <v>199</v>
      </c>
      <c r="D645" s="13" t="s">
        <v>13</v>
      </c>
      <c r="E645" s="13">
        <v>1.97</v>
      </c>
      <c r="F645" s="14">
        <v>435000</v>
      </c>
      <c r="G645" s="10">
        <f t="shared" si="43"/>
        <v>856950</v>
      </c>
      <c r="H645" s="11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6.25" x14ac:dyDescent="0.4">
      <c r="A646" s="6">
        <v>3</v>
      </c>
      <c r="B646" s="15" t="s">
        <v>14</v>
      </c>
      <c r="C646" s="11"/>
      <c r="D646" s="11"/>
      <c r="E646" s="11"/>
      <c r="F646" s="11"/>
      <c r="G646" s="16">
        <f t="shared" si="43"/>
        <v>0</v>
      </c>
      <c r="H646" s="11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6.25" x14ac:dyDescent="0.4">
      <c r="A647" s="29" t="s">
        <v>15</v>
      </c>
      <c r="B647" s="26"/>
      <c r="C647" s="26"/>
      <c r="D647" s="26"/>
      <c r="E647" s="26"/>
      <c r="F647" s="26"/>
      <c r="G647" s="27"/>
      <c r="H647" s="17">
        <f>SUM(G644:G646)</f>
        <v>1267150</v>
      </c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6.25" x14ac:dyDescent="0.4">
      <c r="A648" s="29" t="s">
        <v>16</v>
      </c>
      <c r="B648" s="26"/>
      <c r="C648" s="26"/>
      <c r="D648" s="26"/>
      <c r="E648" s="26"/>
      <c r="F648" s="26"/>
      <c r="G648" s="27"/>
      <c r="H648" s="17">
        <f>MAX(0,H647-648000)</f>
        <v>619150</v>
      </c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6.25" x14ac:dyDescent="0.4">
      <c r="A649" s="25" t="s">
        <v>17</v>
      </c>
      <c r="B649" s="26"/>
      <c r="C649" s="26"/>
      <c r="D649" s="26"/>
      <c r="E649" s="26"/>
      <c r="F649" s="26"/>
      <c r="G649" s="27"/>
      <c r="H649" s="18">
        <v>649000</v>
      </c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6.25" x14ac:dyDescent="0.4">
      <c r="A650" s="28" t="s">
        <v>18</v>
      </c>
      <c r="B650" s="26"/>
      <c r="C650" s="26"/>
      <c r="D650" s="26"/>
      <c r="E650" s="26"/>
      <c r="F650" s="26"/>
      <c r="G650" s="26"/>
      <c r="H650" s="27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25"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25"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6" spans="1:26" ht="15.75" customHeight="1" x14ac:dyDescent="0.4">
      <c r="A656" s="28" t="s">
        <v>0</v>
      </c>
      <c r="B656" s="26"/>
      <c r="C656" s="26"/>
      <c r="D656" s="26"/>
      <c r="E656" s="26"/>
      <c r="F656" s="26"/>
      <c r="G656" s="26"/>
      <c r="H656" s="27"/>
    </row>
    <row r="657" spans="1:26" ht="15.75" customHeight="1" x14ac:dyDescent="0.4">
      <c r="A657" s="28" t="s">
        <v>200</v>
      </c>
      <c r="B657" s="26"/>
      <c r="C657" s="26"/>
      <c r="D657" s="26"/>
      <c r="E657" s="26"/>
      <c r="F657" s="26"/>
      <c r="G657" s="26"/>
      <c r="H657" s="27"/>
    </row>
    <row r="658" spans="1:26" ht="15.75" customHeight="1" x14ac:dyDescent="0.3">
      <c r="A658" s="3" t="s">
        <v>2</v>
      </c>
      <c r="B658" s="3" t="s">
        <v>3</v>
      </c>
      <c r="C658" s="3" t="s">
        <v>4</v>
      </c>
      <c r="D658" s="3" t="s">
        <v>5</v>
      </c>
      <c r="E658" s="3" t="s">
        <v>6</v>
      </c>
      <c r="F658" s="4" t="s">
        <v>7</v>
      </c>
      <c r="G658" s="3" t="s">
        <v>8</v>
      </c>
      <c r="H658" s="5"/>
    </row>
    <row r="659" spans="1:26" ht="26.25" x14ac:dyDescent="0.4">
      <c r="A659" s="6">
        <v>1</v>
      </c>
      <c r="B659" s="8" t="s">
        <v>34</v>
      </c>
      <c r="C659" s="12" t="s">
        <v>201</v>
      </c>
      <c r="D659" s="8" t="s">
        <v>11</v>
      </c>
      <c r="E659" s="8">
        <v>2.95</v>
      </c>
      <c r="F659" s="9">
        <v>293000</v>
      </c>
      <c r="G659" s="10">
        <f t="shared" ref="G659:G661" si="44">IFERROR(E659*F659,0)</f>
        <v>864350</v>
      </c>
      <c r="H659" s="11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6.25" x14ac:dyDescent="0.4">
      <c r="A660" s="6">
        <v>2</v>
      </c>
      <c r="B660" s="13" t="s">
        <v>202</v>
      </c>
      <c r="C660" s="19" t="s">
        <v>203</v>
      </c>
      <c r="D660" s="13" t="s">
        <v>13</v>
      </c>
      <c r="E660" s="13">
        <v>0.63</v>
      </c>
      <c r="F660" s="14">
        <v>435000</v>
      </c>
      <c r="G660" s="10">
        <f t="shared" si="44"/>
        <v>274050</v>
      </c>
      <c r="H660" s="11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6.25" x14ac:dyDescent="0.4">
      <c r="A661" s="6">
        <v>3</v>
      </c>
      <c r="B661" s="15" t="s">
        <v>14</v>
      </c>
      <c r="C661" s="11"/>
      <c r="D661" s="11"/>
      <c r="E661" s="11"/>
      <c r="F661" s="11"/>
      <c r="G661" s="16">
        <f t="shared" si="44"/>
        <v>0</v>
      </c>
      <c r="H661" s="11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6.25" x14ac:dyDescent="0.4">
      <c r="A662" s="29" t="s">
        <v>15</v>
      </c>
      <c r="B662" s="26"/>
      <c r="C662" s="26"/>
      <c r="D662" s="26"/>
      <c r="E662" s="26"/>
      <c r="F662" s="26"/>
      <c r="G662" s="27"/>
      <c r="H662" s="17">
        <f>SUM(G659:G661)</f>
        <v>1138400</v>
      </c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6.25" x14ac:dyDescent="0.4">
      <c r="A663" s="29" t="s">
        <v>16</v>
      </c>
      <c r="B663" s="26"/>
      <c r="C663" s="26"/>
      <c r="D663" s="26"/>
      <c r="E663" s="26"/>
      <c r="F663" s="26"/>
      <c r="G663" s="27"/>
      <c r="H663" s="17">
        <f>MAX(0,H662-648000)</f>
        <v>490400</v>
      </c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6.25" x14ac:dyDescent="0.4">
      <c r="A664" s="25" t="s">
        <v>17</v>
      </c>
      <c r="B664" s="26"/>
      <c r="C664" s="26"/>
      <c r="D664" s="26"/>
      <c r="E664" s="26"/>
      <c r="F664" s="26"/>
      <c r="G664" s="27"/>
      <c r="H664" s="18">
        <v>649000</v>
      </c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6.25" x14ac:dyDescent="0.4">
      <c r="A665" s="28" t="s">
        <v>18</v>
      </c>
      <c r="B665" s="26"/>
      <c r="C665" s="26"/>
      <c r="D665" s="26"/>
      <c r="E665" s="26"/>
      <c r="F665" s="26"/>
      <c r="G665" s="26"/>
      <c r="H665" s="27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25"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25"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25"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72" spans="1:26" ht="15.75" customHeight="1" x14ac:dyDescent="0.4">
      <c r="A672" s="28" t="s">
        <v>0</v>
      </c>
      <c r="B672" s="26"/>
      <c r="C672" s="26"/>
      <c r="D672" s="26"/>
      <c r="E672" s="26"/>
      <c r="F672" s="26"/>
      <c r="G672" s="26"/>
      <c r="H672" s="27"/>
    </row>
    <row r="673" spans="1:26" ht="15.75" customHeight="1" x14ac:dyDescent="0.4">
      <c r="A673" s="28" t="s">
        <v>204</v>
      </c>
      <c r="B673" s="26"/>
      <c r="C673" s="26"/>
      <c r="D673" s="26"/>
      <c r="E673" s="26"/>
      <c r="F673" s="26"/>
      <c r="G673" s="26"/>
      <c r="H673" s="27"/>
    </row>
    <row r="674" spans="1:26" ht="15.75" customHeight="1" x14ac:dyDescent="0.3">
      <c r="A674" s="3" t="s">
        <v>2</v>
      </c>
      <c r="B674" s="3" t="s">
        <v>3</v>
      </c>
      <c r="C674" s="3" t="s">
        <v>4</v>
      </c>
      <c r="D674" s="3" t="s">
        <v>5</v>
      </c>
      <c r="E674" s="3" t="s">
        <v>6</v>
      </c>
      <c r="F674" s="4" t="s">
        <v>7</v>
      </c>
      <c r="G674" s="3" t="s">
        <v>8</v>
      </c>
      <c r="H674" s="5"/>
    </row>
    <row r="675" spans="1:26" ht="26.25" x14ac:dyDescent="0.4">
      <c r="A675" s="6">
        <v>1</v>
      </c>
      <c r="B675" s="8" t="s">
        <v>183</v>
      </c>
      <c r="C675" s="12" t="s">
        <v>205</v>
      </c>
      <c r="D675" s="8" t="s">
        <v>11</v>
      </c>
      <c r="E675" s="8">
        <v>1.5</v>
      </c>
      <c r="F675" s="9">
        <v>293000</v>
      </c>
      <c r="G675" s="10">
        <f t="shared" ref="G675:G677" si="45">IFERROR(E675*F675,0)</f>
        <v>439500</v>
      </c>
      <c r="H675" s="11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6.25" x14ac:dyDescent="0.4">
      <c r="A676" s="6">
        <v>2</v>
      </c>
      <c r="B676" s="13" t="s">
        <v>206</v>
      </c>
      <c r="C676" s="19" t="s">
        <v>207</v>
      </c>
      <c r="D676" s="13" t="s">
        <v>13</v>
      </c>
      <c r="E676" s="13">
        <v>1.96</v>
      </c>
      <c r="F676" s="14">
        <v>435000</v>
      </c>
      <c r="G676" s="10">
        <f t="shared" si="45"/>
        <v>852600</v>
      </c>
      <c r="H676" s="11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6.25" x14ac:dyDescent="0.4">
      <c r="A677" s="6">
        <v>3</v>
      </c>
      <c r="B677" s="15" t="s">
        <v>14</v>
      </c>
      <c r="C677" s="11"/>
      <c r="D677" s="11"/>
      <c r="E677" s="11"/>
      <c r="F677" s="11"/>
      <c r="G677" s="16">
        <f t="shared" si="45"/>
        <v>0</v>
      </c>
      <c r="H677" s="11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6.25" x14ac:dyDescent="0.4">
      <c r="A678" s="29" t="s">
        <v>15</v>
      </c>
      <c r="B678" s="26"/>
      <c r="C678" s="26"/>
      <c r="D678" s="26"/>
      <c r="E678" s="26"/>
      <c r="F678" s="26"/>
      <c r="G678" s="27"/>
      <c r="H678" s="17">
        <f>SUM(G675:G677)</f>
        <v>1292100</v>
      </c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6.25" x14ac:dyDescent="0.4">
      <c r="A679" s="29" t="s">
        <v>16</v>
      </c>
      <c r="B679" s="26"/>
      <c r="C679" s="26"/>
      <c r="D679" s="26"/>
      <c r="E679" s="26"/>
      <c r="F679" s="26"/>
      <c r="G679" s="27"/>
      <c r="H679" s="17">
        <f>MAX(0,H678-648000)</f>
        <v>644100</v>
      </c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6.25" x14ac:dyDescent="0.4">
      <c r="A680" s="25" t="s">
        <v>17</v>
      </c>
      <c r="B680" s="26"/>
      <c r="C680" s="26"/>
      <c r="D680" s="26"/>
      <c r="E680" s="26"/>
      <c r="F680" s="26"/>
      <c r="G680" s="27"/>
      <c r="H680" s="18">
        <v>649000</v>
      </c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6.25" x14ac:dyDescent="0.4">
      <c r="A681" s="28" t="s">
        <v>18</v>
      </c>
      <c r="B681" s="26"/>
      <c r="C681" s="26"/>
      <c r="D681" s="26"/>
      <c r="E681" s="26"/>
      <c r="F681" s="26"/>
      <c r="G681" s="26"/>
      <c r="H681" s="27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25"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25"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25"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8" spans="1:26" ht="15.75" customHeight="1" x14ac:dyDescent="0.4">
      <c r="A688" s="28" t="s">
        <v>0</v>
      </c>
      <c r="B688" s="26"/>
      <c r="C688" s="26"/>
      <c r="D688" s="26"/>
      <c r="E688" s="26"/>
      <c r="F688" s="26"/>
      <c r="G688" s="26"/>
      <c r="H688" s="27"/>
    </row>
    <row r="689" spans="1:26" ht="15.75" customHeight="1" x14ac:dyDescent="0.4">
      <c r="A689" s="28" t="s">
        <v>208</v>
      </c>
      <c r="B689" s="26"/>
      <c r="C689" s="26"/>
      <c r="D689" s="26"/>
      <c r="E689" s="26"/>
      <c r="F689" s="26"/>
      <c r="G689" s="26"/>
      <c r="H689" s="27"/>
    </row>
    <row r="690" spans="1:26" ht="15.75" customHeight="1" x14ac:dyDescent="0.3">
      <c r="A690" s="3" t="s">
        <v>2</v>
      </c>
      <c r="B690" s="3" t="s">
        <v>3</v>
      </c>
      <c r="C690" s="3" t="s">
        <v>4</v>
      </c>
      <c r="D690" s="3" t="s">
        <v>5</v>
      </c>
      <c r="E690" s="3" t="s">
        <v>6</v>
      </c>
      <c r="F690" s="4" t="s">
        <v>7</v>
      </c>
      <c r="G690" s="3" t="s">
        <v>8</v>
      </c>
      <c r="H690" s="5"/>
    </row>
    <row r="691" spans="1:26" ht="26.25" x14ac:dyDescent="0.4">
      <c r="A691" s="6">
        <v>1</v>
      </c>
      <c r="B691" s="8" t="s">
        <v>12</v>
      </c>
      <c r="C691" s="12" t="s">
        <v>209</v>
      </c>
      <c r="D691" s="8" t="s">
        <v>11</v>
      </c>
      <c r="E691" s="8">
        <v>2.21</v>
      </c>
      <c r="F691" s="9">
        <v>293000</v>
      </c>
      <c r="G691" s="10">
        <f t="shared" ref="G691:G693" si="46">IFERROR(E691*F691,0)</f>
        <v>647530</v>
      </c>
      <c r="H691" s="11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6.25" x14ac:dyDescent="0.4">
      <c r="A692" s="6">
        <v>2</v>
      </c>
      <c r="B692" s="13" t="s">
        <v>55</v>
      </c>
      <c r="C692" s="19" t="s">
        <v>210</v>
      </c>
      <c r="D692" s="13" t="s">
        <v>13</v>
      </c>
      <c r="E692" s="13">
        <v>1.26</v>
      </c>
      <c r="F692" s="14">
        <v>435000</v>
      </c>
      <c r="G692" s="10">
        <f t="shared" si="46"/>
        <v>548100</v>
      </c>
      <c r="H692" s="11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6.25" x14ac:dyDescent="0.4">
      <c r="A693" s="6">
        <v>3</v>
      </c>
      <c r="B693" s="15" t="s">
        <v>14</v>
      </c>
      <c r="C693" s="11"/>
      <c r="D693" s="11"/>
      <c r="E693" s="11"/>
      <c r="F693" s="11"/>
      <c r="G693" s="16">
        <f t="shared" si="46"/>
        <v>0</v>
      </c>
      <c r="H693" s="11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6.25" x14ac:dyDescent="0.4">
      <c r="A694" s="29" t="s">
        <v>15</v>
      </c>
      <c r="B694" s="26"/>
      <c r="C694" s="26"/>
      <c r="D694" s="26"/>
      <c r="E694" s="26"/>
      <c r="F694" s="26"/>
      <c r="G694" s="27"/>
      <c r="H694" s="17">
        <f>SUM(G691:G693)</f>
        <v>1195630</v>
      </c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6.25" x14ac:dyDescent="0.4">
      <c r="A695" s="29" t="s">
        <v>16</v>
      </c>
      <c r="B695" s="26"/>
      <c r="C695" s="26"/>
      <c r="D695" s="26"/>
      <c r="E695" s="26"/>
      <c r="F695" s="26"/>
      <c r="G695" s="27"/>
      <c r="H695" s="17">
        <f>MAX(0,H694-648000)</f>
        <v>547630</v>
      </c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6.25" x14ac:dyDescent="0.4">
      <c r="A696" s="25" t="s">
        <v>17</v>
      </c>
      <c r="B696" s="26"/>
      <c r="C696" s="26"/>
      <c r="D696" s="26"/>
      <c r="E696" s="26"/>
      <c r="F696" s="26"/>
      <c r="G696" s="27"/>
      <c r="H696" s="18">
        <v>649000</v>
      </c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6.25" x14ac:dyDescent="0.4">
      <c r="A697" s="28" t="s">
        <v>18</v>
      </c>
      <c r="B697" s="26"/>
      <c r="C697" s="26"/>
      <c r="D697" s="26"/>
      <c r="E697" s="26"/>
      <c r="F697" s="26"/>
      <c r="G697" s="26"/>
      <c r="H697" s="27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25"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25"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25"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4" spans="1:26" ht="15.75" customHeight="1" x14ac:dyDescent="0.4">
      <c r="A704" s="28" t="s">
        <v>0</v>
      </c>
      <c r="B704" s="26"/>
      <c r="C704" s="26"/>
      <c r="D704" s="26"/>
      <c r="E704" s="26"/>
      <c r="F704" s="26"/>
      <c r="G704" s="26"/>
      <c r="H704" s="27"/>
    </row>
    <row r="705" spans="1:26" ht="15.75" customHeight="1" x14ac:dyDescent="0.4">
      <c r="A705" s="28" t="s">
        <v>211</v>
      </c>
      <c r="B705" s="26"/>
      <c r="C705" s="26"/>
      <c r="D705" s="26"/>
      <c r="E705" s="26"/>
      <c r="F705" s="26"/>
      <c r="G705" s="26"/>
      <c r="H705" s="27"/>
    </row>
    <row r="706" spans="1:26" ht="18.75" x14ac:dyDescent="0.3">
      <c r="A706" s="3" t="s">
        <v>2</v>
      </c>
      <c r="B706" s="3" t="s">
        <v>3</v>
      </c>
      <c r="C706" s="3" t="s">
        <v>4</v>
      </c>
      <c r="D706" s="3" t="s">
        <v>5</v>
      </c>
      <c r="E706" s="3" t="s">
        <v>6</v>
      </c>
      <c r="F706" s="4" t="s">
        <v>7</v>
      </c>
      <c r="G706" s="3" t="s">
        <v>8</v>
      </c>
      <c r="H706" s="5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6.25" x14ac:dyDescent="0.4">
      <c r="A707" s="6">
        <v>1</v>
      </c>
      <c r="B707" s="8" t="s">
        <v>212</v>
      </c>
      <c r="C707" s="12" t="s">
        <v>213</v>
      </c>
      <c r="D707" s="8" t="s">
        <v>11</v>
      </c>
      <c r="E707" s="8">
        <v>3.05</v>
      </c>
      <c r="F707" s="9">
        <v>293000</v>
      </c>
      <c r="G707" s="10">
        <f t="shared" ref="G707:G709" si="47">IFERROR(E707*F707,0)</f>
        <v>893650</v>
      </c>
      <c r="H707" s="11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6.25" x14ac:dyDescent="0.4">
      <c r="A708" s="6">
        <v>2</v>
      </c>
      <c r="B708" s="13" t="s">
        <v>214</v>
      </c>
      <c r="C708" s="19" t="s">
        <v>215</v>
      </c>
      <c r="D708" s="13" t="s">
        <v>13</v>
      </c>
      <c r="E708" s="13">
        <v>0.57999999999999996</v>
      </c>
      <c r="F708" s="14">
        <v>435000</v>
      </c>
      <c r="G708" s="10">
        <f t="shared" si="47"/>
        <v>252299.99999999997</v>
      </c>
      <c r="H708" s="11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6.25" x14ac:dyDescent="0.4">
      <c r="A709" s="6">
        <v>3</v>
      </c>
      <c r="B709" s="15" t="s">
        <v>14</v>
      </c>
      <c r="C709" s="11"/>
      <c r="D709" s="11"/>
      <c r="E709" s="11"/>
      <c r="F709" s="11"/>
      <c r="G709" s="16">
        <f t="shared" si="47"/>
        <v>0</v>
      </c>
      <c r="H709" s="11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6.25" x14ac:dyDescent="0.4">
      <c r="A710" s="29" t="s">
        <v>15</v>
      </c>
      <c r="B710" s="26"/>
      <c r="C710" s="26"/>
      <c r="D710" s="26"/>
      <c r="E710" s="26"/>
      <c r="F710" s="26"/>
      <c r="G710" s="27"/>
      <c r="H710" s="17">
        <f>SUM(G707:G709)</f>
        <v>1145950</v>
      </c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6.25" x14ac:dyDescent="0.4">
      <c r="A711" s="29" t="s">
        <v>16</v>
      </c>
      <c r="B711" s="26"/>
      <c r="C711" s="26"/>
      <c r="D711" s="26"/>
      <c r="E711" s="26"/>
      <c r="F711" s="26"/>
      <c r="G711" s="27"/>
      <c r="H711" s="17">
        <f>MAX(0,H710-648000)</f>
        <v>497950</v>
      </c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6.25" x14ac:dyDescent="0.4">
      <c r="A712" s="25" t="s">
        <v>17</v>
      </c>
      <c r="B712" s="26"/>
      <c r="C712" s="26"/>
      <c r="D712" s="26"/>
      <c r="E712" s="26"/>
      <c r="F712" s="26"/>
      <c r="G712" s="27"/>
      <c r="H712" s="18">
        <v>649000</v>
      </c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6.25" x14ac:dyDescent="0.4">
      <c r="A713" s="28" t="s">
        <v>18</v>
      </c>
      <c r="B713" s="26"/>
      <c r="C713" s="26"/>
      <c r="D713" s="26"/>
      <c r="E713" s="26"/>
      <c r="F713" s="26"/>
      <c r="G713" s="26"/>
      <c r="H713" s="27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25"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25"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9" spans="1:26" ht="15.75" customHeight="1" x14ac:dyDescent="0.4">
      <c r="A719" s="28" t="s">
        <v>0</v>
      </c>
      <c r="B719" s="26"/>
      <c r="C719" s="26"/>
      <c r="D719" s="26"/>
      <c r="E719" s="26"/>
      <c r="F719" s="26"/>
      <c r="G719" s="26"/>
      <c r="H719" s="27"/>
    </row>
    <row r="720" spans="1:26" ht="26.25" x14ac:dyDescent="0.4">
      <c r="A720" s="28" t="s">
        <v>216</v>
      </c>
      <c r="B720" s="26"/>
      <c r="C720" s="26"/>
      <c r="D720" s="26"/>
      <c r="E720" s="26"/>
      <c r="F720" s="26"/>
      <c r="G720" s="26"/>
      <c r="H720" s="27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.75" x14ac:dyDescent="0.3">
      <c r="A721" s="3" t="s">
        <v>2</v>
      </c>
      <c r="B721" s="3" t="s">
        <v>3</v>
      </c>
      <c r="C721" s="3" t="s">
        <v>4</v>
      </c>
      <c r="D721" s="3" t="s">
        <v>5</v>
      </c>
      <c r="E721" s="3" t="s">
        <v>6</v>
      </c>
      <c r="F721" s="4" t="s">
        <v>7</v>
      </c>
      <c r="G721" s="3" t="s">
        <v>8</v>
      </c>
      <c r="H721" s="5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6.25" x14ac:dyDescent="0.4">
      <c r="A722" s="6">
        <v>1</v>
      </c>
      <c r="B722" s="8" t="s">
        <v>34</v>
      </c>
      <c r="C722" s="12" t="s">
        <v>217</v>
      </c>
      <c r="D722" s="8" t="s">
        <v>11</v>
      </c>
      <c r="E722" s="8">
        <v>1.92</v>
      </c>
      <c r="F722" s="9">
        <v>293000</v>
      </c>
      <c r="G722" s="10">
        <f t="shared" ref="G722:G724" si="48">IFERROR(E722*F722,0)</f>
        <v>562560</v>
      </c>
      <c r="H722" s="11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6.25" x14ac:dyDescent="0.4">
      <c r="A723" s="6">
        <v>2</v>
      </c>
      <c r="B723" s="13" t="s">
        <v>218</v>
      </c>
      <c r="C723" s="19" t="s">
        <v>219</v>
      </c>
      <c r="D723" s="13" t="s">
        <v>13</v>
      </c>
      <c r="E723" s="13">
        <v>1.55</v>
      </c>
      <c r="F723" s="14">
        <v>435000</v>
      </c>
      <c r="G723" s="10">
        <f t="shared" si="48"/>
        <v>674250</v>
      </c>
      <c r="H723" s="11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6.25" x14ac:dyDescent="0.4">
      <c r="A724" s="6">
        <v>3</v>
      </c>
      <c r="B724" s="15" t="s">
        <v>14</v>
      </c>
      <c r="C724" s="11"/>
      <c r="D724" s="11"/>
      <c r="E724" s="11" t="s">
        <v>181</v>
      </c>
      <c r="F724" s="11"/>
      <c r="G724" s="16">
        <f t="shared" si="48"/>
        <v>0</v>
      </c>
      <c r="H724" s="11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6.25" x14ac:dyDescent="0.4">
      <c r="A725" s="29" t="s">
        <v>15</v>
      </c>
      <c r="B725" s="26"/>
      <c r="C725" s="26"/>
      <c r="D725" s="26"/>
      <c r="E725" s="26"/>
      <c r="F725" s="26"/>
      <c r="G725" s="27"/>
      <c r="H725" s="17">
        <f>SUM(G722:G724)</f>
        <v>1236810</v>
      </c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6.25" x14ac:dyDescent="0.4">
      <c r="A726" s="29" t="s">
        <v>16</v>
      </c>
      <c r="B726" s="26"/>
      <c r="C726" s="26"/>
      <c r="D726" s="26"/>
      <c r="E726" s="26"/>
      <c r="F726" s="26"/>
      <c r="G726" s="27"/>
      <c r="H726" s="17">
        <f>MAX(0,H725-648000)</f>
        <v>588810</v>
      </c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6.25" x14ac:dyDescent="0.4">
      <c r="A727" s="25" t="s">
        <v>17</v>
      </c>
      <c r="B727" s="26"/>
      <c r="C727" s="26"/>
      <c r="D727" s="26"/>
      <c r="E727" s="26"/>
      <c r="F727" s="26"/>
      <c r="G727" s="27"/>
      <c r="H727" s="18">
        <v>649000</v>
      </c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6.25" x14ac:dyDescent="0.4">
      <c r="A728" s="28" t="s">
        <v>18</v>
      </c>
      <c r="B728" s="26"/>
      <c r="C728" s="26"/>
      <c r="D728" s="26"/>
      <c r="E728" s="26"/>
      <c r="F728" s="26"/>
      <c r="G728" s="26"/>
      <c r="H728" s="27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25"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3" spans="1:26" ht="15.75" customHeight="1" x14ac:dyDescent="0.4">
      <c r="A733" s="28" t="s">
        <v>0</v>
      </c>
      <c r="B733" s="26"/>
      <c r="C733" s="26"/>
      <c r="D733" s="26"/>
      <c r="E733" s="26"/>
      <c r="F733" s="26"/>
      <c r="G733" s="26"/>
      <c r="H733" s="27"/>
    </row>
    <row r="734" spans="1:26" ht="26.25" x14ac:dyDescent="0.4">
      <c r="A734" s="28" t="s">
        <v>220</v>
      </c>
      <c r="B734" s="26"/>
      <c r="C734" s="26"/>
      <c r="D734" s="26"/>
      <c r="E734" s="26"/>
      <c r="F734" s="26"/>
      <c r="G734" s="26"/>
      <c r="H734" s="27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.75" x14ac:dyDescent="0.3">
      <c r="A735" s="3" t="s">
        <v>2</v>
      </c>
      <c r="B735" s="3" t="s">
        <v>3</v>
      </c>
      <c r="C735" s="3" t="s">
        <v>4</v>
      </c>
      <c r="D735" s="3" t="s">
        <v>5</v>
      </c>
      <c r="E735" s="3" t="s">
        <v>6</v>
      </c>
      <c r="F735" s="4" t="s">
        <v>7</v>
      </c>
      <c r="G735" s="3" t="s">
        <v>8</v>
      </c>
      <c r="H735" s="5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6.25" x14ac:dyDescent="0.4">
      <c r="A736" s="6">
        <v>1</v>
      </c>
      <c r="B736" s="8" t="s">
        <v>34</v>
      </c>
      <c r="C736" s="12" t="s">
        <v>221</v>
      </c>
      <c r="D736" s="8" t="s">
        <v>11</v>
      </c>
      <c r="E736" s="8">
        <v>2.5</v>
      </c>
      <c r="F736" s="9">
        <v>293000</v>
      </c>
      <c r="G736" s="10">
        <f t="shared" ref="G736:G738" si="49">IFERROR(E736*F736,0)</f>
        <v>732500</v>
      </c>
      <c r="H736" s="11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6.25" x14ac:dyDescent="0.4">
      <c r="A737" s="6">
        <v>2</v>
      </c>
      <c r="B737" s="13" t="s">
        <v>12</v>
      </c>
      <c r="C737" s="19" t="s">
        <v>222</v>
      </c>
      <c r="D737" s="13" t="s">
        <v>13</v>
      </c>
      <c r="E737" s="13">
        <v>1</v>
      </c>
      <c r="F737" s="14">
        <v>435000</v>
      </c>
      <c r="G737" s="10">
        <f t="shared" si="49"/>
        <v>435000</v>
      </c>
      <c r="H737" s="11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6.25" x14ac:dyDescent="0.4">
      <c r="A738" s="6">
        <v>3</v>
      </c>
      <c r="B738" s="15" t="s">
        <v>14</v>
      </c>
      <c r="C738" s="11"/>
      <c r="D738" s="11"/>
      <c r="E738" s="11"/>
      <c r="F738" s="11"/>
      <c r="G738" s="16">
        <f t="shared" si="49"/>
        <v>0</v>
      </c>
      <c r="H738" s="11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6.25" x14ac:dyDescent="0.4">
      <c r="A739" s="29" t="s">
        <v>15</v>
      </c>
      <c r="B739" s="26"/>
      <c r="C739" s="26"/>
      <c r="D739" s="26"/>
      <c r="E739" s="26"/>
      <c r="F739" s="26"/>
      <c r="G739" s="27"/>
      <c r="H739" s="17">
        <f>SUM(G736:G738)</f>
        <v>1167500</v>
      </c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6.25" x14ac:dyDescent="0.4">
      <c r="A740" s="29" t="s">
        <v>16</v>
      </c>
      <c r="B740" s="26"/>
      <c r="C740" s="26"/>
      <c r="D740" s="26"/>
      <c r="E740" s="26"/>
      <c r="F740" s="26"/>
      <c r="G740" s="27"/>
      <c r="H740" s="17">
        <f>MAX(0,H739-648000)</f>
        <v>519500</v>
      </c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6.25" x14ac:dyDescent="0.4">
      <c r="A741" s="25" t="s">
        <v>17</v>
      </c>
      <c r="B741" s="26"/>
      <c r="C741" s="26"/>
      <c r="D741" s="26"/>
      <c r="E741" s="26"/>
      <c r="F741" s="26"/>
      <c r="G741" s="27"/>
      <c r="H741" s="18">
        <v>649000</v>
      </c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6.25" x14ac:dyDescent="0.4">
      <c r="A742" s="28" t="s">
        <v>18</v>
      </c>
      <c r="B742" s="26"/>
      <c r="C742" s="26"/>
      <c r="D742" s="26"/>
      <c r="E742" s="26"/>
      <c r="F742" s="26"/>
      <c r="G742" s="26"/>
      <c r="H742" s="27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25"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7" spans="1:26" ht="15.75" customHeight="1" x14ac:dyDescent="0.4">
      <c r="A747" s="28" t="s">
        <v>0</v>
      </c>
      <c r="B747" s="26"/>
      <c r="C747" s="26"/>
      <c r="D747" s="26"/>
      <c r="E747" s="26"/>
      <c r="F747" s="26"/>
      <c r="G747" s="26"/>
      <c r="H747" s="27"/>
    </row>
    <row r="748" spans="1:26" ht="15.75" customHeight="1" x14ac:dyDescent="0.4">
      <c r="A748" s="28" t="s">
        <v>223</v>
      </c>
      <c r="B748" s="26"/>
      <c r="C748" s="26"/>
      <c r="D748" s="26"/>
      <c r="E748" s="26"/>
      <c r="F748" s="26"/>
      <c r="G748" s="26"/>
      <c r="H748" s="27"/>
    </row>
    <row r="749" spans="1:26" ht="15.75" customHeight="1" x14ac:dyDescent="0.3">
      <c r="A749" s="3" t="s">
        <v>2</v>
      </c>
      <c r="B749" s="3" t="s">
        <v>3</v>
      </c>
      <c r="C749" s="3" t="s">
        <v>4</v>
      </c>
      <c r="D749" s="3" t="s">
        <v>5</v>
      </c>
      <c r="E749" s="3" t="s">
        <v>6</v>
      </c>
      <c r="F749" s="4" t="s">
        <v>7</v>
      </c>
      <c r="G749" s="3" t="s">
        <v>8</v>
      </c>
      <c r="H749" s="5"/>
    </row>
    <row r="750" spans="1:26" ht="29.25" customHeight="1" x14ac:dyDescent="0.4">
      <c r="A750" s="6">
        <v>1</v>
      </c>
      <c r="B750" s="8" t="s">
        <v>122</v>
      </c>
      <c r="C750" s="12" t="s">
        <v>224</v>
      </c>
      <c r="D750" s="8" t="s">
        <v>11</v>
      </c>
      <c r="E750" s="8">
        <v>2.08</v>
      </c>
      <c r="F750" s="9">
        <v>293000</v>
      </c>
      <c r="G750" s="10">
        <f t="shared" ref="G750:G752" si="50">IFERROR(E750*F750,0)</f>
        <v>609440</v>
      </c>
      <c r="H750" s="11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6.25" x14ac:dyDescent="0.4">
      <c r="A751" s="6">
        <v>2</v>
      </c>
      <c r="B751" s="13" t="s">
        <v>103</v>
      </c>
      <c r="C751" s="19" t="s">
        <v>225</v>
      </c>
      <c r="D751" s="13" t="s">
        <v>13</v>
      </c>
      <c r="E751" s="13">
        <v>1.5</v>
      </c>
      <c r="F751" s="14">
        <v>435000</v>
      </c>
      <c r="G751" s="10">
        <f t="shared" si="50"/>
        <v>652500</v>
      </c>
      <c r="H751" s="11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6.25" x14ac:dyDescent="0.4">
      <c r="A752" s="6">
        <v>3</v>
      </c>
      <c r="B752" s="15" t="s">
        <v>14</v>
      </c>
      <c r="C752" s="11"/>
      <c r="D752" s="11"/>
      <c r="E752" s="11"/>
      <c r="F752" s="11"/>
      <c r="G752" s="16">
        <f t="shared" si="50"/>
        <v>0</v>
      </c>
      <c r="H752" s="11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6.25" x14ac:dyDescent="0.4">
      <c r="A753" s="29" t="s">
        <v>15</v>
      </c>
      <c r="B753" s="26"/>
      <c r="C753" s="26"/>
      <c r="D753" s="26"/>
      <c r="E753" s="26"/>
      <c r="F753" s="26"/>
      <c r="G753" s="27"/>
      <c r="H753" s="17">
        <f>SUM(G750:G752)</f>
        <v>1261940</v>
      </c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6.25" x14ac:dyDescent="0.4">
      <c r="A754" s="29" t="s">
        <v>16</v>
      </c>
      <c r="B754" s="26"/>
      <c r="C754" s="26"/>
      <c r="D754" s="26"/>
      <c r="E754" s="26"/>
      <c r="F754" s="26"/>
      <c r="G754" s="27"/>
      <c r="H754" s="17">
        <f>MAX(0,H753-648000)</f>
        <v>613940</v>
      </c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6.25" x14ac:dyDescent="0.4">
      <c r="A755" s="25" t="s">
        <v>17</v>
      </c>
      <c r="B755" s="26"/>
      <c r="C755" s="26"/>
      <c r="D755" s="26"/>
      <c r="E755" s="26"/>
      <c r="F755" s="26"/>
      <c r="G755" s="27"/>
      <c r="H755" s="18">
        <v>649000</v>
      </c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6.25" x14ac:dyDescent="0.4">
      <c r="A756" s="28" t="s">
        <v>18</v>
      </c>
      <c r="B756" s="26"/>
      <c r="C756" s="26"/>
      <c r="D756" s="26"/>
      <c r="E756" s="26"/>
      <c r="F756" s="26"/>
      <c r="G756" s="26"/>
      <c r="H756" s="27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25"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25"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25"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3" spans="1:26" ht="15.75" customHeight="1" x14ac:dyDescent="0.4">
      <c r="A763" s="28" t="s">
        <v>0</v>
      </c>
      <c r="B763" s="26"/>
      <c r="C763" s="26"/>
      <c r="D763" s="26"/>
      <c r="E763" s="26"/>
      <c r="F763" s="26"/>
      <c r="G763" s="26"/>
      <c r="H763" s="27"/>
    </row>
    <row r="764" spans="1:26" ht="15.75" customHeight="1" x14ac:dyDescent="0.4">
      <c r="A764" s="28" t="s">
        <v>226</v>
      </c>
      <c r="B764" s="26"/>
      <c r="C764" s="26"/>
      <c r="D764" s="26"/>
      <c r="E764" s="26"/>
      <c r="F764" s="26"/>
      <c r="G764" s="26"/>
      <c r="H764" s="27"/>
    </row>
    <row r="765" spans="1:26" ht="29.25" customHeight="1" x14ac:dyDescent="0.3">
      <c r="A765" s="3" t="s">
        <v>2</v>
      </c>
      <c r="B765" s="3" t="s">
        <v>3</v>
      </c>
      <c r="C765" s="3" t="s">
        <v>4</v>
      </c>
      <c r="D765" s="3" t="s">
        <v>5</v>
      </c>
      <c r="E765" s="3" t="s">
        <v>6</v>
      </c>
      <c r="F765" s="4" t="s">
        <v>7</v>
      </c>
      <c r="G765" s="3" t="s">
        <v>8</v>
      </c>
      <c r="H765" s="5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6.25" x14ac:dyDescent="0.4">
      <c r="A766" s="6">
        <v>1</v>
      </c>
      <c r="B766" s="8" t="s">
        <v>227</v>
      </c>
      <c r="C766" s="12" t="s">
        <v>228</v>
      </c>
      <c r="D766" s="8" t="s">
        <v>11</v>
      </c>
      <c r="E766" s="8">
        <v>2.65</v>
      </c>
      <c r="F766" s="9">
        <v>293000</v>
      </c>
      <c r="G766" s="10">
        <f t="shared" ref="G766:G768" si="51">IFERROR(E766*F766,0)</f>
        <v>776450</v>
      </c>
      <c r="H766" s="11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6.25" x14ac:dyDescent="0.4">
      <c r="A767" s="6">
        <v>2</v>
      </c>
      <c r="B767" s="13" t="s">
        <v>98</v>
      </c>
      <c r="C767" s="19" t="s">
        <v>229</v>
      </c>
      <c r="D767" s="13" t="s">
        <v>13</v>
      </c>
      <c r="E767" s="13">
        <v>0.88</v>
      </c>
      <c r="F767" s="14">
        <v>435000</v>
      </c>
      <c r="G767" s="10">
        <f t="shared" si="51"/>
        <v>382800</v>
      </c>
      <c r="H767" s="11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6.25" x14ac:dyDescent="0.4">
      <c r="A768" s="6">
        <v>3</v>
      </c>
      <c r="B768" s="15" t="s">
        <v>14</v>
      </c>
      <c r="C768" s="11"/>
      <c r="D768" s="11"/>
      <c r="E768" s="11"/>
      <c r="F768" s="11"/>
      <c r="G768" s="16">
        <f t="shared" si="51"/>
        <v>0</v>
      </c>
      <c r="H768" s="11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6.25" x14ac:dyDescent="0.4">
      <c r="A769" s="29" t="s">
        <v>15</v>
      </c>
      <c r="B769" s="26"/>
      <c r="C769" s="26"/>
      <c r="D769" s="26"/>
      <c r="E769" s="26"/>
      <c r="F769" s="26"/>
      <c r="G769" s="27"/>
      <c r="H769" s="17">
        <f>SUM(G766:G768)</f>
        <v>1159250</v>
      </c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6.25" x14ac:dyDescent="0.4">
      <c r="A770" s="29" t="s">
        <v>16</v>
      </c>
      <c r="B770" s="26"/>
      <c r="C770" s="26"/>
      <c r="D770" s="26"/>
      <c r="E770" s="26"/>
      <c r="F770" s="26"/>
      <c r="G770" s="27"/>
      <c r="H770" s="17">
        <f>MAX(0,H769-648000)</f>
        <v>511250</v>
      </c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6.25" x14ac:dyDescent="0.4">
      <c r="A771" s="25" t="s">
        <v>17</v>
      </c>
      <c r="B771" s="26"/>
      <c r="C771" s="26"/>
      <c r="D771" s="26"/>
      <c r="E771" s="26"/>
      <c r="F771" s="26"/>
      <c r="G771" s="27"/>
      <c r="H771" s="18">
        <v>649000</v>
      </c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6.25" x14ac:dyDescent="0.4">
      <c r="A772" s="28" t="s">
        <v>18</v>
      </c>
      <c r="B772" s="26"/>
      <c r="C772" s="26"/>
      <c r="D772" s="26"/>
      <c r="E772" s="26"/>
      <c r="F772" s="26"/>
      <c r="G772" s="26"/>
      <c r="H772" s="27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25"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25"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8" spans="1:26" ht="15.75" customHeight="1" x14ac:dyDescent="0.4">
      <c r="A778" s="28" t="s">
        <v>0</v>
      </c>
      <c r="B778" s="26"/>
      <c r="C778" s="26"/>
      <c r="D778" s="26"/>
      <c r="E778" s="26"/>
      <c r="F778" s="26"/>
      <c r="G778" s="26"/>
      <c r="H778" s="27"/>
    </row>
    <row r="779" spans="1:26" ht="15.75" customHeight="1" x14ac:dyDescent="0.4">
      <c r="A779" s="28" t="s">
        <v>230</v>
      </c>
      <c r="B779" s="26"/>
      <c r="C779" s="26"/>
      <c r="D779" s="26"/>
      <c r="E779" s="26"/>
      <c r="F779" s="26"/>
      <c r="G779" s="26"/>
      <c r="H779" s="27"/>
    </row>
    <row r="780" spans="1:26" ht="29.25" customHeight="1" x14ac:dyDescent="0.3">
      <c r="A780" s="3" t="s">
        <v>2</v>
      </c>
      <c r="B780" s="3" t="s">
        <v>3</v>
      </c>
      <c r="C780" s="3" t="s">
        <v>4</v>
      </c>
      <c r="D780" s="3" t="s">
        <v>5</v>
      </c>
      <c r="E780" s="3" t="s">
        <v>6</v>
      </c>
      <c r="F780" s="4" t="s">
        <v>7</v>
      </c>
      <c r="G780" s="3" t="s">
        <v>8</v>
      </c>
      <c r="H780" s="5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6.25" x14ac:dyDescent="0.4">
      <c r="A781" s="6">
        <v>1</v>
      </c>
      <c r="B781" s="8" t="s">
        <v>39</v>
      </c>
      <c r="C781" s="12" t="s">
        <v>231</v>
      </c>
      <c r="D781" s="8" t="s">
        <v>11</v>
      </c>
      <c r="E781" s="8">
        <v>1.8</v>
      </c>
      <c r="F781" s="9">
        <v>293000</v>
      </c>
      <c r="G781" s="10">
        <f t="shared" ref="G781:G783" si="52">IFERROR(E781*F781,0)</f>
        <v>527400</v>
      </c>
      <c r="H781" s="11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6.25" x14ac:dyDescent="0.4">
      <c r="A782" s="6">
        <v>2</v>
      </c>
      <c r="B782" s="13" t="s">
        <v>197</v>
      </c>
      <c r="C782" s="19" t="s">
        <v>232</v>
      </c>
      <c r="D782" s="13" t="s">
        <v>13</v>
      </c>
      <c r="E782" s="13">
        <v>1.74</v>
      </c>
      <c r="F782" s="14">
        <v>435000</v>
      </c>
      <c r="G782" s="10">
        <f t="shared" si="52"/>
        <v>756900</v>
      </c>
      <c r="H782" s="11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6.25" x14ac:dyDescent="0.4">
      <c r="A783" s="6">
        <v>3</v>
      </c>
      <c r="B783" s="15" t="s">
        <v>14</v>
      </c>
      <c r="C783" s="11"/>
      <c r="D783" s="11"/>
      <c r="E783" s="11"/>
      <c r="F783" s="11"/>
      <c r="G783" s="16">
        <f t="shared" si="52"/>
        <v>0</v>
      </c>
      <c r="H783" s="11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6.25" x14ac:dyDescent="0.4">
      <c r="A784" s="29" t="s">
        <v>15</v>
      </c>
      <c r="B784" s="26"/>
      <c r="C784" s="26"/>
      <c r="D784" s="26"/>
      <c r="E784" s="26"/>
      <c r="F784" s="26"/>
      <c r="G784" s="27"/>
      <c r="H784" s="17">
        <f>SUM(G781:G783)</f>
        <v>1284300</v>
      </c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6.25" x14ac:dyDescent="0.4">
      <c r="A785" s="29" t="s">
        <v>16</v>
      </c>
      <c r="B785" s="26"/>
      <c r="C785" s="26"/>
      <c r="D785" s="26"/>
      <c r="E785" s="26"/>
      <c r="F785" s="26"/>
      <c r="G785" s="27"/>
      <c r="H785" s="17">
        <f>MAX(0,H784-648000)</f>
        <v>636300</v>
      </c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6.25" x14ac:dyDescent="0.4">
      <c r="A786" s="25" t="s">
        <v>17</v>
      </c>
      <c r="B786" s="26"/>
      <c r="C786" s="26"/>
      <c r="D786" s="26"/>
      <c r="E786" s="26"/>
      <c r="F786" s="26"/>
      <c r="G786" s="27"/>
      <c r="H786" s="18">
        <v>649000</v>
      </c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6.25" x14ac:dyDescent="0.4">
      <c r="A787" s="28" t="s">
        <v>18</v>
      </c>
      <c r="B787" s="26"/>
      <c r="C787" s="26"/>
      <c r="D787" s="26"/>
      <c r="E787" s="26"/>
      <c r="F787" s="26"/>
      <c r="G787" s="26"/>
      <c r="H787" s="27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25"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25"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3" spans="1:26" ht="15.75" customHeight="1" x14ac:dyDescent="0.4">
      <c r="A793" s="28" t="s">
        <v>0</v>
      </c>
      <c r="B793" s="26"/>
      <c r="C793" s="26"/>
      <c r="D793" s="26"/>
      <c r="E793" s="26"/>
      <c r="F793" s="26"/>
      <c r="G793" s="26"/>
      <c r="H793" s="27"/>
    </row>
    <row r="794" spans="1:26" ht="15.75" customHeight="1" x14ac:dyDescent="0.4">
      <c r="A794" s="28" t="s">
        <v>233</v>
      </c>
      <c r="B794" s="26"/>
      <c r="C794" s="26"/>
      <c r="D794" s="26"/>
      <c r="E794" s="26"/>
      <c r="F794" s="26"/>
      <c r="G794" s="26"/>
      <c r="H794" s="27"/>
    </row>
    <row r="795" spans="1:26" ht="29.25" customHeight="1" x14ac:dyDescent="0.3">
      <c r="A795" s="3" t="s">
        <v>2</v>
      </c>
      <c r="B795" s="3" t="s">
        <v>3</v>
      </c>
      <c r="C795" s="3" t="s">
        <v>4</v>
      </c>
      <c r="D795" s="3" t="s">
        <v>5</v>
      </c>
      <c r="E795" s="3" t="s">
        <v>6</v>
      </c>
      <c r="F795" s="4" t="s">
        <v>7</v>
      </c>
      <c r="G795" s="3" t="s">
        <v>8</v>
      </c>
      <c r="H795" s="5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6.25" x14ac:dyDescent="0.4">
      <c r="A796" s="6">
        <v>1</v>
      </c>
      <c r="B796" s="8" t="s">
        <v>234</v>
      </c>
      <c r="C796" s="12" t="s">
        <v>235</v>
      </c>
      <c r="D796" s="8" t="s">
        <v>11</v>
      </c>
      <c r="E796" s="8">
        <v>1</v>
      </c>
      <c r="F796" s="9">
        <v>293000</v>
      </c>
      <c r="G796" s="10">
        <f t="shared" ref="G796:G798" si="53">IFERROR(E796*F796,0)</f>
        <v>293000</v>
      </c>
      <c r="H796" s="11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6.25" x14ac:dyDescent="0.4">
      <c r="A797" s="6">
        <v>2</v>
      </c>
      <c r="B797" s="13" t="s">
        <v>185</v>
      </c>
      <c r="C797" s="19" t="s">
        <v>236</v>
      </c>
      <c r="D797" s="13" t="s">
        <v>13</v>
      </c>
      <c r="E797" s="13">
        <v>2.4500000000000002</v>
      </c>
      <c r="F797" s="14">
        <v>435000</v>
      </c>
      <c r="G797" s="10">
        <f t="shared" si="53"/>
        <v>1065750</v>
      </c>
      <c r="H797" s="11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6.25" x14ac:dyDescent="0.4">
      <c r="A798" s="6">
        <v>3</v>
      </c>
      <c r="B798" s="15" t="s">
        <v>14</v>
      </c>
      <c r="C798" s="11"/>
      <c r="D798" s="11"/>
      <c r="E798" s="11"/>
      <c r="F798" s="11"/>
      <c r="G798" s="16">
        <f t="shared" si="53"/>
        <v>0</v>
      </c>
      <c r="H798" s="11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6.25" x14ac:dyDescent="0.4">
      <c r="A799" s="29" t="s">
        <v>15</v>
      </c>
      <c r="B799" s="26"/>
      <c r="C799" s="26"/>
      <c r="D799" s="26"/>
      <c r="E799" s="26"/>
      <c r="F799" s="26"/>
      <c r="G799" s="27"/>
      <c r="H799" s="17">
        <f>SUM(G796:G798)</f>
        <v>1358750</v>
      </c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6.25" x14ac:dyDescent="0.4">
      <c r="A800" s="29" t="s">
        <v>16</v>
      </c>
      <c r="B800" s="26"/>
      <c r="C800" s="26"/>
      <c r="D800" s="26"/>
      <c r="E800" s="26"/>
      <c r="F800" s="26"/>
      <c r="G800" s="27"/>
      <c r="H800" s="17">
        <f>MAX(0,H799-648000)</f>
        <v>710750</v>
      </c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6.25" x14ac:dyDescent="0.4">
      <c r="A801" s="25" t="s">
        <v>17</v>
      </c>
      <c r="B801" s="26"/>
      <c r="C801" s="26"/>
      <c r="D801" s="26"/>
      <c r="E801" s="26"/>
      <c r="F801" s="26"/>
      <c r="G801" s="27"/>
      <c r="H801" s="18">
        <v>649000</v>
      </c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6.25" x14ac:dyDescent="0.4">
      <c r="A802" s="28" t="s">
        <v>18</v>
      </c>
      <c r="B802" s="26"/>
      <c r="C802" s="26"/>
      <c r="D802" s="26"/>
      <c r="E802" s="26"/>
      <c r="F802" s="26"/>
      <c r="G802" s="26"/>
      <c r="H802" s="27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25"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25"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8" spans="1:26" ht="15.75" customHeight="1" x14ac:dyDescent="0.4">
      <c r="A808" s="28" t="s">
        <v>0</v>
      </c>
      <c r="B808" s="26"/>
      <c r="C808" s="26"/>
      <c r="D808" s="26"/>
      <c r="E808" s="26"/>
      <c r="F808" s="26"/>
      <c r="G808" s="26"/>
      <c r="H808" s="27"/>
    </row>
    <row r="809" spans="1:26" ht="15.75" customHeight="1" x14ac:dyDescent="0.4">
      <c r="A809" s="28" t="s">
        <v>237</v>
      </c>
      <c r="B809" s="26"/>
      <c r="C809" s="26"/>
      <c r="D809" s="26"/>
      <c r="E809" s="26"/>
      <c r="F809" s="26"/>
      <c r="G809" s="26"/>
      <c r="H809" s="27"/>
    </row>
    <row r="810" spans="1:26" ht="29.25" customHeight="1" x14ac:dyDescent="0.3">
      <c r="A810" s="3" t="s">
        <v>2</v>
      </c>
      <c r="B810" s="3" t="s">
        <v>3</v>
      </c>
      <c r="C810" s="3" t="s">
        <v>4</v>
      </c>
      <c r="D810" s="3" t="s">
        <v>5</v>
      </c>
      <c r="E810" s="3" t="s">
        <v>6</v>
      </c>
      <c r="F810" s="4" t="s">
        <v>7</v>
      </c>
      <c r="G810" s="3" t="s">
        <v>8</v>
      </c>
      <c r="H810" s="5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6.25" x14ac:dyDescent="0.4">
      <c r="A811" s="6">
        <v>1</v>
      </c>
      <c r="B811" s="8" t="s">
        <v>238</v>
      </c>
      <c r="C811" s="12" t="s">
        <v>239</v>
      </c>
      <c r="D811" s="8" t="s">
        <v>11</v>
      </c>
      <c r="E811" s="8">
        <v>1.5</v>
      </c>
      <c r="F811" s="9">
        <v>293000</v>
      </c>
      <c r="G811" s="10">
        <f t="shared" ref="G811:G813" si="54">IFERROR(E811*F811,0)</f>
        <v>439500</v>
      </c>
      <c r="H811" s="11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6.25" x14ac:dyDescent="0.4">
      <c r="A812" s="6">
        <v>2</v>
      </c>
      <c r="B812" s="13" t="s">
        <v>240</v>
      </c>
      <c r="C812" s="19" t="s">
        <v>241</v>
      </c>
      <c r="D812" s="13" t="s">
        <v>13</v>
      </c>
      <c r="E812" s="13">
        <v>2</v>
      </c>
      <c r="F812" s="14">
        <v>435000</v>
      </c>
      <c r="G812" s="10">
        <f t="shared" si="54"/>
        <v>870000</v>
      </c>
      <c r="H812" s="11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6.25" x14ac:dyDescent="0.4">
      <c r="A813" s="6">
        <v>3</v>
      </c>
      <c r="B813" s="15" t="s">
        <v>14</v>
      </c>
      <c r="C813" s="11"/>
      <c r="D813" s="11"/>
      <c r="E813" s="11"/>
      <c r="F813" s="11"/>
      <c r="G813" s="16">
        <f t="shared" si="54"/>
        <v>0</v>
      </c>
      <c r="H813" s="11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6.25" x14ac:dyDescent="0.4">
      <c r="A814" s="29" t="s">
        <v>15</v>
      </c>
      <c r="B814" s="26"/>
      <c r="C814" s="26"/>
      <c r="D814" s="26"/>
      <c r="E814" s="26"/>
      <c r="F814" s="26"/>
      <c r="G814" s="27"/>
      <c r="H814" s="17">
        <f>SUM(G811:G813)</f>
        <v>1309500</v>
      </c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6.25" x14ac:dyDescent="0.4">
      <c r="A815" s="29" t="s">
        <v>16</v>
      </c>
      <c r="B815" s="26"/>
      <c r="C815" s="26"/>
      <c r="D815" s="26"/>
      <c r="E815" s="26"/>
      <c r="F815" s="26"/>
      <c r="G815" s="27"/>
      <c r="H815" s="17">
        <f>MAX(0,H814-648000)</f>
        <v>661500</v>
      </c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6.25" x14ac:dyDescent="0.4">
      <c r="A816" s="25" t="s">
        <v>17</v>
      </c>
      <c r="B816" s="26"/>
      <c r="C816" s="26"/>
      <c r="D816" s="26"/>
      <c r="E816" s="26"/>
      <c r="F816" s="26"/>
      <c r="G816" s="27"/>
      <c r="H816" s="18">
        <v>649000</v>
      </c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6.25" x14ac:dyDescent="0.4">
      <c r="A817" s="28" t="s">
        <v>18</v>
      </c>
      <c r="B817" s="26"/>
      <c r="C817" s="26"/>
      <c r="D817" s="26"/>
      <c r="E817" s="26"/>
      <c r="F817" s="26"/>
      <c r="G817" s="26"/>
      <c r="H817" s="27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25"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25"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3" spans="1:26" ht="15.75" customHeight="1" x14ac:dyDescent="0.4">
      <c r="A823" s="28" t="s">
        <v>0</v>
      </c>
      <c r="B823" s="26"/>
      <c r="C823" s="26"/>
      <c r="D823" s="26"/>
      <c r="E823" s="26"/>
      <c r="F823" s="26"/>
      <c r="G823" s="26"/>
      <c r="H823" s="27"/>
    </row>
    <row r="824" spans="1:26" ht="15.75" customHeight="1" x14ac:dyDescent="0.4">
      <c r="A824" s="28" t="s">
        <v>242</v>
      </c>
      <c r="B824" s="26"/>
      <c r="C824" s="26"/>
      <c r="D824" s="26"/>
      <c r="E824" s="26"/>
      <c r="F824" s="26"/>
      <c r="G824" s="26"/>
      <c r="H824" s="27"/>
    </row>
    <row r="825" spans="1:26" ht="29.25" customHeight="1" x14ac:dyDescent="0.3">
      <c r="A825" s="3" t="s">
        <v>2</v>
      </c>
      <c r="B825" s="3" t="s">
        <v>3</v>
      </c>
      <c r="C825" s="3" t="s">
        <v>4</v>
      </c>
      <c r="D825" s="3" t="s">
        <v>5</v>
      </c>
      <c r="E825" s="3" t="s">
        <v>6</v>
      </c>
      <c r="F825" s="4" t="s">
        <v>7</v>
      </c>
      <c r="G825" s="3" t="s">
        <v>8</v>
      </c>
      <c r="H825" s="5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6.25" x14ac:dyDescent="0.4">
      <c r="A826" s="6">
        <v>1</v>
      </c>
      <c r="B826" s="8" t="s">
        <v>243</v>
      </c>
      <c r="C826" s="12" t="s">
        <v>244</v>
      </c>
      <c r="D826" s="8" t="s">
        <v>11</v>
      </c>
      <c r="E826" s="8">
        <v>1.45</v>
      </c>
      <c r="F826" s="9">
        <v>293000</v>
      </c>
      <c r="G826" s="10">
        <f t="shared" ref="G826:G828" si="55">IFERROR(E826*F826,0)</f>
        <v>424850</v>
      </c>
      <c r="H826" s="11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6.25" x14ac:dyDescent="0.4">
      <c r="A827" s="6">
        <v>2</v>
      </c>
      <c r="B827" s="13" t="s">
        <v>55</v>
      </c>
      <c r="C827" s="19" t="s">
        <v>245</v>
      </c>
      <c r="D827" s="13" t="s">
        <v>13</v>
      </c>
      <c r="E827" s="13">
        <v>2</v>
      </c>
      <c r="F827" s="14">
        <v>435000</v>
      </c>
      <c r="G827" s="10">
        <f t="shared" si="55"/>
        <v>870000</v>
      </c>
      <c r="H827" s="11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6.25" x14ac:dyDescent="0.4">
      <c r="A828" s="6">
        <v>3</v>
      </c>
      <c r="B828" s="15" t="s">
        <v>14</v>
      </c>
      <c r="C828" s="11"/>
      <c r="D828" s="11"/>
      <c r="E828" s="11"/>
      <c r="F828" s="11"/>
      <c r="G828" s="16">
        <f t="shared" si="55"/>
        <v>0</v>
      </c>
      <c r="H828" s="11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6.25" x14ac:dyDescent="0.4">
      <c r="A829" s="29" t="s">
        <v>15</v>
      </c>
      <c r="B829" s="26"/>
      <c r="C829" s="26"/>
      <c r="D829" s="26"/>
      <c r="E829" s="26"/>
      <c r="F829" s="26"/>
      <c r="G829" s="27"/>
      <c r="H829" s="17">
        <f>SUM(G826:G828)</f>
        <v>1294850</v>
      </c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6.25" x14ac:dyDescent="0.4">
      <c r="A830" s="29" t="s">
        <v>16</v>
      </c>
      <c r="B830" s="26"/>
      <c r="C830" s="26"/>
      <c r="D830" s="26"/>
      <c r="E830" s="26"/>
      <c r="F830" s="26"/>
      <c r="G830" s="27"/>
      <c r="H830" s="17">
        <f>MAX(0,H829-648000)</f>
        <v>646850</v>
      </c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6.25" x14ac:dyDescent="0.4">
      <c r="A831" s="25" t="s">
        <v>17</v>
      </c>
      <c r="B831" s="26"/>
      <c r="C831" s="26"/>
      <c r="D831" s="26"/>
      <c r="E831" s="26"/>
      <c r="F831" s="26"/>
      <c r="G831" s="27"/>
      <c r="H831" s="18">
        <v>649000</v>
      </c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6.25" x14ac:dyDescent="0.4">
      <c r="A832" s="28" t="s">
        <v>18</v>
      </c>
      <c r="B832" s="26"/>
      <c r="C832" s="26"/>
      <c r="D832" s="26"/>
      <c r="E832" s="26"/>
      <c r="F832" s="26"/>
      <c r="G832" s="26"/>
      <c r="H832" s="27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25"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25"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8" spans="1:26" ht="15.75" customHeight="1" x14ac:dyDescent="0.4">
      <c r="A838" s="28" t="s">
        <v>0</v>
      </c>
      <c r="B838" s="26"/>
      <c r="C838" s="26"/>
      <c r="D838" s="26"/>
      <c r="E838" s="26"/>
      <c r="F838" s="26"/>
      <c r="G838" s="26"/>
      <c r="H838" s="27"/>
    </row>
    <row r="839" spans="1:26" ht="15.75" customHeight="1" x14ac:dyDescent="0.4">
      <c r="A839" s="28" t="s">
        <v>246</v>
      </c>
      <c r="B839" s="26"/>
      <c r="C839" s="26"/>
      <c r="D839" s="26"/>
      <c r="E839" s="26"/>
      <c r="F839" s="26"/>
      <c r="G839" s="26"/>
      <c r="H839" s="27"/>
    </row>
    <row r="840" spans="1:26" ht="15.75" customHeight="1" x14ac:dyDescent="0.3">
      <c r="A840" s="3" t="s">
        <v>2</v>
      </c>
      <c r="B840" s="3" t="s">
        <v>3</v>
      </c>
      <c r="C840" s="3" t="s">
        <v>4</v>
      </c>
      <c r="D840" s="3" t="s">
        <v>5</v>
      </c>
      <c r="E840" s="3" t="s">
        <v>6</v>
      </c>
      <c r="F840" s="4" t="s">
        <v>7</v>
      </c>
      <c r="G840" s="3" t="s">
        <v>8</v>
      </c>
      <c r="H840" s="5"/>
    </row>
    <row r="841" spans="1:26" ht="29.25" customHeight="1" x14ac:dyDescent="0.4">
      <c r="A841" s="6">
        <v>1</v>
      </c>
      <c r="B841" s="8" t="s">
        <v>247</v>
      </c>
      <c r="C841" s="12" t="s">
        <v>248</v>
      </c>
      <c r="D841" s="8" t="s">
        <v>11</v>
      </c>
      <c r="E841" s="8">
        <v>1.5</v>
      </c>
      <c r="F841" s="9">
        <v>293000</v>
      </c>
      <c r="G841" s="10">
        <f t="shared" ref="G841:G843" si="56">IFERROR(E841*F841,0)</f>
        <v>439500</v>
      </c>
      <c r="H841" s="11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6.25" x14ac:dyDescent="0.4">
      <c r="A842" s="6">
        <v>2</v>
      </c>
      <c r="B842" s="13" t="s">
        <v>249</v>
      </c>
      <c r="C842" s="19" t="s">
        <v>250</v>
      </c>
      <c r="D842" s="13" t="s">
        <v>13</v>
      </c>
      <c r="E842" s="13">
        <v>1.97</v>
      </c>
      <c r="F842" s="14">
        <v>435000</v>
      </c>
      <c r="G842" s="10">
        <f t="shared" si="56"/>
        <v>856950</v>
      </c>
      <c r="H842" s="11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6.25" x14ac:dyDescent="0.4">
      <c r="A843" s="6">
        <v>3</v>
      </c>
      <c r="B843" s="15" t="s">
        <v>14</v>
      </c>
      <c r="C843" s="11"/>
      <c r="D843" s="11"/>
      <c r="E843" s="11"/>
      <c r="F843" s="11"/>
      <c r="G843" s="16">
        <f t="shared" si="56"/>
        <v>0</v>
      </c>
      <c r="H843" s="11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6.25" x14ac:dyDescent="0.4">
      <c r="A844" s="29" t="s">
        <v>15</v>
      </c>
      <c r="B844" s="26"/>
      <c r="C844" s="26"/>
      <c r="D844" s="26"/>
      <c r="E844" s="26"/>
      <c r="F844" s="26"/>
      <c r="G844" s="27"/>
      <c r="H844" s="17">
        <f>SUM(G841:G843)</f>
        <v>1296450</v>
      </c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6.25" x14ac:dyDescent="0.4">
      <c r="A845" s="29" t="s">
        <v>16</v>
      </c>
      <c r="B845" s="26"/>
      <c r="C845" s="26"/>
      <c r="D845" s="26"/>
      <c r="E845" s="26"/>
      <c r="F845" s="26"/>
      <c r="G845" s="27"/>
      <c r="H845" s="17">
        <f>MAX(0,H844-648000)</f>
        <v>648450</v>
      </c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6.25" x14ac:dyDescent="0.4">
      <c r="A846" s="25" t="s">
        <v>17</v>
      </c>
      <c r="B846" s="26"/>
      <c r="C846" s="26"/>
      <c r="D846" s="26"/>
      <c r="E846" s="26"/>
      <c r="F846" s="26"/>
      <c r="G846" s="27"/>
      <c r="H846" s="18">
        <v>649000</v>
      </c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6.25" x14ac:dyDescent="0.4">
      <c r="A847" s="28" t="s">
        <v>18</v>
      </c>
      <c r="B847" s="26"/>
      <c r="C847" s="26"/>
      <c r="D847" s="26"/>
      <c r="E847" s="26"/>
      <c r="F847" s="26"/>
      <c r="G847" s="26"/>
      <c r="H847" s="27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25"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25"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25"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4" spans="1:26" ht="15.75" customHeight="1" x14ac:dyDescent="0.4">
      <c r="A854" s="28" t="s">
        <v>0</v>
      </c>
      <c r="B854" s="26"/>
      <c r="C854" s="26"/>
      <c r="D854" s="26"/>
      <c r="E854" s="26"/>
      <c r="F854" s="26"/>
      <c r="G854" s="26"/>
      <c r="H854" s="27"/>
    </row>
    <row r="855" spans="1:26" ht="29.25" customHeight="1" x14ac:dyDescent="0.4">
      <c r="A855" s="28" t="s">
        <v>251</v>
      </c>
      <c r="B855" s="26"/>
      <c r="C855" s="26"/>
      <c r="D855" s="26"/>
      <c r="E855" s="26"/>
      <c r="F855" s="26"/>
      <c r="G855" s="26"/>
      <c r="H855" s="27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.75" x14ac:dyDescent="0.3">
      <c r="A856" s="3" t="s">
        <v>2</v>
      </c>
      <c r="B856" s="3" t="s">
        <v>3</v>
      </c>
      <c r="C856" s="3" t="s">
        <v>4</v>
      </c>
      <c r="D856" s="3" t="s">
        <v>5</v>
      </c>
      <c r="E856" s="3" t="s">
        <v>6</v>
      </c>
      <c r="F856" s="4" t="s">
        <v>7</v>
      </c>
      <c r="G856" s="3" t="s">
        <v>8</v>
      </c>
      <c r="H856" s="5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6.25" x14ac:dyDescent="0.4">
      <c r="A857" s="6">
        <v>1</v>
      </c>
      <c r="B857" s="8" t="s">
        <v>74</v>
      </c>
      <c r="C857" s="12" t="s">
        <v>149</v>
      </c>
      <c r="D857" s="8" t="s">
        <v>11</v>
      </c>
      <c r="E857" s="8">
        <v>2</v>
      </c>
      <c r="F857" s="9">
        <v>293000</v>
      </c>
      <c r="G857" s="10">
        <f t="shared" ref="G857:G859" si="57">IFERROR(E857*F857,0)</f>
        <v>586000</v>
      </c>
      <c r="H857" s="11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6.25" x14ac:dyDescent="0.4">
      <c r="A858" s="6">
        <v>2</v>
      </c>
      <c r="B858" s="13" t="s">
        <v>41</v>
      </c>
      <c r="C858" s="19" t="s">
        <v>252</v>
      </c>
      <c r="D858" s="13" t="s">
        <v>13</v>
      </c>
      <c r="E858" s="13">
        <v>1.51</v>
      </c>
      <c r="F858" s="14">
        <v>435000</v>
      </c>
      <c r="G858" s="10">
        <f t="shared" si="57"/>
        <v>656850</v>
      </c>
      <c r="H858" s="11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6.25" x14ac:dyDescent="0.4">
      <c r="A859" s="6">
        <v>3</v>
      </c>
      <c r="B859" s="15" t="s">
        <v>14</v>
      </c>
      <c r="C859" s="11"/>
      <c r="D859" s="11"/>
      <c r="E859" s="11"/>
      <c r="F859" s="11"/>
      <c r="G859" s="16">
        <f t="shared" si="57"/>
        <v>0</v>
      </c>
      <c r="H859" s="11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6.25" x14ac:dyDescent="0.4">
      <c r="A860" s="29" t="s">
        <v>15</v>
      </c>
      <c r="B860" s="26"/>
      <c r="C860" s="26"/>
      <c r="D860" s="26"/>
      <c r="E860" s="26"/>
      <c r="F860" s="26"/>
      <c r="G860" s="27"/>
      <c r="H860" s="17">
        <f>SUM(G857:G859)</f>
        <v>1242850</v>
      </c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6.25" x14ac:dyDescent="0.4">
      <c r="A861" s="29" t="s">
        <v>16</v>
      </c>
      <c r="B861" s="26"/>
      <c r="C861" s="26"/>
      <c r="D861" s="26"/>
      <c r="E861" s="26"/>
      <c r="F861" s="26"/>
      <c r="G861" s="27"/>
      <c r="H861" s="17">
        <f>MAX(0,H860-648000)</f>
        <v>594850</v>
      </c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6.25" x14ac:dyDescent="0.4">
      <c r="A862" s="25" t="s">
        <v>17</v>
      </c>
      <c r="B862" s="26"/>
      <c r="C862" s="26"/>
      <c r="D862" s="26"/>
      <c r="E862" s="26"/>
      <c r="F862" s="26"/>
      <c r="G862" s="27"/>
      <c r="H862" s="18">
        <v>649000</v>
      </c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6.25" x14ac:dyDescent="0.4">
      <c r="A863" s="28" t="s">
        <v>18</v>
      </c>
      <c r="B863" s="26"/>
      <c r="C863" s="26"/>
      <c r="D863" s="26"/>
      <c r="E863" s="26"/>
      <c r="F863" s="26"/>
      <c r="G863" s="26"/>
      <c r="H863" s="27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25"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8" spans="1:26" ht="15.75" customHeight="1" x14ac:dyDescent="0.4">
      <c r="A868" s="28" t="s">
        <v>0</v>
      </c>
      <c r="B868" s="26"/>
      <c r="C868" s="26"/>
      <c r="D868" s="26"/>
      <c r="E868" s="26"/>
      <c r="F868" s="26"/>
      <c r="G868" s="26"/>
      <c r="H868" s="27"/>
    </row>
    <row r="869" spans="1:26" ht="15.75" customHeight="1" x14ac:dyDescent="0.4">
      <c r="A869" s="28" t="s">
        <v>253</v>
      </c>
      <c r="B869" s="26"/>
      <c r="C869" s="26"/>
      <c r="D869" s="26"/>
      <c r="E869" s="26"/>
      <c r="F869" s="26"/>
      <c r="G869" s="26"/>
      <c r="H869" s="27"/>
    </row>
    <row r="870" spans="1:26" ht="29.25" customHeight="1" x14ac:dyDescent="0.3">
      <c r="A870" s="3" t="s">
        <v>2</v>
      </c>
      <c r="B870" s="3" t="s">
        <v>3</v>
      </c>
      <c r="C870" s="3" t="s">
        <v>4</v>
      </c>
      <c r="D870" s="3" t="s">
        <v>5</v>
      </c>
      <c r="E870" s="3" t="s">
        <v>6</v>
      </c>
      <c r="F870" s="4" t="s">
        <v>7</v>
      </c>
      <c r="G870" s="3" t="s">
        <v>8</v>
      </c>
      <c r="H870" s="5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6.25" x14ac:dyDescent="0.4">
      <c r="A871" s="6">
        <v>1</v>
      </c>
      <c r="B871" s="8" t="s">
        <v>254</v>
      </c>
      <c r="C871" s="12" t="s">
        <v>255</v>
      </c>
      <c r="D871" s="8" t="s">
        <v>11</v>
      </c>
      <c r="E871" s="8">
        <v>2.5</v>
      </c>
      <c r="F871" s="9">
        <v>293000</v>
      </c>
      <c r="G871" s="10">
        <f t="shared" ref="G871:G873" si="58">IFERROR(E871*F871,0)</f>
        <v>732500</v>
      </c>
      <c r="H871" s="11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6.25" x14ac:dyDescent="0.4">
      <c r="A872" s="6">
        <v>2</v>
      </c>
      <c r="B872" s="13" t="s">
        <v>12</v>
      </c>
      <c r="C872" s="19" t="s">
        <v>256</v>
      </c>
      <c r="D872" s="13" t="s">
        <v>13</v>
      </c>
      <c r="E872" s="13">
        <v>1</v>
      </c>
      <c r="F872" s="14">
        <v>435000</v>
      </c>
      <c r="G872" s="10">
        <f t="shared" si="58"/>
        <v>435000</v>
      </c>
      <c r="H872" s="11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6.25" x14ac:dyDescent="0.4">
      <c r="A873" s="6">
        <v>3</v>
      </c>
      <c r="B873" s="15" t="s">
        <v>14</v>
      </c>
      <c r="C873" s="11"/>
      <c r="D873" s="11"/>
      <c r="E873" s="11"/>
      <c r="F873" s="11"/>
      <c r="G873" s="16">
        <f t="shared" si="58"/>
        <v>0</v>
      </c>
      <c r="H873" s="11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6.25" x14ac:dyDescent="0.4">
      <c r="A874" s="29" t="s">
        <v>15</v>
      </c>
      <c r="B874" s="26"/>
      <c r="C874" s="26"/>
      <c r="D874" s="26"/>
      <c r="E874" s="26"/>
      <c r="F874" s="26"/>
      <c r="G874" s="27"/>
      <c r="H874" s="17">
        <f>SUM(G871:G873)</f>
        <v>1167500</v>
      </c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6.25" x14ac:dyDescent="0.4">
      <c r="A875" s="29" t="s">
        <v>16</v>
      </c>
      <c r="B875" s="26"/>
      <c r="C875" s="26"/>
      <c r="D875" s="26"/>
      <c r="E875" s="26"/>
      <c r="F875" s="26"/>
      <c r="G875" s="27"/>
      <c r="H875" s="17">
        <f>MAX(0,H874-648000)</f>
        <v>519500</v>
      </c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6.25" x14ac:dyDescent="0.4">
      <c r="A876" s="25" t="s">
        <v>17</v>
      </c>
      <c r="B876" s="26"/>
      <c r="C876" s="26"/>
      <c r="D876" s="26"/>
      <c r="E876" s="26"/>
      <c r="F876" s="26"/>
      <c r="G876" s="27"/>
      <c r="H876" s="18">
        <v>649000</v>
      </c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6.25" x14ac:dyDescent="0.4">
      <c r="A877" s="28" t="s">
        <v>18</v>
      </c>
      <c r="B877" s="26"/>
      <c r="C877" s="26"/>
      <c r="D877" s="26"/>
      <c r="E877" s="26"/>
      <c r="F877" s="26"/>
      <c r="G877" s="26"/>
      <c r="H877" s="27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25"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25"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3" spans="1:26" ht="15.75" customHeight="1" x14ac:dyDescent="0.4">
      <c r="A883" s="28" t="s">
        <v>0</v>
      </c>
      <c r="B883" s="26"/>
      <c r="C883" s="26"/>
      <c r="D883" s="26"/>
      <c r="E883" s="26"/>
      <c r="F883" s="26"/>
      <c r="G883" s="26"/>
      <c r="H883" s="27"/>
    </row>
    <row r="884" spans="1:26" ht="29.25" customHeight="1" x14ac:dyDescent="0.4">
      <c r="A884" s="28" t="s">
        <v>257</v>
      </c>
      <c r="B884" s="26"/>
      <c r="C884" s="26"/>
      <c r="D884" s="26"/>
      <c r="E884" s="26"/>
      <c r="F884" s="26"/>
      <c r="G884" s="26"/>
      <c r="H884" s="27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.75" x14ac:dyDescent="0.3">
      <c r="A885" s="3" t="s">
        <v>2</v>
      </c>
      <c r="B885" s="3" t="s">
        <v>3</v>
      </c>
      <c r="C885" s="3" t="s">
        <v>4</v>
      </c>
      <c r="D885" s="3" t="s">
        <v>5</v>
      </c>
      <c r="E885" s="3" t="s">
        <v>6</v>
      </c>
      <c r="F885" s="4" t="s">
        <v>7</v>
      </c>
      <c r="G885" s="3" t="s">
        <v>8</v>
      </c>
      <c r="H885" s="5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6.25" x14ac:dyDescent="0.4">
      <c r="A886" s="6">
        <v>1</v>
      </c>
      <c r="B886" s="8" t="s">
        <v>258</v>
      </c>
      <c r="C886" s="12" t="s">
        <v>259</v>
      </c>
      <c r="D886" s="8" t="s">
        <v>11</v>
      </c>
      <c r="E886" s="8">
        <v>2.5</v>
      </c>
      <c r="F886" s="9">
        <v>293000</v>
      </c>
      <c r="G886" s="10">
        <f t="shared" ref="G886:G888" si="59">IFERROR(E886*F886,0)</f>
        <v>732500</v>
      </c>
      <c r="H886" s="11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6.25" x14ac:dyDescent="0.4">
      <c r="A887" s="6">
        <v>2</v>
      </c>
      <c r="B887" s="13" t="s">
        <v>260</v>
      </c>
      <c r="C887" s="19" t="s">
        <v>261</v>
      </c>
      <c r="D887" s="13" t="s">
        <v>13</v>
      </c>
      <c r="E887" s="13">
        <v>1</v>
      </c>
      <c r="F887" s="14">
        <v>435000</v>
      </c>
      <c r="G887" s="10">
        <f t="shared" si="59"/>
        <v>435000</v>
      </c>
      <c r="H887" s="11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6.25" x14ac:dyDescent="0.4">
      <c r="A888" s="6">
        <v>3</v>
      </c>
      <c r="B888" s="15" t="s">
        <v>14</v>
      </c>
      <c r="C888" s="11"/>
      <c r="D888" s="11"/>
      <c r="E888" s="11"/>
      <c r="F888" s="11"/>
      <c r="G888" s="16">
        <f t="shared" si="59"/>
        <v>0</v>
      </c>
      <c r="H888" s="11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6.25" x14ac:dyDescent="0.4">
      <c r="A889" s="29" t="s">
        <v>15</v>
      </c>
      <c r="B889" s="26"/>
      <c r="C889" s="26"/>
      <c r="D889" s="26"/>
      <c r="E889" s="26"/>
      <c r="F889" s="26"/>
      <c r="G889" s="27"/>
      <c r="H889" s="17">
        <f>SUM(G886:G888)</f>
        <v>1167500</v>
      </c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6.25" x14ac:dyDescent="0.4">
      <c r="A890" s="29" t="s">
        <v>16</v>
      </c>
      <c r="B890" s="26"/>
      <c r="C890" s="26"/>
      <c r="D890" s="26"/>
      <c r="E890" s="26"/>
      <c r="F890" s="26"/>
      <c r="G890" s="27"/>
      <c r="H890" s="17">
        <f>MAX(0,H889-648000)</f>
        <v>519500</v>
      </c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6.25" x14ac:dyDescent="0.4">
      <c r="A891" s="25" t="s">
        <v>17</v>
      </c>
      <c r="B891" s="26"/>
      <c r="C891" s="26"/>
      <c r="D891" s="26"/>
      <c r="E891" s="26"/>
      <c r="F891" s="26"/>
      <c r="G891" s="27"/>
      <c r="H891" s="18">
        <v>649000</v>
      </c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6.25" x14ac:dyDescent="0.4">
      <c r="A892" s="28" t="s">
        <v>18</v>
      </c>
      <c r="B892" s="26"/>
      <c r="C892" s="26"/>
      <c r="D892" s="26"/>
      <c r="E892" s="26"/>
      <c r="F892" s="26"/>
      <c r="G892" s="26"/>
      <c r="H892" s="27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25"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7" spans="1:26" ht="15.75" customHeight="1" x14ac:dyDescent="0.4">
      <c r="A897" s="28" t="s">
        <v>0</v>
      </c>
      <c r="B897" s="26"/>
      <c r="C897" s="26"/>
      <c r="D897" s="26"/>
      <c r="E897" s="26"/>
      <c r="F897" s="26"/>
      <c r="G897" s="26"/>
      <c r="H897" s="27"/>
    </row>
    <row r="898" spans="1:26" ht="29.25" customHeight="1" x14ac:dyDescent="0.4">
      <c r="A898" s="28" t="s">
        <v>262</v>
      </c>
      <c r="B898" s="26"/>
      <c r="C898" s="26"/>
      <c r="D898" s="26"/>
      <c r="E898" s="26"/>
      <c r="F898" s="26"/>
      <c r="G898" s="26"/>
      <c r="H898" s="27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.75" x14ac:dyDescent="0.3">
      <c r="A899" s="3" t="s">
        <v>2</v>
      </c>
      <c r="B899" s="3" t="s">
        <v>3</v>
      </c>
      <c r="C899" s="3" t="s">
        <v>4</v>
      </c>
      <c r="D899" s="3" t="s">
        <v>5</v>
      </c>
      <c r="E899" s="3" t="s">
        <v>6</v>
      </c>
      <c r="F899" s="4" t="s">
        <v>7</v>
      </c>
      <c r="G899" s="3" t="s">
        <v>8</v>
      </c>
      <c r="H899" s="5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6.25" x14ac:dyDescent="0.4">
      <c r="A900" s="6">
        <v>1</v>
      </c>
      <c r="B900" s="8" t="s">
        <v>263</v>
      </c>
      <c r="C900" s="12" t="s">
        <v>264</v>
      </c>
      <c r="D900" s="8" t="s">
        <v>11</v>
      </c>
      <c r="E900" s="8">
        <v>2.0699999999999998</v>
      </c>
      <c r="F900" s="9">
        <v>293000</v>
      </c>
      <c r="G900" s="10">
        <f t="shared" ref="G900:G902" si="60">IFERROR(E900*F900,0)</f>
        <v>606510</v>
      </c>
      <c r="H900" s="11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6.25" x14ac:dyDescent="0.4">
      <c r="A901" s="6">
        <v>2</v>
      </c>
      <c r="B901" s="13" t="s">
        <v>265</v>
      </c>
      <c r="C901" s="19" t="s">
        <v>266</v>
      </c>
      <c r="D901" s="13" t="s">
        <v>13</v>
      </c>
      <c r="E901" s="13">
        <v>1.7</v>
      </c>
      <c r="F901" s="14">
        <v>435000</v>
      </c>
      <c r="G901" s="10">
        <f t="shared" si="60"/>
        <v>739500</v>
      </c>
      <c r="H901" s="11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6.25" x14ac:dyDescent="0.4">
      <c r="A902" s="6">
        <v>3</v>
      </c>
      <c r="B902" s="15" t="s">
        <v>14</v>
      </c>
      <c r="C902" s="11"/>
      <c r="D902" s="11"/>
      <c r="E902" s="11"/>
      <c r="F902" s="11"/>
      <c r="G902" s="16">
        <f t="shared" si="60"/>
        <v>0</v>
      </c>
      <c r="H902" s="11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6.25" x14ac:dyDescent="0.4">
      <c r="A903" s="29" t="s">
        <v>15</v>
      </c>
      <c r="B903" s="26"/>
      <c r="C903" s="26"/>
      <c r="D903" s="26"/>
      <c r="E903" s="26"/>
      <c r="F903" s="26"/>
      <c r="G903" s="27"/>
      <c r="H903" s="17">
        <f>SUM(G900:G902)</f>
        <v>1346010</v>
      </c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6.25" x14ac:dyDescent="0.4">
      <c r="A904" s="29" t="s">
        <v>16</v>
      </c>
      <c r="B904" s="26"/>
      <c r="C904" s="26"/>
      <c r="D904" s="26"/>
      <c r="E904" s="26"/>
      <c r="F904" s="26"/>
      <c r="G904" s="27"/>
      <c r="H904" s="17">
        <f>MAX(0,H903-648000)</f>
        <v>698010</v>
      </c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6.25" x14ac:dyDescent="0.4">
      <c r="A905" s="25" t="s">
        <v>17</v>
      </c>
      <c r="B905" s="26"/>
      <c r="C905" s="26"/>
      <c r="D905" s="26"/>
      <c r="E905" s="26"/>
      <c r="F905" s="26"/>
      <c r="G905" s="27"/>
      <c r="H905" s="18">
        <v>649000</v>
      </c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6.25" x14ac:dyDescent="0.4">
      <c r="A906" s="28" t="s">
        <v>18</v>
      </c>
      <c r="B906" s="26"/>
      <c r="C906" s="26"/>
      <c r="D906" s="26"/>
      <c r="E906" s="26"/>
      <c r="F906" s="26"/>
      <c r="G906" s="26"/>
      <c r="H906" s="27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25"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11" spans="1:26" ht="15.75" customHeight="1" x14ac:dyDescent="0.4">
      <c r="A911" s="28" t="s">
        <v>0</v>
      </c>
      <c r="B911" s="26"/>
      <c r="C911" s="26"/>
      <c r="D911" s="26"/>
      <c r="E911" s="26"/>
      <c r="F911" s="26"/>
      <c r="G911" s="26"/>
      <c r="H911" s="27"/>
    </row>
    <row r="912" spans="1:26" ht="15.75" customHeight="1" x14ac:dyDescent="0.4">
      <c r="A912" s="28" t="s">
        <v>267</v>
      </c>
      <c r="B912" s="26"/>
      <c r="C912" s="26"/>
      <c r="D912" s="26"/>
      <c r="E912" s="26"/>
      <c r="F912" s="26"/>
      <c r="G912" s="26"/>
      <c r="H912" s="27"/>
    </row>
    <row r="913" spans="1:26" ht="29.25" customHeight="1" x14ac:dyDescent="0.3">
      <c r="A913" s="3" t="s">
        <v>2</v>
      </c>
      <c r="B913" s="3" t="s">
        <v>3</v>
      </c>
      <c r="C913" s="3" t="s">
        <v>4</v>
      </c>
      <c r="D913" s="3" t="s">
        <v>5</v>
      </c>
      <c r="E913" s="3" t="s">
        <v>6</v>
      </c>
      <c r="F913" s="4" t="s">
        <v>7</v>
      </c>
      <c r="G913" s="3" t="s">
        <v>8</v>
      </c>
      <c r="H913" s="5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6.25" x14ac:dyDescent="0.4">
      <c r="A914" s="6">
        <v>1</v>
      </c>
      <c r="B914" s="8" t="s">
        <v>238</v>
      </c>
      <c r="C914" s="12" t="s">
        <v>268</v>
      </c>
      <c r="D914" s="8" t="s">
        <v>11</v>
      </c>
      <c r="E914" s="8">
        <v>1.17</v>
      </c>
      <c r="F914" s="9">
        <v>293000</v>
      </c>
      <c r="G914" s="10">
        <f t="shared" ref="G914:G916" si="61">IFERROR(E914*F914,0)</f>
        <v>342810</v>
      </c>
      <c r="H914" s="11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6.25" x14ac:dyDescent="0.4">
      <c r="A915" s="6">
        <v>2</v>
      </c>
      <c r="B915" s="13" t="s">
        <v>269</v>
      </c>
      <c r="C915" s="19" t="s">
        <v>115</v>
      </c>
      <c r="D915" s="13" t="s">
        <v>13</v>
      </c>
      <c r="E915" s="13">
        <v>2.35</v>
      </c>
      <c r="F915" s="14">
        <v>435000</v>
      </c>
      <c r="G915" s="10">
        <f t="shared" si="61"/>
        <v>1022250</v>
      </c>
      <c r="H915" s="11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6.25" x14ac:dyDescent="0.4">
      <c r="A916" s="6">
        <v>3</v>
      </c>
      <c r="B916" s="15" t="s">
        <v>14</v>
      </c>
      <c r="C916" s="11"/>
      <c r="D916" s="11"/>
      <c r="E916" s="11"/>
      <c r="F916" s="11"/>
      <c r="G916" s="16">
        <f t="shared" si="61"/>
        <v>0</v>
      </c>
      <c r="H916" s="11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6.25" x14ac:dyDescent="0.4">
      <c r="A917" s="29" t="s">
        <v>15</v>
      </c>
      <c r="B917" s="26"/>
      <c r="C917" s="26"/>
      <c r="D917" s="26"/>
      <c r="E917" s="26"/>
      <c r="F917" s="26"/>
      <c r="G917" s="27"/>
      <c r="H917" s="17">
        <f>SUM(G914:G916)</f>
        <v>1365060</v>
      </c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6.25" x14ac:dyDescent="0.4">
      <c r="A918" s="29" t="s">
        <v>16</v>
      </c>
      <c r="B918" s="26"/>
      <c r="C918" s="26"/>
      <c r="D918" s="26"/>
      <c r="E918" s="26"/>
      <c r="F918" s="26"/>
      <c r="G918" s="27"/>
      <c r="H918" s="17">
        <f>MAX(0,H917-648000)</f>
        <v>717060</v>
      </c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6.25" x14ac:dyDescent="0.4">
      <c r="A919" s="25" t="s">
        <v>17</v>
      </c>
      <c r="B919" s="26"/>
      <c r="C919" s="26"/>
      <c r="D919" s="26"/>
      <c r="E919" s="26"/>
      <c r="F919" s="26"/>
      <c r="G919" s="27"/>
      <c r="H919" s="18">
        <v>649000</v>
      </c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6.25" x14ac:dyDescent="0.4">
      <c r="A920" s="28" t="s">
        <v>18</v>
      </c>
      <c r="B920" s="26"/>
      <c r="C920" s="26"/>
      <c r="D920" s="26"/>
      <c r="E920" s="26"/>
      <c r="F920" s="26"/>
      <c r="G920" s="26"/>
      <c r="H920" s="27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25"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25"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6" spans="1:26" ht="15.75" customHeight="1" x14ac:dyDescent="0.4">
      <c r="A926" s="28" t="s">
        <v>0</v>
      </c>
      <c r="B926" s="26"/>
      <c r="C926" s="26"/>
      <c r="D926" s="26"/>
      <c r="E926" s="26"/>
      <c r="F926" s="26"/>
      <c r="G926" s="26"/>
      <c r="H926" s="27"/>
    </row>
    <row r="927" spans="1:26" ht="15.75" customHeight="1" x14ac:dyDescent="0.4">
      <c r="A927" s="28" t="s">
        <v>270</v>
      </c>
      <c r="B927" s="26"/>
      <c r="C927" s="26"/>
      <c r="D927" s="26"/>
      <c r="E927" s="26"/>
      <c r="F927" s="26"/>
      <c r="G927" s="26"/>
      <c r="H927" s="27"/>
    </row>
    <row r="928" spans="1:26" ht="29.25" customHeight="1" x14ac:dyDescent="0.3">
      <c r="A928" s="3" t="s">
        <v>2</v>
      </c>
      <c r="B928" s="3" t="s">
        <v>3</v>
      </c>
      <c r="C928" s="3" t="s">
        <v>4</v>
      </c>
      <c r="D928" s="3" t="s">
        <v>5</v>
      </c>
      <c r="E928" s="3" t="s">
        <v>6</v>
      </c>
      <c r="F928" s="4" t="s">
        <v>7</v>
      </c>
      <c r="G928" s="3" t="s">
        <v>8</v>
      </c>
      <c r="H928" s="5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6.25" x14ac:dyDescent="0.4">
      <c r="A929" s="6">
        <v>1</v>
      </c>
      <c r="B929" s="8" t="s">
        <v>94</v>
      </c>
      <c r="C929" s="12" t="s">
        <v>271</v>
      </c>
      <c r="D929" s="8" t="s">
        <v>11</v>
      </c>
      <c r="E929" s="8">
        <v>2.7</v>
      </c>
      <c r="F929" s="9">
        <v>293000</v>
      </c>
      <c r="G929" s="10">
        <f t="shared" ref="G929:G931" si="62">IFERROR(E929*F929,0)</f>
        <v>791100</v>
      </c>
      <c r="H929" s="11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6.25" x14ac:dyDescent="0.4">
      <c r="A930" s="6">
        <v>2</v>
      </c>
      <c r="B930" s="13" t="s">
        <v>22</v>
      </c>
      <c r="C930" s="19" t="s">
        <v>272</v>
      </c>
      <c r="D930" s="13" t="s">
        <v>13</v>
      </c>
      <c r="E930" s="13">
        <v>0.88</v>
      </c>
      <c r="F930" s="14">
        <v>435000</v>
      </c>
      <c r="G930" s="10">
        <f t="shared" si="62"/>
        <v>382800</v>
      </c>
      <c r="H930" s="11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6.25" x14ac:dyDescent="0.4">
      <c r="A931" s="6">
        <v>3</v>
      </c>
      <c r="B931" s="15" t="s">
        <v>14</v>
      </c>
      <c r="C931" s="11"/>
      <c r="D931" s="11"/>
      <c r="E931" s="11"/>
      <c r="F931" s="11"/>
      <c r="G931" s="16">
        <f t="shared" si="62"/>
        <v>0</v>
      </c>
      <c r="H931" s="11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6.25" x14ac:dyDescent="0.4">
      <c r="A932" s="29" t="s">
        <v>15</v>
      </c>
      <c r="B932" s="26"/>
      <c r="C932" s="26"/>
      <c r="D932" s="26"/>
      <c r="E932" s="26"/>
      <c r="F932" s="26"/>
      <c r="G932" s="27"/>
      <c r="H932" s="17">
        <f>SUM(G929:G931)</f>
        <v>1173900</v>
      </c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6.25" x14ac:dyDescent="0.4">
      <c r="A933" s="29" t="s">
        <v>16</v>
      </c>
      <c r="B933" s="26"/>
      <c r="C933" s="26"/>
      <c r="D933" s="26"/>
      <c r="E933" s="26"/>
      <c r="F933" s="26"/>
      <c r="G933" s="27"/>
      <c r="H933" s="17">
        <f>MAX(0,H932-648000)</f>
        <v>525900</v>
      </c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6.25" x14ac:dyDescent="0.4">
      <c r="A934" s="25" t="s">
        <v>17</v>
      </c>
      <c r="B934" s="26"/>
      <c r="C934" s="26"/>
      <c r="D934" s="26"/>
      <c r="E934" s="26"/>
      <c r="F934" s="26"/>
      <c r="G934" s="27"/>
      <c r="H934" s="18">
        <v>649000</v>
      </c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6.25" x14ac:dyDescent="0.4">
      <c r="A935" s="28" t="s">
        <v>18</v>
      </c>
      <c r="B935" s="26"/>
      <c r="C935" s="26"/>
      <c r="D935" s="26"/>
      <c r="E935" s="26"/>
      <c r="F935" s="26"/>
      <c r="G935" s="26"/>
      <c r="H935" s="27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25"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25"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41" spans="1:26" ht="15.75" customHeight="1" x14ac:dyDescent="0.4">
      <c r="A941" s="28" t="s">
        <v>0</v>
      </c>
      <c r="B941" s="26"/>
      <c r="C941" s="26"/>
      <c r="D941" s="26"/>
      <c r="E941" s="26"/>
      <c r="F941" s="26"/>
      <c r="G941" s="26"/>
      <c r="H941" s="27"/>
    </row>
    <row r="942" spans="1:26" ht="15.75" customHeight="1" x14ac:dyDescent="0.4">
      <c r="A942" s="28" t="s">
        <v>273</v>
      </c>
      <c r="B942" s="26"/>
      <c r="C942" s="26"/>
      <c r="D942" s="26"/>
      <c r="E942" s="26"/>
      <c r="F942" s="26"/>
      <c r="G942" s="26"/>
      <c r="H942" s="27"/>
    </row>
    <row r="943" spans="1:26" ht="15.75" customHeight="1" x14ac:dyDescent="0.3">
      <c r="A943" s="3" t="s">
        <v>2</v>
      </c>
      <c r="B943" s="3" t="s">
        <v>3</v>
      </c>
      <c r="C943" s="3" t="s">
        <v>4</v>
      </c>
      <c r="D943" s="3" t="s">
        <v>5</v>
      </c>
      <c r="E943" s="3" t="s">
        <v>6</v>
      </c>
      <c r="F943" s="4" t="s">
        <v>7</v>
      </c>
      <c r="G943" s="3" t="s">
        <v>8</v>
      </c>
      <c r="H943" s="5"/>
    </row>
    <row r="944" spans="1:26" ht="29.25" customHeight="1" x14ac:dyDescent="0.4">
      <c r="A944" s="6">
        <v>1</v>
      </c>
      <c r="B944" s="8" t="s">
        <v>41</v>
      </c>
      <c r="C944" s="12" t="s">
        <v>274</v>
      </c>
      <c r="D944" s="8" t="s">
        <v>11</v>
      </c>
      <c r="E944" s="8">
        <v>2.0499999999999998</v>
      </c>
      <c r="F944" s="9">
        <v>293000</v>
      </c>
      <c r="G944" s="10">
        <f t="shared" ref="G944:G946" si="63">IFERROR(E944*F944,0)</f>
        <v>600650</v>
      </c>
      <c r="H944" s="11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6.25" x14ac:dyDescent="0.4">
      <c r="A945" s="6">
        <v>2</v>
      </c>
      <c r="B945" s="13" t="s">
        <v>27</v>
      </c>
      <c r="C945" s="19" t="s">
        <v>275</v>
      </c>
      <c r="D945" s="13" t="s">
        <v>13</v>
      </c>
      <c r="E945" s="13">
        <v>1.5</v>
      </c>
      <c r="F945" s="14">
        <v>435000</v>
      </c>
      <c r="G945" s="10">
        <f t="shared" si="63"/>
        <v>652500</v>
      </c>
      <c r="H945" s="11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6.25" x14ac:dyDescent="0.4">
      <c r="A946" s="6">
        <v>3</v>
      </c>
      <c r="B946" s="15" t="s">
        <v>14</v>
      </c>
      <c r="C946" s="11"/>
      <c r="D946" s="11"/>
      <c r="E946" s="11"/>
      <c r="F946" s="11"/>
      <c r="G946" s="16">
        <f t="shared" si="63"/>
        <v>0</v>
      </c>
      <c r="H946" s="11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6.25" x14ac:dyDescent="0.4">
      <c r="A947" s="29" t="s">
        <v>15</v>
      </c>
      <c r="B947" s="26"/>
      <c r="C947" s="26"/>
      <c r="D947" s="26"/>
      <c r="E947" s="26"/>
      <c r="F947" s="26"/>
      <c r="G947" s="27"/>
      <c r="H947" s="17">
        <f>SUM(G944:G946)</f>
        <v>1253150</v>
      </c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6.25" x14ac:dyDescent="0.4">
      <c r="A948" s="29" t="s">
        <v>16</v>
      </c>
      <c r="B948" s="26"/>
      <c r="C948" s="26"/>
      <c r="D948" s="26"/>
      <c r="E948" s="26"/>
      <c r="F948" s="26"/>
      <c r="G948" s="27"/>
      <c r="H948" s="17">
        <f>MAX(0,H947-648000)</f>
        <v>605150</v>
      </c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6.25" x14ac:dyDescent="0.4">
      <c r="A949" s="25" t="s">
        <v>17</v>
      </c>
      <c r="B949" s="26"/>
      <c r="C949" s="26"/>
      <c r="D949" s="26"/>
      <c r="E949" s="26"/>
      <c r="F949" s="26"/>
      <c r="G949" s="27"/>
      <c r="H949" s="18">
        <v>649000</v>
      </c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6.25" x14ac:dyDescent="0.4">
      <c r="A950" s="28" t="s">
        <v>18</v>
      </c>
      <c r="B950" s="26"/>
      <c r="C950" s="26"/>
      <c r="D950" s="26"/>
      <c r="E950" s="26"/>
      <c r="F950" s="26"/>
      <c r="G950" s="26"/>
      <c r="H950" s="27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25"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25"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25"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7" spans="1:26" ht="15.75" customHeight="1" x14ac:dyDescent="0.4">
      <c r="A957" s="28" t="s">
        <v>0</v>
      </c>
      <c r="B957" s="26"/>
      <c r="C957" s="26"/>
      <c r="D957" s="26"/>
      <c r="E957" s="26"/>
      <c r="F957" s="26"/>
      <c r="G957" s="26"/>
      <c r="H957" s="27"/>
    </row>
    <row r="958" spans="1:26" ht="15.75" customHeight="1" x14ac:dyDescent="0.4">
      <c r="A958" s="28" t="s">
        <v>276</v>
      </c>
      <c r="B958" s="26"/>
      <c r="C958" s="26"/>
      <c r="D958" s="26"/>
      <c r="E958" s="26"/>
      <c r="F958" s="26"/>
      <c r="G958" s="26"/>
      <c r="H958" s="27"/>
    </row>
    <row r="959" spans="1:26" ht="15.75" customHeight="1" x14ac:dyDescent="0.3">
      <c r="A959" s="3" t="s">
        <v>2</v>
      </c>
      <c r="B959" s="3" t="s">
        <v>3</v>
      </c>
      <c r="C959" s="3" t="s">
        <v>4</v>
      </c>
      <c r="D959" s="3" t="s">
        <v>5</v>
      </c>
      <c r="E959" s="3" t="s">
        <v>6</v>
      </c>
      <c r="F959" s="4" t="s">
        <v>7</v>
      </c>
      <c r="G959" s="3" t="s">
        <v>8</v>
      </c>
      <c r="H959" s="5"/>
    </row>
    <row r="960" spans="1:26" ht="15.75" customHeight="1" x14ac:dyDescent="0.4">
      <c r="A960" s="6">
        <v>1</v>
      </c>
      <c r="B960" s="8" t="s">
        <v>277</v>
      </c>
      <c r="C960" s="12" t="s">
        <v>278</v>
      </c>
      <c r="D960" s="8" t="s">
        <v>11</v>
      </c>
      <c r="E960" s="8">
        <v>2</v>
      </c>
      <c r="F960" s="9">
        <v>293000</v>
      </c>
      <c r="G960" s="10">
        <f t="shared" ref="G960:G962" si="64">IFERROR(E960*F960,0)</f>
        <v>586000</v>
      </c>
      <c r="H960" s="11"/>
    </row>
    <row r="961" spans="1:26" ht="29.25" customHeight="1" x14ac:dyDescent="0.4">
      <c r="A961" s="6">
        <v>2</v>
      </c>
      <c r="B961" s="13" t="s">
        <v>279</v>
      </c>
      <c r="C961" s="19" t="s">
        <v>280</v>
      </c>
      <c r="D961" s="13" t="s">
        <v>13</v>
      </c>
      <c r="E961" s="13">
        <v>1.6</v>
      </c>
      <c r="F961" s="14">
        <v>435000</v>
      </c>
      <c r="G961" s="10">
        <f t="shared" si="64"/>
        <v>696000</v>
      </c>
      <c r="H961" s="11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6.25" x14ac:dyDescent="0.4">
      <c r="A962" s="6">
        <v>3</v>
      </c>
      <c r="B962" s="15" t="s">
        <v>14</v>
      </c>
      <c r="C962" s="11"/>
      <c r="D962" s="11"/>
      <c r="E962" s="11"/>
      <c r="F962" s="11"/>
      <c r="G962" s="16">
        <f t="shared" si="64"/>
        <v>0</v>
      </c>
      <c r="H962" s="11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6.25" x14ac:dyDescent="0.4">
      <c r="A963" s="29" t="s">
        <v>15</v>
      </c>
      <c r="B963" s="26"/>
      <c r="C963" s="26"/>
      <c r="D963" s="26"/>
      <c r="E963" s="26"/>
      <c r="F963" s="26"/>
      <c r="G963" s="27"/>
      <c r="H963" s="17">
        <f>SUM(G960:G962)</f>
        <v>1282000</v>
      </c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6.25" x14ac:dyDescent="0.4">
      <c r="A964" s="29" t="s">
        <v>16</v>
      </c>
      <c r="B964" s="26"/>
      <c r="C964" s="26"/>
      <c r="D964" s="26"/>
      <c r="E964" s="26"/>
      <c r="F964" s="26"/>
      <c r="G964" s="27"/>
      <c r="H964" s="17">
        <f>MAX(0,H963-648000)</f>
        <v>634000</v>
      </c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6.25" x14ac:dyDescent="0.4">
      <c r="A965" s="25" t="s">
        <v>17</v>
      </c>
      <c r="B965" s="26"/>
      <c r="C965" s="26"/>
      <c r="D965" s="26"/>
      <c r="E965" s="26"/>
      <c r="F965" s="26"/>
      <c r="G965" s="27"/>
      <c r="H965" s="18">
        <v>649000</v>
      </c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6.25" x14ac:dyDescent="0.4">
      <c r="A966" s="28" t="s">
        <v>18</v>
      </c>
      <c r="B966" s="26"/>
      <c r="C966" s="26"/>
      <c r="D966" s="26"/>
      <c r="E966" s="26"/>
      <c r="F966" s="26"/>
      <c r="G966" s="26"/>
      <c r="H966" s="27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25"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25"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25"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25"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4" spans="1:26" ht="15.75" customHeight="1" x14ac:dyDescent="0.4">
      <c r="A974" s="28" t="s">
        <v>0</v>
      </c>
      <c r="B974" s="26"/>
      <c r="C974" s="26"/>
      <c r="D974" s="26"/>
      <c r="E974" s="26"/>
      <c r="F974" s="26"/>
      <c r="G974" s="26"/>
      <c r="H974" s="27"/>
    </row>
    <row r="975" spans="1:26" ht="15.75" customHeight="1" x14ac:dyDescent="0.4">
      <c r="A975" s="28" t="s">
        <v>281</v>
      </c>
      <c r="B975" s="26"/>
      <c r="C975" s="26"/>
      <c r="D975" s="26"/>
      <c r="E975" s="26"/>
      <c r="F975" s="26"/>
      <c r="G975" s="26"/>
      <c r="H975" s="27"/>
    </row>
    <row r="976" spans="1:26" ht="29.25" customHeight="1" x14ac:dyDescent="0.3">
      <c r="A976" s="3" t="s">
        <v>2</v>
      </c>
      <c r="B976" s="3" t="s">
        <v>3</v>
      </c>
      <c r="C976" s="3" t="s">
        <v>4</v>
      </c>
      <c r="D976" s="3" t="s">
        <v>5</v>
      </c>
      <c r="E976" s="3" t="s">
        <v>6</v>
      </c>
      <c r="F976" s="4" t="s">
        <v>7</v>
      </c>
      <c r="G976" s="3" t="s">
        <v>8</v>
      </c>
      <c r="H976" s="5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6.25" x14ac:dyDescent="0.4">
      <c r="A977" s="6">
        <v>1</v>
      </c>
      <c r="B977" s="8" t="s">
        <v>282</v>
      </c>
      <c r="C977" s="12" t="s">
        <v>283</v>
      </c>
      <c r="D977" s="8" t="s">
        <v>11</v>
      </c>
      <c r="E977" s="8">
        <v>1.64</v>
      </c>
      <c r="F977" s="9">
        <v>293000</v>
      </c>
      <c r="G977" s="10">
        <f t="shared" ref="G977:G979" si="65">IFERROR(E977*F977,0)</f>
        <v>480520</v>
      </c>
      <c r="H977" s="11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6.25" x14ac:dyDescent="0.4">
      <c r="A978" s="6">
        <v>2</v>
      </c>
      <c r="B978" s="13" t="s">
        <v>118</v>
      </c>
      <c r="C978" s="19" t="s">
        <v>284</v>
      </c>
      <c r="D978" s="13" t="s">
        <v>13</v>
      </c>
      <c r="E978" s="13">
        <v>1.88</v>
      </c>
      <c r="F978" s="14">
        <v>435000</v>
      </c>
      <c r="G978" s="10">
        <f t="shared" si="65"/>
        <v>817800</v>
      </c>
      <c r="H978" s="11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6.25" x14ac:dyDescent="0.4">
      <c r="A979" s="6">
        <v>3</v>
      </c>
      <c r="B979" s="15" t="s">
        <v>14</v>
      </c>
      <c r="C979" s="11"/>
      <c r="D979" s="11"/>
      <c r="E979" s="11"/>
      <c r="F979" s="11"/>
      <c r="G979" s="16">
        <f t="shared" si="65"/>
        <v>0</v>
      </c>
      <c r="H979" s="11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6.25" x14ac:dyDescent="0.4">
      <c r="A980" s="29" t="s">
        <v>15</v>
      </c>
      <c r="B980" s="26"/>
      <c r="C980" s="26"/>
      <c r="D980" s="26"/>
      <c r="E980" s="26"/>
      <c r="F980" s="26"/>
      <c r="G980" s="27"/>
      <c r="H980" s="17">
        <f>SUM(G977:G979)</f>
        <v>1298320</v>
      </c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6.25" x14ac:dyDescent="0.4">
      <c r="A981" s="29" t="s">
        <v>16</v>
      </c>
      <c r="B981" s="26"/>
      <c r="C981" s="26"/>
      <c r="D981" s="26"/>
      <c r="E981" s="26"/>
      <c r="F981" s="26"/>
      <c r="G981" s="27"/>
      <c r="H981" s="17">
        <f>MAX(0,H980-648000)</f>
        <v>650320</v>
      </c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6.25" x14ac:dyDescent="0.4">
      <c r="A982" s="25" t="s">
        <v>17</v>
      </c>
      <c r="B982" s="26"/>
      <c r="C982" s="26"/>
      <c r="D982" s="26"/>
      <c r="E982" s="26"/>
      <c r="F982" s="26"/>
      <c r="G982" s="27"/>
      <c r="H982" s="18">
        <v>649000</v>
      </c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6.25" x14ac:dyDescent="0.4">
      <c r="A983" s="28" t="s">
        <v>18</v>
      </c>
      <c r="B983" s="26"/>
      <c r="C983" s="26"/>
      <c r="D983" s="26"/>
      <c r="E983" s="26"/>
      <c r="F983" s="26"/>
      <c r="G983" s="26"/>
      <c r="H983" s="27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25"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25"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9" spans="1:26" ht="15.75" customHeight="1" x14ac:dyDescent="0.4">
      <c r="A989" s="28" t="s">
        <v>0</v>
      </c>
      <c r="B989" s="26"/>
      <c r="C989" s="26"/>
      <c r="D989" s="26"/>
      <c r="E989" s="26"/>
      <c r="F989" s="26"/>
      <c r="G989" s="26"/>
      <c r="H989" s="27"/>
    </row>
    <row r="990" spans="1:26" ht="15.75" customHeight="1" x14ac:dyDescent="0.4">
      <c r="A990" s="28" t="s">
        <v>285</v>
      </c>
      <c r="B990" s="26"/>
      <c r="C990" s="26"/>
      <c r="D990" s="26"/>
      <c r="E990" s="26"/>
      <c r="F990" s="26"/>
      <c r="G990" s="26"/>
      <c r="H990" s="27"/>
    </row>
    <row r="991" spans="1:26" ht="15.75" customHeight="1" x14ac:dyDescent="0.3">
      <c r="A991" s="3" t="s">
        <v>2</v>
      </c>
      <c r="B991" s="3" t="s">
        <v>3</v>
      </c>
      <c r="C991" s="3" t="s">
        <v>4</v>
      </c>
      <c r="D991" s="3" t="s">
        <v>5</v>
      </c>
      <c r="E991" s="3" t="s">
        <v>6</v>
      </c>
      <c r="F991" s="4" t="s">
        <v>7</v>
      </c>
      <c r="G991" s="3" t="s">
        <v>8</v>
      </c>
      <c r="H991" s="5"/>
    </row>
    <row r="992" spans="1:26" ht="29.25" customHeight="1" x14ac:dyDescent="0.4">
      <c r="A992" s="6">
        <v>1</v>
      </c>
      <c r="B992" s="8" t="s">
        <v>58</v>
      </c>
      <c r="C992" s="12" t="s">
        <v>286</v>
      </c>
      <c r="D992" s="8" t="s">
        <v>11</v>
      </c>
      <c r="E992" s="8">
        <v>1.92</v>
      </c>
      <c r="F992" s="9">
        <v>293000</v>
      </c>
      <c r="G992" s="10">
        <f t="shared" ref="G992:G994" si="66">IFERROR(E992*F992,0)</f>
        <v>562560</v>
      </c>
      <c r="H992" s="11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6.25" x14ac:dyDescent="0.4">
      <c r="A993" s="6">
        <v>2</v>
      </c>
      <c r="B993" s="13" t="s">
        <v>175</v>
      </c>
      <c r="C993" s="19" t="s">
        <v>287</v>
      </c>
      <c r="D993" s="13" t="s">
        <v>13</v>
      </c>
      <c r="E993" s="13">
        <v>1.47</v>
      </c>
      <c r="F993" s="14">
        <v>435000</v>
      </c>
      <c r="G993" s="10">
        <f t="shared" si="66"/>
        <v>639450</v>
      </c>
      <c r="H993" s="11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6.25" x14ac:dyDescent="0.4">
      <c r="A994" s="6">
        <v>3</v>
      </c>
      <c r="B994" s="15" t="s">
        <v>14</v>
      </c>
      <c r="C994" s="11"/>
      <c r="D994" s="11"/>
      <c r="E994" s="11"/>
      <c r="F994" s="11"/>
      <c r="G994" s="16">
        <f t="shared" si="66"/>
        <v>0</v>
      </c>
      <c r="H994" s="11"/>
      <c r="I994" s="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6.25" x14ac:dyDescent="0.4">
      <c r="A995" s="29" t="s">
        <v>15</v>
      </c>
      <c r="B995" s="26"/>
      <c r="C995" s="26"/>
      <c r="D995" s="26"/>
      <c r="E995" s="26"/>
      <c r="F995" s="26"/>
      <c r="G995" s="27"/>
      <c r="H995" s="17">
        <f>SUM(G992:G994)</f>
        <v>1202010</v>
      </c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6.25" x14ac:dyDescent="0.4">
      <c r="A996" s="29" t="s">
        <v>16</v>
      </c>
      <c r="B996" s="26"/>
      <c r="C996" s="26"/>
      <c r="D996" s="26"/>
      <c r="E996" s="26"/>
      <c r="F996" s="26"/>
      <c r="G996" s="27"/>
      <c r="H996" s="17">
        <f>MAX(0,H995-648000)</f>
        <v>554010</v>
      </c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6.25" x14ac:dyDescent="0.4">
      <c r="A997" s="25" t="s">
        <v>17</v>
      </c>
      <c r="B997" s="26"/>
      <c r="C997" s="26"/>
      <c r="D997" s="26"/>
      <c r="E997" s="26"/>
      <c r="F997" s="26"/>
      <c r="G997" s="27"/>
      <c r="H997" s="18">
        <v>649000</v>
      </c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6.25" x14ac:dyDescent="0.4">
      <c r="A998" s="28" t="s">
        <v>18</v>
      </c>
      <c r="B998" s="26"/>
      <c r="C998" s="26"/>
      <c r="D998" s="26"/>
      <c r="E998" s="26"/>
      <c r="F998" s="26"/>
      <c r="G998" s="26"/>
      <c r="H998" s="27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25">
      <c r="I999" s="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25">
      <c r="I1000" s="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" x14ac:dyDescent="0.25">
      <c r="I1001" s="1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5" spans="1:26" ht="15.75" customHeight="1" x14ac:dyDescent="0.4">
      <c r="A1005" s="28" t="s">
        <v>0</v>
      </c>
      <c r="B1005" s="26"/>
      <c r="C1005" s="26"/>
      <c r="D1005" s="26"/>
      <c r="E1005" s="26"/>
      <c r="F1005" s="26"/>
      <c r="G1005" s="26"/>
      <c r="H1005" s="27"/>
    </row>
    <row r="1006" spans="1:26" ht="15.75" customHeight="1" x14ac:dyDescent="0.4">
      <c r="A1006" s="28" t="s">
        <v>288</v>
      </c>
      <c r="B1006" s="26"/>
      <c r="C1006" s="26"/>
      <c r="D1006" s="26"/>
      <c r="E1006" s="26"/>
      <c r="F1006" s="26"/>
      <c r="G1006" s="26"/>
      <c r="H1006" s="27"/>
    </row>
    <row r="1007" spans="1:26" ht="15.75" customHeight="1" x14ac:dyDescent="0.3">
      <c r="A1007" s="3" t="s">
        <v>2</v>
      </c>
      <c r="B1007" s="3" t="s">
        <v>3</v>
      </c>
      <c r="C1007" s="3" t="s">
        <v>4</v>
      </c>
      <c r="D1007" s="3" t="s">
        <v>5</v>
      </c>
      <c r="E1007" s="3" t="s">
        <v>6</v>
      </c>
      <c r="F1007" s="4" t="s">
        <v>7</v>
      </c>
      <c r="G1007" s="3" t="s">
        <v>8</v>
      </c>
      <c r="H1007" s="5"/>
    </row>
    <row r="1008" spans="1:26" ht="15.75" customHeight="1" x14ac:dyDescent="0.4">
      <c r="A1008" s="6">
        <v>1</v>
      </c>
      <c r="B1008" s="8" t="s">
        <v>289</v>
      </c>
      <c r="C1008" s="12" t="s">
        <v>290</v>
      </c>
      <c r="D1008" s="8" t="s">
        <v>11</v>
      </c>
      <c r="E1008" s="8">
        <v>2</v>
      </c>
      <c r="F1008" s="9">
        <v>293000</v>
      </c>
      <c r="G1008" s="10">
        <f t="shared" ref="G1008:G1010" si="67">IFERROR(E1008*F1008,0)</f>
        <v>586000</v>
      </c>
      <c r="H1008" s="11"/>
    </row>
    <row r="1009" spans="1:26" ht="29.25" customHeight="1" x14ac:dyDescent="0.4">
      <c r="A1009" s="6">
        <v>2</v>
      </c>
      <c r="B1009" s="13" t="s">
        <v>12</v>
      </c>
      <c r="C1009" s="19" t="s">
        <v>291</v>
      </c>
      <c r="D1009" s="13" t="s">
        <v>13</v>
      </c>
      <c r="E1009" s="13">
        <v>1.46</v>
      </c>
      <c r="F1009" s="14">
        <v>435000</v>
      </c>
      <c r="G1009" s="10">
        <f t="shared" si="67"/>
        <v>635100</v>
      </c>
      <c r="H1009" s="11"/>
      <c r="I1009" s="1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26.25" x14ac:dyDescent="0.4">
      <c r="A1010" s="6">
        <v>3</v>
      </c>
      <c r="B1010" s="15" t="s">
        <v>14</v>
      </c>
      <c r="C1010" s="11"/>
      <c r="D1010" s="11"/>
      <c r="E1010" s="11"/>
      <c r="F1010" s="11"/>
      <c r="G1010" s="16">
        <f t="shared" si="67"/>
        <v>0</v>
      </c>
      <c r="H1010" s="11"/>
      <c r="I1010" s="1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26.25" x14ac:dyDescent="0.4">
      <c r="A1011" s="29" t="s">
        <v>15</v>
      </c>
      <c r="B1011" s="26"/>
      <c r="C1011" s="26"/>
      <c r="D1011" s="26"/>
      <c r="E1011" s="26"/>
      <c r="F1011" s="26"/>
      <c r="G1011" s="27"/>
      <c r="H1011" s="17">
        <f>SUM(G1008:G1010)</f>
        <v>1221100</v>
      </c>
      <c r="I1011" s="1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26.25" x14ac:dyDescent="0.4">
      <c r="A1012" s="29" t="s">
        <v>16</v>
      </c>
      <c r="B1012" s="26"/>
      <c r="C1012" s="26"/>
      <c r="D1012" s="26"/>
      <c r="E1012" s="26"/>
      <c r="F1012" s="26"/>
      <c r="G1012" s="27"/>
      <c r="H1012" s="17">
        <f>MAX(0,H1011-648000)</f>
        <v>573100</v>
      </c>
      <c r="I1012" s="1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26.25" x14ac:dyDescent="0.4">
      <c r="A1013" s="25" t="s">
        <v>17</v>
      </c>
      <c r="B1013" s="26"/>
      <c r="C1013" s="26"/>
      <c r="D1013" s="26"/>
      <c r="E1013" s="26"/>
      <c r="F1013" s="26"/>
      <c r="G1013" s="27"/>
      <c r="H1013" s="18">
        <v>649000</v>
      </c>
      <c r="I1013" s="1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26.25" x14ac:dyDescent="0.4">
      <c r="A1014" s="28" t="s">
        <v>18</v>
      </c>
      <c r="B1014" s="26"/>
      <c r="C1014" s="26"/>
      <c r="D1014" s="26"/>
      <c r="E1014" s="26"/>
      <c r="F1014" s="26"/>
      <c r="G1014" s="26"/>
      <c r="H1014" s="27"/>
      <c r="I1014" s="1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" x14ac:dyDescent="0.25">
      <c r="I1015" s="1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x14ac:dyDescent="0.25">
      <c r="I1016" s="1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" x14ac:dyDescent="0.25">
      <c r="I1017" s="1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" x14ac:dyDescent="0.25">
      <c r="I1018" s="1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22" spans="1:26" ht="15.75" customHeight="1" x14ac:dyDescent="0.4">
      <c r="A1022" s="28" t="s">
        <v>0</v>
      </c>
      <c r="B1022" s="26"/>
      <c r="C1022" s="26"/>
      <c r="D1022" s="26"/>
      <c r="E1022" s="26"/>
      <c r="F1022" s="26"/>
      <c r="G1022" s="26"/>
      <c r="H1022" s="27"/>
    </row>
    <row r="1023" spans="1:26" ht="15.75" customHeight="1" x14ac:dyDescent="0.4">
      <c r="A1023" s="28" t="s">
        <v>292</v>
      </c>
      <c r="B1023" s="26"/>
      <c r="C1023" s="26"/>
      <c r="D1023" s="26"/>
      <c r="E1023" s="26"/>
      <c r="F1023" s="26"/>
      <c r="G1023" s="26"/>
      <c r="H1023" s="27"/>
    </row>
    <row r="1024" spans="1:26" ht="15.75" customHeight="1" x14ac:dyDescent="0.3">
      <c r="A1024" s="3" t="s">
        <v>2</v>
      </c>
      <c r="B1024" s="3" t="s">
        <v>3</v>
      </c>
      <c r="C1024" s="3" t="s">
        <v>4</v>
      </c>
      <c r="D1024" s="3" t="s">
        <v>5</v>
      </c>
      <c r="E1024" s="3" t="s">
        <v>6</v>
      </c>
      <c r="F1024" s="4" t="s">
        <v>7</v>
      </c>
      <c r="G1024" s="3" t="s">
        <v>8</v>
      </c>
      <c r="H1024" s="5"/>
    </row>
    <row r="1025" spans="1:26" ht="15.75" customHeight="1" x14ac:dyDescent="0.4">
      <c r="A1025" s="6">
        <v>1</v>
      </c>
      <c r="B1025" s="8" t="s">
        <v>94</v>
      </c>
      <c r="C1025" s="12" t="s">
        <v>293</v>
      </c>
      <c r="D1025" s="8" t="s">
        <v>11</v>
      </c>
      <c r="E1025" s="8">
        <v>1.96</v>
      </c>
      <c r="F1025" s="9">
        <v>293000</v>
      </c>
      <c r="G1025" s="10">
        <f t="shared" ref="G1025:G1027" si="68">IFERROR(E1025*F1025,0)</f>
        <v>574280</v>
      </c>
      <c r="H1025" s="11"/>
    </row>
    <row r="1026" spans="1:26" ht="29.25" customHeight="1" x14ac:dyDescent="0.4">
      <c r="A1026" s="6">
        <v>2</v>
      </c>
      <c r="B1026" s="13" t="s">
        <v>294</v>
      </c>
      <c r="C1026" s="19" t="s">
        <v>295</v>
      </c>
      <c r="D1026" s="13" t="s">
        <v>13</v>
      </c>
      <c r="E1026" s="13">
        <v>1.45</v>
      </c>
      <c r="F1026" s="14">
        <v>435000</v>
      </c>
      <c r="G1026" s="10">
        <f t="shared" si="68"/>
        <v>630750</v>
      </c>
      <c r="H1026" s="11"/>
      <c r="I1026" s="1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26.25" x14ac:dyDescent="0.4">
      <c r="A1027" s="6">
        <v>3</v>
      </c>
      <c r="B1027" s="15" t="s">
        <v>14</v>
      </c>
      <c r="C1027" s="11"/>
      <c r="D1027" s="11"/>
      <c r="E1027" s="11"/>
      <c r="F1027" s="11"/>
      <c r="G1027" s="16">
        <f t="shared" si="68"/>
        <v>0</v>
      </c>
      <c r="H1027" s="11"/>
      <c r="I1027" s="1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26.25" x14ac:dyDescent="0.4">
      <c r="A1028" s="29" t="s">
        <v>15</v>
      </c>
      <c r="B1028" s="26"/>
      <c r="C1028" s="26"/>
      <c r="D1028" s="26"/>
      <c r="E1028" s="26"/>
      <c r="F1028" s="26"/>
      <c r="G1028" s="27"/>
      <c r="H1028" s="17">
        <f>SUM(G1025:G1027)</f>
        <v>1205030</v>
      </c>
      <c r="I1028" s="1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26.25" x14ac:dyDescent="0.4">
      <c r="A1029" s="29" t="s">
        <v>16</v>
      </c>
      <c r="B1029" s="26"/>
      <c r="C1029" s="26"/>
      <c r="D1029" s="26"/>
      <c r="E1029" s="26"/>
      <c r="F1029" s="26"/>
      <c r="G1029" s="27"/>
      <c r="H1029" s="17">
        <f>MAX(0,H1028-648000)</f>
        <v>557030</v>
      </c>
      <c r="I1029" s="1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26.25" x14ac:dyDescent="0.4">
      <c r="A1030" s="25" t="s">
        <v>17</v>
      </c>
      <c r="B1030" s="26"/>
      <c r="C1030" s="26"/>
      <c r="D1030" s="26"/>
      <c r="E1030" s="26"/>
      <c r="F1030" s="26"/>
      <c r="G1030" s="27"/>
      <c r="H1030" s="18">
        <v>649000</v>
      </c>
      <c r="I1030" s="1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26.25" x14ac:dyDescent="0.4">
      <c r="A1031" s="28" t="s">
        <v>18</v>
      </c>
      <c r="B1031" s="26"/>
      <c r="C1031" s="26"/>
      <c r="D1031" s="26"/>
      <c r="E1031" s="26"/>
      <c r="F1031" s="26"/>
      <c r="G1031" s="26"/>
      <c r="H1031" s="27"/>
      <c r="I1031" s="1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5" x14ac:dyDescent="0.25">
      <c r="I1032" s="1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5" x14ac:dyDescent="0.25">
      <c r="I1033" s="1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5" x14ac:dyDescent="0.25">
      <c r="I1034" s="1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5" x14ac:dyDescent="0.25">
      <c r="I1035" s="1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9" spans="1:26" ht="15.75" customHeight="1" x14ac:dyDescent="0.4">
      <c r="A1039" s="28" t="s">
        <v>0</v>
      </c>
      <c r="B1039" s="26"/>
      <c r="C1039" s="26"/>
      <c r="D1039" s="26"/>
      <c r="E1039" s="26"/>
      <c r="F1039" s="26"/>
      <c r="G1039" s="26"/>
      <c r="H1039" s="27"/>
    </row>
    <row r="1040" spans="1:26" ht="15.75" customHeight="1" x14ac:dyDescent="0.4">
      <c r="A1040" s="28" t="s">
        <v>296</v>
      </c>
      <c r="B1040" s="26"/>
      <c r="C1040" s="26"/>
      <c r="D1040" s="26"/>
      <c r="E1040" s="26"/>
      <c r="F1040" s="26"/>
      <c r="G1040" s="26"/>
      <c r="H1040" s="27"/>
    </row>
    <row r="1041" spans="1:26" ht="29.25" customHeight="1" x14ac:dyDescent="0.3">
      <c r="A1041" s="3" t="s">
        <v>2</v>
      </c>
      <c r="B1041" s="3" t="s">
        <v>3</v>
      </c>
      <c r="C1041" s="3" t="s">
        <v>4</v>
      </c>
      <c r="D1041" s="3" t="s">
        <v>5</v>
      </c>
      <c r="E1041" s="3" t="s">
        <v>6</v>
      </c>
      <c r="F1041" s="4" t="s">
        <v>7</v>
      </c>
      <c r="G1041" s="3" t="s">
        <v>8</v>
      </c>
      <c r="H1041" s="5"/>
      <c r="I1041" s="1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26.25" x14ac:dyDescent="0.4">
      <c r="A1042" s="6">
        <v>1</v>
      </c>
      <c r="B1042" s="8" t="s">
        <v>218</v>
      </c>
      <c r="C1042" s="12" t="s">
        <v>297</v>
      </c>
      <c r="D1042" s="8" t="s">
        <v>11</v>
      </c>
      <c r="E1042" s="8">
        <v>1.63</v>
      </c>
      <c r="F1042" s="9">
        <v>293000</v>
      </c>
      <c r="G1042" s="10">
        <f t="shared" ref="G1042:G1044" si="69">IFERROR(E1042*F1042,0)</f>
        <v>477589.99999999994</v>
      </c>
      <c r="H1042" s="11"/>
      <c r="I1042" s="1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26.25" x14ac:dyDescent="0.4">
      <c r="A1043" s="6">
        <v>2</v>
      </c>
      <c r="B1043" s="13" t="s">
        <v>298</v>
      </c>
      <c r="C1043" s="19" t="s">
        <v>299</v>
      </c>
      <c r="D1043" s="13" t="s">
        <v>13</v>
      </c>
      <c r="E1043" s="13">
        <v>1.65</v>
      </c>
      <c r="F1043" s="14">
        <v>435000</v>
      </c>
      <c r="G1043" s="10">
        <f t="shared" si="69"/>
        <v>717750</v>
      </c>
      <c r="H1043" s="11"/>
      <c r="I1043" s="1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26.25" x14ac:dyDescent="0.4">
      <c r="A1044" s="6">
        <v>3</v>
      </c>
      <c r="B1044" s="15" t="s">
        <v>14</v>
      </c>
      <c r="C1044" s="11"/>
      <c r="D1044" s="11"/>
      <c r="E1044" s="11"/>
      <c r="F1044" s="11"/>
      <c r="G1044" s="16">
        <f t="shared" si="69"/>
        <v>0</v>
      </c>
      <c r="H1044" s="11"/>
      <c r="I1044" s="1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26.25" x14ac:dyDescent="0.4">
      <c r="A1045" s="29" t="s">
        <v>15</v>
      </c>
      <c r="B1045" s="26"/>
      <c r="C1045" s="26"/>
      <c r="D1045" s="26"/>
      <c r="E1045" s="26"/>
      <c r="F1045" s="26"/>
      <c r="G1045" s="27"/>
      <c r="H1045" s="17">
        <f>SUM(G1042:G1044)</f>
        <v>1195340</v>
      </c>
      <c r="I1045" s="1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26.25" x14ac:dyDescent="0.4">
      <c r="A1046" s="29" t="s">
        <v>16</v>
      </c>
      <c r="B1046" s="26"/>
      <c r="C1046" s="26"/>
      <c r="D1046" s="26"/>
      <c r="E1046" s="26"/>
      <c r="F1046" s="26"/>
      <c r="G1046" s="27"/>
      <c r="H1046" s="17">
        <f>MAX(0,H1045-648000)</f>
        <v>547340</v>
      </c>
      <c r="I1046" s="1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26.25" x14ac:dyDescent="0.4">
      <c r="A1047" s="25" t="s">
        <v>17</v>
      </c>
      <c r="B1047" s="26"/>
      <c r="C1047" s="26"/>
      <c r="D1047" s="26"/>
      <c r="E1047" s="26"/>
      <c r="F1047" s="26"/>
      <c r="G1047" s="27"/>
      <c r="H1047" s="18">
        <v>649000</v>
      </c>
      <c r="I1047" s="1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26.25" x14ac:dyDescent="0.4">
      <c r="A1048" s="28" t="s">
        <v>18</v>
      </c>
      <c r="B1048" s="26"/>
      <c r="C1048" s="26"/>
      <c r="D1048" s="26"/>
      <c r="E1048" s="26"/>
      <c r="F1048" s="26"/>
      <c r="G1048" s="26"/>
      <c r="H1048" s="27"/>
      <c r="I1048" s="1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5" x14ac:dyDescent="0.25">
      <c r="I1049" s="1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5" x14ac:dyDescent="0.25">
      <c r="I1050" s="1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4" spans="1:26" ht="15.75" customHeight="1" x14ac:dyDescent="0.4">
      <c r="A1054" s="28" t="s">
        <v>0</v>
      </c>
      <c r="B1054" s="26"/>
      <c r="C1054" s="26"/>
      <c r="D1054" s="26"/>
      <c r="E1054" s="26"/>
      <c r="F1054" s="26"/>
      <c r="G1054" s="26"/>
      <c r="H1054" s="27"/>
    </row>
    <row r="1055" spans="1:26" ht="15.75" customHeight="1" x14ac:dyDescent="0.4">
      <c r="A1055" s="28" t="s">
        <v>300</v>
      </c>
      <c r="B1055" s="26"/>
      <c r="C1055" s="26"/>
      <c r="D1055" s="26"/>
      <c r="E1055" s="26"/>
      <c r="F1055" s="26"/>
      <c r="G1055" s="26"/>
      <c r="H1055" s="27"/>
    </row>
    <row r="1056" spans="1:26" ht="29.25" customHeight="1" x14ac:dyDescent="0.3">
      <c r="A1056" s="3" t="s">
        <v>2</v>
      </c>
      <c r="B1056" s="3" t="s">
        <v>3</v>
      </c>
      <c r="C1056" s="3" t="s">
        <v>4</v>
      </c>
      <c r="D1056" s="3" t="s">
        <v>5</v>
      </c>
      <c r="E1056" s="3" t="s">
        <v>6</v>
      </c>
      <c r="F1056" s="4" t="s">
        <v>7</v>
      </c>
      <c r="G1056" s="3" t="s">
        <v>8</v>
      </c>
      <c r="H1056" s="5"/>
      <c r="I1056" s="1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26.25" x14ac:dyDescent="0.4">
      <c r="A1057" s="6">
        <v>1</v>
      </c>
      <c r="B1057" s="8" t="s">
        <v>301</v>
      </c>
      <c r="C1057" s="12" t="s">
        <v>302</v>
      </c>
      <c r="D1057" s="8" t="s">
        <v>11</v>
      </c>
      <c r="E1057" s="8">
        <v>1.95</v>
      </c>
      <c r="F1057" s="9">
        <v>293000</v>
      </c>
      <c r="G1057" s="10">
        <f t="shared" ref="G1057:G1059" si="70">IFERROR(E1057*F1057,0)</f>
        <v>571350</v>
      </c>
      <c r="H1057" s="11"/>
      <c r="I1057" s="1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26.25" x14ac:dyDescent="0.4">
      <c r="A1058" s="6">
        <v>2</v>
      </c>
      <c r="B1058" s="13" t="s">
        <v>197</v>
      </c>
      <c r="C1058" s="19" t="s">
        <v>303</v>
      </c>
      <c r="D1058" s="13" t="s">
        <v>13</v>
      </c>
      <c r="E1058" s="13">
        <v>1.46</v>
      </c>
      <c r="F1058" s="14">
        <v>435000</v>
      </c>
      <c r="G1058" s="10">
        <f t="shared" si="70"/>
        <v>635100</v>
      </c>
      <c r="H1058" s="11"/>
      <c r="I1058" s="1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26.25" x14ac:dyDescent="0.4">
      <c r="A1059" s="6">
        <v>3</v>
      </c>
      <c r="B1059" s="15" t="s">
        <v>14</v>
      </c>
      <c r="C1059" s="11"/>
      <c r="D1059" s="11"/>
      <c r="E1059" s="11"/>
      <c r="F1059" s="11"/>
      <c r="G1059" s="16">
        <f t="shared" si="70"/>
        <v>0</v>
      </c>
      <c r="H1059" s="11"/>
      <c r="I1059" s="1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26.25" x14ac:dyDescent="0.4">
      <c r="A1060" s="29" t="s">
        <v>15</v>
      </c>
      <c r="B1060" s="26"/>
      <c r="C1060" s="26"/>
      <c r="D1060" s="26"/>
      <c r="E1060" s="26"/>
      <c r="F1060" s="26"/>
      <c r="G1060" s="27"/>
      <c r="H1060" s="17">
        <f>SUM(G1057:G1059)</f>
        <v>1206450</v>
      </c>
      <c r="I1060" s="1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26.25" x14ac:dyDescent="0.4">
      <c r="A1061" s="29" t="s">
        <v>16</v>
      </c>
      <c r="B1061" s="26"/>
      <c r="C1061" s="26"/>
      <c r="D1061" s="26"/>
      <c r="E1061" s="26"/>
      <c r="F1061" s="26"/>
      <c r="G1061" s="27"/>
      <c r="H1061" s="17">
        <f>MAX(0,H1060-648000)</f>
        <v>558450</v>
      </c>
      <c r="I1061" s="1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26.25" x14ac:dyDescent="0.4">
      <c r="A1062" s="25" t="s">
        <v>17</v>
      </c>
      <c r="B1062" s="26"/>
      <c r="C1062" s="26"/>
      <c r="D1062" s="26"/>
      <c r="E1062" s="26"/>
      <c r="F1062" s="26"/>
      <c r="G1062" s="27"/>
      <c r="H1062" s="18">
        <v>649000</v>
      </c>
      <c r="I1062" s="1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26.25" x14ac:dyDescent="0.4">
      <c r="A1063" s="28" t="s">
        <v>18</v>
      </c>
      <c r="B1063" s="26"/>
      <c r="C1063" s="26"/>
      <c r="D1063" s="26"/>
      <c r="E1063" s="26"/>
      <c r="F1063" s="26"/>
      <c r="G1063" s="26"/>
      <c r="H1063" s="27"/>
      <c r="I1063" s="1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5" x14ac:dyDescent="0.25">
      <c r="I1064" s="1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5" x14ac:dyDescent="0.25">
      <c r="I1065" s="1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9" spans="1:26" ht="15.75" customHeight="1" x14ac:dyDescent="0.4">
      <c r="A1069" s="28" t="s">
        <v>0</v>
      </c>
      <c r="B1069" s="26"/>
      <c r="C1069" s="26"/>
      <c r="D1069" s="26"/>
      <c r="E1069" s="26"/>
      <c r="F1069" s="26"/>
      <c r="G1069" s="26"/>
      <c r="H1069" s="27"/>
    </row>
    <row r="1070" spans="1:26" ht="29.25" customHeight="1" x14ac:dyDescent="0.4">
      <c r="A1070" s="28" t="s">
        <v>304</v>
      </c>
      <c r="B1070" s="26"/>
      <c r="C1070" s="26"/>
      <c r="D1070" s="26"/>
      <c r="E1070" s="26"/>
      <c r="F1070" s="26"/>
      <c r="G1070" s="26"/>
      <c r="H1070" s="27"/>
      <c r="I1070" s="1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8.75" x14ac:dyDescent="0.3">
      <c r="A1071" s="3" t="s">
        <v>2</v>
      </c>
      <c r="B1071" s="3" t="s">
        <v>3</v>
      </c>
      <c r="C1071" s="3" t="s">
        <v>4</v>
      </c>
      <c r="D1071" s="3" t="s">
        <v>5</v>
      </c>
      <c r="E1071" s="3" t="s">
        <v>6</v>
      </c>
      <c r="F1071" s="4" t="s">
        <v>7</v>
      </c>
      <c r="G1071" s="3" t="s">
        <v>8</v>
      </c>
      <c r="H1071" s="5"/>
      <c r="I1071" s="1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26.25" x14ac:dyDescent="0.4">
      <c r="A1072" s="6">
        <v>1</v>
      </c>
      <c r="B1072" s="8" t="s">
        <v>41</v>
      </c>
      <c r="C1072" s="12" t="s">
        <v>305</v>
      </c>
      <c r="D1072" s="8" t="s">
        <v>11</v>
      </c>
      <c r="E1072" s="8">
        <v>3</v>
      </c>
      <c r="F1072" s="9">
        <v>293000</v>
      </c>
      <c r="G1072" s="10">
        <f t="shared" ref="G1072:G1074" si="71">IFERROR(E1072*F1072,0)</f>
        <v>879000</v>
      </c>
      <c r="H1072" s="11"/>
      <c r="I1072" s="1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26.25" x14ac:dyDescent="0.4">
      <c r="A1073" s="6">
        <v>2</v>
      </c>
      <c r="B1073" s="13" t="s">
        <v>22</v>
      </c>
      <c r="C1073" s="19" t="s">
        <v>306</v>
      </c>
      <c r="D1073" s="13" t="s">
        <v>13</v>
      </c>
      <c r="E1073" s="13">
        <v>0.65</v>
      </c>
      <c r="F1073" s="14">
        <v>435000</v>
      </c>
      <c r="G1073" s="10">
        <f t="shared" si="71"/>
        <v>282750</v>
      </c>
      <c r="H1073" s="11"/>
      <c r="I1073" s="1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26.25" x14ac:dyDescent="0.4">
      <c r="A1074" s="6">
        <v>3</v>
      </c>
      <c r="B1074" s="15" t="s">
        <v>14</v>
      </c>
      <c r="C1074" s="11"/>
      <c r="D1074" s="11"/>
      <c r="E1074" s="11"/>
      <c r="F1074" s="11"/>
      <c r="G1074" s="16">
        <f t="shared" si="71"/>
        <v>0</v>
      </c>
      <c r="H1074" s="11"/>
      <c r="I1074" s="1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26.25" x14ac:dyDescent="0.4">
      <c r="A1075" s="29" t="s">
        <v>15</v>
      </c>
      <c r="B1075" s="26"/>
      <c r="C1075" s="26"/>
      <c r="D1075" s="26"/>
      <c r="E1075" s="26"/>
      <c r="F1075" s="26"/>
      <c r="G1075" s="27"/>
      <c r="H1075" s="17">
        <f>SUM(G1072:G1074)</f>
        <v>1161750</v>
      </c>
      <c r="I1075" s="1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26.25" x14ac:dyDescent="0.4">
      <c r="A1076" s="29" t="s">
        <v>16</v>
      </c>
      <c r="B1076" s="26"/>
      <c r="C1076" s="26"/>
      <c r="D1076" s="26"/>
      <c r="E1076" s="26"/>
      <c r="F1076" s="26"/>
      <c r="G1076" s="27"/>
      <c r="H1076" s="17">
        <f>MAX(0,H1075-648000)</f>
        <v>513750</v>
      </c>
      <c r="I1076" s="1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26.25" x14ac:dyDescent="0.4">
      <c r="A1077" s="25" t="s">
        <v>17</v>
      </c>
      <c r="B1077" s="26"/>
      <c r="C1077" s="26"/>
      <c r="D1077" s="26"/>
      <c r="E1077" s="26"/>
      <c r="F1077" s="26"/>
      <c r="G1077" s="27"/>
      <c r="H1077" s="18">
        <v>649000</v>
      </c>
      <c r="I1077" s="1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26.25" x14ac:dyDescent="0.4">
      <c r="A1078" s="28" t="s">
        <v>18</v>
      </c>
      <c r="B1078" s="26"/>
      <c r="C1078" s="26"/>
      <c r="D1078" s="26"/>
      <c r="E1078" s="26"/>
      <c r="F1078" s="26"/>
      <c r="G1078" s="26"/>
      <c r="H1078" s="27"/>
      <c r="I1078" s="1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5" x14ac:dyDescent="0.25">
      <c r="I1079" s="1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3" spans="1:26" ht="15.75" customHeight="1" x14ac:dyDescent="0.4">
      <c r="A1083" s="28" t="s">
        <v>0</v>
      </c>
      <c r="B1083" s="26"/>
      <c r="C1083" s="26"/>
      <c r="D1083" s="26"/>
      <c r="E1083" s="26"/>
      <c r="F1083" s="26"/>
      <c r="G1083" s="26"/>
      <c r="H1083" s="27"/>
    </row>
    <row r="1084" spans="1:26" ht="15.75" customHeight="1" x14ac:dyDescent="0.4">
      <c r="A1084" s="28" t="s">
        <v>307</v>
      </c>
      <c r="B1084" s="26"/>
      <c r="C1084" s="26"/>
      <c r="D1084" s="26"/>
      <c r="E1084" s="26"/>
      <c r="F1084" s="26"/>
      <c r="G1084" s="26"/>
      <c r="H1084" s="27"/>
    </row>
    <row r="1085" spans="1:26" ht="29.25" customHeight="1" x14ac:dyDescent="0.3">
      <c r="A1085" s="3" t="s">
        <v>2</v>
      </c>
      <c r="B1085" s="3" t="s">
        <v>3</v>
      </c>
      <c r="C1085" s="3" t="s">
        <v>4</v>
      </c>
      <c r="D1085" s="3" t="s">
        <v>5</v>
      </c>
      <c r="E1085" s="3" t="s">
        <v>6</v>
      </c>
      <c r="F1085" s="4" t="s">
        <v>7</v>
      </c>
      <c r="G1085" s="3" t="s">
        <v>8</v>
      </c>
      <c r="H1085" s="5"/>
      <c r="I1085" s="1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26.25" x14ac:dyDescent="0.4">
      <c r="A1086" s="6">
        <v>1</v>
      </c>
      <c r="B1086" s="8" t="s">
        <v>308</v>
      </c>
      <c r="C1086" s="12" t="s">
        <v>309</v>
      </c>
      <c r="D1086" s="8" t="s">
        <v>11</v>
      </c>
      <c r="E1086" s="8">
        <v>1.93</v>
      </c>
      <c r="F1086" s="9">
        <v>293000</v>
      </c>
      <c r="G1086" s="10">
        <f t="shared" ref="G1086:G1088" si="72">IFERROR(E1086*F1086,0)</f>
        <v>565490</v>
      </c>
      <c r="H1086" s="11"/>
      <c r="I1086" s="1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26.25" x14ac:dyDescent="0.4">
      <c r="A1087" s="6">
        <v>2</v>
      </c>
      <c r="B1087" s="13" t="s">
        <v>310</v>
      </c>
      <c r="C1087" s="19" t="s">
        <v>311</v>
      </c>
      <c r="D1087" s="13" t="s">
        <v>13</v>
      </c>
      <c r="E1087" s="13">
        <v>1.48</v>
      </c>
      <c r="F1087" s="14">
        <v>435000</v>
      </c>
      <c r="G1087" s="10">
        <f t="shared" si="72"/>
        <v>643800</v>
      </c>
      <c r="H1087" s="11"/>
      <c r="I1087" s="1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26.25" x14ac:dyDescent="0.4">
      <c r="A1088" s="6">
        <v>3</v>
      </c>
      <c r="B1088" s="15" t="s">
        <v>14</v>
      </c>
      <c r="C1088" s="11"/>
      <c r="D1088" s="11"/>
      <c r="E1088" s="11" t="s">
        <v>181</v>
      </c>
      <c r="F1088" s="11"/>
      <c r="G1088" s="16">
        <f t="shared" si="72"/>
        <v>0</v>
      </c>
      <c r="H1088" s="11"/>
      <c r="I1088" s="1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26.25" x14ac:dyDescent="0.4">
      <c r="A1089" s="29" t="s">
        <v>15</v>
      </c>
      <c r="B1089" s="26"/>
      <c r="C1089" s="26"/>
      <c r="D1089" s="26"/>
      <c r="E1089" s="26"/>
      <c r="F1089" s="26"/>
      <c r="G1089" s="27"/>
      <c r="H1089" s="17">
        <f>SUM(G1086:G1088)</f>
        <v>1209290</v>
      </c>
      <c r="I1089" s="1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26.25" x14ac:dyDescent="0.4">
      <c r="A1090" s="29" t="s">
        <v>16</v>
      </c>
      <c r="B1090" s="26"/>
      <c r="C1090" s="26"/>
      <c r="D1090" s="26"/>
      <c r="E1090" s="26"/>
      <c r="F1090" s="26"/>
      <c r="G1090" s="27"/>
      <c r="H1090" s="17">
        <f>MAX(0,H1089-648000)</f>
        <v>561290</v>
      </c>
      <c r="I1090" s="1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26.25" x14ac:dyDescent="0.4">
      <c r="A1091" s="25" t="s">
        <v>17</v>
      </c>
      <c r="B1091" s="26"/>
      <c r="C1091" s="26"/>
      <c r="D1091" s="26"/>
      <c r="E1091" s="26"/>
      <c r="F1091" s="26"/>
      <c r="G1091" s="27"/>
      <c r="H1091" s="18">
        <v>649000</v>
      </c>
      <c r="I1091" s="1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26.25" x14ac:dyDescent="0.4">
      <c r="A1092" s="28" t="s">
        <v>18</v>
      </c>
      <c r="B1092" s="26"/>
      <c r="C1092" s="26"/>
      <c r="D1092" s="26"/>
      <c r="E1092" s="26"/>
      <c r="F1092" s="26"/>
      <c r="G1092" s="26"/>
      <c r="H1092" s="27"/>
      <c r="I1092" s="1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5" x14ac:dyDescent="0.25">
      <c r="I1093" s="1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5" x14ac:dyDescent="0.25">
      <c r="I1094" s="1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8" spans="1:26" ht="15.75" customHeight="1" x14ac:dyDescent="0.4">
      <c r="A1098" s="28" t="s">
        <v>0</v>
      </c>
      <c r="B1098" s="26"/>
      <c r="C1098" s="26"/>
      <c r="D1098" s="26"/>
      <c r="E1098" s="26"/>
      <c r="F1098" s="26"/>
      <c r="G1098" s="26"/>
      <c r="H1098" s="27"/>
    </row>
    <row r="1099" spans="1:26" ht="15.75" customHeight="1" x14ac:dyDescent="0.4">
      <c r="A1099" s="28" t="s">
        <v>312</v>
      </c>
      <c r="B1099" s="26"/>
      <c r="C1099" s="26"/>
      <c r="D1099" s="26"/>
      <c r="E1099" s="26"/>
      <c r="F1099" s="26"/>
      <c r="G1099" s="26"/>
      <c r="H1099" s="27"/>
    </row>
    <row r="1100" spans="1:26" ht="29.25" customHeight="1" x14ac:dyDescent="0.3">
      <c r="A1100" s="3" t="s">
        <v>2</v>
      </c>
      <c r="B1100" s="3" t="s">
        <v>3</v>
      </c>
      <c r="C1100" s="3" t="s">
        <v>4</v>
      </c>
      <c r="D1100" s="3" t="s">
        <v>5</v>
      </c>
      <c r="E1100" s="3" t="s">
        <v>6</v>
      </c>
      <c r="F1100" s="4" t="s">
        <v>7</v>
      </c>
      <c r="G1100" s="3" t="s">
        <v>8</v>
      </c>
      <c r="H1100" s="5"/>
      <c r="I1100" s="1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26.25" x14ac:dyDescent="0.4">
      <c r="A1101" s="6">
        <v>1</v>
      </c>
      <c r="B1101" s="8" t="s">
        <v>243</v>
      </c>
      <c r="C1101" s="12" t="s">
        <v>313</v>
      </c>
      <c r="D1101" s="8" t="s">
        <v>11</v>
      </c>
      <c r="E1101" s="8">
        <v>2.9</v>
      </c>
      <c r="F1101" s="9">
        <v>293000</v>
      </c>
      <c r="G1101" s="10">
        <f t="shared" ref="G1101:G1103" si="73">IFERROR(E1101*F1101,0)</f>
        <v>849700</v>
      </c>
      <c r="H1101" s="11"/>
      <c r="I1101" s="1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26.25" x14ac:dyDescent="0.4">
      <c r="A1102" s="6">
        <v>2</v>
      </c>
      <c r="B1102" s="13" t="s">
        <v>22</v>
      </c>
      <c r="C1102" s="19" t="s">
        <v>314</v>
      </c>
      <c r="D1102" s="13" t="s">
        <v>13</v>
      </c>
      <c r="E1102" s="13">
        <v>0.62</v>
      </c>
      <c r="F1102" s="14">
        <v>435000</v>
      </c>
      <c r="G1102" s="10">
        <f t="shared" si="73"/>
        <v>269700</v>
      </c>
      <c r="H1102" s="11"/>
      <c r="I1102" s="1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26.25" x14ac:dyDescent="0.4">
      <c r="A1103" s="6">
        <v>3</v>
      </c>
      <c r="B1103" s="15" t="s">
        <v>14</v>
      </c>
      <c r="C1103" s="11"/>
      <c r="D1103" s="11"/>
      <c r="E1103" s="11"/>
      <c r="F1103" s="11"/>
      <c r="G1103" s="16">
        <f t="shared" si="73"/>
        <v>0</v>
      </c>
      <c r="H1103" s="11"/>
      <c r="I1103" s="1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26.25" x14ac:dyDescent="0.4">
      <c r="A1104" s="29" t="s">
        <v>15</v>
      </c>
      <c r="B1104" s="26"/>
      <c r="C1104" s="26"/>
      <c r="D1104" s="26"/>
      <c r="E1104" s="26"/>
      <c r="F1104" s="26"/>
      <c r="G1104" s="27"/>
      <c r="H1104" s="17">
        <f>SUM(G1101:G1103)</f>
        <v>1119400</v>
      </c>
      <c r="I1104" s="1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26.25" x14ac:dyDescent="0.4">
      <c r="A1105" s="29" t="s">
        <v>16</v>
      </c>
      <c r="B1105" s="26"/>
      <c r="C1105" s="26"/>
      <c r="D1105" s="26"/>
      <c r="E1105" s="26"/>
      <c r="F1105" s="26"/>
      <c r="G1105" s="27"/>
      <c r="H1105" s="17">
        <f>MAX(0,H1104-648000)</f>
        <v>471400</v>
      </c>
      <c r="I1105" s="1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26.25" x14ac:dyDescent="0.4">
      <c r="A1106" s="25" t="s">
        <v>17</v>
      </c>
      <c r="B1106" s="26"/>
      <c r="C1106" s="26"/>
      <c r="D1106" s="26"/>
      <c r="E1106" s="26"/>
      <c r="F1106" s="26"/>
      <c r="G1106" s="27"/>
      <c r="H1106" s="18">
        <v>649000</v>
      </c>
      <c r="I1106" s="1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26.25" x14ac:dyDescent="0.4">
      <c r="A1107" s="28" t="s">
        <v>18</v>
      </c>
      <c r="B1107" s="26"/>
      <c r="C1107" s="26"/>
      <c r="D1107" s="26"/>
      <c r="E1107" s="26"/>
      <c r="F1107" s="26"/>
      <c r="G1107" s="26"/>
      <c r="H1107" s="27"/>
      <c r="I1107" s="1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5" x14ac:dyDescent="0.25">
      <c r="I1108" s="1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5" x14ac:dyDescent="0.25">
      <c r="I1109" s="1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3" spans="1:26" ht="15.75" customHeight="1" x14ac:dyDescent="0.4">
      <c r="A1113" s="28" t="s">
        <v>0</v>
      </c>
      <c r="B1113" s="26"/>
      <c r="C1113" s="26"/>
      <c r="D1113" s="26"/>
      <c r="E1113" s="26"/>
      <c r="F1113" s="26"/>
      <c r="G1113" s="26"/>
      <c r="H1113" s="27"/>
    </row>
    <row r="1114" spans="1:26" ht="29.25" customHeight="1" x14ac:dyDescent="0.4">
      <c r="A1114" s="28" t="s">
        <v>315</v>
      </c>
      <c r="B1114" s="26"/>
      <c r="C1114" s="26"/>
      <c r="D1114" s="26"/>
      <c r="E1114" s="26"/>
      <c r="F1114" s="26"/>
      <c r="G1114" s="26"/>
      <c r="H1114" s="27"/>
      <c r="I1114" s="1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8.75" x14ac:dyDescent="0.3">
      <c r="A1115" s="3" t="s">
        <v>2</v>
      </c>
      <c r="B1115" s="3" t="s">
        <v>3</v>
      </c>
      <c r="C1115" s="3" t="s">
        <v>4</v>
      </c>
      <c r="D1115" s="3" t="s">
        <v>5</v>
      </c>
      <c r="E1115" s="3" t="s">
        <v>6</v>
      </c>
      <c r="F1115" s="4" t="s">
        <v>7</v>
      </c>
      <c r="G1115" s="3" t="s">
        <v>8</v>
      </c>
      <c r="H1115" s="5"/>
      <c r="I1115" s="1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26.25" x14ac:dyDescent="0.4">
      <c r="A1116" s="6">
        <v>1</v>
      </c>
      <c r="B1116" s="8" t="s">
        <v>316</v>
      </c>
      <c r="C1116" s="12" t="s">
        <v>203</v>
      </c>
      <c r="D1116" s="8" t="s">
        <v>11</v>
      </c>
      <c r="E1116" s="8">
        <v>3</v>
      </c>
      <c r="F1116" s="9">
        <v>293000</v>
      </c>
      <c r="G1116" s="10">
        <f t="shared" ref="G1116:G1118" si="74">IFERROR(E1116*F1116,0)</f>
        <v>879000</v>
      </c>
      <c r="H1116" s="11"/>
      <c r="I1116" s="1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26.25" x14ac:dyDescent="0.4">
      <c r="A1117" s="6">
        <v>2</v>
      </c>
      <c r="B1117" s="13" t="s">
        <v>12</v>
      </c>
      <c r="C1117" s="19" t="s">
        <v>317</v>
      </c>
      <c r="D1117" s="13" t="s">
        <v>13</v>
      </c>
      <c r="E1117" s="13">
        <v>0.57999999999999996</v>
      </c>
      <c r="F1117" s="14">
        <v>435000</v>
      </c>
      <c r="G1117" s="10">
        <f t="shared" si="74"/>
        <v>252299.99999999997</v>
      </c>
      <c r="H1117" s="11"/>
      <c r="I1117" s="1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26.25" x14ac:dyDescent="0.4">
      <c r="A1118" s="6">
        <v>3</v>
      </c>
      <c r="B1118" s="15" t="s">
        <v>14</v>
      </c>
      <c r="C1118" s="11"/>
      <c r="D1118" s="11"/>
      <c r="E1118" s="11"/>
      <c r="F1118" s="11"/>
      <c r="G1118" s="16">
        <f t="shared" si="74"/>
        <v>0</v>
      </c>
      <c r="H1118" s="11"/>
      <c r="I1118" s="1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26.25" x14ac:dyDescent="0.4">
      <c r="A1119" s="29" t="s">
        <v>15</v>
      </c>
      <c r="B1119" s="26"/>
      <c r="C1119" s="26"/>
      <c r="D1119" s="26"/>
      <c r="E1119" s="26"/>
      <c r="F1119" s="26"/>
      <c r="G1119" s="27"/>
      <c r="H1119" s="17">
        <f>SUM(G1116:G1118)</f>
        <v>1131300</v>
      </c>
      <c r="I1119" s="1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26.25" x14ac:dyDescent="0.4">
      <c r="A1120" s="29" t="s">
        <v>16</v>
      </c>
      <c r="B1120" s="26"/>
      <c r="C1120" s="26"/>
      <c r="D1120" s="26"/>
      <c r="E1120" s="26"/>
      <c r="F1120" s="26"/>
      <c r="G1120" s="27"/>
      <c r="H1120" s="17">
        <f>MAX(0,H1119-648000)</f>
        <v>483300</v>
      </c>
      <c r="I1120" s="1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26.25" x14ac:dyDescent="0.4">
      <c r="A1121" s="25" t="s">
        <v>17</v>
      </c>
      <c r="B1121" s="26"/>
      <c r="C1121" s="26"/>
      <c r="D1121" s="26"/>
      <c r="E1121" s="26"/>
      <c r="F1121" s="26"/>
      <c r="G1121" s="27"/>
      <c r="H1121" s="18">
        <v>649000</v>
      </c>
      <c r="I1121" s="1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26.25" x14ac:dyDescent="0.4">
      <c r="A1122" s="28" t="s">
        <v>18</v>
      </c>
      <c r="B1122" s="26"/>
      <c r="C1122" s="26"/>
      <c r="D1122" s="26"/>
      <c r="E1122" s="26"/>
      <c r="F1122" s="26"/>
      <c r="G1122" s="26"/>
      <c r="H1122" s="27"/>
      <c r="I1122" s="1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5" x14ac:dyDescent="0.25">
      <c r="I1123" s="1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7" spans="1:26" ht="15.75" customHeight="1" x14ac:dyDescent="0.4">
      <c r="A1127" s="28" t="s">
        <v>0</v>
      </c>
      <c r="B1127" s="26"/>
      <c r="C1127" s="26"/>
      <c r="D1127" s="26"/>
      <c r="E1127" s="26"/>
      <c r="F1127" s="26"/>
      <c r="G1127" s="26"/>
      <c r="H1127" s="27"/>
    </row>
    <row r="1128" spans="1:26" ht="15.75" customHeight="1" x14ac:dyDescent="0.4">
      <c r="A1128" s="28" t="s">
        <v>318</v>
      </c>
      <c r="B1128" s="26"/>
      <c r="C1128" s="26"/>
      <c r="D1128" s="26"/>
      <c r="E1128" s="26"/>
      <c r="F1128" s="26"/>
      <c r="G1128" s="26"/>
      <c r="H1128" s="27"/>
    </row>
    <row r="1129" spans="1:26" ht="29.25" customHeight="1" x14ac:dyDescent="0.3">
      <c r="A1129" s="3" t="s">
        <v>2</v>
      </c>
      <c r="B1129" s="3" t="s">
        <v>3</v>
      </c>
      <c r="C1129" s="3" t="s">
        <v>4</v>
      </c>
      <c r="D1129" s="3" t="s">
        <v>5</v>
      </c>
      <c r="E1129" s="3" t="s">
        <v>6</v>
      </c>
      <c r="F1129" s="4" t="s">
        <v>7</v>
      </c>
      <c r="G1129" s="3" t="s">
        <v>8</v>
      </c>
      <c r="H1129" s="5"/>
      <c r="I1129" s="1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26.25" x14ac:dyDescent="0.4">
      <c r="A1130" s="6">
        <v>1</v>
      </c>
      <c r="B1130" s="8" t="s">
        <v>298</v>
      </c>
      <c r="C1130" s="12" t="s">
        <v>319</v>
      </c>
      <c r="D1130" s="8" t="s">
        <v>11</v>
      </c>
      <c r="E1130" s="8">
        <v>1.57</v>
      </c>
      <c r="F1130" s="9">
        <v>293000</v>
      </c>
      <c r="G1130" s="10">
        <f t="shared" ref="G1130:G1132" si="75">IFERROR(E1130*F1130,0)</f>
        <v>460010</v>
      </c>
      <c r="H1130" s="11"/>
      <c r="I1130" s="1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26.25" x14ac:dyDescent="0.4">
      <c r="A1131" s="6">
        <v>2</v>
      </c>
      <c r="B1131" s="13" t="s">
        <v>320</v>
      </c>
      <c r="C1131" s="19" t="s">
        <v>321</v>
      </c>
      <c r="D1131" s="13" t="s">
        <v>13</v>
      </c>
      <c r="E1131" s="13">
        <v>1.91</v>
      </c>
      <c r="F1131" s="14">
        <v>435000</v>
      </c>
      <c r="G1131" s="10">
        <f t="shared" si="75"/>
        <v>830850</v>
      </c>
      <c r="H1131" s="11"/>
      <c r="I1131" s="1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26.25" x14ac:dyDescent="0.4">
      <c r="A1132" s="6">
        <v>3</v>
      </c>
      <c r="B1132" s="15" t="s">
        <v>14</v>
      </c>
      <c r="C1132" s="11"/>
      <c r="D1132" s="11"/>
      <c r="E1132" s="11"/>
      <c r="F1132" s="11"/>
      <c r="G1132" s="16">
        <f t="shared" si="75"/>
        <v>0</v>
      </c>
      <c r="H1132" s="11"/>
      <c r="I1132" s="1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26.25" x14ac:dyDescent="0.4">
      <c r="A1133" s="29" t="s">
        <v>15</v>
      </c>
      <c r="B1133" s="26"/>
      <c r="C1133" s="26"/>
      <c r="D1133" s="26"/>
      <c r="E1133" s="26"/>
      <c r="F1133" s="26"/>
      <c r="G1133" s="27"/>
      <c r="H1133" s="17">
        <f>SUM(G1130:G1132)</f>
        <v>1290860</v>
      </c>
      <c r="I1133" s="1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26.25" x14ac:dyDescent="0.4">
      <c r="A1134" s="29" t="s">
        <v>16</v>
      </c>
      <c r="B1134" s="26"/>
      <c r="C1134" s="26"/>
      <c r="D1134" s="26"/>
      <c r="E1134" s="26"/>
      <c r="F1134" s="26"/>
      <c r="G1134" s="27"/>
      <c r="H1134" s="17">
        <f>MAX(0,H1133-648000)</f>
        <v>642860</v>
      </c>
      <c r="I1134" s="1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26.25" x14ac:dyDescent="0.4">
      <c r="A1135" s="25" t="s">
        <v>17</v>
      </c>
      <c r="B1135" s="26"/>
      <c r="C1135" s="26"/>
      <c r="D1135" s="26"/>
      <c r="E1135" s="26"/>
      <c r="F1135" s="26"/>
      <c r="G1135" s="27"/>
      <c r="H1135" s="18">
        <v>649000</v>
      </c>
      <c r="I1135" s="1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26.25" x14ac:dyDescent="0.4">
      <c r="A1136" s="28" t="s">
        <v>18</v>
      </c>
      <c r="B1136" s="26"/>
      <c r="C1136" s="26"/>
      <c r="D1136" s="26"/>
      <c r="E1136" s="26"/>
      <c r="F1136" s="26"/>
      <c r="G1136" s="26"/>
      <c r="H1136" s="27"/>
      <c r="I1136" s="1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5" x14ac:dyDescent="0.25">
      <c r="I1137" s="1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5" x14ac:dyDescent="0.25">
      <c r="I1138" s="1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42" spans="1:26" ht="15.75" customHeight="1" x14ac:dyDescent="0.4">
      <c r="A1142" s="28" t="s">
        <v>0</v>
      </c>
      <c r="B1142" s="26"/>
      <c r="C1142" s="26"/>
      <c r="D1142" s="26"/>
      <c r="E1142" s="26"/>
      <c r="F1142" s="26"/>
      <c r="G1142" s="26"/>
      <c r="H1142" s="27"/>
    </row>
    <row r="1143" spans="1:26" ht="15.75" customHeight="1" x14ac:dyDescent="0.4">
      <c r="A1143" s="28" t="s">
        <v>322</v>
      </c>
      <c r="B1143" s="26"/>
      <c r="C1143" s="26"/>
      <c r="D1143" s="26"/>
      <c r="E1143" s="26"/>
      <c r="F1143" s="26"/>
      <c r="G1143" s="26"/>
      <c r="H1143" s="27"/>
    </row>
    <row r="1144" spans="1:26" ht="15.75" customHeight="1" x14ac:dyDescent="0.3">
      <c r="A1144" s="3" t="s">
        <v>2</v>
      </c>
      <c r="B1144" s="3" t="s">
        <v>3</v>
      </c>
      <c r="C1144" s="3" t="s">
        <v>4</v>
      </c>
      <c r="D1144" s="3" t="s">
        <v>5</v>
      </c>
      <c r="E1144" s="3" t="s">
        <v>6</v>
      </c>
      <c r="F1144" s="4" t="s">
        <v>7</v>
      </c>
      <c r="G1144" s="3" t="s">
        <v>8</v>
      </c>
      <c r="H1144" s="5"/>
    </row>
    <row r="1145" spans="1:26" ht="29.25" customHeight="1" x14ac:dyDescent="0.4">
      <c r="A1145" s="6">
        <v>1</v>
      </c>
      <c r="B1145" s="8" t="s">
        <v>323</v>
      </c>
      <c r="C1145" s="12" t="s">
        <v>324</v>
      </c>
      <c r="D1145" s="8" t="s">
        <v>11</v>
      </c>
      <c r="E1145" s="8">
        <v>1.95</v>
      </c>
      <c r="F1145" s="9">
        <v>293000</v>
      </c>
      <c r="G1145" s="10">
        <f t="shared" ref="G1145:G1147" si="76">IFERROR(E1145*F1145,0)</f>
        <v>571350</v>
      </c>
      <c r="H1145" s="11"/>
      <c r="I1145" s="1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26.25" x14ac:dyDescent="0.4">
      <c r="A1146" s="6">
        <v>2</v>
      </c>
      <c r="B1146" s="13" t="s">
        <v>98</v>
      </c>
      <c r="C1146" s="19" t="s">
        <v>325</v>
      </c>
      <c r="D1146" s="13" t="s">
        <v>13</v>
      </c>
      <c r="E1146" s="13">
        <v>1.46</v>
      </c>
      <c r="F1146" s="14">
        <v>435000</v>
      </c>
      <c r="G1146" s="10">
        <f t="shared" si="76"/>
        <v>635100</v>
      </c>
      <c r="H1146" s="11"/>
      <c r="I1146" s="1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26.25" x14ac:dyDescent="0.4">
      <c r="A1147" s="6">
        <v>3</v>
      </c>
      <c r="B1147" s="15" t="s">
        <v>14</v>
      </c>
      <c r="C1147" s="11"/>
      <c r="D1147" s="11"/>
      <c r="E1147" s="11"/>
      <c r="F1147" s="11"/>
      <c r="G1147" s="16">
        <f t="shared" si="76"/>
        <v>0</v>
      </c>
      <c r="H1147" s="11"/>
      <c r="I1147" s="1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26.25" x14ac:dyDescent="0.4">
      <c r="A1148" s="29" t="s">
        <v>15</v>
      </c>
      <c r="B1148" s="26"/>
      <c r="C1148" s="26"/>
      <c r="D1148" s="26"/>
      <c r="E1148" s="26"/>
      <c r="F1148" s="26"/>
      <c r="G1148" s="27"/>
      <c r="H1148" s="17">
        <f>SUM(G1145:G1147)</f>
        <v>1206450</v>
      </c>
      <c r="I1148" s="1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26.25" x14ac:dyDescent="0.4">
      <c r="A1149" s="29" t="s">
        <v>16</v>
      </c>
      <c r="B1149" s="26"/>
      <c r="C1149" s="26"/>
      <c r="D1149" s="26"/>
      <c r="E1149" s="26"/>
      <c r="F1149" s="26"/>
      <c r="G1149" s="27"/>
      <c r="H1149" s="17">
        <f>MAX(0,H1148-648000)</f>
        <v>558450</v>
      </c>
      <c r="I1149" s="1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26.25" x14ac:dyDescent="0.4">
      <c r="A1150" s="25" t="s">
        <v>17</v>
      </c>
      <c r="B1150" s="26"/>
      <c r="C1150" s="26"/>
      <c r="D1150" s="26"/>
      <c r="E1150" s="26"/>
      <c r="F1150" s="26"/>
      <c r="G1150" s="27"/>
      <c r="H1150" s="18">
        <v>649000</v>
      </c>
      <c r="I1150" s="1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26.25" x14ac:dyDescent="0.4">
      <c r="A1151" s="28" t="s">
        <v>18</v>
      </c>
      <c r="B1151" s="26"/>
      <c r="C1151" s="26"/>
      <c r="D1151" s="26"/>
      <c r="E1151" s="26"/>
      <c r="F1151" s="26"/>
      <c r="G1151" s="26"/>
      <c r="H1151" s="27"/>
      <c r="I1151" s="1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5" x14ac:dyDescent="0.25">
      <c r="I1152" s="1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5" x14ac:dyDescent="0.25">
      <c r="I1153" s="1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5" x14ac:dyDescent="0.25">
      <c r="I1154" s="1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8" spans="1:26" ht="15.75" customHeight="1" x14ac:dyDescent="0.4">
      <c r="A1158" s="28" t="s">
        <v>0</v>
      </c>
      <c r="B1158" s="26"/>
      <c r="C1158" s="26"/>
      <c r="D1158" s="26"/>
      <c r="E1158" s="26"/>
      <c r="F1158" s="26"/>
      <c r="G1158" s="26"/>
      <c r="H1158" s="27"/>
    </row>
    <row r="1159" spans="1:26" ht="29.25" customHeight="1" x14ac:dyDescent="0.4">
      <c r="A1159" s="28" t="s">
        <v>326</v>
      </c>
      <c r="B1159" s="26"/>
      <c r="C1159" s="26"/>
      <c r="D1159" s="26"/>
      <c r="E1159" s="26"/>
      <c r="F1159" s="26"/>
      <c r="G1159" s="26"/>
      <c r="H1159" s="27"/>
      <c r="I1159" s="1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8.75" x14ac:dyDescent="0.3">
      <c r="A1160" s="3" t="s">
        <v>2</v>
      </c>
      <c r="B1160" s="3" t="s">
        <v>3</v>
      </c>
      <c r="C1160" s="3" t="s">
        <v>4</v>
      </c>
      <c r="D1160" s="3" t="s">
        <v>5</v>
      </c>
      <c r="E1160" s="3" t="s">
        <v>6</v>
      </c>
      <c r="F1160" s="4" t="s">
        <v>7</v>
      </c>
      <c r="G1160" s="3" t="s">
        <v>8</v>
      </c>
      <c r="H1160" s="5"/>
      <c r="I1160" s="1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26.25" x14ac:dyDescent="0.4">
      <c r="A1161" s="6">
        <v>1</v>
      </c>
      <c r="B1161" s="8" t="s">
        <v>327</v>
      </c>
      <c r="C1161" s="12" t="s">
        <v>328</v>
      </c>
      <c r="D1161" s="8" t="s">
        <v>11</v>
      </c>
      <c r="E1161" s="8">
        <v>2</v>
      </c>
      <c r="F1161" s="9">
        <v>293000</v>
      </c>
      <c r="G1161" s="10">
        <f t="shared" ref="G1161:G1163" si="77">IFERROR(E1161*F1161,0)</f>
        <v>586000</v>
      </c>
      <c r="H1161" s="11"/>
      <c r="I1161" s="1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26.25" x14ac:dyDescent="0.4">
      <c r="A1162" s="6">
        <v>2</v>
      </c>
      <c r="B1162" s="13" t="s">
        <v>25</v>
      </c>
      <c r="C1162" s="19" t="s">
        <v>329</v>
      </c>
      <c r="D1162" s="13" t="s">
        <v>13</v>
      </c>
      <c r="E1162" s="13">
        <v>1.5</v>
      </c>
      <c r="F1162" s="14">
        <v>435000</v>
      </c>
      <c r="G1162" s="10">
        <f t="shared" si="77"/>
        <v>652500</v>
      </c>
      <c r="H1162" s="11"/>
      <c r="I1162" s="1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26.25" x14ac:dyDescent="0.4">
      <c r="A1163" s="6">
        <v>3</v>
      </c>
      <c r="B1163" s="15" t="s">
        <v>14</v>
      </c>
      <c r="C1163" s="11"/>
      <c r="D1163" s="11"/>
      <c r="E1163" s="11"/>
      <c r="F1163" s="11"/>
      <c r="G1163" s="16">
        <f t="shared" si="77"/>
        <v>0</v>
      </c>
      <c r="H1163" s="11"/>
      <c r="I1163" s="1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26.25" x14ac:dyDescent="0.4">
      <c r="A1164" s="29" t="s">
        <v>15</v>
      </c>
      <c r="B1164" s="26"/>
      <c r="C1164" s="26"/>
      <c r="D1164" s="26"/>
      <c r="E1164" s="26"/>
      <c r="F1164" s="26"/>
      <c r="G1164" s="27"/>
      <c r="H1164" s="17">
        <f>SUM(G1161:G1163)</f>
        <v>1238500</v>
      </c>
      <c r="I1164" s="1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26.25" x14ac:dyDescent="0.4">
      <c r="A1165" s="29" t="s">
        <v>16</v>
      </c>
      <c r="B1165" s="26"/>
      <c r="C1165" s="26"/>
      <c r="D1165" s="26"/>
      <c r="E1165" s="26"/>
      <c r="F1165" s="26"/>
      <c r="G1165" s="27"/>
      <c r="H1165" s="17">
        <f>MAX(0,H1164-648000)</f>
        <v>590500</v>
      </c>
      <c r="I1165" s="1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26.25" x14ac:dyDescent="0.4">
      <c r="A1166" s="25" t="s">
        <v>17</v>
      </c>
      <c r="B1166" s="26"/>
      <c r="C1166" s="26"/>
      <c r="D1166" s="26"/>
      <c r="E1166" s="26"/>
      <c r="F1166" s="26"/>
      <c r="G1166" s="27"/>
      <c r="H1166" s="18">
        <v>649000</v>
      </c>
      <c r="I1166" s="1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26.25" x14ac:dyDescent="0.4">
      <c r="A1167" s="28" t="s">
        <v>18</v>
      </c>
      <c r="B1167" s="26"/>
      <c r="C1167" s="26"/>
      <c r="D1167" s="26"/>
      <c r="E1167" s="26"/>
      <c r="F1167" s="26"/>
      <c r="G1167" s="26"/>
      <c r="H1167" s="27"/>
      <c r="I1167" s="1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5" x14ac:dyDescent="0.25">
      <c r="I1168" s="1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72" spans="1:26" ht="15.75" customHeight="1" x14ac:dyDescent="0.4">
      <c r="A1172" s="28" t="s">
        <v>0</v>
      </c>
      <c r="B1172" s="26"/>
      <c r="C1172" s="26"/>
      <c r="D1172" s="26"/>
      <c r="E1172" s="26"/>
      <c r="F1172" s="26"/>
      <c r="G1172" s="26"/>
      <c r="H1172" s="27"/>
    </row>
    <row r="1173" spans="1:26" ht="15.75" customHeight="1" x14ac:dyDescent="0.4">
      <c r="A1173" s="28" t="s">
        <v>330</v>
      </c>
      <c r="B1173" s="26"/>
      <c r="C1173" s="26"/>
      <c r="D1173" s="26"/>
      <c r="E1173" s="26"/>
      <c r="F1173" s="26"/>
      <c r="G1173" s="26"/>
      <c r="H1173" s="27"/>
    </row>
    <row r="1174" spans="1:26" ht="29.25" customHeight="1" x14ac:dyDescent="0.3">
      <c r="A1174" s="3" t="s">
        <v>2</v>
      </c>
      <c r="B1174" s="3" t="s">
        <v>3</v>
      </c>
      <c r="C1174" s="3" t="s">
        <v>4</v>
      </c>
      <c r="D1174" s="3" t="s">
        <v>5</v>
      </c>
      <c r="E1174" s="3" t="s">
        <v>6</v>
      </c>
      <c r="F1174" s="4" t="s">
        <v>7</v>
      </c>
      <c r="G1174" s="3" t="s">
        <v>8</v>
      </c>
      <c r="H1174" s="5"/>
      <c r="I1174" s="1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26.25" x14ac:dyDescent="0.4">
      <c r="A1175" s="6">
        <v>1</v>
      </c>
      <c r="B1175" s="8" t="s">
        <v>331</v>
      </c>
      <c r="C1175" s="12" t="s">
        <v>332</v>
      </c>
      <c r="D1175" s="8" t="s">
        <v>11</v>
      </c>
      <c r="E1175" s="8">
        <v>1.48</v>
      </c>
      <c r="F1175" s="9">
        <v>293000</v>
      </c>
      <c r="G1175" s="10">
        <f t="shared" ref="G1175:G1177" si="78">IFERROR(E1175*F1175,0)</f>
        <v>433640</v>
      </c>
      <c r="H1175" s="11"/>
      <c r="I1175" s="1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26.25" x14ac:dyDescent="0.4">
      <c r="A1176" s="6">
        <v>2</v>
      </c>
      <c r="B1176" s="13" t="s">
        <v>118</v>
      </c>
      <c r="C1176" s="19" t="s">
        <v>333</v>
      </c>
      <c r="D1176" s="13" t="s">
        <v>13</v>
      </c>
      <c r="E1176" s="13">
        <v>2.0499999999999998</v>
      </c>
      <c r="F1176" s="14">
        <v>435000</v>
      </c>
      <c r="G1176" s="10">
        <f t="shared" si="78"/>
        <v>891749.99999999988</v>
      </c>
      <c r="H1176" s="11"/>
      <c r="I1176" s="1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26.25" x14ac:dyDescent="0.4">
      <c r="A1177" s="6">
        <v>3</v>
      </c>
      <c r="B1177" s="15" t="s">
        <v>14</v>
      </c>
      <c r="C1177" s="11"/>
      <c r="D1177" s="11"/>
      <c r="E1177" s="11"/>
      <c r="F1177" s="11"/>
      <c r="G1177" s="16">
        <f t="shared" si="78"/>
        <v>0</v>
      </c>
      <c r="H1177" s="11"/>
      <c r="I1177" s="1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26.25" x14ac:dyDescent="0.4">
      <c r="A1178" s="29" t="s">
        <v>15</v>
      </c>
      <c r="B1178" s="26"/>
      <c r="C1178" s="26"/>
      <c r="D1178" s="26"/>
      <c r="E1178" s="26"/>
      <c r="F1178" s="26"/>
      <c r="G1178" s="27"/>
      <c r="H1178" s="17">
        <f>SUM(G1175:G1177)</f>
        <v>1325390</v>
      </c>
      <c r="I1178" s="1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26.25" x14ac:dyDescent="0.4">
      <c r="A1179" s="29" t="s">
        <v>16</v>
      </c>
      <c r="B1179" s="26"/>
      <c r="C1179" s="26"/>
      <c r="D1179" s="26"/>
      <c r="E1179" s="26"/>
      <c r="F1179" s="26"/>
      <c r="G1179" s="27"/>
      <c r="H1179" s="17">
        <f>MAX(0,H1178-648000)</f>
        <v>677390</v>
      </c>
      <c r="I1179" s="1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26.25" x14ac:dyDescent="0.4">
      <c r="A1180" s="25" t="s">
        <v>17</v>
      </c>
      <c r="B1180" s="26"/>
      <c r="C1180" s="26"/>
      <c r="D1180" s="26"/>
      <c r="E1180" s="26"/>
      <c r="F1180" s="26"/>
      <c r="G1180" s="27"/>
      <c r="H1180" s="18">
        <v>649000</v>
      </c>
      <c r="I1180" s="1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26.25" x14ac:dyDescent="0.4">
      <c r="A1181" s="28" t="s">
        <v>18</v>
      </c>
      <c r="B1181" s="26"/>
      <c r="C1181" s="26"/>
      <c r="D1181" s="26"/>
      <c r="E1181" s="26"/>
      <c r="F1181" s="26"/>
      <c r="G1181" s="26"/>
      <c r="H1181" s="27"/>
      <c r="I1181" s="1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5" x14ac:dyDescent="0.25">
      <c r="I1182" s="1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5" x14ac:dyDescent="0.25">
      <c r="I1183" s="1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7" spans="1:26" ht="15.75" customHeight="1" x14ac:dyDescent="0.4">
      <c r="A1187" s="28" t="s">
        <v>0</v>
      </c>
      <c r="B1187" s="26"/>
      <c r="C1187" s="26"/>
      <c r="D1187" s="26"/>
      <c r="E1187" s="26"/>
      <c r="F1187" s="26"/>
      <c r="G1187" s="26"/>
      <c r="H1187" s="27"/>
    </row>
    <row r="1188" spans="1:26" ht="15.75" customHeight="1" x14ac:dyDescent="0.4">
      <c r="A1188" s="28" t="s">
        <v>334</v>
      </c>
      <c r="B1188" s="26"/>
      <c r="C1188" s="26"/>
      <c r="D1188" s="26"/>
      <c r="E1188" s="26"/>
      <c r="F1188" s="26"/>
      <c r="G1188" s="26"/>
      <c r="H1188" s="27"/>
    </row>
    <row r="1189" spans="1:26" ht="15.75" customHeight="1" x14ac:dyDescent="0.3">
      <c r="A1189" s="3" t="s">
        <v>2</v>
      </c>
      <c r="B1189" s="3" t="s">
        <v>3</v>
      </c>
      <c r="C1189" s="3" t="s">
        <v>4</v>
      </c>
      <c r="D1189" s="3" t="s">
        <v>5</v>
      </c>
      <c r="E1189" s="3" t="s">
        <v>6</v>
      </c>
      <c r="F1189" s="4" t="s">
        <v>7</v>
      </c>
      <c r="G1189" s="3" t="s">
        <v>8</v>
      </c>
      <c r="H1189" s="5"/>
    </row>
    <row r="1190" spans="1:26" ht="15.75" customHeight="1" x14ac:dyDescent="0.4">
      <c r="A1190" s="6">
        <v>1</v>
      </c>
      <c r="B1190" s="8" t="s">
        <v>12</v>
      </c>
      <c r="C1190" s="12" t="s">
        <v>335</v>
      </c>
      <c r="D1190" s="8" t="s">
        <v>11</v>
      </c>
      <c r="E1190" s="8">
        <v>1.92</v>
      </c>
      <c r="F1190" s="9">
        <v>293000</v>
      </c>
      <c r="G1190" s="10">
        <f t="shared" ref="G1190:G1192" si="79">IFERROR(E1190*F1190,0)</f>
        <v>562560</v>
      </c>
      <c r="H1190" s="11"/>
    </row>
    <row r="1191" spans="1:26" ht="29.25" customHeight="1" x14ac:dyDescent="0.4">
      <c r="A1191" s="6">
        <v>2</v>
      </c>
      <c r="B1191" s="13" t="s">
        <v>144</v>
      </c>
      <c r="C1191" s="19" t="s">
        <v>336</v>
      </c>
      <c r="D1191" s="13" t="s">
        <v>13</v>
      </c>
      <c r="E1191" s="13">
        <v>1.43</v>
      </c>
      <c r="F1191" s="14">
        <v>435000</v>
      </c>
      <c r="G1191" s="10">
        <f t="shared" si="79"/>
        <v>622050</v>
      </c>
      <c r="H1191" s="11"/>
      <c r="I1191" s="1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26.25" x14ac:dyDescent="0.4">
      <c r="A1192" s="6">
        <v>3</v>
      </c>
      <c r="B1192" s="15" t="s">
        <v>14</v>
      </c>
      <c r="C1192" s="11"/>
      <c r="D1192" s="11"/>
      <c r="E1192" s="11"/>
      <c r="F1192" s="11"/>
      <c r="G1192" s="16">
        <f t="shared" si="79"/>
        <v>0</v>
      </c>
      <c r="H1192" s="11"/>
      <c r="I1192" s="1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26.25" x14ac:dyDescent="0.4">
      <c r="A1193" s="29" t="s">
        <v>15</v>
      </c>
      <c r="B1193" s="26"/>
      <c r="C1193" s="26"/>
      <c r="D1193" s="26"/>
      <c r="E1193" s="26"/>
      <c r="F1193" s="26"/>
      <c r="G1193" s="27"/>
      <c r="H1193" s="17">
        <f>SUM(G1190:G1192)</f>
        <v>1184610</v>
      </c>
      <c r="I1193" s="1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26.25" x14ac:dyDescent="0.4">
      <c r="A1194" s="29" t="s">
        <v>16</v>
      </c>
      <c r="B1194" s="26"/>
      <c r="C1194" s="26"/>
      <c r="D1194" s="26"/>
      <c r="E1194" s="26"/>
      <c r="F1194" s="26"/>
      <c r="G1194" s="27"/>
      <c r="H1194" s="17">
        <f>MAX(0,H1193-648000)</f>
        <v>536610</v>
      </c>
      <c r="I1194" s="1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26.25" x14ac:dyDescent="0.4">
      <c r="A1195" s="25" t="s">
        <v>17</v>
      </c>
      <c r="B1195" s="26"/>
      <c r="C1195" s="26"/>
      <c r="D1195" s="26"/>
      <c r="E1195" s="26"/>
      <c r="F1195" s="26"/>
      <c r="G1195" s="27"/>
      <c r="H1195" s="18">
        <v>649000</v>
      </c>
      <c r="I1195" s="1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26.25" x14ac:dyDescent="0.4">
      <c r="A1196" s="28" t="s">
        <v>18</v>
      </c>
      <c r="B1196" s="26"/>
      <c r="C1196" s="26"/>
      <c r="D1196" s="26"/>
      <c r="E1196" s="26"/>
      <c r="F1196" s="26"/>
      <c r="G1196" s="26"/>
      <c r="H1196" s="27"/>
      <c r="I1196" s="1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5" x14ac:dyDescent="0.25">
      <c r="I1197" s="1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5" x14ac:dyDescent="0.25">
      <c r="I1198" s="1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5" x14ac:dyDescent="0.25">
      <c r="I1199" s="1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5" x14ac:dyDescent="0.25">
      <c r="I1200" s="1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4" spans="1:26" ht="15.75" customHeight="1" x14ac:dyDescent="0.4">
      <c r="A1204" s="28" t="s">
        <v>0</v>
      </c>
      <c r="B1204" s="26"/>
      <c r="C1204" s="26"/>
      <c r="D1204" s="26"/>
      <c r="E1204" s="26"/>
      <c r="F1204" s="26"/>
      <c r="G1204" s="26"/>
      <c r="H1204" s="27"/>
    </row>
    <row r="1205" spans="1:26" ht="15.75" customHeight="1" x14ac:dyDescent="0.4">
      <c r="A1205" s="28" t="s">
        <v>337</v>
      </c>
      <c r="B1205" s="26"/>
      <c r="C1205" s="26"/>
      <c r="D1205" s="26"/>
      <c r="E1205" s="26"/>
      <c r="F1205" s="26"/>
      <c r="G1205" s="26"/>
      <c r="H1205" s="27"/>
    </row>
    <row r="1206" spans="1:26" ht="29.25" customHeight="1" x14ac:dyDescent="0.3">
      <c r="A1206" s="3" t="s">
        <v>2</v>
      </c>
      <c r="B1206" s="3" t="s">
        <v>3</v>
      </c>
      <c r="C1206" s="3" t="s">
        <v>4</v>
      </c>
      <c r="D1206" s="3" t="s">
        <v>5</v>
      </c>
      <c r="E1206" s="3" t="s">
        <v>6</v>
      </c>
      <c r="F1206" s="4" t="s">
        <v>7</v>
      </c>
      <c r="G1206" s="3" t="s">
        <v>8</v>
      </c>
      <c r="H1206" s="5"/>
      <c r="I1206" s="1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26.25" x14ac:dyDescent="0.4">
      <c r="A1207" s="6">
        <v>1</v>
      </c>
      <c r="B1207" s="8" t="s">
        <v>41</v>
      </c>
      <c r="C1207" s="12" t="s">
        <v>338</v>
      </c>
      <c r="D1207" s="8" t="s">
        <v>11</v>
      </c>
      <c r="E1207" s="8">
        <v>3</v>
      </c>
      <c r="F1207" s="9">
        <v>293000</v>
      </c>
      <c r="G1207" s="10">
        <f t="shared" ref="G1207:G1209" si="80">IFERROR(E1207*F1207,0)</f>
        <v>879000</v>
      </c>
      <c r="H1207" s="11"/>
      <c r="I1207" s="1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26.25" x14ac:dyDescent="0.4">
      <c r="A1208" s="6">
        <v>2</v>
      </c>
      <c r="B1208" s="13" t="s">
        <v>212</v>
      </c>
      <c r="C1208" s="19" t="s">
        <v>166</v>
      </c>
      <c r="D1208" s="13" t="s">
        <v>13</v>
      </c>
      <c r="E1208" s="13">
        <v>0.6</v>
      </c>
      <c r="F1208" s="14">
        <v>435000</v>
      </c>
      <c r="G1208" s="10">
        <f t="shared" si="80"/>
        <v>261000</v>
      </c>
      <c r="H1208" s="11"/>
      <c r="I1208" s="1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26.25" x14ac:dyDescent="0.4">
      <c r="A1209" s="6">
        <v>3</v>
      </c>
      <c r="B1209" s="15" t="s">
        <v>14</v>
      </c>
      <c r="C1209" s="11"/>
      <c r="D1209" s="11"/>
      <c r="E1209" s="11"/>
      <c r="F1209" s="11"/>
      <c r="G1209" s="16">
        <f t="shared" si="80"/>
        <v>0</v>
      </c>
      <c r="H1209" s="11"/>
      <c r="I1209" s="1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26.25" x14ac:dyDescent="0.4">
      <c r="A1210" s="29" t="s">
        <v>15</v>
      </c>
      <c r="B1210" s="26"/>
      <c r="C1210" s="26"/>
      <c r="D1210" s="26"/>
      <c r="E1210" s="26"/>
      <c r="F1210" s="26"/>
      <c r="G1210" s="27"/>
      <c r="H1210" s="17">
        <f>SUM(G1207:G1209)</f>
        <v>1140000</v>
      </c>
      <c r="I1210" s="1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26.25" x14ac:dyDescent="0.4">
      <c r="A1211" s="29" t="s">
        <v>16</v>
      </c>
      <c r="B1211" s="26"/>
      <c r="C1211" s="26"/>
      <c r="D1211" s="26"/>
      <c r="E1211" s="26"/>
      <c r="F1211" s="26"/>
      <c r="G1211" s="27"/>
      <c r="H1211" s="17">
        <f>MAX(0,H1210-648000)</f>
        <v>492000</v>
      </c>
      <c r="I1211" s="1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26.25" x14ac:dyDescent="0.4">
      <c r="A1212" s="25" t="s">
        <v>17</v>
      </c>
      <c r="B1212" s="26"/>
      <c r="C1212" s="26"/>
      <c r="D1212" s="26"/>
      <c r="E1212" s="26"/>
      <c r="F1212" s="26"/>
      <c r="G1212" s="27"/>
      <c r="H1212" s="18">
        <v>649000</v>
      </c>
      <c r="I1212" s="1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26.25" x14ac:dyDescent="0.4">
      <c r="A1213" s="28" t="s">
        <v>18</v>
      </c>
      <c r="B1213" s="26"/>
      <c r="C1213" s="26"/>
      <c r="D1213" s="26"/>
      <c r="E1213" s="26"/>
      <c r="F1213" s="26"/>
      <c r="G1213" s="26"/>
      <c r="H1213" s="27"/>
      <c r="I1213" s="1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5" x14ac:dyDescent="0.25">
      <c r="I1214" s="1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5" x14ac:dyDescent="0.25">
      <c r="I1215" s="1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9" spans="1:26" ht="15.75" customHeight="1" x14ac:dyDescent="0.4">
      <c r="A1219" s="28" t="s">
        <v>0</v>
      </c>
      <c r="B1219" s="26"/>
      <c r="C1219" s="26"/>
      <c r="D1219" s="26"/>
      <c r="E1219" s="26"/>
      <c r="F1219" s="26"/>
      <c r="G1219" s="26"/>
      <c r="H1219" s="27"/>
    </row>
    <row r="1220" spans="1:26" ht="15.75" customHeight="1" x14ac:dyDescent="0.4">
      <c r="A1220" s="28" t="s">
        <v>339</v>
      </c>
      <c r="B1220" s="26"/>
      <c r="C1220" s="26"/>
      <c r="D1220" s="26"/>
      <c r="E1220" s="26"/>
      <c r="F1220" s="26"/>
      <c r="G1220" s="26"/>
      <c r="H1220" s="27"/>
    </row>
    <row r="1221" spans="1:26" ht="15.75" customHeight="1" x14ac:dyDescent="0.3">
      <c r="A1221" s="3" t="s">
        <v>2</v>
      </c>
      <c r="B1221" s="3" t="s">
        <v>3</v>
      </c>
      <c r="C1221" s="3" t="s">
        <v>4</v>
      </c>
      <c r="D1221" s="3" t="s">
        <v>5</v>
      </c>
      <c r="E1221" s="3" t="s">
        <v>6</v>
      </c>
      <c r="F1221" s="4" t="s">
        <v>7</v>
      </c>
      <c r="G1221" s="3" t="s">
        <v>8</v>
      </c>
      <c r="H1221" s="5"/>
    </row>
    <row r="1222" spans="1:26" ht="29.25" customHeight="1" x14ac:dyDescent="0.4">
      <c r="A1222" s="6">
        <v>1</v>
      </c>
      <c r="B1222" s="8" t="s">
        <v>197</v>
      </c>
      <c r="C1222" s="12" t="s">
        <v>340</v>
      </c>
      <c r="D1222" s="8" t="s">
        <v>11</v>
      </c>
      <c r="E1222" s="8">
        <v>1.76</v>
      </c>
      <c r="F1222" s="9">
        <v>293000</v>
      </c>
      <c r="G1222" s="10">
        <f t="shared" ref="G1222:G1224" si="81">IFERROR(E1222*F1222,0)</f>
        <v>515680</v>
      </c>
      <c r="H1222" s="11"/>
      <c r="I1222" s="1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26.25" x14ac:dyDescent="0.4">
      <c r="A1223" s="6">
        <v>2</v>
      </c>
      <c r="B1223" s="13" t="s">
        <v>22</v>
      </c>
      <c r="C1223" s="19" t="s">
        <v>341</v>
      </c>
      <c r="D1223" s="13" t="s">
        <v>13</v>
      </c>
      <c r="E1223" s="13">
        <v>1.62</v>
      </c>
      <c r="F1223" s="14">
        <v>435000</v>
      </c>
      <c r="G1223" s="10">
        <f t="shared" si="81"/>
        <v>704700</v>
      </c>
      <c r="H1223" s="11"/>
      <c r="I1223" s="1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26.25" x14ac:dyDescent="0.4">
      <c r="A1224" s="6">
        <v>3</v>
      </c>
      <c r="B1224" s="15" t="s">
        <v>14</v>
      </c>
      <c r="C1224" s="11"/>
      <c r="D1224" s="11"/>
      <c r="E1224" s="11"/>
      <c r="F1224" s="11"/>
      <c r="G1224" s="16">
        <f t="shared" si="81"/>
        <v>0</v>
      </c>
      <c r="H1224" s="11"/>
      <c r="I1224" s="1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26.25" x14ac:dyDescent="0.4">
      <c r="A1225" s="29" t="s">
        <v>15</v>
      </c>
      <c r="B1225" s="26"/>
      <c r="C1225" s="26"/>
      <c r="D1225" s="26"/>
      <c r="E1225" s="26"/>
      <c r="F1225" s="26"/>
      <c r="G1225" s="27"/>
      <c r="H1225" s="17">
        <f>SUM(G1222:G1224)</f>
        <v>1220380</v>
      </c>
      <c r="I1225" s="1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26.25" x14ac:dyDescent="0.4">
      <c r="A1226" s="29" t="s">
        <v>16</v>
      </c>
      <c r="B1226" s="26"/>
      <c r="C1226" s="26"/>
      <c r="D1226" s="26"/>
      <c r="E1226" s="26"/>
      <c r="F1226" s="26"/>
      <c r="G1226" s="27"/>
      <c r="H1226" s="17">
        <f>MAX(0,H1225-648000)</f>
        <v>572380</v>
      </c>
      <c r="I1226" s="1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26.25" x14ac:dyDescent="0.4">
      <c r="A1227" s="25" t="s">
        <v>17</v>
      </c>
      <c r="B1227" s="26"/>
      <c r="C1227" s="26"/>
      <c r="D1227" s="26"/>
      <c r="E1227" s="26"/>
      <c r="F1227" s="26"/>
      <c r="G1227" s="27"/>
      <c r="H1227" s="18">
        <v>649000</v>
      </c>
      <c r="I1227" s="1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26.25" x14ac:dyDescent="0.4">
      <c r="A1228" s="28" t="s">
        <v>18</v>
      </c>
      <c r="B1228" s="26"/>
      <c r="C1228" s="26"/>
      <c r="D1228" s="26"/>
      <c r="E1228" s="26"/>
      <c r="F1228" s="26"/>
      <c r="G1228" s="26"/>
      <c r="H1228" s="27"/>
      <c r="I1228" s="1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5" x14ac:dyDescent="0.25">
      <c r="I1229" s="1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5" x14ac:dyDescent="0.25">
      <c r="I1230" s="1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5" x14ac:dyDescent="0.25">
      <c r="I1231" s="1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5" spans="1:26" ht="15.75" customHeight="1" x14ac:dyDescent="0.4">
      <c r="A1235" s="28" t="s">
        <v>0</v>
      </c>
      <c r="B1235" s="26"/>
      <c r="C1235" s="26"/>
      <c r="D1235" s="26"/>
      <c r="E1235" s="26"/>
      <c r="F1235" s="26"/>
      <c r="G1235" s="26"/>
      <c r="H1235" s="27"/>
    </row>
    <row r="1236" spans="1:26" ht="15.75" customHeight="1" x14ac:dyDescent="0.4">
      <c r="A1236" s="28" t="s">
        <v>342</v>
      </c>
      <c r="B1236" s="26"/>
      <c r="C1236" s="26"/>
      <c r="D1236" s="26"/>
      <c r="E1236" s="26"/>
      <c r="F1236" s="26"/>
      <c r="G1236" s="26"/>
      <c r="H1236" s="27"/>
    </row>
    <row r="1237" spans="1:26" ht="15.75" customHeight="1" x14ac:dyDescent="0.3">
      <c r="A1237" s="3" t="s">
        <v>2</v>
      </c>
      <c r="B1237" s="3" t="s">
        <v>3</v>
      </c>
      <c r="C1237" s="3" t="s">
        <v>4</v>
      </c>
      <c r="D1237" s="3" t="s">
        <v>5</v>
      </c>
      <c r="E1237" s="3" t="s">
        <v>6</v>
      </c>
      <c r="F1237" s="4" t="s">
        <v>7</v>
      </c>
      <c r="G1237" s="3" t="s">
        <v>8</v>
      </c>
      <c r="H1237" s="5"/>
    </row>
    <row r="1238" spans="1:26" ht="15.75" customHeight="1" x14ac:dyDescent="0.4">
      <c r="A1238" s="6">
        <v>1</v>
      </c>
      <c r="B1238" s="8" t="s">
        <v>197</v>
      </c>
      <c r="C1238" s="12" t="s">
        <v>115</v>
      </c>
      <c r="D1238" s="8" t="s">
        <v>11</v>
      </c>
      <c r="E1238" s="8">
        <v>2.2000000000000002</v>
      </c>
      <c r="F1238" s="9">
        <v>293000</v>
      </c>
      <c r="G1238" s="10">
        <f t="shared" ref="G1238:G1240" si="82">IFERROR(E1238*F1238,0)</f>
        <v>644600</v>
      </c>
      <c r="H1238" s="11"/>
    </row>
    <row r="1239" spans="1:26" ht="29.25" customHeight="1" x14ac:dyDescent="0.4">
      <c r="A1239" s="6">
        <v>2</v>
      </c>
      <c r="B1239" s="13" t="s">
        <v>343</v>
      </c>
      <c r="C1239" s="19" t="s">
        <v>344</v>
      </c>
      <c r="D1239" s="13" t="s">
        <v>13</v>
      </c>
      <c r="E1239" s="13">
        <v>1.25</v>
      </c>
      <c r="F1239" s="14">
        <v>435000</v>
      </c>
      <c r="G1239" s="10">
        <f t="shared" si="82"/>
        <v>543750</v>
      </c>
      <c r="H1239" s="11"/>
      <c r="I1239" s="1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26.25" x14ac:dyDescent="0.4">
      <c r="A1240" s="6">
        <v>3</v>
      </c>
      <c r="B1240" s="15" t="s">
        <v>14</v>
      </c>
      <c r="C1240" s="11"/>
      <c r="D1240" s="11"/>
      <c r="E1240" s="11"/>
      <c r="F1240" s="11"/>
      <c r="G1240" s="16">
        <f t="shared" si="82"/>
        <v>0</v>
      </c>
      <c r="H1240" s="11"/>
      <c r="I1240" s="1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26.25" x14ac:dyDescent="0.4">
      <c r="A1241" s="29" t="s">
        <v>15</v>
      </c>
      <c r="B1241" s="26"/>
      <c r="C1241" s="26"/>
      <c r="D1241" s="26"/>
      <c r="E1241" s="26"/>
      <c r="F1241" s="26"/>
      <c r="G1241" s="27"/>
      <c r="H1241" s="17">
        <f>SUM(G1238:G1240)</f>
        <v>1188350</v>
      </c>
      <c r="I1241" s="1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26.25" x14ac:dyDescent="0.4">
      <c r="A1242" s="29" t="s">
        <v>16</v>
      </c>
      <c r="B1242" s="26"/>
      <c r="C1242" s="26"/>
      <c r="D1242" s="26"/>
      <c r="E1242" s="26"/>
      <c r="F1242" s="26"/>
      <c r="G1242" s="27"/>
      <c r="H1242" s="17">
        <f>MAX(0,H1241-648000)</f>
        <v>540350</v>
      </c>
      <c r="I1242" s="1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26.25" x14ac:dyDescent="0.4">
      <c r="A1243" s="25" t="s">
        <v>17</v>
      </c>
      <c r="B1243" s="26"/>
      <c r="C1243" s="26"/>
      <c r="D1243" s="26"/>
      <c r="E1243" s="26"/>
      <c r="F1243" s="26"/>
      <c r="G1243" s="27"/>
      <c r="H1243" s="18">
        <v>649000</v>
      </c>
      <c r="I1243" s="1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26.25" x14ac:dyDescent="0.4">
      <c r="A1244" s="28" t="s">
        <v>18</v>
      </c>
      <c r="B1244" s="26"/>
      <c r="C1244" s="26"/>
      <c r="D1244" s="26"/>
      <c r="E1244" s="26"/>
      <c r="F1244" s="26"/>
      <c r="G1244" s="26"/>
      <c r="H1244" s="27"/>
      <c r="I1244" s="1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5" x14ac:dyDescent="0.25">
      <c r="I1245" s="1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5" x14ac:dyDescent="0.25">
      <c r="I1246" s="1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5" x14ac:dyDescent="0.25">
      <c r="I1247" s="1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5" x14ac:dyDescent="0.25">
      <c r="I1248" s="1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52" spans="1:26" ht="15.75" customHeight="1" x14ac:dyDescent="0.4">
      <c r="A1252" s="28" t="s">
        <v>0</v>
      </c>
      <c r="B1252" s="26"/>
      <c r="C1252" s="26"/>
      <c r="D1252" s="26"/>
      <c r="E1252" s="26"/>
      <c r="F1252" s="26"/>
      <c r="G1252" s="26"/>
      <c r="H1252" s="27"/>
    </row>
    <row r="1253" spans="1:26" ht="29.25" customHeight="1" x14ac:dyDescent="0.4">
      <c r="A1253" s="28" t="s">
        <v>345</v>
      </c>
      <c r="B1253" s="26"/>
      <c r="C1253" s="26"/>
      <c r="D1253" s="26"/>
      <c r="E1253" s="26"/>
      <c r="F1253" s="26"/>
      <c r="G1253" s="26"/>
      <c r="H1253" s="27"/>
      <c r="I1253" s="1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8.75" x14ac:dyDescent="0.3">
      <c r="A1254" s="3" t="s">
        <v>2</v>
      </c>
      <c r="B1254" s="3" t="s">
        <v>3</v>
      </c>
      <c r="C1254" s="3" t="s">
        <v>4</v>
      </c>
      <c r="D1254" s="3" t="s">
        <v>5</v>
      </c>
      <c r="E1254" s="3" t="s">
        <v>6</v>
      </c>
      <c r="F1254" s="4" t="s">
        <v>7</v>
      </c>
      <c r="G1254" s="3" t="s">
        <v>8</v>
      </c>
      <c r="H1254" s="5"/>
      <c r="I1254" s="1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26.25" x14ac:dyDescent="0.4">
      <c r="A1255" s="6">
        <v>1</v>
      </c>
      <c r="B1255" s="8" t="s">
        <v>12</v>
      </c>
      <c r="C1255" s="12" t="s">
        <v>166</v>
      </c>
      <c r="D1255" s="8" t="s">
        <v>11</v>
      </c>
      <c r="E1255" s="8">
        <v>2</v>
      </c>
      <c r="F1255" s="9">
        <v>293000</v>
      </c>
      <c r="G1255" s="10">
        <f t="shared" ref="G1255:G1257" si="83">IFERROR(E1255*F1255,0)</f>
        <v>586000</v>
      </c>
      <c r="H1255" s="11"/>
      <c r="I1255" s="1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26.25" x14ac:dyDescent="0.4">
      <c r="A1256" s="6">
        <v>2</v>
      </c>
      <c r="B1256" s="13" t="s">
        <v>72</v>
      </c>
      <c r="C1256" s="19" t="s">
        <v>346</v>
      </c>
      <c r="D1256" s="13" t="s">
        <v>13</v>
      </c>
      <c r="E1256" s="13">
        <v>1.44</v>
      </c>
      <c r="F1256" s="14">
        <v>435000</v>
      </c>
      <c r="G1256" s="10">
        <f t="shared" si="83"/>
        <v>626400</v>
      </c>
      <c r="H1256" s="11"/>
      <c r="I1256" s="1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26.25" x14ac:dyDescent="0.4">
      <c r="A1257" s="6">
        <v>3</v>
      </c>
      <c r="B1257" s="15" t="s">
        <v>14</v>
      </c>
      <c r="C1257" s="11"/>
      <c r="D1257" s="11"/>
      <c r="E1257" s="11"/>
      <c r="F1257" s="11"/>
      <c r="G1257" s="16">
        <f t="shared" si="83"/>
        <v>0</v>
      </c>
      <c r="H1257" s="11"/>
      <c r="I1257" s="1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26.25" x14ac:dyDescent="0.4">
      <c r="A1258" s="29" t="s">
        <v>15</v>
      </c>
      <c r="B1258" s="26"/>
      <c r="C1258" s="26"/>
      <c r="D1258" s="26"/>
      <c r="E1258" s="26"/>
      <c r="F1258" s="26"/>
      <c r="G1258" s="27"/>
      <c r="H1258" s="17">
        <f>SUM(G1255:G1257)</f>
        <v>1212400</v>
      </c>
      <c r="I1258" s="1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26.25" x14ac:dyDescent="0.4">
      <c r="A1259" s="29" t="s">
        <v>16</v>
      </c>
      <c r="B1259" s="26"/>
      <c r="C1259" s="26"/>
      <c r="D1259" s="26"/>
      <c r="E1259" s="26"/>
      <c r="F1259" s="26"/>
      <c r="G1259" s="27"/>
      <c r="H1259" s="17">
        <f>MAX(0,H1258-648000)</f>
        <v>564400</v>
      </c>
      <c r="I1259" s="1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26.25" x14ac:dyDescent="0.4">
      <c r="A1260" s="25" t="s">
        <v>17</v>
      </c>
      <c r="B1260" s="26"/>
      <c r="C1260" s="26"/>
      <c r="D1260" s="26"/>
      <c r="E1260" s="26"/>
      <c r="F1260" s="26"/>
      <c r="G1260" s="27"/>
      <c r="H1260" s="18">
        <v>649000</v>
      </c>
      <c r="I1260" s="1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26.25" x14ac:dyDescent="0.4">
      <c r="A1261" s="28" t="s">
        <v>18</v>
      </c>
      <c r="B1261" s="26"/>
      <c r="C1261" s="26"/>
      <c r="D1261" s="26"/>
      <c r="E1261" s="26"/>
      <c r="F1261" s="26"/>
      <c r="G1261" s="26"/>
      <c r="H1261" s="27"/>
      <c r="I1261" s="1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5" x14ac:dyDescent="0.25">
      <c r="I1262" s="1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6" spans="1:26" ht="15.75" customHeight="1" x14ac:dyDescent="0.4">
      <c r="A1266" s="28" t="s">
        <v>0</v>
      </c>
      <c r="B1266" s="26"/>
      <c r="C1266" s="26"/>
      <c r="D1266" s="26"/>
      <c r="E1266" s="26"/>
      <c r="F1266" s="26"/>
      <c r="G1266" s="26"/>
      <c r="H1266" s="27"/>
    </row>
    <row r="1267" spans="1:26" ht="15.75" customHeight="1" x14ac:dyDescent="0.4">
      <c r="A1267" s="28" t="s">
        <v>347</v>
      </c>
      <c r="B1267" s="26"/>
      <c r="C1267" s="26"/>
      <c r="D1267" s="26"/>
      <c r="E1267" s="26"/>
      <c r="F1267" s="26"/>
      <c r="G1267" s="26"/>
      <c r="H1267" s="27"/>
    </row>
    <row r="1268" spans="1:26" ht="15.75" customHeight="1" x14ac:dyDescent="0.3">
      <c r="A1268" s="3" t="s">
        <v>2</v>
      </c>
      <c r="B1268" s="3" t="s">
        <v>3</v>
      </c>
      <c r="C1268" s="3" t="s">
        <v>4</v>
      </c>
      <c r="D1268" s="3" t="s">
        <v>5</v>
      </c>
      <c r="E1268" s="3" t="s">
        <v>6</v>
      </c>
      <c r="F1268" s="4" t="s">
        <v>7</v>
      </c>
      <c r="G1268" s="3" t="s">
        <v>8</v>
      </c>
      <c r="H1268" s="5"/>
    </row>
    <row r="1269" spans="1:26" ht="29.25" customHeight="1" x14ac:dyDescent="0.4">
      <c r="A1269" s="6">
        <v>1</v>
      </c>
      <c r="B1269" s="8" t="s">
        <v>348</v>
      </c>
      <c r="C1269" s="12" t="s">
        <v>349</v>
      </c>
      <c r="D1269" s="8" t="s">
        <v>11</v>
      </c>
      <c r="E1269" s="8">
        <v>2.33</v>
      </c>
      <c r="F1269" s="9">
        <v>293000</v>
      </c>
      <c r="G1269" s="10">
        <f t="shared" ref="G1269:G1271" si="84">IFERROR(E1269*F1269,0)</f>
        <v>682690</v>
      </c>
      <c r="H1269" s="11"/>
      <c r="I1269" s="1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26.25" x14ac:dyDescent="0.4">
      <c r="A1270" s="6">
        <v>2</v>
      </c>
      <c r="B1270" s="13" t="s">
        <v>218</v>
      </c>
      <c r="C1270" s="19" t="s">
        <v>350</v>
      </c>
      <c r="D1270" s="13" t="s">
        <v>13</v>
      </c>
      <c r="E1270" s="13">
        <v>1.3</v>
      </c>
      <c r="F1270" s="14">
        <v>435000</v>
      </c>
      <c r="G1270" s="10">
        <f t="shared" si="84"/>
        <v>565500</v>
      </c>
      <c r="H1270" s="11"/>
      <c r="I1270" s="1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26.25" x14ac:dyDescent="0.4">
      <c r="A1271" s="6">
        <v>3</v>
      </c>
      <c r="B1271" s="15" t="s">
        <v>14</v>
      </c>
      <c r="C1271" s="11"/>
      <c r="D1271" s="11"/>
      <c r="E1271" s="11"/>
      <c r="F1271" s="11"/>
      <c r="G1271" s="16">
        <f t="shared" si="84"/>
        <v>0</v>
      </c>
      <c r="H1271" s="11"/>
      <c r="I1271" s="1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26.25" x14ac:dyDescent="0.4">
      <c r="A1272" s="29" t="s">
        <v>15</v>
      </c>
      <c r="B1272" s="26"/>
      <c r="C1272" s="26"/>
      <c r="D1272" s="26"/>
      <c r="E1272" s="26"/>
      <c r="F1272" s="26"/>
      <c r="G1272" s="27"/>
      <c r="H1272" s="17">
        <f>SUM(G1269:G1271)</f>
        <v>1248190</v>
      </c>
      <c r="I1272" s="1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26.25" x14ac:dyDescent="0.4">
      <c r="A1273" s="29" t="s">
        <v>16</v>
      </c>
      <c r="B1273" s="26"/>
      <c r="C1273" s="26"/>
      <c r="D1273" s="26"/>
      <c r="E1273" s="26"/>
      <c r="F1273" s="26"/>
      <c r="G1273" s="27"/>
      <c r="H1273" s="17">
        <f>MAX(0,H1272-648000)</f>
        <v>600190</v>
      </c>
      <c r="I1273" s="1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26.25" x14ac:dyDescent="0.4">
      <c r="A1274" s="25" t="s">
        <v>17</v>
      </c>
      <c r="B1274" s="26"/>
      <c r="C1274" s="26"/>
      <c r="D1274" s="26"/>
      <c r="E1274" s="26"/>
      <c r="F1274" s="26"/>
      <c r="G1274" s="27"/>
      <c r="H1274" s="18">
        <v>649000</v>
      </c>
      <c r="I1274" s="1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26.25" x14ac:dyDescent="0.4">
      <c r="A1275" s="28" t="s">
        <v>18</v>
      </c>
      <c r="B1275" s="26"/>
      <c r="C1275" s="26"/>
      <c r="D1275" s="26"/>
      <c r="E1275" s="26"/>
      <c r="F1275" s="26"/>
      <c r="G1275" s="26"/>
      <c r="H1275" s="27"/>
      <c r="I1275" s="1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5" x14ac:dyDescent="0.25">
      <c r="I1276" s="1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5" x14ac:dyDescent="0.25">
      <c r="I1277" s="1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5" x14ac:dyDescent="0.25">
      <c r="I1278" s="1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82" spans="1:26" ht="15.75" customHeight="1" x14ac:dyDescent="0.4">
      <c r="A1282" s="28" t="s">
        <v>0</v>
      </c>
      <c r="B1282" s="26"/>
      <c r="C1282" s="26"/>
      <c r="D1282" s="26"/>
      <c r="E1282" s="26"/>
      <c r="F1282" s="26"/>
      <c r="G1282" s="26"/>
      <c r="H1282" s="27"/>
    </row>
    <row r="1283" spans="1:26" ht="15.75" customHeight="1" x14ac:dyDescent="0.4">
      <c r="A1283" s="28" t="s">
        <v>351</v>
      </c>
      <c r="B1283" s="26"/>
      <c r="C1283" s="26"/>
      <c r="D1283" s="26"/>
      <c r="E1283" s="26"/>
      <c r="F1283" s="26"/>
      <c r="G1283" s="26"/>
      <c r="H1283" s="27"/>
    </row>
    <row r="1284" spans="1:26" ht="29.25" customHeight="1" x14ac:dyDescent="0.3">
      <c r="A1284" s="3" t="s">
        <v>2</v>
      </c>
      <c r="B1284" s="3" t="s">
        <v>3</v>
      </c>
      <c r="C1284" s="3" t="s">
        <v>4</v>
      </c>
      <c r="D1284" s="3" t="s">
        <v>5</v>
      </c>
      <c r="E1284" s="3" t="s">
        <v>6</v>
      </c>
      <c r="F1284" s="4" t="s">
        <v>7</v>
      </c>
      <c r="G1284" s="3" t="s">
        <v>8</v>
      </c>
      <c r="H1284" s="5"/>
      <c r="I1284" s="1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26.25" x14ac:dyDescent="0.4">
      <c r="A1285" s="6">
        <v>1</v>
      </c>
      <c r="B1285" s="8" t="s">
        <v>94</v>
      </c>
      <c r="C1285" s="12" t="s">
        <v>352</v>
      </c>
      <c r="D1285" s="8" t="s">
        <v>11</v>
      </c>
      <c r="E1285" s="8">
        <v>1.65</v>
      </c>
      <c r="F1285" s="9">
        <v>293000</v>
      </c>
      <c r="G1285" s="10">
        <f t="shared" ref="G1285:G1287" si="85">IFERROR(E1285*F1285,0)</f>
        <v>483450</v>
      </c>
      <c r="H1285" s="11"/>
      <c r="I1285" s="1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26.25" x14ac:dyDescent="0.4">
      <c r="A1286" s="6">
        <v>2</v>
      </c>
      <c r="B1286" s="13" t="s">
        <v>12</v>
      </c>
      <c r="C1286" s="19" t="s">
        <v>353</v>
      </c>
      <c r="D1286" s="13" t="s">
        <v>13</v>
      </c>
      <c r="E1286" s="13">
        <v>1.7</v>
      </c>
      <c r="F1286" s="14">
        <v>435000</v>
      </c>
      <c r="G1286" s="10">
        <f t="shared" si="85"/>
        <v>739500</v>
      </c>
      <c r="H1286" s="11"/>
      <c r="I1286" s="1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26.25" x14ac:dyDescent="0.4">
      <c r="A1287" s="6">
        <v>3</v>
      </c>
      <c r="B1287" s="15" t="s">
        <v>14</v>
      </c>
      <c r="C1287" s="11"/>
      <c r="D1287" s="11"/>
      <c r="E1287" s="11"/>
      <c r="F1287" s="11"/>
      <c r="G1287" s="16">
        <f t="shared" si="85"/>
        <v>0</v>
      </c>
      <c r="H1287" s="11"/>
      <c r="I1287" s="1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26.25" x14ac:dyDescent="0.4">
      <c r="A1288" s="29" t="s">
        <v>15</v>
      </c>
      <c r="B1288" s="26"/>
      <c r="C1288" s="26"/>
      <c r="D1288" s="26"/>
      <c r="E1288" s="26"/>
      <c r="F1288" s="26"/>
      <c r="G1288" s="27"/>
      <c r="H1288" s="17">
        <f>SUM(G1285:G1287)</f>
        <v>1222950</v>
      </c>
      <c r="I1288" s="1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26.25" x14ac:dyDescent="0.4">
      <c r="A1289" s="29" t="s">
        <v>16</v>
      </c>
      <c r="B1289" s="26"/>
      <c r="C1289" s="26"/>
      <c r="D1289" s="26"/>
      <c r="E1289" s="26"/>
      <c r="F1289" s="26"/>
      <c r="G1289" s="27"/>
      <c r="H1289" s="17">
        <f>MAX(0,H1288-648000)</f>
        <v>574950</v>
      </c>
      <c r="I1289" s="1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26.25" x14ac:dyDescent="0.4">
      <c r="A1290" s="25" t="s">
        <v>17</v>
      </c>
      <c r="B1290" s="26"/>
      <c r="C1290" s="26"/>
      <c r="D1290" s="26"/>
      <c r="E1290" s="26"/>
      <c r="F1290" s="26"/>
      <c r="G1290" s="27"/>
      <c r="H1290" s="18">
        <v>649000</v>
      </c>
      <c r="I1290" s="1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26.25" x14ac:dyDescent="0.4">
      <c r="A1291" s="28" t="s">
        <v>18</v>
      </c>
      <c r="B1291" s="26"/>
      <c r="C1291" s="26"/>
      <c r="D1291" s="26"/>
      <c r="E1291" s="26"/>
      <c r="F1291" s="26"/>
      <c r="G1291" s="26"/>
      <c r="H1291" s="27"/>
      <c r="I1291" s="1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5" x14ac:dyDescent="0.25">
      <c r="I1292" s="1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5" x14ac:dyDescent="0.25">
      <c r="I1293" s="1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7" spans="1:26" ht="29.25" customHeight="1" x14ac:dyDescent="0.4">
      <c r="A1297" s="28" t="s">
        <v>0</v>
      </c>
      <c r="B1297" s="26"/>
      <c r="C1297" s="26"/>
      <c r="D1297" s="26"/>
      <c r="E1297" s="26"/>
      <c r="F1297" s="26"/>
      <c r="G1297" s="26"/>
      <c r="H1297" s="27"/>
      <c r="I1297" s="1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26.25" x14ac:dyDescent="0.4">
      <c r="A1298" s="28" t="s">
        <v>354</v>
      </c>
      <c r="B1298" s="26"/>
      <c r="C1298" s="26"/>
      <c r="D1298" s="26"/>
      <c r="E1298" s="26"/>
      <c r="F1298" s="26"/>
      <c r="G1298" s="26"/>
      <c r="H1298" s="27"/>
      <c r="I1298" s="1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8.75" x14ac:dyDescent="0.3">
      <c r="A1299" s="3" t="s">
        <v>2</v>
      </c>
      <c r="B1299" s="3" t="s">
        <v>3</v>
      </c>
      <c r="C1299" s="3" t="s">
        <v>4</v>
      </c>
      <c r="D1299" s="3" t="s">
        <v>5</v>
      </c>
      <c r="E1299" s="3" t="s">
        <v>6</v>
      </c>
      <c r="F1299" s="4" t="s">
        <v>7</v>
      </c>
      <c r="G1299" s="3" t="s">
        <v>8</v>
      </c>
      <c r="H1299" s="5"/>
      <c r="I1299" s="1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26.25" x14ac:dyDescent="0.4">
      <c r="A1300" s="6">
        <v>1</v>
      </c>
      <c r="B1300" s="8" t="s">
        <v>48</v>
      </c>
      <c r="C1300" s="12" t="s">
        <v>114</v>
      </c>
      <c r="D1300" s="8" t="s">
        <v>11</v>
      </c>
      <c r="E1300" s="8">
        <v>1.5</v>
      </c>
      <c r="F1300" s="9">
        <v>293000</v>
      </c>
      <c r="G1300" s="10">
        <f t="shared" ref="G1300:G1302" si="86">IFERROR(E1300*F1300,0)</f>
        <v>439500</v>
      </c>
      <c r="H1300" s="11"/>
      <c r="I1300" s="1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26.25" x14ac:dyDescent="0.4">
      <c r="A1301" s="6">
        <v>2</v>
      </c>
      <c r="B1301" s="13" t="s">
        <v>118</v>
      </c>
      <c r="C1301" s="19" t="s">
        <v>355</v>
      </c>
      <c r="D1301" s="13" t="s">
        <v>13</v>
      </c>
      <c r="E1301" s="13">
        <v>1.9</v>
      </c>
      <c r="F1301" s="14">
        <v>435000</v>
      </c>
      <c r="G1301" s="10">
        <f t="shared" si="86"/>
        <v>826500</v>
      </c>
      <c r="H1301" s="11"/>
      <c r="I1301" s="1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26.25" x14ac:dyDescent="0.4">
      <c r="A1302" s="6">
        <v>3</v>
      </c>
      <c r="B1302" s="15" t="s">
        <v>14</v>
      </c>
      <c r="C1302" s="11"/>
      <c r="D1302" s="11"/>
      <c r="E1302" s="11"/>
      <c r="F1302" s="11"/>
      <c r="G1302" s="16">
        <f t="shared" si="86"/>
        <v>0</v>
      </c>
      <c r="H1302" s="11"/>
      <c r="I1302" s="1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26.25" x14ac:dyDescent="0.4">
      <c r="A1303" s="29" t="s">
        <v>15</v>
      </c>
      <c r="B1303" s="26"/>
      <c r="C1303" s="26"/>
      <c r="D1303" s="26"/>
      <c r="E1303" s="26"/>
      <c r="F1303" s="26"/>
      <c r="G1303" s="27"/>
      <c r="H1303" s="17">
        <f>SUM(G1300:G1302)</f>
        <v>1266000</v>
      </c>
      <c r="I1303" s="1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26.25" x14ac:dyDescent="0.4">
      <c r="A1304" s="29" t="s">
        <v>16</v>
      </c>
      <c r="B1304" s="26"/>
      <c r="C1304" s="26"/>
      <c r="D1304" s="26"/>
      <c r="E1304" s="26"/>
      <c r="F1304" s="26"/>
      <c r="G1304" s="27"/>
      <c r="H1304" s="17">
        <f>MAX(0,H1303-648000)</f>
        <v>618000</v>
      </c>
      <c r="I1304" s="1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26.25" x14ac:dyDescent="0.4">
      <c r="A1305" s="25" t="s">
        <v>17</v>
      </c>
      <c r="B1305" s="26"/>
      <c r="C1305" s="26"/>
      <c r="D1305" s="26"/>
      <c r="E1305" s="26"/>
      <c r="F1305" s="26"/>
      <c r="G1305" s="27"/>
      <c r="H1305" s="18">
        <v>649000</v>
      </c>
      <c r="I1305" s="1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26.25" x14ac:dyDescent="0.4">
      <c r="A1306" s="28" t="s">
        <v>18</v>
      </c>
      <c r="B1306" s="26"/>
      <c r="C1306" s="26"/>
      <c r="D1306" s="26"/>
      <c r="E1306" s="26"/>
      <c r="F1306" s="26"/>
      <c r="G1306" s="26"/>
      <c r="H1306" s="27"/>
      <c r="I1306" s="1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10" spans="1:26" ht="15.75" customHeight="1" x14ac:dyDescent="0.4">
      <c r="A1310" s="28" t="s">
        <v>0</v>
      </c>
      <c r="B1310" s="26"/>
      <c r="C1310" s="26"/>
      <c r="D1310" s="26"/>
      <c r="E1310" s="26"/>
      <c r="F1310" s="26"/>
      <c r="G1310" s="26"/>
      <c r="H1310" s="27"/>
    </row>
    <row r="1311" spans="1:26" ht="15.75" customHeight="1" x14ac:dyDescent="0.4">
      <c r="A1311" s="28" t="s">
        <v>356</v>
      </c>
      <c r="B1311" s="26"/>
      <c r="C1311" s="26"/>
      <c r="D1311" s="26"/>
      <c r="E1311" s="26"/>
      <c r="F1311" s="26"/>
      <c r="G1311" s="26"/>
      <c r="H1311" s="27"/>
    </row>
    <row r="1312" spans="1:26" ht="15.75" customHeight="1" x14ac:dyDescent="0.3">
      <c r="A1312" s="3" t="s">
        <v>2</v>
      </c>
      <c r="B1312" s="3" t="s">
        <v>3</v>
      </c>
      <c r="C1312" s="3" t="s">
        <v>4</v>
      </c>
      <c r="D1312" s="3" t="s">
        <v>5</v>
      </c>
      <c r="E1312" s="3" t="s">
        <v>6</v>
      </c>
      <c r="F1312" s="4" t="s">
        <v>7</v>
      </c>
      <c r="G1312" s="3" t="s">
        <v>8</v>
      </c>
      <c r="H1312" s="5"/>
    </row>
    <row r="1313" spans="1:26" ht="15.75" customHeight="1" x14ac:dyDescent="0.4">
      <c r="A1313" s="6">
        <v>1</v>
      </c>
      <c r="B1313" s="8" t="s">
        <v>206</v>
      </c>
      <c r="C1313" s="12" t="s">
        <v>357</v>
      </c>
      <c r="D1313" s="8" t="s">
        <v>11</v>
      </c>
      <c r="E1313" s="8">
        <v>1.38</v>
      </c>
      <c r="F1313" s="9">
        <v>293000</v>
      </c>
      <c r="G1313" s="10">
        <f t="shared" ref="G1313:G1315" si="87">IFERROR(E1313*F1313,0)</f>
        <v>404339.99999999994</v>
      </c>
      <c r="H1313" s="11"/>
    </row>
    <row r="1314" spans="1:26" ht="15.75" customHeight="1" x14ac:dyDescent="0.4">
      <c r="A1314" s="6">
        <v>2</v>
      </c>
      <c r="B1314" s="13" t="s">
        <v>41</v>
      </c>
      <c r="C1314" s="19" t="s">
        <v>358</v>
      </c>
      <c r="D1314" s="13" t="s">
        <v>13</v>
      </c>
      <c r="E1314" s="13">
        <v>2.2000000000000002</v>
      </c>
      <c r="F1314" s="14">
        <v>435000</v>
      </c>
      <c r="G1314" s="10">
        <f t="shared" si="87"/>
        <v>957000.00000000012</v>
      </c>
      <c r="H1314" s="11"/>
    </row>
    <row r="1315" spans="1:26" ht="15.75" customHeight="1" x14ac:dyDescent="0.4">
      <c r="A1315" s="6">
        <v>3</v>
      </c>
      <c r="B1315" s="15" t="s">
        <v>14</v>
      </c>
      <c r="C1315" s="11"/>
      <c r="D1315" s="11"/>
      <c r="E1315" s="11"/>
      <c r="F1315" s="11"/>
      <c r="G1315" s="16">
        <f t="shared" si="87"/>
        <v>0</v>
      </c>
      <c r="H1315" s="11"/>
    </row>
    <row r="1316" spans="1:26" ht="29.25" customHeight="1" x14ac:dyDescent="0.4">
      <c r="A1316" s="29" t="s">
        <v>15</v>
      </c>
      <c r="B1316" s="26"/>
      <c r="C1316" s="26"/>
      <c r="D1316" s="26"/>
      <c r="E1316" s="26"/>
      <c r="F1316" s="26"/>
      <c r="G1316" s="27"/>
      <c r="H1316" s="17">
        <f>SUM(G1313:G1315)</f>
        <v>1361340</v>
      </c>
      <c r="I1316" s="1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26.25" x14ac:dyDescent="0.4">
      <c r="A1317" s="29" t="s">
        <v>16</v>
      </c>
      <c r="B1317" s="26"/>
      <c r="C1317" s="26"/>
      <c r="D1317" s="26"/>
      <c r="E1317" s="26"/>
      <c r="F1317" s="26"/>
      <c r="G1317" s="27"/>
      <c r="H1317" s="17">
        <f>MAX(0,H1316-648000)</f>
        <v>713340</v>
      </c>
      <c r="I1317" s="1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26.25" x14ac:dyDescent="0.4">
      <c r="A1318" s="25" t="s">
        <v>17</v>
      </c>
      <c r="B1318" s="26"/>
      <c r="C1318" s="26"/>
      <c r="D1318" s="26"/>
      <c r="E1318" s="26"/>
      <c r="F1318" s="26"/>
      <c r="G1318" s="27"/>
      <c r="H1318" s="18">
        <v>649000</v>
      </c>
      <c r="I1318" s="1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26.25" x14ac:dyDescent="0.4">
      <c r="A1319" s="28" t="s">
        <v>18</v>
      </c>
      <c r="B1319" s="26"/>
      <c r="C1319" s="26"/>
      <c r="D1319" s="26"/>
      <c r="E1319" s="26"/>
      <c r="F1319" s="26"/>
      <c r="G1319" s="26"/>
      <c r="H1319" s="27"/>
      <c r="I1319" s="1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5" x14ac:dyDescent="0.25">
      <c r="I1320" s="1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5" x14ac:dyDescent="0.25">
      <c r="I1321" s="1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5" x14ac:dyDescent="0.25">
      <c r="I1322" s="1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5" x14ac:dyDescent="0.25">
      <c r="I1323" s="1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5" x14ac:dyDescent="0.25">
      <c r="I1324" s="1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5" x14ac:dyDescent="0.25">
      <c r="I1325" s="1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9" spans="1:26" ht="15.75" customHeight="1" x14ac:dyDescent="0.4">
      <c r="A1329" s="28" t="s">
        <v>0</v>
      </c>
      <c r="B1329" s="26"/>
      <c r="C1329" s="26"/>
      <c r="D1329" s="26"/>
      <c r="E1329" s="26"/>
      <c r="F1329" s="26"/>
      <c r="G1329" s="26"/>
      <c r="H1329" s="27"/>
    </row>
    <row r="1330" spans="1:26" ht="29.25" customHeight="1" x14ac:dyDescent="0.4">
      <c r="A1330" s="28" t="s">
        <v>359</v>
      </c>
      <c r="B1330" s="26"/>
      <c r="C1330" s="26"/>
      <c r="D1330" s="26"/>
      <c r="E1330" s="26"/>
      <c r="F1330" s="26"/>
      <c r="G1330" s="26"/>
      <c r="H1330" s="27"/>
      <c r="I1330" s="1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8.75" x14ac:dyDescent="0.3">
      <c r="A1331" s="3" t="s">
        <v>2</v>
      </c>
      <c r="B1331" s="3" t="s">
        <v>3</v>
      </c>
      <c r="C1331" s="3" t="s">
        <v>4</v>
      </c>
      <c r="D1331" s="3" t="s">
        <v>5</v>
      </c>
      <c r="E1331" s="3" t="s">
        <v>6</v>
      </c>
      <c r="F1331" s="4" t="s">
        <v>7</v>
      </c>
      <c r="G1331" s="3" t="s">
        <v>8</v>
      </c>
      <c r="H1331" s="5"/>
      <c r="I1331" s="1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26.25" x14ac:dyDescent="0.4">
      <c r="A1332" s="6">
        <v>1</v>
      </c>
      <c r="B1332" s="8" t="s">
        <v>98</v>
      </c>
      <c r="C1332" s="12" t="s">
        <v>360</v>
      </c>
      <c r="D1332" s="8" t="s">
        <v>11</v>
      </c>
      <c r="E1332" s="8">
        <v>1.77</v>
      </c>
      <c r="F1332" s="9">
        <v>293000</v>
      </c>
      <c r="G1332" s="10">
        <f t="shared" ref="G1332:G1334" si="88">IFERROR(E1332*F1332,0)</f>
        <v>518610</v>
      </c>
      <c r="H1332" s="11"/>
      <c r="I1332" s="1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26.25" x14ac:dyDescent="0.4">
      <c r="A1333" s="6">
        <v>2</v>
      </c>
      <c r="B1333" s="13" t="s">
        <v>279</v>
      </c>
      <c r="C1333" s="19" t="s">
        <v>361</v>
      </c>
      <c r="D1333" s="13" t="s">
        <v>13</v>
      </c>
      <c r="E1333" s="13">
        <v>1.57</v>
      </c>
      <c r="F1333" s="14">
        <v>435000</v>
      </c>
      <c r="G1333" s="10">
        <f t="shared" si="88"/>
        <v>682950</v>
      </c>
      <c r="H1333" s="11"/>
      <c r="I1333" s="1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26.25" x14ac:dyDescent="0.4">
      <c r="A1334" s="6">
        <v>3</v>
      </c>
      <c r="B1334" s="15" t="s">
        <v>14</v>
      </c>
      <c r="C1334" s="11"/>
      <c r="D1334" s="11"/>
      <c r="E1334" s="11"/>
      <c r="F1334" s="11"/>
      <c r="G1334" s="16">
        <f t="shared" si="88"/>
        <v>0</v>
      </c>
      <c r="H1334" s="11"/>
      <c r="I1334" s="1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26.25" x14ac:dyDescent="0.4">
      <c r="A1335" s="29" t="s">
        <v>15</v>
      </c>
      <c r="B1335" s="26"/>
      <c r="C1335" s="26"/>
      <c r="D1335" s="26"/>
      <c r="E1335" s="26"/>
      <c r="F1335" s="26"/>
      <c r="G1335" s="27"/>
      <c r="H1335" s="17">
        <f>SUM(G1332:G1334)</f>
        <v>1201560</v>
      </c>
      <c r="I1335" s="1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26.25" x14ac:dyDescent="0.4">
      <c r="A1336" s="29" t="s">
        <v>16</v>
      </c>
      <c r="B1336" s="26"/>
      <c r="C1336" s="26"/>
      <c r="D1336" s="26"/>
      <c r="E1336" s="26"/>
      <c r="F1336" s="26"/>
      <c r="G1336" s="27"/>
      <c r="H1336" s="17">
        <f>MAX(0,H1335-648000)</f>
        <v>553560</v>
      </c>
      <c r="I1336" s="1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26.25" x14ac:dyDescent="0.4">
      <c r="A1337" s="25" t="s">
        <v>17</v>
      </c>
      <c r="B1337" s="26"/>
      <c r="C1337" s="26"/>
      <c r="D1337" s="26"/>
      <c r="E1337" s="26"/>
      <c r="F1337" s="26"/>
      <c r="G1337" s="27"/>
      <c r="H1337" s="18">
        <v>649000</v>
      </c>
      <c r="I1337" s="1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26.25" x14ac:dyDescent="0.4">
      <c r="A1338" s="28" t="s">
        <v>18</v>
      </c>
      <c r="B1338" s="26"/>
      <c r="C1338" s="26"/>
      <c r="D1338" s="26"/>
      <c r="E1338" s="26"/>
      <c r="F1338" s="26"/>
      <c r="G1338" s="26"/>
      <c r="H1338" s="27"/>
      <c r="I1338" s="1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5" x14ac:dyDescent="0.25">
      <c r="I1339" s="1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3" spans="1:26" ht="15.75" customHeight="1" x14ac:dyDescent="0.4">
      <c r="A1343" s="28" t="s">
        <v>0</v>
      </c>
      <c r="B1343" s="26"/>
      <c r="C1343" s="26"/>
      <c r="D1343" s="26"/>
      <c r="E1343" s="26"/>
      <c r="F1343" s="26"/>
      <c r="G1343" s="26"/>
      <c r="H1343" s="27"/>
    </row>
    <row r="1344" spans="1:26" ht="29.25" customHeight="1" x14ac:dyDescent="0.4">
      <c r="A1344" s="28" t="s">
        <v>362</v>
      </c>
      <c r="B1344" s="26"/>
      <c r="C1344" s="26"/>
      <c r="D1344" s="26"/>
      <c r="E1344" s="26"/>
      <c r="F1344" s="26"/>
      <c r="G1344" s="26"/>
      <c r="H1344" s="27"/>
      <c r="I1344" s="1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8.75" x14ac:dyDescent="0.3">
      <c r="A1345" s="3" t="s">
        <v>2</v>
      </c>
      <c r="B1345" s="3" t="s">
        <v>3</v>
      </c>
      <c r="C1345" s="3" t="s">
        <v>4</v>
      </c>
      <c r="D1345" s="3" t="s">
        <v>5</v>
      </c>
      <c r="E1345" s="3" t="s">
        <v>6</v>
      </c>
      <c r="F1345" s="4" t="s">
        <v>7</v>
      </c>
      <c r="G1345" s="3" t="s">
        <v>8</v>
      </c>
      <c r="H1345" s="5"/>
      <c r="I1345" s="1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26.25" x14ac:dyDescent="0.4">
      <c r="A1346" s="6">
        <v>1</v>
      </c>
      <c r="B1346" s="8" t="s">
        <v>363</v>
      </c>
      <c r="C1346" s="12" t="s">
        <v>364</v>
      </c>
      <c r="D1346" s="8" t="s">
        <v>11</v>
      </c>
      <c r="E1346" s="8">
        <v>2</v>
      </c>
      <c r="F1346" s="9">
        <v>293000</v>
      </c>
      <c r="G1346" s="10">
        <f t="shared" ref="G1346:G1348" si="89">IFERROR(E1346*F1346,0)</f>
        <v>586000</v>
      </c>
      <c r="H1346" s="11"/>
      <c r="I1346" s="1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26.25" x14ac:dyDescent="0.4">
      <c r="A1347" s="6">
        <v>2</v>
      </c>
      <c r="B1347" s="13" t="s">
        <v>12</v>
      </c>
      <c r="C1347" s="19" t="s">
        <v>365</v>
      </c>
      <c r="D1347" s="13" t="s">
        <v>13</v>
      </c>
      <c r="E1347" s="13">
        <v>1.3</v>
      </c>
      <c r="F1347" s="14">
        <v>435000</v>
      </c>
      <c r="G1347" s="10">
        <f t="shared" si="89"/>
        <v>565500</v>
      </c>
      <c r="H1347" s="11"/>
      <c r="I1347" s="1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26.25" x14ac:dyDescent="0.4">
      <c r="A1348" s="6">
        <v>3</v>
      </c>
      <c r="B1348" s="15" t="s">
        <v>14</v>
      </c>
      <c r="C1348" s="11"/>
      <c r="D1348" s="11"/>
      <c r="E1348" s="11"/>
      <c r="F1348" s="11"/>
      <c r="G1348" s="16">
        <f t="shared" si="89"/>
        <v>0</v>
      </c>
      <c r="H1348" s="11"/>
      <c r="I1348" s="1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26.25" x14ac:dyDescent="0.4">
      <c r="A1349" s="29" t="s">
        <v>15</v>
      </c>
      <c r="B1349" s="26"/>
      <c r="C1349" s="26"/>
      <c r="D1349" s="26"/>
      <c r="E1349" s="26"/>
      <c r="F1349" s="26"/>
      <c r="G1349" s="27"/>
      <c r="H1349" s="17">
        <f>SUM(G1346:G1348)</f>
        <v>1151500</v>
      </c>
      <c r="I1349" s="1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26.25" x14ac:dyDescent="0.4">
      <c r="A1350" s="29" t="s">
        <v>16</v>
      </c>
      <c r="B1350" s="26"/>
      <c r="C1350" s="26"/>
      <c r="D1350" s="26"/>
      <c r="E1350" s="26"/>
      <c r="F1350" s="26"/>
      <c r="G1350" s="27"/>
      <c r="H1350" s="17">
        <f>MAX(0,H1349-648000)</f>
        <v>503500</v>
      </c>
      <c r="I1350" s="1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26.25" x14ac:dyDescent="0.4">
      <c r="A1351" s="25" t="s">
        <v>17</v>
      </c>
      <c r="B1351" s="26"/>
      <c r="C1351" s="26"/>
      <c r="D1351" s="26"/>
      <c r="E1351" s="26"/>
      <c r="F1351" s="26"/>
      <c r="G1351" s="27"/>
      <c r="H1351" s="18">
        <v>649000</v>
      </c>
      <c r="I1351" s="1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26.25" x14ac:dyDescent="0.4">
      <c r="A1352" s="28" t="s">
        <v>18</v>
      </c>
      <c r="B1352" s="26"/>
      <c r="C1352" s="26"/>
      <c r="D1352" s="26"/>
      <c r="E1352" s="26"/>
      <c r="F1352" s="26"/>
      <c r="G1352" s="26"/>
      <c r="H1352" s="27"/>
      <c r="I1352" s="1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5" x14ac:dyDescent="0.25">
      <c r="I1353" s="1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7" spans="1:26" ht="15.75" customHeight="1" x14ac:dyDescent="0.4">
      <c r="A1357" s="28" t="s">
        <v>0</v>
      </c>
      <c r="B1357" s="26"/>
      <c r="C1357" s="26"/>
      <c r="D1357" s="26"/>
      <c r="E1357" s="26"/>
      <c r="F1357" s="26"/>
      <c r="G1357" s="26"/>
      <c r="H1357" s="27"/>
    </row>
    <row r="1358" spans="1:26" ht="15.75" customHeight="1" x14ac:dyDescent="0.4">
      <c r="A1358" s="28" t="s">
        <v>366</v>
      </c>
      <c r="B1358" s="26"/>
      <c r="C1358" s="26"/>
      <c r="D1358" s="26"/>
      <c r="E1358" s="26"/>
      <c r="F1358" s="26"/>
      <c r="G1358" s="26"/>
      <c r="H1358" s="27"/>
    </row>
    <row r="1359" spans="1:26" ht="15.75" customHeight="1" x14ac:dyDescent="0.3">
      <c r="A1359" s="3" t="s">
        <v>2</v>
      </c>
      <c r="B1359" s="3" t="s">
        <v>3</v>
      </c>
      <c r="C1359" s="3" t="s">
        <v>4</v>
      </c>
      <c r="D1359" s="3" t="s">
        <v>5</v>
      </c>
      <c r="E1359" s="3" t="s">
        <v>6</v>
      </c>
      <c r="F1359" s="4" t="s">
        <v>7</v>
      </c>
      <c r="G1359" s="3" t="s">
        <v>8</v>
      </c>
      <c r="H1359" s="5"/>
    </row>
    <row r="1360" spans="1:26" ht="29.25" customHeight="1" x14ac:dyDescent="0.4">
      <c r="A1360" s="6">
        <v>1</v>
      </c>
      <c r="B1360" s="8" t="s">
        <v>48</v>
      </c>
      <c r="C1360" s="12" t="s">
        <v>367</v>
      </c>
      <c r="D1360" s="8" t="s">
        <v>11</v>
      </c>
      <c r="E1360" s="8">
        <v>1.05</v>
      </c>
      <c r="F1360" s="9">
        <v>293000</v>
      </c>
      <c r="G1360" s="10">
        <f t="shared" ref="G1360:G1362" si="90">IFERROR(E1360*F1360,0)</f>
        <v>307650</v>
      </c>
      <c r="H1360" s="11"/>
      <c r="I1360" s="1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26.25" x14ac:dyDescent="0.4">
      <c r="A1361" s="6">
        <v>2</v>
      </c>
      <c r="B1361" s="13" t="s">
        <v>118</v>
      </c>
      <c r="C1361" s="19" t="s">
        <v>368</v>
      </c>
      <c r="D1361" s="13" t="s">
        <v>13</v>
      </c>
      <c r="E1361" s="13">
        <v>2</v>
      </c>
      <c r="F1361" s="14">
        <v>435000</v>
      </c>
      <c r="G1361" s="10">
        <f t="shared" si="90"/>
        <v>870000</v>
      </c>
      <c r="H1361" s="11"/>
      <c r="I1361" s="1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26.25" x14ac:dyDescent="0.4">
      <c r="A1362" s="6">
        <v>3</v>
      </c>
      <c r="B1362" s="15" t="s">
        <v>14</v>
      </c>
      <c r="C1362" s="11"/>
      <c r="D1362" s="11"/>
      <c r="E1362" s="11"/>
      <c r="F1362" s="11"/>
      <c r="G1362" s="16">
        <f t="shared" si="90"/>
        <v>0</v>
      </c>
      <c r="H1362" s="11"/>
      <c r="I1362" s="1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26.25" x14ac:dyDescent="0.4">
      <c r="A1363" s="29" t="s">
        <v>15</v>
      </c>
      <c r="B1363" s="26"/>
      <c r="C1363" s="26"/>
      <c r="D1363" s="26"/>
      <c r="E1363" s="26"/>
      <c r="F1363" s="26"/>
      <c r="G1363" s="27"/>
      <c r="H1363" s="17">
        <f>SUM(G1360:G1362)</f>
        <v>1177650</v>
      </c>
      <c r="I1363" s="1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26.25" x14ac:dyDescent="0.4">
      <c r="A1364" s="29" t="s">
        <v>16</v>
      </c>
      <c r="B1364" s="26"/>
      <c r="C1364" s="26"/>
      <c r="D1364" s="26"/>
      <c r="E1364" s="26"/>
      <c r="F1364" s="26"/>
      <c r="G1364" s="27"/>
      <c r="H1364" s="17">
        <f>MAX(0,H1363-648000)</f>
        <v>529650</v>
      </c>
      <c r="I1364" s="1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26.25" x14ac:dyDescent="0.4">
      <c r="A1365" s="25" t="s">
        <v>17</v>
      </c>
      <c r="B1365" s="26"/>
      <c r="C1365" s="26"/>
      <c r="D1365" s="26"/>
      <c r="E1365" s="26"/>
      <c r="F1365" s="26"/>
      <c r="G1365" s="27"/>
      <c r="H1365" s="18">
        <v>649000</v>
      </c>
      <c r="I1365" s="1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26.25" x14ac:dyDescent="0.4">
      <c r="A1366" s="28" t="s">
        <v>18</v>
      </c>
      <c r="B1366" s="26"/>
      <c r="C1366" s="26"/>
      <c r="D1366" s="26"/>
      <c r="E1366" s="26"/>
      <c r="F1366" s="26"/>
      <c r="G1366" s="26"/>
      <c r="H1366" s="27"/>
      <c r="I1366" s="1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5" x14ac:dyDescent="0.25">
      <c r="I1367" s="1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5" x14ac:dyDescent="0.25">
      <c r="I1368" s="1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5" x14ac:dyDescent="0.25">
      <c r="I1369" s="1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3" spans="1:26" ht="15.75" customHeight="1" x14ac:dyDescent="0.4">
      <c r="A1373" s="28" t="s">
        <v>0</v>
      </c>
      <c r="B1373" s="26"/>
      <c r="C1373" s="26"/>
      <c r="D1373" s="26"/>
      <c r="E1373" s="26"/>
      <c r="F1373" s="26"/>
      <c r="G1373" s="26"/>
      <c r="H1373" s="27"/>
    </row>
    <row r="1374" spans="1:26" ht="29.25" customHeight="1" x14ac:dyDescent="0.4">
      <c r="A1374" s="28" t="s">
        <v>369</v>
      </c>
      <c r="B1374" s="26"/>
      <c r="C1374" s="26"/>
      <c r="D1374" s="26"/>
      <c r="E1374" s="26"/>
      <c r="F1374" s="26"/>
      <c r="G1374" s="26"/>
      <c r="H1374" s="27"/>
      <c r="I1374" s="1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8.75" x14ac:dyDescent="0.3">
      <c r="A1375" s="3" t="s">
        <v>2</v>
      </c>
      <c r="B1375" s="3" t="s">
        <v>3</v>
      </c>
      <c r="C1375" s="3" t="s">
        <v>4</v>
      </c>
      <c r="D1375" s="3" t="s">
        <v>5</v>
      </c>
      <c r="E1375" s="3" t="s">
        <v>6</v>
      </c>
      <c r="F1375" s="4" t="s">
        <v>7</v>
      </c>
      <c r="G1375" s="3" t="s">
        <v>8</v>
      </c>
      <c r="H1375" s="5"/>
      <c r="I1375" s="1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26.25" x14ac:dyDescent="0.4">
      <c r="A1376" s="6">
        <v>1</v>
      </c>
      <c r="B1376" s="8" t="s">
        <v>370</v>
      </c>
      <c r="C1376" s="12" t="s">
        <v>371</v>
      </c>
      <c r="D1376" s="8" t="s">
        <v>11</v>
      </c>
      <c r="E1376" s="8">
        <v>1.5</v>
      </c>
      <c r="F1376" s="9">
        <v>293000</v>
      </c>
      <c r="G1376" s="10">
        <f t="shared" ref="G1376:G1378" si="91">IFERROR(E1376*F1376,0)</f>
        <v>439500</v>
      </c>
      <c r="H1376" s="11"/>
      <c r="I1376" s="1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26.25" x14ac:dyDescent="0.4">
      <c r="A1377" s="6">
        <v>2</v>
      </c>
      <c r="B1377" s="13" t="s">
        <v>190</v>
      </c>
      <c r="C1377" s="19" t="s">
        <v>191</v>
      </c>
      <c r="D1377" s="13" t="s">
        <v>13</v>
      </c>
      <c r="E1377" s="13">
        <v>2</v>
      </c>
      <c r="F1377" s="14">
        <v>435000</v>
      </c>
      <c r="G1377" s="10">
        <f t="shared" si="91"/>
        <v>870000</v>
      </c>
      <c r="H1377" s="11"/>
      <c r="I1377" s="1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26.25" x14ac:dyDescent="0.4">
      <c r="A1378" s="6">
        <v>3</v>
      </c>
      <c r="B1378" s="15" t="s">
        <v>14</v>
      </c>
      <c r="C1378" s="11"/>
      <c r="D1378" s="11"/>
      <c r="E1378" s="11"/>
      <c r="F1378" s="11"/>
      <c r="G1378" s="16">
        <f t="shared" si="91"/>
        <v>0</v>
      </c>
      <c r="H1378" s="11"/>
      <c r="I1378" s="1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26.25" x14ac:dyDescent="0.4">
      <c r="A1379" s="29" t="s">
        <v>15</v>
      </c>
      <c r="B1379" s="26"/>
      <c r="C1379" s="26"/>
      <c r="D1379" s="26"/>
      <c r="E1379" s="26"/>
      <c r="F1379" s="26"/>
      <c r="G1379" s="27"/>
      <c r="H1379" s="17">
        <f>SUM(G1376:G1378)</f>
        <v>1309500</v>
      </c>
      <c r="I1379" s="1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26.25" x14ac:dyDescent="0.4">
      <c r="A1380" s="29" t="s">
        <v>16</v>
      </c>
      <c r="B1380" s="26"/>
      <c r="C1380" s="26"/>
      <c r="D1380" s="26"/>
      <c r="E1380" s="26"/>
      <c r="F1380" s="26"/>
      <c r="G1380" s="27"/>
      <c r="H1380" s="17">
        <f>MAX(0,H1379-648000)</f>
        <v>661500</v>
      </c>
      <c r="I1380" s="1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26.25" x14ac:dyDescent="0.4">
      <c r="A1381" s="25" t="s">
        <v>17</v>
      </c>
      <c r="B1381" s="26"/>
      <c r="C1381" s="26"/>
      <c r="D1381" s="26"/>
      <c r="E1381" s="26"/>
      <c r="F1381" s="26"/>
      <c r="G1381" s="27"/>
      <c r="H1381" s="18">
        <v>649000</v>
      </c>
      <c r="I1381" s="1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26.25" x14ac:dyDescent="0.4">
      <c r="A1382" s="28" t="s">
        <v>18</v>
      </c>
      <c r="B1382" s="26"/>
      <c r="C1382" s="26"/>
      <c r="D1382" s="26"/>
      <c r="E1382" s="26"/>
      <c r="F1382" s="26"/>
      <c r="G1382" s="26"/>
      <c r="H1382" s="27"/>
      <c r="I1382" s="1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5" x14ac:dyDescent="0.25">
      <c r="I1383" s="1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7" spans="1:26" ht="15.75" customHeight="1" x14ac:dyDescent="0.4">
      <c r="A1387" s="28" t="s">
        <v>0</v>
      </c>
      <c r="B1387" s="26"/>
      <c r="C1387" s="26"/>
      <c r="D1387" s="26"/>
      <c r="E1387" s="26"/>
      <c r="F1387" s="26"/>
      <c r="G1387" s="26"/>
      <c r="H1387" s="27"/>
    </row>
    <row r="1388" spans="1:26" ht="15.75" customHeight="1" x14ac:dyDescent="0.4">
      <c r="A1388" s="28" t="s">
        <v>372</v>
      </c>
      <c r="B1388" s="26"/>
      <c r="C1388" s="26"/>
      <c r="D1388" s="26"/>
      <c r="E1388" s="26"/>
      <c r="F1388" s="26"/>
      <c r="G1388" s="26"/>
      <c r="H1388" s="27"/>
    </row>
    <row r="1389" spans="1:26" ht="29.25" customHeight="1" x14ac:dyDescent="0.3">
      <c r="A1389" s="3" t="s">
        <v>2</v>
      </c>
      <c r="B1389" s="3" t="s">
        <v>3</v>
      </c>
      <c r="C1389" s="3" t="s">
        <v>4</v>
      </c>
      <c r="D1389" s="3" t="s">
        <v>5</v>
      </c>
      <c r="E1389" s="3" t="s">
        <v>6</v>
      </c>
      <c r="F1389" s="4" t="s">
        <v>7</v>
      </c>
      <c r="G1389" s="3" t="s">
        <v>8</v>
      </c>
      <c r="H1389" s="5"/>
      <c r="I1389" s="1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26.25" x14ac:dyDescent="0.4">
      <c r="A1390" s="6">
        <v>1</v>
      </c>
      <c r="B1390" s="8" t="s">
        <v>373</v>
      </c>
      <c r="C1390" s="12" t="s">
        <v>374</v>
      </c>
      <c r="D1390" s="8" t="s">
        <v>11</v>
      </c>
      <c r="E1390" s="8">
        <v>1.3</v>
      </c>
      <c r="F1390" s="9">
        <v>293000</v>
      </c>
      <c r="G1390" s="10">
        <f t="shared" ref="G1390:G1392" si="92">IFERROR(E1390*F1390,0)</f>
        <v>380900</v>
      </c>
      <c r="H1390" s="11"/>
      <c r="I1390" s="1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26.25" x14ac:dyDescent="0.4">
      <c r="A1391" s="6">
        <v>2</v>
      </c>
      <c r="B1391" s="13" t="s">
        <v>375</v>
      </c>
      <c r="C1391" s="19" t="s">
        <v>376</v>
      </c>
      <c r="D1391" s="13" t="s">
        <v>13</v>
      </c>
      <c r="E1391" s="13">
        <v>2.35</v>
      </c>
      <c r="F1391" s="14">
        <v>435000</v>
      </c>
      <c r="G1391" s="10">
        <f t="shared" si="92"/>
        <v>1022250</v>
      </c>
      <c r="H1391" s="11"/>
      <c r="I1391" s="1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26.25" x14ac:dyDescent="0.4">
      <c r="A1392" s="6">
        <v>3</v>
      </c>
      <c r="B1392" s="15" t="s">
        <v>14</v>
      </c>
      <c r="C1392" s="11"/>
      <c r="D1392" s="11"/>
      <c r="E1392" s="11"/>
      <c r="F1392" s="11"/>
      <c r="G1392" s="16">
        <f t="shared" si="92"/>
        <v>0</v>
      </c>
      <c r="H1392" s="11"/>
      <c r="I1392" s="1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26.25" x14ac:dyDescent="0.4">
      <c r="A1393" s="29" t="s">
        <v>15</v>
      </c>
      <c r="B1393" s="26"/>
      <c r="C1393" s="26"/>
      <c r="D1393" s="26"/>
      <c r="E1393" s="26"/>
      <c r="F1393" s="26"/>
      <c r="G1393" s="27"/>
      <c r="H1393" s="17">
        <f>SUM(G1390:G1392)</f>
        <v>1403150</v>
      </c>
      <c r="I1393" s="1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26.25" x14ac:dyDescent="0.4">
      <c r="A1394" s="29" t="s">
        <v>16</v>
      </c>
      <c r="B1394" s="26"/>
      <c r="C1394" s="26"/>
      <c r="D1394" s="26"/>
      <c r="E1394" s="26"/>
      <c r="F1394" s="26"/>
      <c r="G1394" s="27"/>
      <c r="H1394" s="17">
        <f>MAX(0,H1393-648000)</f>
        <v>755150</v>
      </c>
      <c r="I1394" s="1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26.25" x14ac:dyDescent="0.4">
      <c r="A1395" s="25" t="s">
        <v>17</v>
      </c>
      <c r="B1395" s="26"/>
      <c r="C1395" s="26"/>
      <c r="D1395" s="26"/>
      <c r="E1395" s="26"/>
      <c r="F1395" s="26"/>
      <c r="G1395" s="27"/>
      <c r="H1395" s="18">
        <v>649000</v>
      </c>
      <c r="I1395" s="1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26.25" x14ac:dyDescent="0.4">
      <c r="A1396" s="28" t="s">
        <v>18</v>
      </c>
      <c r="B1396" s="26"/>
      <c r="C1396" s="26"/>
      <c r="D1396" s="26"/>
      <c r="E1396" s="26"/>
      <c r="F1396" s="26"/>
      <c r="G1396" s="26"/>
      <c r="H1396" s="27"/>
      <c r="I1396" s="1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5" x14ac:dyDescent="0.25">
      <c r="I1397" s="1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5" x14ac:dyDescent="0.25">
      <c r="I1398" s="1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402" spans="1:26" ht="15.75" customHeight="1" x14ac:dyDescent="0.4">
      <c r="A1402" s="28" t="s">
        <v>0</v>
      </c>
      <c r="B1402" s="26"/>
      <c r="C1402" s="26"/>
      <c r="D1402" s="26"/>
      <c r="E1402" s="26"/>
      <c r="F1402" s="26"/>
      <c r="G1402" s="26"/>
      <c r="H1402" s="27"/>
    </row>
    <row r="1403" spans="1:26" ht="15.75" customHeight="1" x14ac:dyDescent="0.4">
      <c r="A1403" s="28" t="s">
        <v>377</v>
      </c>
      <c r="B1403" s="26"/>
      <c r="C1403" s="26"/>
      <c r="D1403" s="26"/>
      <c r="E1403" s="26"/>
      <c r="F1403" s="26"/>
      <c r="G1403" s="26"/>
      <c r="H1403" s="27"/>
    </row>
    <row r="1404" spans="1:26" ht="29.25" customHeight="1" x14ac:dyDescent="0.3">
      <c r="A1404" s="3" t="s">
        <v>2</v>
      </c>
      <c r="B1404" s="3" t="s">
        <v>3</v>
      </c>
      <c r="C1404" s="3" t="s">
        <v>4</v>
      </c>
      <c r="D1404" s="3" t="s">
        <v>5</v>
      </c>
      <c r="E1404" s="3" t="s">
        <v>6</v>
      </c>
      <c r="F1404" s="4" t="s">
        <v>7</v>
      </c>
      <c r="G1404" s="3" t="s">
        <v>8</v>
      </c>
      <c r="H1404" s="5"/>
      <c r="I1404" s="1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26.25" x14ac:dyDescent="0.4">
      <c r="A1405" s="6">
        <v>1</v>
      </c>
      <c r="B1405" s="8" t="s">
        <v>12</v>
      </c>
      <c r="C1405" s="12" t="s">
        <v>378</v>
      </c>
      <c r="D1405" s="8" t="s">
        <v>11</v>
      </c>
      <c r="E1405" s="8">
        <v>2.92</v>
      </c>
      <c r="F1405" s="9">
        <v>293000</v>
      </c>
      <c r="G1405" s="10">
        <f t="shared" ref="G1405:G1407" si="93">IFERROR(E1405*F1405,0)</f>
        <v>855560</v>
      </c>
      <c r="H1405" s="11"/>
      <c r="I1405" s="1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26.25" x14ac:dyDescent="0.4">
      <c r="A1406" s="6">
        <v>2</v>
      </c>
      <c r="B1406" s="13" t="s">
        <v>379</v>
      </c>
      <c r="C1406" s="19" t="s">
        <v>380</v>
      </c>
      <c r="D1406" s="13" t="s">
        <v>13</v>
      </c>
      <c r="E1406" s="13">
        <v>0.7</v>
      </c>
      <c r="F1406" s="14">
        <v>435000</v>
      </c>
      <c r="G1406" s="10">
        <f t="shared" si="93"/>
        <v>304500</v>
      </c>
      <c r="H1406" s="11"/>
      <c r="I1406" s="1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26.25" x14ac:dyDescent="0.4">
      <c r="A1407" s="6">
        <v>3</v>
      </c>
      <c r="B1407" s="15" t="s">
        <v>14</v>
      </c>
      <c r="C1407" s="11"/>
      <c r="D1407" s="11"/>
      <c r="E1407" s="11"/>
      <c r="F1407" s="11"/>
      <c r="G1407" s="16">
        <f t="shared" si="93"/>
        <v>0</v>
      </c>
      <c r="H1407" s="11"/>
      <c r="I1407" s="1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26.25" x14ac:dyDescent="0.4">
      <c r="A1408" s="29" t="s">
        <v>15</v>
      </c>
      <c r="B1408" s="26"/>
      <c r="C1408" s="26"/>
      <c r="D1408" s="26"/>
      <c r="E1408" s="26"/>
      <c r="F1408" s="26"/>
      <c r="G1408" s="27"/>
      <c r="H1408" s="17">
        <f>SUM(G1405:G1407)</f>
        <v>1160060</v>
      </c>
      <c r="I1408" s="1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26.25" x14ac:dyDescent="0.4">
      <c r="A1409" s="29" t="s">
        <v>16</v>
      </c>
      <c r="B1409" s="26"/>
      <c r="C1409" s="26"/>
      <c r="D1409" s="26"/>
      <c r="E1409" s="26"/>
      <c r="F1409" s="26"/>
      <c r="G1409" s="27"/>
      <c r="H1409" s="17">
        <f>MAX(0,H1408-648000)</f>
        <v>512060</v>
      </c>
      <c r="I1409" s="1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26.25" x14ac:dyDescent="0.4">
      <c r="A1410" s="25" t="s">
        <v>17</v>
      </c>
      <c r="B1410" s="26"/>
      <c r="C1410" s="26"/>
      <c r="D1410" s="26"/>
      <c r="E1410" s="26"/>
      <c r="F1410" s="26"/>
      <c r="G1410" s="27"/>
      <c r="H1410" s="18">
        <v>649000</v>
      </c>
      <c r="I1410" s="1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26.25" x14ac:dyDescent="0.4">
      <c r="A1411" s="28" t="s">
        <v>18</v>
      </c>
      <c r="B1411" s="26"/>
      <c r="C1411" s="26"/>
      <c r="D1411" s="26"/>
      <c r="E1411" s="26"/>
      <c r="F1411" s="26"/>
      <c r="G1411" s="26"/>
      <c r="H1411" s="27"/>
      <c r="I1411" s="1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5" x14ac:dyDescent="0.25">
      <c r="I1412" s="1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5" x14ac:dyDescent="0.25">
      <c r="I1413" s="1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7" spans="1:26" ht="15.75" customHeight="1" x14ac:dyDescent="0.4">
      <c r="A1417" s="28" t="s">
        <v>0</v>
      </c>
      <c r="B1417" s="26"/>
      <c r="C1417" s="26"/>
      <c r="D1417" s="26"/>
      <c r="E1417" s="26"/>
      <c r="F1417" s="26"/>
      <c r="G1417" s="26"/>
      <c r="H1417" s="27"/>
    </row>
    <row r="1418" spans="1:26" ht="15.75" customHeight="1" x14ac:dyDescent="0.4">
      <c r="A1418" s="28" t="s">
        <v>381</v>
      </c>
      <c r="B1418" s="26"/>
      <c r="C1418" s="26"/>
      <c r="D1418" s="26"/>
      <c r="E1418" s="26"/>
      <c r="F1418" s="26"/>
      <c r="G1418" s="26"/>
      <c r="H1418" s="27"/>
    </row>
    <row r="1419" spans="1:26" ht="29.25" customHeight="1" x14ac:dyDescent="0.3">
      <c r="A1419" s="3" t="s">
        <v>2</v>
      </c>
      <c r="B1419" s="3" t="s">
        <v>3</v>
      </c>
      <c r="C1419" s="3" t="s">
        <v>4</v>
      </c>
      <c r="D1419" s="3" t="s">
        <v>5</v>
      </c>
      <c r="E1419" s="3" t="s">
        <v>6</v>
      </c>
      <c r="F1419" s="4" t="s">
        <v>7</v>
      </c>
      <c r="G1419" s="3" t="s">
        <v>8</v>
      </c>
      <c r="H1419" s="5"/>
      <c r="I1419" s="1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26.25" x14ac:dyDescent="0.4">
      <c r="A1420" s="6">
        <v>1</v>
      </c>
      <c r="B1420" s="8" t="s">
        <v>310</v>
      </c>
      <c r="C1420" s="12" t="s">
        <v>382</v>
      </c>
      <c r="D1420" s="8" t="s">
        <v>11</v>
      </c>
      <c r="E1420" s="8">
        <v>2.09</v>
      </c>
      <c r="F1420" s="9">
        <v>293000</v>
      </c>
      <c r="G1420" s="10">
        <f t="shared" ref="G1420:G1422" si="94">IFERROR(E1420*F1420,0)</f>
        <v>612370</v>
      </c>
      <c r="H1420" s="11"/>
      <c r="I1420" s="1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26.25" x14ac:dyDescent="0.4">
      <c r="A1421" s="6">
        <v>2</v>
      </c>
      <c r="B1421" s="13" t="s">
        <v>383</v>
      </c>
      <c r="C1421" s="19" t="s">
        <v>384</v>
      </c>
      <c r="D1421" s="13" t="s">
        <v>13</v>
      </c>
      <c r="E1421" s="13">
        <v>1.45</v>
      </c>
      <c r="F1421" s="14">
        <v>435000</v>
      </c>
      <c r="G1421" s="10">
        <f t="shared" si="94"/>
        <v>630750</v>
      </c>
      <c r="H1421" s="11"/>
      <c r="I1421" s="1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26.25" x14ac:dyDescent="0.4">
      <c r="A1422" s="6">
        <v>3</v>
      </c>
      <c r="B1422" s="15" t="s">
        <v>14</v>
      </c>
      <c r="C1422" s="11"/>
      <c r="D1422" s="11"/>
      <c r="E1422" s="11"/>
      <c r="F1422" s="11"/>
      <c r="G1422" s="16">
        <f t="shared" si="94"/>
        <v>0</v>
      </c>
      <c r="H1422" s="11"/>
      <c r="I1422" s="1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26.25" x14ac:dyDescent="0.4">
      <c r="A1423" s="29" t="s">
        <v>15</v>
      </c>
      <c r="B1423" s="26"/>
      <c r="C1423" s="26"/>
      <c r="D1423" s="26"/>
      <c r="E1423" s="26"/>
      <c r="F1423" s="26"/>
      <c r="G1423" s="27"/>
      <c r="H1423" s="17">
        <f>SUM(G1420:G1422)</f>
        <v>1243120</v>
      </c>
      <c r="I1423" s="1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26.25" x14ac:dyDescent="0.4">
      <c r="A1424" s="29" t="s">
        <v>16</v>
      </c>
      <c r="B1424" s="26"/>
      <c r="C1424" s="26"/>
      <c r="D1424" s="26"/>
      <c r="E1424" s="26"/>
      <c r="F1424" s="26"/>
      <c r="G1424" s="27"/>
      <c r="H1424" s="17">
        <f>MAX(0,H1423-648000)</f>
        <v>595120</v>
      </c>
      <c r="I1424" s="1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26.25" x14ac:dyDescent="0.4">
      <c r="A1425" s="25" t="s">
        <v>17</v>
      </c>
      <c r="B1425" s="26"/>
      <c r="C1425" s="26"/>
      <c r="D1425" s="26"/>
      <c r="E1425" s="26"/>
      <c r="F1425" s="26"/>
      <c r="G1425" s="27"/>
      <c r="H1425" s="18">
        <v>649000</v>
      </c>
      <c r="I1425" s="1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26.25" x14ac:dyDescent="0.4">
      <c r="A1426" s="28" t="s">
        <v>18</v>
      </c>
      <c r="B1426" s="26"/>
      <c r="C1426" s="26"/>
      <c r="D1426" s="26"/>
      <c r="E1426" s="26"/>
      <c r="F1426" s="26"/>
      <c r="G1426" s="26"/>
      <c r="H1426" s="27"/>
      <c r="I1426" s="1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5" x14ac:dyDescent="0.25">
      <c r="I1427" s="1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5" x14ac:dyDescent="0.25">
      <c r="I1428" s="1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32" spans="1:26" ht="15.75" customHeight="1" x14ac:dyDescent="0.4">
      <c r="A1432" s="28" t="s">
        <v>0</v>
      </c>
      <c r="B1432" s="26"/>
      <c r="C1432" s="26"/>
      <c r="D1432" s="26"/>
      <c r="E1432" s="26"/>
      <c r="F1432" s="26"/>
      <c r="G1432" s="26"/>
      <c r="H1432" s="27"/>
    </row>
    <row r="1433" spans="1:26" ht="15.75" customHeight="1" x14ac:dyDescent="0.4">
      <c r="A1433" s="28" t="s">
        <v>385</v>
      </c>
      <c r="B1433" s="26"/>
      <c r="C1433" s="26"/>
      <c r="D1433" s="26"/>
      <c r="E1433" s="26"/>
      <c r="F1433" s="26"/>
      <c r="G1433" s="26"/>
      <c r="H1433" s="27"/>
    </row>
    <row r="1434" spans="1:26" ht="29.25" customHeight="1" x14ac:dyDescent="0.3">
      <c r="A1434" s="3" t="s">
        <v>2</v>
      </c>
      <c r="B1434" s="3" t="s">
        <v>3</v>
      </c>
      <c r="C1434" s="3" t="s">
        <v>4</v>
      </c>
      <c r="D1434" s="3" t="s">
        <v>5</v>
      </c>
      <c r="E1434" s="3" t="s">
        <v>6</v>
      </c>
      <c r="F1434" s="4" t="s">
        <v>7</v>
      </c>
      <c r="G1434" s="3" t="s">
        <v>8</v>
      </c>
      <c r="H1434" s="5"/>
      <c r="I1434" s="1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26.25" x14ac:dyDescent="0.4">
      <c r="A1435" s="6">
        <v>1</v>
      </c>
      <c r="B1435" s="8" t="s">
        <v>151</v>
      </c>
      <c r="C1435" s="12" t="s">
        <v>386</v>
      </c>
      <c r="D1435" s="8" t="s">
        <v>11</v>
      </c>
      <c r="E1435" s="8">
        <v>1</v>
      </c>
      <c r="F1435" s="9">
        <v>293000</v>
      </c>
      <c r="G1435" s="10">
        <f t="shared" ref="G1435:G1437" si="95">IFERROR(E1435*F1435,0)</f>
        <v>293000</v>
      </c>
      <c r="H1435" s="11"/>
      <c r="I1435" s="1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26.25" x14ac:dyDescent="0.4">
      <c r="A1436" s="6">
        <v>2</v>
      </c>
      <c r="B1436" s="13" t="s">
        <v>22</v>
      </c>
      <c r="C1436" s="19" t="s">
        <v>302</v>
      </c>
      <c r="D1436" s="13" t="s">
        <v>13</v>
      </c>
      <c r="E1436" s="13">
        <v>2.4300000000000002</v>
      </c>
      <c r="F1436" s="14">
        <v>435000</v>
      </c>
      <c r="G1436" s="10">
        <f t="shared" si="95"/>
        <v>1057050</v>
      </c>
      <c r="H1436" s="11"/>
      <c r="I1436" s="1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26.25" x14ac:dyDescent="0.4">
      <c r="A1437" s="6">
        <v>3</v>
      </c>
      <c r="B1437" s="15" t="s">
        <v>14</v>
      </c>
      <c r="C1437" s="11"/>
      <c r="D1437" s="11"/>
      <c r="E1437" s="11"/>
      <c r="F1437" s="11"/>
      <c r="G1437" s="16">
        <f t="shared" si="95"/>
        <v>0</v>
      </c>
      <c r="H1437" s="11"/>
      <c r="I1437" s="1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26.25" x14ac:dyDescent="0.4">
      <c r="A1438" s="29" t="s">
        <v>15</v>
      </c>
      <c r="B1438" s="26"/>
      <c r="C1438" s="26"/>
      <c r="D1438" s="26"/>
      <c r="E1438" s="26"/>
      <c r="F1438" s="26"/>
      <c r="G1438" s="27"/>
      <c r="H1438" s="17">
        <f>SUM(G1435:G1437)</f>
        <v>1350050</v>
      </c>
      <c r="I1438" s="1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26.25" x14ac:dyDescent="0.4">
      <c r="A1439" s="29" t="s">
        <v>16</v>
      </c>
      <c r="B1439" s="26"/>
      <c r="C1439" s="26"/>
      <c r="D1439" s="26"/>
      <c r="E1439" s="26"/>
      <c r="F1439" s="26"/>
      <c r="G1439" s="27"/>
      <c r="H1439" s="17">
        <f>MAX(0,H1438-648000)</f>
        <v>702050</v>
      </c>
      <c r="I1439" s="1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26.25" x14ac:dyDescent="0.4">
      <c r="A1440" s="25" t="s">
        <v>17</v>
      </c>
      <c r="B1440" s="26"/>
      <c r="C1440" s="26"/>
      <c r="D1440" s="26"/>
      <c r="E1440" s="26"/>
      <c r="F1440" s="26"/>
      <c r="G1440" s="27"/>
      <c r="H1440" s="18">
        <v>649000</v>
      </c>
      <c r="I1440" s="1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26.25" x14ac:dyDescent="0.4">
      <c r="A1441" s="28" t="s">
        <v>18</v>
      </c>
      <c r="B1441" s="26"/>
      <c r="C1441" s="26"/>
      <c r="D1441" s="26"/>
      <c r="E1441" s="26"/>
      <c r="F1441" s="26"/>
      <c r="G1441" s="26"/>
      <c r="H1441" s="27"/>
      <c r="I1441" s="1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5" x14ac:dyDescent="0.25">
      <c r="I1442" s="1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5" x14ac:dyDescent="0.25">
      <c r="I1443" s="1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7" spans="1:26" ht="15.75" customHeight="1" x14ac:dyDescent="0.4">
      <c r="A1447" s="28" t="s">
        <v>0</v>
      </c>
      <c r="B1447" s="26"/>
      <c r="C1447" s="26"/>
      <c r="D1447" s="26"/>
      <c r="E1447" s="26"/>
      <c r="F1447" s="26"/>
      <c r="G1447" s="26"/>
      <c r="H1447" s="27"/>
    </row>
    <row r="1448" spans="1:26" ht="15.75" customHeight="1" x14ac:dyDescent="0.4">
      <c r="A1448" s="28" t="s">
        <v>387</v>
      </c>
      <c r="B1448" s="26"/>
      <c r="C1448" s="26"/>
      <c r="D1448" s="26"/>
      <c r="E1448" s="26"/>
      <c r="F1448" s="26"/>
      <c r="G1448" s="26"/>
      <c r="H1448" s="27"/>
    </row>
    <row r="1449" spans="1:26" ht="29.25" customHeight="1" x14ac:dyDescent="0.3">
      <c r="A1449" s="3" t="s">
        <v>2</v>
      </c>
      <c r="B1449" s="3" t="s">
        <v>3</v>
      </c>
      <c r="C1449" s="3" t="s">
        <v>4</v>
      </c>
      <c r="D1449" s="3" t="s">
        <v>5</v>
      </c>
      <c r="E1449" s="3" t="s">
        <v>6</v>
      </c>
      <c r="F1449" s="4" t="s">
        <v>7</v>
      </c>
      <c r="G1449" s="3" t="s">
        <v>8</v>
      </c>
      <c r="H1449" s="5"/>
      <c r="I1449" s="1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26.25" x14ac:dyDescent="0.4">
      <c r="A1450" s="6">
        <v>1</v>
      </c>
      <c r="B1450" s="8" t="s">
        <v>240</v>
      </c>
      <c r="C1450" s="12" t="s">
        <v>388</v>
      </c>
      <c r="D1450" s="8" t="s">
        <v>11</v>
      </c>
      <c r="E1450" s="8">
        <v>1.5</v>
      </c>
      <c r="F1450" s="9">
        <v>293000</v>
      </c>
      <c r="G1450" s="10">
        <f t="shared" ref="G1450:G1452" si="96">IFERROR(E1450*F1450,0)</f>
        <v>439500</v>
      </c>
      <c r="H1450" s="11"/>
      <c r="I1450" s="1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26.25" x14ac:dyDescent="0.4">
      <c r="A1451" s="6">
        <v>2</v>
      </c>
      <c r="B1451" s="13" t="s">
        <v>190</v>
      </c>
      <c r="C1451" s="19" t="s">
        <v>191</v>
      </c>
      <c r="D1451" s="13" t="s">
        <v>13</v>
      </c>
      <c r="E1451" s="13">
        <v>2</v>
      </c>
      <c r="F1451" s="14">
        <v>435000</v>
      </c>
      <c r="G1451" s="10">
        <f t="shared" si="96"/>
        <v>870000</v>
      </c>
      <c r="H1451" s="11"/>
      <c r="I1451" s="1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26.25" x14ac:dyDescent="0.4">
      <c r="A1452" s="6">
        <v>3</v>
      </c>
      <c r="B1452" s="15" t="s">
        <v>14</v>
      </c>
      <c r="C1452" s="11"/>
      <c r="D1452" s="11"/>
      <c r="E1452" s="11"/>
      <c r="F1452" s="11"/>
      <c r="G1452" s="16">
        <f t="shared" si="96"/>
        <v>0</v>
      </c>
      <c r="H1452" s="11"/>
      <c r="I1452" s="1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26.25" x14ac:dyDescent="0.4">
      <c r="A1453" s="29" t="s">
        <v>15</v>
      </c>
      <c r="B1453" s="26"/>
      <c r="C1453" s="26"/>
      <c r="D1453" s="26"/>
      <c r="E1453" s="26"/>
      <c r="F1453" s="26"/>
      <c r="G1453" s="27"/>
      <c r="H1453" s="17">
        <f>SUM(G1450:G1452)</f>
        <v>1309500</v>
      </c>
      <c r="I1453" s="1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26.25" x14ac:dyDescent="0.4">
      <c r="A1454" s="29" t="s">
        <v>16</v>
      </c>
      <c r="B1454" s="26"/>
      <c r="C1454" s="26"/>
      <c r="D1454" s="26"/>
      <c r="E1454" s="26"/>
      <c r="F1454" s="26"/>
      <c r="G1454" s="27"/>
      <c r="H1454" s="17">
        <f>MAX(0,H1453-648000)</f>
        <v>661500</v>
      </c>
      <c r="I1454" s="1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26.25" x14ac:dyDescent="0.4">
      <c r="A1455" s="25" t="s">
        <v>17</v>
      </c>
      <c r="B1455" s="26"/>
      <c r="C1455" s="26"/>
      <c r="D1455" s="26"/>
      <c r="E1455" s="26"/>
      <c r="F1455" s="26"/>
      <c r="G1455" s="27"/>
      <c r="H1455" s="18">
        <v>649000</v>
      </c>
      <c r="I1455" s="1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26.25" x14ac:dyDescent="0.4">
      <c r="A1456" s="28" t="s">
        <v>18</v>
      </c>
      <c r="B1456" s="26"/>
      <c r="C1456" s="26"/>
      <c r="D1456" s="26"/>
      <c r="E1456" s="26"/>
      <c r="F1456" s="26"/>
      <c r="G1456" s="26"/>
      <c r="H1456" s="27"/>
      <c r="I1456" s="1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5" x14ac:dyDescent="0.25">
      <c r="I1457" s="1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5" x14ac:dyDescent="0.25">
      <c r="I1458" s="1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62" spans="1:26" ht="15.75" customHeight="1" x14ac:dyDescent="0.4">
      <c r="A1462" s="28" t="s">
        <v>0</v>
      </c>
      <c r="B1462" s="26"/>
      <c r="C1462" s="26"/>
      <c r="D1462" s="26"/>
      <c r="E1462" s="26"/>
      <c r="F1462" s="26"/>
      <c r="G1462" s="26"/>
      <c r="H1462" s="27"/>
    </row>
    <row r="1463" spans="1:26" ht="29.25" customHeight="1" x14ac:dyDescent="0.4">
      <c r="A1463" s="28" t="s">
        <v>389</v>
      </c>
      <c r="B1463" s="26"/>
      <c r="C1463" s="26"/>
      <c r="D1463" s="26"/>
      <c r="E1463" s="26"/>
      <c r="F1463" s="26"/>
      <c r="G1463" s="26"/>
      <c r="H1463" s="27"/>
      <c r="I1463" s="1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8.75" x14ac:dyDescent="0.3">
      <c r="A1464" s="3" t="s">
        <v>2</v>
      </c>
      <c r="B1464" s="3" t="s">
        <v>3</v>
      </c>
      <c r="C1464" s="3" t="s">
        <v>4</v>
      </c>
      <c r="D1464" s="3" t="s">
        <v>5</v>
      </c>
      <c r="E1464" s="3" t="s">
        <v>6</v>
      </c>
      <c r="F1464" s="4" t="s">
        <v>7</v>
      </c>
      <c r="G1464" s="3" t="s">
        <v>8</v>
      </c>
      <c r="H1464" s="5"/>
      <c r="I1464" s="1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26.25" x14ac:dyDescent="0.4">
      <c r="A1465" s="6">
        <v>1</v>
      </c>
      <c r="B1465" s="8" t="s">
        <v>22</v>
      </c>
      <c r="C1465" s="12" t="s">
        <v>390</v>
      </c>
      <c r="D1465" s="8" t="s">
        <v>11</v>
      </c>
      <c r="E1465" s="8">
        <v>1</v>
      </c>
      <c r="F1465" s="9">
        <v>293000</v>
      </c>
      <c r="G1465" s="10">
        <f t="shared" ref="G1465:G1467" si="97">IFERROR(E1465*F1465,0)</f>
        <v>293000</v>
      </c>
      <c r="H1465" s="11"/>
      <c r="I1465" s="1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26.25" x14ac:dyDescent="0.4">
      <c r="A1466" s="6">
        <v>2</v>
      </c>
      <c r="B1466" s="13" t="s">
        <v>391</v>
      </c>
      <c r="C1466" s="19" t="s">
        <v>392</v>
      </c>
      <c r="D1466" s="13" t="s">
        <v>13</v>
      </c>
      <c r="E1466" s="13">
        <v>2.5</v>
      </c>
      <c r="F1466" s="14">
        <v>435000</v>
      </c>
      <c r="G1466" s="10">
        <f t="shared" si="97"/>
        <v>1087500</v>
      </c>
      <c r="H1466" s="11"/>
      <c r="I1466" s="1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26.25" x14ac:dyDescent="0.4">
      <c r="A1467" s="6">
        <v>3</v>
      </c>
      <c r="B1467" s="15" t="s">
        <v>14</v>
      </c>
      <c r="C1467" s="11"/>
      <c r="D1467" s="11"/>
      <c r="E1467" s="11"/>
      <c r="F1467" s="11"/>
      <c r="G1467" s="16">
        <f t="shared" si="97"/>
        <v>0</v>
      </c>
      <c r="H1467" s="11"/>
      <c r="I1467" s="1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26.25" x14ac:dyDescent="0.4">
      <c r="A1468" s="29" t="s">
        <v>15</v>
      </c>
      <c r="B1468" s="26"/>
      <c r="C1468" s="26"/>
      <c r="D1468" s="26"/>
      <c r="E1468" s="26"/>
      <c r="F1468" s="26"/>
      <c r="G1468" s="27"/>
      <c r="H1468" s="17">
        <f>SUM(G1465:G1467)</f>
        <v>1380500</v>
      </c>
      <c r="I1468" s="1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26.25" x14ac:dyDescent="0.4">
      <c r="A1469" s="29" t="s">
        <v>16</v>
      </c>
      <c r="B1469" s="26"/>
      <c r="C1469" s="26"/>
      <c r="D1469" s="26"/>
      <c r="E1469" s="26"/>
      <c r="F1469" s="26"/>
      <c r="G1469" s="27"/>
      <c r="H1469" s="17">
        <f>MAX(0,H1468-648000)</f>
        <v>732500</v>
      </c>
      <c r="I1469" s="1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26.25" x14ac:dyDescent="0.4">
      <c r="A1470" s="25" t="s">
        <v>17</v>
      </c>
      <c r="B1470" s="26"/>
      <c r="C1470" s="26"/>
      <c r="D1470" s="26"/>
      <c r="E1470" s="26"/>
      <c r="F1470" s="26"/>
      <c r="G1470" s="27"/>
      <c r="H1470" s="18">
        <v>649000</v>
      </c>
      <c r="I1470" s="1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26.25" x14ac:dyDescent="0.4">
      <c r="A1471" s="28" t="s">
        <v>18</v>
      </c>
      <c r="B1471" s="26"/>
      <c r="C1471" s="26"/>
      <c r="D1471" s="26"/>
      <c r="E1471" s="26"/>
      <c r="F1471" s="26"/>
      <c r="G1471" s="26"/>
      <c r="H1471" s="27"/>
      <c r="I1471" s="1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5" x14ac:dyDescent="0.25">
      <c r="I1472" s="1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6" spans="1:26" ht="15.75" customHeight="1" x14ac:dyDescent="0.4">
      <c r="A1476" s="28" t="s">
        <v>0</v>
      </c>
      <c r="B1476" s="26"/>
      <c r="C1476" s="26"/>
      <c r="D1476" s="26"/>
      <c r="E1476" s="26"/>
      <c r="F1476" s="26"/>
      <c r="G1476" s="26"/>
      <c r="H1476" s="27"/>
    </row>
    <row r="1477" spans="1:26" ht="29.25" customHeight="1" x14ac:dyDescent="0.4">
      <c r="A1477" s="28" t="s">
        <v>393</v>
      </c>
      <c r="B1477" s="26"/>
      <c r="C1477" s="26"/>
      <c r="D1477" s="26"/>
      <c r="E1477" s="26"/>
      <c r="F1477" s="26"/>
      <c r="G1477" s="26"/>
      <c r="H1477" s="27"/>
      <c r="I1477" s="1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8.75" x14ac:dyDescent="0.3">
      <c r="A1478" s="3" t="s">
        <v>2</v>
      </c>
      <c r="B1478" s="3" t="s">
        <v>3</v>
      </c>
      <c r="C1478" s="3" t="s">
        <v>4</v>
      </c>
      <c r="D1478" s="3" t="s">
        <v>5</v>
      </c>
      <c r="E1478" s="3" t="s">
        <v>6</v>
      </c>
      <c r="F1478" s="4" t="s">
        <v>7</v>
      </c>
      <c r="G1478" s="3" t="s">
        <v>8</v>
      </c>
      <c r="H1478" s="5"/>
      <c r="I1478" s="1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26.25" x14ac:dyDescent="0.4">
      <c r="A1479" s="6">
        <v>1</v>
      </c>
      <c r="B1479" s="8" t="s">
        <v>197</v>
      </c>
      <c r="C1479" s="12" t="s">
        <v>394</v>
      </c>
      <c r="D1479" s="8" t="s">
        <v>11</v>
      </c>
      <c r="E1479" s="8">
        <v>1.57</v>
      </c>
      <c r="F1479" s="9">
        <v>293000</v>
      </c>
      <c r="G1479" s="10">
        <f t="shared" ref="G1479:G1481" si="98">IFERROR(E1479*F1479,0)</f>
        <v>460010</v>
      </c>
      <c r="H1479" s="11"/>
      <c r="I1479" s="1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26.25" x14ac:dyDescent="0.4">
      <c r="A1480" s="6">
        <v>2</v>
      </c>
      <c r="B1480" s="13" t="s">
        <v>22</v>
      </c>
      <c r="C1480" s="19" t="s">
        <v>395</v>
      </c>
      <c r="D1480" s="13" t="s">
        <v>13</v>
      </c>
      <c r="E1480" s="13">
        <v>1.95</v>
      </c>
      <c r="F1480" s="14">
        <v>435000</v>
      </c>
      <c r="G1480" s="10">
        <f t="shared" si="98"/>
        <v>848250</v>
      </c>
      <c r="H1480" s="11"/>
      <c r="I1480" s="1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26.25" x14ac:dyDescent="0.4">
      <c r="A1481" s="6">
        <v>3</v>
      </c>
      <c r="B1481" s="15" t="s">
        <v>14</v>
      </c>
      <c r="C1481" s="11"/>
      <c r="D1481" s="11"/>
      <c r="E1481" s="11"/>
      <c r="F1481" s="11"/>
      <c r="G1481" s="16">
        <f t="shared" si="98"/>
        <v>0</v>
      </c>
      <c r="H1481" s="11"/>
      <c r="I1481" s="1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26.25" x14ac:dyDescent="0.4">
      <c r="A1482" s="29" t="s">
        <v>15</v>
      </c>
      <c r="B1482" s="26"/>
      <c r="C1482" s="26"/>
      <c r="D1482" s="26"/>
      <c r="E1482" s="26"/>
      <c r="F1482" s="26"/>
      <c r="G1482" s="27"/>
      <c r="H1482" s="17">
        <f>SUM(G1479:G1481)</f>
        <v>1308260</v>
      </c>
      <c r="I1482" s="1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26.25" x14ac:dyDescent="0.4">
      <c r="A1483" s="29" t="s">
        <v>16</v>
      </c>
      <c r="B1483" s="26"/>
      <c r="C1483" s="26"/>
      <c r="D1483" s="26"/>
      <c r="E1483" s="26"/>
      <c r="F1483" s="26"/>
      <c r="G1483" s="27"/>
      <c r="H1483" s="17">
        <f>MAX(0,H1482-648000)</f>
        <v>660260</v>
      </c>
      <c r="I1483" s="1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26.25" x14ac:dyDescent="0.4">
      <c r="A1484" s="25" t="s">
        <v>17</v>
      </c>
      <c r="B1484" s="26"/>
      <c r="C1484" s="26"/>
      <c r="D1484" s="26"/>
      <c r="E1484" s="26"/>
      <c r="F1484" s="26"/>
      <c r="G1484" s="27"/>
      <c r="H1484" s="18">
        <v>649000</v>
      </c>
      <c r="I1484" s="1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26.25" x14ac:dyDescent="0.4">
      <c r="A1485" s="28" t="s">
        <v>18</v>
      </c>
      <c r="B1485" s="26"/>
      <c r="C1485" s="26"/>
      <c r="D1485" s="26"/>
      <c r="E1485" s="26"/>
      <c r="F1485" s="26"/>
      <c r="G1485" s="26"/>
      <c r="H1485" s="27"/>
      <c r="I1485" s="1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5" x14ac:dyDescent="0.25">
      <c r="I1486" s="1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90" spans="1:26" ht="15.75" customHeight="1" x14ac:dyDescent="0.4">
      <c r="A1490" s="28" t="s">
        <v>0</v>
      </c>
      <c r="B1490" s="26"/>
      <c r="C1490" s="26"/>
      <c r="D1490" s="26"/>
      <c r="E1490" s="26"/>
      <c r="F1490" s="26"/>
      <c r="G1490" s="26"/>
      <c r="H1490" s="27"/>
    </row>
    <row r="1491" spans="1:26" ht="15.75" customHeight="1" x14ac:dyDescent="0.4">
      <c r="A1491" s="28" t="s">
        <v>396</v>
      </c>
      <c r="B1491" s="26"/>
      <c r="C1491" s="26"/>
      <c r="D1491" s="26"/>
      <c r="E1491" s="26"/>
      <c r="F1491" s="26"/>
      <c r="G1491" s="26"/>
      <c r="H1491" s="27"/>
    </row>
    <row r="1492" spans="1:26" ht="29.25" customHeight="1" x14ac:dyDescent="0.3">
      <c r="A1492" s="3" t="s">
        <v>2</v>
      </c>
      <c r="B1492" s="3" t="s">
        <v>3</v>
      </c>
      <c r="C1492" s="3" t="s">
        <v>4</v>
      </c>
      <c r="D1492" s="3" t="s">
        <v>5</v>
      </c>
      <c r="E1492" s="3" t="s">
        <v>6</v>
      </c>
      <c r="F1492" s="4" t="s">
        <v>7</v>
      </c>
      <c r="G1492" s="3" t="s">
        <v>8</v>
      </c>
      <c r="H1492" s="5"/>
      <c r="I1492" s="1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26.25" x14ac:dyDescent="0.4">
      <c r="A1493" s="6">
        <v>1</v>
      </c>
      <c r="B1493" s="8" t="s">
        <v>373</v>
      </c>
      <c r="C1493" s="12" t="s">
        <v>397</v>
      </c>
      <c r="D1493" s="8" t="s">
        <v>11</v>
      </c>
      <c r="E1493" s="8">
        <v>2.5499999999999998</v>
      </c>
      <c r="F1493" s="9">
        <v>293000</v>
      </c>
      <c r="G1493" s="10">
        <f t="shared" ref="G1493:G1495" si="99">IFERROR(E1493*F1493,0)</f>
        <v>747150</v>
      </c>
      <c r="H1493" s="11"/>
      <c r="I1493" s="1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26.25" x14ac:dyDescent="0.4">
      <c r="A1494" s="6">
        <v>2</v>
      </c>
      <c r="B1494" s="13" t="s">
        <v>240</v>
      </c>
      <c r="C1494" s="19" t="s">
        <v>398</v>
      </c>
      <c r="D1494" s="13" t="s">
        <v>13</v>
      </c>
      <c r="E1494" s="13">
        <v>1</v>
      </c>
      <c r="F1494" s="14">
        <v>435000</v>
      </c>
      <c r="G1494" s="10">
        <f t="shared" si="99"/>
        <v>435000</v>
      </c>
      <c r="H1494" s="11"/>
      <c r="I1494" s="1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26.25" x14ac:dyDescent="0.4">
      <c r="A1495" s="6">
        <v>3</v>
      </c>
      <c r="B1495" s="15" t="s">
        <v>14</v>
      </c>
      <c r="C1495" s="11"/>
      <c r="D1495" s="11"/>
      <c r="E1495" s="11"/>
      <c r="F1495" s="11"/>
      <c r="G1495" s="16">
        <f t="shared" si="99"/>
        <v>0</v>
      </c>
      <c r="H1495" s="11"/>
      <c r="I1495" s="1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26.25" x14ac:dyDescent="0.4">
      <c r="A1496" s="29" t="s">
        <v>15</v>
      </c>
      <c r="B1496" s="26"/>
      <c r="C1496" s="26"/>
      <c r="D1496" s="26"/>
      <c r="E1496" s="26"/>
      <c r="F1496" s="26"/>
      <c r="G1496" s="27"/>
      <c r="H1496" s="17">
        <f>SUM(G1493:G1495)</f>
        <v>1182150</v>
      </c>
      <c r="I1496" s="1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26.25" x14ac:dyDescent="0.4">
      <c r="A1497" s="29" t="s">
        <v>16</v>
      </c>
      <c r="B1497" s="26"/>
      <c r="C1497" s="26"/>
      <c r="D1497" s="26"/>
      <c r="E1497" s="26"/>
      <c r="F1497" s="26"/>
      <c r="G1497" s="27"/>
      <c r="H1497" s="17">
        <f>MAX(0,H1496-648000)</f>
        <v>534150</v>
      </c>
      <c r="I1497" s="1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26.25" x14ac:dyDescent="0.4">
      <c r="A1498" s="25" t="s">
        <v>17</v>
      </c>
      <c r="B1498" s="26"/>
      <c r="C1498" s="26"/>
      <c r="D1498" s="26"/>
      <c r="E1498" s="26"/>
      <c r="F1498" s="26"/>
      <c r="G1498" s="27"/>
      <c r="H1498" s="18">
        <v>649000</v>
      </c>
      <c r="I1498" s="1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26.25" x14ac:dyDescent="0.4">
      <c r="A1499" s="28" t="s">
        <v>18</v>
      </c>
      <c r="B1499" s="26"/>
      <c r="C1499" s="26"/>
      <c r="D1499" s="26"/>
      <c r="E1499" s="26"/>
      <c r="F1499" s="26"/>
      <c r="G1499" s="26"/>
      <c r="H1499" s="27"/>
      <c r="I1499" s="1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5" x14ac:dyDescent="0.25">
      <c r="I1500" s="1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5" x14ac:dyDescent="0.25">
      <c r="I1501" s="1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5" spans="1:26" ht="15.75" customHeight="1" x14ac:dyDescent="0.4">
      <c r="A1505" s="28" t="s">
        <v>0</v>
      </c>
      <c r="B1505" s="26"/>
      <c r="C1505" s="26"/>
      <c r="D1505" s="26"/>
      <c r="E1505" s="26"/>
      <c r="F1505" s="26"/>
      <c r="G1505" s="26"/>
      <c r="H1505" s="27"/>
    </row>
    <row r="1506" spans="1:26" ht="27.75" customHeight="1" x14ac:dyDescent="0.4">
      <c r="A1506" s="28" t="s">
        <v>399</v>
      </c>
      <c r="B1506" s="26"/>
      <c r="C1506" s="26"/>
      <c r="D1506" s="26"/>
      <c r="E1506" s="26"/>
      <c r="F1506" s="26"/>
      <c r="G1506" s="26"/>
      <c r="H1506" s="27"/>
    </row>
    <row r="1507" spans="1:26" ht="29.25" customHeight="1" x14ac:dyDescent="0.3">
      <c r="A1507" s="3" t="s">
        <v>2</v>
      </c>
      <c r="B1507" s="3" t="s">
        <v>3</v>
      </c>
      <c r="C1507" s="3" t="s">
        <v>4</v>
      </c>
      <c r="D1507" s="3" t="s">
        <v>5</v>
      </c>
      <c r="E1507" s="3" t="s">
        <v>6</v>
      </c>
      <c r="F1507" s="4" t="s">
        <v>7</v>
      </c>
      <c r="G1507" s="3" t="s">
        <v>8</v>
      </c>
      <c r="H1507" s="5"/>
      <c r="I1507" s="1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26.25" x14ac:dyDescent="0.4">
      <c r="A1508" s="6">
        <v>1</v>
      </c>
      <c r="B1508" s="8" t="s">
        <v>400</v>
      </c>
      <c r="C1508" s="12" t="s">
        <v>10</v>
      </c>
      <c r="D1508" s="8" t="s">
        <v>11</v>
      </c>
      <c r="E1508" s="8">
        <v>1.4</v>
      </c>
      <c r="F1508" s="9">
        <v>293000</v>
      </c>
      <c r="G1508" s="10">
        <f t="shared" ref="G1508:G1510" si="100">IFERROR(E1508*F1508,0)</f>
        <v>410200</v>
      </c>
      <c r="H1508" s="11"/>
      <c r="I1508" s="1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26.25" x14ac:dyDescent="0.4">
      <c r="A1509" s="6">
        <v>2</v>
      </c>
      <c r="B1509" s="13" t="s">
        <v>190</v>
      </c>
      <c r="C1509" s="19" t="s">
        <v>191</v>
      </c>
      <c r="D1509" s="13" t="s">
        <v>13</v>
      </c>
      <c r="E1509" s="13">
        <v>2</v>
      </c>
      <c r="F1509" s="14">
        <v>435000</v>
      </c>
      <c r="G1509" s="10">
        <f t="shared" si="100"/>
        <v>870000</v>
      </c>
      <c r="H1509" s="11"/>
      <c r="I1509" s="1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26.25" x14ac:dyDescent="0.4">
      <c r="A1510" s="6">
        <v>3</v>
      </c>
      <c r="B1510" s="15" t="s">
        <v>14</v>
      </c>
      <c r="C1510" s="11"/>
      <c r="D1510" s="11"/>
      <c r="E1510" s="11"/>
      <c r="F1510" s="11"/>
      <c r="G1510" s="16">
        <f t="shared" si="100"/>
        <v>0</v>
      </c>
      <c r="H1510" s="11"/>
      <c r="I1510" s="1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26.25" x14ac:dyDescent="0.4">
      <c r="A1511" s="29" t="s">
        <v>15</v>
      </c>
      <c r="B1511" s="26"/>
      <c r="C1511" s="26"/>
      <c r="D1511" s="26"/>
      <c r="E1511" s="26"/>
      <c r="F1511" s="26"/>
      <c r="G1511" s="27"/>
      <c r="H1511" s="17">
        <f>SUM(G1508:G1510)</f>
        <v>1280200</v>
      </c>
      <c r="I1511" s="1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26.25" x14ac:dyDescent="0.4">
      <c r="A1512" s="29" t="s">
        <v>16</v>
      </c>
      <c r="B1512" s="26"/>
      <c r="C1512" s="26"/>
      <c r="D1512" s="26"/>
      <c r="E1512" s="26"/>
      <c r="F1512" s="26"/>
      <c r="G1512" s="27"/>
      <c r="H1512" s="17">
        <f>MAX(0,H1511-648000)</f>
        <v>632200</v>
      </c>
      <c r="I1512" s="1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26.25" x14ac:dyDescent="0.4">
      <c r="A1513" s="25" t="s">
        <v>17</v>
      </c>
      <c r="B1513" s="26"/>
      <c r="C1513" s="26"/>
      <c r="D1513" s="26"/>
      <c r="E1513" s="26"/>
      <c r="F1513" s="26"/>
      <c r="G1513" s="27"/>
      <c r="H1513" s="18">
        <v>649000</v>
      </c>
      <c r="I1513" s="1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26.25" x14ac:dyDescent="0.4">
      <c r="A1514" s="28" t="s">
        <v>18</v>
      </c>
      <c r="B1514" s="26"/>
      <c r="C1514" s="26"/>
      <c r="D1514" s="26"/>
      <c r="E1514" s="26"/>
      <c r="F1514" s="26"/>
      <c r="G1514" s="26"/>
      <c r="H1514" s="27"/>
      <c r="I1514" s="1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5" x14ac:dyDescent="0.25">
      <c r="I1515" s="1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5" x14ac:dyDescent="0.25">
      <c r="I1516" s="1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20" spans="1:26" ht="15.75" customHeight="1" x14ac:dyDescent="0.4">
      <c r="A1520" s="28" t="s">
        <v>0</v>
      </c>
      <c r="B1520" s="26"/>
      <c r="C1520" s="26"/>
      <c r="D1520" s="26"/>
      <c r="E1520" s="26"/>
      <c r="F1520" s="26"/>
      <c r="G1520" s="26"/>
      <c r="H1520" s="27"/>
    </row>
    <row r="1521" spans="1:26" ht="15.75" customHeight="1" x14ac:dyDescent="0.4">
      <c r="A1521" s="28" t="s">
        <v>401</v>
      </c>
      <c r="B1521" s="26"/>
      <c r="C1521" s="26"/>
      <c r="D1521" s="26"/>
      <c r="E1521" s="26"/>
      <c r="F1521" s="26"/>
      <c r="G1521" s="26"/>
      <c r="H1521" s="27"/>
    </row>
    <row r="1522" spans="1:26" ht="29.25" customHeight="1" x14ac:dyDescent="0.3">
      <c r="A1522" s="3" t="s">
        <v>2</v>
      </c>
      <c r="B1522" s="3" t="s">
        <v>3</v>
      </c>
      <c r="C1522" s="3" t="s">
        <v>4</v>
      </c>
      <c r="D1522" s="3" t="s">
        <v>5</v>
      </c>
      <c r="E1522" s="3" t="s">
        <v>6</v>
      </c>
      <c r="F1522" s="4" t="s">
        <v>7</v>
      </c>
      <c r="G1522" s="3" t="s">
        <v>8</v>
      </c>
      <c r="H1522" s="5"/>
      <c r="I1522" s="1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26.25" x14ac:dyDescent="0.4">
      <c r="A1523" s="6">
        <v>1</v>
      </c>
      <c r="B1523" s="8" t="s">
        <v>34</v>
      </c>
      <c r="C1523" s="12" t="s">
        <v>402</v>
      </c>
      <c r="D1523" s="8" t="s">
        <v>11</v>
      </c>
      <c r="E1523" s="8">
        <v>1.5</v>
      </c>
      <c r="F1523" s="9">
        <v>293000</v>
      </c>
      <c r="G1523" s="10">
        <f t="shared" ref="G1523:G1525" si="101">IFERROR(E1523*F1523,0)</f>
        <v>439500</v>
      </c>
      <c r="H1523" s="11"/>
      <c r="I1523" s="1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26.25" x14ac:dyDescent="0.4">
      <c r="A1524" s="6">
        <v>2</v>
      </c>
      <c r="B1524" s="13" t="s">
        <v>27</v>
      </c>
      <c r="C1524" s="19" t="s">
        <v>403</v>
      </c>
      <c r="D1524" s="13" t="s">
        <v>13</v>
      </c>
      <c r="E1524" s="13">
        <v>2</v>
      </c>
      <c r="F1524" s="14">
        <v>435000</v>
      </c>
      <c r="G1524" s="10">
        <f t="shared" si="101"/>
        <v>870000</v>
      </c>
      <c r="H1524" s="11"/>
      <c r="I1524" s="1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26.25" x14ac:dyDescent="0.4">
      <c r="A1525" s="6">
        <v>3</v>
      </c>
      <c r="B1525" s="15" t="s">
        <v>14</v>
      </c>
      <c r="C1525" s="11"/>
      <c r="D1525" s="11"/>
      <c r="E1525" s="11"/>
      <c r="F1525" s="11"/>
      <c r="G1525" s="16">
        <f t="shared" si="101"/>
        <v>0</v>
      </c>
      <c r="H1525" s="11"/>
      <c r="I1525" s="1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26.25" x14ac:dyDescent="0.4">
      <c r="A1526" s="29" t="s">
        <v>15</v>
      </c>
      <c r="B1526" s="26"/>
      <c r="C1526" s="26"/>
      <c r="D1526" s="26"/>
      <c r="E1526" s="26"/>
      <c r="F1526" s="26"/>
      <c r="G1526" s="27"/>
      <c r="H1526" s="17">
        <f>SUM(G1523:G1525)</f>
        <v>1309500</v>
      </c>
      <c r="I1526" s="1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26.25" x14ac:dyDescent="0.4">
      <c r="A1527" s="29" t="s">
        <v>16</v>
      </c>
      <c r="B1527" s="26"/>
      <c r="C1527" s="26"/>
      <c r="D1527" s="26"/>
      <c r="E1527" s="26"/>
      <c r="F1527" s="26"/>
      <c r="G1527" s="27"/>
      <c r="H1527" s="17">
        <f>MAX(0,H1526-648000)</f>
        <v>661500</v>
      </c>
      <c r="I1527" s="1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26.25" x14ac:dyDescent="0.4">
      <c r="A1528" s="25" t="s">
        <v>17</v>
      </c>
      <c r="B1528" s="26"/>
      <c r="C1528" s="26"/>
      <c r="D1528" s="26"/>
      <c r="E1528" s="26"/>
      <c r="F1528" s="26"/>
      <c r="G1528" s="27"/>
      <c r="H1528" s="18">
        <v>649000</v>
      </c>
      <c r="I1528" s="1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26.25" x14ac:dyDescent="0.4">
      <c r="A1529" s="28" t="s">
        <v>18</v>
      </c>
      <c r="B1529" s="26"/>
      <c r="C1529" s="26"/>
      <c r="D1529" s="26"/>
      <c r="E1529" s="26"/>
      <c r="F1529" s="26"/>
      <c r="G1529" s="26"/>
      <c r="H1529" s="27"/>
      <c r="I1529" s="1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5" x14ac:dyDescent="0.25">
      <c r="I1530" s="1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5" x14ac:dyDescent="0.25">
      <c r="I1531" s="1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5" spans="1:26" ht="15.75" customHeight="1" x14ac:dyDescent="0.4">
      <c r="A1535" s="28" t="s">
        <v>0</v>
      </c>
      <c r="B1535" s="26"/>
      <c r="C1535" s="26"/>
      <c r="D1535" s="26"/>
      <c r="E1535" s="26"/>
      <c r="F1535" s="26"/>
      <c r="G1535" s="26"/>
      <c r="H1535" s="27"/>
    </row>
    <row r="1536" spans="1:26" ht="15.75" customHeight="1" x14ac:dyDescent="0.4">
      <c r="A1536" s="28" t="s">
        <v>404</v>
      </c>
      <c r="B1536" s="26"/>
      <c r="C1536" s="26"/>
      <c r="D1536" s="26"/>
      <c r="E1536" s="26"/>
      <c r="F1536" s="26"/>
      <c r="G1536" s="26"/>
      <c r="H1536" s="27"/>
    </row>
    <row r="1537" spans="1:26" ht="29.25" customHeight="1" x14ac:dyDescent="0.3">
      <c r="A1537" s="3" t="s">
        <v>2</v>
      </c>
      <c r="B1537" s="3" t="s">
        <v>3</v>
      </c>
      <c r="C1537" s="3" t="s">
        <v>4</v>
      </c>
      <c r="D1537" s="3" t="s">
        <v>5</v>
      </c>
      <c r="E1537" s="3" t="s">
        <v>6</v>
      </c>
      <c r="F1537" s="4" t="s">
        <v>7</v>
      </c>
      <c r="G1537" s="3" t="s">
        <v>8</v>
      </c>
      <c r="H1537" s="5"/>
      <c r="I1537" s="1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26.25" x14ac:dyDescent="0.4">
      <c r="A1538" s="6">
        <v>1</v>
      </c>
      <c r="B1538" s="8" t="s">
        <v>269</v>
      </c>
      <c r="C1538" s="12" t="s">
        <v>166</v>
      </c>
      <c r="D1538" s="8" t="s">
        <v>11</v>
      </c>
      <c r="E1538" s="8">
        <v>1.5</v>
      </c>
      <c r="F1538" s="9">
        <v>293000</v>
      </c>
      <c r="G1538" s="10">
        <f t="shared" ref="G1538:G1540" si="102">IFERROR(E1538*F1538,0)</f>
        <v>439500</v>
      </c>
      <c r="H1538" s="11"/>
      <c r="I1538" s="1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26.25" x14ac:dyDescent="0.4">
      <c r="A1539" s="6">
        <v>2</v>
      </c>
      <c r="B1539" s="13" t="s">
        <v>65</v>
      </c>
      <c r="C1539" s="19" t="s">
        <v>405</v>
      </c>
      <c r="D1539" s="13" t="s">
        <v>13</v>
      </c>
      <c r="E1539" s="13">
        <v>2</v>
      </c>
      <c r="F1539" s="14">
        <v>435000</v>
      </c>
      <c r="G1539" s="10">
        <f t="shared" si="102"/>
        <v>870000</v>
      </c>
      <c r="H1539" s="11"/>
      <c r="I1539" s="1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26.25" x14ac:dyDescent="0.4">
      <c r="A1540" s="6">
        <v>3</v>
      </c>
      <c r="B1540" s="15" t="s">
        <v>14</v>
      </c>
      <c r="C1540" s="11"/>
      <c r="D1540" s="11"/>
      <c r="E1540" s="11"/>
      <c r="F1540" s="11"/>
      <c r="G1540" s="16">
        <f t="shared" si="102"/>
        <v>0</v>
      </c>
      <c r="H1540" s="11"/>
      <c r="I1540" s="1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26.25" x14ac:dyDescent="0.4">
      <c r="A1541" s="29" t="s">
        <v>15</v>
      </c>
      <c r="B1541" s="26"/>
      <c r="C1541" s="26"/>
      <c r="D1541" s="26"/>
      <c r="E1541" s="26"/>
      <c r="F1541" s="26"/>
      <c r="G1541" s="27"/>
      <c r="H1541" s="17">
        <f>SUM(G1538:G1540)</f>
        <v>1309500</v>
      </c>
      <c r="I1541" s="1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26.25" x14ac:dyDescent="0.4">
      <c r="A1542" s="29" t="s">
        <v>16</v>
      </c>
      <c r="B1542" s="26"/>
      <c r="C1542" s="26"/>
      <c r="D1542" s="26"/>
      <c r="E1542" s="26"/>
      <c r="F1542" s="26"/>
      <c r="G1542" s="27"/>
      <c r="H1542" s="17">
        <f>MAX(0,H1541-648000)</f>
        <v>661500</v>
      </c>
      <c r="I1542" s="1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26.25" x14ac:dyDescent="0.4">
      <c r="A1543" s="25" t="s">
        <v>17</v>
      </c>
      <c r="B1543" s="26"/>
      <c r="C1543" s="26"/>
      <c r="D1543" s="26"/>
      <c r="E1543" s="26"/>
      <c r="F1543" s="26"/>
      <c r="G1543" s="27"/>
      <c r="H1543" s="18">
        <v>649000</v>
      </c>
      <c r="I1543" s="1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26.25" x14ac:dyDescent="0.4">
      <c r="A1544" s="28" t="s">
        <v>18</v>
      </c>
      <c r="B1544" s="26"/>
      <c r="C1544" s="26"/>
      <c r="D1544" s="26"/>
      <c r="E1544" s="26"/>
      <c r="F1544" s="26"/>
      <c r="G1544" s="26"/>
      <c r="H1544" s="27"/>
      <c r="I1544" s="1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5" x14ac:dyDescent="0.25">
      <c r="I1545" s="1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5" x14ac:dyDescent="0.25">
      <c r="I1546" s="1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50" spans="1:26" ht="15.75" customHeight="1" x14ac:dyDescent="0.4">
      <c r="A1550" s="28" t="s">
        <v>0</v>
      </c>
      <c r="B1550" s="26"/>
      <c r="C1550" s="26"/>
      <c r="D1550" s="26"/>
      <c r="E1550" s="26"/>
      <c r="F1550" s="26"/>
      <c r="G1550" s="26"/>
      <c r="H1550" s="27"/>
    </row>
    <row r="1551" spans="1:26" ht="15.75" customHeight="1" x14ac:dyDescent="0.4">
      <c r="A1551" s="28" t="s">
        <v>406</v>
      </c>
      <c r="B1551" s="26"/>
      <c r="C1551" s="26"/>
      <c r="D1551" s="26"/>
      <c r="E1551" s="26"/>
      <c r="F1551" s="26"/>
      <c r="G1551" s="26"/>
      <c r="H1551" s="27"/>
    </row>
    <row r="1552" spans="1:26" ht="15.75" customHeight="1" x14ac:dyDescent="0.3">
      <c r="A1552" s="3" t="s">
        <v>2</v>
      </c>
      <c r="B1552" s="3" t="s">
        <v>3</v>
      </c>
      <c r="C1552" s="3" t="s">
        <v>4</v>
      </c>
      <c r="D1552" s="3" t="s">
        <v>5</v>
      </c>
      <c r="E1552" s="3" t="s">
        <v>6</v>
      </c>
      <c r="F1552" s="4" t="s">
        <v>7</v>
      </c>
      <c r="G1552" s="3" t="s">
        <v>8</v>
      </c>
      <c r="H1552" s="5"/>
    </row>
    <row r="1553" spans="1:26" ht="26.25" x14ac:dyDescent="0.4">
      <c r="A1553" s="6">
        <v>1</v>
      </c>
      <c r="B1553" s="8" t="s">
        <v>36</v>
      </c>
      <c r="C1553" s="12" t="s">
        <v>407</v>
      </c>
      <c r="D1553" s="8" t="s">
        <v>11</v>
      </c>
      <c r="E1553" s="8">
        <v>1.75</v>
      </c>
      <c r="F1553" s="9">
        <v>293000</v>
      </c>
      <c r="G1553" s="10">
        <f t="shared" ref="G1553:G1555" si="103">IFERROR(E1553*F1553,0)</f>
        <v>512750</v>
      </c>
      <c r="H1553" s="11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26.25" x14ac:dyDescent="0.4">
      <c r="A1554" s="6">
        <v>2</v>
      </c>
      <c r="B1554" s="13" t="s">
        <v>408</v>
      </c>
      <c r="C1554" s="19" t="s">
        <v>409</v>
      </c>
      <c r="D1554" s="13" t="s">
        <v>13</v>
      </c>
      <c r="E1554" s="13">
        <v>1.7</v>
      </c>
      <c r="F1554" s="14">
        <v>435000</v>
      </c>
      <c r="G1554" s="10">
        <f t="shared" si="103"/>
        <v>739500</v>
      </c>
      <c r="H1554" s="11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26.25" x14ac:dyDescent="0.4">
      <c r="A1555" s="6">
        <v>3</v>
      </c>
      <c r="B1555" s="15" t="s">
        <v>14</v>
      </c>
      <c r="C1555" s="11"/>
      <c r="D1555" s="11"/>
      <c r="E1555" s="11"/>
      <c r="F1555" s="11"/>
      <c r="G1555" s="16">
        <f t="shared" si="103"/>
        <v>0</v>
      </c>
      <c r="H1555" s="11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26.25" x14ac:dyDescent="0.4">
      <c r="A1556" s="29" t="s">
        <v>15</v>
      </c>
      <c r="B1556" s="26"/>
      <c r="C1556" s="26"/>
      <c r="D1556" s="26"/>
      <c r="E1556" s="26"/>
      <c r="F1556" s="26"/>
      <c r="G1556" s="27"/>
      <c r="H1556" s="17">
        <f>SUM(G1553:G1555)</f>
        <v>1252250</v>
      </c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26.25" x14ac:dyDescent="0.4">
      <c r="A1557" s="29" t="s">
        <v>16</v>
      </c>
      <c r="B1557" s="26"/>
      <c r="C1557" s="26"/>
      <c r="D1557" s="26"/>
      <c r="E1557" s="26"/>
      <c r="F1557" s="26"/>
      <c r="G1557" s="27"/>
      <c r="H1557" s="17">
        <f>MAX(0,H1556-648000)</f>
        <v>604250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26.25" x14ac:dyDescent="0.4">
      <c r="A1558" s="25" t="s">
        <v>17</v>
      </c>
      <c r="B1558" s="26"/>
      <c r="C1558" s="26"/>
      <c r="D1558" s="26"/>
      <c r="E1558" s="26"/>
      <c r="F1558" s="26"/>
      <c r="G1558" s="27"/>
      <c r="H1558" s="18">
        <v>649000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26.25" x14ac:dyDescent="0.4">
      <c r="A1559" s="28" t="s">
        <v>18</v>
      </c>
      <c r="B1559" s="26"/>
      <c r="C1559" s="26"/>
      <c r="D1559" s="26"/>
      <c r="E1559" s="26"/>
      <c r="F1559" s="26"/>
      <c r="G1559" s="26"/>
      <c r="H1559" s="27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2.75" x14ac:dyDescent="0.2"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2.75" x14ac:dyDescent="0.2"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2.75" x14ac:dyDescent="0.2"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6" spans="1:26" ht="15.75" customHeight="1" x14ac:dyDescent="0.4">
      <c r="A1566" s="28" t="s">
        <v>0</v>
      </c>
      <c r="B1566" s="26"/>
      <c r="C1566" s="26"/>
      <c r="D1566" s="26"/>
      <c r="E1566" s="26"/>
      <c r="F1566" s="26"/>
      <c r="G1566" s="26"/>
      <c r="H1566" s="27"/>
    </row>
    <row r="1567" spans="1:26" ht="15.75" customHeight="1" x14ac:dyDescent="0.4">
      <c r="A1567" s="28" t="s">
        <v>410</v>
      </c>
      <c r="B1567" s="26"/>
      <c r="C1567" s="26"/>
      <c r="D1567" s="26"/>
      <c r="E1567" s="26"/>
      <c r="F1567" s="26"/>
      <c r="G1567" s="26"/>
      <c r="H1567" s="27"/>
    </row>
    <row r="1568" spans="1:26" ht="15.75" customHeight="1" x14ac:dyDescent="0.3">
      <c r="A1568" s="3" t="s">
        <v>2</v>
      </c>
      <c r="B1568" s="3" t="s">
        <v>3</v>
      </c>
      <c r="C1568" s="3" t="s">
        <v>4</v>
      </c>
      <c r="D1568" s="3" t="s">
        <v>5</v>
      </c>
      <c r="E1568" s="3" t="s">
        <v>6</v>
      </c>
      <c r="F1568" s="4" t="s">
        <v>7</v>
      </c>
      <c r="G1568" s="3" t="s">
        <v>8</v>
      </c>
      <c r="H1568" s="5"/>
    </row>
    <row r="1569" spans="1:26" ht="15.75" customHeight="1" x14ac:dyDescent="0.4">
      <c r="A1569" s="6">
        <v>1</v>
      </c>
      <c r="B1569" s="20" t="s">
        <v>41</v>
      </c>
      <c r="C1569" s="21" t="s">
        <v>411</v>
      </c>
      <c r="D1569" s="8" t="s">
        <v>11</v>
      </c>
      <c r="E1569" s="20">
        <v>1.7</v>
      </c>
      <c r="F1569" s="9">
        <v>293000</v>
      </c>
      <c r="G1569" s="10">
        <f t="shared" ref="G1569:G1571" si="104">IFERROR(E1569*F1569,0)</f>
        <v>498100</v>
      </c>
      <c r="H1569" s="11"/>
    </row>
    <row r="1570" spans="1:26" ht="26.25" x14ac:dyDescent="0.4">
      <c r="A1570" s="6">
        <v>2</v>
      </c>
      <c r="B1570" s="22" t="s">
        <v>412</v>
      </c>
      <c r="C1570" s="23" t="s">
        <v>413</v>
      </c>
      <c r="D1570" s="13" t="s">
        <v>13</v>
      </c>
      <c r="E1570" s="22">
        <v>1.6</v>
      </c>
      <c r="F1570" s="14">
        <v>435000</v>
      </c>
      <c r="G1570" s="10">
        <f t="shared" si="104"/>
        <v>696000</v>
      </c>
      <c r="H1570" s="11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26.25" x14ac:dyDescent="0.4">
      <c r="A1571" s="6">
        <v>3</v>
      </c>
      <c r="B1571" s="15" t="s">
        <v>14</v>
      </c>
      <c r="C1571" s="11"/>
      <c r="D1571" s="11"/>
      <c r="E1571" s="11"/>
      <c r="F1571" s="11"/>
      <c r="G1571" s="16">
        <f t="shared" si="104"/>
        <v>0</v>
      </c>
      <c r="H1571" s="11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26.25" x14ac:dyDescent="0.4">
      <c r="A1572" s="29" t="s">
        <v>15</v>
      </c>
      <c r="B1572" s="26"/>
      <c r="C1572" s="26"/>
      <c r="D1572" s="26"/>
      <c r="E1572" s="26"/>
      <c r="F1572" s="26"/>
      <c r="G1572" s="27"/>
      <c r="H1572" s="17">
        <f>SUM(G1569:G1571)</f>
        <v>1194100</v>
      </c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26.25" x14ac:dyDescent="0.4">
      <c r="A1573" s="29" t="s">
        <v>16</v>
      </c>
      <c r="B1573" s="26"/>
      <c r="C1573" s="26"/>
      <c r="D1573" s="26"/>
      <c r="E1573" s="26"/>
      <c r="F1573" s="26"/>
      <c r="G1573" s="27"/>
      <c r="H1573" s="17">
        <f>MAX(0,H1572-648000)</f>
        <v>546100</v>
      </c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26.25" x14ac:dyDescent="0.4">
      <c r="A1574" s="25" t="s">
        <v>17</v>
      </c>
      <c r="B1574" s="26"/>
      <c r="C1574" s="26"/>
      <c r="D1574" s="26"/>
      <c r="E1574" s="26"/>
      <c r="F1574" s="26"/>
      <c r="G1574" s="27"/>
      <c r="H1574" s="18">
        <v>649000</v>
      </c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26.25" x14ac:dyDescent="0.4">
      <c r="A1575" s="28" t="s">
        <v>18</v>
      </c>
      <c r="B1575" s="26"/>
      <c r="C1575" s="26"/>
      <c r="D1575" s="26"/>
      <c r="E1575" s="26"/>
      <c r="F1575" s="26"/>
      <c r="G1575" s="26"/>
      <c r="H1575" s="27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12.75" x14ac:dyDescent="0.2"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2.75" x14ac:dyDescent="0.2"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2.75" x14ac:dyDescent="0.2"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2.75" x14ac:dyDescent="0.2"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3" spans="1:26" ht="15.75" customHeight="1" x14ac:dyDescent="0.4">
      <c r="A1583" s="28" t="s">
        <v>0</v>
      </c>
      <c r="B1583" s="26"/>
      <c r="C1583" s="26"/>
      <c r="D1583" s="26"/>
      <c r="E1583" s="26"/>
      <c r="F1583" s="26"/>
      <c r="G1583" s="26"/>
      <c r="H1583" s="27"/>
    </row>
    <row r="1584" spans="1:26" ht="15.75" customHeight="1" x14ac:dyDescent="0.4">
      <c r="A1584" s="28" t="s">
        <v>414</v>
      </c>
      <c r="B1584" s="26"/>
      <c r="C1584" s="26"/>
      <c r="D1584" s="26"/>
      <c r="E1584" s="26"/>
      <c r="F1584" s="26"/>
      <c r="G1584" s="26"/>
      <c r="H1584" s="27"/>
    </row>
    <row r="1585" spans="1:26" ht="15.75" customHeight="1" x14ac:dyDescent="0.3">
      <c r="A1585" s="3" t="s">
        <v>2</v>
      </c>
      <c r="B1585" s="3" t="s">
        <v>3</v>
      </c>
      <c r="C1585" s="3" t="s">
        <v>4</v>
      </c>
      <c r="D1585" s="3" t="s">
        <v>5</v>
      </c>
      <c r="E1585" s="3" t="s">
        <v>6</v>
      </c>
      <c r="F1585" s="4" t="s">
        <v>7</v>
      </c>
      <c r="G1585" s="3" t="s">
        <v>8</v>
      </c>
      <c r="H1585" s="5"/>
    </row>
    <row r="1586" spans="1:26" ht="26.25" x14ac:dyDescent="0.4">
      <c r="A1586" s="6">
        <v>1</v>
      </c>
      <c r="B1586" s="20" t="s">
        <v>301</v>
      </c>
      <c r="C1586" s="21" t="s">
        <v>415</v>
      </c>
      <c r="D1586" s="8" t="s">
        <v>11</v>
      </c>
      <c r="E1586" s="20">
        <v>1.5</v>
      </c>
      <c r="F1586" s="9">
        <v>293000</v>
      </c>
      <c r="G1586" s="10">
        <f t="shared" ref="G1586:G1588" si="105">IFERROR(E1586*F1586,0)</f>
        <v>439500</v>
      </c>
      <c r="H1586" s="11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26.25" x14ac:dyDescent="0.4">
      <c r="A1587" s="6">
        <v>2</v>
      </c>
      <c r="B1587" s="22" t="s">
        <v>22</v>
      </c>
      <c r="C1587" s="23" t="s">
        <v>416</v>
      </c>
      <c r="D1587" s="13" t="s">
        <v>13</v>
      </c>
      <c r="E1587" s="22">
        <v>2</v>
      </c>
      <c r="F1587" s="14">
        <v>435000</v>
      </c>
      <c r="G1587" s="10">
        <f t="shared" si="105"/>
        <v>870000</v>
      </c>
      <c r="H1587" s="11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26.25" x14ac:dyDescent="0.4">
      <c r="A1588" s="6">
        <v>3</v>
      </c>
      <c r="B1588" s="15" t="s">
        <v>14</v>
      </c>
      <c r="C1588" s="11"/>
      <c r="D1588" s="11"/>
      <c r="E1588" s="11"/>
      <c r="F1588" s="11"/>
      <c r="G1588" s="16">
        <f t="shared" si="105"/>
        <v>0</v>
      </c>
      <c r="H1588" s="11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26.25" x14ac:dyDescent="0.4">
      <c r="A1589" s="29" t="s">
        <v>15</v>
      </c>
      <c r="B1589" s="26"/>
      <c r="C1589" s="26"/>
      <c r="D1589" s="26"/>
      <c r="E1589" s="26"/>
      <c r="F1589" s="26"/>
      <c r="G1589" s="27"/>
      <c r="H1589" s="17">
        <f>SUM(G1586:G1588)</f>
        <v>1309500</v>
      </c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26.25" x14ac:dyDescent="0.4">
      <c r="A1590" s="29" t="s">
        <v>16</v>
      </c>
      <c r="B1590" s="26"/>
      <c r="C1590" s="26"/>
      <c r="D1590" s="26"/>
      <c r="E1590" s="26"/>
      <c r="F1590" s="26"/>
      <c r="G1590" s="27"/>
      <c r="H1590" s="17">
        <f>MAX(0,H1589-648000)</f>
        <v>661500</v>
      </c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26.25" x14ac:dyDescent="0.4">
      <c r="A1591" s="25" t="s">
        <v>17</v>
      </c>
      <c r="B1591" s="26"/>
      <c r="C1591" s="26"/>
      <c r="D1591" s="26"/>
      <c r="E1591" s="26"/>
      <c r="F1591" s="26"/>
      <c r="G1591" s="27"/>
      <c r="H1591" s="18">
        <v>649000</v>
      </c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26.25" x14ac:dyDescent="0.4">
      <c r="A1592" s="28" t="s">
        <v>18</v>
      </c>
      <c r="B1592" s="26"/>
      <c r="C1592" s="26"/>
      <c r="D1592" s="26"/>
      <c r="E1592" s="26"/>
      <c r="F1592" s="26"/>
      <c r="G1592" s="26"/>
      <c r="H1592" s="27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2.75" x14ac:dyDescent="0.2"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2.75" x14ac:dyDescent="0.2"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12.75" x14ac:dyDescent="0.2"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9" spans="1:26" ht="15.75" customHeight="1" x14ac:dyDescent="0.4">
      <c r="A1599" s="28" t="s">
        <v>0</v>
      </c>
      <c r="B1599" s="26"/>
      <c r="C1599" s="26"/>
      <c r="D1599" s="26"/>
      <c r="E1599" s="26"/>
      <c r="F1599" s="26"/>
      <c r="G1599" s="26"/>
      <c r="H1599" s="27"/>
    </row>
    <row r="1600" spans="1:26" ht="15.75" customHeight="1" x14ac:dyDescent="0.4">
      <c r="A1600" s="28" t="s">
        <v>417</v>
      </c>
      <c r="B1600" s="26"/>
      <c r="C1600" s="26"/>
      <c r="D1600" s="26"/>
      <c r="E1600" s="26"/>
      <c r="F1600" s="26"/>
      <c r="G1600" s="26"/>
      <c r="H1600" s="27"/>
    </row>
    <row r="1601" spans="1:26" ht="18.75" x14ac:dyDescent="0.3">
      <c r="A1601" s="3" t="s">
        <v>2</v>
      </c>
      <c r="B1601" s="3" t="s">
        <v>3</v>
      </c>
      <c r="C1601" s="3" t="s">
        <v>4</v>
      </c>
      <c r="D1601" s="3" t="s">
        <v>5</v>
      </c>
      <c r="E1601" s="3" t="s">
        <v>6</v>
      </c>
      <c r="F1601" s="4" t="s">
        <v>7</v>
      </c>
      <c r="G1601" s="3" t="s">
        <v>8</v>
      </c>
      <c r="H1601" s="5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26.25" x14ac:dyDescent="0.4">
      <c r="A1602" s="6">
        <v>1</v>
      </c>
      <c r="B1602" s="20" t="s">
        <v>249</v>
      </c>
      <c r="C1602" s="21" t="s">
        <v>80</v>
      </c>
      <c r="D1602" s="8" t="s">
        <v>11</v>
      </c>
      <c r="E1602" s="20">
        <v>2.95</v>
      </c>
      <c r="F1602" s="9">
        <v>293000</v>
      </c>
      <c r="G1602" s="10">
        <f t="shared" ref="G1602:G1604" si="106">IFERROR(E1602*F1602,0)</f>
        <v>864350</v>
      </c>
      <c r="H1602" s="11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26.25" x14ac:dyDescent="0.4">
      <c r="A1603" s="6">
        <v>2</v>
      </c>
      <c r="B1603" s="22" t="s">
        <v>269</v>
      </c>
      <c r="C1603" s="23" t="s">
        <v>418</v>
      </c>
      <c r="D1603" s="13" t="s">
        <v>13</v>
      </c>
      <c r="E1603" s="22">
        <v>0.55000000000000004</v>
      </c>
      <c r="F1603" s="14">
        <v>435000</v>
      </c>
      <c r="G1603" s="10">
        <f t="shared" si="106"/>
        <v>239250.00000000003</v>
      </c>
      <c r="H1603" s="11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26.25" x14ac:dyDescent="0.4">
      <c r="A1604" s="6">
        <v>3</v>
      </c>
      <c r="B1604" s="15" t="s">
        <v>14</v>
      </c>
      <c r="C1604" s="11"/>
      <c r="D1604" s="11"/>
      <c r="E1604" s="11"/>
      <c r="F1604" s="11"/>
      <c r="G1604" s="16">
        <f t="shared" si="106"/>
        <v>0</v>
      </c>
      <c r="H1604" s="11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26.25" x14ac:dyDescent="0.4">
      <c r="A1605" s="29" t="s">
        <v>15</v>
      </c>
      <c r="B1605" s="26"/>
      <c r="C1605" s="26"/>
      <c r="D1605" s="26"/>
      <c r="E1605" s="26"/>
      <c r="F1605" s="26"/>
      <c r="G1605" s="27"/>
      <c r="H1605" s="17">
        <f>SUM(G1602:G1604)</f>
        <v>1103600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26.25" x14ac:dyDescent="0.4">
      <c r="A1606" s="29" t="s">
        <v>16</v>
      </c>
      <c r="B1606" s="26"/>
      <c r="C1606" s="26"/>
      <c r="D1606" s="26"/>
      <c r="E1606" s="26"/>
      <c r="F1606" s="26"/>
      <c r="G1606" s="27"/>
      <c r="H1606" s="17">
        <f>MAX(0,H1605-648000)</f>
        <v>455600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26.25" x14ac:dyDescent="0.4">
      <c r="A1607" s="25" t="s">
        <v>17</v>
      </c>
      <c r="B1607" s="26"/>
      <c r="C1607" s="26"/>
      <c r="D1607" s="26"/>
      <c r="E1607" s="26"/>
      <c r="F1607" s="26"/>
      <c r="G1607" s="27"/>
      <c r="H1607" s="18">
        <v>649000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26.25" x14ac:dyDescent="0.4">
      <c r="A1608" s="28" t="s">
        <v>18</v>
      </c>
      <c r="B1608" s="26"/>
      <c r="C1608" s="26"/>
      <c r="D1608" s="26"/>
      <c r="E1608" s="26"/>
      <c r="F1608" s="26"/>
      <c r="G1608" s="26"/>
      <c r="H1608" s="27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2.75" x14ac:dyDescent="0.2"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2.75" x14ac:dyDescent="0.2"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4" spans="1:26" ht="15.75" customHeight="1" x14ac:dyDescent="0.4">
      <c r="A1614" s="28" t="s">
        <v>0</v>
      </c>
      <c r="B1614" s="26"/>
      <c r="C1614" s="26"/>
      <c r="D1614" s="26"/>
      <c r="E1614" s="26"/>
      <c r="F1614" s="26"/>
      <c r="G1614" s="26"/>
      <c r="H1614" s="27"/>
    </row>
    <row r="1615" spans="1:26" ht="15.75" customHeight="1" x14ac:dyDescent="0.4">
      <c r="A1615" s="28" t="s">
        <v>419</v>
      </c>
      <c r="B1615" s="26"/>
      <c r="C1615" s="26"/>
      <c r="D1615" s="26"/>
      <c r="E1615" s="26"/>
      <c r="F1615" s="26"/>
      <c r="G1615" s="26"/>
      <c r="H1615" s="27"/>
    </row>
    <row r="1616" spans="1:26" ht="15.75" customHeight="1" x14ac:dyDescent="0.3">
      <c r="A1616" s="3" t="s">
        <v>2</v>
      </c>
      <c r="B1616" s="3" t="s">
        <v>3</v>
      </c>
      <c r="C1616" s="3" t="s">
        <v>4</v>
      </c>
      <c r="D1616" s="3" t="s">
        <v>5</v>
      </c>
      <c r="E1616" s="3" t="s">
        <v>6</v>
      </c>
      <c r="F1616" s="4" t="s">
        <v>7</v>
      </c>
      <c r="G1616" s="3" t="s">
        <v>8</v>
      </c>
      <c r="H1616" s="5"/>
    </row>
    <row r="1617" spans="1:26" ht="26.25" x14ac:dyDescent="0.4">
      <c r="A1617" s="6">
        <v>1</v>
      </c>
      <c r="B1617" s="20" t="s">
        <v>420</v>
      </c>
      <c r="C1617" s="21" t="s">
        <v>421</v>
      </c>
      <c r="D1617" s="8" t="s">
        <v>11</v>
      </c>
      <c r="E1617" s="20">
        <v>1.3</v>
      </c>
      <c r="F1617" s="9">
        <v>293000</v>
      </c>
      <c r="G1617" s="10">
        <f t="shared" ref="G1617:G1619" si="107">IFERROR(E1617*F1617,0)</f>
        <v>380900</v>
      </c>
      <c r="H1617" s="11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26.25" x14ac:dyDescent="0.4">
      <c r="A1618" s="6">
        <v>2</v>
      </c>
      <c r="B1618" s="22" t="s">
        <v>128</v>
      </c>
      <c r="C1618" s="23" t="s">
        <v>422</v>
      </c>
      <c r="D1618" s="13" t="s">
        <v>13</v>
      </c>
      <c r="E1618" s="22">
        <v>2</v>
      </c>
      <c r="F1618" s="14">
        <v>435000</v>
      </c>
      <c r="G1618" s="10">
        <f t="shared" si="107"/>
        <v>870000</v>
      </c>
      <c r="H1618" s="11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26.25" x14ac:dyDescent="0.4">
      <c r="A1619" s="6">
        <v>3</v>
      </c>
      <c r="B1619" s="15" t="s">
        <v>14</v>
      </c>
      <c r="C1619" s="11"/>
      <c r="D1619" s="11"/>
      <c r="E1619" s="11"/>
      <c r="F1619" s="11"/>
      <c r="G1619" s="16">
        <f t="shared" si="107"/>
        <v>0</v>
      </c>
      <c r="H1619" s="11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26.25" x14ac:dyDescent="0.4">
      <c r="A1620" s="29" t="s">
        <v>15</v>
      </c>
      <c r="B1620" s="26"/>
      <c r="C1620" s="26"/>
      <c r="D1620" s="26"/>
      <c r="E1620" s="26"/>
      <c r="F1620" s="26"/>
      <c r="G1620" s="27"/>
      <c r="H1620" s="17">
        <f>SUM(G1617:G1619)</f>
        <v>1250900</v>
      </c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26.25" x14ac:dyDescent="0.4">
      <c r="A1621" s="29" t="s">
        <v>16</v>
      </c>
      <c r="B1621" s="26"/>
      <c r="C1621" s="26"/>
      <c r="D1621" s="26"/>
      <c r="E1621" s="26"/>
      <c r="F1621" s="26"/>
      <c r="G1621" s="27"/>
      <c r="H1621" s="17">
        <f>MAX(0,H1620-648000)</f>
        <v>602900</v>
      </c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26.25" x14ac:dyDescent="0.4">
      <c r="A1622" s="25" t="s">
        <v>17</v>
      </c>
      <c r="B1622" s="26"/>
      <c r="C1622" s="26"/>
      <c r="D1622" s="26"/>
      <c r="E1622" s="26"/>
      <c r="F1622" s="26"/>
      <c r="G1622" s="27"/>
      <c r="H1622" s="18">
        <v>649000</v>
      </c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26.25" x14ac:dyDescent="0.4">
      <c r="A1623" s="28" t="s">
        <v>18</v>
      </c>
      <c r="B1623" s="26"/>
      <c r="C1623" s="26"/>
      <c r="D1623" s="26"/>
      <c r="E1623" s="26"/>
      <c r="F1623" s="26"/>
      <c r="G1623" s="26"/>
      <c r="H1623" s="27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12.75" x14ac:dyDescent="0.2"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2.75" x14ac:dyDescent="0.2"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12.75" x14ac:dyDescent="0.2"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30" spans="1:26" ht="15.75" customHeight="1" x14ac:dyDescent="0.4">
      <c r="A1630" s="28" t="s">
        <v>0</v>
      </c>
      <c r="B1630" s="26"/>
      <c r="C1630" s="26"/>
      <c r="D1630" s="26"/>
      <c r="E1630" s="26"/>
      <c r="F1630" s="26"/>
      <c r="G1630" s="26"/>
      <c r="H1630" s="27"/>
    </row>
    <row r="1631" spans="1:26" ht="15.75" customHeight="1" x14ac:dyDescent="0.4">
      <c r="A1631" s="28" t="s">
        <v>423</v>
      </c>
      <c r="B1631" s="26"/>
      <c r="C1631" s="26"/>
      <c r="D1631" s="26"/>
      <c r="E1631" s="26"/>
      <c r="F1631" s="26"/>
      <c r="G1631" s="26"/>
      <c r="H1631" s="27"/>
    </row>
    <row r="1632" spans="1:26" ht="15.75" customHeight="1" x14ac:dyDescent="0.3">
      <c r="A1632" s="3" t="s">
        <v>2</v>
      </c>
      <c r="B1632" s="3" t="s">
        <v>3</v>
      </c>
      <c r="C1632" s="3" t="s">
        <v>4</v>
      </c>
      <c r="D1632" s="3" t="s">
        <v>5</v>
      </c>
      <c r="E1632" s="3" t="s">
        <v>6</v>
      </c>
      <c r="F1632" s="4" t="s">
        <v>7</v>
      </c>
      <c r="G1632" s="3" t="s">
        <v>8</v>
      </c>
      <c r="H1632" s="5"/>
    </row>
    <row r="1633" spans="1:26" ht="26.25" x14ac:dyDescent="0.4">
      <c r="A1633" s="6">
        <v>1</v>
      </c>
      <c r="B1633" s="20" t="s">
        <v>424</v>
      </c>
      <c r="C1633" s="21" t="s">
        <v>80</v>
      </c>
      <c r="D1633" s="8" t="s">
        <v>11</v>
      </c>
      <c r="E1633" s="20">
        <v>1.92</v>
      </c>
      <c r="F1633" s="9">
        <v>293000</v>
      </c>
      <c r="G1633" s="10">
        <f t="shared" ref="G1633:G1635" si="108">IFERROR(E1633*F1633,0)</f>
        <v>562560</v>
      </c>
      <c r="H1633" s="11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26.25" x14ac:dyDescent="0.4">
      <c r="A1634" s="6">
        <v>2</v>
      </c>
      <c r="B1634" s="22" t="s">
        <v>41</v>
      </c>
      <c r="C1634" s="23" t="s">
        <v>425</v>
      </c>
      <c r="D1634" s="13" t="s">
        <v>13</v>
      </c>
      <c r="E1634" s="22">
        <v>1.42</v>
      </c>
      <c r="F1634" s="14">
        <v>435000</v>
      </c>
      <c r="G1634" s="10">
        <f t="shared" si="108"/>
        <v>617700</v>
      </c>
      <c r="H1634" s="11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26.25" x14ac:dyDescent="0.4">
      <c r="A1635" s="6">
        <v>3</v>
      </c>
      <c r="B1635" s="15" t="s">
        <v>14</v>
      </c>
      <c r="C1635" s="11"/>
      <c r="D1635" s="11"/>
      <c r="E1635" s="11"/>
      <c r="F1635" s="11"/>
      <c r="G1635" s="16">
        <f t="shared" si="108"/>
        <v>0</v>
      </c>
      <c r="H1635" s="11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26.25" x14ac:dyDescent="0.4">
      <c r="A1636" s="29" t="s">
        <v>15</v>
      </c>
      <c r="B1636" s="26"/>
      <c r="C1636" s="26"/>
      <c r="D1636" s="26"/>
      <c r="E1636" s="26"/>
      <c r="F1636" s="26"/>
      <c r="G1636" s="27"/>
      <c r="H1636" s="17">
        <f>SUM(G1633:G1635)</f>
        <v>1180260</v>
      </c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26.25" x14ac:dyDescent="0.4">
      <c r="A1637" s="29" t="s">
        <v>16</v>
      </c>
      <c r="B1637" s="26"/>
      <c r="C1637" s="26"/>
      <c r="D1637" s="26"/>
      <c r="E1637" s="26"/>
      <c r="F1637" s="26"/>
      <c r="G1637" s="27"/>
      <c r="H1637" s="17">
        <f>MAX(0,H1636-648000)</f>
        <v>532260</v>
      </c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26.25" x14ac:dyDescent="0.4">
      <c r="A1638" s="25" t="s">
        <v>17</v>
      </c>
      <c r="B1638" s="26"/>
      <c r="C1638" s="26"/>
      <c r="D1638" s="26"/>
      <c r="E1638" s="26"/>
      <c r="F1638" s="26"/>
      <c r="G1638" s="27"/>
      <c r="H1638" s="18">
        <v>649000</v>
      </c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26.25" x14ac:dyDescent="0.4">
      <c r="A1639" s="28" t="s">
        <v>18</v>
      </c>
      <c r="B1639" s="26"/>
      <c r="C1639" s="26"/>
      <c r="D1639" s="26"/>
      <c r="E1639" s="26"/>
      <c r="F1639" s="26"/>
      <c r="G1639" s="26"/>
      <c r="H1639" s="27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2.75" x14ac:dyDescent="0.2"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2.75" x14ac:dyDescent="0.2"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2.75" x14ac:dyDescent="0.2"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6" spans="1:26" ht="15.75" customHeight="1" x14ac:dyDescent="0.4">
      <c r="A1646" s="28" t="s">
        <v>0</v>
      </c>
      <c r="B1646" s="26"/>
      <c r="C1646" s="26"/>
      <c r="D1646" s="26"/>
      <c r="E1646" s="26"/>
      <c r="F1646" s="26"/>
      <c r="G1646" s="26"/>
      <c r="H1646" s="27"/>
    </row>
    <row r="1647" spans="1:26" ht="26.25" x14ac:dyDescent="0.4">
      <c r="A1647" s="28" t="s">
        <v>426</v>
      </c>
      <c r="B1647" s="26"/>
      <c r="C1647" s="26"/>
      <c r="D1647" s="26"/>
      <c r="E1647" s="26"/>
      <c r="F1647" s="26"/>
      <c r="G1647" s="26"/>
      <c r="H1647" s="27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8.75" x14ac:dyDescent="0.3">
      <c r="A1648" s="3" t="s">
        <v>2</v>
      </c>
      <c r="B1648" s="3" t="s">
        <v>3</v>
      </c>
      <c r="C1648" s="3" t="s">
        <v>4</v>
      </c>
      <c r="D1648" s="3" t="s">
        <v>5</v>
      </c>
      <c r="E1648" s="3" t="s">
        <v>6</v>
      </c>
      <c r="F1648" s="4" t="s">
        <v>7</v>
      </c>
      <c r="G1648" s="3" t="s">
        <v>8</v>
      </c>
      <c r="H1648" s="5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26.25" x14ac:dyDescent="0.4">
      <c r="A1649" s="6">
        <v>1</v>
      </c>
      <c r="B1649" s="20" t="s">
        <v>427</v>
      </c>
      <c r="C1649" s="21" t="s">
        <v>428</v>
      </c>
      <c r="D1649" s="8" t="s">
        <v>11</v>
      </c>
      <c r="E1649" s="20">
        <v>3</v>
      </c>
      <c r="F1649" s="9">
        <v>293000</v>
      </c>
      <c r="G1649" s="10">
        <f t="shared" ref="G1649:G1651" si="109">IFERROR(E1649*F1649,0)</f>
        <v>879000</v>
      </c>
      <c r="H1649" s="11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26.25" x14ac:dyDescent="0.4">
      <c r="A1650" s="6">
        <v>2</v>
      </c>
      <c r="B1650" s="22" t="s">
        <v>12</v>
      </c>
      <c r="C1650" s="23" t="s">
        <v>429</v>
      </c>
      <c r="D1650" s="13" t="s">
        <v>13</v>
      </c>
      <c r="E1650" s="22">
        <v>0.53</v>
      </c>
      <c r="F1650" s="14">
        <v>435000</v>
      </c>
      <c r="G1650" s="10">
        <f t="shared" si="109"/>
        <v>230550</v>
      </c>
      <c r="H1650" s="11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26.25" x14ac:dyDescent="0.4">
      <c r="A1651" s="6">
        <v>3</v>
      </c>
      <c r="B1651" s="15" t="s">
        <v>14</v>
      </c>
      <c r="C1651" s="11"/>
      <c r="D1651" s="11"/>
      <c r="E1651" s="11"/>
      <c r="F1651" s="11"/>
      <c r="G1651" s="16">
        <f t="shared" si="109"/>
        <v>0</v>
      </c>
      <c r="H1651" s="11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26.25" x14ac:dyDescent="0.4">
      <c r="A1652" s="29" t="s">
        <v>15</v>
      </c>
      <c r="B1652" s="26"/>
      <c r="C1652" s="26"/>
      <c r="D1652" s="26"/>
      <c r="E1652" s="26"/>
      <c r="F1652" s="26"/>
      <c r="G1652" s="27"/>
      <c r="H1652" s="17">
        <f>SUM(G1649:G1651)</f>
        <v>1109550</v>
      </c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26.25" x14ac:dyDescent="0.4">
      <c r="A1653" s="29" t="s">
        <v>16</v>
      </c>
      <c r="B1653" s="26"/>
      <c r="C1653" s="26"/>
      <c r="D1653" s="26"/>
      <c r="E1653" s="26"/>
      <c r="F1653" s="26"/>
      <c r="G1653" s="27"/>
      <c r="H1653" s="17">
        <f>MAX(0,H1652-648000)</f>
        <v>461550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26.25" x14ac:dyDescent="0.4">
      <c r="A1654" s="25" t="s">
        <v>17</v>
      </c>
      <c r="B1654" s="26"/>
      <c r="C1654" s="26"/>
      <c r="D1654" s="26"/>
      <c r="E1654" s="26"/>
      <c r="F1654" s="26"/>
      <c r="G1654" s="27"/>
      <c r="H1654" s="18">
        <v>649000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26.25" x14ac:dyDescent="0.4">
      <c r="A1655" s="28" t="s">
        <v>18</v>
      </c>
      <c r="B1655" s="26"/>
      <c r="C1655" s="26"/>
      <c r="D1655" s="26"/>
      <c r="E1655" s="26"/>
      <c r="F1655" s="26"/>
      <c r="G1655" s="26"/>
      <c r="H1655" s="27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2.75" x14ac:dyDescent="0.2"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60" spans="1:26" ht="15.75" customHeight="1" x14ac:dyDescent="0.4">
      <c r="A1660" s="28" t="s">
        <v>0</v>
      </c>
      <c r="B1660" s="26"/>
      <c r="C1660" s="26"/>
      <c r="D1660" s="26"/>
      <c r="E1660" s="26"/>
      <c r="F1660" s="26"/>
      <c r="G1660" s="26"/>
      <c r="H1660" s="27"/>
    </row>
    <row r="1661" spans="1:26" ht="15.75" customHeight="1" x14ac:dyDescent="0.4">
      <c r="A1661" s="28" t="s">
        <v>430</v>
      </c>
      <c r="B1661" s="26"/>
      <c r="C1661" s="26"/>
      <c r="D1661" s="26"/>
      <c r="E1661" s="26"/>
      <c r="F1661" s="26"/>
      <c r="G1661" s="26"/>
      <c r="H1661" s="27"/>
    </row>
    <row r="1662" spans="1:26" ht="18.75" x14ac:dyDescent="0.3">
      <c r="A1662" s="3" t="s">
        <v>2</v>
      </c>
      <c r="B1662" s="3" t="s">
        <v>3</v>
      </c>
      <c r="C1662" s="3" t="s">
        <v>4</v>
      </c>
      <c r="D1662" s="3" t="s">
        <v>5</v>
      </c>
      <c r="E1662" s="3" t="s">
        <v>6</v>
      </c>
      <c r="F1662" s="4" t="s">
        <v>7</v>
      </c>
      <c r="G1662" s="3" t="s">
        <v>8</v>
      </c>
      <c r="H1662" s="5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26.25" x14ac:dyDescent="0.4">
      <c r="A1663" s="6">
        <v>1</v>
      </c>
      <c r="B1663" s="20" t="s">
        <v>12</v>
      </c>
      <c r="C1663" s="21" t="s">
        <v>80</v>
      </c>
      <c r="D1663" s="8" t="s">
        <v>11</v>
      </c>
      <c r="E1663" s="20">
        <v>2</v>
      </c>
      <c r="F1663" s="9">
        <v>293000</v>
      </c>
      <c r="G1663" s="10">
        <f t="shared" ref="G1663:G1665" si="110">IFERROR(E1663*F1663,0)</f>
        <v>586000</v>
      </c>
      <c r="H1663" s="11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26.25" x14ac:dyDescent="0.4">
      <c r="A1664" s="6">
        <v>2</v>
      </c>
      <c r="B1664" s="22" t="s">
        <v>431</v>
      </c>
      <c r="C1664" s="23" t="s">
        <v>432</v>
      </c>
      <c r="D1664" s="13" t="s">
        <v>13</v>
      </c>
      <c r="E1664" s="22">
        <v>1.5</v>
      </c>
      <c r="F1664" s="14">
        <v>435000</v>
      </c>
      <c r="G1664" s="10">
        <f t="shared" si="110"/>
        <v>652500</v>
      </c>
      <c r="H1664" s="11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26.25" x14ac:dyDescent="0.4">
      <c r="A1665" s="6">
        <v>3</v>
      </c>
      <c r="B1665" s="15" t="s">
        <v>14</v>
      </c>
      <c r="C1665" s="11"/>
      <c r="D1665" s="11"/>
      <c r="E1665" s="11"/>
      <c r="F1665" s="11"/>
      <c r="G1665" s="16">
        <f t="shared" si="110"/>
        <v>0</v>
      </c>
      <c r="H1665" s="11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26.25" x14ac:dyDescent="0.4">
      <c r="A1666" s="29" t="s">
        <v>15</v>
      </c>
      <c r="B1666" s="26"/>
      <c r="C1666" s="26"/>
      <c r="D1666" s="26"/>
      <c r="E1666" s="26"/>
      <c r="F1666" s="26"/>
      <c r="G1666" s="27"/>
      <c r="H1666" s="17">
        <f>SUM(G1663:G1665)</f>
        <v>1238500</v>
      </c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26.25" x14ac:dyDescent="0.4">
      <c r="A1667" s="29" t="s">
        <v>16</v>
      </c>
      <c r="B1667" s="26"/>
      <c r="C1667" s="26"/>
      <c r="D1667" s="26"/>
      <c r="E1667" s="26"/>
      <c r="F1667" s="26"/>
      <c r="G1667" s="27"/>
      <c r="H1667" s="17">
        <f>MAX(0,H1666-648000)</f>
        <v>590500</v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26.25" x14ac:dyDescent="0.4">
      <c r="A1668" s="25" t="s">
        <v>17</v>
      </c>
      <c r="B1668" s="26"/>
      <c r="C1668" s="26"/>
      <c r="D1668" s="26"/>
      <c r="E1668" s="26"/>
      <c r="F1668" s="26"/>
      <c r="G1668" s="27"/>
      <c r="H1668" s="18">
        <v>649000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26.25" x14ac:dyDescent="0.4">
      <c r="A1669" s="28" t="s">
        <v>18</v>
      </c>
      <c r="B1669" s="26"/>
      <c r="C1669" s="26"/>
      <c r="D1669" s="26"/>
      <c r="E1669" s="26"/>
      <c r="F1669" s="26"/>
      <c r="G1669" s="26"/>
      <c r="H1669" s="27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2.75" x14ac:dyDescent="0.2"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2.75" x14ac:dyDescent="0.2"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5" spans="1:26" ht="15.75" customHeight="1" x14ac:dyDescent="0.4">
      <c r="A1675" s="28" t="s">
        <v>0</v>
      </c>
      <c r="B1675" s="26"/>
      <c r="C1675" s="26"/>
      <c r="D1675" s="26"/>
      <c r="E1675" s="26"/>
      <c r="F1675" s="26"/>
      <c r="G1675" s="26"/>
      <c r="H1675" s="27"/>
    </row>
    <row r="1676" spans="1:26" ht="15.75" customHeight="1" x14ac:dyDescent="0.4">
      <c r="A1676" s="28" t="s">
        <v>433</v>
      </c>
      <c r="B1676" s="26"/>
      <c r="C1676" s="26"/>
      <c r="D1676" s="26"/>
      <c r="E1676" s="26"/>
      <c r="F1676" s="26"/>
      <c r="G1676" s="26"/>
      <c r="H1676" s="27"/>
    </row>
    <row r="1677" spans="1:26" ht="18.75" x14ac:dyDescent="0.3">
      <c r="A1677" s="3" t="s">
        <v>2</v>
      </c>
      <c r="B1677" s="3" t="s">
        <v>3</v>
      </c>
      <c r="C1677" s="3" t="s">
        <v>4</v>
      </c>
      <c r="D1677" s="3" t="s">
        <v>5</v>
      </c>
      <c r="E1677" s="3" t="s">
        <v>6</v>
      </c>
      <c r="F1677" s="4" t="s">
        <v>7</v>
      </c>
      <c r="G1677" s="3" t="s">
        <v>8</v>
      </c>
      <c r="H1677" s="5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26.25" x14ac:dyDescent="0.4">
      <c r="A1678" s="6">
        <v>1</v>
      </c>
      <c r="B1678" s="20" t="s">
        <v>434</v>
      </c>
      <c r="C1678" s="21" t="s">
        <v>10</v>
      </c>
      <c r="D1678" s="8" t="s">
        <v>11</v>
      </c>
      <c r="E1678" s="20">
        <v>2</v>
      </c>
      <c r="F1678" s="9">
        <v>293000</v>
      </c>
      <c r="G1678" s="10">
        <f t="shared" ref="G1678:G1680" si="111">IFERROR(E1678*F1678,0)</f>
        <v>586000</v>
      </c>
      <c r="H1678" s="11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26.25" x14ac:dyDescent="0.4">
      <c r="A1679" s="6">
        <v>2</v>
      </c>
      <c r="B1679" s="22" t="s">
        <v>137</v>
      </c>
      <c r="C1679" s="23" t="s">
        <v>435</v>
      </c>
      <c r="D1679" s="13" t="s">
        <v>13</v>
      </c>
      <c r="E1679" s="22">
        <v>1.4</v>
      </c>
      <c r="F1679" s="14">
        <v>435000</v>
      </c>
      <c r="G1679" s="10">
        <f t="shared" si="111"/>
        <v>609000</v>
      </c>
      <c r="H1679" s="11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26.25" x14ac:dyDescent="0.4">
      <c r="A1680" s="6">
        <v>3</v>
      </c>
      <c r="B1680" s="15" t="s">
        <v>70</v>
      </c>
      <c r="C1680" s="11"/>
      <c r="D1680" s="11"/>
      <c r="E1680" s="11"/>
      <c r="F1680" s="11"/>
      <c r="G1680" s="16">
        <f t="shared" si="111"/>
        <v>0</v>
      </c>
      <c r="H1680" s="11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26.25" x14ac:dyDescent="0.4">
      <c r="A1681" s="29" t="s">
        <v>15</v>
      </c>
      <c r="B1681" s="26"/>
      <c r="C1681" s="26"/>
      <c r="D1681" s="26"/>
      <c r="E1681" s="26"/>
      <c r="F1681" s="26"/>
      <c r="G1681" s="27"/>
      <c r="H1681" s="17">
        <f>SUM(G1678:G1680)</f>
        <v>1195000</v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26.25" x14ac:dyDescent="0.4">
      <c r="A1682" s="29" t="s">
        <v>16</v>
      </c>
      <c r="B1682" s="26"/>
      <c r="C1682" s="26"/>
      <c r="D1682" s="26"/>
      <c r="E1682" s="26"/>
      <c r="F1682" s="26"/>
      <c r="G1682" s="27"/>
      <c r="H1682" s="17">
        <f>MAX(0,H1681-648000)</f>
        <v>547000</v>
      </c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26.25" x14ac:dyDescent="0.4">
      <c r="A1683" s="25" t="s">
        <v>17</v>
      </c>
      <c r="B1683" s="26"/>
      <c r="C1683" s="26"/>
      <c r="D1683" s="26"/>
      <c r="E1683" s="26"/>
      <c r="F1683" s="26"/>
      <c r="G1683" s="27"/>
      <c r="H1683" s="18">
        <v>649000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26.25" x14ac:dyDescent="0.4">
      <c r="A1684" s="28" t="s">
        <v>18</v>
      </c>
      <c r="B1684" s="26"/>
      <c r="C1684" s="26"/>
      <c r="D1684" s="26"/>
      <c r="E1684" s="26"/>
      <c r="F1684" s="26"/>
      <c r="G1684" s="26"/>
      <c r="H1684" s="27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2.75" x14ac:dyDescent="0.2"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2.75" x14ac:dyDescent="0.2"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90" spans="1:26" ht="15.75" customHeight="1" x14ac:dyDescent="0.4">
      <c r="A1690" s="28" t="s">
        <v>0</v>
      </c>
      <c r="B1690" s="26"/>
      <c r="C1690" s="26"/>
      <c r="D1690" s="26"/>
      <c r="E1690" s="26"/>
      <c r="F1690" s="26"/>
      <c r="G1690" s="26"/>
      <c r="H1690" s="27"/>
    </row>
    <row r="1691" spans="1:26" ht="15.75" customHeight="1" x14ac:dyDescent="0.4">
      <c r="A1691" s="28" t="s">
        <v>436</v>
      </c>
      <c r="B1691" s="26"/>
      <c r="C1691" s="26"/>
      <c r="D1691" s="26"/>
      <c r="E1691" s="26"/>
      <c r="F1691" s="26"/>
      <c r="G1691" s="26"/>
      <c r="H1691" s="27"/>
    </row>
    <row r="1692" spans="1:26" ht="18.75" x14ac:dyDescent="0.3">
      <c r="A1692" s="3" t="s">
        <v>2</v>
      </c>
      <c r="B1692" s="3" t="s">
        <v>3</v>
      </c>
      <c r="C1692" s="3" t="s">
        <v>4</v>
      </c>
      <c r="D1692" s="3" t="s">
        <v>5</v>
      </c>
      <c r="E1692" s="3" t="s">
        <v>6</v>
      </c>
      <c r="F1692" s="4" t="s">
        <v>7</v>
      </c>
      <c r="G1692" s="3" t="s">
        <v>8</v>
      </c>
      <c r="H1692" s="5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26.25" x14ac:dyDescent="0.4">
      <c r="A1693" s="6">
        <v>1</v>
      </c>
      <c r="B1693" s="20" t="s">
        <v>437</v>
      </c>
      <c r="C1693" s="21" t="s">
        <v>438</v>
      </c>
      <c r="D1693" s="8" t="s">
        <v>11</v>
      </c>
      <c r="E1693" s="20">
        <v>1.9</v>
      </c>
      <c r="F1693" s="9">
        <v>293000</v>
      </c>
      <c r="G1693" s="10">
        <f t="shared" ref="G1693:G1695" si="112">IFERROR(E1693*F1693,0)</f>
        <v>556700</v>
      </c>
      <c r="H1693" s="11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26.25" x14ac:dyDescent="0.4">
      <c r="A1694" s="6">
        <v>2</v>
      </c>
      <c r="B1694" s="22" t="s">
        <v>279</v>
      </c>
      <c r="C1694" s="23" t="s">
        <v>439</v>
      </c>
      <c r="D1694" s="13" t="s">
        <v>13</v>
      </c>
      <c r="E1694" s="22">
        <v>1.45</v>
      </c>
      <c r="F1694" s="14">
        <v>435000</v>
      </c>
      <c r="G1694" s="10">
        <f t="shared" si="112"/>
        <v>630750</v>
      </c>
      <c r="H1694" s="11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26.25" x14ac:dyDescent="0.4">
      <c r="A1695" s="6">
        <v>3</v>
      </c>
      <c r="B1695" s="15" t="s">
        <v>14</v>
      </c>
      <c r="C1695" s="11"/>
      <c r="D1695" s="11"/>
      <c r="E1695" s="11"/>
      <c r="F1695" s="11"/>
      <c r="G1695" s="16">
        <f t="shared" si="112"/>
        <v>0</v>
      </c>
      <c r="H1695" s="11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26.25" x14ac:dyDescent="0.4">
      <c r="A1696" s="29" t="s">
        <v>15</v>
      </c>
      <c r="B1696" s="26"/>
      <c r="C1696" s="26"/>
      <c r="D1696" s="26"/>
      <c r="E1696" s="26"/>
      <c r="F1696" s="26"/>
      <c r="G1696" s="27"/>
      <c r="H1696" s="17">
        <f>SUM(G1693:G1695)</f>
        <v>1187450</v>
      </c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26.25" x14ac:dyDescent="0.4">
      <c r="A1697" s="29" t="s">
        <v>16</v>
      </c>
      <c r="B1697" s="26"/>
      <c r="C1697" s="26"/>
      <c r="D1697" s="26"/>
      <c r="E1697" s="26"/>
      <c r="F1697" s="26"/>
      <c r="G1697" s="27"/>
      <c r="H1697" s="17">
        <f>MAX(0,H1696-648000)</f>
        <v>539450</v>
      </c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26.25" x14ac:dyDescent="0.4">
      <c r="A1698" s="25" t="s">
        <v>17</v>
      </c>
      <c r="B1698" s="26"/>
      <c r="C1698" s="26"/>
      <c r="D1698" s="26"/>
      <c r="E1698" s="26"/>
      <c r="F1698" s="26"/>
      <c r="G1698" s="27"/>
      <c r="H1698" s="18">
        <v>649000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26.25" x14ac:dyDescent="0.4">
      <c r="A1699" s="28" t="s">
        <v>18</v>
      </c>
      <c r="B1699" s="26"/>
      <c r="C1699" s="26"/>
      <c r="D1699" s="26"/>
      <c r="E1699" s="26"/>
      <c r="F1699" s="26"/>
      <c r="G1699" s="26"/>
      <c r="H1699" s="27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2.75" x14ac:dyDescent="0.2"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2.75" x14ac:dyDescent="0.2"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5" spans="1:26" ht="15.75" customHeight="1" x14ac:dyDescent="0.4">
      <c r="A1705" s="28" t="s">
        <v>0</v>
      </c>
      <c r="B1705" s="26"/>
      <c r="C1705" s="26"/>
      <c r="D1705" s="26"/>
      <c r="E1705" s="26"/>
      <c r="F1705" s="26"/>
      <c r="G1705" s="26"/>
      <c r="H1705" s="27"/>
    </row>
    <row r="1706" spans="1:26" ht="15.75" customHeight="1" x14ac:dyDescent="0.4">
      <c r="A1706" s="28" t="s">
        <v>440</v>
      </c>
      <c r="B1706" s="26"/>
      <c r="C1706" s="26"/>
      <c r="D1706" s="26"/>
      <c r="E1706" s="26"/>
      <c r="F1706" s="26"/>
      <c r="G1706" s="26"/>
      <c r="H1706" s="27"/>
    </row>
    <row r="1707" spans="1:26" ht="18.75" x14ac:dyDescent="0.3">
      <c r="A1707" s="3" t="s">
        <v>2</v>
      </c>
      <c r="B1707" s="3" t="s">
        <v>3</v>
      </c>
      <c r="C1707" s="3" t="s">
        <v>4</v>
      </c>
      <c r="D1707" s="3" t="s">
        <v>5</v>
      </c>
      <c r="E1707" s="3" t="s">
        <v>6</v>
      </c>
      <c r="F1707" s="4" t="s">
        <v>7</v>
      </c>
      <c r="G1707" s="3" t="s">
        <v>8</v>
      </c>
      <c r="H1707" s="5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26.25" x14ac:dyDescent="0.4">
      <c r="A1708" s="6">
        <v>1</v>
      </c>
      <c r="B1708" s="20" t="s">
        <v>53</v>
      </c>
      <c r="C1708" s="21" t="s">
        <v>441</v>
      </c>
      <c r="D1708" s="8" t="s">
        <v>11</v>
      </c>
      <c r="E1708" s="20">
        <v>2.1800000000000002</v>
      </c>
      <c r="F1708" s="9">
        <v>293000</v>
      </c>
      <c r="G1708" s="10">
        <f t="shared" ref="G1708:G1710" si="113">IFERROR(E1708*F1708,0)</f>
        <v>638740</v>
      </c>
      <c r="H1708" s="11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26.25" x14ac:dyDescent="0.4">
      <c r="A1709" s="6">
        <v>2</v>
      </c>
      <c r="B1709" s="22" t="s">
        <v>12</v>
      </c>
      <c r="C1709" s="23" t="s">
        <v>442</v>
      </c>
      <c r="D1709" s="13" t="s">
        <v>13</v>
      </c>
      <c r="E1709" s="22">
        <v>1.46</v>
      </c>
      <c r="F1709" s="14">
        <v>435000</v>
      </c>
      <c r="G1709" s="10">
        <f t="shared" si="113"/>
        <v>635100</v>
      </c>
      <c r="H1709" s="11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26.25" x14ac:dyDescent="0.4">
      <c r="A1710" s="6">
        <v>3</v>
      </c>
      <c r="B1710" s="15" t="s">
        <v>14</v>
      </c>
      <c r="C1710" s="11"/>
      <c r="D1710" s="11"/>
      <c r="E1710" s="11"/>
      <c r="F1710" s="11"/>
      <c r="G1710" s="16">
        <f t="shared" si="113"/>
        <v>0</v>
      </c>
      <c r="H1710" s="11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26.25" x14ac:dyDescent="0.4">
      <c r="A1711" s="29" t="s">
        <v>15</v>
      </c>
      <c r="B1711" s="26"/>
      <c r="C1711" s="26"/>
      <c r="D1711" s="26"/>
      <c r="E1711" s="26"/>
      <c r="F1711" s="26"/>
      <c r="G1711" s="27"/>
      <c r="H1711" s="17">
        <f>SUM(G1708:G1710)</f>
        <v>1273840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26.25" x14ac:dyDescent="0.4">
      <c r="A1712" s="29" t="s">
        <v>16</v>
      </c>
      <c r="B1712" s="26"/>
      <c r="C1712" s="26"/>
      <c r="D1712" s="26"/>
      <c r="E1712" s="26"/>
      <c r="F1712" s="26"/>
      <c r="G1712" s="27"/>
      <c r="H1712" s="17">
        <f>MAX(0,H1711-648000)</f>
        <v>625840</v>
      </c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26.25" x14ac:dyDescent="0.4">
      <c r="A1713" s="25" t="s">
        <v>17</v>
      </c>
      <c r="B1713" s="26"/>
      <c r="C1713" s="26"/>
      <c r="D1713" s="26"/>
      <c r="E1713" s="26"/>
      <c r="F1713" s="26"/>
      <c r="G1713" s="27"/>
      <c r="H1713" s="18">
        <v>649000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26.25" x14ac:dyDescent="0.4">
      <c r="A1714" s="28" t="s">
        <v>18</v>
      </c>
      <c r="B1714" s="26"/>
      <c r="C1714" s="26"/>
      <c r="D1714" s="26"/>
      <c r="E1714" s="26"/>
      <c r="F1714" s="26"/>
      <c r="G1714" s="26"/>
      <c r="H1714" s="27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2.75" x14ac:dyDescent="0.2"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2.75" x14ac:dyDescent="0.2"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20" spans="1:26" ht="15.75" customHeight="1" x14ac:dyDescent="0.4">
      <c r="A1720" s="28" t="s">
        <v>0</v>
      </c>
      <c r="B1720" s="26"/>
      <c r="C1720" s="26"/>
      <c r="D1720" s="26"/>
      <c r="E1720" s="26"/>
      <c r="F1720" s="26"/>
      <c r="G1720" s="26"/>
      <c r="H1720" s="27"/>
    </row>
    <row r="1721" spans="1:26" ht="15.75" customHeight="1" x14ac:dyDescent="0.4">
      <c r="A1721" s="28" t="s">
        <v>443</v>
      </c>
      <c r="B1721" s="26"/>
      <c r="C1721" s="26"/>
      <c r="D1721" s="26"/>
      <c r="E1721" s="26"/>
      <c r="F1721" s="26"/>
      <c r="G1721" s="26"/>
      <c r="H1721" s="27"/>
    </row>
    <row r="1722" spans="1:26" ht="18.75" x14ac:dyDescent="0.3">
      <c r="A1722" s="3" t="s">
        <v>2</v>
      </c>
      <c r="B1722" s="3" t="s">
        <v>3</v>
      </c>
      <c r="C1722" s="3" t="s">
        <v>4</v>
      </c>
      <c r="D1722" s="3" t="s">
        <v>5</v>
      </c>
      <c r="E1722" s="3" t="s">
        <v>6</v>
      </c>
      <c r="F1722" s="4" t="s">
        <v>7</v>
      </c>
      <c r="G1722" s="3" t="s">
        <v>8</v>
      </c>
      <c r="H1722" s="5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26.25" x14ac:dyDescent="0.4">
      <c r="A1723" s="6">
        <v>1</v>
      </c>
      <c r="B1723" s="20" t="s">
        <v>94</v>
      </c>
      <c r="C1723" s="21" t="s">
        <v>444</v>
      </c>
      <c r="D1723" s="8" t="s">
        <v>11</v>
      </c>
      <c r="E1723" s="20">
        <v>2</v>
      </c>
      <c r="F1723" s="9">
        <v>293000</v>
      </c>
      <c r="G1723" s="10">
        <f t="shared" ref="G1723:G1725" si="114">IFERROR(E1723*F1723,0)</f>
        <v>586000</v>
      </c>
      <c r="H1723" s="11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26.25" x14ac:dyDescent="0.4">
      <c r="A1724" s="6">
        <v>2</v>
      </c>
      <c r="B1724" s="22" t="s">
        <v>65</v>
      </c>
      <c r="C1724" s="23" t="s">
        <v>445</v>
      </c>
      <c r="D1724" s="13" t="s">
        <v>13</v>
      </c>
      <c r="E1724" s="22">
        <v>1.5</v>
      </c>
      <c r="F1724" s="14">
        <v>435000</v>
      </c>
      <c r="G1724" s="10">
        <f t="shared" si="114"/>
        <v>652500</v>
      </c>
      <c r="H1724" s="11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26.25" x14ac:dyDescent="0.4">
      <c r="A1725" s="6">
        <v>3</v>
      </c>
      <c r="B1725" s="15" t="s">
        <v>14</v>
      </c>
      <c r="C1725" s="11"/>
      <c r="D1725" s="11"/>
      <c r="E1725" s="11"/>
      <c r="F1725" s="11"/>
      <c r="G1725" s="16">
        <f t="shared" si="114"/>
        <v>0</v>
      </c>
      <c r="H1725" s="11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26.25" x14ac:dyDescent="0.4">
      <c r="A1726" s="29" t="s">
        <v>15</v>
      </c>
      <c r="B1726" s="26"/>
      <c r="C1726" s="26"/>
      <c r="D1726" s="26"/>
      <c r="E1726" s="26"/>
      <c r="F1726" s="26"/>
      <c r="G1726" s="27"/>
      <c r="H1726" s="17">
        <f>SUM(G1723:G1725)</f>
        <v>1238500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26.25" x14ac:dyDescent="0.4">
      <c r="A1727" s="29" t="s">
        <v>16</v>
      </c>
      <c r="B1727" s="26"/>
      <c r="C1727" s="26"/>
      <c r="D1727" s="26"/>
      <c r="E1727" s="26"/>
      <c r="F1727" s="26"/>
      <c r="G1727" s="27"/>
      <c r="H1727" s="17">
        <f>MAX(0,H1726-648000)</f>
        <v>590500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26.25" x14ac:dyDescent="0.4">
      <c r="A1728" s="25" t="s">
        <v>17</v>
      </c>
      <c r="B1728" s="26"/>
      <c r="C1728" s="26"/>
      <c r="D1728" s="26"/>
      <c r="E1728" s="26"/>
      <c r="F1728" s="26"/>
      <c r="G1728" s="27"/>
      <c r="H1728" s="18">
        <v>649000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26.25" x14ac:dyDescent="0.4">
      <c r="A1729" s="28" t="s">
        <v>18</v>
      </c>
      <c r="B1729" s="26"/>
      <c r="C1729" s="26"/>
      <c r="D1729" s="26"/>
      <c r="E1729" s="26"/>
      <c r="F1729" s="26"/>
      <c r="G1729" s="26"/>
      <c r="H1729" s="27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2.75" x14ac:dyDescent="0.2"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2.75" x14ac:dyDescent="0.2"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5" spans="1:26" ht="15.75" customHeight="1" x14ac:dyDescent="0.4">
      <c r="A1735" s="28" t="s">
        <v>0</v>
      </c>
      <c r="B1735" s="26"/>
      <c r="C1735" s="26"/>
      <c r="D1735" s="26"/>
      <c r="E1735" s="26"/>
      <c r="F1735" s="26"/>
      <c r="G1735" s="26"/>
      <c r="H1735" s="27"/>
    </row>
    <row r="1736" spans="1:26" ht="15.75" customHeight="1" x14ac:dyDescent="0.4">
      <c r="A1736" s="28" t="s">
        <v>446</v>
      </c>
      <c r="B1736" s="26"/>
      <c r="C1736" s="26"/>
      <c r="D1736" s="26"/>
      <c r="E1736" s="26"/>
      <c r="F1736" s="26"/>
      <c r="G1736" s="26"/>
      <c r="H1736" s="27"/>
    </row>
    <row r="1737" spans="1:26" ht="15.75" customHeight="1" x14ac:dyDescent="0.3">
      <c r="A1737" s="3" t="s">
        <v>2</v>
      </c>
      <c r="B1737" s="3" t="s">
        <v>3</v>
      </c>
      <c r="C1737" s="3" t="s">
        <v>4</v>
      </c>
      <c r="D1737" s="3" t="s">
        <v>5</v>
      </c>
      <c r="E1737" s="3" t="s">
        <v>6</v>
      </c>
      <c r="F1737" s="4" t="s">
        <v>7</v>
      </c>
      <c r="G1737" s="3" t="s">
        <v>8</v>
      </c>
      <c r="H1737" s="5"/>
    </row>
    <row r="1738" spans="1:26" ht="26.25" x14ac:dyDescent="0.4">
      <c r="A1738" s="6">
        <v>1</v>
      </c>
      <c r="B1738" s="20" t="s">
        <v>447</v>
      </c>
      <c r="C1738" s="21" t="s">
        <v>448</v>
      </c>
      <c r="D1738" s="8" t="s">
        <v>11</v>
      </c>
      <c r="E1738" s="20">
        <v>2</v>
      </c>
      <c r="F1738" s="9">
        <v>293000</v>
      </c>
      <c r="G1738" s="10">
        <f t="shared" ref="G1738:G1740" si="115">IFERROR(E1738*F1738,0)</f>
        <v>586000</v>
      </c>
      <c r="H1738" s="11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26.25" x14ac:dyDescent="0.4">
      <c r="A1739" s="6">
        <v>2</v>
      </c>
      <c r="B1739" s="22" t="s">
        <v>449</v>
      </c>
      <c r="C1739" s="23" t="s">
        <v>450</v>
      </c>
      <c r="D1739" s="13" t="s">
        <v>13</v>
      </c>
      <c r="E1739" s="22">
        <v>1.5</v>
      </c>
      <c r="F1739" s="14">
        <v>435000</v>
      </c>
      <c r="G1739" s="10">
        <f t="shared" si="115"/>
        <v>652500</v>
      </c>
      <c r="H1739" s="11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26.25" x14ac:dyDescent="0.4">
      <c r="A1740" s="6">
        <v>3</v>
      </c>
      <c r="B1740" s="15" t="s">
        <v>14</v>
      </c>
      <c r="C1740" s="11"/>
      <c r="D1740" s="11"/>
      <c r="E1740" s="11"/>
      <c r="F1740" s="11"/>
      <c r="G1740" s="16">
        <f t="shared" si="115"/>
        <v>0</v>
      </c>
      <c r="H1740" s="11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26.25" x14ac:dyDescent="0.4">
      <c r="A1741" s="29" t="s">
        <v>15</v>
      </c>
      <c r="B1741" s="26"/>
      <c r="C1741" s="26"/>
      <c r="D1741" s="26"/>
      <c r="E1741" s="26"/>
      <c r="F1741" s="26"/>
      <c r="G1741" s="27"/>
      <c r="H1741" s="17">
        <f>SUM(G1738:G1740)</f>
        <v>1238500</v>
      </c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26.25" x14ac:dyDescent="0.4">
      <c r="A1742" s="29" t="s">
        <v>16</v>
      </c>
      <c r="B1742" s="26"/>
      <c r="C1742" s="26"/>
      <c r="D1742" s="26"/>
      <c r="E1742" s="26"/>
      <c r="F1742" s="26"/>
      <c r="G1742" s="27"/>
      <c r="H1742" s="17">
        <f>MAX(0,H1741-648000)</f>
        <v>590500</v>
      </c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26.25" x14ac:dyDescent="0.4">
      <c r="A1743" s="25" t="s">
        <v>17</v>
      </c>
      <c r="B1743" s="26"/>
      <c r="C1743" s="26"/>
      <c r="D1743" s="26"/>
      <c r="E1743" s="26"/>
      <c r="F1743" s="26"/>
      <c r="G1743" s="27"/>
      <c r="H1743" s="18">
        <v>649000</v>
      </c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26.25" x14ac:dyDescent="0.4">
      <c r="A1744" s="28" t="s">
        <v>18</v>
      </c>
      <c r="B1744" s="26"/>
      <c r="C1744" s="26"/>
      <c r="D1744" s="26"/>
      <c r="E1744" s="26"/>
      <c r="F1744" s="26"/>
      <c r="G1744" s="26"/>
      <c r="H1744" s="27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2.75" x14ac:dyDescent="0.2"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2.75" x14ac:dyDescent="0.2"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2.75" x14ac:dyDescent="0.2"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51" spans="1:26" ht="15.75" customHeight="1" x14ac:dyDescent="0.4">
      <c r="A1751" s="28" t="s">
        <v>0</v>
      </c>
      <c r="B1751" s="26"/>
      <c r="C1751" s="26"/>
      <c r="D1751" s="26"/>
      <c r="E1751" s="26"/>
      <c r="F1751" s="26"/>
      <c r="G1751" s="26"/>
      <c r="H1751" s="27"/>
    </row>
    <row r="1752" spans="1:26" ht="15.75" customHeight="1" x14ac:dyDescent="0.4">
      <c r="A1752" s="28" t="s">
        <v>451</v>
      </c>
      <c r="B1752" s="26"/>
      <c r="C1752" s="26"/>
      <c r="D1752" s="26"/>
      <c r="E1752" s="26"/>
      <c r="F1752" s="26"/>
      <c r="G1752" s="26"/>
      <c r="H1752" s="27"/>
    </row>
    <row r="1753" spans="1:26" ht="18.75" x14ac:dyDescent="0.3">
      <c r="A1753" s="3" t="s">
        <v>2</v>
      </c>
      <c r="B1753" s="3" t="s">
        <v>3</v>
      </c>
      <c r="C1753" s="3" t="s">
        <v>4</v>
      </c>
      <c r="D1753" s="3" t="s">
        <v>5</v>
      </c>
      <c r="E1753" s="3" t="s">
        <v>6</v>
      </c>
      <c r="F1753" s="4" t="s">
        <v>7</v>
      </c>
      <c r="G1753" s="3" t="s">
        <v>8</v>
      </c>
      <c r="H1753" s="5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26.25" x14ac:dyDescent="0.4">
      <c r="A1754" s="6">
        <v>1</v>
      </c>
      <c r="B1754" s="20" t="s">
        <v>247</v>
      </c>
      <c r="C1754" s="21" t="s">
        <v>452</v>
      </c>
      <c r="D1754" s="8" t="s">
        <v>11</v>
      </c>
      <c r="E1754" s="20">
        <v>2.4500000000000002</v>
      </c>
      <c r="F1754" s="9">
        <v>293000</v>
      </c>
      <c r="G1754" s="10">
        <f t="shared" ref="G1754:G1756" si="116">IFERROR(E1754*F1754,0)</f>
        <v>717850</v>
      </c>
      <c r="H1754" s="11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26.25" x14ac:dyDescent="0.4">
      <c r="A1755" s="6">
        <v>2</v>
      </c>
      <c r="B1755" s="22" t="s">
        <v>453</v>
      </c>
      <c r="C1755" s="23" t="s">
        <v>454</v>
      </c>
      <c r="D1755" s="13" t="s">
        <v>13</v>
      </c>
      <c r="E1755" s="22">
        <v>1.1000000000000001</v>
      </c>
      <c r="F1755" s="14">
        <v>435000</v>
      </c>
      <c r="G1755" s="10">
        <f t="shared" si="116"/>
        <v>478500.00000000006</v>
      </c>
      <c r="H1755" s="11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26.25" x14ac:dyDescent="0.4">
      <c r="A1756" s="6">
        <v>3</v>
      </c>
      <c r="B1756" s="15" t="s">
        <v>14</v>
      </c>
      <c r="C1756" s="11"/>
      <c r="D1756" s="11"/>
      <c r="E1756" s="11"/>
      <c r="F1756" s="11"/>
      <c r="G1756" s="16">
        <f t="shared" si="116"/>
        <v>0</v>
      </c>
      <c r="H1756" s="11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26.25" x14ac:dyDescent="0.4">
      <c r="A1757" s="29" t="s">
        <v>15</v>
      </c>
      <c r="B1757" s="26"/>
      <c r="C1757" s="26"/>
      <c r="D1757" s="26"/>
      <c r="E1757" s="26"/>
      <c r="F1757" s="26"/>
      <c r="G1757" s="27"/>
      <c r="H1757" s="17">
        <f>SUM(G1754:G1756)</f>
        <v>1196350</v>
      </c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26.25" x14ac:dyDescent="0.4">
      <c r="A1758" s="29" t="s">
        <v>16</v>
      </c>
      <c r="B1758" s="26"/>
      <c r="C1758" s="26"/>
      <c r="D1758" s="26"/>
      <c r="E1758" s="26"/>
      <c r="F1758" s="26"/>
      <c r="G1758" s="27"/>
      <c r="H1758" s="17">
        <f>MAX(0,H1757-648000)</f>
        <v>548350</v>
      </c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26.25" x14ac:dyDescent="0.4">
      <c r="A1759" s="25" t="s">
        <v>17</v>
      </c>
      <c r="B1759" s="26"/>
      <c r="C1759" s="26"/>
      <c r="D1759" s="26"/>
      <c r="E1759" s="26"/>
      <c r="F1759" s="26"/>
      <c r="G1759" s="27"/>
      <c r="H1759" s="18">
        <v>649000</v>
      </c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26.25" x14ac:dyDescent="0.4">
      <c r="A1760" s="28" t="s">
        <v>18</v>
      </c>
      <c r="B1760" s="26"/>
      <c r="C1760" s="26"/>
      <c r="D1760" s="26"/>
      <c r="E1760" s="26"/>
      <c r="F1760" s="26"/>
      <c r="G1760" s="26"/>
      <c r="H1760" s="27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2.75" x14ac:dyDescent="0.2"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2.75" x14ac:dyDescent="0.2"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6" spans="1:26" ht="15.75" customHeight="1" x14ac:dyDescent="0.4">
      <c r="A1766" s="28" t="s">
        <v>0</v>
      </c>
      <c r="B1766" s="26"/>
      <c r="C1766" s="26"/>
      <c r="D1766" s="26"/>
      <c r="E1766" s="26"/>
      <c r="F1766" s="26"/>
      <c r="G1766" s="26"/>
      <c r="H1766" s="27"/>
    </row>
    <row r="1767" spans="1:26" ht="15.75" customHeight="1" x14ac:dyDescent="0.4">
      <c r="A1767" s="28" t="s">
        <v>455</v>
      </c>
      <c r="B1767" s="26"/>
      <c r="C1767" s="26"/>
      <c r="D1767" s="26"/>
      <c r="E1767" s="26"/>
      <c r="F1767" s="26"/>
      <c r="G1767" s="26"/>
      <c r="H1767" s="27"/>
    </row>
    <row r="1768" spans="1:26" ht="15.75" customHeight="1" x14ac:dyDescent="0.3">
      <c r="A1768" s="3" t="s">
        <v>2</v>
      </c>
      <c r="B1768" s="3" t="s">
        <v>3</v>
      </c>
      <c r="C1768" s="3" t="s">
        <v>4</v>
      </c>
      <c r="D1768" s="3" t="s">
        <v>5</v>
      </c>
      <c r="E1768" s="3" t="s">
        <v>6</v>
      </c>
      <c r="F1768" s="4" t="s">
        <v>7</v>
      </c>
      <c r="G1768" s="3" t="s">
        <v>8</v>
      </c>
      <c r="H1768" s="5"/>
    </row>
    <row r="1769" spans="1:26" ht="26.25" x14ac:dyDescent="0.4">
      <c r="A1769" s="6">
        <v>1</v>
      </c>
      <c r="B1769" s="20" t="s">
        <v>27</v>
      </c>
      <c r="C1769" s="21" t="s">
        <v>456</v>
      </c>
      <c r="D1769" s="8" t="s">
        <v>11</v>
      </c>
      <c r="E1769" s="20">
        <v>3</v>
      </c>
      <c r="F1769" s="9">
        <v>293000</v>
      </c>
      <c r="G1769" s="10">
        <f t="shared" ref="G1769:G1771" si="117">IFERROR(E1769*F1769,0)</f>
        <v>879000</v>
      </c>
      <c r="H1769" s="11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26.25" x14ac:dyDescent="0.4">
      <c r="A1770" s="6">
        <v>2</v>
      </c>
      <c r="B1770" s="22" t="s">
        <v>60</v>
      </c>
      <c r="C1770" s="23" t="s">
        <v>457</v>
      </c>
      <c r="D1770" s="13" t="s">
        <v>13</v>
      </c>
      <c r="E1770" s="22">
        <v>0.63</v>
      </c>
      <c r="F1770" s="14">
        <v>435000</v>
      </c>
      <c r="G1770" s="10">
        <f t="shared" si="117"/>
        <v>274050</v>
      </c>
      <c r="H1770" s="11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26.25" x14ac:dyDescent="0.4">
      <c r="A1771" s="6">
        <v>3</v>
      </c>
      <c r="B1771" s="15" t="s">
        <v>14</v>
      </c>
      <c r="C1771" s="11"/>
      <c r="D1771" s="11"/>
      <c r="E1771" s="11"/>
      <c r="F1771" s="11"/>
      <c r="G1771" s="16">
        <f t="shared" si="117"/>
        <v>0</v>
      </c>
      <c r="H1771" s="11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26.25" x14ac:dyDescent="0.4">
      <c r="A1772" s="29" t="s">
        <v>15</v>
      </c>
      <c r="B1772" s="26"/>
      <c r="C1772" s="26"/>
      <c r="D1772" s="26"/>
      <c r="E1772" s="26"/>
      <c r="F1772" s="26"/>
      <c r="G1772" s="27"/>
      <c r="H1772" s="17">
        <f>SUM(G1769:G1771)</f>
        <v>1153050</v>
      </c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26.25" x14ac:dyDescent="0.4">
      <c r="A1773" s="29" t="s">
        <v>16</v>
      </c>
      <c r="B1773" s="26"/>
      <c r="C1773" s="26"/>
      <c r="D1773" s="26"/>
      <c r="E1773" s="26"/>
      <c r="F1773" s="26"/>
      <c r="G1773" s="27"/>
      <c r="H1773" s="17">
        <f>MAX(0,H1772-648000)</f>
        <v>505050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26.25" x14ac:dyDescent="0.4">
      <c r="A1774" s="25" t="s">
        <v>17</v>
      </c>
      <c r="B1774" s="26"/>
      <c r="C1774" s="26"/>
      <c r="D1774" s="26"/>
      <c r="E1774" s="26"/>
      <c r="F1774" s="26"/>
      <c r="G1774" s="27"/>
      <c r="H1774" s="18">
        <v>649000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26.25" x14ac:dyDescent="0.4">
      <c r="A1775" s="28" t="s">
        <v>18</v>
      </c>
      <c r="B1775" s="26"/>
      <c r="C1775" s="26"/>
      <c r="D1775" s="26"/>
      <c r="E1775" s="26"/>
      <c r="F1775" s="26"/>
      <c r="G1775" s="26"/>
      <c r="H1775" s="27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2.75" x14ac:dyDescent="0.2"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2.75" x14ac:dyDescent="0.2"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2.75" x14ac:dyDescent="0.2"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82" spans="1:26" ht="15.75" customHeight="1" x14ac:dyDescent="0.4">
      <c r="A1782" s="28" t="s">
        <v>0</v>
      </c>
      <c r="B1782" s="26"/>
      <c r="C1782" s="26"/>
      <c r="D1782" s="26"/>
      <c r="E1782" s="26"/>
      <c r="F1782" s="26"/>
      <c r="G1782" s="26"/>
      <c r="H1782" s="27"/>
    </row>
    <row r="1783" spans="1:26" ht="15.75" customHeight="1" x14ac:dyDescent="0.4">
      <c r="A1783" s="28" t="s">
        <v>458</v>
      </c>
      <c r="B1783" s="26"/>
      <c r="C1783" s="26"/>
      <c r="D1783" s="26"/>
      <c r="E1783" s="26"/>
      <c r="F1783" s="26"/>
      <c r="G1783" s="26"/>
      <c r="H1783" s="27"/>
    </row>
    <row r="1784" spans="1:26" ht="18.75" x14ac:dyDescent="0.3">
      <c r="A1784" s="3" t="s">
        <v>2</v>
      </c>
      <c r="B1784" s="3" t="s">
        <v>3</v>
      </c>
      <c r="C1784" s="3" t="s">
        <v>4</v>
      </c>
      <c r="D1784" s="3" t="s">
        <v>5</v>
      </c>
      <c r="E1784" s="3" t="s">
        <v>6</v>
      </c>
      <c r="F1784" s="4" t="s">
        <v>7</v>
      </c>
      <c r="G1784" s="3" t="s">
        <v>8</v>
      </c>
      <c r="H1784" s="5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26.25" x14ac:dyDescent="0.4">
      <c r="A1785" s="6">
        <v>1</v>
      </c>
      <c r="B1785" s="20" t="s">
        <v>74</v>
      </c>
      <c r="C1785" s="21" t="s">
        <v>459</v>
      </c>
      <c r="D1785" s="8" t="s">
        <v>11</v>
      </c>
      <c r="E1785" s="20">
        <v>3</v>
      </c>
      <c r="F1785" s="9">
        <v>293000</v>
      </c>
      <c r="G1785" s="10">
        <f t="shared" ref="G1785:G1787" si="118">IFERROR(E1785*F1785,0)</f>
        <v>879000</v>
      </c>
      <c r="H1785" s="11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26.25" x14ac:dyDescent="0.4">
      <c r="A1786" s="6">
        <v>2</v>
      </c>
      <c r="B1786" s="22" t="s">
        <v>12</v>
      </c>
      <c r="C1786" s="23" t="s">
        <v>460</v>
      </c>
      <c r="D1786" s="13" t="s">
        <v>13</v>
      </c>
      <c r="E1786" s="22">
        <v>0.6</v>
      </c>
      <c r="F1786" s="14">
        <v>435000</v>
      </c>
      <c r="G1786" s="10">
        <f t="shared" si="118"/>
        <v>261000</v>
      </c>
      <c r="H1786" s="11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26.25" x14ac:dyDescent="0.4">
      <c r="A1787" s="6">
        <v>3</v>
      </c>
      <c r="B1787" s="15" t="s">
        <v>14</v>
      </c>
      <c r="C1787" s="11"/>
      <c r="D1787" s="11"/>
      <c r="E1787" s="11"/>
      <c r="F1787" s="11"/>
      <c r="G1787" s="16">
        <f t="shared" si="118"/>
        <v>0</v>
      </c>
      <c r="H1787" s="11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26.25" x14ac:dyDescent="0.4">
      <c r="A1788" s="29" t="s">
        <v>15</v>
      </c>
      <c r="B1788" s="26"/>
      <c r="C1788" s="26"/>
      <c r="D1788" s="26"/>
      <c r="E1788" s="26"/>
      <c r="F1788" s="26"/>
      <c r="G1788" s="27"/>
      <c r="H1788" s="17">
        <f>SUM(G1785:G1787)</f>
        <v>1140000</v>
      </c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26.25" x14ac:dyDescent="0.4">
      <c r="A1789" s="29" t="s">
        <v>16</v>
      </c>
      <c r="B1789" s="26"/>
      <c r="C1789" s="26"/>
      <c r="D1789" s="26"/>
      <c r="E1789" s="26"/>
      <c r="F1789" s="26"/>
      <c r="G1789" s="27"/>
      <c r="H1789" s="17">
        <f>MAX(0,H1788-648000)</f>
        <v>492000</v>
      </c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26.25" x14ac:dyDescent="0.4">
      <c r="A1790" s="25" t="s">
        <v>17</v>
      </c>
      <c r="B1790" s="26"/>
      <c r="C1790" s="26"/>
      <c r="D1790" s="26"/>
      <c r="E1790" s="26"/>
      <c r="F1790" s="26"/>
      <c r="G1790" s="27"/>
      <c r="H1790" s="18">
        <v>649000</v>
      </c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26.25" x14ac:dyDescent="0.4">
      <c r="A1791" s="28" t="s">
        <v>18</v>
      </c>
      <c r="B1791" s="26"/>
      <c r="C1791" s="26"/>
      <c r="D1791" s="26"/>
      <c r="E1791" s="26"/>
      <c r="F1791" s="26"/>
      <c r="G1791" s="26"/>
      <c r="H1791" s="27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2.75" x14ac:dyDescent="0.2"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2.75" x14ac:dyDescent="0.2"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7" spans="1:26" ht="15.75" customHeight="1" x14ac:dyDescent="0.4">
      <c r="A1797" s="28" t="s">
        <v>0</v>
      </c>
      <c r="B1797" s="26"/>
      <c r="C1797" s="26"/>
      <c r="D1797" s="26"/>
      <c r="E1797" s="26"/>
      <c r="F1797" s="26"/>
      <c r="G1797" s="26"/>
      <c r="H1797" s="27"/>
    </row>
    <row r="1798" spans="1:26" ht="15.75" customHeight="1" x14ac:dyDescent="0.4">
      <c r="A1798" s="28" t="s">
        <v>461</v>
      </c>
      <c r="B1798" s="26"/>
      <c r="C1798" s="26"/>
      <c r="D1798" s="26"/>
      <c r="E1798" s="26"/>
      <c r="F1798" s="26"/>
      <c r="G1798" s="26"/>
      <c r="H1798" s="27"/>
    </row>
    <row r="1799" spans="1:26" ht="18.75" x14ac:dyDescent="0.3">
      <c r="A1799" s="3" t="s">
        <v>2</v>
      </c>
      <c r="B1799" s="3" t="s">
        <v>3</v>
      </c>
      <c r="C1799" s="3" t="s">
        <v>4</v>
      </c>
      <c r="D1799" s="3" t="s">
        <v>5</v>
      </c>
      <c r="E1799" s="3" t="s">
        <v>6</v>
      </c>
      <c r="F1799" s="4" t="s">
        <v>7</v>
      </c>
      <c r="G1799" s="3" t="s">
        <v>8</v>
      </c>
      <c r="H1799" s="5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26.25" x14ac:dyDescent="0.4">
      <c r="A1800" s="6">
        <v>1</v>
      </c>
      <c r="B1800" s="20" t="s">
        <v>462</v>
      </c>
      <c r="C1800" s="21" t="s">
        <v>250</v>
      </c>
      <c r="D1800" s="8" t="s">
        <v>11</v>
      </c>
      <c r="E1800" s="20">
        <v>2.38</v>
      </c>
      <c r="F1800" s="9">
        <v>293000</v>
      </c>
      <c r="G1800" s="10">
        <f t="shared" ref="G1800:G1802" si="119">IFERROR(E1800*F1800,0)</f>
        <v>697340</v>
      </c>
      <c r="H1800" s="11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26.25" x14ac:dyDescent="0.4">
      <c r="A1801" s="6">
        <v>2</v>
      </c>
      <c r="B1801" s="22" t="s">
        <v>247</v>
      </c>
      <c r="C1801" s="23" t="s">
        <v>463</v>
      </c>
      <c r="D1801" s="13" t="s">
        <v>13</v>
      </c>
      <c r="E1801" s="22">
        <v>1.3</v>
      </c>
      <c r="F1801" s="14">
        <v>435000</v>
      </c>
      <c r="G1801" s="10">
        <f t="shared" si="119"/>
        <v>565500</v>
      </c>
      <c r="H1801" s="11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26.25" x14ac:dyDescent="0.4">
      <c r="A1802" s="6">
        <v>3</v>
      </c>
      <c r="B1802" s="15" t="s">
        <v>14</v>
      </c>
      <c r="C1802" s="11"/>
      <c r="D1802" s="11"/>
      <c r="E1802" s="11"/>
      <c r="F1802" s="11"/>
      <c r="G1802" s="16">
        <f t="shared" si="119"/>
        <v>0</v>
      </c>
      <c r="H1802" s="11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26.25" x14ac:dyDescent="0.4">
      <c r="A1803" s="29" t="s">
        <v>15</v>
      </c>
      <c r="B1803" s="26"/>
      <c r="C1803" s="26"/>
      <c r="D1803" s="26"/>
      <c r="E1803" s="26"/>
      <c r="F1803" s="26"/>
      <c r="G1803" s="27"/>
      <c r="H1803" s="17">
        <f>SUM(G1800:G1802)</f>
        <v>1262840</v>
      </c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26.25" x14ac:dyDescent="0.4">
      <c r="A1804" s="29" t="s">
        <v>16</v>
      </c>
      <c r="B1804" s="26"/>
      <c r="C1804" s="26"/>
      <c r="D1804" s="26"/>
      <c r="E1804" s="26"/>
      <c r="F1804" s="26"/>
      <c r="G1804" s="27"/>
      <c r="H1804" s="17">
        <f>MAX(0,H1803-648000)</f>
        <v>614840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26.25" x14ac:dyDescent="0.4">
      <c r="A1805" s="25" t="s">
        <v>17</v>
      </c>
      <c r="B1805" s="26"/>
      <c r="C1805" s="26"/>
      <c r="D1805" s="26"/>
      <c r="E1805" s="26"/>
      <c r="F1805" s="26"/>
      <c r="G1805" s="27"/>
      <c r="H1805" s="18">
        <v>649000</v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26.25" x14ac:dyDescent="0.4">
      <c r="A1806" s="28" t="s">
        <v>18</v>
      </c>
      <c r="B1806" s="26"/>
      <c r="C1806" s="26"/>
      <c r="D1806" s="26"/>
      <c r="E1806" s="26"/>
      <c r="F1806" s="26"/>
      <c r="G1806" s="26"/>
      <c r="H1806" s="27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2.75" x14ac:dyDescent="0.2"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2.75" x14ac:dyDescent="0.2"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12" spans="1:26" ht="15.75" customHeight="1" x14ac:dyDescent="0.4">
      <c r="A1812" s="28" t="s">
        <v>0</v>
      </c>
      <c r="B1812" s="26"/>
      <c r="C1812" s="26"/>
      <c r="D1812" s="26"/>
      <c r="E1812" s="26"/>
      <c r="F1812" s="26"/>
      <c r="G1812" s="26"/>
      <c r="H1812" s="27"/>
    </row>
    <row r="1813" spans="1:26" ht="15.75" customHeight="1" x14ac:dyDescent="0.4">
      <c r="A1813" s="28" t="s">
        <v>464</v>
      </c>
      <c r="B1813" s="26"/>
      <c r="C1813" s="26"/>
      <c r="D1813" s="26"/>
      <c r="E1813" s="26"/>
      <c r="F1813" s="26"/>
      <c r="G1813" s="26"/>
      <c r="H1813" s="27"/>
    </row>
    <row r="1814" spans="1:26" ht="15.75" customHeight="1" x14ac:dyDescent="0.3">
      <c r="A1814" s="3" t="s">
        <v>2</v>
      </c>
      <c r="B1814" s="3" t="s">
        <v>3</v>
      </c>
      <c r="C1814" s="3" t="s">
        <v>4</v>
      </c>
      <c r="D1814" s="3" t="s">
        <v>5</v>
      </c>
      <c r="E1814" s="3" t="s">
        <v>6</v>
      </c>
      <c r="F1814" s="4" t="s">
        <v>7</v>
      </c>
      <c r="G1814" s="3" t="s">
        <v>8</v>
      </c>
      <c r="H1814" s="5"/>
    </row>
    <row r="1815" spans="1:26" ht="15.75" customHeight="1" x14ac:dyDescent="0.4">
      <c r="A1815" s="6">
        <v>1</v>
      </c>
      <c r="B1815" s="20" t="s">
        <v>88</v>
      </c>
      <c r="C1815" s="21" t="s">
        <v>465</v>
      </c>
      <c r="D1815" s="8" t="s">
        <v>11</v>
      </c>
      <c r="E1815" s="20">
        <v>1.8</v>
      </c>
      <c r="F1815" s="9">
        <v>293000</v>
      </c>
      <c r="G1815" s="10">
        <f t="shared" ref="G1815:G1817" si="120">IFERROR(E1815*F1815,0)</f>
        <v>527400</v>
      </c>
      <c r="H1815" s="11"/>
    </row>
    <row r="1816" spans="1:26" ht="15.75" customHeight="1" x14ac:dyDescent="0.4">
      <c r="A1816" s="6">
        <v>2</v>
      </c>
      <c r="B1816" s="22" t="s">
        <v>60</v>
      </c>
      <c r="C1816" s="23" t="s">
        <v>466</v>
      </c>
      <c r="D1816" s="13" t="s">
        <v>13</v>
      </c>
      <c r="E1816" s="22">
        <v>1.6</v>
      </c>
      <c r="F1816" s="14">
        <v>435000</v>
      </c>
      <c r="G1816" s="10">
        <f t="shared" si="120"/>
        <v>696000</v>
      </c>
      <c r="H1816" s="11"/>
    </row>
    <row r="1817" spans="1:26" ht="15.75" customHeight="1" x14ac:dyDescent="0.4">
      <c r="A1817" s="6">
        <v>3</v>
      </c>
      <c r="B1817" s="15" t="s">
        <v>14</v>
      </c>
      <c r="C1817" s="11"/>
      <c r="D1817" s="11"/>
      <c r="E1817" s="11"/>
      <c r="F1817" s="11"/>
      <c r="G1817" s="16">
        <f t="shared" si="120"/>
        <v>0</v>
      </c>
      <c r="H1817" s="11"/>
    </row>
    <row r="1818" spans="1:26" ht="26.25" x14ac:dyDescent="0.4">
      <c r="A1818" s="29" t="s">
        <v>15</v>
      </c>
      <c r="B1818" s="26"/>
      <c r="C1818" s="26"/>
      <c r="D1818" s="26"/>
      <c r="E1818" s="26"/>
      <c r="F1818" s="26"/>
      <c r="G1818" s="27"/>
      <c r="H1818" s="17">
        <f>SUM(G1815:G1817)</f>
        <v>1223400</v>
      </c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26.25" x14ac:dyDescent="0.4">
      <c r="A1819" s="29" t="s">
        <v>16</v>
      </c>
      <c r="B1819" s="26"/>
      <c r="C1819" s="26"/>
      <c r="D1819" s="26"/>
      <c r="E1819" s="26"/>
      <c r="F1819" s="26"/>
      <c r="G1819" s="27"/>
      <c r="H1819" s="17">
        <f>MAX(0,H1818-648000)</f>
        <v>575400</v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26.25" x14ac:dyDescent="0.4">
      <c r="A1820" s="25" t="s">
        <v>17</v>
      </c>
      <c r="B1820" s="26"/>
      <c r="C1820" s="26"/>
      <c r="D1820" s="26"/>
      <c r="E1820" s="26"/>
      <c r="F1820" s="26"/>
      <c r="G1820" s="27"/>
      <c r="H1820" s="18">
        <v>649000</v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26.25" x14ac:dyDescent="0.4">
      <c r="A1821" s="28" t="s">
        <v>18</v>
      </c>
      <c r="B1821" s="26"/>
      <c r="C1821" s="26"/>
      <c r="D1821" s="26"/>
      <c r="E1821" s="26"/>
      <c r="F1821" s="26"/>
      <c r="G1821" s="26"/>
      <c r="H1821" s="27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2.75" x14ac:dyDescent="0.2"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2.75" x14ac:dyDescent="0.2"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2.75" x14ac:dyDescent="0.2"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2.75" x14ac:dyDescent="0.2"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2.75" x14ac:dyDescent="0.2"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2.75" x14ac:dyDescent="0.2"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31" spans="1:26" ht="15.75" customHeight="1" x14ac:dyDescent="0.4">
      <c r="A1831" s="28" t="s">
        <v>0</v>
      </c>
      <c r="B1831" s="26"/>
      <c r="C1831" s="26"/>
      <c r="D1831" s="26"/>
      <c r="E1831" s="26"/>
      <c r="F1831" s="26"/>
      <c r="G1831" s="26"/>
      <c r="H1831" s="27"/>
    </row>
    <row r="1832" spans="1:26" ht="15.75" customHeight="1" x14ac:dyDescent="0.4">
      <c r="A1832" s="28" t="s">
        <v>467</v>
      </c>
      <c r="B1832" s="26"/>
      <c r="C1832" s="26"/>
      <c r="D1832" s="26"/>
      <c r="E1832" s="26"/>
      <c r="F1832" s="26"/>
      <c r="G1832" s="26"/>
      <c r="H1832" s="27"/>
    </row>
    <row r="1833" spans="1:26" ht="15.75" customHeight="1" x14ac:dyDescent="0.3">
      <c r="A1833" s="3" t="s">
        <v>2</v>
      </c>
      <c r="B1833" s="3" t="s">
        <v>3</v>
      </c>
      <c r="C1833" s="3" t="s">
        <v>4</v>
      </c>
      <c r="D1833" s="3" t="s">
        <v>5</v>
      </c>
      <c r="E1833" s="3" t="s">
        <v>6</v>
      </c>
      <c r="F1833" s="4" t="s">
        <v>7</v>
      </c>
      <c r="G1833" s="3" t="s">
        <v>8</v>
      </c>
      <c r="H1833" s="5"/>
    </row>
    <row r="1834" spans="1:26" ht="26.25" x14ac:dyDescent="0.4">
      <c r="A1834" s="6">
        <v>1</v>
      </c>
      <c r="B1834" s="20" t="s">
        <v>468</v>
      </c>
      <c r="C1834" s="21" t="s">
        <v>469</v>
      </c>
      <c r="D1834" s="8" t="s">
        <v>11</v>
      </c>
      <c r="E1834" s="20">
        <v>1.75</v>
      </c>
      <c r="F1834" s="9">
        <v>293000</v>
      </c>
      <c r="G1834" s="10">
        <f t="shared" ref="G1834:G1836" si="121">IFERROR(E1834*F1834,0)</f>
        <v>512750</v>
      </c>
      <c r="H1834" s="11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26.25" x14ac:dyDescent="0.4">
      <c r="A1835" s="6">
        <v>2</v>
      </c>
      <c r="B1835" s="22" t="s">
        <v>258</v>
      </c>
      <c r="C1835" s="23" t="s">
        <v>80</v>
      </c>
      <c r="D1835" s="13" t="s">
        <v>13</v>
      </c>
      <c r="E1835" s="22">
        <v>1.67</v>
      </c>
      <c r="F1835" s="14">
        <v>435000</v>
      </c>
      <c r="G1835" s="10">
        <f t="shared" si="121"/>
        <v>726450</v>
      </c>
      <c r="H1835" s="11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26.25" x14ac:dyDescent="0.4">
      <c r="A1836" s="6">
        <v>3</v>
      </c>
      <c r="B1836" s="15" t="s">
        <v>14</v>
      </c>
      <c r="C1836" s="11"/>
      <c r="D1836" s="11"/>
      <c r="E1836" s="11"/>
      <c r="F1836" s="11"/>
      <c r="G1836" s="16">
        <f t="shared" si="121"/>
        <v>0</v>
      </c>
      <c r="H1836" s="11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26.25" x14ac:dyDescent="0.4">
      <c r="A1837" s="29" t="s">
        <v>15</v>
      </c>
      <c r="B1837" s="26"/>
      <c r="C1837" s="26"/>
      <c r="D1837" s="26"/>
      <c r="E1837" s="26"/>
      <c r="F1837" s="26"/>
      <c r="G1837" s="27"/>
      <c r="H1837" s="17">
        <f>SUM(G1834:G1836)</f>
        <v>1239200</v>
      </c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26.25" x14ac:dyDescent="0.4">
      <c r="A1838" s="29" t="s">
        <v>16</v>
      </c>
      <c r="B1838" s="26"/>
      <c r="C1838" s="26"/>
      <c r="D1838" s="26"/>
      <c r="E1838" s="26"/>
      <c r="F1838" s="26"/>
      <c r="G1838" s="27"/>
      <c r="H1838" s="17">
        <f>MAX(0,H1837-648000)</f>
        <v>591200</v>
      </c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26.25" x14ac:dyDescent="0.4">
      <c r="A1839" s="25" t="s">
        <v>17</v>
      </c>
      <c r="B1839" s="26"/>
      <c r="C1839" s="26"/>
      <c r="D1839" s="26"/>
      <c r="E1839" s="26"/>
      <c r="F1839" s="26"/>
      <c r="G1839" s="27"/>
      <c r="H1839" s="18">
        <v>649000</v>
      </c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26.25" x14ac:dyDescent="0.4">
      <c r="A1840" s="28" t="s">
        <v>18</v>
      </c>
      <c r="B1840" s="26"/>
      <c r="C1840" s="26"/>
      <c r="D1840" s="26"/>
      <c r="E1840" s="26"/>
      <c r="F1840" s="26"/>
      <c r="G1840" s="26"/>
      <c r="H1840" s="27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2.75" x14ac:dyDescent="0.2"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2.75" x14ac:dyDescent="0.2"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2.75" x14ac:dyDescent="0.2"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7" spans="1:26" ht="15.75" customHeight="1" x14ac:dyDescent="0.4">
      <c r="A1847" s="28" t="s">
        <v>0</v>
      </c>
      <c r="B1847" s="26"/>
      <c r="C1847" s="26"/>
      <c r="D1847" s="26"/>
      <c r="E1847" s="26"/>
      <c r="F1847" s="26"/>
      <c r="G1847" s="26"/>
      <c r="H1847" s="27"/>
    </row>
    <row r="1848" spans="1:26" ht="15.75" customHeight="1" x14ac:dyDescent="0.4">
      <c r="A1848" s="28" t="s">
        <v>470</v>
      </c>
      <c r="B1848" s="26"/>
      <c r="C1848" s="26"/>
      <c r="D1848" s="26"/>
      <c r="E1848" s="26"/>
      <c r="F1848" s="26"/>
      <c r="G1848" s="26"/>
      <c r="H1848" s="27"/>
    </row>
    <row r="1849" spans="1:26" ht="15.75" customHeight="1" x14ac:dyDescent="0.3">
      <c r="A1849" s="3" t="s">
        <v>2</v>
      </c>
      <c r="B1849" s="3" t="s">
        <v>3</v>
      </c>
      <c r="C1849" s="3" t="s">
        <v>4</v>
      </c>
      <c r="D1849" s="3" t="s">
        <v>5</v>
      </c>
      <c r="E1849" s="3" t="s">
        <v>6</v>
      </c>
      <c r="F1849" s="4" t="s">
        <v>7</v>
      </c>
      <c r="G1849" s="3" t="s">
        <v>8</v>
      </c>
      <c r="H1849" s="5"/>
    </row>
    <row r="1850" spans="1:26" ht="15.75" customHeight="1" x14ac:dyDescent="0.4">
      <c r="A1850" s="6">
        <v>1</v>
      </c>
      <c r="B1850" s="20" t="s">
        <v>183</v>
      </c>
      <c r="C1850" s="21" t="s">
        <v>471</v>
      </c>
      <c r="D1850" s="8" t="s">
        <v>11</v>
      </c>
      <c r="E1850" s="20">
        <v>1.5</v>
      </c>
      <c r="F1850" s="9">
        <v>293000</v>
      </c>
      <c r="G1850" s="10">
        <f t="shared" ref="G1850:G1852" si="122">IFERROR(E1850*F1850,0)</f>
        <v>439500</v>
      </c>
      <c r="H1850" s="11"/>
    </row>
    <row r="1851" spans="1:26" ht="15.75" customHeight="1" x14ac:dyDescent="0.4">
      <c r="A1851" s="6">
        <v>2</v>
      </c>
      <c r="B1851" s="22" t="s">
        <v>254</v>
      </c>
      <c r="C1851" s="23" t="s">
        <v>80</v>
      </c>
      <c r="D1851" s="13" t="s">
        <v>13</v>
      </c>
      <c r="E1851" s="22">
        <v>2</v>
      </c>
      <c r="F1851" s="14">
        <v>435000</v>
      </c>
      <c r="G1851" s="10">
        <f t="shared" si="122"/>
        <v>870000</v>
      </c>
      <c r="H1851" s="11"/>
    </row>
    <row r="1852" spans="1:26" ht="26.25" x14ac:dyDescent="0.4">
      <c r="A1852" s="6">
        <v>3</v>
      </c>
      <c r="B1852" s="15" t="s">
        <v>14</v>
      </c>
      <c r="C1852" s="11"/>
      <c r="D1852" s="11"/>
      <c r="E1852" s="11"/>
      <c r="F1852" s="11"/>
      <c r="G1852" s="16">
        <f t="shared" si="122"/>
        <v>0</v>
      </c>
      <c r="H1852" s="11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26.25" x14ac:dyDescent="0.4">
      <c r="A1853" s="29" t="s">
        <v>15</v>
      </c>
      <c r="B1853" s="26"/>
      <c r="C1853" s="26"/>
      <c r="D1853" s="26"/>
      <c r="E1853" s="26"/>
      <c r="F1853" s="26"/>
      <c r="G1853" s="27"/>
      <c r="H1853" s="17">
        <f>SUM(G1850:G1852)</f>
        <v>1309500</v>
      </c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26.25" x14ac:dyDescent="0.4">
      <c r="A1854" s="29" t="s">
        <v>16</v>
      </c>
      <c r="B1854" s="26"/>
      <c r="C1854" s="26"/>
      <c r="D1854" s="26"/>
      <c r="E1854" s="26"/>
      <c r="F1854" s="26"/>
      <c r="G1854" s="27"/>
      <c r="H1854" s="17">
        <f>MAX(0,H1853-648000)</f>
        <v>661500</v>
      </c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26.25" x14ac:dyDescent="0.4">
      <c r="A1855" s="25" t="s">
        <v>17</v>
      </c>
      <c r="B1855" s="26"/>
      <c r="C1855" s="26"/>
      <c r="D1855" s="26"/>
      <c r="E1855" s="26"/>
      <c r="F1855" s="26"/>
      <c r="G1855" s="27"/>
      <c r="H1855" s="18">
        <v>649000</v>
      </c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26.25" x14ac:dyDescent="0.4">
      <c r="A1856" s="28" t="s">
        <v>18</v>
      </c>
      <c r="B1856" s="26"/>
      <c r="C1856" s="26"/>
      <c r="D1856" s="26"/>
      <c r="E1856" s="26"/>
      <c r="F1856" s="26"/>
      <c r="G1856" s="26"/>
      <c r="H1856" s="27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2.75" x14ac:dyDescent="0.2"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2.75" x14ac:dyDescent="0.2"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2.75" x14ac:dyDescent="0.2"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2.75" x14ac:dyDescent="0.2"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2.75" x14ac:dyDescent="0.2"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5" spans="1:26" ht="15.75" customHeight="1" x14ac:dyDescent="0.4">
      <c r="A1865" s="28" t="s">
        <v>0</v>
      </c>
      <c r="B1865" s="26"/>
      <c r="C1865" s="26"/>
      <c r="D1865" s="26"/>
      <c r="E1865" s="26"/>
      <c r="F1865" s="26"/>
      <c r="G1865" s="26"/>
      <c r="H1865" s="27"/>
    </row>
    <row r="1866" spans="1:26" ht="15.75" customHeight="1" x14ac:dyDescent="0.4">
      <c r="A1866" s="28" t="s">
        <v>472</v>
      </c>
      <c r="B1866" s="26"/>
      <c r="C1866" s="26"/>
      <c r="D1866" s="26"/>
      <c r="E1866" s="26"/>
      <c r="F1866" s="26"/>
      <c r="G1866" s="26"/>
      <c r="H1866" s="27"/>
    </row>
    <row r="1867" spans="1:26" ht="15.75" customHeight="1" x14ac:dyDescent="0.3">
      <c r="A1867" s="3" t="s">
        <v>2</v>
      </c>
      <c r="B1867" s="3" t="s">
        <v>3</v>
      </c>
      <c r="C1867" s="3" t="s">
        <v>4</v>
      </c>
      <c r="D1867" s="3" t="s">
        <v>5</v>
      </c>
      <c r="E1867" s="3" t="s">
        <v>6</v>
      </c>
      <c r="F1867" s="4" t="s">
        <v>7</v>
      </c>
      <c r="G1867" s="3" t="s">
        <v>8</v>
      </c>
      <c r="H1867" s="5"/>
    </row>
    <row r="1868" spans="1:26" ht="15.75" customHeight="1" x14ac:dyDescent="0.4">
      <c r="A1868" s="6">
        <v>1</v>
      </c>
      <c r="B1868" s="20" t="s">
        <v>12</v>
      </c>
      <c r="C1868" s="21" t="s">
        <v>473</v>
      </c>
      <c r="D1868" s="8" t="s">
        <v>11</v>
      </c>
      <c r="E1868" s="20">
        <v>1.67</v>
      </c>
      <c r="F1868" s="9">
        <v>293000</v>
      </c>
      <c r="G1868" s="10">
        <f t="shared" ref="G1868:G1870" si="123">IFERROR(E1868*F1868,0)</f>
        <v>489310</v>
      </c>
      <c r="H1868" s="11"/>
    </row>
    <row r="1869" spans="1:26" ht="26.25" x14ac:dyDescent="0.4">
      <c r="A1869" s="6">
        <v>2</v>
      </c>
      <c r="B1869" s="22" t="s">
        <v>25</v>
      </c>
      <c r="C1869" s="23" t="s">
        <v>474</v>
      </c>
      <c r="D1869" s="13" t="s">
        <v>13</v>
      </c>
      <c r="E1869" s="22">
        <v>1.7</v>
      </c>
      <c r="F1869" s="14">
        <v>435000</v>
      </c>
      <c r="G1869" s="10">
        <f t="shared" si="123"/>
        <v>739500</v>
      </c>
      <c r="H1869" s="11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26.25" x14ac:dyDescent="0.4">
      <c r="A1870" s="6">
        <v>3</v>
      </c>
      <c r="B1870" s="15" t="s">
        <v>14</v>
      </c>
      <c r="C1870" s="11"/>
      <c r="D1870" s="11"/>
      <c r="E1870" s="11"/>
      <c r="F1870" s="11"/>
      <c r="G1870" s="16">
        <f t="shared" si="123"/>
        <v>0</v>
      </c>
      <c r="H1870" s="11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26.25" x14ac:dyDescent="0.4">
      <c r="A1871" s="29" t="s">
        <v>15</v>
      </c>
      <c r="B1871" s="26"/>
      <c r="C1871" s="26"/>
      <c r="D1871" s="26"/>
      <c r="E1871" s="26"/>
      <c r="F1871" s="26"/>
      <c r="G1871" s="27"/>
      <c r="H1871" s="17">
        <f>SUM(G1868:G1870)</f>
        <v>1228810</v>
      </c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26.25" x14ac:dyDescent="0.4">
      <c r="A1872" s="29" t="s">
        <v>16</v>
      </c>
      <c r="B1872" s="26"/>
      <c r="C1872" s="26"/>
      <c r="D1872" s="26"/>
      <c r="E1872" s="26"/>
      <c r="F1872" s="26"/>
      <c r="G1872" s="27"/>
      <c r="H1872" s="17">
        <f>MAX(0,H1871-648000)</f>
        <v>580810</v>
      </c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26.25" x14ac:dyDescent="0.4">
      <c r="A1873" s="25" t="s">
        <v>17</v>
      </c>
      <c r="B1873" s="26"/>
      <c r="C1873" s="26"/>
      <c r="D1873" s="26"/>
      <c r="E1873" s="26"/>
      <c r="F1873" s="26"/>
      <c r="G1873" s="27"/>
      <c r="H1873" s="18">
        <v>649000</v>
      </c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26.25" x14ac:dyDescent="0.4">
      <c r="A1874" s="28" t="s">
        <v>18</v>
      </c>
      <c r="B1874" s="26"/>
      <c r="C1874" s="26"/>
      <c r="D1874" s="26"/>
      <c r="E1874" s="26"/>
      <c r="F1874" s="26"/>
      <c r="G1874" s="26"/>
      <c r="H1874" s="27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2.75" x14ac:dyDescent="0.2"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2.75" x14ac:dyDescent="0.2"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2.75" x14ac:dyDescent="0.2"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2.75" x14ac:dyDescent="0.2"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82" spans="1:26" ht="15.75" customHeight="1" x14ac:dyDescent="0.4">
      <c r="A1882" s="28" t="s">
        <v>0</v>
      </c>
      <c r="B1882" s="26"/>
      <c r="C1882" s="26"/>
      <c r="D1882" s="26"/>
      <c r="E1882" s="26"/>
      <c r="F1882" s="26"/>
      <c r="G1882" s="26"/>
      <c r="H1882" s="27"/>
    </row>
    <row r="1883" spans="1:26" ht="15.75" customHeight="1" x14ac:dyDescent="0.4">
      <c r="A1883" s="28" t="s">
        <v>475</v>
      </c>
      <c r="B1883" s="26"/>
      <c r="C1883" s="26"/>
      <c r="D1883" s="26"/>
      <c r="E1883" s="26"/>
      <c r="F1883" s="26"/>
      <c r="G1883" s="26"/>
      <c r="H1883" s="27"/>
    </row>
    <row r="1884" spans="1:26" ht="18.75" x14ac:dyDescent="0.3">
      <c r="A1884" s="3" t="s">
        <v>2</v>
      </c>
      <c r="B1884" s="3" t="s">
        <v>3</v>
      </c>
      <c r="C1884" s="3" t="s">
        <v>4</v>
      </c>
      <c r="D1884" s="3" t="s">
        <v>5</v>
      </c>
      <c r="E1884" s="3" t="s">
        <v>6</v>
      </c>
      <c r="F1884" s="4" t="s">
        <v>7</v>
      </c>
      <c r="G1884" s="3" t="s">
        <v>8</v>
      </c>
      <c r="H1884" s="5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26.25" x14ac:dyDescent="0.4">
      <c r="A1885" s="6">
        <v>1</v>
      </c>
      <c r="B1885" s="20" t="s">
        <v>74</v>
      </c>
      <c r="C1885" s="21" t="s">
        <v>476</v>
      </c>
      <c r="D1885" s="8" t="s">
        <v>11</v>
      </c>
      <c r="E1885" s="20">
        <v>1.5</v>
      </c>
      <c r="F1885" s="9">
        <v>293000</v>
      </c>
      <c r="G1885" s="10">
        <f t="shared" ref="G1885:G1887" si="124">IFERROR(E1885*F1885,0)</f>
        <v>439500</v>
      </c>
      <c r="H1885" s="11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26.25" x14ac:dyDescent="0.4">
      <c r="A1886" s="6">
        <v>2</v>
      </c>
      <c r="B1886" s="22" t="s">
        <v>22</v>
      </c>
      <c r="C1886" s="23" t="s">
        <v>80</v>
      </c>
      <c r="D1886" s="13" t="s">
        <v>13</v>
      </c>
      <c r="E1886" s="22">
        <v>1.95</v>
      </c>
      <c r="F1886" s="14">
        <v>435000</v>
      </c>
      <c r="G1886" s="10">
        <f t="shared" si="124"/>
        <v>848250</v>
      </c>
      <c r="H1886" s="11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26.25" x14ac:dyDescent="0.4">
      <c r="A1887" s="6">
        <v>3</v>
      </c>
      <c r="B1887" s="15" t="s">
        <v>14</v>
      </c>
      <c r="C1887" s="11"/>
      <c r="D1887" s="11"/>
      <c r="E1887" s="11"/>
      <c r="F1887" s="11"/>
      <c r="G1887" s="16">
        <f t="shared" si="124"/>
        <v>0</v>
      </c>
      <c r="H1887" s="11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26.25" x14ac:dyDescent="0.4">
      <c r="A1888" s="29" t="s">
        <v>15</v>
      </c>
      <c r="B1888" s="26"/>
      <c r="C1888" s="26"/>
      <c r="D1888" s="26"/>
      <c r="E1888" s="26"/>
      <c r="F1888" s="26"/>
      <c r="G1888" s="27"/>
      <c r="H1888" s="17">
        <f>SUM(G1885:G1887)</f>
        <v>1287750</v>
      </c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26.25" x14ac:dyDescent="0.4">
      <c r="A1889" s="29" t="s">
        <v>16</v>
      </c>
      <c r="B1889" s="26"/>
      <c r="C1889" s="26"/>
      <c r="D1889" s="26"/>
      <c r="E1889" s="26"/>
      <c r="F1889" s="26"/>
      <c r="G1889" s="27"/>
      <c r="H1889" s="17">
        <f>MAX(0,H1888-648000)</f>
        <v>639750</v>
      </c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26.25" x14ac:dyDescent="0.4">
      <c r="A1890" s="25" t="s">
        <v>17</v>
      </c>
      <c r="B1890" s="26"/>
      <c r="C1890" s="26"/>
      <c r="D1890" s="26"/>
      <c r="E1890" s="26"/>
      <c r="F1890" s="26"/>
      <c r="G1890" s="27"/>
      <c r="H1890" s="18">
        <v>649000</v>
      </c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26.25" x14ac:dyDescent="0.4">
      <c r="A1891" s="28" t="s">
        <v>18</v>
      </c>
      <c r="B1891" s="26"/>
      <c r="C1891" s="26"/>
      <c r="D1891" s="26"/>
      <c r="E1891" s="26"/>
      <c r="F1891" s="26"/>
      <c r="G1891" s="26"/>
      <c r="H1891" s="27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2.75" x14ac:dyDescent="0.2"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2.75" x14ac:dyDescent="0.2"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7" spans="1:26" ht="15.75" customHeight="1" x14ac:dyDescent="0.4">
      <c r="A1897" s="28" t="s">
        <v>0</v>
      </c>
      <c r="B1897" s="26"/>
      <c r="C1897" s="26"/>
      <c r="D1897" s="26"/>
      <c r="E1897" s="26"/>
      <c r="F1897" s="26"/>
      <c r="G1897" s="26"/>
      <c r="H1897" s="27"/>
    </row>
    <row r="1898" spans="1:26" ht="15.75" customHeight="1" x14ac:dyDescent="0.4">
      <c r="A1898" s="28" t="s">
        <v>477</v>
      </c>
      <c r="B1898" s="26"/>
      <c r="C1898" s="26"/>
      <c r="D1898" s="26"/>
      <c r="E1898" s="26"/>
      <c r="F1898" s="26"/>
      <c r="G1898" s="26"/>
      <c r="H1898" s="27"/>
    </row>
    <row r="1899" spans="1:26" ht="15.75" customHeight="1" x14ac:dyDescent="0.3">
      <c r="A1899" s="3" t="s">
        <v>2</v>
      </c>
      <c r="B1899" s="3" t="s">
        <v>3</v>
      </c>
      <c r="C1899" s="3" t="s">
        <v>4</v>
      </c>
      <c r="D1899" s="3" t="s">
        <v>5</v>
      </c>
      <c r="E1899" s="3" t="s">
        <v>6</v>
      </c>
      <c r="F1899" s="4" t="s">
        <v>7</v>
      </c>
      <c r="G1899" s="3" t="s">
        <v>8</v>
      </c>
      <c r="H1899" s="5"/>
    </row>
    <row r="1900" spans="1:26" ht="26.25" x14ac:dyDescent="0.4">
      <c r="A1900" s="6">
        <v>1</v>
      </c>
      <c r="B1900" s="20" t="s">
        <v>391</v>
      </c>
      <c r="C1900" s="21" t="s">
        <v>478</v>
      </c>
      <c r="D1900" s="8" t="s">
        <v>11</v>
      </c>
      <c r="E1900" s="20">
        <v>1.45</v>
      </c>
      <c r="F1900" s="9">
        <v>293000</v>
      </c>
      <c r="G1900" s="10">
        <f t="shared" ref="G1900:G1902" si="125">IFERROR(E1900*F1900,0)</f>
        <v>424850</v>
      </c>
      <c r="H1900" s="11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26.25" x14ac:dyDescent="0.4">
      <c r="A1901" s="6">
        <v>2</v>
      </c>
      <c r="B1901" s="22" t="s">
        <v>74</v>
      </c>
      <c r="C1901" s="23" t="s">
        <v>28</v>
      </c>
      <c r="D1901" s="13" t="s">
        <v>13</v>
      </c>
      <c r="E1901" s="22">
        <v>1.69</v>
      </c>
      <c r="F1901" s="14">
        <v>435000</v>
      </c>
      <c r="G1901" s="10">
        <f t="shared" si="125"/>
        <v>735150</v>
      </c>
      <c r="H1901" s="11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26.25" x14ac:dyDescent="0.4">
      <c r="A1902" s="6">
        <v>3</v>
      </c>
      <c r="B1902" s="15" t="s">
        <v>14</v>
      </c>
      <c r="C1902" s="11"/>
      <c r="D1902" s="11"/>
      <c r="E1902" s="11"/>
      <c r="F1902" s="11"/>
      <c r="G1902" s="16">
        <f t="shared" si="125"/>
        <v>0</v>
      </c>
      <c r="H1902" s="11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26.25" x14ac:dyDescent="0.4">
      <c r="A1903" s="29" t="s">
        <v>15</v>
      </c>
      <c r="B1903" s="26"/>
      <c r="C1903" s="26"/>
      <c r="D1903" s="26"/>
      <c r="E1903" s="26"/>
      <c r="F1903" s="26"/>
      <c r="G1903" s="27"/>
      <c r="H1903" s="17">
        <f>SUM(G1900:G1902)</f>
        <v>1160000</v>
      </c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26.25" x14ac:dyDescent="0.4">
      <c r="A1904" s="29" t="s">
        <v>16</v>
      </c>
      <c r="B1904" s="26"/>
      <c r="C1904" s="26"/>
      <c r="D1904" s="26"/>
      <c r="E1904" s="26"/>
      <c r="F1904" s="26"/>
      <c r="G1904" s="27"/>
      <c r="H1904" s="17">
        <f>MAX(0,H1903-648000)</f>
        <v>512000</v>
      </c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26.25" x14ac:dyDescent="0.4">
      <c r="A1905" s="25" t="s">
        <v>17</v>
      </c>
      <c r="B1905" s="26"/>
      <c r="C1905" s="26"/>
      <c r="D1905" s="26"/>
      <c r="E1905" s="26"/>
      <c r="F1905" s="26"/>
      <c r="G1905" s="27"/>
      <c r="H1905" s="18">
        <v>649000</v>
      </c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26.25" x14ac:dyDescent="0.4">
      <c r="A1906" s="28" t="s">
        <v>18</v>
      </c>
      <c r="B1906" s="26"/>
      <c r="C1906" s="26"/>
      <c r="D1906" s="26"/>
      <c r="E1906" s="26"/>
      <c r="F1906" s="26"/>
      <c r="G1906" s="26"/>
      <c r="H1906" s="27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2.75" x14ac:dyDescent="0.2"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2.75" x14ac:dyDescent="0.2"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2.75" x14ac:dyDescent="0.2"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3" spans="1:26" ht="15.75" customHeight="1" x14ac:dyDescent="0.4">
      <c r="A1913" s="28" t="s">
        <v>0</v>
      </c>
      <c r="B1913" s="26"/>
      <c r="C1913" s="26"/>
      <c r="D1913" s="26"/>
      <c r="E1913" s="26"/>
      <c r="F1913" s="26"/>
      <c r="G1913" s="26"/>
      <c r="H1913" s="27"/>
    </row>
    <row r="1914" spans="1:26" ht="15.75" customHeight="1" x14ac:dyDescent="0.4">
      <c r="A1914" s="28" t="s">
        <v>479</v>
      </c>
      <c r="B1914" s="26"/>
      <c r="C1914" s="26"/>
      <c r="D1914" s="26"/>
      <c r="E1914" s="26"/>
      <c r="F1914" s="26"/>
      <c r="G1914" s="26"/>
      <c r="H1914" s="27"/>
    </row>
    <row r="1915" spans="1:26" ht="15.75" customHeight="1" x14ac:dyDescent="0.3">
      <c r="A1915" s="3" t="s">
        <v>2</v>
      </c>
      <c r="B1915" s="3" t="s">
        <v>3</v>
      </c>
      <c r="C1915" s="3" t="s">
        <v>4</v>
      </c>
      <c r="D1915" s="3" t="s">
        <v>5</v>
      </c>
      <c r="E1915" s="3" t="s">
        <v>6</v>
      </c>
      <c r="F1915" s="4" t="s">
        <v>7</v>
      </c>
      <c r="G1915" s="3" t="s">
        <v>8</v>
      </c>
      <c r="H1915" s="5"/>
    </row>
    <row r="1916" spans="1:26" ht="26.25" x14ac:dyDescent="0.4">
      <c r="A1916" s="6">
        <v>1</v>
      </c>
      <c r="B1916" s="20" t="s">
        <v>27</v>
      </c>
      <c r="C1916" s="21" t="s">
        <v>480</v>
      </c>
      <c r="D1916" s="8" t="s">
        <v>11</v>
      </c>
      <c r="E1916" s="20">
        <v>1.5</v>
      </c>
      <c r="F1916" s="9">
        <v>293000</v>
      </c>
      <c r="G1916" s="10">
        <f t="shared" ref="G1916:G1918" si="126">IFERROR(E1916*F1916,0)</f>
        <v>439500</v>
      </c>
      <c r="H1916" s="11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26.25" x14ac:dyDescent="0.4">
      <c r="A1917" s="6">
        <v>2</v>
      </c>
      <c r="B1917" s="22" t="s">
        <v>481</v>
      </c>
      <c r="C1917" s="23" t="s">
        <v>452</v>
      </c>
      <c r="D1917" s="13" t="s">
        <v>13</v>
      </c>
      <c r="E1917" s="22">
        <v>1.8</v>
      </c>
      <c r="F1917" s="14">
        <v>435000</v>
      </c>
      <c r="G1917" s="10">
        <f t="shared" si="126"/>
        <v>783000</v>
      </c>
      <c r="H1917" s="11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26.25" x14ac:dyDescent="0.4">
      <c r="A1918" s="6">
        <v>3</v>
      </c>
      <c r="B1918" s="15" t="s">
        <v>14</v>
      </c>
      <c r="C1918" s="11"/>
      <c r="D1918" s="11"/>
      <c r="E1918" s="11"/>
      <c r="F1918" s="11"/>
      <c r="G1918" s="16">
        <f t="shared" si="126"/>
        <v>0</v>
      </c>
      <c r="H1918" s="11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26.25" x14ac:dyDescent="0.4">
      <c r="A1919" s="29" t="s">
        <v>15</v>
      </c>
      <c r="B1919" s="26"/>
      <c r="C1919" s="26"/>
      <c r="D1919" s="26"/>
      <c r="E1919" s="26"/>
      <c r="F1919" s="26"/>
      <c r="G1919" s="27"/>
      <c r="H1919" s="17">
        <f>SUM(G1916:G1918)</f>
        <v>1222500</v>
      </c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26.25" x14ac:dyDescent="0.4">
      <c r="A1920" s="29" t="s">
        <v>16</v>
      </c>
      <c r="B1920" s="26"/>
      <c r="C1920" s="26"/>
      <c r="D1920" s="26"/>
      <c r="E1920" s="26"/>
      <c r="F1920" s="26"/>
      <c r="G1920" s="27"/>
      <c r="H1920" s="17">
        <f>MAX(0,H1919-648000)</f>
        <v>574500</v>
      </c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26.25" x14ac:dyDescent="0.4">
      <c r="A1921" s="25" t="s">
        <v>17</v>
      </c>
      <c r="B1921" s="26"/>
      <c r="C1921" s="26"/>
      <c r="D1921" s="26"/>
      <c r="E1921" s="26"/>
      <c r="F1921" s="26"/>
      <c r="G1921" s="27"/>
      <c r="H1921" s="18">
        <v>649000</v>
      </c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26.25" x14ac:dyDescent="0.4">
      <c r="A1922" s="28" t="s">
        <v>18</v>
      </c>
      <c r="B1922" s="26"/>
      <c r="C1922" s="26"/>
      <c r="D1922" s="26"/>
      <c r="E1922" s="26"/>
      <c r="F1922" s="26"/>
      <c r="G1922" s="26"/>
      <c r="H1922" s="27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2.75" x14ac:dyDescent="0.2"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12.75" x14ac:dyDescent="0.2"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2.75" x14ac:dyDescent="0.2"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9" spans="1:26" ht="15.75" customHeight="1" x14ac:dyDescent="0.4">
      <c r="A1929" s="28" t="s">
        <v>0</v>
      </c>
      <c r="B1929" s="26"/>
      <c r="C1929" s="26"/>
      <c r="D1929" s="26"/>
      <c r="E1929" s="26"/>
      <c r="F1929" s="26"/>
      <c r="G1929" s="26"/>
      <c r="H1929" s="27"/>
    </row>
    <row r="1930" spans="1:26" ht="15.75" customHeight="1" x14ac:dyDescent="0.4">
      <c r="A1930" s="28" t="s">
        <v>482</v>
      </c>
      <c r="B1930" s="26"/>
      <c r="C1930" s="26"/>
      <c r="D1930" s="26"/>
      <c r="E1930" s="26"/>
      <c r="F1930" s="26"/>
      <c r="G1930" s="26"/>
      <c r="H1930" s="27"/>
    </row>
    <row r="1931" spans="1:26" ht="18.75" x14ac:dyDescent="0.3">
      <c r="A1931" s="3" t="s">
        <v>2</v>
      </c>
      <c r="B1931" s="3" t="s">
        <v>3</v>
      </c>
      <c r="C1931" s="3" t="s">
        <v>4</v>
      </c>
      <c r="D1931" s="3" t="s">
        <v>5</v>
      </c>
      <c r="E1931" s="3" t="s">
        <v>6</v>
      </c>
      <c r="F1931" s="4" t="s">
        <v>7</v>
      </c>
      <c r="G1931" s="3" t="s">
        <v>8</v>
      </c>
      <c r="H1931" s="5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26.25" x14ac:dyDescent="0.4">
      <c r="A1932" s="6">
        <v>1</v>
      </c>
      <c r="B1932" s="20" t="s">
        <v>131</v>
      </c>
      <c r="C1932" s="21" t="s">
        <v>483</v>
      </c>
      <c r="D1932" s="8" t="s">
        <v>11</v>
      </c>
      <c r="E1932" s="20">
        <v>1.52</v>
      </c>
      <c r="F1932" s="9">
        <v>293000</v>
      </c>
      <c r="G1932" s="10">
        <f t="shared" ref="G1932:G1934" si="127">IFERROR(E1932*F1932,0)</f>
        <v>445360</v>
      </c>
      <c r="H1932" s="11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26.25" x14ac:dyDescent="0.4">
      <c r="A1933" s="6">
        <v>2</v>
      </c>
      <c r="B1933" s="22" t="s">
        <v>484</v>
      </c>
      <c r="C1933" s="23" t="s">
        <v>485</v>
      </c>
      <c r="D1933" s="13" t="s">
        <v>13</v>
      </c>
      <c r="E1933" s="22">
        <v>2</v>
      </c>
      <c r="F1933" s="14">
        <v>435000</v>
      </c>
      <c r="G1933" s="10">
        <f t="shared" si="127"/>
        <v>870000</v>
      </c>
      <c r="H1933" s="11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26.25" x14ac:dyDescent="0.4">
      <c r="A1934" s="6">
        <v>3</v>
      </c>
      <c r="B1934" s="15" t="s">
        <v>14</v>
      </c>
      <c r="C1934" s="11"/>
      <c r="D1934" s="11"/>
      <c r="E1934" s="11"/>
      <c r="F1934" s="11"/>
      <c r="G1934" s="16">
        <f t="shared" si="127"/>
        <v>0</v>
      </c>
      <c r="H1934" s="11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26.25" x14ac:dyDescent="0.4">
      <c r="A1935" s="29" t="s">
        <v>15</v>
      </c>
      <c r="B1935" s="26"/>
      <c r="C1935" s="26"/>
      <c r="D1935" s="26"/>
      <c r="E1935" s="26"/>
      <c r="F1935" s="26"/>
      <c r="G1935" s="27"/>
      <c r="H1935" s="17">
        <f>SUM(G1932:G1934)</f>
        <v>1315360</v>
      </c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26.25" x14ac:dyDescent="0.4">
      <c r="A1936" s="29" t="s">
        <v>16</v>
      </c>
      <c r="B1936" s="26"/>
      <c r="C1936" s="26"/>
      <c r="D1936" s="26"/>
      <c r="E1936" s="26"/>
      <c r="F1936" s="26"/>
      <c r="G1936" s="27"/>
      <c r="H1936" s="17">
        <f>MAX(0,H1935-648000)</f>
        <v>667360</v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26.25" x14ac:dyDescent="0.4">
      <c r="A1937" s="25" t="s">
        <v>17</v>
      </c>
      <c r="B1937" s="26"/>
      <c r="C1937" s="26"/>
      <c r="D1937" s="26"/>
      <c r="E1937" s="26"/>
      <c r="F1937" s="26"/>
      <c r="G1937" s="27"/>
      <c r="H1937" s="18">
        <v>649000</v>
      </c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26.25" x14ac:dyDescent="0.4">
      <c r="A1938" s="28" t="s">
        <v>18</v>
      </c>
      <c r="B1938" s="26"/>
      <c r="C1938" s="26"/>
      <c r="D1938" s="26"/>
      <c r="E1938" s="26"/>
      <c r="F1938" s="26"/>
      <c r="G1938" s="26"/>
      <c r="H1938" s="27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12.75" x14ac:dyDescent="0.2"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12.75" x14ac:dyDescent="0.2"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4" spans="1:26" ht="15.75" customHeight="1" x14ac:dyDescent="0.4">
      <c r="A1944" s="28" t="s">
        <v>0</v>
      </c>
      <c r="B1944" s="26"/>
      <c r="C1944" s="26"/>
      <c r="D1944" s="26"/>
      <c r="E1944" s="26"/>
      <c r="F1944" s="26"/>
      <c r="G1944" s="26"/>
      <c r="H1944" s="27"/>
    </row>
    <row r="1945" spans="1:26" ht="15.75" customHeight="1" x14ac:dyDescent="0.4">
      <c r="A1945" s="28" t="s">
        <v>486</v>
      </c>
      <c r="B1945" s="26"/>
      <c r="C1945" s="26"/>
      <c r="D1945" s="26"/>
      <c r="E1945" s="26"/>
      <c r="F1945" s="26"/>
      <c r="G1945" s="26"/>
      <c r="H1945" s="27"/>
    </row>
    <row r="1946" spans="1:26" ht="18.75" x14ac:dyDescent="0.3">
      <c r="A1946" s="3" t="s">
        <v>2</v>
      </c>
      <c r="B1946" s="3" t="s">
        <v>3</v>
      </c>
      <c r="C1946" s="3" t="s">
        <v>4</v>
      </c>
      <c r="D1946" s="3" t="s">
        <v>5</v>
      </c>
      <c r="E1946" s="3" t="s">
        <v>6</v>
      </c>
      <c r="F1946" s="4" t="s">
        <v>7</v>
      </c>
      <c r="G1946" s="3" t="s">
        <v>8</v>
      </c>
      <c r="H1946" s="5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26.25" x14ac:dyDescent="0.4">
      <c r="A1947" s="6">
        <v>1</v>
      </c>
      <c r="B1947" s="20" t="s">
        <v>487</v>
      </c>
      <c r="C1947" s="21" t="s">
        <v>488</v>
      </c>
      <c r="D1947" s="8" t="s">
        <v>11</v>
      </c>
      <c r="E1947" s="20">
        <v>2</v>
      </c>
      <c r="F1947" s="9">
        <v>293000</v>
      </c>
      <c r="G1947" s="10">
        <f t="shared" ref="G1947:G1949" si="128">IFERROR(E1947*F1947,0)</f>
        <v>586000</v>
      </c>
      <c r="H1947" s="11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26.25" x14ac:dyDescent="0.4">
      <c r="A1948" s="6">
        <v>2</v>
      </c>
      <c r="B1948" s="22" t="s">
        <v>12</v>
      </c>
      <c r="C1948" s="23" t="s">
        <v>489</v>
      </c>
      <c r="D1948" s="13" t="s">
        <v>13</v>
      </c>
      <c r="E1948" s="22">
        <v>1.5</v>
      </c>
      <c r="F1948" s="14">
        <v>435000</v>
      </c>
      <c r="G1948" s="10">
        <f t="shared" si="128"/>
        <v>652500</v>
      </c>
      <c r="H1948" s="11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26.25" x14ac:dyDescent="0.4">
      <c r="A1949" s="6">
        <v>3</v>
      </c>
      <c r="B1949" s="15" t="s">
        <v>14</v>
      </c>
      <c r="C1949" s="11"/>
      <c r="D1949" s="11"/>
      <c r="E1949" s="11"/>
      <c r="F1949" s="11"/>
      <c r="G1949" s="16">
        <f t="shared" si="128"/>
        <v>0</v>
      </c>
      <c r="H1949" s="11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26.25" x14ac:dyDescent="0.4">
      <c r="A1950" s="29" t="s">
        <v>15</v>
      </c>
      <c r="B1950" s="26"/>
      <c r="C1950" s="26"/>
      <c r="D1950" s="26"/>
      <c r="E1950" s="26"/>
      <c r="F1950" s="26"/>
      <c r="G1950" s="27"/>
      <c r="H1950" s="17">
        <f>SUM(G1947:G1949)</f>
        <v>1238500</v>
      </c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26.25" x14ac:dyDescent="0.4">
      <c r="A1951" s="29" t="s">
        <v>16</v>
      </c>
      <c r="B1951" s="26"/>
      <c r="C1951" s="26"/>
      <c r="D1951" s="26"/>
      <c r="E1951" s="26"/>
      <c r="F1951" s="26"/>
      <c r="G1951" s="27"/>
      <c r="H1951" s="17">
        <f>MAX(0,H1950-648000)</f>
        <v>590500</v>
      </c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26.25" x14ac:dyDescent="0.4">
      <c r="A1952" s="25" t="s">
        <v>17</v>
      </c>
      <c r="B1952" s="26"/>
      <c r="C1952" s="26"/>
      <c r="D1952" s="26"/>
      <c r="E1952" s="26"/>
      <c r="F1952" s="26"/>
      <c r="G1952" s="27"/>
      <c r="H1952" s="18">
        <v>649000</v>
      </c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26.25" x14ac:dyDescent="0.4">
      <c r="A1953" s="28" t="s">
        <v>18</v>
      </c>
      <c r="B1953" s="26"/>
      <c r="C1953" s="26"/>
      <c r="D1953" s="26"/>
      <c r="E1953" s="26"/>
      <c r="F1953" s="26"/>
      <c r="G1953" s="26"/>
      <c r="H1953" s="27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12.75" x14ac:dyDescent="0.2"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12.75" x14ac:dyDescent="0.2"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9" spans="1:26" ht="15.75" customHeight="1" x14ac:dyDescent="0.4">
      <c r="A1959" s="28" t="s">
        <v>0</v>
      </c>
      <c r="B1959" s="26"/>
      <c r="C1959" s="26"/>
      <c r="D1959" s="26"/>
      <c r="E1959" s="26"/>
      <c r="F1959" s="26"/>
      <c r="G1959" s="26"/>
      <c r="H1959" s="27"/>
    </row>
    <row r="1960" spans="1:26" ht="26.25" x14ac:dyDescent="0.4">
      <c r="A1960" s="28" t="s">
        <v>490</v>
      </c>
      <c r="B1960" s="26"/>
      <c r="C1960" s="26"/>
      <c r="D1960" s="26"/>
      <c r="E1960" s="26"/>
      <c r="F1960" s="26"/>
      <c r="G1960" s="26"/>
      <c r="H1960" s="27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18.75" x14ac:dyDescent="0.3">
      <c r="A1961" s="3" t="s">
        <v>2</v>
      </c>
      <c r="B1961" s="3" t="s">
        <v>3</v>
      </c>
      <c r="C1961" s="3" t="s">
        <v>4</v>
      </c>
      <c r="D1961" s="3" t="s">
        <v>5</v>
      </c>
      <c r="E1961" s="3" t="s">
        <v>6</v>
      </c>
      <c r="F1961" s="4" t="s">
        <v>7</v>
      </c>
      <c r="G1961" s="3" t="s">
        <v>8</v>
      </c>
      <c r="H1961" s="5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26.25" x14ac:dyDescent="0.4">
      <c r="A1962" s="6">
        <v>1</v>
      </c>
      <c r="B1962" s="20" t="s">
        <v>491</v>
      </c>
      <c r="C1962" s="21" t="s">
        <v>492</v>
      </c>
      <c r="D1962" s="8" t="s">
        <v>11</v>
      </c>
      <c r="E1962" s="20">
        <v>2.0699999999999998</v>
      </c>
      <c r="F1962" s="9">
        <v>293000</v>
      </c>
      <c r="G1962" s="10">
        <f t="shared" ref="G1962:G1964" si="129">IFERROR(E1962*F1962,0)</f>
        <v>606510</v>
      </c>
      <c r="H1962" s="11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26.25" x14ac:dyDescent="0.4">
      <c r="A1963" s="6">
        <v>2</v>
      </c>
      <c r="B1963" s="22" t="s">
        <v>12</v>
      </c>
      <c r="C1963" s="23" t="s">
        <v>493</v>
      </c>
      <c r="D1963" s="13" t="s">
        <v>13</v>
      </c>
      <c r="E1963" s="22">
        <v>1.24</v>
      </c>
      <c r="F1963" s="14">
        <v>435000</v>
      </c>
      <c r="G1963" s="10">
        <f t="shared" si="129"/>
        <v>539400</v>
      </c>
      <c r="H1963" s="11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26.25" x14ac:dyDescent="0.4">
      <c r="A1964" s="6">
        <v>3</v>
      </c>
      <c r="B1964" s="15" t="s">
        <v>14</v>
      </c>
      <c r="C1964" s="11"/>
      <c r="D1964" s="11"/>
      <c r="E1964" s="11"/>
      <c r="F1964" s="11"/>
      <c r="G1964" s="16">
        <f t="shared" si="129"/>
        <v>0</v>
      </c>
      <c r="H1964" s="11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26.25" x14ac:dyDescent="0.4">
      <c r="A1965" s="29" t="s">
        <v>15</v>
      </c>
      <c r="B1965" s="26"/>
      <c r="C1965" s="26"/>
      <c r="D1965" s="26"/>
      <c r="E1965" s="26"/>
      <c r="F1965" s="26"/>
      <c r="G1965" s="27"/>
      <c r="H1965" s="17">
        <f>SUM(G1962:G1964)</f>
        <v>1145910</v>
      </c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26.25" x14ac:dyDescent="0.4">
      <c r="A1966" s="29" t="s">
        <v>16</v>
      </c>
      <c r="B1966" s="26"/>
      <c r="C1966" s="26"/>
      <c r="D1966" s="26"/>
      <c r="E1966" s="26"/>
      <c r="F1966" s="26"/>
      <c r="G1966" s="27"/>
      <c r="H1966" s="17">
        <f>MAX(0,H1965-648000)</f>
        <v>497910</v>
      </c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26.25" x14ac:dyDescent="0.4">
      <c r="A1967" s="25" t="s">
        <v>17</v>
      </c>
      <c r="B1967" s="26"/>
      <c r="C1967" s="26"/>
      <c r="D1967" s="26"/>
      <c r="E1967" s="26"/>
      <c r="F1967" s="26"/>
      <c r="G1967" s="27"/>
      <c r="H1967" s="18">
        <v>649000</v>
      </c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26.25" x14ac:dyDescent="0.4">
      <c r="A1968" s="28" t="s">
        <v>18</v>
      </c>
      <c r="B1968" s="26"/>
      <c r="C1968" s="26"/>
      <c r="D1968" s="26"/>
      <c r="E1968" s="26"/>
      <c r="F1968" s="26"/>
      <c r="G1968" s="26"/>
      <c r="H1968" s="27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12.75" x14ac:dyDescent="0.2"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3" spans="1:26" ht="15.75" customHeight="1" x14ac:dyDescent="0.4">
      <c r="A1973" s="28" t="s">
        <v>0</v>
      </c>
      <c r="B1973" s="26"/>
      <c r="C1973" s="26"/>
      <c r="D1973" s="26"/>
      <c r="E1973" s="26"/>
      <c r="F1973" s="26"/>
      <c r="G1973" s="26"/>
      <c r="H1973" s="27"/>
    </row>
    <row r="1974" spans="1:26" ht="26.25" x14ac:dyDescent="0.4">
      <c r="A1974" s="28" t="s">
        <v>494</v>
      </c>
      <c r="B1974" s="26"/>
      <c r="C1974" s="26"/>
      <c r="D1974" s="26"/>
      <c r="E1974" s="26"/>
      <c r="F1974" s="26"/>
      <c r="G1974" s="26"/>
      <c r="H1974" s="27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18.75" x14ac:dyDescent="0.3">
      <c r="A1975" s="3" t="s">
        <v>2</v>
      </c>
      <c r="B1975" s="3" t="s">
        <v>3</v>
      </c>
      <c r="C1975" s="3" t="s">
        <v>4</v>
      </c>
      <c r="D1975" s="3" t="s">
        <v>5</v>
      </c>
      <c r="E1975" s="3" t="s">
        <v>6</v>
      </c>
      <c r="F1975" s="4" t="s">
        <v>7</v>
      </c>
      <c r="G1975" s="3" t="s">
        <v>8</v>
      </c>
      <c r="H1975" s="5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26.25" x14ac:dyDescent="0.4">
      <c r="A1976" s="6">
        <v>1</v>
      </c>
      <c r="B1976" s="20" t="s">
        <v>289</v>
      </c>
      <c r="C1976" s="21" t="s">
        <v>495</v>
      </c>
      <c r="D1976" s="8" t="s">
        <v>11</v>
      </c>
      <c r="E1976" s="20">
        <v>2.4700000000000002</v>
      </c>
      <c r="F1976" s="9">
        <v>293000</v>
      </c>
      <c r="G1976" s="10">
        <f t="shared" ref="G1976:G1978" si="130">IFERROR(E1976*F1976,0)</f>
        <v>723710</v>
      </c>
      <c r="H1976" s="11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26.25" x14ac:dyDescent="0.4">
      <c r="A1977" s="6">
        <v>2</v>
      </c>
      <c r="B1977" s="22" t="s">
        <v>94</v>
      </c>
      <c r="C1977" s="23" t="s">
        <v>496</v>
      </c>
      <c r="D1977" s="13" t="s">
        <v>13</v>
      </c>
      <c r="E1977" s="22">
        <v>1</v>
      </c>
      <c r="F1977" s="14">
        <v>435000</v>
      </c>
      <c r="G1977" s="10">
        <f t="shared" si="130"/>
        <v>435000</v>
      </c>
      <c r="H1977" s="11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26.25" x14ac:dyDescent="0.4">
      <c r="A1978" s="6">
        <v>3</v>
      </c>
      <c r="B1978" s="15" t="s">
        <v>14</v>
      </c>
      <c r="C1978" s="11"/>
      <c r="D1978" s="11"/>
      <c r="E1978" s="11"/>
      <c r="F1978" s="11"/>
      <c r="G1978" s="16">
        <f t="shared" si="130"/>
        <v>0</v>
      </c>
      <c r="H1978" s="11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26.25" x14ac:dyDescent="0.4">
      <c r="A1979" s="29" t="s">
        <v>15</v>
      </c>
      <c r="B1979" s="26"/>
      <c r="C1979" s="26"/>
      <c r="D1979" s="26"/>
      <c r="E1979" s="26"/>
      <c r="F1979" s="26"/>
      <c r="G1979" s="27"/>
      <c r="H1979" s="17">
        <f>SUM(G1976:G1978)</f>
        <v>1158710</v>
      </c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26.25" x14ac:dyDescent="0.4">
      <c r="A1980" s="29" t="s">
        <v>16</v>
      </c>
      <c r="B1980" s="26"/>
      <c r="C1980" s="26"/>
      <c r="D1980" s="26"/>
      <c r="E1980" s="26"/>
      <c r="F1980" s="26"/>
      <c r="G1980" s="27"/>
      <c r="H1980" s="17">
        <f>MAX(0,H1979-648000)</f>
        <v>510710</v>
      </c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26.25" x14ac:dyDescent="0.4">
      <c r="A1981" s="25" t="s">
        <v>17</v>
      </c>
      <c r="B1981" s="26"/>
      <c r="C1981" s="26"/>
      <c r="D1981" s="26"/>
      <c r="E1981" s="26"/>
      <c r="F1981" s="26"/>
      <c r="G1981" s="27"/>
      <c r="H1981" s="18">
        <v>649000</v>
      </c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26.25" x14ac:dyDescent="0.4">
      <c r="A1982" s="28" t="s">
        <v>18</v>
      </c>
      <c r="B1982" s="26"/>
      <c r="C1982" s="26"/>
      <c r="D1982" s="26"/>
      <c r="E1982" s="26"/>
      <c r="F1982" s="26"/>
      <c r="G1982" s="26"/>
      <c r="H1982" s="27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12.75" x14ac:dyDescent="0.2"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7" spans="1:26" ht="15.75" customHeight="1" x14ac:dyDescent="0.4">
      <c r="A1987" s="28" t="s">
        <v>0</v>
      </c>
      <c r="B1987" s="26"/>
      <c r="C1987" s="26"/>
      <c r="D1987" s="26"/>
      <c r="E1987" s="26"/>
      <c r="F1987" s="26"/>
      <c r="G1987" s="26"/>
      <c r="H1987" s="27"/>
    </row>
    <row r="1988" spans="1:26" ht="15.75" customHeight="1" x14ac:dyDescent="0.4">
      <c r="A1988" s="28" t="s">
        <v>497</v>
      </c>
      <c r="B1988" s="26"/>
      <c r="C1988" s="26"/>
      <c r="D1988" s="26"/>
      <c r="E1988" s="26"/>
      <c r="F1988" s="26"/>
      <c r="G1988" s="26"/>
      <c r="H1988" s="27"/>
    </row>
    <row r="1989" spans="1:26" ht="18.75" x14ac:dyDescent="0.3">
      <c r="A1989" s="3" t="s">
        <v>2</v>
      </c>
      <c r="B1989" s="3" t="s">
        <v>3</v>
      </c>
      <c r="C1989" s="3" t="s">
        <v>4</v>
      </c>
      <c r="D1989" s="3" t="s">
        <v>5</v>
      </c>
      <c r="E1989" s="3" t="s">
        <v>6</v>
      </c>
      <c r="F1989" s="4" t="s">
        <v>7</v>
      </c>
      <c r="G1989" s="3" t="s">
        <v>8</v>
      </c>
      <c r="H1989" s="5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26.25" x14ac:dyDescent="0.4">
      <c r="A1990" s="6">
        <v>1</v>
      </c>
      <c r="B1990" s="20" t="s">
        <v>12</v>
      </c>
      <c r="C1990" s="21" t="s">
        <v>498</v>
      </c>
      <c r="D1990" s="8" t="s">
        <v>11</v>
      </c>
      <c r="E1990" s="20">
        <v>3</v>
      </c>
      <c r="F1990" s="9">
        <v>293000</v>
      </c>
      <c r="G1990" s="10">
        <f t="shared" ref="G1990:G1992" si="131">IFERROR(E1990*F1990,0)</f>
        <v>879000</v>
      </c>
      <c r="H1990" s="11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26.25" x14ac:dyDescent="0.4">
      <c r="A1991" s="6">
        <v>2</v>
      </c>
      <c r="B1991" s="22" t="s">
        <v>55</v>
      </c>
      <c r="C1991" s="23" t="s">
        <v>499</v>
      </c>
      <c r="D1991" s="13" t="s">
        <v>13</v>
      </c>
      <c r="E1991" s="22">
        <v>0.7</v>
      </c>
      <c r="F1991" s="14">
        <v>435000</v>
      </c>
      <c r="G1991" s="10">
        <f t="shared" si="131"/>
        <v>304500</v>
      </c>
      <c r="H1991" s="11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26.25" x14ac:dyDescent="0.4">
      <c r="A1992" s="6">
        <v>3</v>
      </c>
      <c r="B1992" s="15" t="s">
        <v>14</v>
      </c>
      <c r="C1992" s="11"/>
      <c r="D1992" s="11"/>
      <c r="E1992" s="11"/>
      <c r="F1992" s="11"/>
      <c r="G1992" s="16">
        <f t="shared" si="131"/>
        <v>0</v>
      </c>
      <c r="H1992" s="11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26.25" x14ac:dyDescent="0.4">
      <c r="A1993" s="29" t="s">
        <v>15</v>
      </c>
      <c r="B1993" s="26"/>
      <c r="C1993" s="26"/>
      <c r="D1993" s="26"/>
      <c r="E1993" s="26"/>
      <c r="F1993" s="26"/>
      <c r="G1993" s="27"/>
      <c r="H1993" s="17">
        <f>SUM(G1990:G1992)</f>
        <v>1183500</v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26.25" x14ac:dyDescent="0.4">
      <c r="A1994" s="29" t="s">
        <v>16</v>
      </c>
      <c r="B1994" s="26"/>
      <c r="C1994" s="26"/>
      <c r="D1994" s="26"/>
      <c r="E1994" s="26"/>
      <c r="F1994" s="26"/>
      <c r="G1994" s="27"/>
      <c r="H1994" s="17">
        <f>MAX(0,H1993-648000)</f>
        <v>535500</v>
      </c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26.25" x14ac:dyDescent="0.4">
      <c r="A1995" s="25" t="s">
        <v>17</v>
      </c>
      <c r="B1995" s="26"/>
      <c r="C1995" s="26"/>
      <c r="D1995" s="26"/>
      <c r="E1995" s="26"/>
      <c r="F1995" s="26"/>
      <c r="G1995" s="27"/>
      <c r="H1995" s="18">
        <v>649000</v>
      </c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26.25" x14ac:dyDescent="0.4">
      <c r="A1996" s="28" t="s">
        <v>18</v>
      </c>
      <c r="B1996" s="26"/>
      <c r="C1996" s="26"/>
      <c r="D1996" s="26"/>
      <c r="E1996" s="26"/>
      <c r="F1996" s="26"/>
      <c r="G1996" s="26"/>
      <c r="H1996" s="27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12.75" x14ac:dyDescent="0.2"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12.75" x14ac:dyDescent="0.2"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2002" spans="1:26" ht="15.75" customHeight="1" x14ac:dyDescent="0.4">
      <c r="A2002" s="28" t="s">
        <v>0</v>
      </c>
      <c r="B2002" s="26"/>
      <c r="C2002" s="26"/>
      <c r="D2002" s="26"/>
      <c r="E2002" s="26"/>
      <c r="F2002" s="26"/>
      <c r="G2002" s="26"/>
      <c r="H2002" s="27"/>
    </row>
    <row r="2003" spans="1:26" ht="26.25" x14ac:dyDescent="0.4">
      <c r="A2003" s="28" t="s">
        <v>500</v>
      </c>
      <c r="B2003" s="26"/>
      <c r="C2003" s="26"/>
      <c r="D2003" s="26"/>
      <c r="E2003" s="26"/>
      <c r="F2003" s="26"/>
      <c r="G2003" s="26"/>
      <c r="H2003" s="27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18.75" x14ac:dyDescent="0.3">
      <c r="A2004" s="3" t="s">
        <v>2</v>
      </c>
      <c r="B2004" s="3" t="s">
        <v>3</v>
      </c>
      <c r="C2004" s="3" t="s">
        <v>4</v>
      </c>
      <c r="D2004" s="3" t="s">
        <v>5</v>
      </c>
      <c r="E2004" s="3" t="s">
        <v>6</v>
      </c>
      <c r="F2004" s="4" t="s">
        <v>7</v>
      </c>
      <c r="G2004" s="3" t="s">
        <v>8</v>
      </c>
      <c r="H2004" s="5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26.25" x14ac:dyDescent="0.4">
      <c r="A2005" s="6">
        <v>1</v>
      </c>
      <c r="B2005" s="20" t="s">
        <v>202</v>
      </c>
      <c r="C2005" s="21" t="s">
        <v>501</v>
      </c>
      <c r="D2005" s="8" t="s">
        <v>11</v>
      </c>
      <c r="E2005" s="20">
        <v>1.92</v>
      </c>
      <c r="F2005" s="9">
        <v>293000</v>
      </c>
      <c r="G2005" s="10">
        <f t="shared" ref="G2005:G2007" si="132">IFERROR(E2005*F2005,0)</f>
        <v>562560</v>
      </c>
      <c r="H2005" s="11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26.25" x14ac:dyDescent="0.4">
      <c r="A2006" s="6">
        <v>2</v>
      </c>
      <c r="B2006" s="22" t="s">
        <v>190</v>
      </c>
      <c r="C2006" s="23" t="s">
        <v>502</v>
      </c>
      <c r="D2006" s="13" t="s">
        <v>13</v>
      </c>
      <c r="E2006" s="22">
        <v>1.48</v>
      </c>
      <c r="F2006" s="14">
        <v>435000</v>
      </c>
      <c r="G2006" s="10">
        <f t="shared" si="132"/>
        <v>643800</v>
      </c>
      <c r="H2006" s="11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26.25" x14ac:dyDescent="0.4">
      <c r="A2007" s="6">
        <v>3</v>
      </c>
      <c r="B2007" s="15" t="s">
        <v>14</v>
      </c>
      <c r="C2007" s="11"/>
      <c r="D2007" s="11"/>
      <c r="E2007" s="11"/>
      <c r="F2007" s="11"/>
      <c r="G2007" s="16">
        <f t="shared" si="132"/>
        <v>0</v>
      </c>
      <c r="H2007" s="11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26.25" x14ac:dyDescent="0.4">
      <c r="A2008" s="29" t="s">
        <v>15</v>
      </c>
      <c r="B2008" s="26"/>
      <c r="C2008" s="26"/>
      <c r="D2008" s="26"/>
      <c r="E2008" s="26"/>
      <c r="F2008" s="26"/>
      <c r="G2008" s="27"/>
      <c r="H2008" s="17">
        <f>SUM(G2005:G2007)</f>
        <v>1206360</v>
      </c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26.25" x14ac:dyDescent="0.4">
      <c r="A2009" s="29" t="s">
        <v>16</v>
      </c>
      <c r="B2009" s="26"/>
      <c r="C2009" s="26"/>
      <c r="D2009" s="26"/>
      <c r="E2009" s="26"/>
      <c r="F2009" s="26"/>
      <c r="G2009" s="27"/>
      <c r="H2009" s="17">
        <f>MAX(0,H2008-648000)</f>
        <v>558360</v>
      </c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26.25" x14ac:dyDescent="0.4">
      <c r="A2010" s="25" t="s">
        <v>17</v>
      </c>
      <c r="B2010" s="26"/>
      <c r="C2010" s="26"/>
      <c r="D2010" s="26"/>
      <c r="E2010" s="26"/>
      <c r="F2010" s="26"/>
      <c r="G2010" s="27"/>
      <c r="H2010" s="18">
        <v>649000</v>
      </c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26.25" x14ac:dyDescent="0.4">
      <c r="A2011" s="28" t="s">
        <v>18</v>
      </c>
      <c r="B2011" s="26"/>
      <c r="C2011" s="26"/>
      <c r="D2011" s="26"/>
      <c r="E2011" s="26"/>
      <c r="F2011" s="26"/>
      <c r="G2011" s="26"/>
      <c r="H2011" s="27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12.75" x14ac:dyDescent="0.2"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6" spans="1:26" ht="15.75" customHeight="1" x14ac:dyDescent="0.4">
      <c r="A2016" s="28" t="s">
        <v>0</v>
      </c>
      <c r="B2016" s="26"/>
      <c r="C2016" s="26"/>
      <c r="D2016" s="26"/>
      <c r="E2016" s="26"/>
      <c r="F2016" s="26"/>
      <c r="G2016" s="26"/>
      <c r="H2016" s="27"/>
    </row>
    <row r="2017" spans="1:26" ht="26.25" x14ac:dyDescent="0.4">
      <c r="A2017" s="28" t="s">
        <v>503</v>
      </c>
      <c r="B2017" s="26"/>
      <c r="C2017" s="26"/>
      <c r="D2017" s="26"/>
      <c r="E2017" s="26"/>
      <c r="F2017" s="26"/>
      <c r="G2017" s="26"/>
      <c r="H2017" s="27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18.75" x14ac:dyDescent="0.3">
      <c r="A2018" s="3" t="s">
        <v>2</v>
      </c>
      <c r="B2018" s="3" t="s">
        <v>3</v>
      </c>
      <c r="C2018" s="3" t="s">
        <v>4</v>
      </c>
      <c r="D2018" s="3" t="s">
        <v>5</v>
      </c>
      <c r="E2018" s="3" t="s">
        <v>6</v>
      </c>
      <c r="F2018" s="4" t="s">
        <v>7</v>
      </c>
      <c r="G2018" s="3" t="s">
        <v>8</v>
      </c>
      <c r="H2018" s="5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26.25" x14ac:dyDescent="0.4">
      <c r="A2019" s="6">
        <v>1</v>
      </c>
      <c r="B2019" s="20" t="s">
        <v>44</v>
      </c>
      <c r="C2019" s="21" t="s">
        <v>504</v>
      </c>
      <c r="D2019" s="8" t="s">
        <v>11</v>
      </c>
      <c r="E2019" s="20">
        <v>1.7</v>
      </c>
      <c r="F2019" s="9">
        <v>293000</v>
      </c>
      <c r="G2019" s="10">
        <f t="shared" ref="G2019:G2021" si="133">IFERROR(E2019*F2019,0)</f>
        <v>498100</v>
      </c>
      <c r="H2019" s="11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26.25" x14ac:dyDescent="0.4">
      <c r="A2020" s="6">
        <v>2</v>
      </c>
      <c r="B2020" s="22" t="s">
        <v>391</v>
      </c>
      <c r="C2020" s="23" t="s">
        <v>505</v>
      </c>
      <c r="D2020" s="13" t="s">
        <v>13</v>
      </c>
      <c r="E2020" s="22">
        <v>1.6</v>
      </c>
      <c r="F2020" s="14">
        <v>435000</v>
      </c>
      <c r="G2020" s="10">
        <f t="shared" si="133"/>
        <v>696000</v>
      </c>
      <c r="H2020" s="11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26.25" x14ac:dyDescent="0.4">
      <c r="A2021" s="6">
        <v>3</v>
      </c>
      <c r="B2021" s="15" t="s">
        <v>14</v>
      </c>
      <c r="C2021" s="11"/>
      <c r="D2021" s="11"/>
      <c r="E2021" s="11"/>
      <c r="F2021" s="11"/>
      <c r="G2021" s="16">
        <f t="shared" si="133"/>
        <v>0</v>
      </c>
      <c r="H2021" s="11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26.25" x14ac:dyDescent="0.4">
      <c r="A2022" s="29" t="s">
        <v>15</v>
      </c>
      <c r="B2022" s="26"/>
      <c r="C2022" s="26"/>
      <c r="D2022" s="26"/>
      <c r="E2022" s="26"/>
      <c r="F2022" s="26"/>
      <c r="G2022" s="27"/>
      <c r="H2022" s="17">
        <f>SUM(G2019:G2021)</f>
        <v>1194100</v>
      </c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26.25" x14ac:dyDescent="0.4">
      <c r="A2023" s="29" t="s">
        <v>16</v>
      </c>
      <c r="B2023" s="26"/>
      <c r="C2023" s="26"/>
      <c r="D2023" s="26"/>
      <c r="E2023" s="26"/>
      <c r="F2023" s="26"/>
      <c r="G2023" s="27"/>
      <c r="H2023" s="17">
        <f>MAX(0,H2022-648000)</f>
        <v>546100</v>
      </c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26.25" x14ac:dyDescent="0.4">
      <c r="A2024" s="25" t="s">
        <v>17</v>
      </c>
      <c r="B2024" s="26"/>
      <c r="C2024" s="26"/>
      <c r="D2024" s="26"/>
      <c r="E2024" s="26"/>
      <c r="F2024" s="26"/>
      <c r="G2024" s="27"/>
      <c r="H2024" s="18">
        <v>649000</v>
      </c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26.25" x14ac:dyDescent="0.4">
      <c r="A2025" s="28" t="s">
        <v>18</v>
      </c>
      <c r="B2025" s="26"/>
      <c r="C2025" s="26"/>
      <c r="D2025" s="26"/>
      <c r="E2025" s="26"/>
      <c r="F2025" s="26"/>
      <c r="G2025" s="26"/>
      <c r="H2025" s="27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12.75" x14ac:dyDescent="0.2"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30" spans="1:26" ht="15.75" customHeight="1" x14ac:dyDescent="0.4">
      <c r="A2030" s="28" t="s">
        <v>0</v>
      </c>
      <c r="B2030" s="26"/>
      <c r="C2030" s="26"/>
      <c r="D2030" s="26"/>
      <c r="E2030" s="26"/>
      <c r="F2030" s="26"/>
      <c r="G2030" s="26"/>
      <c r="H2030" s="27"/>
    </row>
    <row r="2031" spans="1:26" ht="15.75" customHeight="1" x14ac:dyDescent="0.4">
      <c r="A2031" s="28" t="s">
        <v>506</v>
      </c>
      <c r="B2031" s="26"/>
      <c r="C2031" s="26"/>
      <c r="D2031" s="26"/>
      <c r="E2031" s="26"/>
      <c r="F2031" s="26"/>
      <c r="G2031" s="26"/>
      <c r="H2031" s="27"/>
    </row>
    <row r="2032" spans="1:26" ht="18.75" x14ac:dyDescent="0.3">
      <c r="A2032" s="3" t="s">
        <v>2</v>
      </c>
      <c r="B2032" s="3" t="s">
        <v>3</v>
      </c>
      <c r="C2032" s="3" t="s">
        <v>4</v>
      </c>
      <c r="D2032" s="3" t="s">
        <v>5</v>
      </c>
      <c r="E2032" s="3" t="s">
        <v>6</v>
      </c>
      <c r="F2032" s="4" t="s">
        <v>7</v>
      </c>
      <c r="G2032" s="3" t="s">
        <v>8</v>
      </c>
      <c r="H2032" s="5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26.25" x14ac:dyDescent="0.4">
      <c r="A2033" s="6">
        <v>1</v>
      </c>
      <c r="B2033" s="20" t="s">
        <v>175</v>
      </c>
      <c r="C2033" s="21" t="s">
        <v>507</v>
      </c>
      <c r="D2033" s="8" t="s">
        <v>11</v>
      </c>
      <c r="E2033" s="20">
        <v>2.1</v>
      </c>
      <c r="F2033" s="9">
        <v>293000</v>
      </c>
      <c r="G2033" s="10">
        <f t="shared" ref="G2033:G2035" si="134">IFERROR(E2033*F2033,0)</f>
        <v>615300</v>
      </c>
      <c r="H2033" s="11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26.25" x14ac:dyDescent="0.4">
      <c r="A2034" s="6">
        <v>2</v>
      </c>
      <c r="B2034" s="22" t="s">
        <v>97</v>
      </c>
      <c r="C2034" s="23" t="s">
        <v>508</v>
      </c>
      <c r="D2034" s="13" t="s">
        <v>13</v>
      </c>
      <c r="E2034" s="22">
        <v>1.5</v>
      </c>
      <c r="F2034" s="14">
        <v>435000</v>
      </c>
      <c r="G2034" s="10">
        <f t="shared" si="134"/>
        <v>652500</v>
      </c>
      <c r="H2034" s="11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26.25" x14ac:dyDescent="0.4">
      <c r="A2035" s="6">
        <v>3</v>
      </c>
      <c r="B2035" s="15" t="s">
        <v>14</v>
      </c>
      <c r="C2035" s="11"/>
      <c r="D2035" s="11"/>
      <c r="E2035" s="11"/>
      <c r="F2035" s="11"/>
      <c r="G2035" s="16">
        <f t="shared" si="134"/>
        <v>0</v>
      </c>
      <c r="H2035" s="11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26.25" x14ac:dyDescent="0.4">
      <c r="A2036" s="29" t="s">
        <v>15</v>
      </c>
      <c r="B2036" s="26"/>
      <c r="C2036" s="26"/>
      <c r="D2036" s="26"/>
      <c r="E2036" s="26"/>
      <c r="F2036" s="26"/>
      <c r="G2036" s="27"/>
      <c r="H2036" s="17">
        <f>SUM(G2033:G2035)</f>
        <v>1267800</v>
      </c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26.25" x14ac:dyDescent="0.4">
      <c r="A2037" s="29" t="s">
        <v>16</v>
      </c>
      <c r="B2037" s="26"/>
      <c r="C2037" s="26"/>
      <c r="D2037" s="26"/>
      <c r="E2037" s="26"/>
      <c r="F2037" s="26"/>
      <c r="G2037" s="27"/>
      <c r="H2037" s="17">
        <f>MAX(0,H2036-648000)</f>
        <v>619800</v>
      </c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26.25" x14ac:dyDescent="0.4">
      <c r="A2038" s="25" t="s">
        <v>17</v>
      </c>
      <c r="B2038" s="26"/>
      <c r="C2038" s="26"/>
      <c r="D2038" s="26"/>
      <c r="E2038" s="26"/>
      <c r="F2038" s="26"/>
      <c r="G2038" s="27"/>
      <c r="H2038" s="18">
        <v>649000</v>
      </c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26.25" x14ac:dyDescent="0.4">
      <c r="A2039" s="28" t="s">
        <v>18</v>
      </c>
      <c r="B2039" s="26"/>
      <c r="C2039" s="26"/>
      <c r="D2039" s="26"/>
      <c r="E2039" s="26"/>
      <c r="F2039" s="26"/>
      <c r="G2039" s="26"/>
      <c r="H2039" s="27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12.75" x14ac:dyDescent="0.2"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12.75" x14ac:dyDescent="0.2"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5" spans="1:26" ht="15.75" customHeight="1" x14ac:dyDescent="0.4">
      <c r="A2045" s="28" t="s">
        <v>0</v>
      </c>
      <c r="B2045" s="26"/>
      <c r="C2045" s="26"/>
      <c r="D2045" s="26"/>
      <c r="E2045" s="26"/>
      <c r="F2045" s="26"/>
      <c r="G2045" s="26"/>
      <c r="H2045" s="27"/>
    </row>
    <row r="2046" spans="1:26" ht="15.75" customHeight="1" x14ac:dyDescent="0.4">
      <c r="A2046" s="28" t="s">
        <v>509</v>
      </c>
      <c r="B2046" s="26"/>
      <c r="C2046" s="26"/>
      <c r="D2046" s="26"/>
      <c r="E2046" s="26"/>
      <c r="F2046" s="26"/>
      <c r="G2046" s="26"/>
      <c r="H2046" s="27"/>
    </row>
    <row r="2047" spans="1:26" ht="15.75" customHeight="1" x14ac:dyDescent="0.3">
      <c r="A2047" s="3" t="s">
        <v>2</v>
      </c>
      <c r="B2047" s="3" t="s">
        <v>3</v>
      </c>
      <c r="C2047" s="3" t="s">
        <v>4</v>
      </c>
      <c r="D2047" s="3" t="s">
        <v>5</v>
      </c>
      <c r="E2047" s="3" t="s">
        <v>6</v>
      </c>
      <c r="F2047" s="4" t="s">
        <v>7</v>
      </c>
      <c r="G2047" s="3" t="s">
        <v>8</v>
      </c>
      <c r="H2047" s="5"/>
    </row>
    <row r="2048" spans="1:26" ht="26.25" x14ac:dyDescent="0.4">
      <c r="A2048" s="6">
        <v>1</v>
      </c>
      <c r="B2048" s="20" t="s">
        <v>310</v>
      </c>
      <c r="C2048" s="21" t="s">
        <v>510</v>
      </c>
      <c r="D2048" s="8" t="s">
        <v>11</v>
      </c>
      <c r="E2048" s="20">
        <v>2</v>
      </c>
      <c r="F2048" s="9">
        <v>293000</v>
      </c>
      <c r="G2048" s="10">
        <f t="shared" ref="G2048:G2050" si="135">IFERROR(E2048*F2048,0)</f>
        <v>586000</v>
      </c>
      <c r="H2048" s="11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26.25" x14ac:dyDescent="0.4">
      <c r="A2049" s="6">
        <v>2</v>
      </c>
      <c r="B2049" s="22" t="s">
        <v>511</v>
      </c>
      <c r="C2049" s="23" t="s">
        <v>512</v>
      </c>
      <c r="D2049" s="13" t="s">
        <v>13</v>
      </c>
      <c r="E2049" s="22">
        <v>1.5</v>
      </c>
      <c r="F2049" s="14">
        <v>435000</v>
      </c>
      <c r="G2049" s="10">
        <f t="shared" si="135"/>
        <v>652500</v>
      </c>
      <c r="H2049" s="11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26.25" x14ac:dyDescent="0.4">
      <c r="A2050" s="6">
        <v>3</v>
      </c>
      <c r="B2050" s="15" t="s">
        <v>14</v>
      </c>
      <c r="C2050" s="11"/>
      <c r="D2050" s="11"/>
      <c r="E2050" s="11"/>
      <c r="F2050" s="11"/>
      <c r="G2050" s="16">
        <f t="shared" si="135"/>
        <v>0</v>
      </c>
      <c r="H2050" s="11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26.25" x14ac:dyDescent="0.4">
      <c r="A2051" s="29" t="s">
        <v>15</v>
      </c>
      <c r="B2051" s="26"/>
      <c r="C2051" s="26"/>
      <c r="D2051" s="26"/>
      <c r="E2051" s="26"/>
      <c r="F2051" s="26"/>
      <c r="G2051" s="27"/>
      <c r="H2051" s="17">
        <f>SUM(G2048:G2050)</f>
        <v>1238500</v>
      </c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26.25" x14ac:dyDescent="0.4">
      <c r="A2052" s="29" t="s">
        <v>16</v>
      </c>
      <c r="B2052" s="26"/>
      <c r="C2052" s="26"/>
      <c r="D2052" s="26"/>
      <c r="E2052" s="26"/>
      <c r="F2052" s="26"/>
      <c r="G2052" s="27"/>
      <c r="H2052" s="17">
        <f>MAX(0,H2051-648000)</f>
        <v>590500</v>
      </c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26.25" x14ac:dyDescent="0.4">
      <c r="A2053" s="25" t="s">
        <v>17</v>
      </c>
      <c r="B2053" s="26"/>
      <c r="C2053" s="26"/>
      <c r="D2053" s="26"/>
      <c r="E2053" s="26"/>
      <c r="F2053" s="26"/>
      <c r="G2053" s="27"/>
      <c r="H2053" s="18">
        <v>649000</v>
      </c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26.25" x14ac:dyDescent="0.4">
      <c r="A2054" s="28" t="s">
        <v>18</v>
      </c>
      <c r="B2054" s="26"/>
      <c r="C2054" s="26"/>
      <c r="D2054" s="26"/>
      <c r="E2054" s="26"/>
      <c r="F2054" s="26"/>
      <c r="G2054" s="26"/>
      <c r="H2054" s="27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12.75" x14ac:dyDescent="0.2"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12.75" x14ac:dyDescent="0.2"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12.75" x14ac:dyDescent="0.2"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61" spans="1:26" ht="15.75" customHeight="1" x14ac:dyDescent="0.4">
      <c r="A2061" s="28" t="s">
        <v>0</v>
      </c>
      <c r="B2061" s="26"/>
      <c r="C2061" s="26"/>
      <c r="D2061" s="26"/>
      <c r="E2061" s="26"/>
      <c r="F2061" s="26"/>
      <c r="G2061" s="26"/>
      <c r="H2061" s="27"/>
    </row>
    <row r="2062" spans="1:26" ht="15.75" customHeight="1" x14ac:dyDescent="0.4">
      <c r="A2062" s="28" t="s">
        <v>513</v>
      </c>
      <c r="B2062" s="26"/>
      <c r="C2062" s="26"/>
      <c r="D2062" s="26"/>
      <c r="E2062" s="26"/>
      <c r="F2062" s="26"/>
      <c r="G2062" s="26"/>
      <c r="H2062" s="27"/>
    </row>
    <row r="2063" spans="1:26" ht="18.75" x14ac:dyDescent="0.3">
      <c r="A2063" s="3" t="s">
        <v>2</v>
      </c>
      <c r="B2063" s="3" t="s">
        <v>3</v>
      </c>
      <c r="C2063" s="3" t="s">
        <v>4</v>
      </c>
      <c r="D2063" s="3" t="s">
        <v>5</v>
      </c>
      <c r="E2063" s="3" t="s">
        <v>6</v>
      </c>
      <c r="F2063" s="4" t="s">
        <v>7</v>
      </c>
      <c r="G2063" s="3" t="s">
        <v>8</v>
      </c>
      <c r="H2063" s="5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26.25" x14ac:dyDescent="0.4">
      <c r="A2064" s="6">
        <v>1</v>
      </c>
      <c r="B2064" s="20" t="s">
        <v>94</v>
      </c>
      <c r="C2064" s="21" t="s">
        <v>514</v>
      </c>
      <c r="D2064" s="8" t="s">
        <v>11</v>
      </c>
      <c r="E2064" s="20">
        <v>2.85</v>
      </c>
      <c r="F2064" s="9">
        <v>293000</v>
      </c>
      <c r="G2064" s="10">
        <f t="shared" ref="G2064:G2066" si="136">IFERROR(E2064*F2064,0)</f>
        <v>835050</v>
      </c>
      <c r="H2064" s="11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26.25" x14ac:dyDescent="0.4">
      <c r="A2065" s="6">
        <v>2</v>
      </c>
      <c r="B2065" s="22" t="s">
        <v>72</v>
      </c>
      <c r="C2065" s="23" t="s">
        <v>515</v>
      </c>
      <c r="D2065" s="13" t="s">
        <v>13</v>
      </c>
      <c r="E2065" s="22">
        <v>0.55000000000000004</v>
      </c>
      <c r="F2065" s="14">
        <v>435000</v>
      </c>
      <c r="G2065" s="10">
        <f t="shared" si="136"/>
        <v>239250.00000000003</v>
      </c>
      <c r="H2065" s="11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26.25" x14ac:dyDescent="0.4">
      <c r="A2066" s="6">
        <v>3</v>
      </c>
      <c r="B2066" s="15" t="s">
        <v>14</v>
      </c>
      <c r="C2066" s="11"/>
      <c r="D2066" s="11"/>
      <c r="E2066" s="11"/>
      <c r="F2066" s="11"/>
      <c r="G2066" s="16">
        <f t="shared" si="136"/>
        <v>0</v>
      </c>
      <c r="H2066" s="11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26.25" x14ac:dyDescent="0.4">
      <c r="A2067" s="29" t="s">
        <v>15</v>
      </c>
      <c r="B2067" s="26"/>
      <c r="C2067" s="26"/>
      <c r="D2067" s="26"/>
      <c r="E2067" s="26"/>
      <c r="F2067" s="26"/>
      <c r="G2067" s="27"/>
      <c r="H2067" s="17">
        <f>SUM(G2064:G2066)</f>
        <v>1074300</v>
      </c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26.25" x14ac:dyDescent="0.4">
      <c r="A2068" s="29" t="s">
        <v>16</v>
      </c>
      <c r="B2068" s="26"/>
      <c r="C2068" s="26"/>
      <c r="D2068" s="26"/>
      <c r="E2068" s="26"/>
      <c r="F2068" s="26"/>
      <c r="G2068" s="27"/>
      <c r="H2068" s="17">
        <f>MAX(0,H2067-648000)</f>
        <v>426300</v>
      </c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26.25" x14ac:dyDescent="0.4">
      <c r="A2069" s="25" t="s">
        <v>17</v>
      </c>
      <c r="B2069" s="26"/>
      <c r="C2069" s="26"/>
      <c r="D2069" s="26"/>
      <c r="E2069" s="26"/>
      <c r="F2069" s="26"/>
      <c r="G2069" s="27"/>
      <c r="H2069" s="18">
        <v>649000</v>
      </c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26.25" x14ac:dyDescent="0.4">
      <c r="A2070" s="28" t="s">
        <v>18</v>
      </c>
      <c r="B2070" s="26"/>
      <c r="C2070" s="26"/>
      <c r="D2070" s="26"/>
      <c r="E2070" s="26"/>
      <c r="F2070" s="26"/>
      <c r="G2070" s="26"/>
      <c r="H2070" s="27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12.75" x14ac:dyDescent="0.2"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12.75" x14ac:dyDescent="0.2"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6" spans="1:26" ht="15.75" customHeight="1" x14ac:dyDescent="0.4">
      <c r="A2076" s="28" t="s">
        <v>0</v>
      </c>
      <c r="B2076" s="26"/>
      <c r="C2076" s="26"/>
      <c r="D2076" s="26"/>
      <c r="E2076" s="26"/>
      <c r="F2076" s="26"/>
      <c r="G2076" s="26"/>
      <c r="H2076" s="27"/>
    </row>
    <row r="2077" spans="1:26" ht="15.75" customHeight="1" x14ac:dyDescent="0.4">
      <c r="A2077" s="28" t="s">
        <v>516</v>
      </c>
      <c r="B2077" s="26"/>
      <c r="C2077" s="26"/>
      <c r="D2077" s="26"/>
      <c r="E2077" s="26"/>
      <c r="F2077" s="26"/>
      <c r="G2077" s="26"/>
      <c r="H2077" s="27"/>
    </row>
    <row r="2078" spans="1:26" ht="18.75" x14ac:dyDescent="0.3">
      <c r="A2078" s="3" t="s">
        <v>2</v>
      </c>
      <c r="B2078" s="3" t="s">
        <v>3</v>
      </c>
      <c r="C2078" s="3" t="s">
        <v>4</v>
      </c>
      <c r="D2078" s="3" t="s">
        <v>5</v>
      </c>
      <c r="E2078" s="3" t="s">
        <v>6</v>
      </c>
      <c r="F2078" s="4" t="s">
        <v>7</v>
      </c>
      <c r="G2078" s="3" t="s">
        <v>8</v>
      </c>
      <c r="H2078" s="5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26.25" x14ac:dyDescent="0.4">
      <c r="A2079" s="6">
        <v>1</v>
      </c>
      <c r="B2079" s="20" t="s">
        <v>289</v>
      </c>
      <c r="C2079" s="21" t="s">
        <v>495</v>
      </c>
      <c r="D2079" s="8" t="s">
        <v>11</v>
      </c>
      <c r="E2079" s="20">
        <v>2.44</v>
      </c>
      <c r="F2079" s="9">
        <v>293000</v>
      </c>
      <c r="G2079" s="10">
        <f t="shared" ref="G2079:G2081" si="137">IFERROR(E2079*F2079,0)</f>
        <v>714920</v>
      </c>
      <c r="H2079" s="11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26.25" x14ac:dyDescent="0.4">
      <c r="A2080" s="6">
        <v>2</v>
      </c>
      <c r="B2080" s="22" t="s">
        <v>218</v>
      </c>
      <c r="C2080" s="23" t="s">
        <v>517</v>
      </c>
      <c r="D2080" s="13" t="s">
        <v>13</v>
      </c>
      <c r="E2080" s="22">
        <v>1</v>
      </c>
      <c r="F2080" s="14">
        <v>435000</v>
      </c>
      <c r="G2080" s="10">
        <f t="shared" si="137"/>
        <v>435000</v>
      </c>
      <c r="H2080" s="11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26.25" x14ac:dyDescent="0.4">
      <c r="A2081" s="6">
        <v>3</v>
      </c>
      <c r="B2081" s="15" t="s">
        <v>14</v>
      </c>
      <c r="C2081" s="11"/>
      <c r="D2081" s="11"/>
      <c r="E2081" s="11"/>
      <c r="F2081" s="11"/>
      <c r="G2081" s="16">
        <f t="shared" si="137"/>
        <v>0</v>
      </c>
      <c r="H2081" s="11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26.25" x14ac:dyDescent="0.4">
      <c r="A2082" s="29" t="s">
        <v>15</v>
      </c>
      <c r="B2082" s="26"/>
      <c r="C2082" s="26"/>
      <c r="D2082" s="26"/>
      <c r="E2082" s="26"/>
      <c r="F2082" s="26"/>
      <c r="G2082" s="27"/>
      <c r="H2082" s="17">
        <f>SUM(G2079:G2081)</f>
        <v>1149920</v>
      </c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26.25" x14ac:dyDescent="0.4">
      <c r="A2083" s="29" t="s">
        <v>16</v>
      </c>
      <c r="B2083" s="26"/>
      <c r="C2083" s="26"/>
      <c r="D2083" s="26"/>
      <c r="E2083" s="26"/>
      <c r="F2083" s="26"/>
      <c r="G2083" s="27"/>
      <c r="H2083" s="17">
        <f>MAX(0,H2082-648000)</f>
        <v>501920</v>
      </c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26.25" x14ac:dyDescent="0.4">
      <c r="A2084" s="25" t="s">
        <v>17</v>
      </c>
      <c r="B2084" s="26"/>
      <c r="C2084" s="26"/>
      <c r="D2084" s="26"/>
      <c r="E2084" s="26"/>
      <c r="F2084" s="26"/>
      <c r="G2084" s="27"/>
      <c r="H2084" s="18">
        <v>649000</v>
      </c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26.25" x14ac:dyDescent="0.4">
      <c r="A2085" s="28" t="s">
        <v>18</v>
      </c>
      <c r="B2085" s="26"/>
      <c r="C2085" s="26"/>
      <c r="D2085" s="26"/>
      <c r="E2085" s="26"/>
      <c r="F2085" s="26"/>
      <c r="G2085" s="26"/>
      <c r="H2085" s="27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12.75" x14ac:dyDescent="0.2"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12.75" x14ac:dyDescent="0.2"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91" spans="1:26" ht="15.75" customHeight="1" x14ac:dyDescent="0.4">
      <c r="A2091" s="28" t="s">
        <v>0</v>
      </c>
      <c r="B2091" s="26"/>
      <c r="C2091" s="26"/>
      <c r="D2091" s="26"/>
      <c r="E2091" s="26"/>
      <c r="F2091" s="26"/>
      <c r="G2091" s="26"/>
      <c r="H2091" s="27"/>
    </row>
    <row r="2092" spans="1:26" ht="15.75" customHeight="1" x14ac:dyDescent="0.4">
      <c r="A2092" s="28" t="s">
        <v>518</v>
      </c>
      <c r="B2092" s="26"/>
      <c r="C2092" s="26"/>
      <c r="D2092" s="26"/>
      <c r="E2092" s="26"/>
      <c r="F2092" s="26"/>
      <c r="G2092" s="26"/>
      <c r="H2092" s="27"/>
    </row>
    <row r="2093" spans="1:26" ht="18.75" x14ac:dyDescent="0.3">
      <c r="A2093" s="3" t="s">
        <v>2</v>
      </c>
      <c r="B2093" s="3" t="s">
        <v>3</v>
      </c>
      <c r="C2093" s="3" t="s">
        <v>4</v>
      </c>
      <c r="D2093" s="3" t="s">
        <v>5</v>
      </c>
      <c r="E2093" s="3" t="s">
        <v>6</v>
      </c>
      <c r="F2093" s="4" t="s">
        <v>7</v>
      </c>
      <c r="G2093" s="3" t="s">
        <v>8</v>
      </c>
      <c r="H2093" s="5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26.25" x14ac:dyDescent="0.4">
      <c r="A2094" s="6">
        <v>1</v>
      </c>
      <c r="B2094" s="20" t="s">
        <v>212</v>
      </c>
      <c r="C2094" s="21" t="s">
        <v>519</v>
      </c>
      <c r="D2094" s="8" t="s">
        <v>11</v>
      </c>
      <c r="E2094" s="20">
        <v>2.5</v>
      </c>
      <c r="F2094" s="9">
        <v>293000</v>
      </c>
      <c r="G2094" s="10">
        <f t="shared" ref="G2094:G2096" si="138">IFERROR(E2094*F2094,0)</f>
        <v>732500</v>
      </c>
      <c r="H2094" s="11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26.25" x14ac:dyDescent="0.4">
      <c r="A2095" s="6">
        <v>2</v>
      </c>
      <c r="B2095" s="22" t="s">
        <v>254</v>
      </c>
      <c r="C2095" s="23" t="s">
        <v>520</v>
      </c>
      <c r="D2095" s="13" t="s">
        <v>13</v>
      </c>
      <c r="E2095" s="22">
        <v>1</v>
      </c>
      <c r="F2095" s="14">
        <v>435000</v>
      </c>
      <c r="G2095" s="10">
        <f t="shared" si="138"/>
        <v>435000</v>
      </c>
      <c r="H2095" s="11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26.25" x14ac:dyDescent="0.4">
      <c r="A2096" s="6">
        <v>3</v>
      </c>
      <c r="B2096" s="15" t="s">
        <v>14</v>
      </c>
      <c r="C2096" s="11"/>
      <c r="D2096" s="11"/>
      <c r="E2096" s="11"/>
      <c r="F2096" s="11"/>
      <c r="G2096" s="16">
        <f t="shared" si="138"/>
        <v>0</v>
      </c>
      <c r="H2096" s="11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26.25" x14ac:dyDescent="0.4">
      <c r="A2097" s="29" t="s">
        <v>15</v>
      </c>
      <c r="B2097" s="26"/>
      <c r="C2097" s="26"/>
      <c r="D2097" s="26"/>
      <c r="E2097" s="26"/>
      <c r="F2097" s="26"/>
      <c r="G2097" s="27"/>
      <c r="H2097" s="17">
        <f>SUM(G2094:G2096)</f>
        <v>1167500</v>
      </c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26.25" x14ac:dyDescent="0.4">
      <c r="A2098" s="29" t="s">
        <v>16</v>
      </c>
      <c r="B2098" s="26"/>
      <c r="C2098" s="26"/>
      <c r="D2098" s="26"/>
      <c r="E2098" s="26"/>
      <c r="F2098" s="26"/>
      <c r="G2098" s="27"/>
      <c r="H2098" s="17">
        <f>MAX(0,H2097-648000)</f>
        <v>519500</v>
      </c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ht="26.25" x14ac:dyDescent="0.4">
      <c r="A2099" s="25" t="s">
        <v>17</v>
      </c>
      <c r="B2099" s="26"/>
      <c r="C2099" s="26"/>
      <c r="D2099" s="26"/>
      <c r="E2099" s="26"/>
      <c r="F2099" s="26"/>
      <c r="G2099" s="27"/>
      <c r="H2099" s="18">
        <v>649000</v>
      </c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ht="26.25" x14ac:dyDescent="0.4">
      <c r="A2100" s="28" t="s">
        <v>18</v>
      </c>
      <c r="B2100" s="26"/>
      <c r="C2100" s="26"/>
      <c r="D2100" s="26"/>
      <c r="E2100" s="26"/>
      <c r="F2100" s="26"/>
      <c r="G2100" s="26"/>
      <c r="H2100" s="27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ht="12.75" x14ac:dyDescent="0.2"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ht="12.75" x14ac:dyDescent="0.2"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6" spans="1:26" ht="15.75" customHeight="1" x14ac:dyDescent="0.4">
      <c r="A2106" s="28" t="s">
        <v>0</v>
      </c>
      <c r="B2106" s="26"/>
      <c r="C2106" s="26"/>
      <c r="D2106" s="26"/>
      <c r="E2106" s="26"/>
      <c r="F2106" s="26"/>
      <c r="G2106" s="26"/>
      <c r="H2106" s="27"/>
    </row>
    <row r="2107" spans="1:26" ht="15.75" customHeight="1" x14ac:dyDescent="0.4">
      <c r="A2107" s="28" t="s">
        <v>521</v>
      </c>
      <c r="B2107" s="26"/>
      <c r="C2107" s="26"/>
      <c r="D2107" s="26"/>
      <c r="E2107" s="26"/>
      <c r="F2107" s="26"/>
      <c r="G2107" s="26"/>
      <c r="H2107" s="27"/>
    </row>
    <row r="2108" spans="1:26" ht="18.75" x14ac:dyDescent="0.3">
      <c r="A2108" s="3" t="s">
        <v>2</v>
      </c>
      <c r="B2108" s="3" t="s">
        <v>3</v>
      </c>
      <c r="C2108" s="3" t="s">
        <v>4</v>
      </c>
      <c r="D2108" s="3" t="s">
        <v>5</v>
      </c>
      <c r="E2108" s="3" t="s">
        <v>6</v>
      </c>
      <c r="F2108" s="4" t="s">
        <v>7</v>
      </c>
      <c r="G2108" s="3" t="s">
        <v>8</v>
      </c>
      <c r="H2108" s="5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ht="26.25" x14ac:dyDescent="0.4">
      <c r="A2109" s="6">
        <v>1</v>
      </c>
      <c r="B2109" s="20" t="s">
        <v>9</v>
      </c>
      <c r="C2109" s="21" t="s">
        <v>522</v>
      </c>
      <c r="D2109" s="8" t="s">
        <v>11</v>
      </c>
      <c r="E2109" s="20">
        <v>2.9</v>
      </c>
      <c r="F2109" s="9">
        <v>293000</v>
      </c>
      <c r="G2109" s="10">
        <f t="shared" ref="G2109:G2111" si="139">IFERROR(E2109*F2109,0)</f>
        <v>849700</v>
      </c>
      <c r="H2109" s="11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ht="26.25" x14ac:dyDescent="0.4">
      <c r="A2110" s="6">
        <v>2</v>
      </c>
      <c r="B2110" s="22" t="s">
        <v>12</v>
      </c>
      <c r="C2110" s="23" t="s">
        <v>523</v>
      </c>
      <c r="D2110" s="13" t="s">
        <v>13</v>
      </c>
      <c r="E2110" s="22">
        <v>0.78</v>
      </c>
      <c r="F2110" s="14">
        <v>435000</v>
      </c>
      <c r="G2110" s="10">
        <f t="shared" si="139"/>
        <v>339300</v>
      </c>
      <c r="H2110" s="11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ht="26.25" x14ac:dyDescent="0.4">
      <c r="A2111" s="6">
        <v>3</v>
      </c>
      <c r="B2111" s="15" t="s">
        <v>14</v>
      </c>
      <c r="C2111" s="11"/>
      <c r="D2111" s="11"/>
      <c r="E2111" s="11"/>
      <c r="F2111" s="11"/>
      <c r="G2111" s="16">
        <f t="shared" si="139"/>
        <v>0</v>
      </c>
      <c r="H2111" s="11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ht="26.25" x14ac:dyDescent="0.4">
      <c r="A2112" s="29" t="s">
        <v>15</v>
      </c>
      <c r="B2112" s="26"/>
      <c r="C2112" s="26"/>
      <c r="D2112" s="26"/>
      <c r="E2112" s="26"/>
      <c r="F2112" s="26"/>
      <c r="G2112" s="27"/>
      <c r="H2112" s="17">
        <f>SUM(G2109:G2111)</f>
        <v>1189000</v>
      </c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ht="26.25" x14ac:dyDescent="0.4">
      <c r="A2113" s="29" t="s">
        <v>16</v>
      </c>
      <c r="B2113" s="26"/>
      <c r="C2113" s="26"/>
      <c r="D2113" s="26"/>
      <c r="E2113" s="26"/>
      <c r="F2113" s="26"/>
      <c r="G2113" s="27"/>
      <c r="H2113" s="17">
        <f>MAX(0,H2112-648000)</f>
        <v>541000</v>
      </c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ht="26.25" x14ac:dyDescent="0.4">
      <c r="A2114" s="25" t="s">
        <v>17</v>
      </c>
      <c r="B2114" s="26"/>
      <c r="C2114" s="26"/>
      <c r="D2114" s="26"/>
      <c r="E2114" s="26"/>
      <c r="F2114" s="26"/>
      <c r="G2114" s="27"/>
      <c r="H2114" s="18">
        <v>649000</v>
      </c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ht="26.25" x14ac:dyDescent="0.4">
      <c r="A2115" s="28" t="s">
        <v>18</v>
      </c>
      <c r="B2115" s="26"/>
      <c r="C2115" s="26"/>
      <c r="D2115" s="26"/>
      <c r="E2115" s="26"/>
      <c r="F2115" s="26"/>
      <c r="G2115" s="26"/>
      <c r="H2115" s="27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ht="12.75" x14ac:dyDescent="0.2"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ht="12.75" x14ac:dyDescent="0.2"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21" spans="1:26" ht="15.75" customHeight="1" x14ac:dyDescent="0.4">
      <c r="A2121" s="28" t="s">
        <v>0</v>
      </c>
      <c r="B2121" s="26"/>
      <c r="C2121" s="26"/>
      <c r="D2121" s="26"/>
      <c r="E2121" s="26"/>
      <c r="F2121" s="26"/>
      <c r="G2121" s="26"/>
      <c r="H2121" s="27"/>
    </row>
    <row r="2122" spans="1:26" ht="15.75" customHeight="1" x14ac:dyDescent="0.4">
      <c r="A2122" s="28" t="s">
        <v>524</v>
      </c>
      <c r="B2122" s="26"/>
      <c r="C2122" s="26"/>
      <c r="D2122" s="26"/>
      <c r="E2122" s="26"/>
      <c r="F2122" s="26"/>
      <c r="G2122" s="26"/>
      <c r="H2122" s="27"/>
    </row>
    <row r="2123" spans="1:26" ht="18.75" x14ac:dyDescent="0.3">
      <c r="A2123" s="3" t="s">
        <v>2</v>
      </c>
      <c r="B2123" s="3" t="s">
        <v>3</v>
      </c>
      <c r="C2123" s="3" t="s">
        <v>4</v>
      </c>
      <c r="D2123" s="3" t="s">
        <v>5</v>
      </c>
      <c r="E2123" s="3" t="s">
        <v>6</v>
      </c>
      <c r="F2123" s="4" t="s">
        <v>7</v>
      </c>
      <c r="G2123" s="3" t="s">
        <v>8</v>
      </c>
      <c r="H2123" s="5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ht="26.25" x14ac:dyDescent="0.4">
      <c r="A2124" s="6">
        <v>1</v>
      </c>
      <c r="B2124" s="20" t="s">
        <v>58</v>
      </c>
      <c r="C2124" s="21" t="s">
        <v>525</v>
      </c>
      <c r="D2124" s="8" t="s">
        <v>11</v>
      </c>
      <c r="E2124" s="20">
        <v>2.2999999999999998</v>
      </c>
      <c r="F2124" s="9">
        <v>293000</v>
      </c>
      <c r="G2124" s="10">
        <f t="shared" ref="G2124:G2126" si="140">IFERROR(E2124*F2124,0)</f>
        <v>673900</v>
      </c>
      <c r="H2124" s="11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ht="26.25" x14ac:dyDescent="0.4">
      <c r="A2125" s="6">
        <v>2</v>
      </c>
      <c r="B2125" s="22" t="s">
        <v>526</v>
      </c>
      <c r="C2125" s="23" t="s">
        <v>527</v>
      </c>
      <c r="D2125" s="13" t="s">
        <v>13</v>
      </c>
      <c r="E2125" s="22">
        <v>1.5</v>
      </c>
      <c r="F2125" s="14">
        <v>435000</v>
      </c>
      <c r="G2125" s="10">
        <f t="shared" si="140"/>
        <v>652500</v>
      </c>
      <c r="H2125" s="11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ht="26.25" x14ac:dyDescent="0.4">
      <c r="A2126" s="6">
        <v>3</v>
      </c>
      <c r="B2126" s="15" t="s">
        <v>14</v>
      </c>
      <c r="C2126" s="11"/>
      <c r="D2126" s="11"/>
      <c r="E2126" s="11"/>
      <c r="F2126" s="11"/>
      <c r="G2126" s="16">
        <f t="shared" si="140"/>
        <v>0</v>
      </c>
      <c r="H2126" s="11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ht="26.25" x14ac:dyDescent="0.4">
      <c r="A2127" s="29" t="s">
        <v>15</v>
      </c>
      <c r="B2127" s="26"/>
      <c r="C2127" s="26"/>
      <c r="D2127" s="26"/>
      <c r="E2127" s="26"/>
      <c r="F2127" s="26"/>
      <c r="G2127" s="27"/>
      <c r="H2127" s="17">
        <f>SUM(G2124:G2126)</f>
        <v>1326400</v>
      </c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ht="26.25" x14ac:dyDescent="0.4">
      <c r="A2128" s="29" t="s">
        <v>16</v>
      </c>
      <c r="B2128" s="26"/>
      <c r="C2128" s="26"/>
      <c r="D2128" s="26"/>
      <c r="E2128" s="26"/>
      <c r="F2128" s="26"/>
      <c r="G2128" s="27"/>
      <c r="H2128" s="17">
        <f>MAX(0,H2127-648000)</f>
        <v>678400</v>
      </c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ht="26.25" x14ac:dyDescent="0.4">
      <c r="A2129" s="25" t="s">
        <v>17</v>
      </c>
      <c r="B2129" s="26"/>
      <c r="C2129" s="26"/>
      <c r="D2129" s="26"/>
      <c r="E2129" s="26"/>
      <c r="F2129" s="26"/>
      <c r="G2129" s="27"/>
      <c r="H2129" s="18">
        <v>649000</v>
      </c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ht="26.25" x14ac:dyDescent="0.4">
      <c r="A2130" s="28" t="s">
        <v>18</v>
      </c>
      <c r="B2130" s="26"/>
      <c r="C2130" s="26"/>
      <c r="D2130" s="26"/>
      <c r="E2130" s="26"/>
      <c r="F2130" s="26"/>
      <c r="G2130" s="26"/>
      <c r="H2130" s="27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ht="12.75" x14ac:dyDescent="0.2"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ht="12.75" x14ac:dyDescent="0.2"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6" spans="1:26" ht="15.75" customHeight="1" x14ac:dyDescent="0.4">
      <c r="A2136" s="28" t="s">
        <v>0</v>
      </c>
      <c r="B2136" s="26"/>
      <c r="C2136" s="26"/>
      <c r="D2136" s="26"/>
      <c r="E2136" s="26"/>
      <c r="F2136" s="26"/>
      <c r="G2136" s="26"/>
      <c r="H2136" s="27"/>
    </row>
    <row r="2137" spans="1:26" ht="15.75" customHeight="1" x14ac:dyDescent="0.4">
      <c r="A2137" s="28" t="s">
        <v>528</v>
      </c>
      <c r="B2137" s="26"/>
      <c r="C2137" s="26"/>
      <c r="D2137" s="26"/>
      <c r="E2137" s="26"/>
      <c r="F2137" s="26"/>
      <c r="G2137" s="26"/>
      <c r="H2137" s="27"/>
    </row>
    <row r="2138" spans="1:26" ht="18.75" x14ac:dyDescent="0.3">
      <c r="A2138" s="3" t="s">
        <v>2</v>
      </c>
      <c r="B2138" s="3" t="s">
        <v>3</v>
      </c>
      <c r="C2138" s="3" t="s">
        <v>4</v>
      </c>
      <c r="D2138" s="3" t="s">
        <v>5</v>
      </c>
      <c r="E2138" s="3" t="s">
        <v>6</v>
      </c>
      <c r="F2138" s="4" t="s">
        <v>7</v>
      </c>
      <c r="G2138" s="3" t="s">
        <v>8</v>
      </c>
      <c r="H2138" s="5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ht="26.25" x14ac:dyDescent="0.4">
      <c r="A2139" s="6">
        <v>1</v>
      </c>
      <c r="B2139" s="20" t="s">
        <v>529</v>
      </c>
      <c r="C2139" s="21" t="s">
        <v>161</v>
      </c>
      <c r="D2139" s="8" t="s">
        <v>11</v>
      </c>
      <c r="E2139" s="20">
        <v>1.94</v>
      </c>
      <c r="F2139" s="9">
        <v>293000</v>
      </c>
      <c r="G2139" s="10">
        <f t="shared" ref="G2139:G2141" si="141">IFERROR(E2139*F2139,0)</f>
        <v>568420</v>
      </c>
      <c r="H2139" s="11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ht="26.25" x14ac:dyDescent="0.4">
      <c r="A2140" s="6">
        <v>2</v>
      </c>
      <c r="B2140" s="22" t="s">
        <v>202</v>
      </c>
      <c r="C2140" s="23" t="s">
        <v>530</v>
      </c>
      <c r="D2140" s="13" t="s">
        <v>13</v>
      </c>
      <c r="E2140" s="22">
        <v>1.4</v>
      </c>
      <c r="F2140" s="14">
        <v>435000</v>
      </c>
      <c r="G2140" s="10">
        <f t="shared" si="141"/>
        <v>609000</v>
      </c>
      <c r="H2140" s="11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ht="26.25" x14ac:dyDescent="0.4">
      <c r="A2141" s="6">
        <v>3</v>
      </c>
      <c r="B2141" s="15" t="s">
        <v>14</v>
      </c>
      <c r="C2141" s="11"/>
      <c r="D2141" s="11"/>
      <c r="E2141" s="11"/>
      <c r="F2141" s="11"/>
      <c r="G2141" s="16">
        <f t="shared" si="141"/>
        <v>0</v>
      </c>
      <c r="H2141" s="11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ht="26.25" x14ac:dyDescent="0.4">
      <c r="A2142" s="29" t="s">
        <v>15</v>
      </c>
      <c r="B2142" s="26"/>
      <c r="C2142" s="26"/>
      <c r="D2142" s="26"/>
      <c r="E2142" s="26"/>
      <c r="F2142" s="26"/>
      <c r="G2142" s="27"/>
      <c r="H2142" s="17">
        <f>SUM(G2139:G2141)</f>
        <v>1177420</v>
      </c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ht="26.25" x14ac:dyDescent="0.4">
      <c r="A2143" s="29" t="s">
        <v>16</v>
      </c>
      <c r="B2143" s="26"/>
      <c r="C2143" s="26"/>
      <c r="D2143" s="26"/>
      <c r="E2143" s="26"/>
      <c r="F2143" s="26"/>
      <c r="G2143" s="27"/>
      <c r="H2143" s="17">
        <f>MAX(0,H2142-648000)</f>
        <v>529420</v>
      </c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ht="26.25" x14ac:dyDescent="0.4">
      <c r="A2144" s="25" t="s">
        <v>17</v>
      </c>
      <c r="B2144" s="26"/>
      <c r="C2144" s="26"/>
      <c r="D2144" s="26"/>
      <c r="E2144" s="26"/>
      <c r="F2144" s="26"/>
      <c r="G2144" s="27"/>
      <c r="H2144" s="18">
        <v>649000</v>
      </c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ht="26.25" x14ac:dyDescent="0.4">
      <c r="A2145" s="28" t="s">
        <v>18</v>
      </c>
      <c r="B2145" s="26"/>
      <c r="C2145" s="26"/>
      <c r="D2145" s="26"/>
      <c r="E2145" s="26"/>
      <c r="F2145" s="26"/>
      <c r="G2145" s="26"/>
      <c r="H2145" s="27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ht="12.75" x14ac:dyDescent="0.2"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ht="12.75" x14ac:dyDescent="0.2"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51" spans="1:26" ht="15.75" customHeight="1" x14ac:dyDescent="0.4">
      <c r="A2151" s="28" t="s">
        <v>0</v>
      </c>
      <c r="B2151" s="26"/>
      <c r="C2151" s="26"/>
      <c r="D2151" s="26"/>
      <c r="E2151" s="26"/>
      <c r="F2151" s="26"/>
      <c r="G2151" s="26"/>
      <c r="H2151" s="27"/>
    </row>
    <row r="2152" spans="1:26" ht="26.25" x14ac:dyDescent="0.4">
      <c r="A2152" s="28" t="s">
        <v>531</v>
      </c>
      <c r="B2152" s="26"/>
      <c r="C2152" s="26"/>
      <c r="D2152" s="26"/>
      <c r="E2152" s="26"/>
      <c r="F2152" s="26"/>
      <c r="G2152" s="26"/>
      <c r="H2152" s="27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ht="18.75" x14ac:dyDescent="0.3">
      <c r="A2153" s="3" t="s">
        <v>2</v>
      </c>
      <c r="B2153" s="3" t="s">
        <v>3</v>
      </c>
      <c r="C2153" s="3" t="s">
        <v>4</v>
      </c>
      <c r="D2153" s="3" t="s">
        <v>5</v>
      </c>
      <c r="E2153" s="3" t="s">
        <v>6</v>
      </c>
      <c r="F2153" s="4" t="s">
        <v>7</v>
      </c>
      <c r="G2153" s="3" t="s">
        <v>8</v>
      </c>
      <c r="H2153" s="5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ht="26.25" x14ac:dyDescent="0.4">
      <c r="A2154" s="6">
        <v>1</v>
      </c>
      <c r="B2154" s="20" t="s">
        <v>41</v>
      </c>
      <c r="C2154" s="21" t="s">
        <v>532</v>
      </c>
      <c r="D2154" s="8" t="s">
        <v>11</v>
      </c>
      <c r="E2154" s="20">
        <v>1.6</v>
      </c>
      <c r="F2154" s="9">
        <v>293000</v>
      </c>
      <c r="G2154" s="10">
        <f t="shared" ref="G2154:G2156" si="142">IFERROR(E2154*F2154,0)</f>
        <v>468800</v>
      </c>
      <c r="H2154" s="11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ht="26.25" x14ac:dyDescent="0.4">
      <c r="A2155" s="6">
        <v>2</v>
      </c>
      <c r="B2155" s="22" t="s">
        <v>533</v>
      </c>
      <c r="C2155" s="23" t="s">
        <v>534</v>
      </c>
      <c r="D2155" s="13" t="s">
        <v>13</v>
      </c>
      <c r="E2155" s="22">
        <v>1.95</v>
      </c>
      <c r="F2155" s="14">
        <v>435000</v>
      </c>
      <c r="G2155" s="10">
        <f t="shared" si="142"/>
        <v>848250</v>
      </c>
      <c r="H2155" s="11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ht="26.25" x14ac:dyDescent="0.4">
      <c r="A2156" s="6">
        <v>3</v>
      </c>
      <c r="B2156" s="15" t="s">
        <v>14</v>
      </c>
      <c r="C2156" s="11"/>
      <c r="D2156" s="11"/>
      <c r="E2156" s="11"/>
      <c r="F2156" s="11"/>
      <c r="G2156" s="16">
        <f t="shared" si="142"/>
        <v>0</v>
      </c>
      <c r="H2156" s="11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ht="26.25" x14ac:dyDescent="0.4">
      <c r="A2157" s="29" t="s">
        <v>15</v>
      </c>
      <c r="B2157" s="26"/>
      <c r="C2157" s="26"/>
      <c r="D2157" s="26"/>
      <c r="E2157" s="26"/>
      <c r="F2157" s="26"/>
      <c r="G2157" s="27"/>
      <c r="H2157" s="17">
        <f>SUM(G2154:G2156)</f>
        <v>1317050</v>
      </c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ht="26.25" x14ac:dyDescent="0.4">
      <c r="A2158" s="29" t="s">
        <v>16</v>
      </c>
      <c r="B2158" s="26"/>
      <c r="C2158" s="26"/>
      <c r="D2158" s="26"/>
      <c r="E2158" s="26"/>
      <c r="F2158" s="26"/>
      <c r="G2158" s="27"/>
      <c r="H2158" s="17">
        <f>MAX(0,H2157-648000)</f>
        <v>669050</v>
      </c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ht="26.25" x14ac:dyDescent="0.4">
      <c r="A2159" s="25" t="s">
        <v>17</v>
      </c>
      <c r="B2159" s="26"/>
      <c r="C2159" s="26"/>
      <c r="D2159" s="26"/>
      <c r="E2159" s="26"/>
      <c r="F2159" s="26"/>
      <c r="G2159" s="27"/>
      <c r="H2159" s="18">
        <v>649000</v>
      </c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ht="26.25" x14ac:dyDescent="0.4">
      <c r="A2160" s="28" t="s">
        <v>18</v>
      </c>
      <c r="B2160" s="26"/>
      <c r="C2160" s="26"/>
      <c r="D2160" s="26"/>
      <c r="E2160" s="26"/>
      <c r="F2160" s="26"/>
      <c r="G2160" s="26"/>
      <c r="H2160" s="27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ht="12.75" x14ac:dyDescent="0.2"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5" spans="1:26" ht="15.75" customHeight="1" x14ac:dyDescent="0.4">
      <c r="A2165" s="28" t="s">
        <v>0</v>
      </c>
      <c r="B2165" s="26"/>
      <c r="C2165" s="26"/>
      <c r="D2165" s="26"/>
      <c r="E2165" s="26"/>
      <c r="F2165" s="26"/>
      <c r="G2165" s="26"/>
      <c r="H2165" s="27"/>
    </row>
    <row r="2166" spans="1:26" ht="15.75" customHeight="1" x14ac:dyDescent="0.4">
      <c r="A2166" s="28" t="s">
        <v>535</v>
      </c>
      <c r="B2166" s="26"/>
      <c r="C2166" s="26"/>
      <c r="D2166" s="26"/>
      <c r="E2166" s="26"/>
      <c r="F2166" s="26"/>
      <c r="G2166" s="26"/>
      <c r="H2166" s="27"/>
    </row>
    <row r="2167" spans="1:26" ht="18.75" x14ac:dyDescent="0.3">
      <c r="A2167" s="3" t="s">
        <v>2</v>
      </c>
      <c r="B2167" s="3" t="s">
        <v>3</v>
      </c>
      <c r="C2167" s="3" t="s">
        <v>4</v>
      </c>
      <c r="D2167" s="3" t="s">
        <v>5</v>
      </c>
      <c r="E2167" s="3" t="s">
        <v>6</v>
      </c>
      <c r="F2167" s="4" t="s">
        <v>7</v>
      </c>
      <c r="G2167" s="3" t="s">
        <v>8</v>
      </c>
      <c r="H2167" s="5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ht="26.25" x14ac:dyDescent="0.4">
      <c r="A2168" s="6">
        <v>1</v>
      </c>
      <c r="B2168" s="20" t="s">
        <v>34</v>
      </c>
      <c r="C2168" s="21" t="s">
        <v>536</v>
      </c>
      <c r="D2168" s="8" t="s">
        <v>11</v>
      </c>
      <c r="E2168" s="20">
        <v>1.5</v>
      </c>
      <c r="F2168" s="9">
        <v>293000</v>
      </c>
      <c r="G2168" s="10">
        <f t="shared" ref="G2168:G2170" si="143">IFERROR(E2168*F2168,0)</f>
        <v>439500</v>
      </c>
      <c r="H2168" s="11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ht="26.25" x14ac:dyDescent="0.4">
      <c r="A2169" s="6">
        <v>2</v>
      </c>
      <c r="B2169" s="22" t="s">
        <v>12</v>
      </c>
      <c r="C2169" s="23" t="s">
        <v>537</v>
      </c>
      <c r="D2169" s="13" t="s">
        <v>13</v>
      </c>
      <c r="E2169" s="22">
        <v>1.93</v>
      </c>
      <c r="F2169" s="14">
        <v>435000</v>
      </c>
      <c r="G2169" s="10">
        <f t="shared" si="143"/>
        <v>839550</v>
      </c>
      <c r="H2169" s="11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ht="26.25" x14ac:dyDescent="0.4">
      <c r="A2170" s="6">
        <v>3</v>
      </c>
      <c r="B2170" s="15" t="s">
        <v>14</v>
      </c>
      <c r="C2170" s="11"/>
      <c r="D2170" s="11"/>
      <c r="E2170" s="11"/>
      <c r="F2170" s="11"/>
      <c r="G2170" s="16">
        <f t="shared" si="143"/>
        <v>0</v>
      </c>
      <c r="H2170" s="11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ht="26.25" x14ac:dyDescent="0.4">
      <c r="A2171" s="29" t="s">
        <v>15</v>
      </c>
      <c r="B2171" s="26"/>
      <c r="C2171" s="26"/>
      <c r="D2171" s="26"/>
      <c r="E2171" s="26"/>
      <c r="F2171" s="26"/>
      <c r="G2171" s="27"/>
      <c r="H2171" s="17">
        <f>SUM(G2168:G2170)</f>
        <v>1279050</v>
      </c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ht="26.25" x14ac:dyDescent="0.4">
      <c r="A2172" s="29" t="s">
        <v>16</v>
      </c>
      <c r="B2172" s="26"/>
      <c r="C2172" s="26"/>
      <c r="D2172" s="26"/>
      <c r="E2172" s="26"/>
      <c r="F2172" s="26"/>
      <c r="G2172" s="27"/>
      <c r="H2172" s="17">
        <f>MAX(0,H2171-648000)</f>
        <v>631050</v>
      </c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ht="26.25" x14ac:dyDescent="0.4">
      <c r="A2173" s="25" t="s">
        <v>17</v>
      </c>
      <c r="B2173" s="26"/>
      <c r="C2173" s="26"/>
      <c r="D2173" s="26"/>
      <c r="E2173" s="26"/>
      <c r="F2173" s="26"/>
      <c r="G2173" s="27"/>
      <c r="H2173" s="18">
        <v>649000</v>
      </c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ht="26.25" x14ac:dyDescent="0.4">
      <c r="A2174" s="28" t="s">
        <v>18</v>
      </c>
      <c r="B2174" s="26"/>
      <c r="C2174" s="26"/>
      <c r="D2174" s="26"/>
      <c r="E2174" s="26"/>
      <c r="F2174" s="26"/>
      <c r="G2174" s="26"/>
      <c r="H2174" s="27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ht="12.75" x14ac:dyDescent="0.2"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ht="12.75" x14ac:dyDescent="0.2"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80" spans="1:26" ht="15.75" customHeight="1" x14ac:dyDescent="0.4">
      <c r="A2180" s="28" t="s">
        <v>0</v>
      </c>
      <c r="B2180" s="26"/>
      <c r="C2180" s="26"/>
      <c r="D2180" s="26"/>
      <c r="E2180" s="26"/>
      <c r="F2180" s="26"/>
      <c r="G2180" s="26"/>
      <c r="H2180" s="27"/>
    </row>
    <row r="2181" spans="1:26" ht="26.25" x14ac:dyDescent="0.4">
      <c r="A2181" s="28" t="s">
        <v>538</v>
      </c>
      <c r="B2181" s="26"/>
      <c r="C2181" s="26"/>
      <c r="D2181" s="26"/>
      <c r="E2181" s="26"/>
      <c r="F2181" s="26"/>
      <c r="G2181" s="26"/>
      <c r="H2181" s="27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ht="18.75" x14ac:dyDescent="0.3">
      <c r="A2182" s="3" t="s">
        <v>2</v>
      </c>
      <c r="B2182" s="3" t="s">
        <v>3</v>
      </c>
      <c r="C2182" s="3" t="s">
        <v>4</v>
      </c>
      <c r="D2182" s="3" t="s">
        <v>5</v>
      </c>
      <c r="E2182" s="3" t="s">
        <v>6</v>
      </c>
      <c r="F2182" s="4" t="s">
        <v>7</v>
      </c>
      <c r="G2182" s="3" t="s">
        <v>8</v>
      </c>
      <c r="H2182" s="5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ht="26.25" x14ac:dyDescent="0.4">
      <c r="A2183" s="6">
        <v>1</v>
      </c>
      <c r="B2183" s="20" t="s">
        <v>539</v>
      </c>
      <c r="C2183" s="21" t="s">
        <v>540</v>
      </c>
      <c r="D2183" s="8" t="s">
        <v>11</v>
      </c>
      <c r="E2183" s="20">
        <v>2</v>
      </c>
      <c r="F2183" s="9">
        <v>293000</v>
      </c>
      <c r="G2183" s="10">
        <f t="shared" ref="G2183:G2185" si="144">IFERROR(E2183*F2183,0)</f>
        <v>586000</v>
      </c>
      <c r="H2183" s="11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ht="26.25" x14ac:dyDescent="0.4">
      <c r="A2184" s="6">
        <v>2</v>
      </c>
      <c r="B2184" s="22" t="s">
        <v>541</v>
      </c>
      <c r="C2184" s="23" t="s">
        <v>542</v>
      </c>
      <c r="D2184" s="13" t="s">
        <v>13</v>
      </c>
      <c r="E2184" s="22">
        <v>1.5</v>
      </c>
      <c r="F2184" s="14">
        <v>435000</v>
      </c>
      <c r="G2184" s="10">
        <f t="shared" si="144"/>
        <v>652500</v>
      </c>
      <c r="H2184" s="11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ht="26.25" x14ac:dyDescent="0.4">
      <c r="A2185" s="6">
        <v>3</v>
      </c>
      <c r="B2185" s="15" t="s">
        <v>14</v>
      </c>
      <c r="C2185" s="11"/>
      <c r="D2185" s="11"/>
      <c r="E2185" s="11"/>
      <c r="F2185" s="11"/>
      <c r="G2185" s="16">
        <f t="shared" si="144"/>
        <v>0</v>
      </c>
      <c r="H2185" s="11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ht="26.25" x14ac:dyDescent="0.4">
      <c r="A2186" s="29" t="s">
        <v>15</v>
      </c>
      <c r="B2186" s="26"/>
      <c r="C2186" s="26"/>
      <c r="D2186" s="26"/>
      <c r="E2186" s="26"/>
      <c r="F2186" s="26"/>
      <c r="G2186" s="27"/>
      <c r="H2186" s="17">
        <f>SUM(G2183:G2185)</f>
        <v>1238500</v>
      </c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ht="26.25" x14ac:dyDescent="0.4">
      <c r="A2187" s="29" t="s">
        <v>16</v>
      </c>
      <c r="B2187" s="26"/>
      <c r="C2187" s="26"/>
      <c r="D2187" s="26"/>
      <c r="E2187" s="26"/>
      <c r="F2187" s="26"/>
      <c r="G2187" s="27"/>
      <c r="H2187" s="17">
        <f>MAX(0,H2186-648000)</f>
        <v>590500</v>
      </c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ht="26.25" x14ac:dyDescent="0.4">
      <c r="A2188" s="25" t="s">
        <v>17</v>
      </c>
      <c r="B2188" s="26"/>
      <c r="C2188" s="26"/>
      <c r="D2188" s="26"/>
      <c r="E2188" s="26"/>
      <c r="F2188" s="26"/>
      <c r="G2188" s="27"/>
      <c r="H2188" s="18">
        <v>649000</v>
      </c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ht="26.25" x14ac:dyDescent="0.4">
      <c r="A2189" s="28" t="s">
        <v>18</v>
      </c>
      <c r="B2189" s="26"/>
      <c r="C2189" s="26"/>
      <c r="D2189" s="26"/>
      <c r="E2189" s="26"/>
      <c r="F2189" s="26"/>
      <c r="G2189" s="26"/>
      <c r="H2189" s="27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ht="12.75" x14ac:dyDescent="0.2"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4" spans="1:26" ht="15.75" customHeight="1" x14ac:dyDescent="0.4">
      <c r="A2194" s="28" t="s">
        <v>0</v>
      </c>
      <c r="B2194" s="26"/>
      <c r="C2194" s="26"/>
      <c r="D2194" s="26"/>
      <c r="E2194" s="26"/>
      <c r="F2194" s="26"/>
      <c r="G2194" s="26"/>
      <c r="H2194" s="27"/>
    </row>
    <row r="2195" spans="1:26" ht="15.75" customHeight="1" x14ac:dyDescent="0.4">
      <c r="A2195" s="28" t="s">
        <v>543</v>
      </c>
      <c r="B2195" s="26"/>
      <c r="C2195" s="26"/>
      <c r="D2195" s="26"/>
      <c r="E2195" s="26"/>
      <c r="F2195" s="26"/>
      <c r="G2195" s="26"/>
      <c r="H2195" s="27"/>
    </row>
    <row r="2196" spans="1:26" ht="15.75" customHeight="1" x14ac:dyDescent="0.3">
      <c r="A2196" s="3" t="s">
        <v>2</v>
      </c>
      <c r="B2196" s="3" t="s">
        <v>3</v>
      </c>
      <c r="C2196" s="3" t="s">
        <v>4</v>
      </c>
      <c r="D2196" s="3" t="s">
        <v>5</v>
      </c>
      <c r="E2196" s="3" t="s">
        <v>6</v>
      </c>
      <c r="F2196" s="4" t="s">
        <v>7</v>
      </c>
      <c r="G2196" s="3" t="s">
        <v>8</v>
      </c>
      <c r="H2196" s="5"/>
    </row>
    <row r="2197" spans="1:26" ht="15.75" customHeight="1" x14ac:dyDescent="0.4">
      <c r="A2197" s="6">
        <v>1</v>
      </c>
      <c r="B2197" s="20" t="s">
        <v>544</v>
      </c>
      <c r="C2197" s="21" t="s">
        <v>545</v>
      </c>
      <c r="D2197" s="8" t="s">
        <v>11</v>
      </c>
      <c r="E2197" s="20">
        <v>2.5</v>
      </c>
      <c r="F2197" s="9">
        <v>293000</v>
      </c>
      <c r="G2197" s="10">
        <f t="shared" ref="G2197:G2199" si="145">IFERROR(E2197*F2197,0)</f>
        <v>732500</v>
      </c>
      <c r="H2197" s="11"/>
    </row>
    <row r="2198" spans="1:26" ht="15.75" customHeight="1" x14ac:dyDescent="0.4">
      <c r="A2198" s="6">
        <v>2</v>
      </c>
      <c r="B2198" s="22" t="s">
        <v>22</v>
      </c>
      <c r="C2198" s="23" t="s">
        <v>546</v>
      </c>
      <c r="D2198" s="13" t="s">
        <v>13</v>
      </c>
      <c r="E2198" s="22">
        <v>1.1000000000000001</v>
      </c>
      <c r="F2198" s="14">
        <v>435000</v>
      </c>
      <c r="G2198" s="10">
        <f t="shared" si="145"/>
        <v>478500.00000000006</v>
      </c>
      <c r="H2198" s="11"/>
    </row>
    <row r="2199" spans="1:26" ht="15.75" customHeight="1" x14ac:dyDescent="0.4">
      <c r="A2199" s="6">
        <v>3</v>
      </c>
      <c r="B2199" s="15" t="s">
        <v>14</v>
      </c>
      <c r="C2199" s="11"/>
      <c r="D2199" s="11"/>
      <c r="E2199" s="11"/>
      <c r="F2199" s="11"/>
      <c r="G2199" s="16">
        <f t="shared" si="145"/>
        <v>0</v>
      </c>
      <c r="H2199" s="11"/>
    </row>
    <row r="2200" spans="1:26" ht="26.25" x14ac:dyDescent="0.4">
      <c r="A2200" s="29" t="s">
        <v>15</v>
      </c>
      <c r="B2200" s="26"/>
      <c r="C2200" s="26"/>
      <c r="D2200" s="26"/>
      <c r="E2200" s="26"/>
      <c r="F2200" s="26"/>
      <c r="G2200" s="27"/>
      <c r="H2200" s="17">
        <f>SUM(G2197:G2199)</f>
        <v>1211000</v>
      </c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ht="26.25" x14ac:dyDescent="0.4">
      <c r="A2201" s="29" t="s">
        <v>16</v>
      </c>
      <c r="B2201" s="26"/>
      <c r="C2201" s="26"/>
      <c r="D2201" s="26"/>
      <c r="E2201" s="26"/>
      <c r="F2201" s="26"/>
      <c r="G2201" s="27"/>
      <c r="H2201" s="17">
        <f>MAX(0,H2200-648000)</f>
        <v>563000</v>
      </c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ht="26.25" x14ac:dyDescent="0.4">
      <c r="A2202" s="25" t="s">
        <v>17</v>
      </c>
      <c r="B2202" s="26"/>
      <c r="C2202" s="26"/>
      <c r="D2202" s="26"/>
      <c r="E2202" s="26"/>
      <c r="F2202" s="26"/>
      <c r="G2202" s="27"/>
      <c r="H2202" s="18">
        <v>649000</v>
      </c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ht="26.25" x14ac:dyDescent="0.4">
      <c r="A2203" s="28" t="s">
        <v>18</v>
      </c>
      <c r="B2203" s="26"/>
      <c r="C2203" s="26"/>
      <c r="D2203" s="26"/>
      <c r="E2203" s="26"/>
      <c r="F2203" s="26"/>
      <c r="G2203" s="26"/>
      <c r="H2203" s="27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ht="12.75" x14ac:dyDescent="0.2"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ht="12.75" x14ac:dyDescent="0.2"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ht="12.75" x14ac:dyDescent="0.2"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ht="12.75" x14ac:dyDescent="0.2"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ht="12.75" x14ac:dyDescent="0.2"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ht="12.75" x14ac:dyDescent="0.2"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3" spans="1:26" ht="15.75" customHeight="1" x14ac:dyDescent="0.4">
      <c r="A2213" s="28" t="s">
        <v>0</v>
      </c>
      <c r="B2213" s="26"/>
      <c r="C2213" s="26"/>
      <c r="D2213" s="26"/>
      <c r="E2213" s="26"/>
      <c r="F2213" s="26"/>
      <c r="G2213" s="26"/>
      <c r="H2213" s="27"/>
    </row>
    <row r="2214" spans="1:26" ht="15.75" customHeight="1" x14ac:dyDescent="0.4">
      <c r="A2214" s="28" t="s">
        <v>547</v>
      </c>
      <c r="B2214" s="26"/>
      <c r="C2214" s="26"/>
      <c r="D2214" s="26"/>
      <c r="E2214" s="26"/>
      <c r="F2214" s="26"/>
      <c r="G2214" s="26"/>
      <c r="H2214" s="27"/>
    </row>
    <row r="2215" spans="1:26" ht="18.75" x14ac:dyDescent="0.3">
      <c r="A2215" s="3" t="s">
        <v>2</v>
      </c>
      <c r="B2215" s="3" t="s">
        <v>3</v>
      </c>
      <c r="C2215" s="3" t="s">
        <v>4</v>
      </c>
      <c r="D2215" s="3" t="s">
        <v>5</v>
      </c>
      <c r="E2215" s="3" t="s">
        <v>6</v>
      </c>
      <c r="F2215" s="4" t="s">
        <v>7</v>
      </c>
      <c r="G2215" s="3" t="s">
        <v>8</v>
      </c>
      <c r="H2215" s="5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ht="26.25" x14ac:dyDescent="0.4">
      <c r="A2216" s="6">
        <v>1</v>
      </c>
      <c r="B2216" s="20" t="s">
        <v>175</v>
      </c>
      <c r="C2216" s="21" t="s">
        <v>548</v>
      </c>
      <c r="D2216" s="8" t="s">
        <v>11</v>
      </c>
      <c r="E2216" s="20">
        <v>2.7</v>
      </c>
      <c r="F2216" s="9">
        <v>293000</v>
      </c>
      <c r="G2216" s="10">
        <f t="shared" ref="G2216:G2218" si="146">IFERROR(E2216*F2216,0)</f>
        <v>791100</v>
      </c>
      <c r="H2216" s="11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ht="26.25" x14ac:dyDescent="0.4">
      <c r="A2217" s="6">
        <v>2</v>
      </c>
      <c r="B2217" s="22" t="s">
        <v>122</v>
      </c>
      <c r="C2217" s="23" t="s">
        <v>549</v>
      </c>
      <c r="D2217" s="13" t="s">
        <v>13</v>
      </c>
      <c r="E2217" s="22">
        <v>1</v>
      </c>
      <c r="F2217" s="14">
        <v>435000</v>
      </c>
      <c r="G2217" s="10">
        <f t="shared" si="146"/>
        <v>435000</v>
      </c>
      <c r="H2217" s="11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ht="26.25" x14ac:dyDescent="0.4">
      <c r="A2218" s="6">
        <v>3</v>
      </c>
      <c r="B2218" s="15" t="s">
        <v>14</v>
      </c>
      <c r="C2218" s="11"/>
      <c r="D2218" s="11"/>
      <c r="E2218" s="11"/>
      <c r="F2218" s="11"/>
      <c r="G2218" s="16">
        <f t="shared" si="146"/>
        <v>0</v>
      </c>
      <c r="H2218" s="11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ht="26.25" x14ac:dyDescent="0.4">
      <c r="A2219" s="29" t="s">
        <v>15</v>
      </c>
      <c r="B2219" s="26"/>
      <c r="C2219" s="26"/>
      <c r="D2219" s="26"/>
      <c r="E2219" s="26"/>
      <c r="F2219" s="26"/>
      <c r="G2219" s="27"/>
      <c r="H2219" s="17">
        <f>SUM(G2216:G2218)</f>
        <v>1226100</v>
      </c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ht="26.25" x14ac:dyDescent="0.4">
      <c r="A2220" s="29" t="s">
        <v>16</v>
      </c>
      <c r="B2220" s="26"/>
      <c r="C2220" s="26"/>
      <c r="D2220" s="26"/>
      <c r="E2220" s="26"/>
      <c r="F2220" s="26"/>
      <c r="G2220" s="27"/>
      <c r="H2220" s="17">
        <f>MAX(0,H2219-648000)</f>
        <v>578100</v>
      </c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ht="26.25" x14ac:dyDescent="0.4">
      <c r="A2221" s="25" t="s">
        <v>17</v>
      </c>
      <c r="B2221" s="26"/>
      <c r="C2221" s="26"/>
      <c r="D2221" s="26"/>
      <c r="E2221" s="26"/>
      <c r="F2221" s="26"/>
      <c r="G2221" s="27"/>
      <c r="H2221" s="18">
        <v>649000</v>
      </c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ht="26.25" x14ac:dyDescent="0.4">
      <c r="A2222" s="28" t="s">
        <v>18</v>
      </c>
      <c r="B2222" s="26"/>
      <c r="C2222" s="26"/>
      <c r="D2222" s="26"/>
      <c r="E2222" s="26"/>
      <c r="F2222" s="26"/>
      <c r="G2222" s="26"/>
      <c r="H2222" s="27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ht="12.75" x14ac:dyDescent="0.2"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ht="12.75" x14ac:dyDescent="0.2"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8" spans="1:26" ht="15.75" customHeight="1" x14ac:dyDescent="0.4">
      <c r="A2228" s="28" t="s">
        <v>0</v>
      </c>
      <c r="B2228" s="26"/>
      <c r="C2228" s="26"/>
      <c r="D2228" s="26"/>
      <c r="E2228" s="26"/>
      <c r="F2228" s="26"/>
      <c r="G2228" s="26"/>
      <c r="H2228" s="27"/>
    </row>
    <row r="2229" spans="1:26" ht="15.75" customHeight="1" x14ac:dyDescent="0.4">
      <c r="A2229" s="28" t="s">
        <v>550</v>
      </c>
      <c r="B2229" s="26"/>
      <c r="C2229" s="26"/>
      <c r="D2229" s="26"/>
      <c r="E2229" s="26"/>
      <c r="F2229" s="26"/>
      <c r="G2229" s="26"/>
      <c r="H2229" s="27"/>
    </row>
    <row r="2230" spans="1:26" ht="15.75" customHeight="1" x14ac:dyDescent="0.3">
      <c r="A2230" s="3" t="s">
        <v>2</v>
      </c>
      <c r="B2230" s="3" t="s">
        <v>3</v>
      </c>
      <c r="C2230" s="3" t="s">
        <v>4</v>
      </c>
      <c r="D2230" s="3" t="s">
        <v>5</v>
      </c>
      <c r="E2230" s="3" t="s">
        <v>6</v>
      </c>
      <c r="F2230" s="4" t="s">
        <v>7</v>
      </c>
      <c r="G2230" s="3" t="s">
        <v>8</v>
      </c>
      <c r="H2230" s="5"/>
    </row>
    <row r="2231" spans="1:26" ht="15.75" customHeight="1" x14ac:dyDescent="0.4">
      <c r="A2231" s="6">
        <v>1</v>
      </c>
      <c r="B2231" s="20" t="s">
        <v>279</v>
      </c>
      <c r="C2231" s="21" t="s">
        <v>551</v>
      </c>
      <c r="D2231" s="8" t="s">
        <v>11</v>
      </c>
      <c r="E2231" s="20">
        <v>2.5</v>
      </c>
      <c r="F2231" s="9">
        <v>293000</v>
      </c>
      <c r="G2231" s="10">
        <f t="shared" ref="G2231:G2233" si="147">IFERROR(E2231*F2231,0)</f>
        <v>732500</v>
      </c>
      <c r="H2231" s="11"/>
    </row>
    <row r="2232" spans="1:26" ht="26.25" x14ac:dyDescent="0.4">
      <c r="A2232" s="6">
        <v>2</v>
      </c>
      <c r="B2232" s="22" t="s">
        <v>552</v>
      </c>
      <c r="C2232" s="23" t="s">
        <v>553</v>
      </c>
      <c r="D2232" s="13" t="s">
        <v>13</v>
      </c>
      <c r="E2232" s="22">
        <v>1.1000000000000001</v>
      </c>
      <c r="F2232" s="14">
        <v>435000</v>
      </c>
      <c r="G2232" s="10">
        <f t="shared" si="147"/>
        <v>478500.00000000006</v>
      </c>
      <c r="H2232" s="11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ht="26.25" x14ac:dyDescent="0.4">
      <c r="A2233" s="6">
        <v>3</v>
      </c>
      <c r="B2233" s="15" t="s">
        <v>14</v>
      </c>
      <c r="C2233" s="11"/>
      <c r="D2233" s="11"/>
      <c r="E2233" s="11"/>
      <c r="F2233" s="11"/>
      <c r="G2233" s="16">
        <f t="shared" si="147"/>
        <v>0</v>
      </c>
      <c r="H2233" s="11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ht="26.25" x14ac:dyDescent="0.4">
      <c r="A2234" s="29" t="s">
        <v>15</v>
      </c>
      <c r="B2234" s="26"/>
      <c r="C2234" s="26"/>
      <c r="D2234" s="26"/>
      <c r="E2234" s="26"/>
      <c r="F2234" s="26"/>
      <c r="G2234" s="27"/>
      <c r="H2234" s="17">
        <f>SUM(G2231:G2233)</f>
        <v>1211000</v>
      </c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ht="26.25" x14ac:dyDescent="0.4">
      <c r="A2235" s="29" t="s">
        <v>16</v>
      </c>
      <c r="B2235" s="26"/>
      <c r="C2235" s="26"/>
      <c r="D2235" s="26"/>
      <c r="E2235" s="26"/>
      <c r="F2235" s="26"/>
      <c r="G2235" s="27"/>
      <c r="H2235" s="17">
        <f>MAX(0,H2234-648000)</f>
        <v>563000</v>
      </c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ht="26.25" x14ac:dyDescent="0.4">
      <c r="A2236" s="25" t="s">
        <v>17</v>
      </c>
      <c r="B2236" s="26"/>
      <c r="C2236" s="26"/>
      <c r="D2236" s="26"/>
      <c r="E2236" s="26"/>
      <c r="F2236" s="26"/>
      <c r="G2236" s="27"/>
      <c r="H2236" s="18">
        <v>649000</v>
      </c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ht="26.25" x14ac:dyDescent="0.4">
      <c r="A2237" s="28" t="s">
        <v>18</v>
      </c>
      <c r="B2237" s="26"/>
      <c r="C2237" s="26"/>
      <c r="D2237" s="26"/>
      <c r="E2237" s="26"/>
      <c r="F2237" s="26"/>
      <c r="G2237" s="26"/>
      <c r="H2237" s="27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ht="12.75" x14ac:dyDescent="0.2"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ht="12.75" x14ac:dyDescent="0.2"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ht="12.75" x14ac:dyDescent="0.2"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ht="12.75" x14ac:dyDescent="0.2"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5" spans="1:26" ht="15.75" customHeight="1" x14ac:dyDescent="0.4">
      <c r="A2245" s="28" t="s">
        <v>0</v>
      </c>
      <c r="B2245" s="26"/>
      <c r="C2245" s="26"/>
      <c r="D2245" s="26"/>
      <c r="E2245" s="26"/>
      <c r="F2245" s="26"/>
      <c r="G2245" s="26"/>
      <c r="H2245" s="27"/>
    </row>
    <row r="2246" spans="1:26" ht="15.75" customHeight="1" x14ac:dyDescent="0.4">
      <c r="A2246" s="28" t="s">
        <v>554</v>
      </c>
      <c r="B2246" s="26"/>
      <c r="C2246" s="26"/>
      <c r="D2246" s="26"/>
      <c r="E2246" s="26"/>
      <c r="F2246" s="26"/>
      <c r="G2246" s="26"/>
      <c r="H2246" s="27"/>
    </row>
    <row r="2247" spans="1:26" ht="15.75" customHeight="1" x14ac:dyDescent="0.3">
      <c r="A2247" s="3" t="s">
        <v>2</v>
      </c>
      <c r="B2247" s="3" t="s">
        <v>3</v>
      </c>
      <c r="C2247" s="3" t="s">
        <v>4</v>
      </c>
      <c r="D2247" s="3" t="s">
        <v>5</v>
      </c>
      <c r="E2247" s="3" t="s">
        <v>6</v>
      </c>
      <c r="F2247" s="4" t="s">
        <v>7</v>
      </c>
      <c r="G2247" s="3" t="s">
        <v>8</v>
      </c>
      <c r="H2247" s="5"/>
    </row>
    <row r="2248" spans="1:26" ht="15.75" customHeight="1" x14ac:dyDescent="0.4">
      <c r="A2248" s="6">
        <v>1</v>
      </c>
      <c r="B2248" s="20" t="s">
        <v>555</v>
      </c>
      <c r="C2248" s="21" t="s">
        <v>556</v>
      </c>
      <c r="D2248" s="8" t="s">
        <v>11</v>
      </c>
      <c r="E2248" s="20">
        <v>1.94</v>
      </c>
      <c r="F2248" s="9">
        <v>293000</v>
      </c>
      <c r="G2248" s="10">
        <f t="shared" ref="G2248:G2250" si="148">IFERROR(E2248*F2248,0)</f>
        <v>568420</v>
      </c>
      <c r="H2248" s="11"/>
    </row>
    <row r="2249" spans="1:26" ht="26.25" x14ac:dyDescent="0.4">
      <c r="A2249" s="6">
        <v>2</v>
      </c>
      <c r="B2249" s="22" t="s">
        <v>148</v>
      </c>
      <c r="C2249" s="23" t="s">
        <v>557</v>
      </c>
      <c r="D2249" s="13" t="s">
        <v>13</v>
      </c>
      <c r="E2249" s="22">
        <v>1.5</v>
      </c>
      <c r="F2249" s="14">
        <v>435000</v>
      </c>
      <c r="G2249" s="10">
        <f t="shared" si="148"/>
        <v>652500</v>
      </c>
      <c r="H2249" s="11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ht="26.25" x14ac:dyDescent="0.4">
      <c r="A2250" s="6">
        <v>3</v>
      </c>
      <c r="B2250" s="15" t="s">
        <v>14</v>
      </c>
      <c r="C2250" s="11"/>
      <c r="D2250" s="11"/>
      <c r="E2250" s="11"/>
      <c r="F2250" s="11"/>
      <c r="G2250" s="16">
        <f t="shared" si="148"/>
        <v>0</v>
      </c>
      <c r="H2250" s="11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ht="26.25" x14ac:dyDescent="0.4">
      <c r="A2251" s="29" t="s">
        <v>15</v>
      </c>
      <c r="B2251" s="26"/>
      <c r="C2251" s="26"/>
      <c r="D2251" s="26"/>
      <c r="E2251" s="26"/>
      <c r="F2251" s="26"/>
      <c r="G2251" s="27"/>
      <c r="H2251" s="17">
        <f>SUM(G2248:G2250)</f>
        <v>1220920</v>
      </c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ht="26.25" x14ac:dyDescent="0.4">
      <c r="A2252" s="29" t="s">
        <v>16</v>
      </c>
      <c r="B2252" s="26"/>
      <c r="C2252" s="26"/>
      <c r="D2252" s="26"/>
      <c r="E2252" s="26"/>
      <c r="F2252" s="26"/>
      <c r="G2252" s="27"/>
      <c r="H2252" s="17">
        <f>MAX(0,H2251-648000)</f>
        <v>572920</v>
      </c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ht="26.25" x14ac:dyDescent="0.4">
      <c r="A2253" s="25" t="s">
        <v>17</v>
      </c>
      <c r="B2253" s="26"/>
      <c r="C2253" s="26"/>
      <c r="D2253" s="26"/>
      <c r="E2253" s="26"/>
      <c r="F2253" s="26"/>
      <c r="G2253" s="27"/>
      <c r="H2253" s="18">
        <v>649000</v>
      </c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ht="26.25" x14ac:dyDescent="0.4">
      <c r="A2254" s="28" t="s">
        <v>18</v>
      </c>
      <c r="B2254" s="26"/>
      <c r="C2254" s="26"/>
      <c r="D2254" s="26"/>
      <c r="E2254" s="26"/>
      <c r="F2254" s="26"/>
      <c r="G2254" s="26"/>
      <c r="H2254" s="27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ht="12.75" x14ac:dyDescent="0.2"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ht="12.75" x14ac:dyDescent="0.2"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ht="12.75" x14ac:dyDescent="0.2"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ht="12.75" x14ac:dyDescent="0.2"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62" spans="1:26" ht="15.75" customHeight="1" x14ac:dyDescent="0.4">
      <c r="A2262" s="28" t="s">
        <v>0</v>
      </c>
      <c r="B2262" s="26"/>
      <c r="C2262" s="26"/>
      <c r="D2262" s="26"/>
      <c r="E2262" s="26"/>
      <c r="F2262" s="26"/>
      <c r="G2262" s="26"/>
      <c r="H2262" s="27"/>
    </row>
    <row r="2263" spans="1:26" ht="15.75" customHeight="1" x14ac:dyDescent="0.4">
      <c r="A2263" s="28" t="s">
        <v>558</v>
      </c>
      <c r="B2263" s="26"/>
      <c r="C2263" s="26"/>
      <c r="D2263" s="26"/>
      <c r="E2263" s="26"/>
      <c r="F2263" s="26"/>
      <c r="G2263" s="26"/>
      <c r="H2263" s="27"/>
    </row>
    <row r="2264" spans="1:26" ht="15.75" customHeight="1" x14ac:dyDescent="0.3">
      <c r="A2264" s="3" t="s">
        <v>2</v>
      </c>
      <c r="B2264" s="3" t="s">
        <v>3</v>
      </c>
      <c r="C2264" s="3" t="s">
        <v>4</v>
      </c>
      <c r="D2264" s="3" t="s">
        <v>5</v>
      </c>
      <c r="E2264" s="3" t="s">
        <v>6</v>
      </c>
      <c r="F2264" s="4" t="s">
        <v>7</v>
      </c>
      <c r="G2264" s="3" t="s">
        <v>8</v>
      </c>
      <c r="H2264" s="5"/>
    </row>
    <row r="2265" spans="1:26" ht="26.25" x14ac:dyDescent="0.4">
      <c r="A2265" s="6">
        <v>1</v>
      </c>
      <c r="B2265" s="20" t="s">
        <v>301</v>
      </c>
      <c r="C2265" s="21" t="s">
        <v>559</v>
      </c>
      <c r="D2265" s="8" t="s">
        <v>11</v>
      </c>
      <c r="E2265" s="20">
        <v>2</v>
      </c>
      <c r="F2265" s="9">
        <v>293000</v>
      </c>
      <c r="G2265" s="10">
        <f t="shared" ref="G2265:G2267" si="149">IFERROR(E2265*F2265,0)</f>
        <v>586000</v>
      </c>
      <c r="H2265" s="11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ht="26.25" x14ac:dyDescent="0.4">
      <c r="A2266" s="6">
        <v>2</v>
      </c>
      <c r="B2266" s="22" t="s">
        <v>122</v>
      </c>
      <c r="C2266" s="23" t="s">
        <v>560</v>
      </c>
      <c r="D2266" s="13" t="s">
        <v>13</v>
      </c>
      <c r="E2266" s="22">
        <v>1.55</v>
      </c>
      <c r="F2266" s="14">
        <v>435000</v>
      </c>
      <c r="G2266" s="10">
        <f t="shared" si="149"/>
        <v>674250</v>
      </c>
      <c r="H2266" s="11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ht="26.25" x14ac:dyDescent="0.4">
      <c r="A2267" s="6">
        <v>3</v>
      </c>
      <c r="B2267" s="15" t="s">
        <v>14</v>
      </c>
      <c r="C2267" s="11"/>
      <c r="D2267" s="11"/>
      <c r="E2267" s="11"/>
      <c r="F2267" s="11"/>
      <c r="G2267" s="16">
        <f t="shared" si="149"/>
        <v>0</v>
      </c>
      <c r="H2267" s="11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ht="26.25" x14ac:dyDescent="0.4">
      <c r="A2268" s="29" t="s">
        <v>15</v>
      </c>
      <c r="B2268" s="26"/>
      <c r="C2268" s="26"/>
      <c r="D2268" s="26"/>
      <c r="E2268" s="26"/>
      <c r="F2268" s="26"/>
      <c r="G2268" s="27"/>
      <c r="H2268" s="17">
        <f>SUM(G2265:G2267)</f>
        <v>1260250</v>
      </c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ht="26.25" x14ac:dyDescent="0.4">
      <c r="A2269" s="29" t="s">
        <v>16</v>
      </c>
      <c r="B2269" s="26"/>
      <c r="C2269" s="26"/>
      <c r="D2269" s="26"/>
      <c r="E2269" s="26"/>
      <c r="F2269" s="26"/>
      <c r="G2269" s="27"/>
      <c r="H2269" s="17">
        <f>MAX(0,H2268-648000)</f>
        <v>612250</v>
      </c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ht="26.25" x14ac:dyDescent="0.4">
      <c r="A2270" s="25" t="s">
        <v>17</v>
      </c>
      <c r="B2270" s="26"/>
      <c r="C2270" s="26"/>
      <c r="D2270" s="26"/>
      <c r="E2270" s="26"/>
      <c r="F2270" s="26"/>
      <c r="G2270" s="27"/>
      <c r="H2270" s="18">
        <v>649000</v>
      </c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ht="26.25" x14ac:dyDescent="0.4">
      <c r="A2271" s="28" t="s">
        <v>18</v>
      </c>
      <c r="B2271" s="26"/>
      <c r="C2271" s="26"/>
      <c r="D2271" s="26"/>
      <c r="E2271" s="26"/>
      <c r="F2271" s="26"/>
      <c r="G2271" s="26"/>
      <c r="H2271" s="27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ht="12.75" x14ac:dyDescent="0.2"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ht="12.75" x14ac:dyDescent="0.2"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ht="12.75" x14ac:dyDescent="0.2"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8" spans="1:26" ht="15.75" customHeight="1" x14ac:dyDescent="0.4">
      <c r="A2278" s="28" t="s">
        <v>0</v>
      </c>
      <c r="B2278" s="26"/>
      <c r="C2278" s="26"/>
      <c r="D2278" s="26"/>
      <c r="E2278" s="26"/>
      <c r="F2278" s="26"/>
      <c r="G2278" s="26"/>
      <c r="H2278" s="27"/>
    </row>
    <row r="2279" spans="1:26" ht="26.25" x14ac:dyDescent="0.4">
      <c r="A2279" s="28" t="s">
        <v>561</v>
      </c>
      <c r="B2279" s="26"/>
      <c r="C2279" s="26"/>
      <c r="D2279" s="26"/>
      <c r="E2279" s="26"/>
      <c r="F2279" s="26"/>
      <c r="G2279" s="26"/>
      <c r="H2279" s="27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ht="18.75" x14ac:dyDescent="0.3">
      <c r="A2280" s="3" t="s">
        <v>2</v>
      </c>
      <c r="B2280" s="3" t="s">
        <v>3</v>
      </c>
      <c r="C2280" s="3" t="s">
        <v>4</v>
      </c>
      <c r="D2280" s="3" t="s">
        <v>5</v>
      </c>
      <c r="E2280" s="3" t="s">
        <v>6</v>
      </c>
      <c r="F2280" s="4" t="s">
        <v>7</v>
      </c>
      <c r="G2280" s="3" t="s">
        <v>8</v>
      </c>
      <c r="H2280" s="5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ht="26.25" x14ac:dyDescent="0.4">
      <c r="A2281" s="6">
        <v>1</v>
      </c>
      <c r="B2281" s="20" t="s">
        <v>562</v>
      </c>
      <c r="C2281" s="21" t="s">
        <v>563</v>
      </c>
      <c r="D2281" s="8" t="s">
        <v>11</v>
      </c>
      <c r="E2281" s="20">
        <v>1.5</v>
      </c>
      <c r="F2281" s="9">
        <v>293000</v>
      </c>
      <c r="G2281" s="10">
        <f t="shared" ref="G2281:G2283" si="150">IFERROR(E2281*F2281,0)</f>
        <v>439500</v>
      </c>
      <c r="H2281" s="11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ht="26.25" x14ac:dyDescent="0.4">
      <c r="A2282" s="6">
        <v>2</v>
      </c>
      <c r="B2282" s="22" t="s">
        <v>564</v>
      </c>
      <c r="C2282" s="23" t="s">
        <v>565</v>
      </c>
      <c r="D2282" s="13" t="s">
        <v>13</v>
      </c>
      <c r="E2282" s="22">
        <v>2</v>
      </c>
      <c r="F2282" s="14">
        <v>435000</v>
      </c>
      <c r="G2282" s="10">
        <f t="shared" si="150"/>
        <v>870000</v>
      </c>
      <c r="H2282" s="11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ht="26.25" x14ac:dyDescent="0.4">
      <c r="A2283" s="6">
        <v>3</v>
      </c>
      <c r="B2283" s="15" t="s">
        <v>14</v>
      </c>
      <c r="C2283" s="11"/>
      <c r="D2283" s="11"/>
      <c r="E2283" s="11"/>
      <c r="F2283" s="11"/>
      <c r="G2283" s="16">
        <f t="shared" si="150"/>
        <v>0</v>
      </c>
      <c r="H2283" s="11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ht="26.25" x14ac:dyDescent="0.4">
      <c r="A2284" s="29" t="s">
        <v>15</v>
      </c>
      <c r="B2284" s="26"/>
      <c r="C2284" s="26"/>
      <c r="D2284" s="26"/>
      <c r="E2284" s="26"/>
      <c r="F2284" s="26"/>
      <c r="G2284" s="27"/>
      <c r="H2284" s="17">
        <f>SUM(G2281:G2283)</f>
        <v>1309500</v>
      </c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ht="26.25" x14ac:dyDescent="0.4">
      <c r="A2285" s="29" t="s">
        <v>16</v>
      </c>
      <c r="B2285" s="26"/>
      <c r="C2285" s="26"/>
      <c r="D2285" s="26"/>
      <c r="E2285" s="26"/>
      <c r="F2285" s="26"/>
      <c r="G2285" s="27"/>
      <c r="H2285" s="17">
        <f>MAX(0,H2284-648000)</f>
        <v>661500</v>
      </c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ht="26.25" x14ac:dyDescent="0.4">
      <c r="A2286" s="25" t="s">
        <v>17</v>
      </c>
      <c r="B2286" s="26"/>
      <c r="C2286" s="26"/>
      <c r="D2286" s="26"/>
      <c r="E2286" s="26"/>
      <c r="F2286" s="26"/>
      <c r="G2286" s="27"/>
      <c r="H2286" s="18">
        <v>649000</v>
      </c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ht="26.25" x14ac:dyDescent="0.4">
      <c r="A2287" s="28" t="s">
        <v>18</v>
      </c>
      <c r="B2287" s="26"/>
      <c r="C2287" s="26"/>
      <c r="D2287" s="26"/>
      <c r="E2287" s="26"/>
      <c r="F2287" s="26"/>
      <c r="G2287" s="26"/>
      <c r="H2287" s="27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ht="12.75" x14ac:dyDescent="0.2"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92" spans="1:26" ht="26.25" x14ac:dyDescent="0.4">
      <c r="A2292" s="28" t="s">
        <v>0</v>
      </c>
      <c r="B2292" s="26"/>
      <c r="C2292" s="26"/>
      <c r="D2292" s="26"/>
      <c r="E2292" s="26"/>
      <c r="F2292" s="26"/>
      <c r="G2292" s="26"/>
      <c r="H2292" s="27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ht="26.25" x14ac:dyDescent="0.4">
      <c r="A2293" s="28" t="s">
        <v>566</v>
      </c>
      <c r="B2293" s="26"/>
      <c r="C2293" s="26"/>
      <c r="D2293" s="26"/>
      <c r="E2293" s="26"/>
      <c r="F2293" s="26"/>
      <c r="G2293" s="26"/>
      <c r="H2293" s="27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ht="18.75" x14ac:dyDescent="0.3">
      <c r="A2294" s="3" t="s">
        <v>2</v>
      </c>
      <c r="B2294" s="3" t="s">
        <v>3</v>
      </c>
      <c r="C2294" s="3" t="s">
        <v>4</v>
      </c>
      <c r="D2294" s="3" t="s">
        <v>5</v>
      </c>
      <c r="E2294" s="3" t="s">
        <v>6</v>
      </c>
      <c r="F2294" s="4" t="s">
        <v>7</v>
      </c>
      <c r="G2294" s="3" t="s">
        <v>8</v>
      </c>
      <c r="H2294" s="5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ht="26.25" x14ac:dyDescent="0.4">
      <c r="A2295" s="6">
        <v>1</v>
      </c>
      <c r="B2295" s="20" t="s">
        <v>118</v>
      </c>
      <c r="C2295" s="21" t="s">
        <v>567</v>
      </c>
      <c r="D2295" s="8" t="s">
        <v>11</v>
      </c>
      <c r="E2295" s="20">
        <v>1.4</v>
      </c>
      <c r="F2295" s="9">
        <v>293000</v>
      </c>
      <c r="G2295" s="10">
        <f t="shared" ref="G2295:G2297" si="151">IFERROR(E2295*F2295,0)</f>
        <v>410200</v>
      </c>
      <c r="H2295" s="11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ht="26.25" x14ac:dyDescent="0.4">
      <c r="A2296" s="6">
        <v>2</v>
      </c>
      <c r="B2296" s="22" t="s">
        <v>190</v>
      </c>
      <c r="C2296" s="23" t="s">
        <v>191</v>
      </c>
      <c r="D2296" s="13" t="s">
        <v>13</v>
      </c>
      <c r="E2296" s="22">
        <v>2</v>
      </c>
      <c r="F2296" s="14">
        <v>435000</v>
      </c>
      <c r="G2296" s="10">
        <f t="shared" si="151"/>
        <v>870000</v>
      </c>
      <c r="H2296" s="11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ht="26.25" x14ac:dyDescent="0.4">
      <c r="A2297" s="6">
        <v>3</v>
      </c>
      <c r="B2297" s="15" t="s">
        <v>14</v>
      </c>
      <c r="C2297" s="11"/>
      <c r="D2297" s="11"/>
      <c r="E2297" s="11"/>
      <c r="F2297" s="11"/>
      <c r="G2297" s="16">
        <f t="shared" si="151"/>
        <v>0</v>
      </c>
      <c r="H2297" s="11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ht="26.25" x14ac:dyDescent="0.4">
      <c r="A2298" s="29" t="s">
        <v>15</v>
      </c>
      <c r="B2298" s="26"/>
      <c r="C2298" s="26"/>
      <c r="D2298" s="26"/>
      <c r="E2298" s="26"/>
      <c r="F2298" s="26"/>
      <c r="G2298" s="27"/>
      <c r="H2298" s="17">
        <f>SUM(G2295:G2297)</f>
        <v>1280200</v>
      </c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ht="26.25" x14ac:dyDescent="0.4">
      <c r="A2299" s="29" t="s">
        <v>16</v>
      </c>
      <c r="B2299" s="26"/>
      <c r="C2299" s="26"/>
      <c r="D2299" s="26"/>
      <c r="E2299" s="26"/>
      <c r="F2299" s="26"/>
      <c r="G2299" s="27"/>
      <c r="H2299" s="17">
        <f>MAX(0,H2298-648000)</f>
        <v>632200</v>
      </c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ht="26.25" x14ac:dyDescent="0.4">
      <c r="A2300" s="25" t="s">
        <v>17</v>
      </c>
      <c r="B2300" s="26"/>
      <c r="C2300" s="26"/>
      <c r="D2300" s="26"/>
      <c r="E2300" s="26"/>
      <c r="F2300" s="26"/>
      <c r="G2300" s="27"/>
      <c r="H2300" s="18">
        <v>649000</v>
      </c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ht="26.25" x14ac:dyDescent="0.4">
      <c r="A2301" s="28" t="s">
        <v>18</v>
      </c>
      <c r="B2301" s="26"/>
      <c r="C2301" s="26"/>
      <c r="D2301" s="26"/>
      <c r="E2301" s="26"/>
      <c r="F2301" s="26"/>
      <c r="G2301" s="26"/>
      <c r="H2301" s="27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5" spans="1:26" ht="15.75" customHeight="1" x14ac:dyDescent="0.4">
      <c r="A2305" s="28" t="s">
        <v>0</v>
      </c>
      <c r="B2305" s="26"/>
      <c r="C2305" s="26"/>
      <c r="D2305" s="26"/>
      <c r="E2305" s="26"/>
      <c r="F2305" s="26"/>
      <c r="G2305" s="26"/>
      <c r="H2305" s="27"/>
    </row>
    <row r="2306" spans="1:26" ht="26.25" x14ac:dyDescent="0.4">
      <c r="A2306" s="28" t="s">
        <v>568</v>
      </c>
      <c r="B2306" s="26"/>
      <c r="C2306" s="26"/>
      <c r="D2306" s="26"/>
      <c r="E2306" s="26"/>
      <c r="F2306" s="26"/>
      <c r="G2306" s="26"/>
      <c r="H2306" s="27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ht="18.75" x14ac:dyDescent="0.3">
      <c r="A2307" s="3" t="s">
        <v>2</v>
      </c>
      <c r="B2307" s="3" t="s">
        <v>3</v>
      </c>
      <c r="C2307" s="3" t="s">
        <v>4</v>
      </c>
      <c r="D2307" s="3" t="s">
        <v>5</v>
      </c>
      <c r="E2307" s="3" t="s">
        <v>6</v>
      </c>
      <c r="F2307" s="4" t="s">
        <v>7</v>
      </c>
      <c r="G2307" s="3" t="s">
        <v>8</v>
      </c>
      <c r="H2307" s="5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ht="26.25" x14ac:dyDescent="0.4">
      <c r="A2308" s="6">
        <v>1</v>
      </c>
      <c r="B2308" s="20" t="s">
        <v>12</v>
      </c>
      <c r="C2308" s="21" t="s">
        <v>209</v>
      </c>
      <c r="D2308" s="8" t="s">
        <v>11</v>
      </c>
      <c r="E2308" s="20">
        <v>2.2000000000000002</v>
      </c>
      <c r="F2308" s="9">
        <v>293000</v>
      </c>
      <c r="G2308" s="10">
        <f t="shared" ref="G2308:G2310" si="152">IFERROR(E2308*F2308,0)</f>
        <v>644600</v>
      </c>
      <c r="H2308" s="11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ht="26.25" x14ac:dyDescent="0.4">
      <c r="A2309" s="6">
        <v>2</v>
      </c>
      <c r="B2309" s="22" t="s">
        <v>88</v>
      </c>
      <c r="C2309" s="23" t="s">
        <v>569</v>
      </c>
      <c r="D2309" s="13" t="s">
        <v>13</v>
      </c>
      <c r="E2309" s="22">
        <v>1.35</v>
      </c>
      <c r="F2309" s="14">
        <v>435000</v>
      </c>
      <c r="G2309" s="10">
        <f t="shared" si="152"/>
        <v>587250</v>
      </c>
      <c r="H2309" s="11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ht="26.25" x14ac:dyDescent="0.4">
      <c r="A2310" s="6">
        <v>3</v>
      </c>
      <c r="B2310" s="15" t="s">
        <v>14</v>
      </c>
      <c r="C2310" s="11"/>
      <c r="D2310" s="11"/>
      <c r="E2310" s="11"/>
      <c r="F2310" s="11"/>
      <c r="G2310" s="16">
        <f t="shared" si="152"/>
        <v>0</v>
      </c>
      <c r="H2310" s="11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ht="26.25" x14ac:dyDescent="0.4">
      <c r="A2311" s="29" t="s">
        <v>15</v>
      </c>
      <c r="B2311" s="26"/>
      <c r="C2311" s="26"/>
      <c r="D2311" s="26"/>
      <c r="E2311" s="26"/>
      <c r="F2311" s="26"/>
      <c r="G2311" s="27"/>
      <c r="H2311" s="17">
        <f>SUM(G2308:G2310)</f>
        <v>1231850</v>
      </c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ht="26.25" x14ac:dyDescent="0.4">
      <c r="A2312" s="29" t="s">
        <v>16</v>
      </c>
      <c r="B2312" s="26"/>
      <c r="C2312" s="26"/>
      <c r="D2312" s="26"/>
      <c r="E2312" s="26"/>
      <c r="F2312" s="26"/>
      <c r="G2312" s="27"/>
      <c r="H2312" s="17">
        <f>MAX(0,H2311-648000)</f>
        <v>583850</v>
      </c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ht="26.25" x14ac:dyDescent="0.4">
      <c r="A2313" s="25" t="s">
        <v>17</v>
      </c>
      <c r="B2313" s="26"/>
      <c r="C2313" s="26"/>
      <c r="D2313" s="26"/>
      <c r="E2313" s="26"/>
      <c r="F2313" s="26"/>
      <c r="G2313" s="27"/>
      <c r="H2313" s="18">
        <v>649000</v>
      </c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ht="26.25" x14ac:dyDescent="0.4">
      <c r="A2314" s="28" t="s">
        <v>18</v>
      </c>
      <c r="B2314" s="26"/>
      <c r="C2314" s="26"/>
      <c r="D2314" s="26"/>
      <c r="E2314" s="26"/>
      <c r="F2314" s="26"/>
      <c r="G2314" s="26"/>
      <c r="H2314" s="27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ht="12.75" x14ac:dyDescent="0.2"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9" spans="1:26" ht="15.75" customHeight="1" x14ac:dyDescent="0.4">
      <c r="A2319" s="28" t="s">
        <v>0</v>
      </c>
      <c r="B2319" s="26"/>
      <c r="C2319" s="26"/>
      <c r="D2319" s="26"/>
      <c r="E2319" s="26"/>
      <c r="F2319" s="26"/>
      <c r="G2319" s="26"/>
      <c r="H2319" s="27"/>
    </row>
    <row r="2320" spans="1:26" ht="15.75" customHeight="1" x14ac:dyDescent="0.4">
      <c r="A2320" s="28" t="s">
        <v>570</v>
      </c>
      <c r="B2320" s="26"/>
      <c r="C2320" s="26"/>
      <c r="D2320" s="26"/>
      <c r="E2320" s="26"/>
      <c r="F2320" s="26"/>
      <c r="G2320" s="26"/>
      <c r="H2320" s="27"/>
    </row>
    <row r="2321" spans="1:26" ht="18.75" x14ac:dyDescent="0.3">
      <c r="A2321" s="3" t="s">
        <v>2</v>
      </c>
      <c r="B2321" s="3" t="s">
        <v>3</v>
      </c>
      <c r="C2321" s="3" t="s">
        <v>4</v>
      </c>
      <c r="D2321" s="3" t="s">
        <v>5</v>
      </c>
      <c r="E2321" s="3" t="s">
        <v>6</v>
      </c>
      <c r="F2321" s="4" t="s">
        <v>7</v>
      </c>
      <c r="G2321" s="3" t="s">
        <v>8</v>
      </c>
      <c r="H2321" s="5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ht="26.25" x14ac:dyDescent="0.4">
      <c r="A2322" s="6">
        <v>1</v>
      </c>
      <c r="B2322" s="20" t="s">
        <v>571</v>
      </c>
      <c r="C2322" s="21" t="s">
        <v>572</v>
      </c>
      <c r="D2322" s="8" t="s">
        <v>11</v>
      </c>
      <c r="E2322" s="20">
        <v>2</v>
      </c>
      <c r="F2322" s="9">
        <v>293000</v>
      </c>
      <c r="G2322" s="10">
        <f t="shared" ref="G2322:G2324" si="153">IFERROR(E2322*F2322,0)</f>
        <v>586000</v>
      </c>
      <c r="H2322" s="11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ht="26.25" x14ac:dyDescent="0.4">
      <c r="A2323" s="6">
        <v>2</v>
      </c>
      <c r="B2323" s="22" t="s">
        <v>12</v>
      </c>
      <c r="C2323" s="23" t="s">
        <v>573</v>
      </c>
      <c r="D2323" s="13" t="s">
        <v>13</v>
      </c>
      <c r="E2323" s="22">
        <v>1.5</v>
      </c>
      <c r="F2323" s="14">
        <v>435000</v>
      </c>
      <c r="G2323" s="10">
        <f t="shared" si="153"/>
        <v>652500</v>
      </c>
      <c r="H2323" s="11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ht="26.25" x14ac:dyDescent="0.4">
      <c r="A2324" s="6">
        <v>3</v>
      </c>
      <c r="B2324" s="15" t="s">
        <v>14</v>
      </c>
      <c r="C2324" s="11"/>
      <c r="D2324" s="11"/>
      <c r="E2324" s="11"/>
      <c r="F2324" s="11"/>
      <c r="G2324" s="16">
        <f t="shared" si="153"/>
        <v>0</v>
      </c>
      <c r="H2324" s="11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ht="26.25" x14ac:dyDescent="0.4">
      <c r="A2325" s="29" t="s">
        <v>15</v>
      </c>
      <c r="B2325" s="26"/>
      <c r="C2325" s="26"/>
      <c r="D2325" s="26"/>
      <c r="E2325" s="26"/>
      <c r="F2325" s="26"/>
      <c r="G2325" s="27"/>
      <c r="H2325" s="17">
        <f>SUM(G2322:G2324)</f>
        <v>1238500</v>
      </c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ht="26.25" x14ac:dyDescent="0.4">
      <c r="A2326" s="29" t="s">
        <v>16</v>
      </c>
      <c r="B2326" s="26"/>
      <c r="C2326" s="26"/>
      <c r="D2326" s="26"/>
      <c r="E2326" s="26"/>
      <c r="F2326" s="26"/>
      <c r="G2326" s="27"/>
      <c r="H2326" s="17">
        <f>MAX(0,H2325-648000)</f>
        <v>590500</v>
      </c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ht="26.25" x14ac:dyDescent="0.4">
      <c r="A2327" s="25" t="s">
        <v>17</v>
      </c>
      <c r="B2327" s="26"/>
      <c r="C2327" s="26"/>
      <c r="D2327" s="26"/>
      <c r="E2327" s="26"/>
      <c r="F2327" s="26"/>
      <c r="G2327" s="27"/>
      <c r="H2327" s="18">
        <v>649000</v>
      </c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ht="26.25" x14ac:dyDescent="0.4">
      <c r="A2328" s="28" t="s">
        <v>18</v>
      </c>
      <c r="B2328" s="26"/>
      <c r="C2328" s="26"/>
      <c r="D2328" s="26"/>
      <c r="E2328" s="26"/>
      <c r="F2328" s="26"/>
      <c r="G2328" s="26"/>
      <c r="H2328" s="27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ht="12.75" x14ac:dyDescent="0.2"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ht="12.75" x14ac:dyDescent="0.2"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4" spans="1:26" ht="15.75" customHeight="1" x14ac:dyDescent="0.4">
      <c r="A2334" s="28" t="s">
        <v>0</v>
      </c>
      <c r="B2334" s="26"/>
      <c r="C2334" s="26"/>
      <c r="D2334" s="26"/>
      <c r="E2334" s="26"/>
      <c r="F2334" s="26"/>
      <c r="G2334" s="26"/>
      <c r="H2334" s="27"/>
    </row>
    <row r="2335" spans="1:26" ht="26.25" x14ac:dyDescent="0.4">
      <c r="A2335" s="28" t="s">
        <v>574</v>
      </c>
      <c r="B2335" s="26"/>
      <c r="C2335" s="26"/>
      <c r="D2335" s="26"/>
      <c r="E2335" s="26"/>
      <c r="F2335" s="26"/>
      <c r="G2335" s="26"/>
      <c r="H2335" s="27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ht="18.75" x14ac:dyDescent="0.3">
      <c r="A2336" s="3" t="s">
        <v>2</v>
      </c>
      <c r="B2336" s="3" t="s">
        <v>3</v>
      </c>
      <c r="C2336" s="3" t="s">
        <v>4</v>
      </c>
      <c r="D2336" s="3" t="s">
        <v>5</v>
      </c>
      <c r="E2336" s="3" t="s">
        <v>6</v>
      </c>
      <c r="F2336" s="4" t="s">
        <v>7</v>
      </c>
      <c r="G2336" s="3" t="s">
        <v>8</v>
      </c>
      <c r="H2336" s="5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ht="26.25" x14ac:dyDescent="0.4">
      <c r="A2337" s="6">
        <v>1</v>
      </c>
      <c r="B2337" s="20" t="s">
        <v>30</v>
      </c>
      <c r="C2337" s="21" t="s">
        <v>575</v>
      </c>
      <c r="D2337" s="8" t="s">
        <v>11</v>
      </c>
      <c r="E2337" s="20">
        <v>2</v>
      </c>
      <c r="F2337" s="9">
        <v>293000</v>
      </c>
      <c r="G2337" s="10">
        <f t="shared" ref="G2337:G2339" si="154">IFERROR(E2337*F2337,0)</f>
        <v>586000</v>
      </c>
      <c r="H2337" s="11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ht="26.25" x14ac:dyDescent="0.4">
      <c r="A2338" s="6">
        <v>2</v>
      </c>
      <c r="B2338" s="22" t="s">
        <v>576</v>
      </c>
      <c r="C2338" s="23" t="s">
        <v>577</v>
      </c>
      <c r="D2338" s="13" t="s">
        <v>13</v>
      </c>
      <c r="E2338" s="22">
        <v>1.47</v>
      </c>
      <c r="F2338" s="14">
        <v>435000</v>
      </c>
      <c r="G2338" s="10">
        <f t="shared" si="154"/>
        <v>639450</v>
      </c>
      <c r="H2338" s="11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ht="26.25" x14ac:dyDescent="0.4">
      <c r="A2339" s="6">
        <v>3</v>
      </c>
      <c r="B2339" s="15" t="s">
        <v>14</v>
      </c>
      <c r="C2339" s="11"/>
      <c r="D2339" s="11"/>
      <c r="E2339" s="11"/>
      <c r="F2339" s="11"/>
      <c r="G2339" s="16">
        <f t="shared" si="154"/>
        <v>0</v>
      </c>
      <c r="H2339" s="11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ht="26.25" x14ac:dyDescent="0.4">
      <c r="A2340" s="29" t="s">
        <v>15</v>
      </c>
      <c r="B2340" s="26"/>
      <c r="C2340" s="26"/>
      <c r="D2340" s="26"/>
      <c r="E2340" s="26"/>
      <c r="F2340" s="26"/>
      <c r="G2340" s="27"/>
      <c r="H2340" s="17">
        <f>SUM(G2337:G2339)</f>
        <v>1225450</v>
      </c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ht="26.25" x14ac:dyDescent="0.4">
      <c r="A2341" s="29" t="s">
        <v>16</v>
      </c>
      <c r="B2341" s="26"/>
      <c r="C2341" s="26"/>
      <c r="D2341" s="26"/>
      <c r="E2341" s="26"/>
      <c r="F2341" s="26"/>
      <c r="G2341" s="27"/>
      <c r="H2341" s="17">
        <f>MAX(0,H2340-648000)</f>
        <v>577450</v>
      </c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ht="26.25" x14ac:dyDescent="0.4">
      <c r="A2342" s="25" t="s">
        <v>17</v>
      </c>
      <c r="B2342" s="26"/>
      <c r="C2342" s="26"/>
      <c r="D2342" s="26"/>
      <c r="E2342" s="26"/>
      <c r="F2342" s="26"/>
      <c r="G2342" s="27"/>
      <c r="H2342" s="18">
        <v>649000</v>
      </c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ht="26.25" x14ac:dyDescent="0.4">
      <c r="A2343" s="28" t="s">
        <v>18</v>
      </c>
      <c r="B2343" s="26"/>
      <c r="C2343" s="26"/>
      <c r="D2343" s="26"/>
      <c r="E2343" s="26"/>
      <c r="F2343" s="26"/>
      <c r="G2343" s="26"/>
      <c r="H2343" s="27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ht="12.75" x14ac:dyDescent="0.2"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8" spans="1:26" ht="15.75" customHeight="1" x14ac:dyDescent="0.4">
      <c r="A2348" s="28" t="s">
        <v>0</v>
      </c>
      <c r="B2348" s="26"/>
      <c r="C2348" s="26"/>
      <c r="D2348" s="26"/>
      <c r="E2348" s="26"/>
      <c r="F2348" s="26"/>
      <c r="G2348" s="26"/>
      <c r="H2348" s="27"/>
    </row>
    <row r="2349" spans="1:26" ht="26.25" x14ac:dyDescent="0.4">
      <c r="A2349" s="28" t="s">
        <v>578</v>
      </c>
      <c r="B2349" s="26"/>
      <c r="C2349" s="26"/>
      <c r="D2349" s="26"/>
      <c r="E2349" s="26"/>
      <c r="F2349" s="26"/>
      <c r="G2349" s="26"/>
      <c r="H2349" s="27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ht="18.75" x14ac:dyDescent="0.3">
      <c r="A2350" s="3" t="s">
        <v>2</v>
      </c>
      <c r="B2350" s="3" t="s">
        <v>3</v>
      </c>
      <c r="C2350" s="3" t="s">
        <v>4</v>
      </c>
      <c r="D2350" s="3" t="s">
        <v>5</v>
      </c>
      <c r="E2350" s="3" t="s">
        <v>6</v>
      </c>
      <c r="F2350" s="4" t="s">
        <v>7</v>
      </c>
      <c r="G2350" s="3" t="s">
        <v>8</v>
      </c>
      <c r="H2350" s="5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ht="26.25" x14ac:dyDescent="0.4">
      <c r="A2351" s="6">
        <v>1</v>
      </c>
      <c r="B2351" s="20" t="s">
        <v>327</v>
      </c>
      <c r="C2351" s="21" t="s">
        <v>579</v>
      </c>
      <c r="D2351" s="8" t="s">
        <v>11</v>
      </c>
      <c r="E2351" s="20">
        <v>2</v>
      </c>
      <c r="F2351" s="9">
        <v>293000</v>
      </c>
      <c r="G2351" s="10">
        <f t="shared" ref="G2351:G2353" si="155">IFERROR(E2351*F2351,0)</f>
        <v>586000</v>
      </c>
      <c r="H2351" s="11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ht="26.25" x14ac:dyDescent="0.4">
      <c r="A2352" s="6">
        <v>2</v>
      </c>
      <c r="B2352" s="22" t="s">
        <v>298</v>
      </c>
      <c r="C2352" s="23" t="s">
        <v>580</v>
      </c>
      <c r="D2352" s="13" t="s">
        <v>13</v>
      </c>
      <c r="E2352" s="22">
        <v>1.5</v>
      </c>
      <c r="F2352" s="14">
        <v>435000</v>
      </c>
      <c r="G2352" s="10">
        <f t="shared" si="155"/>
        <v>652500</v>
      </c>
      <c r="H2352" s="11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ht="26.25" x14ac:dyDescent="0.4">
      <c r="A2353" s="6">
        <v>3</v>
      </c>
      <c r="B2353" s="15" t="s">
        <v>14</v>
      </c>
      <c r="C2353" s="11"/>
      <c r="D2353" s="11"/>
      <c r="E2353" s="11"/>
      <c r="F2353" s="11"/>
      <c r="G2353" s="16">
        <f t="shared" si="155"/>
        <v>0</v>
      </c>
      <c r="H2353" s="11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ht="26.25" x14ac:dyDescent="0.4">
      <c r="A2354" s="29" t="s">
        <v>15</v>
      </c>
      <c r="B2354" s="26"/>
      <c r="C2354" s="26"/>
      <c r="D2354" s="26"/>
      <c r="E2354" s="26"/>
      <c r="F2354" s="26"/>
      <c r="G2354" s="27"/>
      <c r="H2354" s="17">
        <f>SUM(G2351:G2353)</f>
        <v>1238500</v>
      </c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ht="26.25" x14ac:dyDescent="0.4">
      <c r="A2355" s="29" t="s">
        <v>16</v>
      </c>
      <c r="B2355" s="26"/>
      <c r="C2355" s="26"/>
      <c r="D2355" s="26"/>
      <c r="E2355" s="26"/>
      <c r="F2355" s="26"/>
      <c r="G2355" s="27"/>
      <c r="H2355" s="17">
        <f>MAX(0,H2354-648000)</f>
        <v>590500</v>
      </c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ht="26.25" x14ac:dyDescent="0.4">
      <c r="A2356" s="25" t="s">
        <v>17</v>
      </c>
      <c r="B2356" s="26"/>
      <c r="C2356" s="26"/>
      <c r="D2356" s="26"/>
      <c r="E2356" s="26"/>
      <c r="F2356" s="26"/>
      <c r="G2356" s="27"/>
      <c r="H2356" s="18">
        <v>649000</v>
      </c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ht="26.25" x14ac:dyDescent="0.4">
      <c r="A2357" s="28" t="s">
        <v>18</v>
      </c>
      <c r="B2357" s="26"/>
      <c r="C2357" s="26"/>
      <c r="D2357" s="26"/>
      <c r="E2357" s="26"/>
      <c r="F2357" s="26"/>
      <c r="G2357" s="26"/>
      <c r="H2357" s="27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ht="12.75" x14ac:dyDescent="0.2"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62" spans="1:26" ht="15.75" customHeight="1" x14ac:dyDescent="0.4">
      <c r="A2362" s="28" t="s">
        <v>0</v>
      </c>
      <c r="B2362" s="26"/>
      <c r="C2362" s="26"/>
      <c r="D2362" s="26"/>
      <c r="E2362" s="26"/>
      <c r="F2362" s="26"/>
      <c r="G2362" s="26"/>
      <c r="H2362" s="27"/>
    </row>
    <row r="2363" spans="1:26" ht="15.75" customHeight="1" x14ac:dyDescent="0.4">
      <c r="A2363" s="28" t="s">
        <v>581</v>
      </c>
      <c r="B2363" s="26"/>
      <c r="C2363" s="26"/>
      <c r="D2363" s="26"/>
      <c r="E2363" s="26"/>
      <c r="F2363" s="26"/>
      <c r="G2363" s="26"/>
      <c r="H2363" s="27"/>
    </row>
    <row r="2364" spans="1:26" ht="18.75" x14ac:dyDescent="0.3">
      <c r="A2364" s="3" t="s">
        <v>2</v>
      </c>
      <c r="B2364" s="3" t="s">
        <v>3</v>
      </c>
      <c r="C2364" s="3" t="s">
        <v>4</v>
      </c>
      <c r="D2364" s="3" t="s">
        <v>5</v>
      </c>
      <c r="E2364" s="3" t="s">
        <v>6</v>
      </c>
      <c r="F2364" s="4" t="s">
        <v>7</v>
      </c>
      <c r="G2364" s="3" t="s">
        <v>8</v>
      </c>
      <c r="H2364" s="5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ht="26.25" x14ac:dyDescent="0.4">
      <c r="A2365" s="6">
        <v>1</v>
      </c>
      <c r="B2365" s="20" t="s">
        <v>94</v>
      </c>
      <c r="C2365" s="21" t="s">
        <v>582</v>
      </c>
      <c r="D2365" s="8" t="s">
        <v>11</v>
      </c>
      <c r="E2365" s="20">
        <v>1.8</v>
      </c>
      <c r="F2365" s="9">
        <v>293000</v>
      </c>
      <c r="G2365" s="10">
        <f t="shared" ref="G2365:G2367" si="156">IFERROR(E2365*F2365,0)</f>
        <v>527400</v>
      </c>
      <c r="H2365" s="11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ht="26.25" x14ac:dyDescent="0.4">
      <c r="A2366" s="6">
        <v>2</v>
      </c>
      <c r="B2366" s="22" t="s">
        <v>583</v>
      </c>
      <c r="C2366" s="23" t="s">
        <v>584</v>
      </c>
      <c r="D2366" s="13" t="s">
        <v>13</v>
      </c>
      <c r="E2366" s="22">
        <v>1.65</v>
      </c>
      <c r="F2366" s="14">
        <v>435000</v>
      </c>
      <c r="G2366" s="10">
        <f t="shared" si="156"/>
        <v>717750</v>
      </c>
      <c r="H2366" s="11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ht="26.25" x14ac:dyDescent="0.4">
      <c r="A2367" s="6">
        <v>3</v>
      </c>
      <c r="B2367" s="15" t="s">
        <v>14</v>
      </c>
      <c r="C2367" s="11"/>
      <c r="D2367" s="11"/>
      <c r="E2367" s="11"/>
      <c r="F2367" s="11"/>
      <c r="G2367" s="16">
        <f t="shared" si="156"/>
        <v>0</v>
      </c>
      <c r="H2367" s="11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ht="26.25" x14ac:dyDescent="0.4">
      <c r="A2368" s="29" t="s">
        <v>15</v>
      </c>
      <c r="B2368" s="26"/>
      <c r="C2368" s="26"/>
      <c r="D2368" s="26"/>
      <c r="E2368" s="26"/>
      <c r="F2368" s="26"/>
      <c r="G2368" s="27"/>
      <c r="H2368" s="17">
        <f>SUM(G2365:G2367)</f>
        <v>1245150</v>
      </c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ht="26.25" x14ac:dyDescent="0.4">
      <c r="A2369" s="29" t="s">
        <v>16</v>
      </c>
      <c r="B2369" s="26"/>
      <c r="C2369" s="26"/>
      <c r="D2369" s="26"/>
      <c r="E2369" s="26"/>
      <c r="F2369" s="26"/>
      <c r="G2369" s="27"/>
      <c r="H2369" s="17">
        <f>MAX(0,H2368-648000)</f>
        <v>597150</v>
      </c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ht="26.25" x14ac:dyDescent="0.4">
      <c r="A2370" s="25" t="s">
        <v>17</v>
      </c>
      <c r="B2370" s="26"/>
      <c r="C2370" s="26"/>
      <c r="D2370" s="26"/>
      <c r="E2370" s="26"/>
      <c r="F2370" s="26"/>
      <c r="G2370" s="27"/>
      <c r="H2370" s="18">
        <v>649000</v>
      </c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ht="26.25" x14ac:dyDescent="0.4">
      <c r="A2371" s="28" t="s">
        <v>18</v>
      </c>
      <c r="B2371" s="26"/>
      <c r="C2371" s="26"/>
      <c r="D2371" s="26"/>
      <c r="E2371" s="26"/>
      <c r="F2371" s="26"/>
      <c r="G2371" s="26"/>
      <c r="H2371" s="27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ht="12.75" x14ac:dyDescent="0.2"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ht="12.75" x14ac:dyDescent="0.2"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7" spans="1:26" ht="15.75" customHeight="1" x14ac:dyDescent="0.4">
      <c r="A2377" s="28" t="s">
        <v>0</v>
      </c>
      <c r="B2377" s="26"/>
      <c r="C2377" s="26"/>
      <c r="D2377" s="26"/>
      <c r="E2377" s="26"/>
      <c r="F2377" s="26"/>
      <c r="G2377" s="26"/>
      <c r="H2377" s="27"/>
    </row>
    <row r="2378" spans="1:26" ht="15.75" customHeight="1" x14ac:dyDescent="0.4">
      <c r="A2378" s="28" t="s">
        <v>585</v>
      </c>
      <c r="B2378" s="26"/>
      <c r="C2378" s="26"/>
      <c r="D2378" s="26"/>
      <c r="E2378" s="26"/>
      <c r="F2378" s="26"/>
      <c r="G2378" s="26"/>
      <c r="H2378" s="27"/>
    </row>
    <row r="2379" spans="1:26" ht="18.75" x14ac:dyDescent="0.3">
      <c r="A2379" s="3" t="s">
        <v>2</v>
      </c>
      <c r="B2379" s="3" t="s">
        <v>3</v>
      </c>
      <c r="C2379" s="3" t="s">
        <v>4</v>
      </c>
      <c r="D2379" s="3" t="s">
        <v>5</v>
      </c>
      <c r="E2379" s="3" t="s">
        <v>6</v>
      </c>
      <c r="F2379" s="4" t="s">
        <v>7</v>
      </c>
      <c r="G2379" s="3" t="s">
        <v>8</v>
      </c>
      <c r="H2379" s="5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ht="26.25" x14ac:dyDescent="0.4">
      <c r="A2380" s="6">
        <v>1</v>
      </c>
      <c r="B2380" s="20" t="s">
        <v>151</v>
      </c>
      <c r="C2380" s="21" t="s">
        <v>586</v>
      </c>
      <c r="D2380" s="8" t="s">
        <v>11</v>
      </c>
      <c r="E2380" s="20">
        <v>1.95</v>
      </c>
      <c r="F2380" s="9">
        <v>293000</v>
      </c>
      <c r="G2380" s="10">
        <f t="shared" ref="G2380:G2382" si="157">IFERROR(E2380*F2380,0)</f>
        <v>571350</v>
      </c>
      <c r="H2380" s="11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ht="26.25" x14ac:dyDescent="0.4">
      <c r="A2381" s="6">
        <v>2</v>
      </c>
      <c r="B2381" s="22" t="s">
        <v>157</v>
      </c>
      <c r="C2381" s="23" t="s">
        <v>587</v>
      </c>
      <c r="D2381" s="13" t="s">
        <v>13</v>
      </c>
      <c r="E2381" s="22">
        <v>1.45</v>
      </c>
      <c r="F2381" s="14">
        <v>435000</v>
      </c>
      <c r="G2381" s="10">
        <f t="shared" si="157"/>
        <v>630750</v>
      </c>
      <c r="H2381" s="11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ht="26.25" x14ac:dyDescent="0.4">
      <c r="A2382" s="6">
        <v>3</v>
      </c>
      <c r="B2382" s="15" t="s">
        <v>14</v>
      </c>
      <c r="C2382" s="11"/>
      <c r="D2382" s="11"/>
      <c r="E2382" s="11"/>
      <c r="F2382" s="11"/>
      <c r="G2382" s="16">
        <f t="shared" si="157"/>
        <v>0</v>
      </c>
      <c r="H2382" s="11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ht="26.25" x14ac:dyDescent="0.4">
      <c r="A2383" s="29" t="s">
        <v>15</v>
      </c>
      <c r="B2383" s="26"/>
      <c r="C2383" s="26"/>
      <c r="D2383" s="26"/>
      <c r="E2383" s="26"/>
      <c r="F2383" s="26"/>
      <c r="G2383" s="27"/>
      <c r="H2383" s="17">
        <f>SUM(G2380:G2382)</f>
        <v>1202100</v>
      </c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ht="26.25" x14ac:dyDescent="0.4">
      <c r="A2384" s="29" t="s">
        <v>16</v>
      </c>
      <c r="B2384" s="26"/>
      <c r="C2384" s="26"/>
      <c r="D2384" s="26"/>
      <c r="E2384" s="26"/>
      <c r="F2384" s="26"/>
      <c r="G2384" s="27"/>
      <c r="H2384" s="17">
        <f>MAX(0,H2383-648000)</f>
        <v>554100</v>
      </c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ht="26.25" x14ac:dyDescent="0.4">
      <c r="A2385" s="25" t="s">
        <v>17</v>
      </c>
      <c r="B2385" s="26"/>
      <c r="C2385" s="26"/>
      <c r="D2385" s="26"/>
      <c r="E2385" s="26"/>
      <c r="F2385" s="26"/>
      <c r="G2385" s="27"/>
      <c r="H2385" s="18">
        <v>649000</v>
      </c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ht="26.25" x14ac:dyDescent="0.4">
      <c r="A2386" s="28" t="s">
        <v>18</v>
      </c>
      <c r="B2386" s="26"/>
      <c r="C2386" s="26"/>
      <c r="D2386" s="26"/>
      <c r="E2386" s="26"/>
      <c r="F2386" s="26"/>
      <c r="G2386" s="26"/>
      <c r="H2386" s="27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ht="12.75" x14ac:dyDescent="0.2"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ht="12.75" x14ac:dyDescent="0.2"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92" spans="1:26" ht="15.75" customHeight="1" x14ac:dyDescent="0.4">
      <c r="A2392" s="28" t="s">
        <v>0</v>
      </c>
      <c r="B2392" s="26"/>
      <c r="C2392" s="26"/>
      <c r="D2392" s="26"/>
      <c r="E2392" s="26"/>
      <c r="F2392" s="26"/>
      <c r="G2392" s="26"/>
      <c r="H2392" s="27"/>
    </row>
    <row r="2393" spans="1:26" ht="15.75" customHeight="1" x14ac:dyDescent="0.4">
      <c r="A2393" s="28" t="s">
        <v>588</v>
      </c>
      <c r="B2393" s="26"/>
      <c r="C2393" s="26"/>
      <c r="D2393" s="26"/>
      <c r="E2393" s="26"/>
      <c r="F2393" s="26"/>
      <c r="G2393" s="26"/>
      <c r="H2393" s="27"/>
    </row>
    <row r="2394" spans="1:26" ht="18.75" x14ac:dyDescent="0.3">
      <c r="A2394" s="3" t="s">
        <v>2</v>
      </c>
      <c r="B2394" s="3" t="s">
        <v>3</v>
      </c>
      <c r="C2394" s="3" t="s">
        <v>4</v>
      </c>
      <c r="D2394" s="3" t="s">
        <v>5</v>
      </c>
      <c r="E2394" s="3" t="s">
        <v>6</v>
      </c>
      <c r="F2394" s="4" t="s">
        <v>7</v>
      </c>
      <c r="G2394" s="3" t="s">
        <v>8</v>
      </c>
      <c r="H2394" s="5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ht="26.25" x14ac:dyDescent="0.4">
      <c r="A2395" s="6">
        <v>1</v>
      </c>
      <c r="B2395" s="20" t="s">
        <v>308</v>
      </c>
      <c r="C2395" s="21" t="s">
        <v>589</v>
      </c>
      <c r="D2395" s="8" t="s">
        <v>11</v>
      </c>
      <c r="E2395" s="20">
        <v>1.43</v>
      </c>
      <c r="F2395" s="9">
        <v>293000</v>
      </c>
      <c r="G2395" s="10">
        <f t="shared" ref="G2395:G2397" si="158">IFERROR(E2395*F2395,0)</f>
        <v>418990</v>
      </c>
      <c r="H2395" s="11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ht="26.25" x14ac:dyDescent="0.4">
      <c r="A2396" s="6">
        <v>2</v>
      </c>
      <c r="B2396" s="22" t="s">
        <v>234</v>
      </c>
      <c r="C2396" s="23" t="s">
        <v>590</v>
      </c>
      <c r="D2396" s="13" t="s">
        <v>13</v>
      </c>
      <c r="E2396" s="22">
        <v>2</v>
      </c>
      <c r="F2396" s="14">
        <v>435000</v>
      </c>
      <c r="G2396" s="10">
        <f t="shared" si="158"/>
        <v>870000</v>
      </c>
      <c r="H2396" s="11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ht="26.25" x14ac:dyDescent="0.4">
      <c r="A2397" s="6">
        <v>3</v>
      </c>
      <c r="B2397" s="15" t="s">
        <v>14</v>
      </c>
      <c r="C2397" s="11"/>
      <c r="D2397" s="11"/>
      <c r="E2397" s="11"/>
      <c r="F2397" s="11"/>
      <c r="G2397" s="16">
        <f t="shared" si="158"/>
        <v>0</v>
      </c>
      <c r="H2397" s="11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ht="26.25" x14ac:dyDescent="0.4">
      <c r="A2398" s="29" t="s">
        <v>15</v>
      </c>
      <c r="B2398" s="26"/>
      <c r="C2398" s="26"/>
      <c r="D2398" s="26"/>
      <c r="E2398" s="26"/>
      <c r="F2398" s="26"/>
      <c r="G2398" s="27"/>
      <c r="H2398" s="17">
        <f>SUM(G2395:G2397)</f>
        <v>1288990</v>
      </c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ht="26.25" x14ac:dyDescent="0.4">
      <c r="A2399" s="29" t="s">
        <v>16</v>
      </c>
      <c r="B2399" s="26"/>
      <c r="C2399" s="26"/>
      <c r="D2399" s="26"/>
      <c r="E2399" s="26"/>
      <c r="F2399" s="26"/>
      <c r="G2399" s="27"/>
      <c r="H2399" s="17">
        <f>MAX(0,H2398-648000)</f>
        <v>640990</v>
      </c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ht="26.25" x14ac:dyDescent="0.4">
      <c r="A2400" s="25" t="s">
        <v>17</v>
      </c>
      <c r="B2400" s="26"/>
      <c r="C2400" s="26"/>
      <c r="D2400" s="26"/>
      <c r="E2400" s="26"/>
      <c r="F2400" s="26"/>
      <c r="G2400" s="27"/>
      <c r="H2400" s="18">
        <v>649000</v>
      </c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ht="26.25" x14ac:dyDescent="0.4">
      <c r="A2401" s="28" t="s">
        <v>18</v>
      </c>
      <c r="B2401" s="26"/>
      <c r="C2401" s="26"/>
      <c r="D2401" s="26"/>
      <c r="E2401" s="26"/>
      <c r="F2401" s="26"/>
      <c r="G2401" s="26"/>
      <c r="H2401" s="27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ht="12.75" x14ac:dyDescent="0.2"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ht="12.75" x14ac:dyDescent="0.2"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7" spans="1:26" ht="15.75" customHeight="1" x14ac:dyDescent="0.4">
      <c r="A2407" s="28" t="s">
        <v>0</v>
      </c>
      <c r="B2407" s="26"/>
      <c r="C2407" s="26"/>
      <c r="D2407" s="26"/>
      <c r="E2407" s="26"/>
      <c r="F2407" s="26"/>
      <c r="G2407" s="26"/>
      <c r="H2407" s="27"/>
    </row>
    <row r="2408" spans="1:26" ht="15.75" customHeight="1" x14ac:dyDescent="0.4">
      <c r="A2408" s="28" t="s">
        <v>591</v>
      </c>
      <c r="B2408" s="26"/>
      <c r="C2408" s="26"/>
      <c r="D2408" s="26"/>
      <c r="E2408" s="26"/>
      <c r="F2408" s="26"/>
      <c r="G2408" s="26"/>
      <c r="H2408" s="27"/>
    </row>
    <row r="2409" spans="1:26" ht="18.75" x14ac:dyDescent="0.3">
      <c r="A2409" s="3" t="s">
        <v>2</v>
      </c>
      <c r="B2409" s="3" t="s">
        <v>3</v>
      </c>
      <c r="C2409" s="3" t="s">
        <v>4</v>
      </c>
      <c r="D2409" s="3" t="s">
        <v>5</v>
      </c>
      <c r="E2409" s="3" t="s">
        <v>6</v>
      </c>
      <c r="F2409" s="4" t="s">
        <v>7</v>
      </c>
      <c r="G2409" s="3" t="s">
        <v>8</v>
      </c>
      <c r="H2409" s="5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ht="26.25" x14ac:dyDescent="0.4">
      <c r="A2410" s="6">
        <v>1</v>
      </c>
      <c r="B2410" s="20" t="s">
        <v>12</v>
      </c>
      <c r="C2410" s="21" t="s">
        <v>592</v>
      </c>
      <c r="D2410" s="8" t="s">
        <v>11</v>
      </c>
      <c r="E2410" s="20">
        <v>1.4</v>
      </c>
      <c r="F2410" s="9">
        <v>293000</v>
      </c>
      <c r="G2410" s="10">
        <f t="shared" ref="G2410:G2412" si="159">IFERROR(E2410*F2410,0)</f>
        <v>410200</v>
      </c>
      <c r="H2410" s="11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ht="26.25" x14ac:dyDescent="0.4">
      <c r="A2411" s="6">
        <v>2</v>
      </c>
      <c r="B2411" s="22" t="s">
        <v>533</v>
      </c>
      <c r="C2411" s="23" t="s">
        <v>593</v>
      </c>
      <c r="D2411" s="13" t="s">
        <v>13</v>
      </c>
      <c r="E2411" s="22">
        <v>1.93</v>
      </c>
      <c r="F2411" s="14">
        <v>435000</v>
      </c>
      <c r="G2411" s="10">
        <f t="shared" si="159"/>
        <v>839550</v>
      </c>
      <c r="H2411" s="11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ht="26.25" x14ac:dyDescent="0.4">
      <c r="A2412" s="6">
        <v>3</v>
      </c>
      <c r="B2412" s="15" t="s">
        <v>14</v>
      </c>
      <c r="C2412" s="11"/>
      <c r="D2412" s="11"/>
      <c r="E2412" s="11"/>
      <c r="F2412" s="11"/>
      <c r="G2412" s="16">
        <f t="shared" si="159"/>
        <v>0</v>
      </c>
      <c r="H2412" s="11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ht="26.25" x14ac:dyDescent="0.4">
      <c r="A2413" s="29" t="s">
        <v>15</v>
      </c>
      <c r="B2413" s="26"/>
      <c r="C2413" s="26"/>
      <c r="D2413" s="26"/>
      <c r="E2413" s="26"/>
      <c r="F2413" s="26"/>
      <c r="G2413" s="27"/>
      <c r="H2413" s="17">
        <f>SUM(G2410:G2412)</f>
        <v>1249750</v>
      </c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ht="26.25" x14ac:dyDescent="0.4">
      <c r="A2414" s="29" t="s">
        <v>16</v>
      </c>
      <c r="B2414" s="26"/>
      <c r="C2414" s="26"/>
      <c r="D2414" s="26"/>
      <c r="E2414" s="26"/>
      <c r="F2414" s="26"/>
      <c r="G2414" s="27"/>
      <c r="H2414" s="17">
        <f>MAX(0,H2413-648000)</f>
        <v>601750</v>
      </c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ht="26.25" x14ac:dyDescent="0.4">
      <c r="A2415" s="25" t="s">
        <v>17</v>
      </c>
      <c r="B2415" s="26"/>
      <c r="C2415" s="26"/>
      <c r="D2415" s="26"/>
      <c r="E2415" s="26"/>
      <c r="F2415" s="26"/>
      <c r="G2415" s="27"/>
      <c r="H2415" s="18">
        <v>649000</v>
      </c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ht="26.25" x14ac:dyDescent="0.4">
      <c r="A2416" s="28" t="s">
        <v>18</v>
      </c>
      <c r="B2416" s="26"/>
      <c r="C2416" s="26"/>
      <c r="D2416" s="26"/>
      <c r="E2416" s="26"/>
      <c r="F2416" s="26"/>
      <c r="G2416" s="26"/>
      <c r="H2416" s="27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ht="12.75" x14ac:dyDescent="0.2"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ht="12.75" x14ac:dyDescent="0.2"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22" spans="1:26" ht="15.75" customHeight="1" x14ac:dyDescent="0.4">
      <c r="A2422" s="28" t="s">
        <v>0</v>
      </c>
      <c r="B2422" s="26"/>
      <c r="C2422" s="26"/>
      <c r="D2422" s="26"/>
      <c r="E2422" s="26"/>
      <c r="F2422" s="26"/>
      <c r="G2422" s="26"/>
      <c r="H2422" s="27"/>
    </row>
    <row r="2423" spans="1:26" ht="15.75" customHeight="1" x14ac:dyDescent="0.4">
      <c r="A2423" s="28" t="s">
        <v>594</v>
      </c>
      <c r="B2423" s="26"/>
      <c r="C2423" s="26"/>
      <c r="D2423" s="26"/>
      <c r="E2423" s="26"/>
      <c r="F2423" s="26"/>
      <c r="G2423" s="26"/>
      <c r="H2423" s="27"/>
    </row>
    <row r="2424" spans="1:26" ht="18.75" x14ac:dyDescent="0.3">
      <c r="A2424" s="3" t="s">
        <v>2</v>
      </c>
      <c r="B2424" s="3" t="s">
        <v>3</v>
      </c>
      <c r="C2424" s="3" t="s">
        <v>4</v>
      </c>
      <c r="D2424" s="3" t="s">
        <v>5</v>
      </c>
      <c r="E2424" s="3" t="s">
        <v>6</v>
      </c>
      <c r="F2424" s="4" t="s">
        <v>7</v>
      </c>
      <c r="G2424" s="3" t="s">
        <v>8</v>
      </c>
      <c r="H2424" s="5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ht="26.25" x14ac:dyDescent="0.4">
      <c r="A2425" s="6">
        <v>1</v>
      </c>
      <c r="B2425" s="20" t="s">
        <v>595</v>
      </c>
      <c r="C2425" s="21" t="s">
        <v>596</v>
      </c>
      <c r="D2425" s="8" t="s">
        <v>11</v>
      </c>
      <c r="E2425" s="20">
        <v>1</v>
      </c>
      <c r="F2425" s="9">
        <v>293000</v>
      </c>
      <c r="G2425" s="10">
        <f t="shared" ref="G2425:G2427" si="160">IFERROR(E2425*F2425,0)</f>
        <v>293000</v>
      </c>
      <c r="H2425" s="11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ht="26.25" x14ac:dyDescent="0.4">
      <c r="A2426" s="6">
        <v>2</v>
      </c>
      <c r="B2426" s="22" t="s">
        <v>597</v>
      </c>
      <c r="C2426" s="23" t="s">
        <v>598</v>
      </c>
      <c r="D2426" s="13" t="s">
        <v>13</v>
      </c>
      <c r="E2426" s="22">
        <v>2.48</v>
      </c>
      <c r="F2426" s="14">
        <v>435000</v>
      </c>
      <c r="G2426" s="10">
        <f t="shared" si="160"/>
        <v>1078800</v>
      </c>
      <c r="H2426" s="11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ht="26.25" x14ac:dyDescent="0.4">
      <c r="A2427" s="6">
        <v>3</v>
      </c>
      <c r="B2427" s="15" t="s">
        <v>14</v>
      </c>
      <c r="C2427" s="11"/>
      <c r="D2427" s="11"/>
      <c r="E2427" s="11"/>
      <c r="F2427" s="11"/>
      <c r="G2427" s="16">
        <f t="shared" si="160"/>
        <v>0</v>
      </c>
      <c r="H2427" s="11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ht="26.25" x14ac:dyDescent="0.4">
      <c r="A2428" s="29" t="s">
        <v>15</v>
      </c>
      <c r="B2428" s="26"/>
      <c r="C2428" s="26"/>
      <c r="D2428" s="26"/>
      <c r="E2428" s="26"/>
      <c r="F2428" s="26"/>
      <c r="G2428" s="27"/>
      <c r="H2428" s="17">
        <f>SUM(G2425:G2427)</f>
        <v>1371800</v>
      </c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ht="26.25" x14ac:dyDescent="0.4">
      <c r="A2429" s="29" t="s">
        <v>16</v>
      </c>
      <c r="B2429" s="26"/>
      <c r="C2429" s="26"/>
      <c r="D2429" s="26"/>
      <c r="E2429" s="26"/>
      <c r="F2429" s="26"/>
      <c r="G2429" s="27"/>
      <c r="H2429" s="17">
        <f>MAX(0,H2428-648000)</f>
        <v>723800</v>
      </c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ht="26.25" x14ac:dyDescent="0.4">
      <c r="A2430" s="25" t="s">
        <v>17</v>
      </c>
      <c r="B2430" s="26"/>
      <c r="C2430" s="26"/>
      <c r="D2430" s="26"/>
      <c r="E2430" s="26"/>
      <c r="F2430" s="26"/>
      <c r="G2430" s="27"/>
      <c r="H2430" s="18">
        <v>649000</v>
      </c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ht="26.25" x14ac:dyDescent="0.4">
      <c r="A2431" s="28" t="s">
        <v>18</v>
      </c>
      <c r="B2431" s="26"/>
      <c r="C2431" s="26"/>
      <c r="D2431" s="26"/>
      <c r="E2431" s="26"/>
      <c r="F2431" s="26"/>
      <c r="G2431" s="26"/>
      <c r="H2431" s="27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ht="12.75" x14ac:dyDescent="0.2"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ht="12.75" x14ac:dyDescent="0.2"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7" spans="1:26" ht="15.75" customHeight="1" x14ac:dyDescent="0.4">
      <c r="A2437" s="28" t="s">
        <v>0</v>
      </c>
      <c r="B2437" s="26"/>
      <c r="C2437" s="26"/>
      <c r="D2437" s="26"/>
      <c r="E2437" s="26"/>
      <c r="F2437" s="26"/>
      <c r="G2437" s="26"/>
      <c r="H2437" s="27"/>
    </row>
    <row r="2438" spans="1:26" ht="26.25" x14ac:dyDescent="0.4">
      <c r="A2438" s="28" t="s">
        <v>599</v>
      </c>
      <c r="B2438" s="26"/>
      <c r="C2438" s="26"/>
      <c r="D2438" s="26"/>
      <c r="E2438" s="26"/>
      <c r="F2438" s="26"/>
      <c r="G2438" s="26"/>
      <c r="H2438" s="27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ht="18.75" x14ac:dyDescent="0.3">
      <c r="A2439" s="3" t="s">
        <v>2</v>
      </c>
      <c r="B2439" s="3" t="s">
        <v>3</v>
      </c>
      <c r="C2439" s="3" t="s">
        <v>4</v>
      </c>
      <c r="D2439" s="3" t="s">
        <v>5</v>
      </c>
      <c r="E2439" s="3" t="s">
        <v>6</v>
      </c>
      <c r="F2439" s="4" t="s">
        <v>7</v>
      </c>
      <c r="G2439" s="3" t="s">
        <v>8</v>
      </c>
      <c r="H2439" s="5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ht="26.25" x14ac:dyDescent="0.4">
      <c r="A2440" s="6">
        <v>1</v>
      </c>
      <c r="B2440" s="20" t="s">
        <v>12</v>
      </c>
      <c r="C2440" s="21" t="s">
        <v>600</v>
      </c>
      <c r="D2440" s="8" t="s">
        <v>11</v>
      </c>
      <c r="E2440" s="20">
        <v>1.3</v>
      </c>
      <c r="F2440" s="9">
        <v>293000</v>
      </c>
      <c r="G2440" s="10">
        <f t="shared" ref="G2440:G2442" si="161">IFERROR(E2440*F2440,0)</f>
        <v>380900</v>
      </c>
      <c r="H2440" s="11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ht="26.25" x14ac:dyDescent="0.4">
      <c r="A2441" s="6">
        <v>2</v>
      </c>
      <c r="B2441" s="22" t="s">
        <v>383</v>
      </c>
      <c r="C2441" s="23" t="s">
        <v>601</v>
      </c>
      <c r="D2441" s="13" t="s">
        <v>13</v>
      </c>
      <c r="E2441" s="22">
        <v>2.2400000000000002</v>
      </c>
      <c r="F2441" s="14">
        <v>435000</v>
      </c>
      <c r="G2441" s="10">
        <f t="shared" si="161"/>
        <v>974400.00000000012</v>
      </c>
      <c r="H2441" s="11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ht="26.25" x14ac:dyDescent="0.4">
      <c r="A2442" s="6">
        <v>3</v>
      </c>
      <c r="B2442" s="15" t="s">
        <v>14</v>
      </c>
      <c r="C2442" s="11"/>
      <c r="D2442" s="11"/>
      <c r="E2442" s="11"/>
      <c r="F2442" s="11"/>
      <c r="G2442" s="16">
        <f t="shared" si="161"/>
        <v>0</v>
      </c>
      <c r="H2442" s="11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ht="26.25" x14ac:dyDescent="0.4">
      <c r="A2443" s="29" t="s">
        <v>15</v>
      </c>
      <c r="B2443" s="26"/>
      <c r="C2443" s="26"/>
      <c r="D2443" s="26"/>
      <c r="E2443" s="26"/>
      <c r="F2443" s="26"/>
      <c r="G2443" s="27"/>
      <c r="H2443" s="17">
        <f>SUM(G2440:G2442)</f>
        <v>1355300</v>
      </c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ht="26.25" x14ac:dyDescent="0.4">
      <c r="A2444" s="29" t="s">
        <v>16</v>
      </c>
      <c r="B2444" s="26"/>
      <c r="C2444" s="26"/>
      <c r="D2444" s="26"/>
      <c r="E2444" s="26"/>
      <c r="F2444" s="26"/>
      <c r="G2444" s="27"/>
      <c r="H2444" s="17">
        <f>MAX(0,H2443-648000)</f>
        <v>707300</v>
      </c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ht="26.25" x14ac:dyDescent="0.4">
      <c r="A2445" s="25" t="s">
        <v>17</v>
      </c>
      <c r="B2445" s="26"/>
      <c r="C2445" s="26"/>
      <c r="D2445" s="26"/>
      <c r="E2445" s="26"/>
      <c r="F2445" s="26"/>
      <c r="G2445" s="27"/>
      <c r="H2445" s="18">
        <v>649000</v>
      </c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ht="26.25" x14ac:dyDescent="0.4">
      <c r="A2446" s="28" t="s">
        <v>18</v>
      </c>
      <c r="B2446" s="26"/>
      <c r="C2446" s="26"/>
      <c r="D2446" s="26"/>
      <c r="E2446" s="26"/>
      <c r="F2446" s="26"/>
      <c r="G2446" s="26"/>
      <c r="H2446" s="27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ht="12.75" x14ac:dyDescent="0.2"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51" spans="1:26" ht="15.75" customHeight="1" x14ac:dyDescent="0.4">
      <c r="A2451" s="28" t="s">
        <v>0</v>
      </c>
      <c r="B2451" s="26"/>
      <c r="C2451" s="26"/>
      <c r="D2451" s="26"/>
      <c r="E2451" s="26"/>
      <c r="F2451" s="26"/>
      <c r="G2451" s="26"/>
      <c r="H2451" s="27"/>
    </row>
    <row r="2452" spans="1:26" ht="15.75" customHeight="1" x14ac:dyDescent="0.4">
      <c r="A2452" s="28" t="s">
        <v>602</v>
      </c>
      <c r="B2452" s="26"/>
      <c r="C2452" s="26"/>
      <c r="D2452" s="26"/>
      <c r="E2452" s="26"/>
      <c r="F2452" s="26"/>
      <c r="G2452" s="26"/>
      <c r="H2452" s="27"/>
    </row>
    <row r="2453" spans="1:26" ht="15.75" customHeight="1" x14ac:dyDescent="0.3">
      <c r="A2453" s="3" t="s">
        <v>2</v>
      </c>
      <c r="B2453" s="3" t="s">
        <v>3</v>
      </c>
      <c r="C2453" s="3" t="s">
        <v>4</v>
      </c>
      <c r="D2453" s="3" t="s">
        <v>5</v>
      </c>
      <c r="E2453" s="3" t="s">
        <v>6</v>
      </c>
      <c r="F2453" s="4" t="s">
        <v>7</v>
      </c>
      <c r="G2453" s="3" t="s">
        <v>8</v>
      </c>
      <c r="H2453" s="5"/>
    </row>
    <row r="2454" spans="1:26" ht="26.25" x14ac:dyDescent="0.4">
      <c r="A2454" s="6">
        <v>1</v>
      </c>
      <c r="B2454" s="20" t="s">
        <v>137</v>
      </c>
      <c r="C2454" s="21" t="s">
        <v>603</v>
      </c>
      <c r="D2454" s="8" t="s">
        <v>11</v>
      </c>
      <c r="E2454" s="20">
        <v>2</v>
      </c>
      <c r="F2454" s="9">
        <v>293000</v>
      </c>
      <c r="G2454" s="10">
        <f t="shared" ref="G2454:G2456" si="162">IFERROR(E2454*F2454,0)</f>
        <v>586000</v>
      </c>
      <c r="H2454" s="11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ht="26.25" x14ac:dyDescent="0.4">
      <c r="A2455" s="6">
        <v>2</v>
      </c>
      <c r="B2455" s="22" t="s">
        <v>25</v>
      </c>
      <c r="C2455" s="23" t="s">
        <v>604</v>
      </c>
      <c r="D2455" s="13" t="s">
        <v>13</v>
      </c>
      <c r="E2455" s="22">
        <v>1.46</v>
      </c>
      <c r="F2455" s="14">
        <v>435000</v>
      </c>
      <c r="G2455" s="10">
        <f t="shared" si="162"/>
        <v>635100</v>
      </c>
      <c r="H2455" s="11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ht="26.25" x14ac:dyDescent="0.4">
      <c r="A2456" s="6">
        <v>3</v>
      </c>
      <c r="B2456" s="15" t="s">
        <v>14</v>
      </c>
      <c r="C2456" s="11"/>
      <c r="D2456" s="11"/>
      <c r="E2456" s="11"/>
      <c r="F2456" s="11"/>
      <c r="G2456" s="16">
        <f t="shared" si="162"/>
        <v>0</v>
      </c>
      <c r="H2456" s="11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ht="26.25" x14ac:dyDescent="0.4">
      <c r="A2457" s="29" t="s">
        <v>15</v>
      </c>
      <c r="B2457" s="26"/>
      <c r="C2457" s="26"/>
      <c r="D2457" s="26"/>
      <c r="E2457" s="26"/>
      <c r="F2457" s="26"/>
      <c r="G2457" s="27"/>
      <c r="H2457" s="17">
        <f>SUM(G2454:G2456)</f>
        <v>1221100</v>
      </c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ht="26.25" x14ac:dyDescent="0.4">
      <c r="A2458" s="29" t="s">
        <v>16</v>
      </c>
      <c r="B2458" s="26"/>
      <c r="C2458" s="26"/>
      <c r="D2458" s="26"/>
      <c r="E2458" s="26"/>
      <c r="F2458" s="26"/>
      <c r="G2458" s="27"/>
      <c r="H2458" s="17">
        <f>MAX(0,H2457-648000)</f>
        <v>573100</v>
      </c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ht="26.25" x14ac:dyDescent="0.4">
      <c r="A2459" s="25" t="s">
        <v>17</v>
      </c>
      <c r="B2459" s="26"/>
      <c r="C2459" s="26"/>
      <c r="D2459" s="26"/>
      <c r="E2459" s="26"/>
      <c r="F2459" s="26"/>
      <c r="G2459" s="27"/>
      <c r="H2459" s="18">
        <v>649000</v>
      </c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ht="26.25" x14ac:dyDescent="0.4">
      <c r="A2460" s="28" t="s">
        <v>18</v>
      </c>
      <c r="B2460" s="26"/>
      <c r="C2460" s="26"/>
      <c r="D2460" s="26"/>
      <c r="E2460" s="26"/>
      <c r="F2460" s="26"/>
      <c r="G2460" s="26"/>
      <c r="H2460" s="27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ht="12.75" x14ac:dyDescent="0.2"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ht="12.75" x14ac:dyDescent="0.2"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ht="12.75" x14ac:dyDescent="0.2"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7" spans="1:26" ht="15.75" customHeight="1" x14ac:dyDescent="0.4">
      <c r="A2467" s="28" t="s">
        <v>0</v>
      </c>
      <c r="B2467" s="26"/>
      <c r="C2467" s="26"/>
      <c r="D2467" s="26"/>
      <c r="E2467" s="26"/>
      <c r="F2467" s="26"/>
      <c r="G2467" s="26"/>
      <c r="H2467" s="27"/>
    </row>
    <row r="2468" spans="1:26" ht="26.25" x14ac:dyDescent="0.4">
      <c r="A2468" s="28" t="s">
        <v>605</v>
      </c>
      <c r="B2468" s="26"/>
      <c r="C2468" s="26"/>
      <c r="D2468" s="26"/>
      <c r="E2468" s="26"/>
      <c r="F2468" s="26"/>
      <c r="G2468" s="26"/>
      <c r="H2468" s="27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ht="18.75" x14ac:dyDescent="0.3">
      <c r="A2469" s="3" t="s">
        <v>2</v>
      </c>
      <c r="B2469" s="3" t="s">
        <v>3</v>
      </c>
      <c r="C2469" s="3" t="s">
        <v>4</v>
      </c>
      <c r="D2469" s="3" t="s">
        <v>5</v>
      </c>
      <c r="E2469" s="3" t="s">
        <v>6</v>
      </c>
      <c r="F2469" s="4" t="s">
        <v>7</v>
      </c>
      <c r="G2469" s="3" t="s">
        <v>8</v>
      </c>
      <c r="H2469" s="5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ht="26.25" x14ac:dyDescent="0.4">
      <c r="A2470" s="6">
        <v>1</v>
      </c>
      <c r="B2470" s="20" t="s">
        <v>606</v>
      </c>
      <c r="C2470" s="21" t="s">
        <v>607</v>
      </c>
      <c r="D2470" s="8" t="s">
        <v>11</v>
      </c>
      <c r="E2470" s="20">
        <v>1.45</v>
      </c>
      <c r="F2470" s="9">
        <v>293000</v>
      </c>
      <c r="G2470" s="10">
        <f t="shared" ref="G2470:G2472" si="163">IFERROR(E2470*F2470,0)</f>
        <v>424850</v>
      </c>
      <c r="H2470" s="11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ht="26.25" x14ac:dyDescent="0.4">
      <c r="A2471" s="6">
        <v>2</v>
      </c>
      <c r="B2471" s="22" t="s">
        <v>608</v>
      </c>
      <c r="C2471" s="23" t="s">
        <v>609</v>
      </c>
      <c r="D2471" s="13" t="s">
        <v>13</v>
      </c>
      <c r="E2471" s="22">
        <v>1.96</v>
      </c>
      <c r="F2471" s="14">
        <v>435000</v>
      </c>
      <c r="G2471" s="10">
        <f t="shared" si="163"/>
        <v>852600</v>
      </c>
      <c r="H2471" s="11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ht="26.25" x14ac:dyDescent="0.4">
      <c r="A2472" s="6">
        <v>3</v>
      </c>
      <c r="B2472" s="15" t="s">
        <v>14</v>
      </c>
      <c r="C2472" s="11"/>
      <c r="D2472" s="11"/>
      <c r="E2472" s="11"/>
      <c r="F2472" s="11"/>
      <c r="G2472" s="16">
        <f t="shared" si="163"/>
        <v>0</v>
      </c>
      <c r="H2472" s="11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ht="26.25" x14ac:dyDescent="0.4">
      <c r="A2473" s="29" t="s">
        <v>15</v>
      </c>
      <c r="B2473" s="26"/>
      <c r="C2473" s="26"/>
      <c r="D2473" s="26"/>
      <c r="E2473" s="26"/>
      <c r="F2473" s="26"/>
      <c r="G2473" s="27"/>
      <c r="H2473" s="17">
        <f>SUM(G2470:G2472)</f>
        <v>1277450</v>
      </c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ht="26.25" x14ac:dyDescent="0.4">
      <c r="A2474" s="29" t="s">
        <v>16</v>
      </c>
      <c r="B2474" s="26"/>
      <c r="C2474" s="26"/>
      <c r="D2474" s="26"/>
      <c r="E2474" s="26"/>
      <c r="F2474" s="26"/>
      <c r="G2474" s="27"/>
      <c r="H2474" s="17">
        <f>MAX(0,H2473-648000)</f>
        <v>629450</v>
      </c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ht="26.25" x14ac:dyDescent="0.4">
      <c r="A2475" s="25" t="s">
        <v>17</v>
      </c>
      <c r="B2475" s="26"/>
      <c r="C2475" s="26"/>
      <c r="D2475" s="26"/>
      <c r="E2475" s="26"/>
      <c r="F2475" s="26"/>
      <c r="G2475" s="27"/>
      <c r="H2475" s="18">
        <v>649000</v>
      </c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ht="26.25" x14ac:dyDescent="0.4">
      <c r="A2476" s="28" t="s">
        <v>18</v>
      </c>
      <c r="B2476" s="26"/>
      <c r="C2476" s="26"/>
      <c r="D2476" s="26"/>
      <c r="E2476" s="26"/>
      <c r="F2476" s="26"/>
      <c r="G2476" s="26"/>
      <c r="H2476" s="27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ht="12.75" x14ac:dyDescent="0.2"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81" spans="1:26" ht="15.75" customHeight="1" x14ac:dyDescent="0.4">
      <c r="A2481" s="28" t="s">
        <v>0</v>
      </c>
      <c r="B2481" s="26"/>
      <c r="C2481" s="26"/>
      <c r="D2481" s="26"/>
      <c r="E2481" s="26"/>
      <c r="F2481" s="26"/>
      <c r="G2481" s="26"/>
      <c r="H2481" s="27"/>
    </row>
    <row r="2482" spans="1:26" ht="15.75" customHeight="1" x14ac:dyDescent="0.4">
      <c r="A2482" s="28" t="s">
        <v>610</v>
      </c>
      <c r="B2482" s="26"/>
      <c r="C2482" s="26"/>
      <c r="D2482" s="26"/>
      <c r="E2482" s="26"/>
      <c r="F2482" s="26"/>
      <c r="G2482" s="26"/>
      <c r="H2482" s="27"/>
    </row>
    <row r="2483" spans="1:26" ht="18.75" x14ac:dyDescent="0.3">
      <c r="A2483" s="3" t="s">
        <v>2</v>
      </c>
      <c r="B2483" s="3" t="s">
        <v>3</v>
      </c>
      <c r="C2483" s="3" t="s">
        <v>4</v>
      </c>
      <c r="D2483" s="3" t="s">
        <v>5</v>
      </c>
      <c r="E2483" s="3" t="s">
        <v>6</v>
      </c>
      <c r="F2483" s="4" t="s">
        <v>7</v>
      </c>
      <c r="G2483" s="3" t="s">
        <v>8</v>
      </c>
      <c r="H2483" s="5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ht="26.25" x14ac:dyDescent="0.4">
      <c r="A2484" s="6">
        <v>1</v>
      </c>
      <c r="B2484" s="20" t="s">
        <v>611</v>
      </c>
      <c r="C2484" s="21" t="s">
        <v>612</v>
      </c>
      <c r="D2484" s="8" t="s">
        <v>11</v>
      </c>
      <c r="E2484" s="20">
        <v>1.4</v>
      </c>
      <c r="F2484" s="9">
        <v>293000</v>
      </c>
      <c r="G2484" s="10">
        <f t="shared" ref="G2484:G2486" si="164">IFERROR(E2484*F2484,0)</f>
        <v>410200</v>
      </c>
      <c r="H2484" s="11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ht="26.25" x14ac:dyDescent="0.4">
      <c r="A2485" s="6">
        <v>2</v>
      </c>
      <c r="B2485" s="22" t="s">
        <v>613</v>
      </c>
      <c r="C2485" s="23" t="s">
        <v>614</v>
      </c>
      <c r="D2485" s="13" t="s">
        <v>13</v>
      </c>
      <c r="E2485" s="22">
        <v>1.64</v>
      </c>
      <c r="F2485" s="14">
        <v>435000</v>
      </c>
      <c r="G2485" s="10">
        <f t="shared" si="164"/>
        <v>713400</v>
      </c>
      <c r="H2485" s="11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ht="26.25" x14ac:dyDescent="0.4">
      <c r="A2486" s="6">
        <v>3</v>
      </c>
      <c r="B2486" s="15" t="s">
        <v>14</v>
      </c>
      <c r="C2486" s="11"/>
      <c r="D2486" s="11"/>
      <c r="E2486" s="11"/>
      <c r="F2486" s="11"/>
      <c r="G2486" s="16">
        <f t="shared" si="164"/>
        <v>0</v>
      </c>
      <c r="H2486" s="11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ht="26.25" x14ac:dyDescent="0.4">
      <c r="A2487" s="29" t="s">
        <v>15</v>
      </c>
      <c r="B2487" s="26"/>
      <c r="C2487" s="26"/>
      <c r="D2487" s="26"/>
      <c r="E2487" s="26"/>
      <c r="F2487" s="26"/>
      <c r="G2487" s="27"/>
      <c r="H2487" s="17">
        <f>SUM(G2484:G2486)</f>
        <v>1123600</v>
      </c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ht="26.25" x14ac:dyDescent="0.4">
      <c r="A2488" s="29" t="s">
        <v>16</v>
      </c>
      <c r="B2488" s="26"/>
      <c r="C2488" s="26"/>
      <c r="D2488" s="26"/>
      <c r="E2488" s="26"/>
      <c r="F2488" s="26"/>
      <c r="G2488" s="27"/>
      <c r="H2488" s="17">
        <f>MAX(0,H2487-648000)</f>
        <v>475600</v>
      </c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ht="26.25" x14ac:dyDescent="0.4">
      <c r="A2489" s="25" t="s">
        <v>17</v>
      </c>
      <c r="B2489" s="26"/>
      <c r="C2489" s="26"/>
      <c r="D2489" s="26"/>
      <c r="E2489" s="26"/>
      <c r="F2489" s="26"/>
      <c r="G2489" s="27"/>
      <c r="H2489" s="18">
        <v>649000</v>
      </c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ht="26.25" x14ac:dyDescent="0.4">
      <c r="A2490" s="28" t="s">
        <v>18</v>
      </c>
      <c r="B2490" s="26"/>
      <c r="C2490" s="26"/>
      <c r="D2490" s="26"/>
      <c r="E2490" s="26"/>
      <c r="F2490" s="26"/>
      <c r="G2490" s="26"/>
      <c r="H2490" s="27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ht="12.75" x14ac:dyDescent="0.2"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ht="12.75" x14ac:dyDescent="0.2"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6" spans="1:26" ht="15.75" customHeight="1" x14ac:dyDescent="0.4">
      <c r="A2496" s="28" t="s">
        <v>0</v>
      </c>
      <c r="B2496" s="26"/>
      <c r="C2496" s="26"/>
      <c r="D2496" s="26"/>
      <c r="E2496" s="26"/>
      <c r="F2496" s="26"/>
      <c r="G2496" s="26"/>
      <c r="H2496" s="27"/>
    </row>
    <row r="2497" spans="1:26" ht="15.75" customHeight="1" x14ac:dyDescent="0.4">
      <c r="A2497" s="28" t="s">
        <v>615</v>
      </c>
      <c r="B2497" s="26"/>
      <c r="C2497" s="26"/>
      <c r="D2497" s="26"/>
      <c r="E2497" s="26"/>
      <c r="F2497" s="26"/>
      <c r="G2497" s="26"/>
      <c r="H2497" s="27"/>
    </row>
    <row r="2498" spans="1:26" ht="18.75" x14ac:dyDescent="0.3">
      <c r="A2498" s="3" t="s">
        <v>2</v>
      </c>
      <c r="B2498" s="3" t="s">
        <v>3</v>
      </c>
      <c r="C2498" s="3" t="s">
        <v>4</v>
      </c>
      <c r="D2498" s="3" t="s">
        <v>5</v>
      </c>
      <c r="E2498" s="3" t="s">
        <v>6</v>
      </c>
      <c r="F2498" s="4" t="s">
        <v>7</v>
      </c>
      <c r="G2498" s="3" t="s">
        <v>8</v>
      </c>
      <c r="H2498" s="5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ht="26.25" x14ac:dyDescent="0.4">
      <c r="A2499" s="6">
        <v>1</v>
      </c>
      <c r="B2499" s="20" t="s">
        <v>39</v>
      </c>
      <c r="C2499" s="21" t="s">
        <v>616</v>
      </c>
      <c r="D2499" s="8" t="s">
        <v>11</v>
      </c>
      <c r="E2499" s="20">
        <v>1.5</v>
      </c>
      <c r="F2499" s="9">
        <v>293000</v>
      </c>
      <c r="G2499" s="10">
        <f t="shared" ref="G2499:G2501" si="165">IFERROR(E2499*F2499,0)</f>
        <v>439500</v>
      </c>
      <c r="H2499" s="11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ht="26.25" x14ac:dyDescent="0.4">
      <c r="A2500" s="6">
        <v>2</v>
      </c>
      <c r="B2500" s="22" t="s">
        <v>617</v>
      </c>
      <c r="C2500" s="23" t="s">
        <v>618</v>
      </c>
      <c r="D2500" s="13" t="s">
        <v>13</v>
      </c>
      <c r="E2500" s="22">
        <v>2</v>
      </c>
      <c r="F2500" s="14">
        <v>435000</v>
      </c>
      <c r="G2500" s="10">
        <f t="shared" si="165"/>
        <v>870000</v>
      </c>
      <c r="H2500" s="11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ht="26.25" x14ac:dyDescent="0.4">
      <c r="A2501" s="6">
        <v>3</v>
      </c>
      <c r="B2501" s="15" t="s">
        <v>14</v>
      </c>
      <c r="C2501" s="11"/>
      <c r="D2501" s="11"/>
      <c r="E2501" s="11"/>
      <c r="F2501" s="11"/>
      <c r="G2501" s="16">
        <f t="shared" si="165"/>
        <v>0</v>
      </c>
      <c r="H2501" s="11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ht="26.25" x14ac:dyDescent="0.4">
      <c r="A2502" s="29" t="s">
        <v>15</v>
      </c>
      <c r="B2502" s="26"/>
      <c r="C2502" s="26"/>
      <c r="D2502" s="26"/>
      <c r="E2502" s="26"/>
      <c r="F2502" s="26"/>
      <c r="G2502" s="27"/>
      <c r="H2502" s="17">
        <f>SUM(G2499:G2501)</f>
        <v>1309500</v>
      </c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ht="26.25" x14ac:dyDescent="0.4">
      <c r="A2503" s="29" t="s">
        <v>16</v>
      </c>
      <c r="B2503" s="26"/>
      <c r="C2503" s="26"/>
      <c r="D2503" s="26"/>
      <c r="E2503" s="26"/>
      <c r="F2503" s="26"/>
      <c r="G2503" s="27"/>
      <c r="H2503" s="17">
        <f>MAX(0,H2502-648000)</f>
        <v>661500</v>
      </c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ht="26.25" x14ac:dyDescent="0.4">
      <c r="A2504" s="25" t="s">
        <v>17</v>
      </c>
      <c r="B2504" s="26"/>
      <c r="C2504" s="26"/>
      <c r="D2504" s="26"/>
      <c r="E2504" s="26"/>
      <c r="F2504" s="26"/>
      <c r="G2504" s="27"/>
      <c r="H2504" s="18">
        <v>649000</v>
      </c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ht="26.25" x14ac:dyDescent="0.4">
      <c r="A2505" s="28" t="s">
        <v>18</v>
      </c>
      <c r="B2505" s="26"/>
      <c r="C2505" s="26"/>
      <c r="D2505" s="26"/>
      <c r="E2505" s="26"/>
      <c r="F2505" s="26"/>
      <c r="G2505" s="26"/>
      <c r="H2505" s="27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ht="12.75" x14ac:dyDescent="0.2"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ht="12.75" x14ac:dyDescent="0.2"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11" spans="1:26" ht="15.75" customHeight="1" x14ac:dyDescent="0.4">
      <c r="A2511" s="28" t="s">
        <v>0</v>
      </c>
      <c r="B2511" s="26"/>
      <c r="C2511" s="26"/>
      <c r="D2511" s="26"/>
      <c r="E2511" s="26"/>
      <c r="F2511" s="26"/>
      <c r="G2511" s="26"/>
      <c r="H2511" s="27"/>
    </row>
    <row r="2512" spans="1:26" ht="26.25" x14ac:dyDescent="0.4">
      <c r="A2512" s="28" t="s">
        <v>619</v>
      </c>
      <c r="B2512" s="26"/>
      <c r="C2512" s="26"/>
      <c r="D2512" s="26"/>
      <c r="E2512" s="26"/>
      <c r="F2512" s="26"/>
      <c r="G2512" s="26"/>
      <c r="H2512" s="27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ht="18.75" x14ac:dyDescent="0.3">
      <c r="A2513" s="3" t="s">
        <v>2</v>
      </c>
      <c r="B2513" s="3" t="s">
        <v>3</v>
      </c>
      <c r="C2513" s="3" t="s">
        <v>4</v>
      </c>
      <c r="D2513" s="3" t="s">
        <v>5</v>
      </c>
      <c r="E2513" s="3" t="s">
        <v>6</v>
      </c>
      <c r="F2513" s="4" t="s">
        <v>7</v>
      </c>
      <c r="G2513" s="3" t="s">
        <v>8</v>
      </c>
      <c r="H2513" s="5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ht="26.25" x14ac:dyDescent="0.4">
      <c r="A2514" s="6">
        <v>1</v>
      </c>
      <c r="B2514" s="20" t="s">
        <v>58</v>
      </c>
      <c r="C2514" s="21" t="s">
        <v>620</v>
      </c>
      <c r="D2514" s="8" t="s">
        <v>11</v>
      </c>
      <c r="E2514" s="20">
        <v>1.3</v>
      </c>
      <c r="F2514" s="9">
        <v>293000</v>
      </c>
      <c r="G2514" s="10">
        <f t="shared" ref="G2514:G2516" si="166">IFERROR(E2514*F2514,0)</f>
        <v>380900</v>
      </c>
      <c r="H2514" s="11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ht="26.25" x14ac:dyDescent="0.4">
      <c r="A2515" s="6">
        <v>2</v>
      </c>
      <c r="B2515" s="22" t="s">
        <v>621</v>
      </c>
      <c r="C2515" s="23" t="s">
        <v>622</v>
      </c>
      <c r="D2515" s="13" t="s">
        <v>13</v>
      </c>
      <c r="E2515" s="22">
        <v>2.2999999999999998</v>
      </c>
      <c r="F2515" s="14">
        <v>435000</v>
      </c>
      <c r="G2515" s="10">
        <f t="shared" si="166"/>
        <v>1000499.9999999999</v>
      </c>
      <c r="H2515" s="11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ht="26.25" x14ac:dyDescent="0.4">
      <c r="A2516" s="6">
        <v>3</v>
      </c>
      <c r="B2516" s="15" t="s">
        <v>14</v>
      </c>
      <c r="C2516" s="11"/>
      <c r="D2516" s="11"/>
      <c r="E2516" s="11"/>
      <c r="F2516" s="11"/>
      <c r="G2516" s="16">
        <f t="shared" si="166"/>
        <v>0</v>
      </c>
      <c r="H2516" s="11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ht="26.25" x14ac:dyDescent="0.4">
      <c r="A2517" s="29" t="s">
        <v>15</v>
      </c>
      <c r="B2517" s="26"/>
      <c r="C2517" s="26"/>
      <c r="D2517" s="26"/>
      <c r="E2517" s="26"/>
      <c r="F2517" s="26"/>
      <c r="G2517" s="27"/>
      <c r="H2517" s="17">
        <f>SUM(G2514:G2516)</f>
        <v>1381400</v>
      </c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ht="26.25" x14ac:dyDescent="0.4">
      <c r="A2518" s="29" t="s">
        <v>16</v>
      </c>
      <c r="B2518" s="26"/>
      <c r="C2518" s="26"/>
      <c r="D2518" s="26"/>
      <c r="E2518" s="26"/>
      <c r="F2518" s="26"/>
      <c r="G2518" s="27"/>
      <c r="H2518" s="17">
        <f>MAX(0,H2517-648000)</f>
        <v>733400</v>
      </c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 ht="26.25" x14ac:dyDescent="0.4">
      <c r="A2519" s="25" t="s">
        <v>17</v>
      </c>
      <c r="B2519" s="26"/>
      <c r="C2519" s="26"/>
      <c r="D2519" s="26"/>
      <c r="E2519" s="26"/>
      <c r="F2519" s="26"/>
      <c r="G2519" s="27"/>
      <c r="H2519" s="18">
        <v>649000</v>
      </c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 ht="26.25" x14ac:dyDescent="0.4">
      <c r="A2520" s="28" t="s">
        <v>18</v>
      </c>
      <c r="B2520" s="26"/>
      <c r="C2520" s="26"/>
      <c r="D2520" s="26"/>
      <c r="E2520" s="26"/>
      <c r="F2520" s="26"/>
      <c r="G2520" s="26"/>
      <c r="H2520" s="27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 ht="12.75" x14ac:dyDescent="0.2"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5" spans="1:26" ht="15.75" customHeight="1" x14ac:dyDescent="0.4">
      <c r="A2525" s="28" t="s">
        <v>0</v>
      </c>
      <c r="B2525" s="26"/>
      <c r="C2525" s="26"/>
      <c r="D2525" s="26"/>
      <c r="E2525" s="26"/>
      <c r="F2525" s="26"/>
      <c r="G2525" s="26"/>
      <c r="H2525" s="27"/>
    </row>
    <row r="2526" spans="1:26" ht="15.75" customHeight="1" x14ac:dyDescent="0.4">
      <c r="A2526" s="28" t="s">
        <v>623</v>
      </c>
      <c r="B2526" s="26"/>
      <c r="C2526" s="26"/>
      <c r="D2526" s="26"/>
      <c r="E2526" s="26"/>
      <c r="F2526" s="26"/>
      <c r="G2526" s="26"/>
      <c r="H2526" s="27"/>
    </row>
    <row r="2527" spans="1:26" ht="18.75" x14ac:dyDescent="0.3">
      <c r="A2527" s="3" t="s">
        <v>2</v>
      </c>
      <c r="B2527" s="3" t="s">
        <v>3</v>
      </c>
      <c r="C2527" s="3" t="s">
        <v>4</v>
      </c>
      <c r="D2527" s="3" t="s">
        <v>5</v>
      </c>
      <c r="E2527" s="3" t="s">
        <v>6</v>
      </c>
      <c r="F2527" s="4" t="s">
        <v>7</v>
      </c>
      <c r="G2527" s="3" t="s">
        <v>8</v>
      </c>
      <c r="H2527" s="5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 ht="26.25" x14ac:dyDescent="0.4">
      <c r="A2528" s="6">
        <v>1</v>
      </c>
      <c r="B2528" s="20" t="s">
        <v>611</v>
      </c>
      <c r="C2528" s="21" t="s">
        <v>612</v>
      </c>
      <c r="D2528" s="8" t="s">
        <v>11</v>
      </c>
      <c r="E2528" s="20">
        <v>1.76</v>
      </c>
      <c r="F2528" s="9">
        <v>293000</v>
      </c>
      <c r="G2528" s="10">
        <f t="shared" ref="G2528:G2530" si="167">IFERROR(E2528*F2528,0)</f>
        <v>515680</v>
      </c>
      <c r="H2528" s="11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 ht="26.25" x14ac:dyDescent="0.4">
      <c r="A2529" s="6">
        <v>2</v>
      </c>
      <c r="B2529" s="22" t="s">
        <v>301</v>
      </c>
      <c r="C2529" s="23" t="s">
        <v>624</v>
      </c>
      <c r="D2529" s="13" t="s">
        <v>13</v>
      </c>
      <c r="E2529" s="22">
        <v>1.6</v>
      </c>
      <c r="F2529" s="14">
        <v>435000</v>
      </c>
      <c r="G2529" s="10">
        <f t="shared" si="167"/>
        <v>696000</v>
      </c>
      <c r="H2529" s="11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 ht="26.25" x14ac:dyDescent="0.4">
      <c r="A2530" s="6">
        <v>3</v>
      </c>
      <c r="B2530" s="15" t="s">
        <v>14</v>
      </c>
      <c r="C2530" s="11"/>
      <c r="D2530" s="11"/>
      <c r="E2530" s="11"/>
      <c r="F2530" s="11"/>
      <c r="G2530" s="16">
        <f t="shared" si="167"/>
        <v>0</v>
      </c>
      <c r="H2530" s="11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 ht="26.25" x14ac:dyDescent="0.4">
      <c r="A2531" s="29" t="s">
        <v>15</v>
      </c>
      <c r="B2531" s="26"/>
      <c r="C2531" s="26"/>
      <c r="D2531" s="26"/>
      <c r="E2531" s="26"/>
      <c r="F2531" s="26"/>
      <c r="G2531" s="27"/>
      <c r="H2531" s="17">
        <f>SUM(G2528:G2530)</f>
        <v>1211680</v>
      </c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 ht="26.25" x14ac:dyDescent="0.4">
      <c r="A2532" s="29" t="s">
        <v>16</v>
      </c>
      <c r="B2532" s="26"/>
      <c r="C2532" s="26"/>
      <c r="D2532" s="26"/>
      <c r="E2532" s="26"/>
      <c r="F2532" s="26"/>
      <c r="G2532" s="27"/>
      <c r="H2532" s="17">
        <f>MAX(0,H2531-648000)</f>
        <v>563680</v>
      </c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 ht="26.25" x14ac:dyDescent="0.4">
      <c r="A2533" s="25" t="s">
        <v>17</v>
      </c>
      <c r="B2533" s="26"/>
      <c r="C2533" s="26"/>
      <c r="D2533" s="26"/>
      <c r="E2533" s="26"/>
      <c r="F2533" s="26"/>
      <c r="G2533" s="27"/>
      <c r="H2533" s="18">
        <v>649000</v>
      </c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 ht="26.25" x14ac:dyDescent="0.4">
      <c r="A2534" s="28" t="s">
        <v>18</v>
      </c>
      <c r="B2534" s="26"/>
      <c r="C2534" s="26"/>
      <c r="D2534" s="26"/>
      <c r="E2534" s="26"/>
      <c r="F2534" s="26"/>
      <c r="G2534" s="26"/>
      <c r="H2534" s="27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 ht="12.75" x14ac:dyDescent="0.2"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 ht="12.75" x14ac:dyDescent="0.2"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40" spans="1:26" ht="15.75" customHeight="1" x14ac:dyDescent="0.4">
      <c r="A2540" s="28" t="s">
        <v>0</v>
      </c>
      <c r="B2540" s="26"/>
      <c r="C2540" s="26"/>
      <c r="D2540" s="26"/>
      <c r="E2540" s="26"/>
      <c r="F2540" s="26"/>
      <c r="G2540" s="26"/>
      <c r="H2540" s="27"/>
    </row>
    <row r="2541" spans="1:26" ht="15.75" customHeight="1" x14ac:dyDescent="0.4">
      <c r="A2541" s="28" t="s">
        <v>625</v>
      </c>
      <c r="B2541" s="26"/>
      <c r="C2541" s="26"/>
      <c r="D2541" s="26"/>
      <c r="E2541" s="26"/>
      <c r="F2541" s="26"/>
      <c r="G2541" s="26"/>
      <c r="H2541" s="27"/>
    </row>
    <row r="2542" spans="1:26" ht="15.75" customHeight="1" x14ac:dyDescent="0.3">
      <c r="A2542" s="3" t="s">
        <v>2</v>
      </c>
      <c r="B2542" s="3" t="s">
        <v>3</v>
      </c>
      <c r="C2542" s="3" t="s">
        <v>4</v>
      </c>
      <c r="D2542" s="3" t="s">
        <v>5</v>
      </c>
      <c r="E2542" s="3" t="s">
        <v>6</v>
      </c>
      <c r="F2542" s="4" t="s">
        <v>7</v>
      </c>
      <c r="G2542" s="3" t="s">
        <v>8</v>
      </c>
      <c r="H2542" s="5"/>
    </row>
    <row r="2543" spans="1:26" ht="26.25" x14ac:dyDescent="0.4">
      <c r="A2543" s="6">
        <v>1</v>
      </c>
      <c r="B2543" s="20" t="s">
        <v>529</v>
      </c>
      <c r="C2543" s="21" t="s">
        <v>626</v>
      </c>
      <c r="D2543" s="8" t="s">
        <v>11</v>
      </c>
      <c r="E2543" s="20">
        <v>1.3</v>
      </c>
      <c r="F2543" s="9">
        <v>293000</v>
      </c>
      <c r="G2543" s="10">
        <f t="shared" ref="G2543:G2545" si="168">IFERROR(E2543*F2543,0)</f>
        <v>380900</v>
      </c>
      <c r="H2543" s="11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 ht="26.25" x14ac:dyDescent="0.4">
      <c r="A2544" s="6">
        <v>2</v>
      </c>
      <c r="B2544" s="22" t="s">
        <v>12</v>
      </c>
      <c r="C2544" s="23" t="s">
        <v>627</v>
      </c>
      <c r="D2544" s="13" t="s">
        <v>13</v>
      </c>
      <c r="E2544" s="22">
        <v>2.1</v>
      </c>
      <c r="F2544" s="14">
        <v>435000</v>
      </c>
      <c r="G2544" s="10">
        <f t="shared" si="168"/>
        <v>913500</v>
      </c>
      <c r="H2544" s="11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 ht="26.25" x14ac:dyDescent="0.4">
      <c r="A2545" s="6">
        <v>3</v>
      </c>
      <c r="B2545" s="15" t="s">
        <v>14</v>
      </c>
      <c r="C2545" s="11"/>
      <c r="D2545" s="11"/>
      <c r="E2545" s="11"/>
      <c r="F2545" s="11"/>
      <c r="G2545" s="16">
        <f t="shared" si="168"/>
        <v>0</v>
      </c>
      <c r="H2545" s="11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 ht="26.25" x14ac:dyDescent="0.4">
      <c r="A2546" s="29" t="s">
        <v>15</v>
      </c>
      <c r="B2546" s="26"/>
      <c r="C2546" s="26"/>
      <c r="D2546" s="26"/>
      <c r="E2546" s="26"/>
      <c r="F2546" s="26"/>
      <c r="G2546" s="27"/>
      <c r="H2546" s="17">
        <f>SUM(G2543:G2545)</f>
        <v>1294400</v>
      </c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 ht="26.25" x14ac:dyDescent="0.4">
      <c r="A2547" s="29" t="s">
        <v>16</v>
      </c>
      <c r="B2547" s="26"/>
      <c r="C2547" s="26"/>
      <c r="D2547" s="26"/>
      <c r="E2547" s="26"/>
      <c r="F2547" s="26"/>
      <c r="G2547" s="27"/>
      <c r="H2547" s="17">
        <f>MAX(0,H2546-648000)</f>
        <v>646400</v>
      </c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 ht="26.25" x14ac:dyDescent="0.4">
      <c r="A2548" s="25" t="s">
        <v>17</v>
      </c>
      <c r="B2548" s="26"/>
      <c r="C2548" s="26"/>
      <c r="D2548" s="26"/>
      <c r="E2548" s="26"/>
      <c r="F2548" s="26"/>
      <c r="G2548" s="27"/>
      <c r="H2548" s="18">
        <v>649000</v>
      </c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 ht="26.25" x14ac:dyDescent="0.4">
      <c r="A2549" s="28" t="s">
        <v>18</v>
      </c>
      <c r="B2549" s="26"/>
      <c r="C2549" s="26"/>
      <c r="D2549" s="26"/>
      <c r="E2549" s="26"/>
      <c r="F2549" s="26"/>
      <c r="G2549" s="26"/>
      <c r="H2549" s="27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 ht="12.75" x14ac:dyDescent="0.2"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 ht="12.75" x14ac:dyDescent="0.2"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 ht="12.75" x14ac:dyDescent="0.2"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6" spans="1:26" ht="15.75" customHeight="1" x14ac:dyDescent="0.4">
      <c r="A2556" s="28" t="s">
        <v>0</v>
      </c>
      <c r="B2556" s="26"/>
      <c r="C2556" s="26"/>
      <c r="D2556" s="26"/>
      <c r="E2556" s="26"/>
      <c r="F2556" s="26"/>
      <c r="G2556" s="26"/>
      <c r="H2556" s="27"/>
    </row>
    <row r="2557" spans="1:26" ht="26.25" x14ac:dyDescent="0.4">
      <c r="A2557" s="28" t="s">
        <v>628</v>
      </c>
      <c r="B2557" s="26"/>
      <c r="C2557" s="26"/>
      <c r="D2557" s="26"/>
      <c r="E2557" s="26"/>
      <c r="F2557" s="26"/>
      <c r="G2557" s="26"/>
      <c r="H2557" s="27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 ht="18.75" x14ac:dyDescent="0.3">
      <c r="A2558" s="3" t="s">
        <v>2</v>
      </c>
      <c r="B2558" s="3" t="s">
        <v>3</v>
      </c>
      <c r="C2558" s="3" t="s">
        <v>4</v>
      </c>
      <c r="D2558" s="3" t="s">
        <v>5</v>
      </c>
      <c r="E2558" s="3" t="s">
        <v>6</v>
      </c>
      <c r="F2558" s="4" t="s">
        <v>7</v>
      </c>
      <c r="G2558" s="3" t="s">
        <v>8</v>
      </c>
      <c r="H2558" s="5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 ht="26.25" x14ac:dyDescent="0.4">
      <c r="A2559" s="6">
        <v>1</v>
      </c>
      <c r="B2559" s="20" t="s">
        <v>327</v>
      </c>
      <c r="C2559" s="21" t="s">
        <v>629</v>
      </c>
      <c r="D2559" s="8" t="s">
        <v>11</v>
      </c>
      <c r="E2559" s="20">
        <v>2.5</v>
      </c>
      <c r="F2559" s="9">
        <v>293000</v>
      </c>
      <c r="G2559" s="10">
        <f t="shared" ref="G2559:G2561" si="169">IFERROR(E2559*F2559,0)</f>
        <v>732500</v>
      </c>
      <c r="H2559" s="11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 ht="26.25" x14ac:dyDescent="0.4">
      <c r="A2560" s="6">
        <v>2</v>
      </c>
      <c r="B2560" s="22" t="s">
        <v>240</v>
      </c>
      <c r="C2560" s="23" t="s">
        <v>630</v>
      </c>
      <c r="D2560" s="13" t="s">
        <v>13</v>
      </c>
      <c r="E2560" s="22">
        <v>1</v>
      </c>
      <c r="F2560" s="14">
        <v>435000</v>
      </c>
      <c r="G2560" s="10">
        <f t="shared" si="169"/>
        <v>435000</v>
      </c>
      <c r="H2560" s="11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 ht="26.25" x14ac:dyDescent="0.4">
      <c r="A2561" s="6">
        <v>3</v>
      </c>
      <c r="B2561" s="15" t="s">
        <v>14</v>
      </c>
      <c r="C2561" s="11"/>
      <c r="D2561" s="11"/>
      <c r="E2561" s="11"/>
      <c r="F2561" s="11"/>
      <c r="G2561" s="16">
        <f t="shared" si="169"/>
        <v>0</v>
      </c>
      <c r="H2561" s="11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 ht="26.25" x14ac:dyDescent="0.4">
      <c r="A2562" s="29" t="s">
        <v>15</v>
      </c>
      <c r="B2562" s="26"/>
      <c r="C2562" s="26"/>
      <c r="D2562" s="26"/>
      <c r="E2562" s="26"/>
      <c r="F2562" s="26"/>
      <c r="G2562" s="27"/>
      <c r="H2562" s="17">
        <f>SUM(G2559:G2561)</f>
        <v>1167500</v>
      </c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 ht="26.25" x14ac:dyDescent="0.4">
      <c r="A2563" s="29" t="s">
        <v>16</v>
      </c>
      <c r="B2563" s="26"/>
      <c r="C2563" s="26"/>
      <c r="D2563" s="26"/>
      <c r="E2563" s="26"/>
      <c r="F2563" s="26"/>
      <c r="G2563" s="27"/>
      <c r="H2563" s="17">
        <f>MAX(0,H2562-648000)</f>
        <v>519500</v>
      </c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 ht="26.25" x14ac:dyDescent="0.4">
      <c r="A2564" s="25" t="s">
        <v>17</v>
      </c>
      <c r="B2564" s="26"/>
      <c r="C2564" s="26"/>
      <c r="D2564" s="26"/>
      <c r="E2564" s="26"/>
      <c r="F2564" s="26"/>
      <c r="G2564" s="27"/>
      <c r="H2564" s="18">
        <v>649000</v>
      </c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 ht="26.25" x14ac:dyDescent="0.4">
      <c r="A2565" s="28" t="s">
        <v>18</v>
      </c>
      <c r="B2565" s="26"/>
      <c r="C2565" s="26"/>
      <c r="D2565" s="26"/>
      <c r="E2565" s="26"/>
      <c r="F2565" s="26"/>
      <c r="G2565" s="26"/>
      <c r="H2565" s="27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 ht="12.75" x14ac:dyDescent="0.2"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70" spans="1:26" ht="15.75" customHeight="1" x14ac:dyDescent="0.4">
      <c r="A2570" s="28" t="s">
        <v>0</v>
      </c>
      <c r="B2570" s="26"/>
      <c r="C2570" s="26"/>
      <c r="D2570" s="26"/>
      <c r="E2570" s="26"/>
      <c r="F2570" s="26"/>
      <c r="G2570" s="26"/>
      <c r="H2570" s="27"/>
    </row>
    <row r="2571" spans="1:26" ht="15.75" customHeight="1" x14ac:dyDescent="0.4">
      <c r="A2571" s="28" t="s">
        <v>631</v>
      </c>
      <c r="B2571" s="26"/>
      <c r="C2571" s="26"/>
      <c r="D2571" s="26"/>
      <c r="E2571" s="26"/>
      <c r="F2571" s="26"/>
      <c r="G2571" s="26"/>
      <c r="H2571" s="27"/>
    </row>
    <row r="2572" spans="1:26" ht="18.75" x14ac:dyDescent="0.3">
      <c r="A2572" s="3" t="s">
        <v>2</v>
      </c>
      <c r="B2572" s="3" t="s">
        <v>3</v>
      </c>
      <c r="C2572" s="3" t="s">
        <v>4</v>
      </c>
      <c r="D2572" s="3" t="s">
        <v>5</v>
      </c>
      <c r="E2572" s="3" t="s">
        <v>6</v>
      </c>
      <c r="F2572" s="4" t="s">
        <v>7</v>
      </c>
      <c r="G2572" s="3" t="s">
        <v>8</v>
      </c>
      <c r="H2572" s="5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 ht="26.25" x14ac:dyDescent="0.4">
      <c r="A2573" s="6">
        <v>1</v>
      </c>
      <c r="B2573" s="20" t="s">
        <v>34</v>
      </c>
      <c r="C2573" s="21" t="s">
        <v>632</v>
      </c>
      <c r="D2573" s="8" t="s">
        <v>11</v>
      </c>
      <c r="E2573" s="20">
        <v>1.5</v>
      </c>
      <c r="F2573" s="9">
        <v>293000</v>
      </c>
      <c r="G2573" s="10">
        <f t="shared" ref="G2573:G2575" si="170">IFERROR(E2573*F2573,0)</f>
        <v>439500</v>
      </c>
      <c r="H2573" s="11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 ht="26.25" x14ac:dyDescent="0.4">
      <c r="A2574" s="6">
        <v>2</v>
      </c>
      <c r="B2574" s="22" t="s">
        <v>190</v>
      </c>
      <c r="C2574" s="23" t="s">
        <v>191</v>
      </c>
      <c r="D2574" s="13" t="s">
        <v>13</v>
      </c>
      <c r="E2574" s="22">
        <v>2</v>
      </c>
      <c r="F2574" s="14">
        <v>435000</v>
      </c>
      <c r="G2574" s="10">
        <f t="shared" si="170"/>
        <v>870000</v>
      </c>
      <c r="H2574" s="11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 ht="26.25" x14ac:dyDescent="0.4">
      <c r="A2575" s="6">
        <v>3</v>
      </c>
      <c r="B2575" s="15" t="s">
        <v>14</v>
      </c>
      <c r="C2575" s="11"/>
      <c r="D2575" s="11"/>
      <c r="E2575" s="11"/>
      <c r="F2575" s="11"/>
      <c r="G2575" s="16">
        <f t="shared" si="170"/>
        <v>0</v>
      </c>
      <c r="H2575" s="11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 ht="26.25" x14ac:dyDescent="0.4">
      <c r="A2576" s="29" t="s">
        <v>15</v>
      </c>
      <c r="B2576" s="26"/>
      <c r="C2576" s="26"/>
      <c r="D2576" s="26"/>
      <c r="E2576" s="26"/>
      <c r="F2576" s="26"/>
      <c r="G2576" s="27"/>
      <c r="H2576" s="17">
        <f>SUM(G2573:G2575)</f>
        <v>1309500</v>
      </c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 ht="26.25" x14ac:dyDescent="0.4">
      <c r="A2577" s="29" t="s">
        <v>16</v>
      </c>
      <c r="B2577" s="26"/>
      <c r="C2577" s="26"/>
      <c r="D2577" s="26"/>
      <c r="E2577" s="26"/>
      <c r="F2577" s="26"/>
      <c r="G2577" s="27"/>
      <c r="H2577" s="17">
        <f>MAX(0,H2576-648000)</f>
        <v>661500</v>
      </c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 ht="26.25" x14ac:dyDescent="0.4">
      <c r="A2578" s="25" t="s">
        <v>17</v>
      </c>
      <c r="B2578" s="26"/>
      <c r="C2578" s="26"/>
      <c r="D2578" s="26"/>
      <c r="E2578" s="26"/>
      <c r="F2578" s="26"/>
      <c r="G2578" s="27"/>
      <c r="H2578" s="18">
        <v>649000</v>
      </c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 ht="26.25" x14ac:dyDescent="0.4">
      <c r="A2579" s="28" t="s">
        <v>18</v>
      </c>
      <c r="B2579" s="26"/>
      <c r="C2579" s="26"/>
      <c r="D2579" s="26"/>
      <c r="E2579" s="26"/>
      <c r="F2579" s="26"/>
      <c r="G2579" s="26"/>
      <c r="H2579" s="27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 ht="12.75" x14ac:dyDescent="0.2"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 ht="12.75" x14ac:dyDescent="0.2"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5" spans="1:26" ht="15.75" customHeight="1" x14ac:dyDescent="0.4">
      <c r="A2585" s="28" t="s">
        <v>0</v>
      </c>
      <c r="B2585" s="26"/>
      <c r="C2585" s="26"/>
      <c r="D2585" s="26"/>
      <c r="E2585" s="26"/>
      <c r="F2585" s="26"/>
      <c r="G2585" s="26"/>
      <c r="H2585" s="27"/>
    </row>
    <row r="2586" spans="1:26" ht="15.75" customHeight="1" x14ac:dyDescent="0.4">
      <c r="A2586" s="28" t="s">
        <v>633</v>
      </c>
      <c r="B2586" s="26"/>
      <c r="C2586" s="26"/>
      <c r="D2586" s="26"/>
      <c r="E2586" s="26"/>
      <c r="F2586" s="26"/>
      <c r="G2586" s="26"/>
      <c r="H2586" s="27"/>
    </row>
    <row r="2587" spans="1:26" ht="18.75" x14ac:dyDescent="0.3">
      <c r="A2587" s="3" t="s">
        <v>2</v>
      </c>
      <c r="B2587" s="3" t="s">
        <v>3</v>
      </c>
      <c r="C2587" s="3" t="s">
        <v>4</v>
      </c>
      <c r="D2587" s="3" t="s">
        <v>5</v>
      </c>
      <c r="E2587" s="3" t="s">
        <v>6</v>
      </c>
      <c r="F2587" s="4" t="s">
        <v>7</v>
      </c>
      <c r="G2587" s="3" t="s">
        <v>8</v>
      </c>
      <c r="H2587" s="5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 ht="26.25" x14ac:dyDescent="0.4">
      <c r="A2588" s="6">
        <v>1</v>
      </c>
      <c r="B2588" s="20" t="s">
        <v>48</v>
      </c>
      <c r="C2588" s="21" t="s">
        <v>634</v>
      </c>
      <c r="D2588" s="8" t="s">
        <v>11</v>
      </c>
      <c r="E2588" s="20">
        <v>1.75</v>
      </c>
      <c r="F2588" s="9">
        <v>293000</v>
      </c>
      <c r="G2588" s="10">
        <f t="shared" ref="G2588:G2590" si="171">IFERROR(E2588*F2588,0)</f>
        <v>512750</v>
      </c>
      <c r="H2588" s="11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 ht="26.25" x14ac:dyDescent="0.4">
      <c r="A2589" s="6">
        <v>2</v>
      </c>
      <c r="B2589" s="22" t="s">
        <v>218</v>
      </c>
      <c r="C2589" s="23" t="s">
        <v>635</v>
      </c>
      <c r="D2589" s="13" t="s">
        <v>13</v>
      </c>
      <c r="E2589" s="22">
        <v>1.83</v>
      </c>
      <c r="F2589" s="14">
        <v>435000</v>
      </c>
      <c r="G2589" s="10">
        <f t="shared" si="171"/>
        <v>796050</v>
      </c>
      <c r="H2589" s="11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 ht="26.25" x14ac:dyDescent="0.4">
      <c r="A2590" s="6">
        <v>3</v>
      </c>
      <c r="B2590" s="15" t="s">
        <v>14</v>
      </c>
      <c r="C2590" s="11"/>
      <c r="D2590" s="11"/>
      <c r="E2590" s="11"/>
      <c r="F2590" s="11"/>
      <c r="G2590" s="16">
        <f t="shared" si="171"/>
        <v>0</v>
      </c>
      <c r="H2590" s="11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 ht="26.25" x14ac:dyDescent="0.4">
      <c r="A2591" s="29" t="s">
        <v>15</v>
      </c>
      <c r="B2591" s="26"/>
      <c r="C2591" s="26"/>
      <c r="D2591" s="26"/>
      <c r="E2591" s="26"/>
      <c r="F2591" s="26"/>
      <c r="G2591" s="27"/>
      <c r="H2591" s="17">
        <f>SUM(G2588:G2590)</f>
        <v>1308800</v>
      </c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 ht="26.25" x14ac:dyDescent="0.4">
      <c r="A2592" s="29" t="s">
        <v>16</v>
      </c>
      <c r="B2592" s="26"/>
      <c r="C2592" s="26"/>
      <c r="D2592" s="26"/>
      <c r="E2592" s="26"/>
      <c r="F2592" s="26"/>
      <c r="G2592" s="27"/>
      <c r="H2592" s="17">
        <f>MAX(0,H2591-648000)</f>
        <v>660800</v>
      </c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 ht="26.25" x14ac:dyDescent="0.4">
      <c r="A2593" s="25" t="s">
        <v>17</v>
      </c>
      <c r="B2593" s="26"/>
      <c r="C2593" s="26"/>
      <c r="D2593" s="26"/>
      <c r="E2593" s="26"/>
      <c r="F2593" s="26"/>
      <c r="G2593" s="27"/>
      <c r="H2593" s="18">
        <v>649000</v>
      </c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 ht="26.25" x14ac:dyDescent="0.4">
      <c r="A2594" s="28" t="s">
        <v>18</v>
      </c>
      <c r="B2594" s="26"/>
      <c r="C2594" s="26"/>
      <c r="D2594" s="26"/>
      <c r="E2594" s="26"/>
      <c r="F2594" s="26"/>
      <c r="G2594" s="26"/>
      <c r="H2594" s="27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 ht="12.75" x14ac:dyDescent="0.2"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 ht="12.75" x14ac:dyDescent="0.2"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600" spans="1:26" ht="15.75" customHeight="1" x14ac:dyDescent="0.4">
      <c r="A2600" s="28" t="s">
        <v>0</v>
      </c>
      <c r="B2600" s="26"/>
      <c r="C2600" s="26"/>
      <c r="D2600" s="26"/>
      <c r="E2600" s="26"/>
      <c r="F2600" s="26"/>
      <c r="G2600" s="26"/>
      <c r="H2600" s="27"/>
    </row>
    <row r="2601" spans="1:26" ht="15.75" customHeight="1" x14ac:dyDescent="0.4">
      <c r="A2601" s="28" t="s">
        <v>636</v>
      </c>
      <c r="B2601" s="26"/>
      <c r="C2601" s="26"/>
      <c r="D2601" s="26"/>
      <c r="E2601" s="26"/>
      <c r="F2601" s="26"/>
      <c r="G2601" s="26"/>
      <c r="H2601" s="27"/>
    </row>
    <row r="2602" spans="1:26" ht="18.75" x14ac:dyDescent="0.3">
      <c r="A2602" s="3" t="s">
        <v>2</v>
      </c>
      <c r="B2602" s="3" t="s">
        <v>3</v>
      </c>
      <c r="C2602" s="3" t="s">
        <v>4</v>
      </c>
      <c r="D2602" s="3" t="s">
        <v>5</v>
      </c>
      <c r="E2602" s="3" t="s">
        <v>6</v>
      </c>
      <c r="F2602" s="4" t="s">
        <v>7</v>
      </c>
      <c r="G2602" s="3" t="s">
        <v>8</v>
      </c>
      <c r="H2602" s="5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 ht="26.25" x14ac:dyDescent="0.4">
      <c r="A2603" s="6">
        <v>1</v>
      </c>
      <c r="B2603" s="20" t="s">
        <v>94</v>
      </c>
      <c r="C2603" s="21" t="s">
        <v>637</v>
      </c>
      <c r="D2603" s="8" t="s">
        <v>11</v>
      </c>
      <c r="E2603" s="20">
        <v>1.43</v>
      </c>
      <c r="F2603" s="9">
        <v>293000</v>
      </c>
      <c r="G2603" s="10">
        <f t="shared" ref="G2603:G2605" si="172">IFERROR(E2603*F2603,0)</f>
        <v>418990</v>
      </c>
      <c r="H2603" s="11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 ht="26.25" x14ac:dyDescent="0.4">
      <c r="A2604" s="6">
        <v>2</v>
      </c>
      <c r="B2604" s="22" t="s">
        <v>25</v>
      </c>
      <c r="C2604" s="23" t="s">
        <v>638</v>
      </c>
      <c r="D2604" s="13" t="s">
        <v>13</v>
      </c>
      <c r="E2604" s="22">
        <v>2</v>
      </c>
      <c r="F2604" s="14">
        <v>435000</v>
      </c>
      <c r="G2604" s="10">
        <f t="shared" si="172"/>
        <v>870000</v>
      </c>
      <c r="H2604" s="11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 ht="26.25" x14ac:dyDescent="0.4">
      <c r="A2605" s="6">
        <v>3</v>
      </c>
      <c r="B2605" s="15" t="s">
        <v>14</v>
      </c>
      <c r="C2605" s="11"/>
      <c r="D2605" s="11"/>
      <c r="E2605" s="11"/>
      <c r="F2605" s="11"/>
      <c r="G2605" s="16">
        <f t="shared" si="172"/>
        <v>0</v>
      </c>
      <c r="H2605" s="11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 ht="26.25" x14ac:dyDescent="0.4">
      <c r="A2606" s="29" t="s">
        <v>15</v>
      </c>
      <c r="B2606" s="26"/>
      <c r="C2606" s="26"/>
      <c r="D2606" s="26"/>
      <c r="E2606" s="26"/>
      <c r="F2606" s="26"/>
      <c r="G2606" s="27"/>
      <c r="H2606" s="17">
        <f>SUM(G2603:G2605)</f>
        <v>1288990</v>
      </c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 ht="26.25" x14ac:dyDescent="0.4">
      <c r="A2607" s="29" t="s">
        <v>16</v>
      </c>
      <c r="B2607" s="26"/>
      <c r="C2607" s="26"/>
      <c r="D2607" s="26"/>
      <c r="E2607" s="26"/>
      <c r="F2607" s="26"/>
      <c r="G2607" s="27"/>
      <c r="H2607" s="17">
        <f>MAX(0,H2606-648000)</f>
        <v>640990</v>
      </c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 ht="26.25" x14ac:dyDescent="0.4">
      <c r="A2608" s="25" t="s">
        <v>17</v>
      </c>
      <c r="B2608" s="26"/>
      <c r="C2608" s="26"/>
      <c r="D2608" s="26"/>
      <c r="E2608" s="26"/>
      <c r="F2608" s="26"/>
      <c r="G2608" s="27"/>
      <c r="H2608" s="18">
        <v>649000</v>
      </c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 ht="26.25" x14ac:dyDescent="0.4">
      <c r="A2609" s="28" t="s">
        <v>18</v>
      </c>
      <c r="B2609" s="26"/>
      <c r="C2609" s="26"/>
      <c r="D2609" s="26"/>
      <c r="E2609" s="26"/>
      <c r="F2609" s="26"/>
      <c r="G2609" s="26"/>
      <c r="H2609" s="27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 ht="12.75" x14ac:dyDescent="0.2"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 ht="12.75" x14ac:dyDescent="0.2"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5" spans="1:26" ht="15.75" customHeight="1" x14ac:dyDescent="0.4">
      <c r="A2615" s="28" t="s">
        <v>0</v>
      </c>
      <c r="B2615" s="26"/>
      <c r="C2615" s="26"/>
      <c r="D2615" s="26"/>
      <c r="E2615" s="26"/>
      <c r="F2615" s="26"/>
      <c r="G2615" s="26"/>
      <c r="H2615" s="27"/>
    </row>
    <row r="2616" spans="1:26" ht="15.75" customHeight="1" x14ac:dyDescent="0.4">
      <c r="A2616" s="28" t="s">
        <v>639</v>
      </c>
      <c r="B2616" s="26"/>
      <c r="C2616" s="26"/>
      <c r="D2616" s="26"/>
      <c r="E2616" s="26"/>
      <c r="F2616" s="26"/>
      <c r="G2616" s="26"/>
      <c r="H2616" s="27"/>
    </row>
    <row r="2617" spans="1:26" ht="18.75" x14ac:dyDescent="0.3">
      <c r="A2617" s="3" t="s">
        <v>2</v>
      </c>
      <c r="B2617" s="3" t="s">
        <v>3</v>
      </c>
      <c r="C2617" s="3" t="s">
        <v>4</v>
      </c>
      <c r="D2617" s="3" t="s">
        <v>5</v>
      </c>
      <c r="E2617" s="3" t="s">
        <v>6</v>
      </c>
      <c r="F2617" s="4" t="s">
        <v>7</v>
      </c>
      <c r="G2617" s="3" t="s">
        <v>8</v>
      </c>
      <c r="H2617" s="5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 ht="26.25" x14ac:dyDescent="0.4">
      <c r="A2618" s="6">
        <v>1</v>
      </c>
      <c r="B2618" s="20" t="s">
        <v>640</v>
      </c>
      <c r="C2618" s="21" t="s">
        <v>641</v>
      </c>
      <c r="D2618" s="8" t="s">
        <v>11</v>
      </c>
      <c r="E2618" s="20">
        <v>1.67</v>
      </c>
      <c r="F2618" s="9">
        <v>293000</v>
      </c>
      <c r="G2618" s="10">
        <f t="shared" ref="G2618:G2620" si="173">IFERROR(E2618*F2618,0)</f>
        <v>489310</v>
      </c>
      <c r="H2618" s="11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 ht="26.25" x14ac:dyDescent="0.4">
      <c r="A2619" s="6">
        <v>2</v>
      </c>
      <c r="B2619" s="22" t="s">
        <v>642</v>
      </c>
      <c r="C2619" s="23" t="s">
        <v>643</v>
      </c>
      <c r="D2619" s="13" t="s">
        <v>13</v>
      </c>
      <c r="E2619" s="22">
        <v>1.6</v>
      </c>
      <c r="F2619" s="14">
        <v>435000</v>
      </c>
      <c r="G2619" s="10">
        <f t="shared" si="173"/>
        <v>696000</v>
      </c>
      <c r="H2619" s="11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 ht="26.25" x14ac:dyDescent="0.4">
      <c r="A2620" s="6">
        <v>3</v>
      </c>
      <c r="B2620" s="15" t="s">
        <v>14</v>
      </c>
      <c r="C2620" s="11"/>
      <c r="D2620" s="11"/>
      <c r="E2620" s="11"/>
      <c r="F2620" s="11"/>
      <c r="G2620" s="16">
        <f t="shared" si="173"/>
        <v>0</v>
      </c>
      <c r="H2620" s="11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 ht="26.25" x14ac:dyDescent="0.4">
      <c r="A2621" s="29" t="s">
        <v>15</v>
      </c>
      <c r="B2621" s="26"/>
      <c r="C2621" s="26"/>
      <c r="D2621" s="26"/>
      <c r="E2621" s="26"/>
      <c r="F2621" s="26"/>
      <c r="G2621" s="27"/>
      <c r="H2621" s="17">
        <f>SUM(G2618:G2620)</f>
        <v>1185310</v>
      </c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 ht="26.25" x14ac:dyDescent="0.4">
      <c r="A2622" s="29" t="s">
        <v>16</v>
      </c>
      <c r="B2622" s="26"/>
      <c r="C2622" s="26"/>
      <c r="D2622" s="26"/>
      <c r="E2622" s="26"/>
      <c r="F2622" s="26"/>
      <c r="G2622" s="27"/>
      <c r="H2622" s="17">
        <f>MAX(0,H2621-648000)</f>
        <v>537310</v>
      </c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 ht="26.25" x14ac:dyDescent="0.4">
      <c r="A2623" s="25" t="s">
        <v>17</v>
      </c>
      <c r="B2623" s="26"/>
      <c r="C2623" s="26"/>
      <c r="D2623" s="26"/>
      <c r="E2623" s="26"/>
      <c r="F2623" s="26"/>
      <c r="G2623" s="27"/>
      <c r="H2623" s="18">
        <v>649000</v>
      </c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 ht="26.25" x14ac:dyDescent="0.4">
      <c r="A2624" s="28" t="s">
        <v>18</v>
      </c>
      <c r="B2624" s="26"/>
      <c r="C2624" s="26"/>
      <c r="D2624" s="26"/>
      <c r="E2624" s="26"/>
      <c r="F2624" s="26"/>
      <c r="G2624" s="26"/>
      <c r="H2624" s="27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 ht="12.75" x14ac:dyDescent="0.2"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 ht="12.75" x14ac:dyDescent="0.2"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30" spans="1:26" ht="15.75" customHeight="1" x14ac:dyDescent="0.4">
      <c r="A2630" s="28" t="s">
        <v>0</v>
      </c>
      <c r="B2630" s="26"/>
      <c r="C2630" s="26"/>
      <c r="D2630" s="26"/>
      <c r="E2630" s="26"/>
      <c r="F2630" s="26"/>
      <c r="G2630" s="26"/>
      <c r="H2630" s="27"/>
    </row>
    <row r="2631" spans="1:26" ht="15.75" customHeight="1" x14ac:dyDescent="0.4">
      <c r="A2631" s="28" t="s">
        <v>644</v>
      </c>
      <c r="B2631" s="26"/>
      <c r="C2631" s="26"/>
      <c r="D2631" s="26"/>
      <c r="E2631" s="26"/>
      <c r="F2631" s="26"/>
      <c r="G2631" s="26"/>
      <c r="H2631" s="27"/>
    </row>
    <row r="2632" spans="1:26" ht="18.75" x14ac:dyDescent="0.3">
      <c r="A2632" s="3" t="s">
        <v>2</v>
      </c>
      <c r="B2632" s="3" t="s">
        <v>3</v>
      </c>
      <c r="C2632" s="3" t="s">
        <v>4</v>
      </c>
      <c r="D2632" s="3" t="s">
        <v>5</v>
      </c>
      <c r="E2632" s="3" t="s">
        <v>6</v>
      </c>
      <c r="F2632" s="4" t="s">
        <v>7</v>
      </c>
      <c r="G2632" s="3" t="s">
        <v>8</v>
      </c>
      <c r="H2632" s="5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 ht="26.25" x14ac:dyDescent="0.4">
      <c r="A2633" s="6">
        <v>1</v>
      </c>
      <c r="B2633" s="20" t="s">
        <v>9</v>
      </c>
      <c r="C2633" s="21" t="s">
        <v>645</v>
      </c>
      <c r="D2633" s="8" t="s">
        <v>11</v>
      </c>
      <c r="E2633" s="20">
        <v>1.2</v>
      </c>
      <c r="F2633" s="9">
        <v>293000</v>
      </c>
      <c r="G2633" s="10">
        <f t="shared" ref="G2633:G2635" si="174">IFERROR(E2633*F2633,0)</f>
        <v>351600</v>
      </c>
      <c r="H2633" s="11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 ht="26.25" x14ac:dyDescent="0.4">
      <c r="A2634" s="6">
        <v>2</v>
      </c>
      <c r="B2634" s="22" t="s">
        <v>12</v>
      </c>
      <c r="C2634" s="23" t="s">
        <v>646</v>
      </c>
      <c r="D2634" s="13" t="s">
        <v>13</v>
      </c>
      <c r="E2634" s="22">
        <v>2</v>
      </c>
      <c r="F2634" s="14">
        <v>435000</v>
      </c>
      <c r="G2634" s="10">
        <f t="shared" si="174"/>
        <v>870000</v>
      </c>
      <c r="H2634" s="11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 ht="26.25" x14ac:dyDescent="0.4">
      <c r="A2635" s="6">
        <v>3</v>
      </c>
      <c r="B2635" s="15" t="s">
        <v>14</v>
      </c>
      <c r="C2635" s="11"/>
      <c r="D2635" s="11"/>
      <c r="E2635" s="11"/>
      <c r="F2635" s="11"/>
      <c r="G2635" s="16">
        <f t="shared" si="174"/>
        <v>0</v>
      </c>
      <c r="H2635" s="11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 ht="26.25" x14ac:dyDescent="0.4">
      <c r="A2636" s="29" t="s">
        <v>15</v>
      </c>
      <c r="B2636" s="26"/>
      <c r="C2636" s="26"/>
      <c r="D2636" s="26"/>
      <c r="E2636" s="26"/>
      <c r="F2636" s="26"/>
      <c r="G2636" s="27"/>
      <c r="H2636" s="17">
        <f>SUM(G2633:G2635)</f>
        <v>1221600</v>
      </c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 ht="26.25" x14ac:dyDescent="0.4">
      <c r="A2637" s="29" t="s">
        <v>16</v>
      </c>
      <c r="B2637" s="26"/>
      <c r="C2637" s="26"/>
      <c r="D2637" s="26"/>
      <c r="E2637" s="26"/>
      <c r="F2637" s="26"/>
      <c r="G2637" s="27"/>
      <c r="H2637" s="17">
        <f>MAX(0,H2636-648000)</f>
        <v>573600</v>
      </c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 ht="26.25" x14ac:dyDescent="0.4">
      <c r="A2638" s="25" t="s">
        <v>17</v>
      </c>
      <c r="B2638" s="26"/>
      <c r="C2638" s="26"/>
      <c r="D2638" s="26"/>
      <c r="E2638" s="26"/>
      <c r="F2638" s="26"/>
      <c r="G2638" s="27"/>
      <c r="H2638" s="18">
        <v>649000</v>
      </c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 ht="26.25" x14ac:dyDescent="0.4">
      <c r="A2639" s="28" t="s">
        <v>18</v>
      </c>
      <c r="B2639" s="26"/>
      <c r="C2639" s="26"/>
      <c r="D2639" s="26"/>
      <c r="E2639" s="26"/>
      <c r="F2639" s="26"/>
      <c r="G2639" s="26"/>
      <c r="H2639" s="27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 ht="12.75" x14ac:dyDescent="0.2"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 ht="12.75" x14ac:dyDescent="0.2"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5" spans="1:26" ht="15.75" customHeight="1" x14ac:dyDescent="0.4">
      <c r="A2645" s="28" t="s">
        <v>0</v>
      </c>
      <c r="B2645" s="26"/>
      <c r="C2645" s="26"/>
      <c r="D2645" s="26"/>
      <c r="E2645" s="26"/>
      <c r="F2645" s="26"/>
      <c r="G2645" s="26"/>
      <c r="H2645" s="27"/>
    </row>
    <row r="2646" spans="1:26" ht="26.25" x14ac:dyDescent="0.4">
      <c r="A2646" s="28" t="s">
        <v>647</v>
      </c>
      <c r="B2646" s="26"/>
      <c r="C2646" s="26"/>
      <c r="D2646" s="26"/>
      <c r="E2646" s="26"/>
      <c r="F2646" s="26"/>
      <c r="G2646" s="26"/>
      <c r="H2646" s="27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 ht="18.75" x14ac:dyDescent="0.3">
      <c r="A2647" s="3" t="s">
        <v>2</v>
      </c>
      <c r="B2647" s="3" t="s">
        <v>3</v>
      </c>
      <c r="C2647" s="3" t="s">
        <v>4</v>
      </c>
      <c r="D2647" s="3" t="s">
        <v>5</v>
      </c>
      <c r="E2647" s="3" t="s">
        <v>6</v>
      </c>
      <c r="F2647" s="4" t="s">
        <v>7</v>
      </c>
      <c r="G2647" s="3" t="s">
        <v>8</v>
      </c>
      <c r="H2647" s="5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 ht="26.25" x14ac:dyDescent="0.4">
      <c r="A2648" s="6">
        <v>1</v>
      </c>
      <c r="B2648" s="20" t="s">
        <v>44</v>
      </c>
      <c r="C2648" s="21" t="s">
        <v>648</v>
      </c>
      <c r="D2648" s="8" t="s">
        <v>11</v>
      </c>
      <c r="E2648" s="20">
        <v>2.4700000000000002</v>
      </c>
      <c r="F2648" s="9">
        <v>293000</v>
      </c>
      <c r="G2648" s="10">
        <f t="shared" ref="G2648:G2650" si="175">IFERROR(E2648*F2648,0)</f>
        <v>723710</v>
      </c>
      <c r="H2648" s="11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 ht="26.25" x14ac:dyDescent="0.4">
      <c r="A2649" s="6">
        <v>2</v>
      </c>
      <c r="B2649" s="22" t="s">
        <v>649</v>
      </c>
      <c r="C2649" s="23" t="s">
        <v>650</v>
      </c>
      <c r="D2649" s="13" t="s">
        <v>13</v>
      </c>
      <c r="E2649" s="22">
        <v>1</v>
      </c>
      <c r="F2649" s="14">
        <v>435000</v>
      </c>
      <c r="G2649" s="10">
        <f t="shared" si="175"/>
        <v>435000</v>
      </c>
      <c r="H2649" s="11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 ht="26.25" x14ac:dyDescent="0.4">
      <c r="A2650" s="6">
        <v>3</v>
      </c>
      <c r="B2650" s="15" t="s">
        <v>14</v>
      </c>
      <c r="C2650" s="11"/>
      <c r="D2650" s="11"/>
      <c r="E2650" s="11"/>
      <c r="F2650" s="11"/>
      <c r="G2650" s="16">
        <f t="shared" si="175"/>
        <v>0</v>
      </c>
      <c r="H2650" s="11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 ht="26.25" x14ac:dyDescent="0.4">
      <c r="A2651" s="29" t="s">
        <v>15</v>
      </c>
      <c r="B2651" s="26"/>
      <c r="C2651" s="26"/>
      <c r="D2651" s="26"/>
      <c r="E2651" s="26"/>
      <c r="F2651" s="26"/>
      <c r="G2651" s="27"/>
      <c r="H2651" s="17">
        <f>SUM(G2648:G2650)</f>
        <v>1158710</v>
      </c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 ht="26.25" x14ac:dyDescent="0.4">
      <c r="A2652" s="29" t="s">
        <v>16</v>
      </c>
      <c r="B2652" s="26"/>
      <c r="C2652" s="26"/>
      <c r="D2652" s="26"/>
      <c r="E2652" s="26"/>
      <c r="F2652" s="26"/>
      <c r="G2652" s="27"/>
      <c r="H2652" s="17">
        <f>MAX(0,H2651-648000)</f>
        <v>510710</v>
      </c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 ht="26.25" x14ac:dyDescent="0.4">
      <c r="A2653" s="25" t="s">
        <v>17</v>
      </c>
      <c r="B2653" s="26"/>
      <c r="C2653" s="26"/>
      <c r="D2653" s="26"/>
      <c r="E2653" s="26"/>
      <c r="F2653" s="26"/>
      <c r="G2653" s="27"/>
      <c r="H2653" s="18">
        <v>649000</v>
      </c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 ht="26.25" x14ac:dyDescent="0.4">
      <c r="A2654" s="28" t="s">
        <v>18</v>
      </c>
      <c r="B2654" s="26"/>
      <c r="C2654" s="26"/>
      <c r="D2654" s="26"/>
      <c r="E2654" s="26"/>
      <c r="F2654" s="26"/>
      <c r="G2654" s="26"/>
      <c r="H2654" s="27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 ht="12.75" x14ac:dyDescent="0.2"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9" spans="1:26" ht="15.75" customHeight="1" x14ac:dyDescent="0.4">
      <c r="A2659" s="28" t="s">
        <v>0</v>
      </c>
      <c r="B2659" s="26"/>
      <c r="C2659" s="26"/>
      <c r="D2659" s="26"/>
      <c r="E2659" s="26"/>
      <c r="F2659" s="26"/>
      <c r="G2659" s="26"/>
      <c r="H2659" s="27"/>
    </row>
    <row r="2660" spans="1:26" ht="26.25" x14ac:dyDescent="0.4">
      <c r="A2660" s="28" t="s">
        <v>651</v>
      </c>
      <c r="B2660" s="26"/>
      <c r="C2660" s="26"/>
      <c r="D2660" s="26"/>
      <c r="E2660" s="26"/>
      <c r="F2660" s="26"/>
      <c r="G2660" s="26"/>
      <c r="H2660" s="27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 ht="18.75" x14ac:dyDescent="0.3">
      <c r="A2661" s="3" t="s">
        <v>2</v>
      </c>
      <c r="B2661" s="3" t="s">
        <v>3</v>
      </c>
      <c r="C2661" s="3" t="s">
        <v>4</v>
      </c>
      <c r="D2661" s="3" t="s">
        <v>5</v>
      </c>
      <c r="E2661" s="3" t="s">
        <v>6</v>
      </c>
      <c r="F2661" s="4" t="s">
        <v>7</v>
      </c>
      <c r="G2661" s="3" t="s">
        <v>8</v>
      </c>
      <c r="H2661" s="5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 ht="26.25" x14ac:dyDescent="0.4">
      <c r="A2662" s="6">
        <v>1</v>
      </c>
      <c r="B2662" s="20" t="s">
        <v>652</v>
      </c>
      <c r="C2662" s="21" t="s">
        <v>653</v>
      </c>
      <c r="D2662" s="8" t="s">
        <v>11</v>
      </c>
      <c r="E2662" s="20">
        <v>2.8</v>
      </c>
      <c r="F2662" s="9">
        <v>293000</v>
      </c>
      <c r="G2662" s="10">
        <f t="shared" ref="G2662:G2664" si="176">IFERROR(E2662*F2662,0)</f>
        <v>820400</v>
      </c>
      <c r="H2662" s="11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 ht="26.25" x14ac:dyDescent="0.4">
      <c r="A2663" s="6">
        <v>2</v>
      </c>
      <c r="B2663" s="22" t="s">
        <v>25</v>
      </c>
      <c r="C2663" s="23" t="s">
        <v>654</v>
      </c>
      <c r="D2663" s="13" t="s">
        <v>13</v>
      </c>
      <c r="E2663" s="22">
        <v>0.8</v>
      </c>
      <c r="F2663" s="14">
        <v>435000</v>
      </c>
      <c r="G2663" s="10">
        <f t="shared" si="176"/>
        <v>348000</v>
      </c>
      <c r="H2663" s="11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 ht="26.25" x14ac:dyDescent="0.4">
      <c r="A2664" s="6">
        <v>3</v>
      </c>
      <c r="B2664" s="15" t="s">
        <v>14</v>
      </c>
      <c r="C2664" s="11"/>
      <c r="D2664" s="11"/>
      <c r="E2664" s="11"/>
      <c r="F2664" s="11"/>
      <c r="G2664" s="16">
        <f t="shared" si="176"/>
        <v>0</v>
      </c>
      <c r="H2664" s="11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 ht="26.25" x14ac:dyDescent="0.4">
      <c r="A2665" s="29" t="s">
        <v>15</v>
      </c>
      <c r="B2665" s="26"/>
      <c r="C2665" s="26"/>
      <c r="D2665" s="26"/>
      <c r="E2665" s="26"/>
      <c r="F2665" s="26"/>
      <c r="G2665" s="27"/>
      <c r="H2665" s="17">
        <f>SUM(G2662:G2664)</f>
        <v>1168400</v>
      </c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 ht="26.25" x14ac:dyDescent="0.4">
      <c r="A2666" s="29" t="s">
        <v>16</v>
      </c>
      <c r="B2666" s="26"/>
      <c r="C2666" s="26"/>
      <c r="D2666" s="26"/>
      <c r="E2666" s="26"/>
      <c r="F2666" s="26"/>
      <c r="G2666" s="27"/>
      <c r="H2666" s="17">
        <f>MAX(0,H2665-648000)</f>
        <v>520400</v>
      </c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 ht="26.25" x14ac:dyDescent="0.4">
      <c r="A2667" s="25" t="s">
        <v>17</v>
      </c>
      <c r="B2667" s="26"/>
      <c r="C2667" s="26"/>
      <c r="D2667" s="26"/>
      <c r="E2667" s="26"/>
      <c r="F2667" s="26"/>
      <c r="G2667" s="27"/>
      <c r="H2667" s="18">
        <v>649000</v>
      </c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 ht="26.25" x14ac:dyDescent="0.4">
      <c r="A2668" s="28" t="s">
        <v>18</v>
      </c>
      <c r="B2668" s="26"/>
      <c r="C2668" s="26"/>
      <c r="D2668" s="26"/>
      <c r="E2668" s="26"/>
      <c r="F2668" s="26"/>
      <c r="G2668" s="26"/>
      <c r="H2668" s="27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 ht="12.75" x14ac:dyDescent="0.2"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3" spans="1:26" ht="15.75" customHeight="1" x14ac:dyDescent="0.4">
      <c r="A2673" s="28" t="s">
        <v>0</v>
      </c>
      <c r="B2673" s="26"/>
      <c r="C2673" s="26"/>
      <c r="D2673" s="26"/>
      <c r="E2673" s="26"/>
      <c r="F2673" s="26"/>
      <c r="G2673" s="26"/>
      <c r="H2673" s="27"/>
    </row>
    <row r="2674" spans="1:26" ht="15.75" customHeight="1" x14ac:dyDescent="0.4">
      <c r="A2674" s="28" t="s">
        <v>655</v>
      </c>
      <c r="B2674" s="26"/>
      <c r="C2674" s="26"/>
      <c r="D2674" s="26"/>
      <c r="E2674" s="26"/>
      <c r="F2674" s="26"/>
      <c r="G2674" s="26"/>
      <c r="H2674" s="27"/>
    </row>
    <row r="2675" spans="1:26" ht="18.75" x14ac:dyDescent="0.3">
      <c r="A2675" s="3" t="s">
        <v>2</v>
      </c>
      <c r="B2675" s="3" t="s">
        <v>3</v>
      </c>
      <c r="C2675" s="3" t="s">
        <v>4</v>
      </c>
      <c r="D2675" s="3" t="s">
        <v>5</v>
      </c>
      <c r="E2675" s="3" t="s">
        <v>6</v>
      </c>
      <c r="F2675" s="4" t="s">
        <v>7</v>
      </c>
      <c r="G2675" s="3" t="s">
        <v>8</v>
      </c>
      <c r="H2675" s="5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 ht="26.25" x14ac:dyDescent="0.4">
      <c r="A2676" s="6">
        <v>1</v>
      </c>
      <c r="B2676" s="20" t="s">
        <v>48</v>
      </c>
      <c r="C2676" s="21" t="s">
        <v>99</v>
      </c>
      <c r="D2676" s="8" t="s">
        <v>11</v>
      </c>
      <c r="E2676" s="20">
        <v>2.92</v>
      </c>
      <c r="F2676" s="9">
        <v>293000</v>
      </c>
      <c r="G2676" s="10">
        <f t="shared" ref="G2676:G2678" si="177">IFERROR(E2676*F2676,0)</f>
        <v>855560</v>
      </c>
      <c r="H2676" s="11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 ht="26.25" x14ac:dyDescent="0.4">
      <c r="A2677" s="6">
        <v>2</v>
      </c>
      <c r="B2677" s="22" t="s">
        <v>25</v>
      </c>
      <c r="C2677" s="23" t="s">
        <v>656</v>
      </c>
      <c r="D2677" s="13" t="s">
        <v>13</v>
      </c>
      <c r="E2677" s="22">
        <v>0.76</v>
      </c>
      <c r="F2677" s="14">
        <v>435000</v>
      </c>
      <c r="G2677" s="10">
        <f t="shared" si="177"/>
        <v>330600</v>
      </c>
      <c r="H2677" s="11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 ht="26.25" x14ac:dyDescent="0.4">
      <c r="A2678" s="6">
        <v>3</v>
      </c>
      <c r="B2678" s="15" t="s">
        <v>14</v>
      </c>
      <c r="C2678" s="11"/>
      <c r="D2678" s="11"/>
      <c r="E2678" s="11"/>
      <c r="F2678" s="11"/>
      <c r="G2678" s="16">
        <f t="shared" si="177"/>
        <v>0</v>
      </c>
      <c r="H2678" s="11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 ht="26.25" x14ac:dyDescent="0.4">
      <c r="A2679" s="29" t="s">
        <v>15</v>
      </c>
      <c r="B2679" s="26"/>
      <c r="C2679" s="26"/>
      <c r="D2679" s="26"/>
      <c r="E2679" s="26"/>
      <c r="F2679" s="26"/>
      <c r="G2679" s="27"/>
      <c r="H2679" s="17">
        <f>SUM(G2676:G2678)</f>
        <v>1186160</v>
      </c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 ht="26.25" x14ac:dyDescent="0.4">
      <c r="A2680" s="29" t="s">
        <v>16</v>
      </c>
      <c r="B2680" s="26"/>
      <c r="C2680" s="26"/>
      <c r="D2680" s="26"/>
      <c r="E2680" s="26"/>
      <c r="F2680" s="26"/>
      <c r="G2680" s="27"/>
      <c r="H2680" s="17">
        <f>MAX(0,H2679-648000)</f>
        <v>538160</v>
      </c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 ht="26.25" x14ac:dyDescent="0.4">
      <c r="A2681" s="25" t="s">
        <v>17</v>
      </c>
      <c r="B2681" s="26"/>
      <c r="C2681" s="26"/>
      <c r="D2681" s="26"/>
      <c r="E2681" s="26"/>
      <c r="F2681" s="26"/>
      <c r="G2681" s="27"/>
      <c r="H2681" s="18">
        <v>649000</v>
      </c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 ht="26.25" x14ac:dyDescent="0.4">
      <c r="A2682" s="28" t="s">
        <v>18</v>
      </c>
      <c r="B2682" s="26"/>
      <c r="C2682" s="26"/>
      <c r="D2682" s="26"/>
      <c r="E2682" s="26"/>
      <c r="F2682" s="26"/>
      <c r="G2682" s="26"/>
      <c r="H2682" s="27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 ht="12.75" x14ac:dyDescent="0.2"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 ht="12.75" x14ac:dyDescent="0.2"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8" spans="1:26" ht="15.75" customHeight="1" x14ac:dyDescent="0.4">
      <c r="A2688" s="28" t="s">
        <v>0</v>
      </c>
      <c r="B2688" s="26"/>
      <c r="C2688" s="26"/>
      <c r="D2688" s="26"/>
      <c r="E2688" s="26"/>
      <c r="F2688" s="26"/>
      <c r="G2688" s="26"/>
      <c r="H2688" s="27"/>
    </row>
    <row r="2689" spans="1:26" ht="15.75" customHeight="1" x14ac:dyDescent="0.4">
      <c r="A2689" s="28" t="s">
        <v>657</v>
      </c>
      <c r="B2689" s="26"/>
      <c r="C2689" s="26"/>
      <c r="D2689" s="26"/>
      <c r="E2689" s="26"/>
      <c r="F2689" s="26"/>
      <c r="G2689" s="26"/>
      <c r="H2689" s="27"/>
    </row>
    <row r="2690" spans="1:26" ht="15.75" customHeight="1" x14ac:dyDescent="0.3">
      <c r="A2690" s="3" t="s">
        <v>2</v>
      </c>
      <c r="B2690" s="3" t="s">
        <v>3</v>
      </c>
      <c r="C2690" s="3" t="s">
        <v>4</v>
      </c>
      <c r="D2690" s="3" t="s">
        <v>5</v>
      </c>
      <c r="E2690" s="3" t="s">
        <v>6</v>
      </c>
      <c r="F2690" s="4" t="s">
        <v>7</v>
      </c>
      <c r="G2690" s="3" t="s">
        <v>8</v>
      </c>
      <c r="H2690" s="5"/>
    </row>
    <row r="2691" spans="1:26" ht="26.25" x14ac:dyDescent="0.4">
      <c r="A2691" s="6">
        <v>1</v>
      </c>
      <c r="B2691" s="20" t="s">
        <v>234</v>
      </c>
      <c r="C2691" s="21" t="s">
        <v>658</v>
      </c>
      <c r="D2691" s="8" t="s">
        <v>11</v>
      </c>
      <c r="E2691" s="20">
        <v>3</v>
      </c>
      <c r="F2691" s="9">
        <v>293000</v>
      </c>
      <c r="G2691" s="10">
        <f t="shared" ref="G2691:G2693" si="178">IFERROR(E2691*F2691,0)</f>
        <v>879000</v>
      </c>
      <c r="H2691" s="11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 ht="26.25" x14ac:dyDescent="0.4">
      <c r="A2692" s="6">
        <v>2</v>
      </c>
      <c r="B2692" s="22" t="s">
        <v>22</v>
      </c>
      <c r="C2692" s="23" t="s">
        <v>659</v>
      </c>
      <c r="D2692" s="13" t="s">
        <v>13</v>
      </c>
      <c r="E2692" s="22">
        <v>0.51</v>
      </c>
      <c r="F2692" s="14">
        <v>435000</v>
      </c>
      <c r="G2692" s="10">
        <f t="shared" si="178"/>
        <v>221850</v>
      </c>
      <c r="H2692" s="11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 ht="26.25" x14ac:dyDescent="0.4">
      <c r="A2693" s="6">
        <v>3</v>
      </c>
      <c r="B2693" s="15" t="s">
        <v>14</v>
      </c>
      <c r="C2693" s="11"/>
      <c r="D2693" s="11"/>
      <c r="E2693" s="11"/>
      <c r="F2693" s="11"/>
      <c r="G2693" s="16">
        <f t="shared" si="178"/>
        <v>0</v>
      </c>
      <c r="H2693" s="11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 ht="26.25" x14ac:dyDescent="0.4">
      <c r="A2694" s="29" t="s">
        <v>15</v>
      </c>
      <c r="B2694" s="26"/>
      <c r="C2694" s="26"/>
      <c r="D2694" s="26"/>
      <c r="E2694" s="26"/>
      <c r="F2694" s="26"/>
      <c r="G2694" s="27"/>
      <c r="H2694" s="17">
        <f>SUM(G2691:G2693)</f>
        <v>1100850</v>
      </c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 ht="26.25" x14ac:dyDescent="0.4">
      <c r="A2695" s="29" t="s">
        <v>16</v>
      </c>
      <c r="B2695" s="26"/>
      <c r="C2695" s="26"/>
      <c r="D2695" s="26"/>
      <c r="E2695" s="26"/>
      <c r="F2695" s="26"/>
      <c r="G2695" s="27"/>
      <c r="H2695" s="17">
        <f>MAX(0,H2694-648000)</f>
        <v>452850</v>
      </c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 ht="26.25" x14ac:dyDescent="0.4">
      <c r="A2696" s="25" t="s">
        <v>17</v>
      </c>
      <c r="B2696" s="26"/>
      <c r="C2696" s="26"/>
      <c r="D2696" s="26"/>
      <c r="E2696" s="26"/>
      <c r="F2696" s="26"/>
      <c r="G2696" s="27"/>
      <c r="H2696" s="18">
        <v>649000</v>
      </c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 ht="26.25" x14ac:dyDescent="0.4">
      <c r="A2697" s="28" t="s">
        <v>18</v>
      </c>
      <c r="B2697" s="26"/>
      <c r="C2697" s="26"/>
      <c r="D2697" s="26"/>
      <c r="E2697" s="26"/>
      <c r="F2697" s="26"/>
      <c r="G2697" s="26"/>
      <c r="H2697" s="27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 ht="12.75" x14ac:dyDescent="0.2"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 ht="12.75" x14ac:dyDescent="0.2"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 ht="12.75" x14ac:dyDescent="0.2"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4" spans="1:26" ht="15.75" customHeight="1" x14ac:dyDescent="0.4">
      <c r="A2704" s="28" t="s">
        <v>0</v>
      </c>
      <c r="B2704" s="26"/>
      <c r="C2704" s="26"/>
      <c r="D2704" s="26"/>
      <c r="E2704" s="26"/>
      <c r="F2704" s="26"/>
      <c r="G2704" s="26"/>
      <c r="H2704" s="27"/>
    </row>
    <row r="2705" spans="1:26" ht="15.75" customHeight="1" x14ac:dyDescent="0.4">
      <c r="A2705" s="28" t="s">
        <v>660</v>
      </c>
      <c r="B2705" s="26"/>
      <c r="C2705" s="26"/>
      <c r="D2705" s="26"/>
      <c r="E2705" s="26"/>
      <c r="F2705" s="26"/>
      <c r="G2705" s="26"/>
      <c r="H2705" s="27"/>
    </row>
    <row r="2706" spans="1:26" ht="15.75" customHeight="1" x14ac:dyDescent="0.3">
      <c r="A2706" s="3" t="s">
        <v>2</v>
      </c>
      <c r="B2706" s="3" t="s">
        <v>3</v>
      </c>
      <c r="C2706" s="3" t="s">
        <v>4</v>
      </c>
      <c r="D2706" s="3" t="s">
        <v>5</v>
      </c>
      <c r="E2706" s="3" t="s">
        <v>6</v>
      </c>
      <c r="F2706" s="4" t="s">
        <v>7</v>
      </c>
      <c r="G2706" s="3" t="s">
        <v>8</v>
      </c>
      <c r="H2706" s="5"/>
    </row>
    <row r="2707" spans="1:26" ht="26.25" x14ac:dyDescent="0.4">
      <c r="A2707" s="6">
        <v>1</v>
      </c>
      <c r="B2707" s="20" t="s">
        <v>88</v>
      </c>
      <c r="C2707" s="21" t="s">
        <v>661</v>
      </c>
      <c r="D2707" s="8" t="s">
        <v>11</v>
      </c>
      <c r="E2707" s="20">
        <v>1.5</v>
      </c>
      <c r="F2707" s="9">
        <v>293000</v>
      </c>
      <c r="G2707" s="10">
        <f t="shared" ref="G2707:G2709" si="179">IFERROR(E2707*F2707,0)</f>
        <v>439500</v>
      </c>
      <c r="H2707" s="11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 ht="26.25" x14ac:dyDescent="0.4">
      <c r="A2708" s="6">
        <v>2</v>
      </c>
      <c r="B2708" s="22" t="s">
        <v>662</v>
      </c>
      <c r="C2708" s="23" t="s">
        <v>663</v>
      </c>
      <c r="D2708" s="13" t="s">
        <v>13</v>
      </c>
      <c r="E2708" s="22">
        <v>1.97</v>
      </c>
      <c r="F2708" s="14">
        <v>435000</v>
      </c>
      <c r="G2708" s="10">
        <f t="shared" si="179"/>
        <v>856950</v>
      </c>
      <c r="H2708" s="11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 ht="26.25" x14ac:dyDescent="0.4">
      <c r="A2709" s="6">
        <v>3</v>
      </c>
      <c r="B2709" s="15" t="s">
        <v>14</v>
      </c>
      <c r="C2709" s="11"/>
      <c r="D2709" s="11"/>
      <c r="E2709" s="11"/>
      <c r="F2709" s="11"/>
      <c r="G2709" s="16">
        <f t="shared" si="179"/>
        <v>0</v>
      </c>
      <c r="H2709" s="11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 ht="26.25" x14ac:dyDescent="0.4">
      <c r="A2710" s="29" t="s">
        <v>15</v>
      </c>
      <c r="B2710" s="26"/>
      <c r="C2710" s="26"/>
      <c r="D2710" s="26"/>
      <c r="E2710" s="26"/>
      <c r="F2710" s="26"/>
      <c r="G2710" s="27"/>
      <c r="H2710" s="17">
        <f>SUM(G2707:G2709)</f>
        <v>1296450</v>
      </c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 ht="26.25" x14ac:dyDescent="0.4">
      <c r="A2711" s="29" t="s">
        <v>16</v>
      </c>
      <c r="B2711" s="26"/>
      <c r="C2711" s="26"/>
      <c r="D2711" s="26"/>
      <c r="E2711" s="26"/>
      <c r="F2711" s="26"/>
      <c r="G2711" s="27"/>
      <c r="H2711" s="17">
        <f>MAX(0,H2710-648000)</f>
        <v>648450</v>
      </c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 ht="26.25" x14ac:dyDescent="0.4">
      <c r="A2712" s="25" t="s">
        <v>17</v>
      </c>
      <c r="B2712" s="26"/>
      <c r="C2712" s="26"/>
      <c r="D2712" s="26"/>
      <c r="E2712" s="26"/>
      <c r="F2712" s="26"/>
      <c r="G2712" s="27"/>
      <c r="H2712" s="18">
        <v>649000</v>
      </c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 ht="26.25" x14ac:dyDescent="0.4">
      <c r="A2713" s="28" t="s">
        <v>18</v>
      </c>
      <c r="B2713" s="26"/>
      <c r="C2713" s="26"/>
      <c r="D2713" s="26"/>
      <c r="E2713" s="26"/>
      <c r="F2713" s="26"/>
      <c r="G2713" s="26"/>
      <c r="H2713" s="27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 ht="12.75" x14ac:dyDescent="0.2"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 ht="12.75" x14ac:dyDescent="0.2"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 ht="12.75" x14ac:dyDescent="0.2"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20" spans="1:26" ht="15.75" customHeight="1" x14ac:dyDescent="0.4">
      <c r="A2720" s="28" t="s">
        <v>0</v>
      </c>
      <c r="B2720" s="26"/>
      <c r="C2720" s="26"/>
      <c r="D2720" s="26"/>
      <c r="E2720" s="26"/>
      <c r="F2720" s="26"/>
      <c r="G2720" s="26"/>
      <c r="H2720" s="27"/>
    </row>
    <row r="2721" spans="1:26" ht="15.75" customHeight="1" x14ac:dyDescent="0.4">
      <c r="A2721" s="28" t="s">
        <v>664</v>
      </c>
      <c r="B2721" s="26"/>
      <c r="C2721" s="26"/>
      <c r="D2721" s="26"/>
      <c r="E2721" s="26"/>
      <c r="F2721" s="26"/>
      <c r="G2721" s="26"/>
      <c r="H2721" s="27"/>
    </row>
    <row r="2722" spans="1:26" ht="18.75" x14ac:dyDescent="0.3">
      <c r="A2722" s="3" t="s">
        <v>2</v>
      </c>
      <c r="B2722" s="3" t="s">
        <v>3</v>
      </c>
      <c r="C2722" s="3" t="s">
        <v>4</v>
      </c>
      <c r="D2722" s="3" t="s">
        <v>5</v>
      </c>
      <c r="E2722" s="3" t="s">
        <v>6</v>
      </c>
      <c r="F2722" s="4" t="s">
        <v>7</v>
      </c>
      <c r="G2722" s="3" t="s">
        <v>8</v>
      </c>
      <c r="H2722" s="5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 ht="26.25" x14ac:dyDescent="0.4">
      <c r="A2723" s="6">
        <v>1</v>
      </c>
      <c r="B2723" s="20" t="s">
        <v>468</v>
      </c>
      <c r="C2723" s="21" t="s">
        <v>469</v>
      </c>
      <c r="D2723" s="8" t="s">
        <v>11</v>
      </c>
      <c r="E2723" s="20">
        <v>1.76</v>
      </c>
      <c r="F2723" s="9">
        <v>293000</v>
      </c>
      <c r="G2723" s="10">
        <f t="shared" ref="G2723:G2725" si="180">IFERROR(E2723*F2723,0)</f>
        <v>515680</v>
      </c>
      <c r="H2723" s="11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 ht="26.25" x14ac:dyDescent="0.4">
      <c r="A2724" s="6">
        <v>2</v>
      </c>
      <c r="B2724" s="22" t="s">
        <v>665</v>
      </c>
      <c r="C2724" s="23" t="s">
        <v>666</v>
      </c>
      <c r="D2724" s="13" t="s">
        <v>13</v>
      </c>
      <c r="E2724" s="22">
        <v>1.57</v>
      </c>
      <c r="F2724" s="14">
        <v>435000</v>
      </c>
      <c r="G2724" s="10">
        <f t="shared" si="180"/>
        <v>682950</v>
      </c>
      <c r="H2724" s="11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 ht="26.25" x14ac:dyDescent="0.4">
      <c r="A2725" s="6">
        <v>3</v>
      </c>
      <c r="B2725" s="15" t="s">
        <v>14</v>
      </c>
      <c r="C2725" s="11"/>
      <c r="D2725" s="11"/>
      <c r="E2725" s="11"/>
      <c r="F2725" s="11"/>
      <c r="G2725" s="16">
        <f t="shared" si="180"/>
        <v>0</v>
      </c>
      <c r="H2725" s="11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 ht="26.25" x14ac:dyDescent="0.4">
      <c r="A2726" s="29" t="s">
        <v>15</v>
      </c>
      <c r="B2726" s="26"/>
      <c r="C2726" s="26"/>
      <c r="D2726" s="26"/>
      <c r="E2726" s="26"/>
      <c r="F2726" s="26"/>
      <c r="G2726" s="27"/>
      <c r="H2726" s="17">
        <f>SUM(G2723:G2725)</f>
        <v>1198630</v>
      </c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 ht="26.25" x14ac:dyDescent="0.4">
      <c r="A2727" s="29" t="s">
        <v>16</v>
      </c>
      <c r="B2727" s="26"/>
      <c r="C2727" s="26"/>
      <c r="D2727" s="26"/>
      <c r="E2727" s="26"/>
      <c r="F2727" s="26"/>
      <c r="G2727" s="27"/>
      <c r="H2727" s="17">
        <f>MAX(0,H2726-648000)</f>
        <v>550630</v>
      </c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 ht="26.25" x14ac:dyDescent="0.4">
      <c r="A2728" s="25" t="s">
        <v>17</v>
      </c>
      <c r="B2728" s="26"/>
      <c r="C2728" s="26"/>
      <c r="D2728" s="26"/>
      <c r="E2728" s="26"/>
      <c r="F2728" s="26"/>
      <c r="G2728" s="27"/>
      <c r="H2728" s="18">
        <v>649000</v>
      </c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 ht="26.25" x14ac:dyDescent="0.4">
      <c r="A2729" s="28" t="s">
        <v>18</v>
      </c>
      <c r="B2729" s="26"/>
      <c r="C2729" s="26"/>
      <c r="D2729" s="26"/>
      <c r="E2729" s="26"/>
      <c r="F2729" s="26"/>
      <c r="G2729" s="26"/>
      <c r="H2729" s="27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 ht="12.75" x14ac:dyDescent="0.2"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 ht="12.75" x14ac:dyDescent="0.2"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5" spans="1:26" ht="15.75" customHeight="1" x14ac:dyDescent="0.4">
      <c r="A2735" s="28" t="s">
        <v>0</v>
      </c>
      <c r="B2735" s="26"/>
      <c r="C2735" s="26"/>
      <c r="D2735" s="26"/>
      <c r="E2735" s="26"/>
      <c r="F2735" s="26"/>
      <c r="G2735" s="26"/>
      <c r="H2735" s="27"/>
    </row>
    <row r="2736" spans="1:26" ht="15.75" customHeight="1" x14ac:dyDescent="0.4">
      <c r="A2736" s="28" t="s">
        <v>667</v>
      </c>
      <c r="B2736" s="26"/>
      <c r="C2736" s="26"/>
      <c r="D2736" s="26"/>
      <c r="E2736" s="26"/>
      <c r="F2736" s="26"/>
      <c r="G2736" s="26"/>
      <c r="H2736" s="27"/>
    </row>
    <row r="2737" spans="1:26" ht="15.75" customHeight="1" x14ac:dyDescent="0.3">
      <c r="A2737" s="3" t="s">
        <v>2</v>
      </c>
      <c r="B2737" s="3" t="s">
        <v>3</v>
      </c>
      <c r="C2737" s="3" t="s">
        <v>4</v>
      </c>
      <c r="D2737" s="3" t="s">
        <v>5</v>
      </c>
      <c r="E2737" s="3" t="s">
        <v>6</v>
      </c>
      <c r="F2737" s="4" t="s">
        <v>7</v>
      </c>
      <c r="G2737" s="3" t="s">
        <v>8</v>
      </c>
      <c r="H2737" s="5"/>
    </row>
    <row r="2738" spans="1:26" ht="26.25" x14ac:dyDescent="0.4">
      <c r="A2738" s="6">
        <v>1</v>
      </c>
      <c r="B2738" s="20" t="s">
        <v>34</v>
      </c>
      <c r="C2738" s="21" t="s">
        <v>668</v>
      </c>
      <c r="D2738" s="8" t="s">
        <v>11</v>
      </c>
      <c r="E2738" s="20">
        <v>1.35</v>
      </c>
      <c r="F2738" s="9">
        <v>293000</v>
      </c>
      <c r="G2738" s="10">
        <f t="shared" ref="G2738:G2740" si="181">IFERROR(E2738*F2738,0)</f>
        <v>395550</v>
      </c>
      <c r="H2738" s="11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 ht="26.25" x14ac:dyDescent="0.4">
      <c r="A2739" s="6">
        <v>2</v>
      </c>
      <c r="B2739" s="22" t="s">
        <v>669</v>
      </c>
      <c r="C2739" s="23" t="s">
        <v>670</v>
      </c>
      <c r="D2739" s="13" t="s">
        <v>13</v>
      </c>
      <c r="E2739" s="22">
        <v>2.1800000000000002</v>
      </c>
      <c r="F2739" s="14">
        <v>435000</v>
      </c>
      <c r="G2739" s="10">
        <f t="shared" si="181"/>
        <v>948300.00000000012</v>
      </c>
      <c r="H2739" s="11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 ht="26.25" x14ac:dyDescent="0.4">
      <c r="A2740" s="6">
        <v>3</v>
      </c>
      <c r="B2740" s="15" t="s">
        <v>14</v>
      </c>
      <c r="C2740" s="11"/>
      <c r="D2740" s="11"/>
      <c r="E2740" s="11"/>
      <c r="F2740" s="11"/>
      <c r="G2740" s="16">
        <f t="shared" si="181"/>
        <v>0</v>
      </c>
      <c r="H2740" s="11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 ht="26.25" x14ac:dyDescent="0.4">
      <c r="A2741" s="29" t="s">
        <v>15</v>
      </c>
      <c r="B2741" s="26"/>
      <c r="C2741" s="26"/>
      <c r="D2741" s="26"/>
      <c r="E2741" s="26"/>
      <c r="F2741" s="26"/>
      <c r="G2741" s="27"/>
      <c r="H2741" s="17">
        <f>SUM(G2738:G2740)</f>
        <v>1343850</v>
      </c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 ht="26.25" x14ac:dyDescent="0.4">
      <c r="A2742" s="29" t="s">
        <v>16</v>
      </c>
      <c r="B2742" s="26"/>
      <c r="C2742" s="26"/>
      <c r="D2742" s="26"/>
      <c r="E2742" s="26"/>
      <c r="F2742" s="26"/>
      <c r="G2742" s="27"/>
      <c r="H2742" s="17">
        <f>MAX(0,H2741-648000)</f>
        <v>695850</v>
      </c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 ht="26.25" x14ac:dyDescent="0.4">
      <c r="A2743" s="25" t="s">
        <v>17</v>
      </c>
      <c r="B2743" s="26"/>
      <c r="C2743" s="26"/>
      <c r="D2743" s="26"/>
      <c r="E2743" s="26"/>
      <c r="F2743" s="26"/>
      <c r="G2743" s="27"/>
      <c r="H2743" s="18">
        <v>649000</v>
      </c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 ht="26.25" x14ac:dyDescent="0.4">
      <c r="A2744" s="28" t="s">
        <v>18</v>
      </c>
      <c r="B2744" s="26"/>
      <c r="C2744" s="26"/>
      <c r="D2744" s="26"/>
      <c r="E2744" s="26"/>
      <c r="F2744" s="26"/>
      <c r="G2744" s="26"/>
      <c r="H2744" s="27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 ht="12.75" x14ac:dyDescent="0.2"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 ht="12.75" x14ac:dyDescent="0.2"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 ht="12.75" x14ac:dyDescent="0.2"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51" spans="1:26" ht="15.75" customHeight="1" x14ac:dyDescent="0.4">
      <c r="A2751" s="28" t="s">
        <v>0</v>
      </c>
      <c r="B2751" s="26"/>
      <c r="C2751" s="26"/>
      <c r="D2751" s="26"/>
      <c r="E2751" s="26"/>
      <c r="F2751" s="26"/>
      <c r="G2751" s="26"/>
      <c r="H2751" s="27"/>
    </row>
    <row r="2752" spans="1:26" ht="15.75" customHeight="1" x14ac:dyDescent="0.4">
      <c r="A2752" s="28" t="s">
        <v>671</v>
      </c>
      <c r="B2752" s="26"/>
      <c r="C2752" s="26"/>
      <c r="D2752" s="26"/>
      <c r="E2752" s="26"/>
      <c r="F2752" s="26"/>
      <c r="G2752" s="26"/>
      <c r="H2752" s="27"/>
    </row>
    <row r="2753" spans="1:26" ht="18.75" x14ac:dyDescent="0.3">
      <c r="A2753" s="3" t="s">
        <v>2</v>
      </c>
      <c r="B2753" s="3" t="s">
        <v>3</v>
      </c>
      <c r="C2753" s="3" t="s">
        <v>4</v>
      </c>
      <c r="D2753" s="3" t="s">
        <v>5</v>
      </c>
      <c r="E2753" s="3" t="s">
        <v>6</v>
      </c>
      <c r="F2753" s="4" t="s">
        <v>7</v>
      </c>
      <c r="G2753" s="3" t="s">
        <v>8</v>
      </c>
      <c r="H2753" s="5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 ht="26.25" x14ac:dyDescent="0.4">
      <c r="A2754" s="6">
        <v>1</v>
      </c>
      <c r="B2754" s="20" t="s">
        <v>157</v>
      </c>
      <c r="C2754" s="21" t="s">
        <v>672</v>
      </c>
      <c r="D2754" s="8" t="s">
        <v>11</v>
      </c>
      <c r="E2754" s="20">
        <v>1.8</v>
      </c>
      <c r="F2754" s="9">
        <v>293000</v>
      </c>
      <c r="G2754" s="10">
        <f t="shared" ref="G2754:G2756" si="182">IFERROR(E2754*F2754,0)</f>
        <v>527400</v>
      </c>
      <c r="H2754" s="11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 ht="26.25" x14ac:dyDescent="0.4">
      <c r="A2755" s="6">
        <v>2</v>
      </c>
      <c r="B2755" s="22" t="s">
        <v>427</v>
      </c>
      <c r="C2755" s="23" t="s">
        <v>673</v>
      </c>
      <c r="D2755" s="13" t="s">
        <v>13</v>
      </c>
      <c r="E2755" s="22">
        <v>1.8</v>
      </c>
      <c r="F2755" s="14">
        <v>435000</v>
      </c>
      <c r="G2755" s="10">
        <f t="shared" si="182"/>
        <v>783000</v>
      </c>
      <c r="H2755" s="11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 ht="26.25" x14ac:dyDescent="0.4">
      <c r="A2756" s="6">
        <v>3</v>
      </c>
      <c r="B2756" s="15" t="s">
        <v>14</v>
      </c>
      <c r="C2756" s="11"/>
      <c r="D2756" s="11"/>
      <c r="E2756" s="11"/>
      <c r="F2756" s="11"/>
      <c r="G2756" s="16">
        <f t="shared" si="182"/>
        <v>0</v>
      </c>
      <c r="H2756" s="11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 ht="26.25" x14ac:dyDescent="0.4">
      <c r="A2757" s="29" t="s">
        <v>15</v>
      </c>
      <c r="B2757" s="26"/>
      <c r="C2757" s="26"/>
      <c r="D2757" s="26"/>
      <c r="E2757" s="26"/>
      <c r="F2757" s="26"/>
      <c r="G2757" s="27"/>
      <c r="H2757" s="17">
        <f>SUM(G2754:G2756)</f>
        <v>1310400</v>
      </c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 ht="26.25" x14ac:dyDescent="0.4">
      <c r="A2758" s="29" t="s">
        <v>16</v>
      </c>
      <c r="B2758" s="26"/>
      <c r="C2758" s="26"/>
      <c r="D2758" s="26"/>
      <c r="E2758" s="26"/>
      <c r="F2758" s="26"/>
      <c r="G2758" s="27"/>
      <c r="H2758" s="17">
        <f>MAX(0,H2757-648000)</f>
        <v>662400</v>
      </c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 ht="26.25" x14ac:dyDescent="0.4">
      <c r="A2759" s="25" t="s">
        <v>17</v>
      </c>
      <c r="B2759" s="26"/>
      <c r="C2759" s="26"/>
      <c r="D2759" s="26"/>
      <c r="E2759" s="26"/>
      <c r="F2759" s="26"/>
      <c r="G2759" s="27"/>
      <c r="H2759" s="18">
        <v>649000</v>
      </c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 ht="26.25" x14ac:dyDescent="0.4">
      <c r="A2760" s="28" t="s">
        <v>18</v>
      </c>
      <c r="B2760" s="26"/>
      <c r="C2760" s="26"/>
      <c r="D2760" s="26"/>
      <c r="E2760" s="26"/>
      <c r="F2760" s="26"/>
      <c r="G2760" s="26"/>
      <c r="H2760" s="27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 ht="12.75" x14ac:dyDescent="0.2"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 ht="12.75" x14ac:dyDescent="0.2"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6" spans="1:26" ht="15.75" customHeight="1" x14ac:dyDescent="0.4">
      <c r="A2766" s="28" t="s">
        <v>0</v>
      </c>
      <c r="B2766" s="26"/>
      <c r="C2766" s="26"/>
      <c r="D2766" s="26"/>
      <c r="E2766" s="26"/>
      <c r="F2766" s="26"/>
      <c r="G2766" s="26"/>
      <c r="H2766" s="27"/>
    </row>
    <row r="2767" spans="1:26" ht="26.25" x14ac:dyDescent="0.4">
      <c r="A2767" s="28" t="s">
        <v>674</v>
      </c>
      <c r="B2767" s="26"/>
      <c r="C2767" s="26"/>
      <c r="D2767" s="26"/>
      <c r="E2767" s="26"/>
      <c r="F2767" s="26"/>
      <c r="G2767" s="26"/>
      <c r="H2767" s="27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 ht="18.75" x14ac:dyDescent="0.3">
      <c r="A2768" s="3" t="s">
        <v>2</v>
      </c>
      <c r="B2768" s="3" t="s">
        <v>3</v>
      </c>
      <c r="C2768" s="3" t="s">
        <v>4</v>
      </c>
      <c r="D2768" s="3" t="s">
        <v>5</v>
      </c>
      <c r="E2768" s="3" t="s">
        <v>6</v>
      </c>
      <c r="F2768" s="4" t="s">
        <v>7</v>
      </c>
      <c r="G2768" s="3" t="s">
        <v>8</v>
      </c>
      <c r="H2768" s="5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 ht="26.25" x14ac:dyDescent="0.4">
      <c r="A2769" s="6">
        <v>1</v>
      </c>
      <c r="B2769" s="20" t="s">
        <v>101</v>
      </c>
      <c r="C2769" s="21" t="s">
        <v>675</v>
      </c>
      <c r="D2769" s="8" t="s">
        <v>11</v>
      </c>
      <c r="E2769" s="20">
        <v>2.5</v>
      </c>
      <c r="F2769" s="9">
        <v>293000</v>
      </c>
      <c r="G2769" s="10">
        <f t="shared" ref="G2769:G2771" si="183">IFERROR(E2769*F2769,0)</f>
        <v>732500</v>
      </c>
      <c r="H2769" s="11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 ht="26.25" x14ac:dyDescent="0.4">
      <c r="A2770" s="6">
        <v>2</v>
      </c>
      <c r="B2770" s="22" t="s">
        <v>12</v>
      </c>
      <c r="C2770" s="23" t="s">
        <v>676</v>
      </c>
      <c r="D2770" s="13" t="s">
        <v>13</v>
      </c>
      <c r="E2770" s="22">
        <v>0.9</v>
      </c>
      <c r="F2770" s="14">
        <v>435000</v>
      </c>
      <c r="G2770" s="10">
        <f t="shared" si="183"/>
        <v>391500</v>
      </c>
      <c r="H2770" s="11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 ht="26.25" x14ac:dyDescent="0.4">
      <c r="A2771" s="6">
        <v>3</v>
      </c>
      <c r="B2771" s="15" t="s">
        <v>14</v>
      </c>
      <c r="C2771" s="11"/>
      <c r="D2771" s="11"/>
      <c r="E2771" s="11"/>
      <c r="F2771" s="11"/>
      <c r="G2771" s="16">
        <f t="shared" si="183"/>
        <v>0</v>
      </c>
      <c r="H2771" s="11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 ht="26.25" x14ac:dyDescent="0.4">
      <c r="A2772" s="29" t="s">
        <v>15</v>
      </c>
      <c r="B2772" s="26"/>
      <c r="C2772" s="26"/>
      <c r="D2772" s="26"/>
      <c r="E2772" s="26"/>
      <c r="F2772" s="26"/>
      <c r="G2772" s="27"/>
      <c r="H2772" s="17">
        <f>SUM(G2769:G2771)</f>
        <v>1124000</v>
      </c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 ht="26.25" x14ac:dyDescent="0.4">
      <c r="A2773" s="29" t="s">
        <v>16</v>
      </c>
      <c r="B2773" s="26"/>
      <c r="C2773" s="26"/>
      <c r="D2773" s="26"/>
      <c r="E2773" s="26"/>
      <c r="F2773" s="26"/>
      <c r="G2773" s="27"/>
      <c r="H2773" s="17">
        <f>MAX(0,H2772-648000)</f>
        <v>476000</v>
      </c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 ht="26.25" x14ac:dyDescent="0.4">
      <c r="A2774" s="25" t="s">
        <v>17</v>
      </c>
      <c r="B2774" s="26"/>
      <c r="C2774" s="26"/>
      <c r="D2774" s="26"/>
      <c r="E2774" s="26"/>
      <c r="F2774" s="26"/>
      <c r="G2774" s="27"/>
      <c r="H2774" s="18">
        <v>649000</v>
      </c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 ht="26.25" x14ac:dyDescent="0.4">
      <c r="A2775" s="28" t="s">
        <v>18</v>
      </c>
      <c r="B2775" s="26"/>
      <c r="C2775" s="26"/>
      <c r="D2775" s="26"/>
      <c r="E2775" s="26"/>
      <c r="F2775" s="26"/>
      <c r="G2775" s="26"/>
      <c r="H2775" s="27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 ht="12.75" x14ac:dyDescent="0.2"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80" spans="1:26" ht="15.75" customHeight="1" x14ac:dyDescent="0.4">
      <c r="A2780" s="28" t="s">
        <v>0</v>
      </c>
      <c r="B2780" s="26"/>
      <c r="C2780" s="26"/>
      <c r="D2780" s="26"/>
      <c r="E2780" s="26"/>
      <c r="F2780" s="26"/>
      <c r="G2780" s="26"/>
      <c r="H2780" s="27"/>
    </row>
    <row r="2781" spans="1:26" ht="15.75" customHeight="1" x14ac:dyDescent="0.4">
      <c r="A2781" s="28" t="s">
        <v>677</v>
      </c>
      <c r="B2781" s="26"/>
      <c r="C2781" s="26"/>
      <c r="D2781" s="26"/>
      <c r="E2781" s="26"/>
      <c r="F2781" s="26"/>
      <c r="G2781" s="26"/>
      <c r="H2781" s="27"/>
    </row>
    <row r="2782" spans="1:26" ht="18.75" x14ac:dyDescent="0.3">
      <c r="A2782" s="3" t="s">
        <v>2</v>
      </c>
      <c r="B2782" s="3" t="s">
        <v>3</v>
      </c>
      <c r="C2782" s="3" t="s">
        <v>4</v>
      </c>
      <c r="D2782" s="3" t="s">
        <v>5</v>
      </c>
      <c r="E2782" s="3" t="s">
        <v>6</v>
      </c>
      <c r="F2782" s="4" t="s">
        <v>7</v>
      </c>
      <c r="G2782" s="3" t="s">
        <v>8</v>
      </c>
      <c r="H2782" s="5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 ht="26.25" x14ac:dyDescent="0.4">
      <c r="A2783" s="6">
        <v>1</v>
      </c>
      <c r="B2783" s="20" t="s">
        <v>678</v>
      </c>
      <c r="C2783" s="21" t="s">
        <v>679</v>
      </c>
      <c r="D2783" s="8" t="s">
        <v>11</v>
      </c>
      <c r="E2783" s="20">
        <v>2.5</v>
      </c>
      <c r="F2783" s="9">
        <v>293000</v>
      </c>
      <c r="G2783" s="10">
        <f t="shared" ref="G2783:G2785" si="184">IFERROR(E2783*F2783,0)</f>
        <v>732500</v>
      </c>
      <c r="H2783" s="11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 ht="26.25" x14ac:dyDescent="0.4">
      <c r="A2784" s="6">
        <v>2</v>
      </c>
      <c r="B2784" s="22" t="s">
        <v>12</v>
      </c>
      <c r="C2784" s="23" t="s">
        <v>680</v>
      </c>
      <c r="D2784" s="13" t="s">
        <v>13</v>
      </c>
      <c r="E2784" s="22">
        <v>0.98</v>
      </c>
      <c r="F2784" s="14">
        <v>435000</v>
      </c>
      <c r="G2784" s="10">
        <f t="shared" si="184"/>
        <v>426300</v>
      </c>
      <c r="H2784" s="11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 ht="26.25" x14ac:dyDescent="0.4">
      <c r="A2785" s="6">
        <v>3</v>
      </c>
      <c r="B2785" s="15" t="s">
        <v>14</v>
      </c>
      <c r="C2785" s="11"/>
      <c r="D2785" s="11"/>
      <c r="E2785" s="11"/>
      <c r="F2785" s="11"/>
      <c r="G2785" s="16">
        <f t="shared" si="184"/>
        <v>0</v>
      </c>
      <c r="H2785" s="11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 ht="26.25" x14ac:dyDescent="0.4">
      <c r="A2786" s="29" t="s">
        <v>15</v>
      </c>
      <c r="B2786" s="26"/>
      <c r="C2786" s="26"/>
      <c r="D2786" s="26"/>
      <c r="E2786" s="26"/>
      <c r="F2786" s="26"/>
      <c r="G2786" s="27"/>
      <c r="H2786" s="17">
        <f>SUM(G2783:G2785)</f>
        <v>1158800</v>
      </c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 ht="26.25" x14ac:dyDescent="0.4">
      <c r="A2787" s="29" t="s">
        <v>16</v>
      </c>
      <c r="B2787" s="26"/>
      <c r="C2787" s="26"/>
      <c r="D2787" s="26"/>
      <c r="E2787" s="26"/>
      <c r="F2787" s="26"/>
      <c r="G2787" s="27"/>
      <c r="H2787" s="17">
        <f>MAX(0,H2786-648000)</f>
        <v>510800</v>
      </c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 ht="26.25" x14ac:dyDescent="0.4">
      <c r="A2788" s="25" t="s">
        <v>17</v>
      </c>
      <c r="B2788" s="26"/>
      <c r="C2788" s="26"/>
      <c r="D2788" s="26"/>
      <c r="E2788" s="26"/>
      <c r="F2788" s="26"/>
      <c r="G2788" s="27"/>
      <c r="H2788" s="18">
        <v>649000</v>
      </c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 ht="26.25" x14ac:dyDescent="0.4">
      <c r="A2789" s="28" t="s">
        <v>18</v>
      </c>
      <c r="B2789" s="26"/>
      <c r="C2789" s="26"/>
      <c r="D2789" s="26"/>
      <c r="E2789" s="26"/>
      <c r="F2789" s="26"/>
      <c r="G2789" s="26"/>
      <c r="H2789" s="27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 ht="12.75" x14ac:dyDescent="0.2"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 ht="12.75" x14ac:dyDescent="0.2"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5" spans="1:26" ht="15.75" customHeight="1" x14ac:dyDescent="0.4">
      <c r="A2795" s="28" t="s">
        <v>0</v>
      </c>
      <c r="B2795" s="26"/>
      <c r="C2795" s="26"/>
      <c r="D2795" s="26"/>
      <c r="E2795" s="26"/>
      <c r="F2795" s="26"/>
      <c r="G2795" s="26"/>
      <c r="H2795" s="27"/>
    </row>
    <row r="2796" spans="1:26" ht="26.25" x14ac:dyDescent="0.4">
      <c r="A2796" s="28" t="s">
        <v>681</v>
      </c>
      <c r="B2796" s="26"/>
      <c r="C2796" s="26"/>
      <c r="D2796" s="26"/>
      <c r="E2796" s="26"/>
      <c r="F2796" s="26"/>
      <c r="G2796" s="26"/>
      <c r="H2796" s="27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 ht="18.75" x14ac:dyDescent="0.3">
      <c r="A2797" s="3" t="s">
        <v>2</v>
      </c>
      <c r="B2797" s="3" t="s">
        <v>3</v>
      </c>
      <c r="C2797" s="3" t="s">
        <v>4</v>
      </c>
      <c r="D2797" s="3" t="s">
        <v>5</v>
      </c>
      <c r="E2797" s="3" t="s">
        <v>6</v>
      </c>
      <c r="F2797" s="4" t="s">
        <v>7</v>
      </c>
      <c r="G2797" s="3" t="s">
        <v>8</v>
      </c>
      <c r="H2797" s="5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 ht="26.25" x14ac:dyDescent="0.4">
      <c r="A2798" s="6">
        <v>1</v>
      </c>
      <c r="B2798" s="20" t="s">
        <v>682</v>
      </c>
      <c r="C2798" s="21" t="s">
        <v>683</v>
      </c>
      <c r="D2798" s="8" t="s">
        <v>11</v>
      </c>
      <c r="E2798" s="20">
        <v>1.75</v>
      </c>
      <c r="F2798" s="9">
        <v>293000</v>
      </c>
      <c r="G2798" s="10">
        <f t="shared" ref="G2798:G2800" si="185">IFERROR(E2798*F2798,0)</f>
        <v>512750</v>
      </c>
      <c r="H2798" s="11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 ht="26.25" x14ac:dyDescent="0.4">
      <c r="A2799" s="6">
        <v>2</v>
      </c>
      <c r="B2799" s="22" t="s">
        <v>30</v>
      </c>
      <c r="C2799" s="23" t="s">
        <v>684</v>
      </c>
      <c r="D2799" s="13" t="s">
        <v>13</v>
      </c>
      <c r="E2799" s="22">
        <v>1.8</v>
      </c>
      <c r="F2799" s="14">
        <v>435000</v>
      </c>
      <c r="G2799" s="10">
        <f t="shared" si="185"/>
        <v>783000</v>
      </c>
      <c r="H2799" s="11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 ht="26.25" x14ac:dyDescent="0.4">
      <c r="A2800" s="6">
        <v>3</v>
      </c>
      <c r="B2800" s="15" t="s">
        <v>14</v>
      </c>
      <c r="C2800" s="11"/>
      <c r="D2800" s="11"/>
      <c r="E2800" s="11"/>
      <c r="F2800" s="11"/>
      <c r="G2800" s="16">
        <f t="shared" si="185"/>
        <v>0</v>
      </c>
      <c r="H2800" s="11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 ht="26.25" x14ac:dyDescent="0.4">
      <c r="A2801" s="29" t="s">
        <v>15</v>
      </c>
      <c r="B2801" s="26"/>
      <c r="C2801" s="26"/>
      <c r="D2801" s="26"/>
      <c r="E2801" s="26"/>
      <c r="F2801" s="26"/>
      <c r="G2801" s="27"/>
      <c r="H2801" s="17">
        <f>SUM(G2798:G2800)</f>
        <v>1295750</v>
      </c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 ht="26.25" x14ac:dyDescent="0.4">
      <c r="A2802" s="29" t="s">
        <v>16</v>
      </c>
      <c r="B2802" s="26"/>
      <c r="C2802" s="26"/>
      <c r="D2802" s="26"/>
      <c r="E2802" s="26"/>
      <c r="F2802" s="26"/>
      <c r="G2802" s="27"/>
      <c r="H2802" s="17">
        <f>MAX(0,H2801-648000)</f>
        <v>647750</v>
      </c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 ht="26.25" x14ac:dyDescent="0.4">
      <c r="A2803" s="25" t="s">
        <v>17</v>
      </c>
      <c r="B2803" s="26"/>
      <c r="C2803" s="26"/>
      <c r="D2803" s="26"/>
      <c r="E2803" s="26"/>
      <c r="F2803" s="26"/>
      <c r="G2803" s="27"/>
      <c r="H2803" s="18">
        <v>649000</v>
      </c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 ht="26.25" x14ac:dyDescent="0.4">
      <c r="A2804" s="28" t="s">
        <v>18</v>
      </c>
      <c r="B2804" s="26"/>
      <c r="C2804" s="26"/>
      <c r="D2804" s="26"/>
      <c r="E2804" s="26"/>
      <c r="F2804" s="26"/>
      <c r="G2804" s="26"/>
      <c r="H2804" s="27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 ht="12.75" x14ac:dyDescent="0.2"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9" spans="1:26" ht="15.75" customHeight="1" x14ac:dyDescent="0.4">
      <c r="A2809" s="28" t="s">
        <v>0</v>
      </c>
      <c r="B2809" s="26"/>
      <c r="C2809" s="26"/>
      <c r="D2809" s="26"/>
      <c r="E2809" s="26"/>
      <c r="F2809" s="26"/>
      <c r="G2809" s="26"/>
      <c r="H2809" s="27"/>
    </row>
    <row r="2810" spans="1:26" ht="15.75" customHeight="1" x14ac:dyDescent="0.4">
      <c r="A2810" s="28" t="s">
        <v>685</v>
      </c>
      <c r="B2810" s="26"/>
      <c r="C2810" s="26"/>
      <c r="D2810" s="26"/>
      <c r="E2810" s="26"/>
      <c r="F2810" s="26"/>
      <c r="G2810" s="26"/>
      <c r="H2810" s="27"/>
    </row>
    <row r="2811" spans="1:26" ht="18.75" x14ac:dyDescent="0.3">
      <c r="A2811" s="3" t="s">
        <v>2</v>
      </c>
      <c r="B2811" s="3" t="s">
        <v>3</v>
      </c>
      <c r="C2811" s="3" t="s">
        <v>4</v>
      </c>
      <c r="D2811" s="3" t="s">
        <v>5</v>
      </c>
      <c r="E2811" s="3" t="s">
        <v>6</v>
      </c>
      <c r="F2811" s="4" t="s">
        <v>7</v>
      </c>
      <c r="G2811" s="3" t="s">
        <v>8</v>
      </c>
      <c r="H2811" s="5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 ht="26.25" x14ac:dyDescent="0.4">
      <c r="A2812" s="6">
        <v>1</v>
      </c>
      <c r="B2812" s="20" t="s">
        <v>434</v>
      </c>
      <c r="C2812" s="21" t="s">
        <v>686</v>
      </c>
      <c r="D2812" s="8" t="s">
        <v>11</v>
      </c>
      <c r="E2812" s="20">
        <v>2.5</v>
      </c>
      <c r="F2812" s="9">
        <v>293000</v>
      </c>
      <c r="G2812" s="10">
        <f t="shared" ref="G2812:G2814" si="186">IFERROR(E2812*F2812,0)</f>
        <v>732500</v>
      </c>
      <c r="H2812" s="11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 ht="26.25" x14ac:dyDescent="0.4">
      <c r="A2813" s="6">
        <v>2</v>
      </c>
      <c r="B2813" s="22" t="s">
        <v>36</v>
      </c>
      <c r="C2813" s="23" t="s">
        <v>687</v>
      </c>
      <c r="D2813" s="13" t="s">
        <v>13</v>
      </c>
      <c r="E2813" s="22">
        <v>1.1000000000000001</v>
      </c>
      <c r="F2813" s="14">
        <v>435000</v>
      </c>
      <c r="G2813" s="10">
        <f t="shared" si="186"/>
        <v>478500.00000000006</v>
      </c>
      <c r="H2813" s="11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 ht="26.25" x14ac:dyDescent="0.4">
      <c r="A2814" s="6">
        <v>3</v>
      </c>
      <c r="B2814" s="15" t="s">
        <v>14</v>
      </c>
      <c r="C2814" s="11"/>
      <c r="D2814" s="11"/>
      <c r="E2814" s="11"/>
      <c r="F2814" s="11"/>
      <c r="G2814" s="16">
        <f t="shared" si="186"/>
        <v>0</v>
      </c>
      <c r="H2814" s="11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 ht="26.25" x14ac:dyDescent="0.4">
      <c r="A2815" s="29" t="s">
        <v>15</v>
      </c>
      <c r="B2815" s="26"/>
      <c r="C2815" s="26"/>
      <c r="D2815" s="26"/>
      <c r="E2815" s="26"/>
      <c r="F2815" s="26"/>
      <c r="G2815" s="27"/>
      <c r="H2815" s="17">
        <f>SUM(G2812:G2814)</f>
        <v>1211000</v>
      </c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 ht="26.25" x14ac:dyDescent="0.4">
      <c r="A2816" s="29" t="s">
        <v>16</v>
      </c>
      <c r="B2816" s="26"/>
      <c r="C2816" s="26"/>
      <c r="D2816" s="26"/>
      <c r="E2816" s="26"/>
      <c r="F2816" s="26"/>
      <c r="G2816" s="27"/>
      <c r="H2816" s="17">
        <f>MAX(0,H2815-648000)</f>
        <v>563000</v>
      </c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 ht="26.25" x14ac:dyDescent="0.4">
      <c r="A2817" s="25" t="s">
        <v>17</v>
      </c>
      <c r="B2817" s="26"/>
      <c r="C2817" s="26"/>
      <c r="D2817" s="26"/>
      <c r="E2817" s="26"/>
      <c r="F2817" s="26"/>
      <c r="G2817" s="27"/>
      <c r="H2817" s="18">
        <v>649000</v>
      </c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 ht="26.25" x14ac:dyDescent="0.4">
      <c r="A2818" s="28" t="s">
        <v>18</v>
      </c>
      <c r="B2818" s="26"/>
      <c r="C2818" s="26"/>
      <c r="D2818" s="26"/>
      <c r="E2818" s="26"/>
      <c r="F2818" s="26"/>
      <c r="G2818" s="26"/>
      <c r="H2818" s="27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 ht="12.75" x14ac:dyDescent="0.2"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 ht="12.75" x14ac:dyDescent="0.2"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4" spans="1:26" ht="15.75" customHeight="1" x14ac:dyDescent="0.4">
      <c r="A2824" s="28" t="s">
        <v>0</v>
      </c>
      <c r="B2824" s="26"/>
      <c r="C2824" s="26"/>
      <c r="D2824" s="26"/>
      <c r="E2824" s="26"/>
      <c r="F2824" s="26"/>
      <c r="G2824" s="26"/>
      <c r="H2824" s="27"/>
    </row>
    <row r="2825" spans="1:26" ht="15.75" customHeight="1" x14ac:dyDescent="0.4">
      <c r="A2825" s="28" t="s">
        <v>688</v>
      </c>
      <c r="B2825" s="26"/>
      <c r="C2825" s="26"/>
      <c r="D2825" s="26"/>
      <c r="E2825" s="26"/>
      <c r="F2825" s="26"/>
      <c r="G2825" s="26"/>
      <c r="H2825" s="27"/>
    </row>
    <row r="2826" spans="1:26" ht="15.75" customHeight="1" x14ac:dyDescent="0.3">
      <c r="A2826" s="3" t="s">
        <v>2</v>
      </c>
      <c r="B2826" s="3" t="s">
        <v>3</v>
      </c>
      <c r="C2826" s="3" t="s">
        <v>4</v>
      </c>
      <c r="D2826" s="3" t="s">
        <v>5</v>
      </c>
      <c r="E2826" s="3" t="s">
        <v>6</v>
      </c>
      <c r="F2826" s="4" t="s">
        <v>7</v>
      </c>
      <c r="G2826" s="3" t="s">
        <v>8</v>
      </c>
      <c r="H2826" s="5"/>
    </row>
    <row r="2827" spans="1:26" ht="26.25" x14ac:dyDescent="0.4">
      <c r="A2827" s="6">
        <v>1</v>
      </c>
      <c r="B2827" s="20" t="s">
        <v>77</v>
      </c>
      <c r="C2827" s="21" t="s">
        <v>689</v>
      </c>
      <c r="D2827" s="8" t="s">
        <v>11</v>
      </c>
      <c r="E2827" s="20">
        <v>2.8</v>
      </c>
      <c r="F2827" s="9">
        <v>293000</v>
      </c>
      <c r="G2827" s="10">
        <f t="shared" ref="G2827:G2829" si="187">IFERROR(E2827*F2827,0)</f>
        <v>820400</v>
      </c>
      <c r="H2827" s="11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 ht="26.25" x14ac:dyDescent="0.4">
      <c r="A2828" s="6">
        <v>2</v>
      </c>
      <c r="B2828" s="22" t="s">
        <v>36</v>
      </c>
      <c r="C2828" s="23" t="s">
        <v>690</v>
      </c>
      <c r="D2828" s="13" t="s">
        <v>13</v>
      </c>
      <c r="E2828" s="22">
        <v>0.8</v>
      </c>
      <c r="F2828" s="14">
        <v>435000</v>
      </c>
      <c r="G2828" s="10">
        <f t="shared" si="187"/>
        <v>348000</v>
      </c>
      <c r="H2828" s="11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 ht="26.25" x14ac:dyDescent="0.4">
      <c r="A2829" s="6">
        <v>3</v>
      </c>
      <c r="B2829" s="15" t="s">
        <v>14</v>
      </c>
      <c r="C2829" s="11"/>
      <c r="D2829" s="11"/>
      <c r="E2829" s="11" t="s">
        <v>181</v>
      </c>
      <c r="F2829" s="11"/>
      <c r="G2829" s="16">
        <f t="shared" si="187"/>
        <v>0</v>
      </c>
      <c r="H2829" s="11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 ht="26.25" x14ac:dyDescent="0.4">
      <c r="A2830" s="29" t="s">
        <v>15</v>
      </c>
      <c r="B2830" s="26"/>
      <c r="C2830" s="26"/>
      <c r="D2830" s="26"/>
      <c r="E2830" s="26"/>
      <c r="F2830" s="26"/>
      <c r="G2830" s="27"/>
      <c r="H2830" s="17">
        <f>SUM(G2827:G2829)</f>
        <v>1168400</v>
      </c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 ht="26.25" x14ac:dyDescent="0.4">
      <c r="A2831" s="29" t="s">
        <v>16</v>
      </c>
      <c r="B2831" s="26"/>
      <c r="C2831" s="26"/>
      <c r="D2831" s="26"/>
      <c r="E2831" s="26"/>
      <c r="F2831" s="26"/>
      <c r="G2831" s="27"/>
      <c r="H2831" s="17">
        <f>MAX(0,H2830-648000)</f>
        <v>520400</v>
      </c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 ht="26.25" x14ac:dyDescent="0.4">
      <c r="A2832" s="25" t="s">
        <v>17</v>
      </c>
      <c r="B2832" s="26"/>
      <c r="C2832" s="26"/>
      <c r="D2832" s="26"/>
      <c r="E2832" s="26"/>
      <c r="F2832" s="26"/>
      <c r="G2832" s="27"/>
      <c r="H2832" s="18">
        <v>649000</v>
      </c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 ht="26.25" x14ac:dyDescent="0.4">
      <c r="A2833" s="28" t="s">
        <v>18</v>
      </c>
      <c r="B2833" s="26"/>
      <c r="C2833" s="26"/>
      <c r="D2833" s="26"/>
      <c r="E2833" s="26"/>
      <c r="F2833" s="26"/>
      <c r="G2833" s="26"/>
      <c r="H2833" s="27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 ht="12.75" x14ac:dyDescent="0.2"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 ht="12.75" x14ac:dyDescent="0.2"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 ht="12.75" x14ac:dyDescent="0.2"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40" spans="1:26" ht="15.75" customHeight="1" x14ac:dyDescent="0.4">
      <c r="A2840" s="28" t="s">
        <v>0</v>
      </c>
      <c r="B2840" s="26"/>
      <c r="C2840" s="26"/>
      <c r="D2840" s="26"/>
      <c r="E2840" s="26"/>
      <c r="F2840" s="26"/>
      <c r="G2840" s="26"/>
      <c r="H2840" s="27"/>
    </row>
    <row r="2841" spans="1:26" ht="15.75" customHeight="1" x14ac:dyDescent="0.4">
      <c r="A2841" s="28" t="s">
        <v>691</v>
      </c>
      <c r="B2841" s="26"/>
      <c r="C2841" s="26"/>
      <c r="D2841" s="26"/>
      <c r="E2841" s="26"/>
      <c r="F2841" s="26"/>
      <c r="G2841" s="26"/>
      <c r="H2841" s="27"/>
    </row>
    <row r="2842" spans="1:26" ht="15.75" customHeight="1" x14ac:dyDescent="0.3">
      <c r="A2842" s="3" t="s">
        <v>2</v>
      </c>
      <c r="B2842" s="3" t="s">
        <v>3</v>
      </c>
      <c r="C2842" s="3" t="s">
        <v>4</v>
      </c>
      <c r="D2842" s="3" t="s">
        <v>5</v>
      </c>
      <c r="E2842" s="3" t="s">
        <v>6</v>
      </c>
      <c r="F2842" s="4" t="s">
        <v>7</v>
      </c>
      <c r="G2842" s="3" t="s">
        <v>8</v>
      </c>
      <c r="H2842" s="5"/>
    </row>
    <row r="2843" spans="1:26" ht="26.25" x14ac:dyDescent="0.4">
      <c r="A2843" s="6">
        <v>1</v>
      </c>
      <c r="B2843" s="20" t="s">
        <v>110</v>
      </c>
      <c r="C2843" s="21" t="s">
        <v>692</v>
      </c>
      <c r="D2843" s="8" t="s">
        <v>11</v>
      </c>
      <c r="E2843" s="20">
        <v>2.1</v>
      </c>
      <c r="F2843" s="9">
        <v>293000</v>
      </c>
      <c r="G2843" s="10">
        <f t="shared" ref="G2843:G2845" si="188">IFERROR(E2843*F2843,0)</f>
        <v>615300</v>
      </c>
      <c r="H2843" s="11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 ht="26.25" x14ac:dyDescent="0.4">
      <c r="A2844" s="6">
        <v>2</v>
      </c>
      <c r="B2844" s="22" t="s">
        <v>539</v>
      </c>
      <c r="C2844" s="23" t="s">
        <v>693</v>
      </c>
      <c r="D2844" s="13" t="s">
        <v>13</v>
      </c>
      <c r="E2844" s="22">
        <v>1.47</v>
      </c>
      <c r="F2844" s="14">
        <v>435000</v>
      </c>
      <c r="G2844" s="10">
        <f t="shared" si="188"/>
        <v>639450</v>
      </c>
      <c r="H2844" s="11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 ht="26.25" x14ac:dyDescent="0.4">
      <c r="A2845" s="6">
        <v>3</v>
      </c>
      <c r="B2845" s="15" t="s">
        <v>14</v>
      </c>
      <c r="C2845" s="11"/>
      <c r="D2845" s="11"/>
      <c r="E2845" s="11"/>
      <c r="F2845" s="11"/>
      <c r="G2845" s="16">
        <f t="shared" si="188"/>
        <v>0</v>
      </c>
      <c r="H2845" s="11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 ht="26.25" x14ac:dyDescent="0.4">
      <c r="A2846" s="29" t="s">
        <v>15</v>
      </c>
      <c r="B2846" s="26"/>
      <c r="C2846" s="26"/>
      <c r="D2846" s="26"/>
      <c r="E2846" s="26"/>
      <c r="F2846" s="26"/>
      <c r="G2846" s="27"/>
      <c r="H2846" s="17">
        <f>SUM(G2843:G2845)</f>
        <v>1254750</v>
      </c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 ht="26.25" x14ac:dyDescent="0.4">
      <c r="A2847" s="29" t="s">
        <v>16</v>
      </c>
      <c r="B2847" s="26"/>
      <c r="C2847" s="26"/>
      <c r="D2847" s="26"/>
      <c r="E2847" s="26"/>
      <c r="F2847" s="26"/>
      <c r="G2847" s="27"/>
      <c r="H2847" s="17">
        <f>MAX(0,H2846-648000)</f>
        <v>606750</v>
      </c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 ht="26.25" x14ac:dyDescent="0.4">
      <c r="A2848" s="25" t="s">
        <v>17</v>
      </c>
      <c r="B2848" s="26"/>
      <c r="C2848" s="26"/>
      <c r="D2848" s="26"/>
      <c r="E2848" s="26"/>
      <c r="F2848" s="26"/>
      <c r="G2848" s="27"/>
      <c r="H2848" s="18">
        <v>649000</v>
      </c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 ht="26.25" x14ac:dyDescent="0.4">
      <c r="A2849" s="28" t="s">
        <v>18</v>
      </c>
      <c r="B2849" s="26"/>
      <c r="C2849" s="26"/>
      <c r="D2849" s="26"/>
      <c r="E2849" s="26"/>
      <c r="F2849" s="26"/>
      <c r="G2849" s="26"/>
      <c r="H2849" s="27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 ht="12.75" x14ac:dyDescent="0.2"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 ht="12.75" x14ac:dyDescent="0.2"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 ht="12.75" x14ac:dyDescent="0.2"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6" spans="1:26" ht="15.75" customHeight="1" x14ac:dyDescent="0.4">
      <c r="A2856" s="28" t="s">
        <v>0</v>
      </c>
      <c r="B2856" s="26"/>
      <c r="C2856" s="26"/>
      <c r="D2856" s="26"/>
      <c r="E2856" s="26"/>
      <c r="F2856" s="26"/>
      <c r="G2856" s="26"/>
      <c r="H2856" s="27"/>
    </row>
    <row r="2857" spans="1:26" ht="15.75" customHeight="1" x14ac:dyDescent="0.4">
      <c r="A2857" s="28" t="s">
        <v>694</v>
      </c>
      <c r="B2857" s="26"/>
      <c r="C2857" s="26"/>
      <c r="D2857" s="26"/>
      <c r="E2857" s="26"/>
      <c r="F2857" s="26"/>
      <c r="G2857" s="26"/>
      <c r="H2857" s="27"/>
    </row>
    <row r="2858" spans="1:26" ht="15.75" customHeight="1" x14ac:dyDescent="0.3">
      <c r="A2858" s="3" t="s">
        <v>2</v>
      </c>
      <c r="B2858" s="3" t="s">
        <v>3</v>
      </c>
      <c r="C2858" s="3" t="s">
        <v>4</v>
      </c>
      <c r="D2858" s="3" t="s">
        <v>5</v>
      </c>
      <c r="E2858" s="3" t="s">
        <v>6</v>
      </c>
      <c r="F2858" s="4" t="s">
        <v>7</v>
      </c>
      <c r="G2858" s="3" t="s">
        <v>8</v>
      </c>
      <c r="H2858" s="5"/>
    </row>
    <row r="2859" spans="1:26" ht="26.25" x14ac:dyDescent="0.4">
      <c r="A2859" s="6">
        <v>1</v>
      </c>
      <c r="B2859" s="20" t="s">
        <v>12</v>
      </c>
      <c r="C2859" s="21" t="s">
        <v>695</v>
      </c>
      <c r="D2859" s="8" t="s">
        <v>11</v>
      </c>
      <c r="E2859" s="20">
        <v>1.45</v>
      </c>
      <c r="F2859" s="9">
        <v>293000</v>
      </c>
      <c r="G2859" s="10">
        <f t="shared" ref="G2859:G2861" si="189">IFERROR(E2859*F2859,0)</f>
        <v>424850</v>
      </c>
      <c r="H2859" s="11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 ht="26.25" x14ac:dyDescent="0.4">
      <c r="A2860" s="6">
        <v>2</v>
      </c>
      <c r="B2860" s="22" t="s">
        <v>65</v>
      </c>
      <c r="C2860" s="23" t="s">
        <v>696</v>
      </c>
      <c r="D2860" s="13" t="s">
        <v>13</v>
      </c>
      <c r="E2860" s="22">
        <v>1.9</v>
      </c>
      <c r="F2860" s="14">
        <v>435000</v>
      </c>
      <c r="G2860" s="10">
        <f t="shared" si="189"/>
        <v>826500</v>
      </c>
      <c r="H2860" s="11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 ht="26.25" x14ac:dyDescent="0.4">
      <c r="A2861" s="6">
        <v>3</v>
      </c>
      <c r="B2861" s="15" t="s">
        <v>14</v>
      </c>
      <c r="C2861" s="11"/>
      <c r="D2861" s="11"/>
      <c r="E2861" s="11"/>
      <c r="F2861" s="11"/>
      <c r="G2861" s="16">
        <f t="shared" si="189"/>
        <v>0</v>
      </c>
      <c r="H2861" s="11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 ht="26.25" x14ac:dyDescent="0.4">
      <c r="A2862" s="29" t="s">
        <v>15</v>
      </c>
      <c r="B2862" s="26"/>
      <c r="C2862" s="26"/>
      <c r="D2862" s="26"/>
      <c r="E2862" s="26"/>
      <c r="F2862" s="26"/>
      <c r="G2862" s="27"/>
      <c r="H2862" s="17">
        <f>SUM(G2859:G2861)</f>
        <v>1251350</v>
      </c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 ht="26.25" x14ac:dyDescent="0.4">
      <c r="A2863" s="29" t="s">
        <v>16</v>
      </c>
      <c r="B2863" s="26"/>
      <c r="C2863" s="26"/>
      <c r="D2863" s="26"/>
      <c r="E2863" s="26"/>
      <c r="F2863" s="26"/>
      <c r="G2863" s="27"/>
      <c r="H2863" s="17">
        <f>MAX(0,H2862-648000)</f>
        <v>603350</v>
      </c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 ht="26.25" x14ac:dyDescent="0.4">
      <c r="A2864" s="25" t="s">
        <v>17</v>
      </c>
      <c r="B2864" s="26"/>
      <c r="C2864" s="26"/>
      <c r="D2864" s="26"/>
      <c r="E2864" s="26"/>
      <c r="F2864" s="26"/>
      <c r="G2864" s="27"/>
      <c r="H2864" s="18">
        <v>649000</v>
      </c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 ht="26.25" x14ac:dyDescent="0.4">
      <c r="A2865" s="28" t="s">
        <v>18</v>
      </c>
      <c r="B2865" s="26"/>
      <c r="C2865" s="26"/>
      <c r="D2865" s="26"/>
      <c r="E2865" s="26"/>
      <c r="F2865" s="26"/>
      <c r="G2865" s="26"/>
      <c r="H2865" s="27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 ht="12.75" x14ac:dyDescent="0.2"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 ht="12.75" x14ac:dyDescent="0.2"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 ht="12.75" x14ac:dyDescent="0.2"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72" spans="1:26" ht="15.75" customHeight="1" x14ac:dyDescent="0.4">
      <c r="A2872" s="28" t="s">
        <v>0</v>
      </c>
      <c r="B2872" s="26"/>
      <c r="C2872" s="26"/>
      <c r="D2872" s="26"/>
      <c r="E2872" s="26"/>
      <c r="F2872" s="26"/>
      <c r="G2872" s="26"/>
      <c r="H2872" s="27"/>
    </row>
    <row r="2873" spans="1:26" ht="15.75" customHeight="1" x14ac:dyDescent="0.4">
      <c r="A2873" s="28" t="s">
        <v>697</v>
      </c>
      <c r="B2873" s="26"/>
      <c r="C2873" s="26"/>
      <c r="D2873" s="26"/>
      <c r="E2873" s="26"/>
      <c r="F2873" s="26"/>
      <c r="G2873" s="26"/>
      <c r="H2873" s="27"/>
    </row>
    <row r="2874" spans="1:26" ht="15.75" customHeight="1" x14ac:dyDescent="0.3">
      <c r="A2874" s="3" t="s">
        <v>2</v>
      </c>
      <c r="B2874" s="3" t="s">
        <v>3</v>
      </c>
      <c r="C2874" s="3" t="s">
        <v>4</v>
      </c>
      <c r="D2874" s="3" t="s">
        <v>5</v>
      </c>
      <c r="E2874" s="3" t="s">
        <v>6</v>
      </c>
      <c r="F2874" s="4" t="s">
        <v>7</v>
      </c>
      <c r="G2874" s="3" t="s">
        <v>8</v>
      </c>
      <c r="H2874" s="5"/>
    </row>
    <row r="2875" spans="1:26" ht="29.25" customHeight="1" x14ac:dyDescent="0.4">
      <c r="A2875" s="6">
        <v>1</v>
      </c>
      <c r="B2875" s="20" t="s">
        <v>348</v>
      </c>
      <c r="C2875" s="21" t="s">
        <v>698</v>
      </c>
      <c r="D2875" s="8" t="s">
        <v>11</v>
      </c>
      <c r="E2875" s="20">
        <v>2.66</v>
      </c>
      <c r="F2875" s="9">
        <v>293000</v>
      </c>
      <c r="G2875" s="10">
        <f t="shared" ref="G2875:G2877" si="190">IFERROR(E2875*F2875,0)</f>
        <v>779380</v>
      </c>
      <c r="H2875" s="11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 ht="26.25" x14ac:dyDescent="0.4">
      <c r="A2876" s="6">
        <v>2</v>
      </c>
      <c r="B2876" s="22" t="s">
        <v>60</v>
      </c>
      <c r="C2876" s="23" t="s">
        <v>699</v>
      </c>
      <c r="D2876" s="13" t="s">
        <v>13</v>
      </c>
      <c r="E2876" s="22">
        <v>1</v>
      </c>
      <c r="F2876" s="14">
        <v>435000</v>
      </c>
      <c r="G2876" s="10">
        <f t="shared" si="190"/>
        <v>435000</v>
      </c>
      <c r="H2876" s="11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 ht="26.25" x14ac:dyDescent="0.4">
      <c r="A2877" s="6">
        <v>3</v>
      </c>
      <c r="B2877" s="15" t="s">
        <v>14</v>
      </c>
      <c r="C2877" s="11"/>
      <c r="D2877" s="11"/>
      <c r="E2877" s="11"/>
      <c r="F2877" s="11"/>
      <c r="G2877" s="16">
        <f t="shared" si="190"/>
        <v>0</v>
      </c>
      <c r="H2877" s="11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 ht="26.25" x14ac:dyDescent="0.4">
      <c r="A2878" s="29" t="s">
        <v>15</v>
      </c>
      <c r="B2878" s="26"/>
      <c r="C2878" s="26"/>
      <c r="D2878" s="26"/>
      <c r="E2878" s="26"/>
      <c r="F2878" s="26"/>
      <c r="G2878" s="27"/>
      <c r="H2878" s="17">
        <f>SUM(G2875:G2877)</f>
        <v>1214380</v>
      </c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 ht="26.25" x14ac:dyDescent="0.4">
      <c r="A2879" s="29" t="s">
        <v>16</v>
      </c>
      <c r="B2879" s="26"/>
      <c r="C2879" s="26"/>
      <c r="D2879" s="26"/>
      <c r="E2879" s="26"/>
      <c r="F2879" s="26"/>
      <c r="G2879" s="27"/>
      <c r="H2879" s="17">
        <f>MAX(0,H2878-648000)</f>
        <v>566380</v>
      </c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 ht="26.25" x14ac:dyDescent="0.4">
      <c r="A2880" s="25" t="s">
        <v>17</v>
      </c>
      <c r="B2880" s="26"/>
      <c r="C2880" s="26"/>
      <c r="D2880" s="26"/>
      <c r="E2880" s="26"/>
      <c r="F2880" s="26"/>
      <c r="G2880" s="27"/>
      <c r="H2880" s="18">
        <v>649000</v>
      </c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 ht="26.25" x14ac:dyDescent="0.4">
      <c r="A2881" s="28" t="s">
        <v>18</v>
      </c>
      <c r="B2881" s="26"/>
      <c r="C2881" s="26"/>
      <c r="D2881" s="26"/>
      <c r="E2881" s="26"/>
      <c r="F2881" s="26"/>
      <c r="G2881" s="26"/>
      <c r="H2881" s="27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 ht="12.75" x14ac:dyDescent="0.2"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 ht="12.75" x14ac:dyDescent="0.2"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 ht="12.75" x14ac:dyDescent="0.2"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8" spans="1:26" ht="15.75" customHeight="1" x14ac:dyDescent="0.4">
      <c r="A2888" s="28" t="s">
        <v>0</v>
      </c>
      <c r="B2888" s="26"/>
      <c r="C2888" s="26"/>
      <c r="D2888" s="26"/>
      <c r="E2888" s="26"/>
      <c r="F2888" s="26"/>
      <c r="G2888" s="26"/>
      <c r="H2888" s="27"/>
    </row>
    <row r="2889" spans="1:26" ht="29.25" customHeight="1" x14ac:dyDescent="0.4">
      <c r="A2889" s="28" t="s">
        <v>700</v>
      </c>
      <c r="B2889" s="26"/>
      <c r="C2889" s="26"/>
      <c r="D2889" s="26"/>
      <c r="E2889" s="26"/>
      <c r="F2889" s="26"/>
      <c r="G2889" s="26"/>
      <c r="H2889" s="27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 ht="18.75" x14ac:dyDescent="0.3">
      <c r="A2890" s="3" t="s">
        <v>2</v>
      </c>
      <c r="B2890" s="3" t="s">
        <v>3</v>
      </c>
      <c r="C2890" s="3" t="s">
        <v>4</v>
      </c>
      <c r="D2890" s="3" t="s">
        <v>5</v>
      </c>
      <c r="E2890" s="3" t="s">
        <v>6</v>
      </c>
      <c r="F2890" s="4" t="s">
        <v>7</v>
      </c>
      <c r="G2890" s="3" t="s">
        <v>8</v>
      </c>
      <c r="H2890" s="5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 ht="26.25" x14ac:dyDescent="0.4">
      <c r="A2891" s="6">
        <v>1</v>
      </c>
      <c r="B2891" s="20" t="s">
        <v>701</v>
      </c>
      <c r="C2891" s="21" t="s">
        <v>702</v>
      </c>
      <c r="D2891" s="8" t="s">
        <v>11</v>
      </c>
      <c r="E2891" s="20">
        <v>1.85</v>
      </c>
      <c r="F2891" s="9">
        <v>293000</v>
      </c>
      <c r="G2891" s="10">
        <f t="shared" ref="G2891:G2893" si="191">IFERROR(E2891*F2891,0)</f>
        <v>542050</v>
      </c>
      <c r="H2891" s="11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 ht="26.25" x14ac:dyDescent="0.4">
      <c r="A2892" s="6">
        <v>2</v>
      </c>
      <c r="B2892" s="22" t="s">
        <v>703</v>
      </c>
      <c r="C2892" s="23" t="s">
        <v>704</v>
      </c>
      <c r="D2892" s="13" t="s">
        <v>13</v>
      </c>
      <c r="E2892" s="22">
        <v>1.66</v>
      </c>
      <c r="F2892" s="14">
        <v>435000</v>
      </c>
      <c r="G2892" s="10">
        <f t="shared" si="191"/>
        <v>722100</v>
      </c>
      <c r="H2892" s="11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 ht="26.25" x14ac:dyDescent="0.4">
      <c r="A2893" s="6">
        <v>3</v>
      </c>
      <c r="B2893" s="15" t="s">
        <v>14</v>
      </c>
      <c r="C2893" s="11"/>
      <c r="D2893" s="11"/>
      <c r="E2893" s="11"/>
      <c r="F2893" s="11"/>
      <c r="G2893" s="16">
        <f t="shared" si="191"/>
        <v>0</v>
      </c>
      <c r="H2893" s="11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 ht="26.25" x14ac:dyDescent="0.4">
      <c r="A2894" s="29" t="s">
        <v>15</v>
      </c>
      <c r="B2894" s="26"/>
      <c r="C2894" s="26"/>
      <c r="D2894" s="26"/>
      <c r="E2894" s="26"/>
      <c r="F2894" s="26"/>
      <c r="G2894" s="27"/>
      <c r="H2894" s="17">
        <f>SUM(G2891:G2893)</f>
        <v>1264150</v>
      </c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 ht="26.25" x14ac:dyDescent="0.4">
      <c r="A2895" s="29" t="s">
        <v>16</v>
      </c>
      <c r="B2895" s="26"/>
      <c r="C2895" s="26"/>
      <c r="D2895" s="26"/>
      <c r="E2895" s="26"/>
      <c r="F2895" s="26"/>
      <c r="G2895" s="27"/>
      <c r="H2895" s="17">
        <f>MAX(0,H2894-648000)</f>
        <v>616150</v>
      </c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 ht="26.25" x14ac:dyDescent="0.4">
      <c r="A2896" s="25" t="s">
        <v>17</v>
      </c>
      <c r="B2896" s="26"/>
      <c r="C2896" s="26"/>
      <c r="D2896" s="26"/>
      <c r="E2896" s="26"/>
      <c r="F2896" s="26"/>
      <c r="G2896" s="27"/>
      <c r="H2896" s="18">
        <v>649000</v>
      </c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 ht="26.25" x14ac:dyDescent="0.4">
      <c r="A2897" s="28" t="s">
        <v>18</v>
      </c>
      <c r="B2897" s="26"/>
      <c r="C2897" s="26"/>
      <c r="D2897" s="26"/>
      <c r="E2897" s="26"/>
      <c r="F2897" s="26"/>
      <c r="G2897" s="26"/>
      <c r="H2897" s="27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 ht="12.75" x14ac:dyDescent="0.2"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902" spans="1:26" ht="15.75" customHeight="1" x14ac:dyDescent="0.4">
      <c r="A2902" s="28" t="s">
        <v>0</v>
      </c>
      <c r="B2902" s="26"/>
      <c r="C2902" s="26"/>
      <c r="D2902" s="26"/>
      <c r="E2902" s="26"/>
      <c r="F2902" s="26"/>
      <c r="G2902" s="26"/>
      <c r="H2902" s="27"/>
    </row>
    <row r="2903" spans="1:26" ht="15.75" customHeight="1" x14ac:dyDescent="0.4">
      <c r="A2903" s="28" t="s">
        <v>705</v>
      </c>
      <c r="B2903" s="26"/>
      <c r="C2903" s="26"/>
      <c r="D2903" s="26"/>
      <c r="E2903" s="26"/>
      <c r="F2903" s="26"/>
      <c r="G2903" s="26"/>
      <c r="H2903" s="27"/>
    </row>
    <row r="2904" spans="1:26" ht="29.25" customHeight="1" x14ac:dyDescent="0.3">
      <c r="A2904" s="3" t="s">
        <v>2</v>
      </c>
      <c r="B2904" s="3" t="s">
        <v>3</v>
      </c>
      <c r="C2904" s="3" t="s">
        <v>4</v>
      </c>
      <c r="D2904" s="3" t="s">
        <v>5</v>
      </c>
      <c r="E2904" s="3" t="s">
        <v>6</v>
      </c>
      <c r="F2904" s="4" t="s">
        <v>7</v>
      </c>
      <c r="G2904" s="3" t="s">
        <v>8</v>
      </c>
      <c r="H2904" s="5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 ht="26.25" x14ac:dyDescent="0.4">
      <c r="A2905" s="6">
        <v>1</v>
      </c>
      <c r="B2905" s="20" t="s">
        <v>706</v>
      </c>
      <c r="C2905" s="21" t="s">
        <v>548</v>
      </c>
      <c r="D2905" s="8" t="s">
        <v>11</v>
      </c>
      <c r="E2905" s="20">
        <v>1.5</v>
      </c>
      <c r="F2905" s="9">
        <v>293000</v>
      </c>
      <c r="G2905" s="10">
        <f t="shared" ref="G2905:G2907" si="192">IFERROR(E2905*F2905,0)</f>
        <v>439500</v>
      </c>
      <c r="H2905" s="11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 ht="26.25" x14ac:dyDescent="0.4">
      <c r="A2906" s="6">
        <v>2</v>
      </c>
      <c r="B2906" s="22" t="s">
        <v>707</v>
      </c>
      <c r="C2906" s="23" t="s">
        <v>708</v>
      </c>
      <c r="D2906" s="13" t="s">
        <v>13</v>
      </c>
      <c r="E2906" s="22">
        <v>1.8</v>
      </c>
      <c r="F2906" s="14">
        <v>435000</v>
      </c>
      <c r="G2906" s="10">
        <f t="shared" si="192"/>
        <v>783000</v>
      </c>
      <c r="H2906" s="11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 ht="26.25" x14ac:dyDescent="0.4">
      <c r="A2907" s="6">
        <v>3</v>
      </c>
      <c r="B2907" s="15" t="s">
        <v>14</v>
      </c>
      <c r="C2907" s="11"/>
      <c r="D2907" s="11"/>
      <c r="E2907" s="11"/>
      <c r="F2907" s="11"/>
      <c r="G2907" s="16">
        <f t="shared" si="192"/>
        <v>0</v>
      </c>
      <c r="H2907" s="11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 ht="26.25" x14ac:dyDescent="0.4">
      <c r="A2908" s="29" t="s">
        <v>15</v>
      </c>
      <c r="B2908" s="26"/>
      <c r="C2908" s="26"/>
      <c r="D2908" s="26"/>
      <c r="E2908" s="26"/>
      <c r="F2908" s="26"/>
      <c r="G2908" s="27"/>
      <c r="H2908" s="17">
        <f>SUM(G2905:G2907)</f>
        <v>1222500</v>
      </c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 ht="26.25" x14ac:dyDescent="0.4">
      <c r="A2909" s="29" t="s">
        <v>16</v>
      </c>
      <c r="B2909" s="26"/>
      <c r="C2909" s="26"/>
      <c r="D2909" s="26"/>
      <c r="E2909" s="26"/>
      <c r="F2909" s="26"/>
      <c r="G2909" s="27"/>
      <c r="H2909" s="17">
        <f>MAX(0,H2908-648000)</f>
        <v>574500</v>
      </c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 ht="26.25" x14ac:dyDescent="0.4">
      <c r="A2910" s="25" t="s">
        <v>17</v>
      </c>
      <c r="B2910" s="26"/>
      <c r="C2910" s="26"/>
      <c r="D2910" s="26"/>
      <c r="E2910" s="26"/>
      <c r="F2910" s="26"/>
      <c r="G2910" s="27"/>
      <c r="H2910" s="18">
        <v>649000</v>
      </c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 ht="26.25" x14ac:dyDescent="0.4">
      <c r="A2911" s="28" t="s">
        <v>18</v>
      </c>
      <c r="B2911" s="26"/>
      <c r="C2911" s="26"/>
      <c r="D2911" s="26"/>
      <c r="E2911" s="26"/>
      <c r="F2911" s="26"/>
      <c r="G2911" s="26"/>
      <c r="H2911" s="27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 ht="12.75" x14ac:dyDescent="0.2"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 ht="12.75" x14ac:dyDescent="0.2"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7" spans="1:26" ht="15.75" customHeight="1" x14ac:dyDescent="0.4">
      <c r="A2917" s="28" t="s">
        <v>0</v>
      </c>
      <c r="B2917" s="26"/>
      <c r="C2917" s="26"/>
      <c r="D2917" s="26"/>
      <c r="E2917" s="26"/>
      <c r="F2917" s="26"/>
      <c r="G2917" s="26"/>
      <c r="H2917" s="27"/>
    </row>
    <row r="2918" spans="1:26" ht="29.25" customHeight="1" x14ac:dyDescent="0.4">
      <c r="A2918" s="28" t="s">
        <v>709</v>
      </c>
      <c r="B2918" s="26"/>
      <c r="C2918" s="26"/>
      <c r="D2918" s="26"/>
      <c r="E2918" s="26"/>
      <c r="F2918" s="26"/>
      <c r="G2918" s="26"/>
      <c r="H2918" s="27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 ht="18.75" x14ac:dyDescent="0.3">
      <c r="A2919" s="3" t="s">
        <v>2</v>
      </c>
      <c r="B2919" s="3" t="s">
        <v>3</v>
      </c>
      <c r="C2919" s="3" t="s">
        <v>4</v>
      </c>
      <c r="D2919" s="3" t="s">
        <v>5</v>
      </c>
      <c r="E2919" s="3" t="s">
        <v>6</v>
      </c>
      <c r="F2919" s="4" t="s">
        <v>7</v>
      </c>
      <c r="G2919" s="3" t="s">
        <v>8</v>
      </c>
      <c r="H2919" s="5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 ht="26.25" x14ac:dyDescent="0.4">
      <c r="A2920" s="6">
        <v>1</v>
      </c>
      <c r="B2920" s="20" t="s">
        <v>434</v>
      </c>
      <c r="C2920" s="21" t="s">
        <v>710</v>
      </c>
      <c r="D2920" s="8" t="s">
        <v>11</v>
      </c>
      <c r="E2920" s="20">
        <v>1.7</v>
      </c>
      <c r="F2920" s="9">
        <v>293000</v>
      </c>
      <c r="G2920" s="10">
        <f t="shared" ref="G2920:G2922" si="193">IFERROR(E2920*F2920,0)</f>
        <v>498100</v>
      </c>
      <c r="H2920" s="11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 ht="26.25" x14ac:dyDescent="0.4">
      <c r="A2921" s="6">
        <v>2</v>
      </c>
      <c r="B2921" s="22" t="s">
        <v>711</v>
      </c>
      <c r="C2921" s="23" t="s">
        <v>712</v>
      </c>
      <c r="D2921" s="13" t="s">
        <v>13</v>
      </c>
      <c r="E2921" s="22">
        <v>1.75</v>
      </c>
      <c r="F2921" s="14">
        <v>435000</v>
      </c>
      <c r="G2921" s="10">
        <f t="shared" si="193"/>
        <v>761250</v>
      </c>
      <c r="H2921" s="11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 ht="26.25" x14ac:dyDescent="0.4">
      <c r="A2922" s="6">
        <v>3</v>
      </c>
      <c r="B2922" s="15" t="s">
        <v>14</v>
      </c>
      <c r="C2922" s="11"/>
      <c r="D2922" s="11"/>
      <c r="E2922" s="11"/>
      <c r="F2922" s="11"/>
      <c r="G2922" s="16">
        <f t="shared" si="193"/>
        <v>0</v>
      </c>
      <c r="H2922" s="11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 ht="26.25" x14ac:dyDescent="0.4">
      <c r="A2923" s="29" t="s">
        <v>15</v>
      </c>
      <c r="B2923" s="26"/>
      <c r="C2923" s="26"/>
      <c r="D2923" s="26"/>
      <c r="E2923" s="26"/>
      <c r="F2923" s="26"/>
      <c r="G2923" s="27"/>
      <c r="H2923" s="17">
        <f>SUM(G2920:G2922)</f>
        <v>1259350</v>
      </c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 ht="26.25" x14ac:dyDescent="0.4">
      <c r="A2924" s="29" t="s">
        <v>16</v>
      </c>
      <c r="B2924" s="26"/>
      <c r="C2924" s="26"/>
      <c r="D2924" s="26"/>
      <c r="E2924" s="26"/>
      <c r="F2924" s="26"/>
      <c r="G2924" s="27"/>
      <c r="H2924" s="17">
        <f>MAX(0,H2923-648000)</f>
        <v>611350</v>
      </c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 ht="26.25" x14ac:dyDescent="0.4">
      <c r="A2925" s="25" t="s">
        <v>17</v>
      </c>
      <c r="B2925" s="26"/>
      <c r="C2925" s="26"/>
      <c r="D2925" s="26"/>
      <c r="E2925" s="26"/>
      <c r="F2925" s="26"/>
      <c r="G2925" s="27"/>
      <c r="H2925" s="18">
        <v>649000</v>
      </c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 ht="26.25" x14ac:dyDescent="0.4">
      <c r="A2926" s="28" t="s">
        <v>18</v>
      </c>
      <c r="B2926" s="26"/>
      <c r="C2926" s="26"/>
      <c r="D2926" s="26"/>
      <c r="E2926" s="26"/>
      <c r="F2926" s="26"/>
      <c r="G2926" s="26"/>
      <c r="H2926" s="27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 ht="12.75" x14ac:dyDescent="0.2"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31" spans="1:26" ht="29.25" customHeight="1" x14ac:dyDescent="0.4">
      <c r="A2931" s="28" t="s">
        <v>0</v>
      </c>
      <c r="B2931" s="26"/>
      <c r="C2931" s="26"/>
      <c r="D2931" s="26"/>
      <c r="E2931" s="26"/>
      <c r="F2931" s="26"/>
      <c r="G2931" s="26"/>
      <c r="H2931" s="27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 ht="26.25" x14ac:dyDescent="0.4">
      <c r="A2932" s="28" t="s">
        <v>713</v>
      </c>
      <c r="B2932" s="26"/>
      <c r="C2932" s="26"/>
      <c r="D2932" s="26"/>
      <c r="E2932" s="26"/>
      <c r="F2932" s="26"/>
      <c r="G2932" s="26"/>
      <c r="H2932" s="27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 ht="18.75" x14ac:dyDescent="0.3">
      <c r="A2933" s="3" t="s">
        <v>2</v>
      </c>
      <c r="B2933" s="3" t="s">
        <v>3</v>
      </c>
      <c r="C2933" s="3" t="s">
        <v>4</v>
      </c>
      <c r="D2933" s="3" t="s">
        <v>5</v>
      </c>
      <c r="E2933" s="3" t="s">
        <v>6</v>
      </c>
      <c r="F2933" s="4" t="s">
        <v>7</v>
      </c>
      <c r="G2933" s="3" t="s">
        <v>8</v>
      </c>
      <c r="H2933" s="5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 ht="26.25" x14ac:dyDescent="0.4">
      <c r="A2934" s="6">
        <v>1</v>
      </c>
      <c r="B2934" s="20" t="s">
        <v>640</v>
      </c>
      <c r="C2934" s="21" t="s">
        <v>714</v>
      </c>
      <c r="D2934" s="8" t="s">
        <v>11</v>
      </c>
      <c r="E2934" s="20">
        <v>1.73</v>
      </c>
      <c r="F2934" s="9">
        <v>293000</v>
      </c>
      <c r="G2934" s="10">
        <f t="shared" ref="G2934:G2936" si="194">IFERROR(E2934*F2934,0)</f>
        <v>506890</v>
      </c>
      <c r="H2934" s="11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 ht="26.25" x14ac:dyDescent="0.4">
      <c r="A2935" s="6">
        <v>2</v>
      </c>
      <c r="B2935" s="22" t="s">
        <v>106</v>
      </c>
      <c r="C2935" s="23" t="s">
        <v>715</v>
      </c>
      <c r="D2935" s="13" t="s">
        <v>13</v>
      </c>
      <c r="E2935" s="22">
        <v>1.78</v>
      </c>
      <c r="F2935" s="14">
        <v>435000</v>
      </c>
      <c r="G2935" s="10">
        <f t="shared" si="194"/>
        <v>774300</v>
      </c>
      <c r="H2935" s="11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 ht="26.25" x14ac:dyDescent="0.4">
      <c r="A2936" s="6">
        <v>3</v>
      </c>
      <c r="B2936" s="15" t="s">
        <v>14</v>
      </c>
      <c r="C2936" s="11"/>
      <c r="D2936" s="11"/>
      <c r="E2936" s="11"/>
      <c r="F2936" s="11"/>
      <c r="G2936" s="16">
        <f t="shared" si="194"/>
        <v>0</v>
      </c>
      <c r="H2936" s="11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 ht="26.25" x14ac:dyDescent="0.4">
      <c r="A2937" s="29" t="s">
        <v>15</v>
      </c>
      <c r="B2937" s="26"/>
      <c r="C2937" s="26"/>
      <c r="D2937" s="26"/>
      <c r="E2937" s="26"/>
      <c r="F2937" s="26"/>
      <c r="G2937" s="27"/>
      <c r="H2937" s="17">
        <f>SUM(G2934:G2936)</f>
        <v>1281190</v>
      </c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 ht="26.25" x14ac:dyDescent="0.4">
      <c r="A2938" s="29" t="s">
        <v>16</v>
      </c>
      <c r="B2938" s="26"/>
      <c r="C2938" s="26"/>
      <c r="D2938" s="26"/>
      <c r="E2938" s="26"/>
      <c r="F2938" s="26"/>
      <c r="G2938" s="27"/>
      <c r="H2938" s="17">
        <f>MAX(0,H2937-648000)</f>
        <v>633190</v>
      </c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 ht="26.25" x14ac:dyDescent="0.4">
      <c r="A2939" s="25" t="s">
        <v>17</v>
      </c>
      <c r="B2939" s="26"/>
      <c r="C2939" s="26"/>
      <c r="D2939" s="26"/>
      <c r="E2939" s="26"/>
      <c r="F2939" s="26"/>
      <c r="G2939" s="27"/>
      <c r="H2939" s="18">
        <v>649000</v>
      </c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 ht="26.25" x14ac:dyDescent="0.4">
      <c r="A2940" s="28" t="s">
        <v>18</v>
      </c>
      <c r="B2940" s="26"/>
      <c r="C2940" s="26"/>
      <c r="D2940" s="26"/>
      <c r="E2940" s="26"/>
      <c r="F2940" s="26"/>
      <c r="G2940" s="26"/>
      <c r="H2940" s="27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4" spans="1:26" ht="15.75" customHeight="1" x14ac:dyDescent="0.4">
      <c r="A2944" s="28" t="s">
        <v>0</v>
      </c>
      <c r="B2944" s="26"/>
      <c r="C2944" s="26"/>
      <c r="D2944" s="26"/>
      <c r="E2944" s="26"/>
      <c r="F2944" s="26"/>
      <c r="G2944" s="26"/>
      <c r="H2944" s="27"/>
    </row>
    <row r="2945" spans="1:26" ht="15.75" customHeight="1" x14ac:dyDescent="0.4">
      <c r="A2945" s="28" t="s">
        <v>716</v>
      </c>
      <c r="B2945" s="26"/>
      <c r="C2945" s="26"/>
      <c r="D2945" s="26"/>
      <c r="E2945" s="26"/>
      <c r="F2945" s="26"/>
      <c r="G2945" s="26"/>
      <c r="H2945" s="27"/>
    </row>
    <row r="2946" spans="1:26" ht="29.25" customHeight="1" x14ac:dyDescent="0.3">
      <c r="A2946" s="3" t="s">
        <v>2</v>
      </c>
      <c r="B2946" s="3" t="s">
        <v>3</v>
      </c>
      <c r="C2946" s="3" t="s">
        <v>4</v>
      </c>
      <c r="D2946" s="3" t="s">
        <v>5</v>
      </c>
      <c r="E2946" s="3" t="s">
        <v>6</v>
      </c>
      <c r="F2946" s="4" t="s">
        <v>7</v>
      </c>
      <c r="G2946" s="3" t="s">
        <v>8</v>
      </c>
      <c r="H2946" s="5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 ht="26.25" x14ac:dyDescent="0.4">
      <c r="A2947" s="6">
        <v>1</v>
      </c>
      <c r="B2947" s="20" t="s">
        <v>118</v>
      </c>
      <c r="C2947" s="21" t="s">
        <v>717</v>
      </c>
      <c r="D2947" s="8" t="s">
        <v>11</v>
      </c>
      <c r="E2947" s="20">
        <v>1.65</v>
      </c>
      <c r="F2947" s="9">
        <v>293000</v>
      </c>
      <c r="G2947" s="10">
        <f t="shared" ref="G2947:G2949" si="195">IFERROR(E2947*F2947,0)</f>
        <v>483450</v>
      </c>
      <c r="H2947" s="11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 ht="26.25" x14ac:dyDescent="0.4">
      <c r="A2948" s="6">
        <v>2</v>
      </c>
      <c r="B2948" s="22" t="s">
        <v>718</v>
      </c>
      <c r="C2948" s="23" t="s">
        <v>719</v>
      </c>
      <c r="D2948" s="13" t="s">
        <v>13</v>
      </c>
      <c r="E2948" s="22">
        <v>1.79</v>
      </c>
      <c r="F2948" s="14">
        <v>435000</v>
      </c>
      <c r="G2948" s="10">
        <f t="shared" si="195"/>
        <v>778650</v>
      </c>
      <c r="H2948" s="11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 ht="26.25" x14ac:dyDescent="0.4">
      <c r="A2949" s="6">
        <v>3</v>
      </c>
      <c r="B2949" s="15" t="s">
        <v>14</v>
      </c>
      <c r="C2949" s="11"/>
      <c r="D2949" s="11"/>
      <c r="E2949" s="11"/>
      <c r="F2949" s="11"/>
      <c r="G2949" s="16">
        <f t="shared" si="195"/>
        <v>0</v>
      </c>
      <c r="H2949" s="11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 ht="26.25" x14ac:dyDescent="0.4">
      <c r="A2950" s="29" t="s">
        <v>15</v>
      </c>
      <c r="B2950" s="26"/>
      <c r="C2950" s="26"/>
      <c r="D2950" s="26"/>
      <c r="E2950" s="26"/>
      <c r="F2950" s="26"/>
      <c r="G2950" s="27"/>
      <c r="H2950" s="17">
        <f>SUM(G2947:G2949)</f>
        <v>1262100</v>
      </c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 ht="26.25" x14ac:dyDescent="0.4">
      <c r="A2951" s="29" t="s">
        <v>16</v>
      </c>
      <c r="B2951" s="26"/>
      <c r="C2951" s="26"/>
      <c r="D2951" s="26"/>
      <c r="E2951" s="26"/>
      <c r="F2951" s="26"/>
      <c r="G2951" s="27"/>
      <c r="H2951" s="17">
        <f>MAX(0,H2950-648000)</f>
        <v>614100</v>
      </c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 ht="26.25" x14ac:dyDescent="0.4">
      <c r="A2952" s="25" t="s">
        <v>17</v>
      </c>
      <c r="B2952" s="26"/>
      <c r="C2952" s="26"/>
      <c r="D2952" s="26"/>
      <c r="E2952" s="26"/>
      <c r="F2952" s="26"/>
      <c r="G2952" s="27"/>
      <c r="H2952" s="18">
        <v>649000</v>
      </c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 ht="26.25" x14ac:dyDescent="0.4">
      <c r="A2953" s="28" t="s">
        <v>18</v>
      </c>
      <c r="B2953" s="26"/>
      <c r="C2953" s="26"/>
      <c r="D2953" s="26"/>
      <c r="E2953" s="26"/>
      <c r="F2953" s="26"/>
      <c r="G2953" s="26"/>
      <c r="H2953" s="27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 ht="12.75" x14ac:dyDescent="0.2"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 ht="12.75" x14ac:dyDescent="0.2"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9" spans="1:26" ht="15.75" customHeight="1" x14ac:dyDescent="0.4">
      <c r="A2959" s="28" t="s">
        <v>0</v>
      </c>
      <c r="B2959" s="26"/>
      <c r="C2959" s="26"/>
      <c r="D2959" s="26"/>
      <c r="E2959" s="26"/>
      <c r="F2959" s="26"/>
      <c r="G2959" s="26"/>
      <c r="H2959" s="27"/>
    </row>
    <row r="2960" spans="1:26" ht="29.25" customHeight="1" x14ac:dyDescent="0.4">
      <c r="A2960" s="28" t="s">
        <v>720</v>
      </c>
      <c r="B2960" s="26"/>
      <c r="C2960" s="26"/>
      <c r="D2960" s="26"/>
      <c r="E2960" s="26"/>
      <c r="F2960" s="26"/>
      <c r="G2960" s="26"/>
      <c r="H2960" s="27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 ht="18.75" x14ac:dyDescent="0.3">
      <c r="A2961" s="3" t="s">
        <v>2</v>
      </c>
      <c r="B2961" s="3" t="s">
        <v>3</v>
      </c>
      <c r="C2961" s="3" t="s">
        <v>4</v>
      </c>
      <c r="D2961" s="3" t="s">
        <v>5</v>
      </c>
      <c r="E2961" s="3" t="s">
        <v>6</v>
      </c>
      <c r="F2961" s="4" t="s">
        <v>7</v>
      </c>
      <c r="G2961" s="3" t="s">
        <v>8</v>
      </c>
      <c r="H2961" s="5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 ht="26.25" x14ac:dyDescent="0.4">
      <c r="A2962" s="6">
        <v>1</v>
      </c>
      <c r="B2962" s="20" t="s">
        <v>640</v>
      </c>
      <c r="C2962" s="21" t="s">
        <v>721</v>
      </c>
      <c r="D2962" s="8" t="s">
        <v>11</v>
      </c>
      <c r="E2962" s="20">
        <v>1.6</v>
      </c>
      <c r="F2962" s="9">
        <v>293000</v>
      </c>
      <c r="G2962" s="10">
        <f t="shared" ref="G2962:G2964" si="196">IFERROR(E2962*F2962,0)</f>
        <v>468800</v>
      </c>
      <c r="H2962" s="11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 ht="26.25" x14ac:dyDescent="0.4">
      <c r="A2963" s="6">
        <v>2</v>
      </c>
      <c r="B2963" s="22" t="s">
        <v>218</v>
      </c>
      <c r="C2963" s="23" t="s">
        <v>722</v>
      </c>
      <c r="D2963" s="13" t="s">
        <v>13</v>
      </c>
      <c r="E2963" s="22">
        <v>1.7</v>
      </c>
      <c r="F2963" s="14">
        <v>435000</v>
      </c>
      <c r="G2963" s="10">
        <f t="shared" si="196"/>
        <v>739500</v>
      </c>
      <c r="H2963" s="11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 ht="26.25" x14ac:dyDescent="0.4">
      <c r="A2964" s="6">
        <v>3</v>
      </c>
      <c r="B2964" s="15" t="s">
        <v>14</v>
      </c>
      <c r="C2964" s="11"/>
      <c r="D2964" s="11"/>
      <c r="E2964" s="11"/>
      <c r="F2964" s="11"/>
      <c r="G2964" s="16">
        <f t="shared" si="196"/>
        <v>0</v>
      </c>
      <c r="H2964" s="11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 ht="26.25" x14ac:dyDescent="0.4">
      <c r="A2965" s="29" t="s">
        <v>15</v>
      </c>
      <c r="B2965" s="26"/>
      <c r="C2965" s="26"/>
      <c r="D2965" s="26"/>
      <c r="E2965" s="26"/>
      <c r="F2965" s="26"/>
      <c r="G2965" s="27"/>
      <c r="H2965" s="17">
        <f>SUM(G2962:G2964)</f>
        <v>1208300</v>
      </c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 ht="26.25" x14ac:dyDescent="0.4">
      <c r="A2966" s="29" t="s">
        <v>16</v>
      </c>
      <c r="B2966" s="26"/>
      <c r="C2966" s="26"/>
      <c r="D2966" s="26"/>
      <c r="E2966" s="26"/>
      <c r="F2966" s="26"/>
      <c r="G2966" s="27"/>
      <c r="H2966" s="17">
        <f>MAX(0,H2965-648000)</f>
        <v>560300</v>
      </c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 ht="26.25" x14ac:dyDescent="0.4">
      <c r="A2967" s="25" t="s">
        <v>17</v>
      </c>
      <c r="B2967" s="26"/>
      <c r="C2967" s="26"/>
      <c r="D2967" s="26"/>
      <c r="E2967" s="26"/>
      <c r="F2967" s="26"/>
      <c r="G2967" s="27"/>
      <c r="H2967" s="18">
        <v>649000</v>
      </c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 ht="26.25" x14ac:dyDescent="0.4">
      <c r="A2968" s="28" t="s">
        <v>18</v>
      </c>
      <c r="B2968" s="26"/>
      <c r="C2968" s="26"/>
      <c r="D2968" s="26"/>
      <c r="E2968" s="26"/>
      <c r="F2968" s="26"/>
      <c r="G2968" s="26"/>
      <c r="H2968" s="27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 ht="12.75" x14ac:dyDescent="0.2"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3" spans="1:26" ht="15.75" customHeight="1" x14ac:dyDescent="0.4">
      <c r="A2973" s="28" t="s">
        <v>0</v>
      </c>
      <c r="B2973" s="26"/>
      <c r="C2973" s="26"/>
      <c r="D2973" s="26"/>
      <c r="E2973" s="26"/>
      <c r="F2973" s="26"/>
      <c r="G2973" s="26"/>
      <c r="H2973" s="27"/>
    </row>
    <row r="2974" spans="1:26" ht="15.75" customHeight="1" x14ac:dyDescent="0.4">
      <c r="A2974" s="28" t="s">
        <v>723</v>
      </c>
      <c r="B2974" s="26"/>
      <c r="C2974" s="26"/>
      <c r="D2974" s="26"/>
      <c r="E2974" s="26"/>
      <c r="F2974" s="26"/>
      <c r="G2974" s="26"/>
      <c r="H2974" s="27"/>
    </row>
    <row r="2975" spans="1:26" ht="29.25" customHeight="1" x14ac:dyDescent="0.3">
      <c r="A2975" s="3" t="s">
        <v>2</v>
      </c>
      <c r="B2975" s="3" t="s">
        <v>3</v>
      </c>
      <c r="C2975" s="3" t="s">
        <v>4</v>
      </c>
      <c r="D2975" s="3" t="s">
        <v>5</v>
      </c>
      <c r="E2975" s="3" t="s">
        <v>6</v>
      </c>
      <c r="F2975" s="4" t="s">
        <v>7</v>
      </c>
      <c r="G2975" s="3" t="s">
        <v>8</v>
      </c>
      <c r="H2975" s="5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 ht="26.25" x14ac:dyDescent="0.4">
      <c r="A2976" s="6">
        <v>1</v>
      </c>
      <c r="B2976" s="20" t="s">
        <v>724</v>
      </c>
      <c r="C2976" s="21">
        <v>5739</v>
      </c>
      <c r="D2976" s="8" t="s">
        <v>11</v>
      </c>
      <c r="E2976" s="20">
        <v>1.6</v>
      </c>
      <c r="F2976" s="9">
        <v>293000</v>
      </c>
      <c r="G2976" s="10">
        <f t="shared" ref="G2976:G2978" si="197">IFERROR(E2976*F2976,0)</f>
        <v>468800</v>
      </c>
      <c r="H2976" s="11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 ht="26.25" x14ac:dyDescent="0.4">
      <c r="A2977" s="6">
        <v>2</v>
      </c>
      <c r="B2977" s="22" t="s">
        <v>725</v>
      </c>
      <c r="C2977" s="23" t="s">
        <v>726</v>
      </c>
      <c r="D2977" s="13" t="s">
        <v>13</v>
      </c>
      <c r="E2977" s="22">
        <v>2</v>
      </c>
      <c r="F2977" s="14">
        <v>435000</v>
      </c>
      <c r="G2977" s="10">
        <f t="shared" si="197"/>
        <v>870000</v>
      </c>
      <c r="H2977" s="11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 ht="26.25" x14ac:dyDescent="0.4">
      <c r="A2978" s="6">
        <v>3</v>
      </c>
      <c r="B2978" s="15" t="s">
        <v>14</v>
      </c>
      <c r="C2978" s="11"/>
      <c r="D2978" s="11"/>
      <c r="E2978" s="11"/>
      <c r="F2978" s="11"/>
      <c r="G2978" s="16">
        <f t="shared" si="197"/>
        <v>0</v>
      </c>
      <c r="H2978" s="11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 ht="26.25" x14ac:dyDescent="0.4">
      <c r="A2979" s="29" t="s">
        <v>15</v>
      </c>
      <c r="B2979" s="26"/>
      <c r="C2979" s="26"/>
      <c r="D2979" s="26"/>
      <c r="E2979" s="26"/>
      <c r="F2979" s="26"/>
      <c r="G2979" s="27"/>
      <c r="H2979" s="17">
        <f>SUM(G2976:G2978)</f>
        <v>1338800</v>
      </c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 ht="26.25" x14ac:dyDescent="0.4">
      <c r="A2980" s="29" t="s">
        <v>16</v>
      </c>
      <c r="B2980" s="26"/>
      <c r="C2980" s="26"/>
      <c r="D2980" s="26"/>
      <c r="E2980" s="26"/>
      <c r="F2980" s="26"/>
      <c r="G2980" s="27"/>
      <c r="H2980" s="17">
        <f>MAX(0,H2979-648000)</f>
        <v>690800</v>
      </c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 ht="26.25" x14ac:dyDescent="0.4">
      <c r="A2981" s="25" t="s">
        <v>17</v>
      </c>
      <c r="B2981" s="26"/>
      <c r="C2981" s="26"/>
      <c r="D2981" s="26"/>
      <c r="E2981" s="26"/>
      <c r="F2981" s="26"/>
      <c r="G2981" s="27"/>
      <c r="H2981" s="18">
        <v>649000</v>
      </c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 ht="26.25" x14ac:dyDescent="0.4">
      <c r="A2982" s="28" t="s">
        <v>18</v>
      </c>
      <c r="B2982" s="26"/>
      <c r="C2982" s="26"/>
      <c r="D2982" s="26"/>
      <c r="E2982" s="26"/>
      <c r="F2982" s="26"/>
      <c r="G2982" s="26"/>
      <c r="H2982" s="27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 ht="12.75" x14ac:dyDescent="0.2"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 ht="12.75" x14ac:dyDescent="0.2"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8" spans="1:26" ht="15.75" customHeight="1" x14ac:dyDescent="0.4">
      <c r="A2988" s="28" t="s">
        <v>0</v>
      </c>
      <c r="B2988" s="26"/>
      <c r="C2988" s="26"/>
      <c r="D2988" s="26"/>
      <c r="E2988" s="26"/>
      <c r="F2988" s="26"/>
      <c r="G2988" s="26"/>
      <c r="H2988" s="27"/>
    </row>
    <row r="2989" spans="1:26" ht="29.25" customHeight="1" x14ac:dyDescent="0.4">
      <c r="A2989" s="28" t="s">
        <v>727</v>
      </c>
      <c r="B2989" s="26"/>
      <c r="C2989" s="26"/>
      <c r="D2989" s="26"/>
      <c r="E2989" s="26"/>
      <c r="F2989" s="26"/>
      <c r="G2989" s="26"/>
      <c r="H2989" s="27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 ht="18.75" x14ac:dyDescent="0.3">
      <c r="A2990" s="3" t="s">
        <v>2</v>
      </c>
      <c r="B2990" s="3" t="s">
        <v>3</v>
      </c>
      <c r="C2990" s="3" t="s">
        <v>4</v>
      </c>
      <c r="D2990" s="3" t="s">
        <v>5</v>
      </c>
      <c r="E2990" s="3" t="s">
        <v>6</v>
      </c>
      <c r="F2990" s="4" t="s">
        <v>7</v>
      </c>
      <c r="G2990" s="3" t="s">
        <v>8</v>
      </c>
      <c r="H2990" s="5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 ht="26.25" x14ac:dyDescent="0.4">
      <c r="A2991" s="6">
        <v>1</v>
      </c>
      <c r="B2991" s="20" t="s">
        <v>243</v>
      </c>
      <c r="C2991" s="21" t="s">
        <v>728</v>
      </c>
      <c r="D2991" s="8" t="s">
        <v>11</v>
      </c>
      <c r="E2991" s="20">
        <v>1.45</v>
      </c>
      <c r="F2991" s="9">
        <v>293000</v>
      </c>
      <c r="G2991" s="10">
        <f t="shared" ref="G2991:G2993" si="198">IFERROR(E2991*F2991,0)</f>
        <v>424850</v>
      </c>
      <c r="H2991" s="11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 ht="26.25" x14ac:dyDescent="0.4">
      <c r="A2992" s="6">
        <v>2</v>
      </c>
      <c r="B2992" s="22" t="s">
        <v>301</v>
      </c>
      <c r="C2992" s="23" t="s">
        <v>729</v>
      </c>
      <c r="D2992" s="13" t="s">
        <v>13</v>
      </c>
      <c r="E2992" s="22">
        <v>2</v>
      </c>
      <c r="F2992" s="14">
        <v>435000</v>
      </c>
      <c r="G2992" s="10">
        <f t="shared" si="198"/>
        <v>870000</v>
      </c>
      <c r="H2992" s="11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 ht="26.25" x14ac:dyDescent="0.4">
      <c r="A2993" s="6">
        <v>3</v>
      </c>
      <c r="B2993" s="15" t="s">
        <v>14</v>
      </c>
      <c r="C2993" s="11"/>
      <c r="D2993" s="11"/>
      <c r="E2993" s="11"/>
      <c r="F2993" s="11"/>
      <c r="G2993" s="16">
        <f t="shared" si="198"/>
        <v>0</v>
      </c>
      <c r="H2993" s="11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 ht="26.25" x14ac:dyDescent="0.4">
      <c r="A2994" s="29" t="s">
        <v>15</v>
      </c>
      <c r="B2994" s="26"/>
      <c r="C2994" s="26"/>
      <c r="D2994" s="26"/>
      <c r="E2994" s="26"/>
      <c r="F2994" s="26"/>
      <c r="G2994" s="27"/>
      <c r="H2994" s="17">
        <f>SUM(G2991:G2993)</f>
        <v>1294850</v>
      </c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 ht="26.25" x14ac:dyDescent="0.4">
      <c r="A2995" s="29" t="s">
        <v>16</v>
      </c>
      <c r="B2995" s="26"/>
      <c r="C2995" s="26"/>
      <c r="D2995" s="26"/>
      <c r="E2995" s="26"/>
      <c r="F2995" s="26"/>
      <c r="G2995" s="27"/>
      <c r="H2995" s="17">
        <f>MAX(0,H2994-648000)</f>
        <v>646850</v>
      </c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 ht="26.25" x14ac:dyDescent="0.4">
      <c r="A2996" s="25" t="s">
        <v>17</v>
      </c>
      <c r="B2996" s="26"/>
      <c r="C2996" s="26"/>
      <c r="D2996" s="26"/>
      <c r="E2996" s="26"/>
      <c r="F2996" s="26"/>
      <c r="G2996" s="27"/>
      <c r="H2996" s="18">
        <v>649000</v>
      </c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 ht="26.25" x14ac:dyDescent="0.4">
      <c r="A2997" s="28" t="s">
        <v>18</v>
      </c>
      <c r="B2997" s="26"/>
      <c r="C2997" s="26"/>
      <c r="D2997" s="26"/>
      <c r="E2997" s="26"/>
      <c r="F2997" s="26"/>
      <c r="G2997" s="26"/>
      <c r="H2997" s="27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 ht="12.75" x14ac:dyDescent="0.2"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3002" spans="1:26" ht="15.75" customHeight="1" x14ac:dyDescent="0.4">
      <c r="A3002" s="28" t="s">
        <v>0</v>
      </c>
      <c r="B3002" s="26"/>
      <c r="C3002" s="26"/>
      <c r="D3002" s="26"/>
      <c r="E3002" s="26"/>
      <c r="F3002" s="26"/>
      <c r="G3002" s="26"/>
      <c r="H3002" s="27"/>
    </row>
    <row r="3003" spans="1:26" ht="15.75" customHeight="1" x14ac:dyDescent="0.4">
      <c r="A3003" s="28" t="s">
        <v>730</v>
      </c>
      <c r="B3003" s="26"/>
      <c r="C3003" s="26"/>
      <c r="D3003" s="26"/>
      <c r="E3003" s="26"/>
      <c r="F3003" s="26"/>
      <c r="G3003" s="26"/>
      <c r="H3003" s="27"/>
    </row>
    <row r="3004" spans="1:26" ht="15.75" customHeight="1" x14ac:dyDescent="0.3">
      <c r="A3004" s="3" t="s">
        <v>2</v>
      </c>
      <c r="B3004" s="3" t="s">
        <v>3</v>
      </c>
      <c r="C3004" s="3" t="s">
        <v>4</v>
      </c>
      <c r="D3004" s="3" t="s">
        <v>5</v>
      </c>
      <c r="E3004" s="3" t="s">
        <v>6</v>
      </c>
      <c r="F3004" s="4" t="s">
        <v>7</v>
      </c>
      <c r="G3004" s="3" t="s">
        <v>8</v>
      </c>
      <c r="H3004" s="5"/>
    </row>
    <row r="3005" spans="1:26" ht="29.25" customHeight="1" x14ac:dyDescent="0.4">
      <c r="A3005" s="6">
        <v>1</v>
      </c>
      <c r="B3005" s="20" t="s">
        <v>731</v>
      </c>
      <c r="C3005" s="21" t="s">
        <v>732</v>
      </c>
      <c r="D3005" s="8" t="s">
        <v>11</v>
      </c>
      <c r="E3005" s="20">
        <v>0.86</v>
      </c>
      <c r="F3005" s="9">
        <v>293000</v>
      </c>
      <c r="G3005" s="10">
        <f t="shared" ref="G3005:G3007" si="199">IFERROR(E3005*F3005,0)</f>
        <v>251980</v>
      </c>
      <c r="H3005" s="11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1:26" ht="26.25" x14ac:dyDescent="0.4">
      <c r="A3006" s="6">
        <v>2</v>
      </c>
      <c r="B3006" s="22" t="s">
        <v>733</v>
      </c>
      <c r="C3006" s="23" t="s">
        <v>734</v>
      </c>
      <c r="D3006" s="13" t="s">
        <v>13</v>
      </c>
      <c r="E3006" s="22">
        <v>2.9</v>
      </c>
      <c r="F3006" s="14">
        <v>435000</v>
      </c>
      <c r="G3006" s="10">
        <f t="shared" si="199"/>
        <v>1261500</v>
      </c>
      <c r="H3006" s="11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1:26" ht="26.25" x14ac:dyDescent="0.4">
      <c r="A3007" s="6">
        <v>3</v>
      </c>
      <c r="B3007" s="15" t="s">
        <v>14</v>
      </c>
      <c r="C3007" s="11"/>
      <c r="D3007" s="11"/>
      <c r="E3007" s="11"/>
      <c r="F3007" s="11"/>
      <c r="G3007" s="16">
        <f t="shared" si="199"/>
        <v>0</v>
      </c>
      <c r="H3007" s="11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1:26" ht="26.25" x14ac:dyDescent="0.4">
      <c r="A3008" s="29" t="s">
        <v>15</v>
      </c>
      <c r="B3008" s="26"/>
      <c r="C3008" s="26"/>
      <c r="D3008" s="26"/>
      <c r="E3008" s="26"/>
      <c r="F3008" s="26"/>
      <c r="G3008" s="27"/>
      <c r="H3008" s="17">
        <f>SUM(G3005:G3007)</f>
        <v>1513480</v>
      </c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1:26" ht="26.25" x14ac:dyDescent="0.4">
      <c r="A3009" s="29" t="s">
        <v>16</v>
      </c>
      <c r="B3009" s="26"/>
      <c r="C3009" s="26"/>
      <c r="D3009" s="26"/>
      <c r="E3009" s="26"/>
      <c r="F3009" s="26"/>
      <c r="G3009" s="27"/>
      <c r="H3009" s="17">
        <f>MAX(0,H3008-648000)</f>
        <v>865480</v>
      </c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1:26" ht="26.25" x14ac:dyDescent="0.4">
      <c r="A3010" s="25" t="s">
        <v>17</v>
      </c>
      <c r="B3010" s="26"/>
      <c r="C3010" s="26"/>
      <c r="D3010" s="26"/>
      <c r="E3010" s="26"/>
      <c r="F3010" s="26"/>
      <c r="G3010" s="27"/>
      <c r="H3010" s="18">
        <v>649000</v>
      </c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1:26" ht="26.25" x14ac:dyDescent="0.4">
      <c r="A3011" s="28" t="s">
        <v>18</v>
      </c>
      <c r="B3011" s="26"/>
      <c r="C3011" s="26"/>
      <c r="D3011" s="26"/>
      <c r="E3011" s="26"/>
      <c r="F3011" s="26"/>
      <c r="G3011" s="26"/>
      <c r="H3011" s="27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1:26" ht="12.75" x14ac:dyDescent="0.2"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1:26" ht="12.75" x14ac:dyDescent="0.2"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1:26" ht="12.75" x14ac:dyDescent="0.2"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8" spans="1:26" ht="15.75" customHeight="1" x14ac:dyDescent="0.4">
      <c r="A3018" s="28" t="s">
        <v>0</v>
      </c>
      <c r="B3018" s="26"/>
      <c r="C3018" s="26"/>
      <c r="D3018" s="26"/>
      <c r="E3018" s="26"/>
      <c r="F3018" s="26"/>
      <c r="G3018" s="26"/>
      <c r="H3018" s="27"/>
    </row>
    <row r="3019" spans="1:26" ht="15.75" customHeight="1" x14ac:dyDescent="0.4">
      <c r="A3019" s="28" t="s">
        <v>735</v>
      </c>
      <c r="B3019" s="26"/>
      <c r="C3019" s="26"/>
      <c r="D3019" s="26"/>
      <c r="E3019" s="26"/>
      <c r="F3019" s="26"/>
      <c r="G3019" s="26"/>
      <c r="H3019" s="27"/>
    </row>
    <row r="3020" spans="1:26" ht="15.75" customHeight="1" x14ac:dyDescent="0.3">
      <c r="A3020" s="3" t="s">
        <v>2</v>
      </c>
      <c r="B3020" s="3" t="s">
        <v>3</v>
      </c>
      <c r="C3020" s="3" t="s">
        <v>4</v>
      </c>
      <c r="D3020" s="3" t="s">
        <v>5</v>
      </c>
      <c r="E3020" s="3" t="s">
        <v>6</v>
      </c>
      <c r="F3020" s="4" t="s">
        <v>7</v>
      </c>
      <c r="G3020" s="3" t="s">
        <v>8</v>
      </c>
      <c r="H3020" s="5"/>
    </row>
    <row r="3021" spans="1:26" ht="29.25" customHeight="1" x14ac:dyDescent="0.4">
      <c r="A3021" s="6">
        <v>1</v>
      </c>
      <c r="B3021" s="20" t="s">
        <v>234</v>
      </c>
      <c r="C3021" s="21" t="s">
        <v>736</v>
      </c>
      <c r="D3021" s="8" t="s">
        <v>11</v>
      </c>
      <c r="E3021" s="20">
        <v>0.84</v>
      </c>
      <c r="F3021" s="9">
        <v>293000</v>
      </c>
      <c r="G3021" s="10">
        <f t="shared" ref="G3021:G3023" si="200">IFERROR(E3021*F3021,0)</f>
        <v>246120</v>
      </c>
      <c r="H3021" s="11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1:26" ht="26.25" x14ac:dyDescent="0.4">
      <c r="A3022" s="6">
        <v>2</v>
      </c>
      <c r="B3022" s="22" t="s">
        <v>391</v>
      </c>
      <c r="C3022" s="23" t="s">
        <v>737</v>
      </c>
      <c r="D3022" s="13" t="s">
        <v>13</v>
      </c>
      <c r="E3022" s="22">
        <v>2.93</v>
      </c>
      <c r="F3022" s="14">
        <v>435000</v>
      </c>
      <c r="G3022" s="10">
        <f t="shared" si="200"/>
        <v>1274550</v>
      </c>
      <c r="H3022" s="11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1:26" ht="26.25" x14ac:dyDescent="0.4">
      <c r="A3023" s="6">
        <v>3</v>
      </c>
      <c r="B3023" s="15" t="s">
        <v>14</v>
      </c>
      <c r="C3023" s="11"/>
      <c r="D3023" s="11"/>
      <c r="E3023" s="11"/>
      <c r="F3023" s="11"/>
      <c r="G3023" s="16">
        <f t="shared" si="200"/>
        <v>0</v>
      </c>
      <c r="H3023" s="11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1:26" ht="26.25" x14ac:dyDescent="0.4">
      <c r="A3024" s="29" t="s">
        <v>15</v>
      </c>
      <c r="B3024" s="26"/>
      <c r="C3024" s="26"/>
      <c r="D3024" s="26"/>
      <c r="E3024" s="26"/>
      <c r="F3024" s="26"/>
      <c r="G3024" s="27"/>
      <c r="H3024" s="17">
        <f>SUM(G3021:G3023)</f>
        <v>1520670</v>
      </c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1:26" ht="26.25" x14ac:dyDescent="0.4">
      <c r="A3025" s="29" t="s">
        <v>16</v>
      </c>
      <c r="B3025" s="26"/>
      <c r="C3025" s="26"/>
      <c r="D3025" s="26"/>
      <c r="E3025" s="26"/>
      <c r="F3025" s="26"/>
      <c r="G3025" s="27"/>
      <c r="H3025" s="17">
        <f>MAX(0,H3024-648000)</f>
        <v>872670</v>
      </c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1:26" ht="26.25" x14ac:dyDescent="0.4">
      <c r="A3026" s="25" t="s">
        <v>17</v>
      </c>
      <c r="B3026" s="26"/>
      <c r="C3026" s="26"/>
      <c r="D3026" s="26"/>
      <c r="E3026" s="26"/>
      <c r="F3026" s="26"/>
      <c r="G3026" s="27"/>
      <c r="H3026" s="18">
        <v>649000</v>
      </c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1:26" ht="26.25" x14ac:dyDescent="0.4">
      <c r="A3027" s="28" t="s">
        <v>18</v>
      </c>
      <c r="B3027" s="26"/>
      <c r="C3027" s="26"/>
      <c r="D3027" s="26"/>
      <c r="E3027" s="26"/>
      <c r="F3027" s="26"/>
      <c r="G3027" s="26"/>
      <c r="H3027" s="27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1:26" ht="12.75" x14ac:dyDescent="0.2"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1:26" ht="12.75" x14ac:dyDescent="0.2"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1:26" ht="12.75" x14ac:dyDescent="0.2"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4" spans="1:26" ht="15.75" customHeight="1" x14ac:dyDescent="0.4">
      <c r="A3034" s="28" t="s">
        <v>0</v>
      </c>
      <c r="B3034" s="26"/>
      <c r="C3034" s="26"/>
      <c r="D3034" s="26"/>
      <c r="E3034" s="26"/>
      <c r="F3034" s="26"/>
      <c r="G3034" s="26"/>
      <c r="H3034" s="27"/>
    </row>
    <row r="3035" spans="1:26" ht="15.75" customHeight="1" x14ac:dyDescent="0.4">
      <c r="A3035" s="28" t="s">
        <v>738</v>
      </c>
      <c r="B3035" s="26"/>
      <c r="C3035" s="26"/>
      <c r="D3035" s="26"/>
      <c r="E3035" s="26"/>
      <c r="F3035" s="26"/>
      <c r="G3035" s="26"/>
      <c r="H3035" s="27"/>
    </row>
    <row r="3036" spans="1:26" ht="15.75" customHeight="1" x14ac:dyDescent="0.3">
      <c r="A3036" s="3" t="s">
        <v>2</v>
      </c>
      <c r="B3036" s="3" t="s">
        <v>3</v>
      </c>
      <c r="C3036" s="3" t="s">
        <v>4</v>
      </c>
      <c r="D3036" s="3" t="s">
        <v>5</v>
      </c>
      <c r="E3036" s="3" t="s">
        <v>6</v>
      </c>
      <c r="F3036" s="4" t="s">
        <v>7</v>
      </c>
      <c r="G3036" s="3" t="s">
        <v>8</v>
      </c>
      <c r="H3036" s="5"/>
    </row>
    <row r="3037" spans="1:26" ht="15.75" customHeight="1" x14ac:dyDescent="0.4">
      <c r="A3037" s="6">
        <v>1</v>
      </c>
      <c r="B3037" s="20" t="s">
        <v>243</v>
      </c>
      <c r="C3037" s="21" t="s">
        <v>739</v>
      </c>
      <c r="D3037" s="8" t="s">
        <v>11</v>
      </c>
      <c r="E3037" s="20">
        <v>0.8</v>
      </c>
      <c r="F3037" s="9">
        <v>293000</v>
      </c>
      <c r="G3037" s="10">
        <f t="shared" ref="G3037:G3039" si="201">IFERROR(E3037*F3037,0)</f>
        <v>234400</v>
      </c>
      <c r="H3037" s="11"/>
    </row>
    <row r="3038" spans="1:26" ht="29.25" customHeight="1" x14ac:dyDescent="0.4">
      <c r="A3038" s="6">
        <v>2</v>
      </c>
      <c r="B3038" s="22" t="s">
        <v>391</v>
      </c>
      <c r="C3038" s="23" t="s">
        <v>740</v>
      </c>
      <c r="D3038" s="13" t="s">
        <v>13</v>
      </c>
      <c r="E3038" s="22">
        <v>2.95</v>
      </c>
      <c r="F3038" s="14">
        <v>435000</v>
      </c>
      <c r="G3038" s="10">
        <f t="shared" si="201"/>
        <v>1283250</v>
      </c>
      <c r="H3038" s="11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1:26" ht="26.25" x14ac:dyDescent="0.4">
      <c r="A3039" s="6">
        <v>3</v>
      </c>
      <c r="B3039" s="15" t="s">
        <v>14</v>
      </c>
      <c r="C3039" s="11"/>
      <c r="D3039" s="11"/>
      <c r="E3039" s="11"/>
      <c r="F3039" s="11"/>
      <c r="G3039" s="16">
        <f t="shared" si="201"/>
        <v>0</v>
      </c>
      <c r="H3039" s="11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1:26" ht="26.25" x14ac:dyDescent="0.4">
      <c r="A3040" s="29" t="s">
        <v>15</v>
      </c>
      <c r="B3040" s="26"/>
      <c r="C3040" s="26"/>
      <c r="D3040" s="26"/>
      <c r="E3040" s="26"/>
      <c r="F3040" s="26"/>
      <c r="G3040" s="27"/>
      <c r="H3040" s="17">
        <f>SUM(G3037:G3039)</f>
        <v>1517650</v>
      </c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1:26" ht="26.25" x14ac:dyDescent="0.4">
      <c r="A3041" s="29" t="s">
        <v>16</v>
      </c>
      <c r="B3041" s="26"/>
      <c r="C3041" s="26"/>
      <c r="D3041" s="26"/>
      <c r="E3041" s="26"/>
      <c r="F3041" s="26"/>
      <c r="G3041" s="27"/>
      <c r="H3041" s="17">
        <f>MAX(0,H3040-648000)</f>
        <v>869650</v>
      </c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1:26" ht="26.25" x14ac:dyDescent="0.4">
      <c r="A3042" s="25" t="s">
        <v>17</v>
      </c>
      <c r="B3042" s="26"/>
      <c r="C3042" s="26"/>
      <c r="D3042" s="26"/>
      <c r="E3042" s="26"/>
      <c r="F3042" s="26"/>
      <c r="G3042" s="27"/>
      <c r="H3042" s="18">
        <v>649000</v>
      </c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1:26" ht="26.25" x14ac:dyDescent="0.4">
      <c r="A3043" s="28" t="s">
        <v>18</v>
      </c>
      <c r="B3043" s="26"/>
      <c r="C3043" s="26"/>
      <c r="D3043" s="26"/>
      <c r="E3043" s="26"/>
      <c r="F3043" s="26"/>
      <c r="G3043" s="26"/>
      <c r="H3043" s="27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1:26" ht="12.75" x14ac:dyDescent="0.2"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1:26" ht="12.75" x14ac:dyDescent="0.2"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1:26" ht="12.75" x14ac:dyDescent="0.2"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1:26" ht="12.75" x14ac:dyDescent="0.2"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51" spans="1:26" ht="15.75" customHeight="1" x14ac:dyDescent="0.4">
      <c r="A3051" s="28" t="s">
        <v>0</v>
      </c>
      <c r="B3051" s="26"/>
      <c r="C3051" s="26"/>
      <c r="D3051" s="26"/>
      <c r="E3051" s="26"/>
      <c r="F3051" s="26"/>
      <c r="G3051" s="26"/>
      <c r="H3051" s="27"/>
    </row>
    <row r="3052" spans="1:26" ht="29.25" customHeight="1" x14ac:dyDescent="0.4">
      <c r="A3052" s="28" t="s">
        <v>741</v>
      </c>
      <c r="B3052" s="26"/>
      <c r="C3052" s="26"/>
      <c r="D3052" s="26"/>
      <c r="E3052" s="26"/>
      <c r="F3052" s="26"/>
      <c r="G3052" s="26"/>
      <c r="H3052" s="27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1:26" ht="18.75" x14ac:dyDescent="0.3">
      <c r="A3053" s="3" t="s">
        <v>2</v>
      </c>
      <c r="B3053" s="3" t="s">
        <v>3</v>
      </c>
      <c r="C3053" s="3" t="s">
        <v>4</v>
      </c>
      <c r="D3053" s="3" t="s">
        <v>5</v>
      </c>
      <c r="E3053" s="3" t="s">
        <v>6</v>
      </c>
      <c r="F3053" s="4" t="s">
        <v>7</v>
      </c>
      <c r="G3053" s="3" t="s">
        <v>8</v>
      </c>
      <c r="H3053" s="5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1:26" ht="26.25" x14ac:dyDescent="0.4">
      <c r="A3054" s="6">
        <v>1</v>
      </c>
      <c r="B3054" s="20" t="s">
        <v>742</v>
      </c>
      <c r="C3054" s="21" t="s">
        <v>743</v>
      </c>
      <c r="D3054" s="8" t="s">
        <v>11</v>
      </c>
      <c r="E3054" s="20">
        <v>1.57</v>
      </c>
      <c r="F3054" s="9">
        <v>293000</v>
      </c>
      <c r="G3054" s="10">
        <f t="shared" ref="G3054:G3056" si="202">IFERROR(E3054*F3054,0)</f>
        <v>460010</v>
      </c>
      <c r="H3054" s="11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1:26" ht="26.25" x14ac:dyDescent="0.4">
      <c r="A3055" s="6">
        <v>2</v>
      </c>
      <c r="B3055" s="22" t="s">
        <v>427</v>
      </c>
      <c r="C3055" s="23" t="s">
        <v>744</v>
      </c>
      <c r="D3055" s="13" t="s">
        <v>13</v>
      </c>
      <c r="E3055" s="22">
        <v>1.94</v>
      </c>
      <c r="F3055" s="14">
        <v>435000</v>
      </c>
      <c r="G3055" s="10">
        <f t="shared" si="202"/>
        <v>843900</v>
      </c>
      <c r="H3055" s="11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1:26" ht="26.25" x14ac:dyDescent="0.4">
      <c r="A3056" s="6">
        <v>3</v>
      </c>
      <c r="B3056" s="15" t="s">
        <v>14</v>
      </c>
      <c r="C3056" s="11"/>
      <c r="D3056" s="11"/>
      <c r="E3056" s="11"/>
      <c r="F3056" s="11"/>
      <c r="G3056" s="16">
        <f t="shared" si="202"/>
        <v>0</v>
      </c>
      <c r="H3056" s="11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1:26" ht="26.25" x14ac:dyDescent="0.4">
      <c r="A3057" s="29" t="s">
        <v>15</v>
      </c>
      <c r="B3057" s="26"/>
      <c r="C3057" s="26"/>
      <c r="D3057" s="26"/>
      <c r="E3057" s="26"/>
      <c r="F3057" s="26"/>
      <c r="G3057" s="27"/>
      <c r="H3057" s="17">
        <f>SUM(G3054:G3056)</f>
        <v>1303910</v>
      </c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1:26" ht="26.25" x14ac:dyDescent="0.4">
      <c r="A3058" s="29" t="s">
        <v>16</v>
      </c>
      <c r="B3058" s="26"/>
      <c r="C3058" s="26"/>
      <c r="D3058" s="26"/>
      <c r="E3058" s="26"/>
      <c r="F3058" s="26"/>
      <c r="G3058" s="27"/>
      <c r="H3058" s="17">
        <f>MAX(0,H3057-648000)</f>
        <v>655910</v>
      </c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1:26" ht="26.25" x14ac:dyDescent="0.4">
      <c r="A3059" s="25" t="s">
        <v>17</v>
      </c>
      <c r="B3059" s="26"/>
      <c r="C3059" s="26"/>
      <c r="D3059" s="26"/>
      <c r="E3059" s="26"/>
      <c r="F3059" s="26"/>
      <c r="G3059" s="27"/>
      <c r="H3059" s="18">
        <v>649000</v>
      </c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1:26" ht="26.25" x14ac:dyDescent="0.4">
      <c r="A3060" s="28" t="s">
        <v>18</v>
      </c>
      <c r="B3060" s="26"/>
      <c r="C3060" s="26"/>
      <c r="D3060" s="26"/>
      <c r="E3060" s="26"/>
      <c r="F3060" s="26"/>
      <c r="G3060" s="26"/>
      <c r="H3060" s="27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1:26" ht="12.75" x14ac:dyDescent="0.2"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5" spans="1:26" ht="15.75" customHeight="1" x14ac:dyDescent="0.4">
      <c r="A3065" s="28" t="s">
        <v>0</v>
      </c>
      <c r="B3065" s="26"/>
      <c r="C3065" s="26"/>
      <c r="D3065" s="26"/>
      <c r="E3065" s="26"/>
      <c r="F3065" s="26"/>
      <c r="G3065" s="26"/>
      <c r="H3065" s="27"/>
    </row>
    <row r="3066" spans="1:26" ht="15.75" customHeight="1" x14ac:dyDescent="0.4">
      <c r="A3066" s="28" t="s">
        <v>745</v>
      </c>
      <c r="B3066" s="26"/>
      <c r="C3066" s="26"/>
      <c r="D3066" s="26"/>
      <c r="E3066" s="26"/>
      <c r="F3066" s="26"/>
      <c r="G3066" s="26"/>
      <c r="H3066" s="27"/>
    </row>
    <row r="3067" spans="1:26" ht="15.75" customHeight="1" x14ac:dyDescent="0.3">
      <c r="A3067" s="3" t="s">
        <v>2</v>
      </c>
      <c r="B3067" s="3" t="s">
        <v>3</v>
      </c>
      <c r="C3067" s="3" t="s">
        <v>4</v>
      </c>
      <c r="D3067" s="3" t="s">
        <v>5</v>
      </c>
      <c r="E3067" s="3" t="s">
        <v>6</v>
      </c>
      <c r="F3067" s="4" t="s">
        <v>7</v>
      </c>
      <c r="G3067" s="3" t="s">
        <v>8</v>
      </c>
      <c r="H3067" s="5"/>
    </row>
    <row r="3068" spans="1:26" ht="29.25" customHeight="1" x14ac:dyDescent="0.4">
      <c r="A3068" s="6">
        <v>1</v>
      </c>
      <c r="B3068" s="20" t="s">
        <v>373</v>
      </c>
      <c r="C3068" s="21" t="s">
        <v>746</v>
      </c>
      <c r="D3068" s="8" t="s">
        <v>11</v>
      </c>
      <c r="E3068" s="20">
        <v>0.75</v>
      </c>
      <c r="F3068" s="9">
        <v>293000</v>
      </c>
      <c r="G3068" s="10">
        <f t="shared" ref="G3068:G3070" si="203">IFERROR(E3068*F3068,0)</f>
        <v>219750</v>
      </c>
      <c r="H3068" s="11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1:26" ht="26.25" x14ac:dyDescent="0.4">
      <c r="A3069" s="6">
        <v>2</v>
      </c>
      <c r="B3069" s="22" t="s">
        <v>747</v>
      </c>
      <c r="C3069" s="23" t="s">
        <v>748</v>
      </c>
      <c r="D3069" s="13" t="s">
        <v>13</v>
      </c>
      <c r="E3069" s="22">
        <v>3</v>
      </c>
      <c r="F3069" s="14">
        <v>435000</v>
      </c>
      <c r="G3069" s="10">
        <f t="shared" si="203"/>
        <v>1305000</v>
      </c>
      <c r="H3069" s="11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1:26" ht="26.25" x14ac:dyDescent="0.4">
      <c r="A3070" s="6">
        <v>3</v>
      </c>
      <c r="B3070" s="15" t="s">
        <v>14</v>
      </c>
      <c r="C3070" s="11"/>
      <c r="D3070" s="11"/>
      <c r="E3070" s="11"/>
      <c r="F3070" s="11"/>
      <c r="G3070" s="16">
        <f t="shared" si="203"/>
        <v>0</v>
      </c>
      <c r="H3070" s="11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1:26" ht="26.25" x14ac:dyDescent="0.4">
      <c r="A3071" s="29" t="s">
        <v>15</v>
      </c>
      <c r="B3071" s="26"/>
      <c r="C3071" s="26"/>
      <c r="D3071" s="26"/>
      <c r="E3071" s="26"/>
      <c r="F3071" s="26"/>
      <c r="G3071" s="27"/>
      <c r="H3071" s="17">
        <f>SUM(G3068:G3070)</f>
        <v>1524750</v>
      </c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1:26" ht="26.25" x14ac:dyDescent="0.4">
      <c r="A3072" s="29" t="s">
        <v>16</v>
      </c>
      <c r="B3072" s="26"/>
      <c r="C3072" s="26"/>
      <c r="D3072" s="26"/>
      <c r="E3072" s="26"/>
      <c r="F3072" s="26"/>
      <c r="G3072" s="27"/>
      <c r="H3072" s="17">
        <f>MAX(0,H3071-648000)</f>
        <v>876750</v>
      </c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1:26" ht="26.25" x14ac:dyDescent="0.4">
      <c r="A3073" s="25" t="s">
        <v>17</v>
      </c>
      <c r="B3073" s="26"/>
      <c r="C3073" s="26"/>
      <c r="D3073" s="26"/>
      <c r="E3073" s="26"/>
      <c r="F3073" s="26"/>
      <c r="G3073" s="27"/>
      <c r="H3073" s="18">
        <v>649000</v>
      </c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1:26" ht="26.25" x14ac:dyDescent="0.4">
      <c r="A3074" s="28" t="s">
        <v>18</v>
      </c>
      <c r="B3074" s="26"/>
      <c r="C3074" s="26"/>
      <c r="D3074" s="26"/>
      <c r="E3074" s="26"/>
      <c r="F3074" s="26"/>
      <c r="G3074" s="26"/>
      <c r="H3074" s="27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1:26" ht="12.75" x14ac:dyDescent="0.2"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1:26" ht="12.75" x14ac:dyDescent="0.2"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1:26" ht="12.75" x14ac:dyDescent="0.2"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81" spans="1:26" ht="15.75" customHeight="1" x14ac:dyDescent="0.4">
      <c r="A3081" s="28" t="s">
        <v>0</v>
      </c>
      <c r="B3081" s="26"/>
      <c r="C3081" s="26"/>
      <c r="D3081" s="26"/>
      <c r="E3081" s="26"/>
      <c r="F3081" s="26"/>
      <c r="G3081" s="26"/>
      <c r="H3081" s="27"/>
    </row>
    <row r="3082" spans="1:26" ht="15.75" customHeight="1" x14ac:dyDescent="0.4">
      <c r="A3082" s="28" t="s">
        <v>749</v>
      </c>
      <c r="B3082" s="26"/>
      <c r="C3082" s="26"/>
      <c r="D3082" s="26"/>
      <c r="E3082" s="26"/>
      <c r="F3082" s="26"/>
      <c r="G3082" s="26"/>
      <c r="H3082" s="27"/>
    </row>
    <row r="3083" spans="1:26" ht="29.25" customHeight="1" x14ac:dyDescent="0.3">
      <c r="A3083" s="3" t="s">
        <v>2</v>
      </c>
      <c r="B3083" s="3" t="s">
        <v>3</v>
      </c>
      <c r="C3083" s="3" t="s">
        <v>4</v>
      </c>
      <c r="D3083" s="3" t="s">
        <v>5</v>
      </c>
      <c r="E3083" s="3" t="s">
        <v>6</v>
      </c>
      <c r="F3083" s="4" t="s">
        <v>7</v>
      </c>
      <c r="G3083" s="3" t="s">
        <v>8</v>
      </c>
      <c r="H3083" s="5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1:26" ht="26.25" x14ac:dyDescent="0.4">
      <c r="A3084" s="6">
        <v>1</v>
      </c>
      <c r="B3084" s="20" t="s">
        <v>750</v>
      </c>
      <c r="C3084" s="21" t="s">
        <v>751</v>
      </c>
      <c r="D3084" s="8" t="s">
        <v>11</v>
      </c>
      <c r="E3084" s="20">
        <v>0.7</v>
      </c>
      <c r="F3084" s="9">
        <v>293000</v>
      </c>
      <c r="G3084" s="10">
        <f t="shared" ref="G3084:G3086" si="204">IFERROR(E3084*F3084,0)</f>
        <v>205100</v>
      </c>
      <c r="H3084" s="11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1:26" ht="26.25" x14ac:dyDescent="0.4">
      <c r="A3085" s="6">
        <v>2</v>
      </c>
      <c r="B3085" s="22" t="s">
        <v>22</v>
      </c>
      <c r="C3085" s="23" t="s">
        <v>752</v>
      </c>
      <c r="D3085" s="13" t="s">
        <v>13</v>
      </c>
      <c r="E3085" s="22">
        <v>2.9</v>
      </c>
      <c r="F3085" s="14">
        <v>435000</v>
      </c>
      <c r="G3085" s="10">
        <f t="shared" si="204"/>
        <v>1261500</v>
      </c>
      <c r="H3085" s="11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1:26" ht="26.25" x14ac:dyDescent="0.4">
      <c r="A3086" s="6">
        <v>3</v>
      </c>
      <c r="B3086" s="15" t="s">
        <v>14</v>
      </c>
      <c r="C3086" s="11"/>
      <c r="D3086" s="11"/>
      <c r="E3086" s="11"/>
      <c r="F3086" s="11"/>
      <c r="G3086" s="16">
        <f t="shared" si="204"/>
        <v>0</v>
      </c>
      <c r="H3086" s="11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1:26" ht="26.25" x14ac:dyDescent="0.4">
      <c r="A3087" s="29" t="s">
        <v>15</v>
      </c>
      <c r="B3087" s="26"/>
      <c r="C3087" s="26"/>
      <c r="D3087" s="26"/>
      <c r="E3087" s="26"/>
      <c r="F3087" s="26"/>
      <c r="G3087" s="27"/>
      <c r="H3087" s="17">
        <f>SUM(G3084:G3086)</f>
        <v>1466600</v>
      </c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1:26" ht="26.25" x14ac:dyDescent="0.4">
      <c r="A3088" s="29" t="s">
        <v>16</v>
      </c>
      <c r="B3088" s="26"/>
      <c r="C3088" s="26"/>
      <c r="D3088" s="26"/>
      <c r="E3088" s="26"/>
      <c r="F3088" s="26"/>
      <c r="G3088" s="27"/>
      <c r="H3088" s="17">
        <f>MAX(0,H3087-648000)</f>
        <v>818600</v>
      </c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1:26" ht="26.25" x14ac:dyDescent="0.4">
      <c r="A3089" s="25" t="s">
        <v>17</v>
      </c>
      <c r="B3089" s="26"/>
      <c r="C3089" s="26"/>
      <c r="D3089" s="26"/>
      <c r="E3089" s="26"/>
      <c r="F3089" s="26"/>
      <c r="G3089" s="27"/>
      <c r="H3089" s="18">
        <v>649000</v>
      </c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1:26" ht="26.25" x14ac:dyDescent="0.4">
      <c r="A3090" s="28" t="s">
        <v>18</v>
      </c>
      <c r="B3090" s="26"/>
      <c r="C3090" s="26"/>
      <c r="D3090" s="26"/>
      <c r="E3090" s="26"/>
      <c r="F3090" s="26"/>
      <c r="G3090" s="26"/>
      <c r="H3090" s="27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1:26" ht="12.75" x14ac:dyDescent="0.2"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1:26" ht="12.75" x14ac:dyDescent="0.2"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6" spans="1:26" ht="15.75" customHeight="1" x14ac:dyDescent="0.4">
      <c r="A3096" s="28" t="s">
        <v>0</v>
      </c>
      <c r="B3096" s="26"/>
      <c r="C3096" s="26"/>
      <c r="D3096" s="26"/>
      <c r="E3096" s="26"/>
      <c r="F3096" s="26"/>
      <c r="G3096" s="26"/>
      <c r="H3096" s="27"/>
    </row>
    <row r="3097" spans="1:26" ht="15.75" customHeight="1" x14ac:dyDescent="0.4">
      <c r="A3097" s="28" t="s">
        <v>753</v>
      </c>
      <c r="B3097" s="26"/>
      <c r="C3097" s="26"/>
      <c r="D3097" s="26"/>
      <c r="E3097" s="26"/>
      <c r="F3097" s="26"/>
      <c r="G3097" s="26"/>
      <c r="H3097" s="27"/>
    </row>
    <row r="3098" spans="1:26" ht="29.25" customHeight="1" x14ac:dyDescent="0.3">
      <c r="A3098" s="3" t="s">
        <v>2</v>
      </c>
      <c r="B3098" s="3" t="s">
        <v>3</v>
      </c>
      <c r="C3098" s="3" t="s">
        <v>4</v>
      </c>
      <c r="D3098" s="3" t="s">
        <v>5</v>
      </c>
      <c r="E3098" s="3" t="s">
        <v>6</v>
      </c>
      <c r="F3098" s="4" t="s">
        <v>7</v>
      </c>
      <c r="G3098" s="3" t="s">
        <v>8</v>
      </c>
      <c r="H3098" s="5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1:26" ht="26.25" x14ac:dyDescent="0.4">
      <c r="A3099" s="6">
        <v>1</v>
      </c>
      <c r="B3099" s="20" t="s">
        <v>98</v>
      </c>
      <c r="C3099" s="21" t="s">
        <v>754</v>
      </c>
      <c r="D3099" s="8" t="s">
        <v>11</v>
      </c>
      <c r="E3099" s="20">
        <v>0.78</v>
      </c>
      <c r="F3099" s="9">
        <v>293000</v>
      </c>
      <c r="G3099" s="10">
        <f t="shared" ref="G3099:G3101" si="205">IFERROR(E3099*F3099,0)</f>
        <v>228540</v>
      </c>
      <c r="H3099" s="11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1:26" ht="26.25" x14ac:dyDescent="0.4">
      <c r="A3100" s="6">
        <v>2</v>
      </c>
      <c r="B3100" s="22" t="s">
        <v>74</v>
      </c>
      <c r="C3100" s="23" t="s">
        <v>755</v>
      </c>
      <c r="D3100" s="13" t="s">
        <v>13</v>
      </c>
      <c r="E3100" s="22">
        <v>2.93</v>
      </c>
      <c r="F3100" s="14">
        <v>435000</v>
      </c>
      <c r="G3100" s="10">
        <f t="shared" si="205"/>
        <v>1274550</v>
      </c>
      <c r="H3100" s="11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1:26" ht="26.25" x14ac:dyDescent="0.4">
      <c r="A3101" s="6">
        <v>3</v>
      </c>
      <c r="B3101" s="15" t="s">
        <v>14</v>
      </c>
      <c r="C3101" s="11"/>
      <c r="D3101" s="11"/>
      <c r="E3101" s="11"/>
      <c r="F3101" s="11"/>
      <c r="G3101" s="16">
        <f t="shared" si="205"/>
        <v>0</v>
      </c>
      <c r="H3101" s="11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1:26" ht="26.25" x14ac:dyDescent="0.4">
      <c r="A3102" s="29" t="s">
        <v>15</v>
      </c>
      <c r="B3102" s="26"/>
      <c r="C3102" s="26"/>
      <c r="D3102" s="26"/>
      <c r="E3102" s="26"/>
      <c r="F3102" s="26"/>
      <c r="G3102" s="27"/>
      <c r="H3102" s="17">
        <f>SUM(G3099:G3101)</f>
        <v>1503090</v>
      </c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1:26" ht="26.25" x14ac:dyDescent="0.4">
      <c r="A3103" s="29" t="s">
        <v>16</v>
      </c>
      <c r="B3103" s="26"/>
      <c r="C3103" s="26"/>
      <c r="D3103" s="26"/>
      <c r="E3103" s="26"/>
      <c r="F3103" s="26"/>
      <c r="G3103" s="27"/>
      <c r="H3103" s="17">
        <f>MAX(0,H3102-648000)</f>
        <v>855090</v>
      </c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1:26" ht="26.25" x14ac:dyDescent="0.4">
      <c r="A3104" s="25" t="s">
        <v>17</v>
      </c>
      <c r="B3104" s="26"/>
      <c r="C3104" s="26"/>
      <c r="D3104" s="26"/>
      <c r="E3104" s="26"/>
      <c r="F3104" s="26"/>
      <c r="G3104" s="27"/>
      <c r="H3104" s="18">
        <v>649000</v>
      </c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1:26" ht="26.25" x14ac:dyDescent="0.4">
      <c r="A3105" s="28" t="s">
        <v>18</v>
      </c>
      <c r="B3105" s="26"/>
      <c r="C3105" s="26"/>
      <c r="D3105" s="26"/>
      <c r="E3105" s="26"/>
      <c r="F3105" s="26"/>
      <c r="G3105" s="26"/>
      <c r="H3105" s="27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1:26" ht="12.75" x14ac:dyDescent="0.2"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1:26" ht="12.75" x14ac:dyDescent="0.2"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11" spans="1:26" ht="15.75" customHeight="1" x14ac:dyDescent="0.4">
      <c r="A3111" s="28" t="s">
        <v>0</v>
      </c>
      <c r="B3111" s="26"/>
      <c r="C3111" s="26"/>
      <c r="D3111" s="26"/>
      <c r="E3111" s="26"/>
      <c r="F3111" s="26"/>
      <c r="G3111" s="26"/>
      <c r="H3111" s="27"/>
    </row>
    <row r="3112" spans="1:26" ht="15.75" customHeight="1" x14ac:dyDescent="0.4">
      <c r="A3112" s="28" t="s">
        <v>756</v>
      </c>
      <c r="B3112" s="26"/>
      <c r="C3112" s="26"/>
      <c r="D3112" s="26"/>
      <c r="E3112" s="26"/>
      <c r="F3112" s="26"/>
      <c r="G3112" s="26"/>
      <c r="H3112" s="27"/>
    </row>
    <row r="3113" spans="1:26" ht="15.75" customHeight="1" x14ac:dyDescent="0.3">
      <c r="A3113" s="3" t="s">
        <v>2</v>
      </c>
      <c r="B3113" s="3" t="s">
        <v>3</v>
      </c>
      <c r="C3113" s="3" t="s">
        <v>4</v>
      </c>
      <c r="D3113" s="3" t="s">
        <v>5</v>
      </c>
      <c r="E3113" s="3" t="s">
        <v>6</v>
      </c>
      <c r="F3113" s="4" t="s">
        <v>7</v>
      </c>
      <c r="G3113" s="3" t="s">
        <v>8</v>
      </c>
      <c r="H3113" s="5"/>
    </row>
    <row r="3114" spans="1:26" ht="15.75" customHeight="1" x14ac:dyDescent="0.4">
      <c r="A3114" s="6">
        <v>1</v>
      </c>
      <c r="B3114" s="20" t="s">
        <v>22</v>
      </c>
      <c r="C3114" s="21" t="s">
        <v>757</v>
      </c>
      <c r="D3114" s="8" t="s">
        <v>11</v>
      </c>
      <c r="E3114" s="20">
        <v>0.7</v>
      </c>
      <c r="F3114" s="9">
        <v>293000</v>
      </c>
      <c r="G3114" s="10">
        <f t="shared" ref="G3114:G3116" si="206">IFERROR(E3114*F3114,0)</f>
        <v>205100</v>
      </c>
      <c r="H3114" s="11"/>
    </row>
    <row r="3115" spans="1:26" ht="15.75" customHeight="1" x14ac:dyDescent="0.4">
      <c r="A3115" s="6">
        <v>2</v>
      </c>
      <c r="B3115" s="22" t="s">
        <v>65</v>
      </c>
      <c r="C3115" s="23" t="s">
        <v>758</v>
      </c>
      <c r="D3115" s="13" t="s">
        <v>13</v>
      </c>
      <c r="E3115" s="22">
        <v>2.96</v>
      </c>
      <c r="F3115" s="14">
        <v>435000</v>
      </c>
      <c r="G3115" s="10">
        <f t="shared" si="206"/>
        <v>1287600</v>
      </c>
      <c r="H3115" s="11"/>
    </row>
    <row r="3116" spans="1:26" ht="29.25" customHeight="1" x14ac:dyDescent="0.4">
      <c r="A3116" s="6">
        <v>3</v>
      </c>
      <c r="B3116" s="15" t="s">
        <v>14</v>
      </c>
      <c r="C3116" s="11"/>
      <c r="D3116" s="11"/>
      <c r="E3116" s="11"/>
      <c r="F3116" s="11"/>
      <c r="G3116" s="16">
        <f t="shared" si="206"/>
        <v>0</v>
      </c>
      <c r="H3116" s="11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1:26" ht="26.25" x14ac:dyDescent="0.4">
      <c r="A3117" s="29" t="s">
        <v>15</v>
      </c>
      <c r="B3117" s="26"/>
      <c r="C3117" s="26"/>
      <c r="D3117" s="26"/>
      <c r="E3117" s="26"/>
      <c r="F3117" s="26"/>
      <c r="G3117" s="27"/>
      <c r="H3117" s="17">
        <f>SUM(G3114:G3116)</f>
        <v>1492700</v>
      </c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1:26" ht="26.25" x14ac:dyDescent="0.4">
      <c r="A3118" s="29" t="s">
        <v>16</v>
      </c>
      <c r="B3118" s="26"/>
      <c r="C3118" s="26"/>
      <c r="D3118" s="26"/>
      <c r="E3118" s="26"/>
      <c r="F3118" s="26"/>
      <c r="G3118" s="27"/>
      <c r="H3118" s="17">
        <f>MAX(0,H3117-648000)</f>
        <v>844700</v>
      </c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1:26" ht="26.25" x14ac:dyDescent="0.4">
      <c r="A3119" s="25" t="s">
        <v>17</v>
      </c>
      <c r="B3119" s="26"/>
      <c r="C3119" s="26"/>
      <c r="D3119" s="26"/>
      <c r="E3119" s="26"/>
      <c r="F3119" s="26"/>
      <c r="G3119" s="27"/>
      <c r="H3119" s="18">
        <v>649000</v>
      </c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1:26" ht="26.25" x14ac:dyDescent="0.4">
      <c r="A3120" s="28" t="s">
        <v>18</v>
      </c>
      <c r="B3120" s="26"/>
      <c r="C3120" s="26"/>
      <c r="D3120" s="26"/>
      <c r="E3120" s="26"/>
      <c r="F3120" s="26"/>
      <c r="G3120" s="26"/>
      <c r="H3120" s="27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1:26" ht="12.75" x14ac:dyDescent="0.2"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1:26" ht="12.75" x14ac:dyDescent="0.2"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1:26" ht="12.75" x14ac:dyDescent="0.2"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1:26" ht="12.75" x14ac:dyDescent="0.2"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1:26" ht="12.75" x14ac:dyDescent="0.2"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9" spans="1:26" ht="15.75" customHeight="1" x14ac:dyDescent="0.4">
      <c r="A3129" s="28" t="s">
        <v>0</v>
      </c>
      <c r="B3129" s="26"/>
      <c r="C3129" s="26"/>
      <c r="D3129" s="26"/>
      <c r="E3129" s="26"/>
      <c r="F3129" s="26"/>
      <c r="G3129" s="26"/>
      <c r="H3129" s="27"/>
    </row>
    <row r="3130" spans="1:26" ht="29.25" customHeight="1" x14ac:dyDescent="0.4">
      <c r="A3130" s="28" t="s">
        <v>759</v>
      </c>
      <c r="B3130" s="26"/>
      <c r="C3130" s="26"/>
      <c r="D3130" s="26"/>
      <c r="E3130" s="26"/>
      <c r="F3130" s="26"/>
      <c r="G3130" s="26"/>
      <c r="H3130" s="27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1:26" ht="18.75" x14ac:dyDescent="0.3">
      <c r="A3131" s="3" t="s">
        <v>2</v>
      </c>
      <c r="B3131" s="3" t="s">
        <v>3</v>
      </c>
      <c r="C3131" s="3" t="s">
        <v>4</v>
      </c>
      <c r="D3131" s="3" t="s">
        <v>5</v>
      </c>
      <c r="E3131" s="3" t="s">
        <v>6</v>
      </c>
      <c r="F3131" s="4" t="s">
        <v>7</v>
      </c>
      <c r="G3131" s="3" t="s">
        <v>8</v>
      </c>
      <c r="H3131" s="5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1:26" ht="26.25" x14ac:dyDescent="0.4">
      <c r="A3132" s="6">
        <v>1</v>
      </c>
      <c r="B3132" s="20" t="s">
        <v>157</v>
      </c>
      <c r="C3132" s="21" t="s">
        <v>760</v>
      </c>
      <c r="D3132" s="8" t="s">
        <v>11</v>
      </c>
      <c r="E3132" s="20">
        <v>2.7</v>
      </c>
      <c r="F3132" s="9">
        <v>293000</v>
      </c>
      <c r="G3132" s="10">
        <f t="shared" ref="G3132:G3134" si="207">IFERROR(E3132*F3132,0)</f>
        <v>791100</v>
      </c>
      <c r="H3132" s="11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1:26" ht="26.25" x14ac:dyDescent="0.4">
      <c r="A3133" s="6">
        <v>2</v>
      </c>
      <c r="B3133" s="22" t="s">
        <v>431</v>
      </c>
      <c r="C3133" s="23" t="s">
        <v>761</v>
      </c>
      <c r="D3133" s="13" t="s">
        <v>13</v>
      </c>
      <c r="E3133" s="22">
        <v>1</v>
      </c>
      <c r="F3133" s="14">
        <v>435000</v>
      </c>
      <c r="G3133" s="10">
        <f t="shared" si="207"/>
        <v>435000</v>
      </c>
      <c r="H3133" s="11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1:26" ht="26.25" x14ac:dyDescent="0.4">
      <c r="A3134" s="6">
        <v>3</v>
      </c>
      <c r="B3134" s="15" t="s">
        <v>14</v>
      </c>
      <c r="C3134" s="11"/>
      <c r="D3134" s="11"/>
      <c r="E3134" s="11"/>
      <c r="F3134" s="11"/>
      <c r="G3134" s="16">
        <f t="shared" si="207"/>
        <v>0</v>
      </c>
      <c r="H3134" s="11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1:26" ht="26.25" x14ac:dyDescent="0.4">
      <c r="A3135" s="29" t="s">
        <v>15</v>
      </c>
      <c r="B3135" s="26"/>
      <c r="C3135" s="26"/>
      <c r="D3135" s="26"/>
      <c r="E3135" s="26"/>
      <c r="F3135" s="26"/>
      <c r="G3135" s="27"/>
      <c r="H3135" s="17">
        <f>SUM(G3132:G3134)</f>
        <v>1226100</v>
      </c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1:26" ht="26.25" x14ac:dyDescent="0.4">
      <c r="A3136" s="29" t="s">
        <v>16</v>
      </c>
      <c r="B3136" s="26"/>
      <c r="C3136" s="26"/>
      <c r="D3136" s="26"/>
      <c r="E3136" s="26"/>
      <c r="F3136" s="26"/>
      <c r="G3136" s="27"/>
      <c r="H3136" s="17">
        <f>MAX(0,H3135-648000)</f>
        <v>578100</v>
      </c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1:26" ht="26.25" x14ac:dyDescent="0.4">
      <c r="A3137" s="25" t="s">
        <v>17</v>
      </c>
      <c r="B3137" s="26"/>
      <c r="C3137" s="26"/>
      <c r="D3137" s="26"/>
      <c r="E3137" s="26"/>
      <c r="F3137" s="26"/>
      <c r="G3137" s="27"/>
      <c r="H3137" s="18">
        <v>649000</v>
      </c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1:26" ht="26.25" x14ac:dyDescent="0.4">
      <c r="A3138" s="28" t="s">
        <v>18</v>
      </c>
      <c r="B3138" s="26"/>
      <c r="C3138" s="26"/>
      <c r="D3138" s="26"/>
      <c r="E3138" s="26"/>
      <c r="F3138" s="26"/>
      <c r="G3138" s="26"/>
      <c r="H3138" s="27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1:26" ht="12.75" x14ac:dyDescent="0.2"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3" spans="1:26" ht="15.75" customHeight="1" x14ac:dyDescent="0.4">
      <c r="A3143" s="28" t="s">
        <v>0</v>
      </c>
      <c r="B3143" s="26"/>
      <c r="C3143" s="26"/>
      <c r="D3143" s="26"/>
      <c r="E3143" s="26"/>
      <c r="F3143" s="26"/>
      <c r="G3143" s="26"/>
      <c r="H3143" s="27"/>
    </row>
    <row r="3144" spans="1:26" ht="15.75" customHeight="1" x14ac:dyDescent="0.4">
      <c r="A3144" s="28" t="s">
        <v>762</v>
      </c>
      <c r="B3144" s="26"/>
      <c r="C3144" s="26"/>
      <c r="D3144" s="26"/>
      <c r="E3144" s="26"/>
      <c r="F3144" s="26"/>
      <c r="G3144" s="26"/>
      <c r="H3144" s="27"/>
    </row>
    <row r="3145" spans="1:26" ht="15.75" customHeight="1" x14ac:dyDescent="0.3">
      <c r="A3145" s="3" t="s">
        <v>2</v>
      </c>
      <c r="B3145" s="3" t="s">
        <v>3</v>
      </c>
      <c r="C3145" s="3" t="s">
        <v>4</v>
      </c>
      <c r="D3145" s="3" t="s">
        <v>5</v>
      </c>
      <c r="E3145" s="3" t="s">
        <v>6</v>
      </c>
      <c r="F3145" s="4" t="s">
        <v>7</v>
      </c>
      <c r="G3145" s="3" t="s">
        <v>8</v>
      </c>
      <c r="H3145" s="5"/>
    </row>
    <row r="3146" spans="1:26" ht="15.75" customHeight="1" x14ac:dyDescent="0.4">
      <c r="A3146" s="6">
        <v>1</v>
      </c>
      <c r="B3146" s="20" t="s">
        <v>763</v>
      </c>
      <c r="C3146" s="21" t="s">
        <v>764</v>
      </c>
      <c r="D3146" s="8" t="s">
        <v>11</v>
      </c>
      <c r="E3146" s="20">
        <v>2.4</v>
      </c>
      <c r="F3146" s="9">
        <v>293000</v>
      </c>
      <c r="G3146" s="10">
        <f t="shared" ref="G3146:G3148" si="208">IFERROR(E3146*F3146,0)</f>
        <v>703200</v>
      </c>
      <c r="H3146" s="11"/>
    </row>
    <row r="3147" spans="1:26" ht="29.25" customHeight="1" x14ac:dyDescent="0.4">
      <c r="A3147" s="6">
        <v>2</v>
      </c>
      <c r="B3147" s="22" t="s">
        <v>98</v>
      </c>
      <c r="C3147" s="23" t="s">
        <v>765</v>
      </c>
      <c r="D3147" s="13" t="s">
        <v>13</v>
      </c>
      <c r="E3147" s="22">
        <v>0.93</v>
      </c>
      <c r="F3147" s="14">
        <v>435000</v>
      </c>
      <c r="G3147" s="10">
        <f t="shared" si="208"/>
        <v>404550</v>
      </c>
      <c r="H3147" s="11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1:26" ht="26.25" x14ac:dyDescent="0.4">
      <c r="A3148" s="6">
        <v>3</v>
      </c>
      <c r="B3148" s="15" t="s">
        <v>14</v>
      </c>
      <c r="C3148" s="11"/>
      <c r="D3148" s="11"/>
      <c r="E3148" s="11"/>
      <c r="F3148" s="11"/>
      <c r="G3148" s="16">
        <f t="shared" si="208"/>
        <v>0</v>
      </c>
      <c r="H3148" s="11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1:26" ht="26.25" x14ac:dyDescent="0.4">
      <c r="A3149" s="29" t="s">
        <v>15</v>
      </c>
      <c r="B3149" s="26"/>
      <c r="C3149" s="26"/>
      <c r="D3149" s="26"/>
      <c r="E3149" s="26"/>
      <c r="F3149" s="26"/>
      <c r="G3149" s="27"/>
      <c r="H3149" s="17">
        <f>SUM(G3146:G3148)</f>
        <v>1107750</v>
      </c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1:26" ht="26.25" x14ac:dyDescent="0.4">
      <c r="A3150" s="29" t="s">
        <v>16</v>
      </c>
      <c r="B3150" s="26"/>
      <c r="C3150" s="26"/>
      <c r="D3150" s="26"/>
      <c r="E3150" s="26"/>
      <c r="F3150" s="26"/>
      <c r="G3150" s="27"/>
      <c r="H3150" s="17">
        <f>MAX(0,H3149-648000)</f>
        <v>459750</v>
      </c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1:26" ht="26.25" x14ac:dyDescent="0.4">
      <c r="A3151" s="25" t="s">
        <v>17</v>
      </c>
      <c r="B3151" s="26"/>
      <c r="C3151" s="26"/>
      <c r="D3151" s="26"/>
      <c r="E3151" s="26"/>
      <c r="F3151" s="26"/>
      <c r="G3151" s="27"/>
      <c r="H3151" s="18">
        <v>649000</v>
      </c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1:26" ht="26.25" x14ac:dyDescent="0.4">
      <c r="A3152" s="28" t="s">
        <v>18</v>
      </c>
      <c r="B3152" s="26"/>
      <c r="C3152" s="26"/>
      <c r="D3152" s="26"/>
      <c r="E3152" s="26"/>
      <c r="F3152" s="26"/>
      <c r="G3152" s="26"/>
      <c r="H3152" s="27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1:26" ht="12.75" x14ac:dyDescent="0.2"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1:26" ht="12.75" x14ac:dyDescent="0.2"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1:26" ht="12.75" x14ac:dyDescent="0.2"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1:26" ht="12.75" x14ac:dyDescent="0.2"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60" spans="1:26" ht="15.75" customHeight="1" x14ac:dyDescent="0.4">
      <c r="A3160" s="28" t="s">
        <v>0</v>
      </c>
      <c r="B3160" s="26"/>
      <c r="C3160" s="26"/>
      <c r="D3160" s="26"/>
      <c r="E3160" s="26"/>
      <c r="F3160" s="26"/>
      <c r="G3160" s="26"/>
      <c r="H3160" s="27"/>
    </row>
    <row r="3161" spans="1:26" ht="15.75" customHeight="1" x14ac:dyDescent="0.4">
      <c r="A3161" s="28" t="s">
        <v>766</v>
      </c>
      <c r="B3161" s="26"/>
      <c r="C3161" s="26"/>
      <c r="D3161" s="26"/>
      <c r="E3161" s="26"/>
      <c r="F3161" s="26"/>
      <c r="G3161" s="26"/>
      <c r="H3161" s="27"/>
    </row>
    <row r="3162" spans="1:26" ht="15.75" customHeight="1" x14ac:dyDescent="0.3">
      <c r="A3162" s="3" t="s">
        <v>2</v>
      </c>
      <c r="B3162" s="3" t="s">
        <v>3</v>
      </c>
      <c r="C3162" s="3" t="s">
        <v>4</v>
      </c>
      <c r="D3162" s="3" t="s">
        <v>5</v>
      </c>
      <c r="E3162" s="3" t="s">
        <v>6</v>
      </c>
      <c r="F3162" s="4" t="s">
        <v>7</v>
      </c>
      <c r="G3162" s="3" t="s">
        <v>8</v>
      </c>
      <c r="H3162" s="5"/>
    </row>
    <row r="3163" spans="1:26" ht="29.25" customHeight="1" x14ac:dyDescent="0.4">
      <c r="A3163" s="6">
        <v>1</v>
      </c>
      <c r="B3163" s="20" t="s">
        <v>379</v>
      </c>
      <c r="C3163" s="21" t="s">
        <v>767</v>
      </c>
      <c r="D3163" s="8" t="s">
        <v>11</v>
      </c>
      <c r="E3163" s="20">
        <v>1.93</v>
      </c>
      <c r="F3163" s="9">
        <v>293000</v>
      </c>
      <c r="G3163" s="10">
        <f t="shared" ref="G3163:G3165" si="209">IFERROR(E3163*F3163,0)</f>
        <v>565490</v>
      </c>
      <c r="H3163" s="11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1:26" ht="26.25" x14ac:dyDescent="0.4">
      <c r="A3164" s="6">
        <v>2</v>
      </c>
      <c r="B3164" s="22" t="s">
        <v>611</v>
      </c>
      <c r="C3164" s="23" t="s">
        <v>768</v>
      </c>
      <c r="D3164" s="13" t="s">
        <v>13</v>
      </c>
      <c r="E3164" s="22">
        <v>1.48</v>
      </c>
      <c r="F3164" s="14">
        <v>435000</v>
      </c>
      <c r="G3164" s="10">
        <f t="shared" si="209"/>
        <v>643800</v>
      </c>
      <c r="H3164" s="11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1:26" ht="26.25" x14ac:dyDescent="0.4">
      <c r="A3165" s="6">
        <v>3</v>
      </c>
      <c r="B3165" s="15" t="s">
        <v>14</v>
      </c>
      <c r="C3165" s="11"/>
      <c r="D3165" s="11"/>
      <c r="E3165" s="11"/>
      <c r="F3165" s="11"/>
      <c r="G3165" s="16">
        <f t="shared" si="209"/>
        <v>0</v>
      </c>
      <c r="H3165" s="11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1:26" ht="26.25" x14ac:dyDescent="0.4">
      <c r="A3166" s="29" t="s">
        <v>15</v>
      </c>
      <c r="B3166" s="26"/>
      <c r="C3166" s="26"/>
      <c r="D3166" s="26"/>
      <c r="E3166" s="26"/>
      <c r="F3166" s="26"/>
      <c r="G3166" s="27"/>
      <c r="H3166" s="17">
        <f>SUM(G3163:G3165)</f>
        <v>1209290</v>
      </c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1:26" ht="26.25" x14ac:dyDescent="0.4">
      <c r="A3167" s="29" t="s">
        <v>16</v>
      </c>
      <c r="B3167" s="26"/>
      <c r="C3167" s="26"/>
      <c r="D3167" s="26"/>
      <c r="E3167" s="26"/>
      <c r="F3167" s="26"/>
      <c r="G3167" s="27"/>
      <c r="H3167" s="17">
        <f>MAX(0,H3166-648000)</f>
        <v>561290</v>
      </c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1:26" ht="26.25" x14ac:dyDescent="0.4">
      <c r="A3168" s="25" t="s">
        <v>17</v>
      </c>
      <c r="B3168" s="26"/>
      <c r="C3168" s="26"/>
      <c r="D3168" s="26"/>
      <c r="E3168" s="26"/>
      <c r="F3168" s="26"/>
      <c r="G3168" s="27"/>
      <c r="H3168" s="18">
        <v>649000</v>
      </c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1:26" ht="26.25" x14ac:dyDescent="0.4">
      <c r="A3169" s="28" t="s">
        <v>18</v>
      </c>
      <c r="B3169" s="26"/>
      <c r="C3169" s="26"/>
      <c r="D3169" s="26"/>
      <c r="E3169" s="26"/>
      <c r="F3169" s="26"/>
      <c r="G3169" s="26"/>
      <c r="H3169" s="27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1:26" ht="12.75" x14ac:dyDescent="0.2"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1:26" ht="12.75" x14ac:dyDescent="0.2"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1:26" ht="12.75" x14ac:dyDescent="0.2"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6" spans="1:26" ht="15.75" customHeight="1" x14ac:dyDescent="0.4">
      <c r="A3176" s="28" t="s">
        <v>0</v>
      </c>
      <c r="B3176" s="26"/>
      <c r="C3176" s="26"/>
      <c r="D3176" s="26"/>
      <c r="E3176" s="26"/>
      <c r="F3176" s="26"/>
      <c r="G3176" s="26"/>
      <c r="H3176" s="27"/>
    </row>
    <row r="3177" spans="1:26" ht="29.25" customHeight="1" x14ac:dyDescent="0.4">
      <c r="A3177" s="28" t="s">
        <v>769</v>
      </c>
      <c r="B3177" s="26"/>
      <c r="C3177" s="26"/>
      <c r="D3177" s="26"/>
      <c r="E3177" s="26"/>
      <c r="F3177" s="26"/>
      <c r="G3177" s="26"/>
      <c r="H3177" s="27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1:26" ht="18.75" x14ac:dyDescent="0.3">
      <c r="A3178" s="3" t="s">
        <v>2</v>
      </c>
      <c r="B3178" s="3" t="s">
        <v>3</v>
      </c>
      <c r="C3178" s="3" t="s">
        <v>4</v>
      </c>
      <c r="D3178" s="3" t="s">
        <v>5</v>
      </c>
      <c r="E3178" s="3" t="s">
        <v>6</v>
      </c>
      <c r="F3178" s="4" t="s">
        <v>7</v>
      </c>
      <c r="G3178" s="3" t="s">
        <v>8</v>
      </c>
      <c r="H3178" s="5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1:26" ht="26.25" x14ac:dyDescent="0.4">
      <c r="A3179" s="6">
        <v>1</v>
      </c>
      <c r="B3179" s="20" t="s">
        <v>379</v>
      </c>
      <c r="C3179" s="21" t="s">
        <v>770</v>
      </c>
      <c r="D3179" s="8" t="s">
        <v>11</v>
      </c>
      <c r="E3179" s="20">
        <v>2.65</v>
      </c>
      <c r="F3179" s="9">
        <v>293000</v>
      </c>
      <c r="G3179" s="10">
        <f t="shared" ref="G3179:G3181" si="210">IFERROR(E3179*F3179,0)</f>
        <v>776450</v>
      </c>
      <c r="H3179" s="11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1:26" ht="26.25" x14ac:dyDescent="0.4">
      <c r="A3180" s="6">
        <v>2</v>
      </c>
      <c r="B3180" s="22" t="s">
        <v>94</v>
      </c>
      <c r="C3180" s="23" t="s">
        <v>771</v>
      </c>
      <c r="D3180" s="13" t="s">
        <v>13</v>
      </c>
      <c r="E3180" s="22">
        <v>1</v>
      </c>
      <c r="F3180" s="14">
        <v>435000</v>
      </c>
      <c r="G3180" s="10">
        <f t="shared" si="210"/>
        <v>435000</v>
      </c>
      <c r="H3180" s="11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1:26" ht="26.25" x14ac:dyDescent="0.4">
      <c r="A3181" s="6">
        <v>3</v>
      </c>
      <c r="B3181" s="15" t="s">
        <v>14</v>
      </c>
      <c r="C3181" s="11"/>
      <c r="D3181" s="11"/>
      <c r="E3181" s="11"/>
      <c r="F3181" s="11"/>
      <c r="G3181" s="16">
        <f t="shared" si="210"/>
        <v>0</v>
      </c>
      <c r="H3181" s="11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1:26" ht="26.25" x14ac:dyDescent="0.4">
      <c r="A3182" s="29" t="s">
        <v>15</v>
      </c>
      <c r="B3182" s="26"/>
      <c r="C3182" s="26"/>
      <c r="D3182" s="26"/>
      <c r="E3182" s="26"/>
      <c r="F3182" s="26"/>
      <c r="G3182" s="27"/>
      <c r="H3182" s="17">
        <f>SUM(G3179:G3181)</f>
        <v>1211450</v>
      </c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1:26" ht="26.25" x14ac:dyDescent="0.4">
      <c r="A3183" s="29" t="s">
        <v>16</v>
      </c>
      <c r="B3183" s="26"/>
      <c r="C3183" s="26"/>
      <c r="D3183" s="26"/>
      <c r="E3183" s="26"/>
      <c r="F3183" s="26"/>
      <c r="G3183" s="27"/>
      <c r="H3183" s="17">
        <f>MAX(0,H3182-648000)</f>
        <v>563450</v>
      </c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1:26" ht="26.25" x14ac:dyDescent="0.4">
      <c r="A3184" s="25" t="s">
        <v>17</v>
      </c>
      <c r="B3184" s="26"/>
      <c r="C3184" s="26"/>
      <c r="D3184" s="26"/>
      <c r="E3184" s="26"/>
      <c r="F3184" s="26"/>
      <c r="G3184" s="27"/>
      <c r="H3184" s="18">
        <v>649000</v>
      </c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1:26" ht="26.25" x14ac:dyDescent="0.4">
      <c r="A3185" s="28" t="s">
        <v>18</v>
      </c>
      <c r="B3185" s="26"/>
      <c r="C3185" s="26"/>
      <c r="D3185" s="26"/>
      <c r="E3185" s="26"/>
      <c r="F3185" s="26"/>
      <c r="G3185" s="26"/>
      <c r="H3185" s="27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1:26" ht="12.75" x14ac:dyDescent="0.2"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90" spans="1:26" ht="15.75" customHeight="1" x14ac:dyDescent="0.4">
      <c r="A3190" s="28" t="s">
        <v>0</v>
      </c>
      <c r="B3190" s="26"/>
      <c r="C3190" s="26"/>
      <c r="D3190" s="26"/>
      <c r="E3190" s="26"/>
      <c r="F3190" s="26"/>
      <c r="G3190" s="26"/>
      <c r="H3190" s="27"/>
    </row>
    <row r="3191" spans="1:26" ht="15.75" customHeight="1" x14ac:dyDescent="0.4">
      <c r="A3191" s="28" t="s">
        <v>772</v>
      </c>
      <c r="B3191" s="26"/>
      <c r="C3191" s="26"/>
      <c r="D3191" s="26"/>
      <c r="E3191" s="26"/>
      <c r="F3191" s="26"/>
      <c r="G3191" s="26"/>
      <c r="H3191" s="27"/>
    </row>
    <row r="3192" spans="1:26" ht="29.25" customHeight="1" x14ac:dyDescent="0.3">
      <c r="A3192" s="3" t="s">
        <v>2</v>
      </c>
      <c r="B3192" s="3" t="s">
        <v>3</v>
      </c>
      <c r="C3192" s="3" t="s">
        <v>4</v>
      </c>
      <c r="D3192" s="3" t="s">
        <v>5</v>
      </c>
      <c r="E3192" s="3" t="s">
        <v>6</v>
      </c>
      <c r="F3192" s="4" t="s">
        <v>7</v>
      </c>
      <c r="G3192" s="3" t="s">
        <v>8</v>
      </c>
      <c r="H3192" s="5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1:26" ht="26.25" x14ac:dyDescent="0.4">
      <c r="A3193" s="6">
        <v>1</v>
      </c>
      <c r="B3193" s="20" t="s">
        <v>247</v>
      </c>
      <c r="C3193" s="21" t="s">
        <v>773</v>
      </c>
      <c r="D3193" s="8" t="s">
        <v>11</v>
      </c>
      <c r="E3193" s="20">
        <v>3</v>
      </c>
      <c r="F3193" s="9">
        <v>293000</v>
      </c>
      <c r="G3193" s="10">
        <f t="shared" ref="G3193:G3195" si="211">IFERROR(E3193*F3193,0)</f>
        <v>879000</v>
      </c>
      <c r="H3193" s="11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1:26" ht="26.25" x14ac:dyDescent="0.4">
      <c r="A3194" s="6">
        <v>2</v>
      </c>
      <c r="B3194" s="22" t="s">
        <v>218</v>
      </c>
      <c r="C3194" s="23" t="s">
        <v>774</v>
      </c>
      <c r="D3194" s="13" t="s">
        <v>13</v>
      </c>
      <c r="E3194" s="22">
        <v>0.6</v>
      </c>
      <c r="F3194" s="14">
        <v>435000</v>
      </c>
      <c r="G3194" s="10">
        <f t="shared" si="211"/>
        <v>261000</v>
      </c>
      <c r="H3194" s="11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1:26" ht="26.25" x14ac:dyDescent="0.4">
      <c r="A3195" s="6">
        <v>3</v>
      </c>
      <c r="B3195" s="15" t="s">
        <v>14</v>
      </c>
      <c r="C3195" s="11"/>
      <c r="D3195" s="11"/>
      <c r="E3195" s="11"/>
      <c r="F3195" s="11"/>
      <c r="G3195" s="16">
        <f t="shared" si="211"/>
        <v>0</v>
      </c>
      <c r="H3195" s="11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1:26" ht="26.25" x14ac:dyDescent="0.4">
      <c r="A3196" s="29" t="s">
        <v>15</v>
      </c>
      <c r="B3196" s="26"/>
      <c r="C3196" s="26"/>
      <c r="D3196" s="26"/>
      <c r="E3196" s="26"/>
      <c r="F3196" s="26"/>
      <c r="G3196" s="27"/>
      <c r="H3196" s="17">
        <f>SUM(G3193:G3195)</f>
        <v>1140000</v>
      </c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1:26" ht="26.25" x14ac:dyDescent="0.4">
      <c r="A3197" s="29" t="s">
        <v>16</v>
      </c>
      <c r="B3197" s="26"/>
      <c r="C3197" s="26"/>
      <c r="D3197" s="26"/>
      <c r="E3197" s="26"/>
      <c r="F3197" s="26"/>
      <c r="G3197" s="27"/>
      <c r="H3197" s="17">
        <f>MAX(0,H3196-648000)</f>
        <v>492000</v>
      </c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1:26" ht="26.25" x14ac:dyDescent="0.4">
      <c r="A3198" s="25" t="s">
        <v>17</v>
      </c>
      <c r="B3198" s="26"/>
      <c r="C3198" s="26"/>
      <c r="D3198" s="26"/>
      <c r="E3198" s="26"/>
      <c r="F3198" s="26"/>
      <c r="G3198" s="27"/>
      <c r="H3198" s="18">
        <v>649000</v>
      </c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1:26" ht="26.25" x14ac:dyDescent="0.4">
      <c r="A3199" s="28" t="s">
        <v>18</v>
      </c>
      <c r="B3199" s="26"/>
      <c r="C3199" s="26"/>
      <c r="D3199" s="26"/>
      <c r="E3199" s="26"/>
      <c r="F3199" s="26"/>
      <c r="G3199" s="26"/>
      <c r="H3199" s="27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1:26" ht="12.75" x14ac:dyDescent="0.2"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1:26" ht="12.75" x14ac:dyDescent="0.2"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5" spans="1:26" ht="15.75" customHeight="1" x14ac:dyDescent="0.4">
      <c r="A3205" s="28" t="s">
        <v>0</v>
      </c>
      <c r="B3205" s="26"/>
      <c r="C3205" s="26"/>
      <c r="D3205" s="26"/>
      <c r="E3205" s="26"/>
      <c r="F3205" s="26"/>
      <c r="G3205" s="26"/>
      <c r="H3205" s="27"/>
    </row>
    <row r="3206" spans="1:26" ht="15.75" customHeight="1" x14ac:dyDescent="0.4">
      <c r="A3206" s="28" t="s">
        <v>775</v>
      </c>
      <c r="B3206" s="26"/>
      <c r="C3206" s="26"/>
      <c r="D3206" s="26"/>
      <c r="E3206" s="26"/>
      <c r="F3206" s="26"/>
      <c r="G3206" s="26"/>
      <c r="H3206" s="27"/>
    </row>
    <row r="3207" spans="1:26" ht="15.75" customHeight="1" x14ac:dyDescent="0.3">
      <c r="A3207" s="3" t="s">
        <v>2</v>
      </c>
      <c r="B3207" s="3" t="s">
        <v>3</v>
      </c>
      <c r="C3207" s="3" t="s">
        <v>4</v>
      </c>
      <c r="D3207" s="3" t="s">
        <v>5</v>
      </c>
      <c r="E3207" s="3" t="s">
        <v>6</v>
      </c>
      <c r="F3207" s="4" t="s">
        <v>7</v>
      </c>
      <c r="G3207" s="3" t="s">
        <v>8</v>
      </c>
      <c r="H3207" s="5"/>
    </row>
    <row r="3208" spans="1:26" ht="29.25" customHeight="1" x14ac:dyDescent="0.4">
      <c r="A3208" s="6">
        <v>1</v>
      </c>
      <c r="B3208" s="20" t="s">
        <v>776</v>
      </c>
      <c r="C3208" s="21" t="s">
        <v>777</v>
      </c>
      <c r="D3208" s="8" t="s">
        <v>11</v>
      </c>
      <c r="E3208" s="20">
        <v>2.14</v>
      </c>
      <c r="F3208" s="9">
        <v>293000</v>
      </c>
      <c r="G3208" s="10">
        <f t="shared" ref="G3208:G3210" si="212">IFERROR(E3208*F3208,0)</f>
        <v>627020</v>
      </c>
      <c r="H3208" s="11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1:26" ht="26.25" x14ac:dyDescent="0.4">
      <c r="A3209" s="6">
        <v>2</v>
      </c>
      <c r="B3209" s="22" t="s">
        <v>778</v>
      </c>
      <c r="C3209" s="23" t="s">
        <v>779</v>
      </c>
      <c r="D3209" s="13" t="s">
        <v>13</v>
      </c>
      <c r="E3209" s="22">
        <v>1.5</v>
      </c>
      <c r="F3209" s="14">
        <v>435000</v>
      </c>
      <c r="G3209" s="10">
        <f t="shared" si="212"/>
        <v>652500</v>
      </c>
      <c r="H3209" s="11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1:26" ht="26.25" x14ac:dyDescent="0.4">
      <c r="A3210" s="6">
        <v>3</v>
      </c>
      <c r="B3210" s="15" t="s">
        <v>14</v>
      </c>
      <c r="C3210" s="11"/>
      <c r="D3210" s="11"/>
      <c r="E3210" s="11"/>
      <c r="F3210" s="11"/>
      <c r="G3210" s="16">
        <f t="shared" si="212"/>
        <v>0</v>
      </c>
      <c r="H3210" s="11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1:26" ht="26.25" x14ac:dyDescent="0.4">
      <c r="A3211" s="29" t="s">
        <v>15</v>
      </c>
      <c r="B3211" s="26"/>
      <c r="C3211" s="26"/>
      <c r="D3211" s="26"/>
      <c r="E3211" s="26"/>
      <c r="F3211" s="26"/>
      <c r="G3211" s="27"/>
      <c r="H3211" s="17">
        <f>SUM(G3208:G3210)</f>
        <v>1279520</v>
      </c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1:26" ht="26.25" x14ac:dyDescent="0.4">
      <c r="A3212" s="29" t="s">
        <v>16</v>
      </c>
      <c r="B3212" s="26"/>
      <c r="C3212" s="26"/>
      <c r="D3212" s="26"/>
      <c r="E3212" s="26"/>
      <c r="F3212" s="26"/>
      <c r="G3212" s="27"/>
      <c r="H3212" s="17">
        <f>MAX(0,H3211-648000)</f>
        <v>631520</v>
      </c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1:26" ht="26.25" x14ac:dyDescent="0.4">
      <c r="A3213" s="25" t="s">
        <v>17</v>
      </c>
      <c r="B3213" s="26"/>
      <c r="C3213" s="26"/>
      <c r="D3213" s="26"/>
      <c r="E3213" s="26"/>
      <c r="F3213" s="26"/>
      <c r="G3213" s="27"/>
      <c r="H3213" s="18">
        <v>649000</v>
      </c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1:26" ht="26.25" x14ac:dyDescent="0.4">
      <c r="A3214" s="28" t="s">
        <v>18</v>
      </c>
      <c r="B3214" s="26"/>
      <c r="C3214" s="26"/>
      <c r="D3214" s="26"/>
      <c r="E3214" s="26"/>
      <c r="F3214" s="26"/>
      <c r="G3214" s="26"/>
      <c r="H3214" s="27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1:26" ht="12.75" x14ac:dyDescent="0.2"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1:26" ht="12.75" x14ac:dyDescent="0.2"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1:26" ht="12.75" x14ac:dyDescent="0.2"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21" spans="1:26" ht="15.75" customHeight="1" x14ac:dyDescent="0.4">
      <c r="A3221" s="28" t="s">
        <v>0</v>
      </c>
      <c r="B3221" s="26"/>
      <c r="C3221" s="26"/>
      <c r="D3221" s="26"/>
      <c r="E3221" s="26"/>
      <c r="F3221" s="26"/>
      <c r="G3221" s="26"/>
      <c r="H3221" s="27"/>
    </row>
    <row r="3222" spans="1:26" ht="15.75" customHeight="1" x14ac:dyDescent="0.4">
      <c r="A3222" s="28" t="s">
        <v>780</v>
      </c>
      <c r="B3222" s="26"/>
      <c r="C3222" s="26"/>
      <c r="D3222" s="26"/>
      <c r="E3222" s="26"/>
      <c r="F3222" s="26"/>
      <c r="G3222" s="26"/>
      <c r="H3222" s="27"/>
    </row>
    <row r="3223" spans="1:26" ht="15.75" customHeight="1" x14ac:dyDescent="0.3">
      <c r="A3223" s="3" t="s">
        <v>2</v>
      </c>
      <c r="B3223" s="3" t="s">
        <v>3</v>
      </c>
      <c r="C3223" s="3" t="s">
        <v>4</v>
      </c>
      <c r="D3223" s="3" t="s">
        <v>5</v>
      </c>
      <c r="E3223" s="3" t="s">
        <v>6</v>
      </c>
      <c r="F3223" s="4" t="s">
        <v>7</v>
      </c>
      <c r="G3223" s="3" t="s">
        <v>8</v>
      </c>
      <c r="H3223" s="5"/>
    </row>
    <row r="3224" spans="1:26" ht="29.25" customHeight="1" x14ac:dyDescent="0.4">
      <c r="A3224" s="6">
        <v>1</v>
      </c>
      <c r="B3224" s="20" t="s">
        <v>110</v>
      </c>
      <c r="C3224" s="21" t="s">
        <v>781</v>
      </c>
      <c r="D3224" s="8" t="s">
        <v>11</v>
      </c>
      <c r="E3224" s="20">
        <v>2.0299999999999998</v>
      </c>
      <c r="F3224" s="9">
        <v>293000</v>
      </c>
      <c r="G3224" s="10">
        <f t="shared" ref="G3224:G3226" si="213">IFERROR(E3224*F3224,0)</f>
        <v>594790</v>
      </c>
      <c r="H3224" s="11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1:26" ht="26.25" x14ac:dyDescent="0.4">
      <c r="A3225" s="6">
        <v>2</v>
      </c>
      <c r="B3225" s="22" t="s">
        <v>782</v>
      </c>
      <c r="C3225" s="23" t="s">
        <v>783</v>
      </c>
      <c r="D3225" s="13" t="s">
        <v>13</v>
      </c>
      <c r="E3225" s="22">
        <v>1.5</v>
      </c>
      <c r="F3225" s="14">
        <v>435000</v>
      </c>
      <c r="G3225" s="10">
        <f t="shared" si="213"/>
        <v>652500</v>
      </c>
      <c r="H3225" s="11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1:26" ht="26.25" x14ac:dyDescent="0.4">
      <c r="A3226" s="6">
        <v>3</v>
      </c>
      <c r="B3226" s="15" t="s">
        <v>14</v>
      </c>
      <c r="C3226" s="11"/>
      <c r="D3226" s="11"/>
      <c r="E3226" s="11"/>
      <c r="F3226" s="11"/>
      <c r="G3226" s="16">
        <f t="shared" si="213"/>
        <v>0</v>
      </c>
      <c r="H3226" s="11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1:26" ht="26.25" x14ac:dyDescent="0.4">
      <c r="A3227" s="29" t="s">
        <v>15</v>
      </c>
      <c r="B3227" s="26"/>
      <c r="C3227" s="26"/>
      <c r="D3227" s="26"/>
      <c r="E3227" s="26"/>
      <c r="F3227" s="26"/>
      <c r="G3227" s="27"/>
      <c r="H3227" s="17">
        <f>SUM(G3224:G3226)</f>
        <v>1247290</v>
      </c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1:26" ht="26.25" x14ac:dyDescent="0.4">
      <c r="A3228" s="29" t="s">
        <v>16</v>
      </c>
      <c r="B3228" s="26"/>
      <c r="C3228" s="26"/>
      <c r="D3228" s="26"/>
      <c r="E3228" s="26"/>
      <c r="F3228" s="26"/>
      <c r="G3228" s="27"/>
      <c r="H3228" s="17">
        <f>MAX(0,H3227-648000)</f>
        <v>599290</v>
      </c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1:26" ht="26.25" x14ac:dyDescent="0.4">
      <c r="A3229" s="25" t="s">
        <v>17</v>
      </c>
      <c r="B3229" s="26"/>
      <c r="C3229" s="26"/>
      <c r="D3229" s="26"/>
      <c r="E3229" s="26"/>
      <c r="F3229" s="26"/>
      <c r="G3229" s="27"/>
      <c r="H3229" s="18">
        <v>649000</v>
      </c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1:26" ht="26.25" x14ac:dyDescent="0.4">
      <c r="A3230" s="28" t="s">
        <v>18</v>
      </c>
      <c r="B3230" s="26"/>
      <c r="C3230" s="26"/>
      <c r="D3230" s="26"/>
      <c r="E3230" s="26"/>
      <c r="F3230" s="26"/>
      <c r="G3230" s="26"/>
      <c r="H3230" s="27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1:26" ht="12.75" x14ac:dyDescent="0.2"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1:26" ht="12.75" x14ac:dyDescent="0.2"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1:26" ht="12.75" x14ac:dyDescent="0.2"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7" spans="1:26" ht="15.75" customHeight="1" x14ac:dyDescent="0.4">
      <c r="A3237" s="28" t="s">
        <v>0</v>
      </c>
      <c r="B3237" s="26"/>
      <c r="C3237" s="26"/>
      <c r="D3237" s="26"/>
      <c r="E3237" s="26"/>
      <c r="F3237" s="26"/>
      <c r="G3237" s="26"/>
      <c r="H3237" s="27"/>
    </row>
    <row r="3238" spans="1:26" ht="15.75" customHeight="1" x14ac:dyDescent="0.4">
      <c r="A3238" s="28" t="s">
        <v>784</v>
      </c>
      <c r="B3238" s="26"/>
      <c r="C3238" s="26"/>
      <c r="D3238" s="26"/>
      <c r="E3238" s="26"/>
      <c r="F3238" s="26"/>
      <c r="G3238" s="26"/>
      <c r="H3238" s="27"/>
    </row>
    <row r="3239" spans="1:26" ht="29.25" customHeight="1" x14ac:dyDescent="0.3">
      <c r="A3239" s="3" t="s">
        <v>2</v>
      </c>
      <c r="B3239" s="3" t="s">
        <v>3</v>
      </c>
      <c r="C3239" s="3" t="s">
        <v>4</v>
      </c>
      <c r="D3239" s="3" t="s">
        <v>5</v>
      </c>
      <c r="E3239" s="3" t="s">
        <v>6</v>
      </c>
      <c r="F3239" s="4" t="s">
        <v>7</v>
      </c>
      <c r="G3239" s="3" t="s">
        <v>8</v>
      </c>
      <c r="H3239" s="5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1:26" ht="26.25" x14ac:dyDescent="0.4">
      <c r="A3240" s="6">
        <v>1</v>
      </c>
      <c r="B3240" s="20" t="s">
        <v>243</v>
      </c>
      <c r="C3240" s="21" t="s">
        <v>785</v>
      </c>
      <c r="D3240" s="8" t="s">
        <v>11</v>
      </c>
      <c r="E3240" s="20">
        <v>3</v>
      </c>
      <c r="F3240" s="9">
        <v>293000</v>
      </c>
      <c r="G3240" s="10">
        <f t="shared" ref="G3240:G3242" si="214">IFERROR(E3240*F3240,0)</f>
        <v>879000</v>
      </c>
      <c r="H3240" s="11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1:26" ht="26.25" x14ac:dyDescent="0.4">
      <c r="A3241" s="6">
        <v>2</v>
      </c>
      <c r="B3241" s="22" t="s">
        <v>36</v>
      </c>
      <c r="C3241" s="23" t="s">
        <v>786</v>
      </c>
      <c r="D3241" s="13" t="s">
        <v>13</v>
      </c>
      <c r="E3241" s="22">
        <v>0.69</v>
      </c>
      <c r="F3241" s="14">
        <v>435000</v>
      </c>
      <c r="G3241" s="10">
        <f t="shared" si="214"/>
        <v>300150</v>
      </c>
      <c r="H3241" s="11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1:26" ht="26.25" x14ac:dyDescent="0.4">
      <c r="A3242" s="6">
        <v>3</v>
      </c>
      <c r="B3242" s="15" t="s">
        <v>14</v>
      </c>
      <c r="C3242" s="11"/>
      <c r="D3242" s="11"/>
      <c r="E3242" s="11"/>
      <c r="F3242" s="11"/>
      <c r="G3242" s="16">
        <f t="shared" si="214"/>
        <v>0</v>
      </c>
      <c r="H3242" s="11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1:26" ht="26.25" x14ac:dyDescent="0.4">
      <c r="A3243" s="29" t="s">
        <v>15</v>
      </c>
      <c r="B3243" s="26"/>
      <c r="C3243" s="26"/>
      <c r="D3243" s="26"/>
      <c r="E3243" s="26"/>
      <c r="F3243" s="26"/>
      <c r="G3243" s="27"/>
      <c r="H3243" s="17">
        <f>SUM(G3240:G3242)</f>
        <v>1179150</v>
      </c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1:26" ht="26.25" x14ac:dyDescent="0.4">
      <c r="A3244" s="29" t="s">
        <v>16</v>
      </c>
      <c r="B3244" s="26"/>
      <c r="C3244" s="26"/>
      <c r="D3244" s="26"/>
      <c r="E3244" s="26"/>
      <c r="F3244" s="26"/>
      <c r="G3244" s="27"/>
      <c r="H3244" s="17">
        <f>MAX(0,H3243-648000)</f>
        <v>531150</v>
      </c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1:26" ht="26.25" x14ac:dyDescent="0.4">
      <c r="A3245" s="25" t="s">
        <v>17</v>
      </c>
      <c r="B3245" s="26"/>
      <c r="C3245" s="26"/>
      <c r="D3245" s="26"/>
      <c r="E3245" s="26"/>
      <c r="F3245" s="26"/>
      <c r="G3245" s="27"/>
      <c r="H3245" s="18">
        <v>649000</v>
      </c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1:26" ht="26.25" x14ac:dyDescent="0.4">
      <c r="A3246" s="28" t="s">
        <v>18</v>
      </c>
      <c r="B3246" s="26"/>
      <c r="C3246" s="26"/>
      <c r="D3246" s="26"/>
      <c r="E3246" s="26"/>
      <c r="F3246" s="26"/>
      <c r="G3246" s="26"/>
      <c r="H3246" s="27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1:26" ht="12.75" x14ac:dyDescent="0.2"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1:26" ht="12.75" x14ac:dyDescent="0.2"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52" spans="1:26" ht="15.75" customHeight="1" x14ac:dyDescent="0.4">
      <c r="A3252" s="28" t="s">
        <v>0</v>
      </c>
      <c r="B3252" s="26"/>
      <c r="C3252" s="26"/>
      <c r="D3252" s="26"/>
      <c r="E3252" s="26"/>
      <c r="F3252" s="26"/>
      <c r="G3252" s="26"/>
      <c r="H3252" s="27"/>
    </row>
    <row r="3253" spans="1:26" ht="15.75" customHeight="1" x14ac:dyDescent="0.4">
      <c r="A3253" s="28" t="s">
        <v>787</v>
      </c>
      <c r="B3253" s="26"/>
      <c r="C3253" s="26"/>
      <c r="D3253" s="26"/>
      <c r="E3253" s="26"/>
      <c r="F3253" s="26"/>
      <c r="G3253" s="26"/>
      <c r="H3253" s="27"/>
    </row>
    <row r="3254" spans="1:26" ht="29.25" customHeight="1" x14ac:dyDescent="0.3">
      <c r="A3254" s="3" t="s">
        <v>2</v>
      </c>
      <c r="B3254" s="3" t="s">
        <v>3</v>
      </c>
      <c r="C3254" s="3" t="s">
        <v>4</v>
      </c>
      <c r="D3254" s="3" t="s">
        <v>5</v>
      </c>
      <c r="E3254" s="3" t="s">
        <v>6</v>
      </c>
      <c r="F3254" s="4" t="s">
        <v>7</v>
      </c>
      <c r="G3254" s="3" t="s">
        <v>8</v>
      </c>
      <c r="H3254" s="5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1:26" ht="26.25" x14ac:dyDescent="0.4">
      <c r="A3255" s="6">
        <v>1</v>
      </c>
      <c r="B3255" s="20" t="s">
        <v>41</v>
      </c>
      <c r="C3255" s="21" t="s">
        <v>788</v>
      </c>
      <c r="D3255" s="8" t="s">
        <v>11</v>
      </c>
      <c r="E3255" s="20">
        <v>2.61</v>
      </c>
      <c r="F3255" s="9">
        <v>293000</v>
      </c>
      <c r="G3255" s="10">
        <f t="shared" ref="G3255:G3257" si="215">IFERROR(E3255*F3255,0)</f>
        <v>764730</v>
      </c>
      <c r="H3255" s="11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1:26" ht="26.25" x14ac:dyDescent="0.4">
      <c r="A3256" s="6">
        <v>2</v>
      </c>
      <c r="B3256" s="22" t="s">
        <v>118</v>
      </c>
      <c r="C3256" s="23" t="s">
        <v>789</v>
      </c>
      <c r="D3256" s="13" t="s">
        <v>13</v>
      </c>
      <c r="E3256" s="22">
        <v>1</v>
      </c>
      <c r="F3256" s="14">
        <v>435000</v>
      </c>
      <c r="G3256" s="10">
        <f t="shared" si="215"/>
        <v>435000</v>
      </c>
      <c r="H3256" s="11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1:26" ht="26.25" x14ac:dyDescent="0.4">
      <c r="A3257" s="6">
        <v>3</v>
      </c>
      <c r="B3257" s="15" t="s">
        <v>14</v>
      </c>
      <c r="C3257" s="11"/>
      <c r="D3257" s="11"/>
      <c r="E3257" s="11"/>
      <c r="F3257" s="11"/>
      <c r="G3257" s="16">
        <f t="shared" si="215"/>
        <v>0</v>
      </c>
      <c r="H3257" s="11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1:26" ht="26.25" x14ac:dyDescent="0.4">
      <c r="A3258" s="29" t="s">
        <v>15</v>
      </c>
      <c r="B3258" s="26"/>
      <c r="C3258" s="26"/>
      <c r="D3258" s="26"/>
      <c r="E3258" s="26"/>
      <c r="F3258" s="26"/>
      <c r="G3258" s="27"/>
      <c r="H3258" s="17">
        <f>SUM(G3255:G3257)</f>
        <v>1199730</v>
      </c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1:26" ht="26.25" x14ac:dyDescent="0.4">
      <c r="A3259" s="29" t="s">
        <v>16</v>
      </c>
      <c r="B3259" s="26"/>
      <c r="C3259" s="26"/>
      <c r="D3259" s="26"/>
      <c r="E3259" s="26"/>
      <c r="F3259" s="26"/>
      <c r="G3259" s="27"/>
      <c r="H3259" s="17">
        <f>MAX(0,H3258-648000)</f>
        <v>551730</v>
      </c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1:26" ht="26.25" x14ac:dyDescent="0.4">
      <c r="A3260" s="25" t="s">
        <v>17</v>
      </c>
      <c r="B3260" s="26"/>
      <c r="C3260" s="26"/>
      <c r="D3260" s="26"/>
      <c r="E3260" s="26"/>
      <c r="F3260" s="26"/>
      <c r="G3260" s="27"/>
      <c r="H3260" s="18">
        <v>649000</v>
      </c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1:26" ht="26.25" x14ac:dyDescent="0.4">
      <c r="A3261" s="28" t="s">
        <v>18</v>
      </c>
      <c r="B3261" s="26"/>
      <c r="C3261" s="26"/>
      <c r="D3261" s="26"/>
      <c r="E3261" s="26"/>
      <c r="F3261" s="26"/>
      <c r="G3261" s="26"/>
      <c r="H3261" s="27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1:26" ht="12.75" x14ac:dyDescent="0.2"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1:26" ht="12.75" x14ac:dyDescent="0.2"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7" spans="1:26" ht="15.75" customHeight="1" x14ac:dyDescent="0.4">
      <c r="A3267" s="28" t="s">
        <v>0</v>
      </c>
      <c r="B3267" s="26"/>
      <c r="C3267" s="26"/>
      <c r="D3267" s="26"/>
      <c r="E3267" s="26"/>
      <c r="F3267" s="26"/>
      <c r="G3267" s="26"/>
      <c r="H3267" s="27"/>
    </row>
    <row r="3268" spans="1:26" ht="15.75" customHeight="1" x14ac:dyDescent="0.4">
      <c r="A3268" s="28" t="s">
        <v>790</v>
      </c>
      <c r="B3268" s="26"/>
      <c r="C3268" s="26"/>
      <c r="D3268" s="26"/>
      <c r="E3268" s="26"/>
      <c r="F3268" s="26"/>
      <c r="G3268" s="26"/>
      <c r="H3268" s="27"/>
    </row>
    <row r="3269" spans="1:26" ht="29.25" customHeight="1" x14ac:dyDescent="0.3">
      <c r="A3269" s="3" t="s">
        <v>2</v>
      </c>
      <c r="B3269" s="3" t="s">
        <v>3</v>
      </c>
      <c r="C3269" s="3" t="s">
        <v>4</v>
      </c>
      <c r="D3269" s="3" t="s">
        <v>5</v>
      </c>
      <c r="E3269" s="3" t="s">
        <v>6</v>
      </c>
      <c r="F3269" s="4" t="s">
        <v>7</v>
      </c>
      <c r="G3269" s="3" t="s">
        <v>8</v>
      </c>
      <c r="H3269" s="5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1:26" ht="26.25" x14ac:dyDescent="0.4">
      <c r="A3270" s="6">
        <v>1</v>
      </c>
      <c r="B3270" s="20" t="s">
        <v>652</v>
      </c>
      <c r="C3270" s="21" t="s">
        <v>791</v>
      </c>
      <c r="D3270" s="8" t="s">
        <v>11</v>
      </c>
      <c r="E3270" s="20">
        <v>2.5</v>
      </c>
      <c r="F3270" s="9">
        <v>293000</v>
      </c>
      <c r="G3270" s="10">
        <f t="shared" ref="G3270:G3272" si="216">IFERROR(E3270*F3270,0)</f>
        <v>732500</v>
      </c>
      <c r="H3270" s="11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1:26" ht="26.25" x14ac:dyDescent="0.4">
      <c r="A3271" s="6">
        <v>2</v>
      </c>
      <c r="B3271" s="22" t="s">
        <v>175</v>
      </c>
      <c r="C3271" s="23" t="s">
        <v>792</v>
      </c>
      <c r="D3271" s="13" t="s">
        <v>13</v>
      </c>
      <c r="E3271" s="22">
        <v>1.1000000000000001</v>
      </c>
      <c r="F3271" s="14">
        <v>435000</v>
      </c>
      <c r="G3271" s="10">
        <f t="shared" si="216"/>
        <v>478500.00000000006</v>
      </c>
      <c r="H3271" s="11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1:26" ht="26.25" x14ac:dyDescent="0.4">
      <c r="A3272" s="6">
        <v>3</v>
      </c>
      <c r="B3272" s="15" t="s">
        <v>14</v>
      </c>
      <c r="C3272" s="11"/>
      <c r="D3272" s="11"/>
      <c r="E3272" s="11"/>
      <c r="F3272" s="11"/>
      <c r="G3272" s="16">
        <f t="shared" si="216"/>
        <v>0</v>
      </c>
      <c r="H3272" s="11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1:26" ht="26.25" x14ac:dyDescent="0.4">
      <c r="A3273" s="29" t="s">
        <v>15</v>
      </c>
      <c r="B3273" s="26"/>
      <c r="C3273" s="26"/>
      <c r="D3273" s="26"/>
      <c r="E3273" s="26"/>
      <c r="F3273" s="26"/>
      <c r="G3273" s="27"/>
      <c r="H3273" s="17">
        <f>SUM(G3270:G3272)</f>
        <v>1211000</v>
      </c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1:26" ht="26.25" x14ac:dyDescent="0.4">
      <c r="A3274" s="29" t="s">
        <v>16</v>
      </c>
      <c r="B3274" s="26"/>
      <c r="C3274" s="26"/>
      <c r="D3274" s="26"/>
      <c r="E3274" s="26"/>
      <c r="F3274" s="26"/>
      <c r="G3274" s="27"/>
      <c r="H3274" s="17">
        <f>MAX(0,H3273-648000)</f>
        <v>563000</v>
      </c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1:26" ht="26.25" x14ac:dyDescent="0.4">
      <c r="A3275" s="25" t="s">
        <v>17</v>
      </c>
      <c r="B3275" s="26"/>
      <c r="C3275" s="26"/>
      <c r="D3275" s="26"/>
      <c r="E3275" s="26"/>
      <c r="F3275" s="26"/>
      <c r="G3275" s="27"/>
      <c r="H3275" s="18">
        <v>649000</v>
      </c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1:26" ht="26.25" x14ac:dyDescent="0.4">
      <c r="A3276" s="28" t="s">
        <v>18</v>
      </c>
      <c r="B3276" s="26"/>
      <c r="C3276" s="26"/>
      <c r="D3276" s="26"/>
      <c r="E3276" s="26"/>
      <c r="F3276" s="26"/>
      <c r="G3276" s="26"/>
      <c r="H3276" s="27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1:26" ht="12.75" x14ac:dyDescent="0.2"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1:26" ht="12.75" x14ac:dyDescent="0.2"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82" spans="1:26" ht="15.75" customHeight="1" x14ac:dyDescent="0.4">
      <c r="A3282" s="28" t="s">
        <v>0</v>
      </c>
      <c r="B3282" s="26"/>
      <c r="C3282" s="26"/>
      <c r="D3282" s="26"/>
      <c r="E3282" s="26"/>
      <c r="F3282" s="26"/>
      <c r="G3282" s="26"/>
      <c r="H3282" s="27"/>
    </row>
    <row r="3283" spans="1:26" ht="15.75" customHeight="1" x14ac:dyDescent="0.4">
      <c r="A3283" s="28" t="s">
        <v>793</v>
      </c>
      <c r="B3283" s="26"/>
      <c r="C3283" s="26"/>
      <c r="D3283" s="26"/>
      <c r="E3283" s="26"/>
      <c r="F3283" s="26"/>
      <c r="G3283" s="26"/>
      <c r="H3283" s="27"/>
    </row>
    <row r="3284" spans="1:26" ht="29.25" customHeight="1" x14ac:dyDescent="0.3">
      <c r="A3284" s="3" t="s">
        <v>2</v>
      </c>
      <c r="B3284" s="3" t="s">
        <v>3</v>
      </c>
      <c r="C3284" s="3" t="s">
        <v>4</v>
      </c>
      <c r="D3284" s="3" t="s">
        <v>5</v>
      </c>
      <c r="E3284" s="3" t="s">
        <v>6</v>
      </c>
      <c r="F3284" s="4" t="s">
        <v>7</v>
      </c>
      <c r="G3284" s="3" t="s">
        <v>8</v>
      </c>
      <c r="H3284" s="5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1:26" ht="26.25" x14ac:dyDescent="0.4">
      <c r="A3285" s="6">
        <v>1</v>
      </c>
      <c r="B3285" s="20" t="s">
        <v>794</v>
      </c>
      <c r="C3285" s="21" t="s">
        <v>795</v>
      </c>
      <c r="D3285" s="8" t="s">
        <v>11</v>
      </c>
      <c r="E3285" s="20">
        <v>2.62</v>
      </c>
      <c r="F3285" s="9">
        <v>293000</v>
      </c>
      <c r="G3285" s="10">
        <f t="shared" ref="G3285:G3287" si="217">IFERROR(E3285*F3285,0)</f>
        <v>767660</v>
      </c>
      <c r="H3285" s="11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1:26" ht="26.25" x14ac:dyDescent="0.4">
      <c r="A3286" s="6">
        <v>2</v>
      </c>
      <c r="B3286" s="22" t="s">
        <v>12</v>
      </c>
      <c r="C3286" s="23" t="s">
        <v>796</v>
      </c>
      <c r="D3286" s="13" t="s">
        <v>13</v>
      </c>
      <c r="E3286" s="22">
        <v>1</v>
      </c>
      <c r="F3286" s="14">
        <v>435000</v>
      </c>
      <c r="G3286" s="10">
        <f t="shared" si="217"/>
        <v>435000</v>
      </c>
      <c r="H3286" s="11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1:26" ht="26.25" x14ac:dyDescent="0.4">
      <c r="A3287" s="6">
        <v>3</v>
      </c>
      <c r="B3287" s="15" t="s">
        <v>14</v>
      </c>
      <c r="C3287" s="11"/>
      <c r="D3287" s="11"/>
      <c r="E3287" s="11"/>
      <c r="F3287" s="11"/>
      <c r="G3287" s="16">
        <f t="shared" si="217"/>
        <v>0</v>
      </c>
      <c r="H3287" s="11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1:26" ht="26.25" x14ac:dyDescent="0.4">
      <c r="A3288" s="29" t="s">
        <v>15</v>
      </c>
      <c r="B3288" s="26"/>
      <c r="C3288" s="26"/>
      <c r="D3288" s="26"/>
      <c r="E3288" s="26"/>
      <c r="F3288" s="26"/>
      <c r="G3288" s="27"/>
      <c r="H3288" s="17">
        <f>SUM(G3285:G3287)</f>
        <v>1202660</v>
      </c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1:26" ht="26.25" x14ac:dyDescent="0.4">
      <c r="A3289" s="29" t="s">
        <v>16</v>
      </c>
      <c r="B3289" s="26"/>
      <c r="C3289" s="26"/>
      <c r="D3289" s="26"/>
      <c r="E3289" s="26"/>
      <c r="F3289" s="26"/>
      <c r="G3289" s="27"/>
      <c r="H3289" s="17">
        <f>MAX(0,H3288-648000)</f>
        <v>554660</v>
      </c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1:26" ht="26.25" x14ac:dyDescent="0.4">
      <c r="A3290" s="25" t="s">
        <v>17</v>
      </c>
      <c r="B3290" s="26"/>
      <c r="C3290" s="26"/>
      <c r="D3290" s="26"/>
      <c r="E3290" s="26"/>
      <c r="F3290" s="26"/>
      <c r="G3290" s="27"/>
      <c r="H3290" s="18">
        <v>649000</v>
      </c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1:26" ht="26.25" x14ac:dyDescent="0.4">
      <c r="A3291" s="28" t="s">
        <v>18</v>
      </c>
      <c r="B3291" s="26"/>
      <c r="C3291" s="26"/>
      <c r="D3291" s="26"/>
      <c r="E3291" s="26"/>
      <c r="F3291" s="26"/>
      <c r="G3291" s="26"/>
      <c r="H3291" s="27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1:26" ht="12.75" x14ac:dyDescent="0.2"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1:26" ht="12.75" x14ac:dyDescent="0.2"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7" spans="1:26" ht="15.75" customHeight="1" x14ac:dyDescent="0.4">
      <c r="A3297" s="28" t="s">
        <v>0</v>
      </c>
      <c r="B3297" s="26"/>
      <c r="C3297" s="26"/>
      <c r="D3297" s="26"/>
      <c r="E3297" s="26"/>
      <c r="F3297" s="26"/>
      <c r="G3297" s="26"/>
      <c r="H3297" s="27"/>
    </row>
    <row r="3298" spans="1:26" ht="29.25" customHeight="1" x14ac:dyDescent="0.4">
      <c r="A3298" s="28" t="s">
        <v>797</v>
      </c>
      <c r="B3298" s="26"/>
      <c r="C3298" s="26"/>
      <c r="D3298" s="26"/>
      <c r="E3298" s="26"/>
      <c r="F3298" s="26"/>
      <c r="G3298" s="26"/>
      <c r="H3298" s="27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1:26" ht="18.75" x14ac:dyDescent="0.3">
      <c r="A3299" s="3" t="s">
        <v>2</v>
      </c>
      <c r="B3299" s="3" t="s">
        <v>3</v>
      </c>
      <c r="C3299" s="3" t="s">
        <v>4</v>
      </c>
      <c r="D3299" s="3" t="s">
        <v>5</v>
      </c>
      <c r="E3299" s="3" t="s">
        <v>6</v>
      </c>
      <c r="F3299" s="4" t="s">
        <v>7</v>
      </c>
      <c r="G3299" s="3" t="s">
        <v>8</v>
      </c>
      <c r="H3299" s="5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1:26" ht="26.25" x14ac:dyDescent="0.4">
      <c r="A3300" s="6">
        <v>1</v>
      </c>
      <c r="B3300" s="20" t="s">
        <v>310</v>
      </c>
      <c r="C3300" s="21" t="s">
        <v>798</v>
      </c>
      <c r="D3300" s="8" t="s">
        <v>11</v>
      </c>
      <c r="E3300" s="20">
        <v>2.0499999999999998</v>
      </c>
      <c r="F3300" s="9">
        <v>293000</v>
      </c>
      <c r="G3300" s="10">
        <f t="shared" ref="G3300:G3302" si="218">IFERROR(E3300*F3300,0)</f>
        <v>600650</v>
      </c>
      <c r="H3300" s="11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1:26" ht="26.25" x14ac:dyDescent="0.4">
      <c r="A3301" s="6">
        <v>2</v>
      </c>
      <c r="B3301" s="22" t="s">
        <v>98</v>
      </c>
      <c r="C3301" s="23" t="s">
        <v>799</v>
      </c>
      <c r="D3301" s="13" t="s">
        <v>13</v>
      </c>
      <c r="E3301" s="22">
        <v>1.5</v>
      </c>
      <c r="F3301" s="14">
        <v>435000</v>
      </c>
      <c r="G3301" s="10">
        <f t="shared" si="218"/>
        <v>652500</v>
      </c>
      <c r="H3301" s="11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1:26" ht="26.25" x14ac:dyDescent="0.4">
      <c r="A3302" s="6">
        <v>3</v>
      </c>
      <c r="B3302" s="15" t="s">
        <v>14</v>
      </c>
      <c r="C3302" s="11"/>
      <c r="D3302" s="11"/>
      <c r="E3302" s="11"/>
      <c r="F3302" s="11"/>
      <c r="G3302" s="16">
        <f t="shared" si="218"/>
        <v>0</v>
      </c>
      <c r="H3302" s="11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1:26" ht="26.25" x14ac:dyDescent="0.4">
      <c r="A3303" s="29" t="s">
        <v>15</v>
      </c>
      <c r="B3303" s="26"/>
      <c r="C3303" s="26"/>
      <c r="D3303" s="26"/>
      <c r="E3303" s="26"/>
      <c r="F3303" s="26"/>
      <c r="G3303" s="27"/>
      <c r="H3303" s="17">
        <f>SUM(G3300:G3302)</f>
        <v>1253150</v>
      </c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1:26" ht="26.25" x14ac:dyDescent="0.4">
      <c r="A3304" s="29" t="s">
        <v>16</v>
      </c>
      <c r="B3304" s="26"/>
      <c r="C3304" s="26"/>
      <c r="D3304" s="26"/>
      <c r="E3304" s="26"/>
      <c r="F3304" s="26"/>
      <c r="G3304" s="27"/>
      <c r="H3304" s="17">
        <f>MAX(0,H3303-648000)</f>
        <v>605150</v>
      </c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1:26" ht="26.25" x14ac:dyDescent="0.4">
      <c r="A3305" s="25" t="s">
        <v>17</v>
      </c>
      <c r="B3305" s="26"/>
      <c r="C3305" s="26"/>
      <c r="D3305" s="26"/>
      <c r="E3305" s="26"/>
      <c r="F3305" s="26"/>
      <c r="G3305" s="27"/>
      <c r="H3305" s="18">
        <v>649000</v>
      </c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1:26" ht="26.25" x14ac:dyDescent="0.4">
      <c r="A3306" s="28" t="s">
        <v>18</v>
      </c>
      <c r="B3306" s="26"/>
      <c r="C3306" s="26"/>
      <c r="D3306" s="26"/>
      <c r="E3306" s="26"/>
      <c r="F3306" s="26"/>
      <c r="G3306" s="26"/>
      <c r="H3306" s="27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1:26" ht="12.75" x14ac:dyDescent="0.2"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11" spans="1:26" ht="15.75" customHeight="1" x14ac:dyDescent="0.4">
      <c r="A3311" s="28" t="s">
        <v>0</v>
      </c>
      <c r="B3311" s="26"/>
      <c r="C3311" s="26"/>
      <c r="D3311" s="26"/>
      <c r="E3311" s="26"/>
      <c r="F3311" s="26"/>
      <c r="G3311" s="26"/>
      <c r="H3311" s="27"/>
    </row>
    <row r="3312" spans="1:26" ht="29.25" customHeight="1" x14ac:dyDescent="0.4">
      <c r="A3312" s="28" t="s">
        <v>800</v>
      </c>
      <c r="B3312" s="26"/>
      <c r="C3312" s="26"/>
      <c r="D3312" s="26"/>
      <c r="E3312" s="26"/>
      <c r="F3312" s="26"/>
      <c r="G3312" s="26"/>
      <c r="H3312" s="27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1:26" ht="18.75" x14ac:dyDescent="0.3">
      <c r="A3313" s="3" t="s">
        <v>2</v>
      </c>
      <c r="B3313" s="3" t="s">
        <v>3</v>
      </c>
      <c r="C3313" s="3" t="s">
        <v>4</v>
      </c>
      <c r="D3313" s="3" t="s">
        <v>5</v>
      </c>
      <c r="E3313" s="3" t="s">
        <v>6</v>
      </c>
      <c r="F3313" s="4" t="s">
        <v>7</v>
      </c>
      <c r="G3313" s="3" t="s">
        <v>8</v>
      </c>
      <c r="H3313" s="5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1:26" ht="26.25" x14ac:dyDescent="0.4">
      <c r="A3314" s="6">
        <v>1</v>
      </c>
      <c r="B3314" s="20" t="s">
        <v>12</v>
      </c>
      <c r="C3314" s="21" t="s">
        <v>801</v>
      </c>
      <c r="D3314" s="8" t="s">
        <v>11</v>
      </c>
      <c r="E3314" s="20">
        <v>3</v>
      </c>
      <c r="F3314" s="9">
        <v>293000</v>
      </c>
      <c r="G3314" s="10">
        <f t="shared" ref="G3314:G3316" si="219">IFERROR(E3314*F3314,0)</f>
        <v>879000</v>
      </c>
      <c r="H3314" s="11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1:26" ht="26.25" x14ac:dyDescent="0.4">
      <c r="A3315" s="6">
        <v>2</v>
      </c>
      <c r="B3315" s="22" t="s">
        <v>175</v>
      </c>
      <c r="C3315" s="23" t="s">
        <v>802</v>
      </c>
      <c r="D3315" s="13" t="s">
        <v>13</v>
      </c>
      <c r="E3315" s="22">
        <v>0.68</v>
      </c>
      <c r="F3315" s="14">
        <v>435000</v>
      </c>
      <c r="G3315" s="10">
        <f t="shared" si="219"/>
        <v>295800</v>
      </c>
      <c r="H3315" s="11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1:26" ht="26.25" x14ac:dyDescent="0.4">
      <c r="A3316" s="6">
        <v>3</v>
      </c>
      <c r="B3316" s="15" t="s">
        <v>14</v>
      </c>
      <c r="C3316" s="11"/>
      <c r="D3316" s="11"/>
      <c r="E3316" s="11"/>
      <c r="F3316" s="11"/>
      <c r="G3316" s="16">
        <f t="shared" si="219"/>
        <v>0</v>
      </c>
      <c r="H3316" s="11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1:26" ht="26.25" x14ac:dyDescent="0.4">
      <c r="A3317" s="29" t="s">
        <v>15</v>
      </c>
      <c r="B3317" s="26"/>
      <c r="C3317" s="26"/>
      <c r="D3317" s="26"/>
      <c r="E3317" s="26"/>
      <c r="F3317" s="26"/>
      <c r="G3317" s="27"/>
      <c r="H3317" s="17">
        <f>SUM(G3314:G3316)</f>
        <v>1174800</v>
      </c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1:26" ht="26.25" x14ac:dyDescent="0.4">
      <c r="A3318" s="29" t="s">
        <v>16</v>
      </c>
      <c r="B3318" s="26"/>
      <c r="C3318" s="26"/>
      <c r="D3318" s="26"/>
      <c r="E3318" s="26"/>
      <c r="F3318" s="26"/>
      <c r="G3318" s="27"/>
      <c r="H3318" s="17">
        <f>MAX(0,H3317-648000)</f>
        <v>526800</v>
      </c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1:26" ht="26.25" x14ac:dyDescent="0.4">
      <c r="A3319" s="25" t="s">
        <v>17</v>
      </c>
      <c r="B3319" s="26"/>
      <c r="C3319" s="26"/>
      <c r="D3319" s="26"/>
      <c r="E3319" s="26"/>
      <c r="F3319" s="26"/>
      <c r="G3319" s="27"/>
      <c r="H3319" s="18">
        <v>649000</v>
      </c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1:26" ht="26.25" x14ac:dyDescent="0.4">
      <c r="A3320" s="28" t="s">
        <v>18</v>
      </c>
      <c r="B3320" s="26"/>
      <c r="C3320" s="26"/>
      <c r="D3320" s="26"/>
      <c r="E3320" s="26"/>
      <c r="F3320" s="26"/>
      <c r="G3320" s="26"/>
      <c r="H3320" s="27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1:26" ht="12.75" x14ac:dyDescent="0.2"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5" spans="1:26" ht="15.75" customHeight="1" x14ac:dyDescent="0.4">
      <c r="A3325" s="28" t="s">
        <v>0</v>
      </c>
      <c r="B3325" s="26"/>
      <c r="C3325" s="26"/>
      <c r="D3325" s="26"/>
      <c r="E3325" s="26"/>
      <c r="F3325" s="26"/>
      <c r="G3325" s="26"/>
      <c r="H3325" s="27"/>
    </row>
    <row r="3326" spans="1:26" ht="15.75" customHeight="1" x14ac:dyDescent="0.4">
      <c r="A3326" s="28" t="s">
        <v>803</v>
      </c>
      <c r="B3326" s="26"/>
      <c r="C3326" s="26"/>
      <c r="D3326" s="26"/>
      <c r="E3326" s="26"/>
      <c r="F3326" s="26"/>
      <c r="G3326" s="26"/>
      <c r="H3326" s="27"/>
    </row>
    <row r="3327" spans="1:26" ht="29.25" customHeight="1" x14ac:dyDescent="0.3">
      <c r="A3327" s="3" t="s">
        <v>2</v>
      </c>
      <c r="B3327" s="3" t="s">
        <v>3</v>
      </c>
      <c r="C3327" s="3" t="s">
        <v>4</v>
      </c>
      <c r="D3327" s="3" t="s">
        <v>5</v>
      </c>
      <c r="E3327" s="3" t="s">
        <v>6</v>
      </c>
      <c r="F3327" s="4" t="s">
        <v>7</v>
      </c>
      <c r="G3327" s="3" t="s">
        <v>8</v>
      </c>
      <c r="H3327" s="5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1:26" ht="26.25" x14ac:dyDescent="0.4">
      <c r="A3328" s="6">
        <v>1</v>
      </c>
      <c r="B3328" s="20" t="s">
        <v>804</v>
      </c>
      <c r="C3328" s="21" t="s">
        <v>805</v>
      </c>
      <c r="D3328" s="8" t="s">
        <v>11</v>
      </c>
      <c r="E3328" s="20">
        <v>1.7</v>
      </c>
      <c r="F3328" s="9">
        <v>293000</v>
      </c>
      <c r="G3328" s="10">
        <f t="shared" ref="G3328:G3330" si="220">IFERROR(E3328*F3328,0)</f>
        <v>498100</v>
      </c>
      <c r="H3328" s="11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1:26" ht="26.25" x14ac:dyDescent="0.4">
      <c r="A3329" s="6">
        <v>2</v>
      </c>
      <c r="B3329" s="22" t="s">
        <v>12</v>
      </c>
      <c r="C3329" s="23" t="s">
        <v>806</v>
      </c>
      <c r="D3329" s="13" t="s">
        <v>13</v>
      </c>
      <c r="E3329" s="22">
        <v>1.85</v>
      </c>
      <c r="F3329" s="14">
        <v>435000</v>
      </c>
      <c r="G3329" s="10">
        <f t="shared" si="220"/>
        <v>804750</v>
      </c>
      <c r="H3329" s="11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1:26" ht="26.25" x14ac:dyDescent="0.4">
      <c r="A3330" s="6">
        <v>3</v>
      </c>
      <c r="B3330" s="15" t="s">
        <v>14</v>
      </c>
      <c r="C3330" s="11"/>
      <c r="D3330" s="11"/>
      <c r="E3330" s="11"/>
      <c r="F3330" s="11"/>
      <c r="G3330" s="16">
        <f t="shared" si="220"/>
        <v>0</v>
      </c>
      <c r="H3330" s="11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1:26" ht="26.25" x14ac:dyDescent="0.4">
      <c r="A3331" s="29" t="s">
        <v>15</v>
      </c>
      <c r="B3331" s="26"/>
      <c r="C3331" s="26"/>
      <c r="D3331" s="26"/>
      <c r="E3331" s="26"/>
      <c r="F3331" s="26"/>
      <c r="G3331" s="27"/>
      <c r="H3331" s="17">
        <f>SUM(G3328:G3330)</f>
        <v>1302850</v>
      </c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1:26" ht="26.25" x14ac:dyDescent="0.4">
      <c r="A3332" s="29" t="s">
        <v>16</v>
      </c>
      <c r="B3332" s="26"/>
      <c r="C3332" s="26"/>
      <c r="D3332" s="26"/>
      <c r="E3332" s="26"/>
      <c r="F3332" s="26"/>
      <c r="G3332" s="27"/>
      <c r="H3332" s="17">
        <f>MAX(0,H3331-648000)</f>
        <v>654850</v>
      </c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1:26" ht="26.25" x14ac:dyDescent="0.4">
      <c r="A3333" s="25" t="s">
        <v>17</v>
      </c>
      <c r="B3333" s="26"/>
      <c r="C3333" s="26"/>
      <c r="D3333" s="26"/>
      <c r="E3333" s="26"/>
      <c r="F3333" s="26"/>
      <c r="G3333" s="27"/>
      <c r="H3333" s="18">
        <v>649000</v>
      </c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1:26" ht="26.25" x14ac:dyDescent="0.4">
      <c r="A3334" s="28" t="s">
        <v>18</v>
      </c>
      <c r="B3334" s="26"/>
      <c r="C3334" s="26"/>
      <c r="D3334" s="26"/>
      <c r="E3334" s="26"/>
      <c r="F3334" s="26"/>
      <c r="G3334" s="26"/>
      <c r="H3334" s="27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1:26" ht="12.75" x14ac:dyDescent="0.2"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1:26" ht="12.75" x14ac:dyDescent="0.2"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40" spans="1:26" ht="15.75" customHeight="1" x14ac:dyDescent="0.4">
      <c r="A3340" s="28" t="s">
        <v>0</v>
      </c>
      <c r="B3340" s="26"/>
      <c r="C3340" s="26"/>
      <c r="D3340" s="26"/>
      <c r="E3340" s="26"/>
      <c r="F3340" s="26"/>
      <c r="G3340" s="26"/>
      <c r="H3340" s="27"/>
    </row>
    <row r="3341" spans="1:26" ht="15.75" customHeight="1" x14ac:dyDescent="0.4">
      <c r="A3341" s="28" t="s">
        <v>807</v>
      </c>
      <c r="B3341" s="26"/>
      <c r="C3341" s="26"/>
      <c r="D3341" s="26"/>
      <c r="E3341" s="26"/>
      <c r="F3341" s="26"/>
      <c r="G3341" s="26"/>
      <c r="H3341" s="27"/>
    </row>
    <row r="3342" spans="1:26" ht="29.25" customHeight="1" x14ac:dyDescent="0.3">
      <c r="A3342" s="3" t="s">
        <v>2</v>
      </c>
      <c r="B3342" s="3" t="s">
        <v>3</v>
      </c>
      <c r="C3342" s="3" t="s">
        <v>4</v>
      </c>
      <c r="D3342" s="3" t="s">
        <v>5</v>
      </c>
      <c r="E3342" s="3" t="s">
        <v>6</v>
      </c>
      <c r="F3342" s="4" t="s">
        <v>7</v>
      </c>
      <c r="G3342" s="3" t="s">
        <v>8</v>
      </c>
      <c r="H3342" s="5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1:26" ht="26.25" x14ac:dyDescent="0.4">
      <c r="A3343" s="6">
        <v>1</v>
      </c>
      <c r="B3343" s="20" t="s">
        <v>400</v>
      </c>
      <c r="C3343" s="21" t="s">
        <v>808</v>
      </c>
      <c r="D3343" s="8" t="s">
        <v>11</v>
      </c>
      <c r="E3343" s="20">
        <v>1.18</v>
      </c>
      <c r="F3343" s="9">
        <v>293000</v>
      </c>
      <c r="G3343" s="10">
        <f t="shared" ref="G3343:G3345" si="221">IFERROR(E3343*F3343,0)</f>
        <v>345740</v>
      </c>
      <c r="H3343" s="11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1:26" ht="26.25" x14ac:dyDescent="0.4">
      <c r="A3344" s="6">
        <v>2</v>
      </c>
      <c r="B3344" s="22" t="s">
        <v>12</v>
      </c>
      <c r="C3344" s="23" t="s">
        <v>809</v>
      </c>
      <c r="D3344" s="13" t="s">
        <v>13</v>
      </c>
      <c r="E3344" s="22">
        <v>2.2999999999999998</v>
      </c>
      <c r="F3344" s="14">
        <v>435000</v>
      </c>
      <c r="G3344" s="10">
        <f t="shared" si="221"/>
        <v>1000499.9999999999</v>
      </c>
      <c r="H3344" s="11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1:26" ht="26.25" x14ac:dyDescent="0.4">
      <c r="A3345" s="6">
        <v>3</v>
      </c>
      <c r="B3345" s="15" t="s">
        <v>14</v>
      </c>
      <c r="C3345" s="11"/>
      <c r="D3345" s="11"/>
      <c r="E3345" s="11"/>
      <c r="F3345" s="11"/>
      <c r="G3345" s="16">
        <f t="shared" si="221"/>
        <v>0</v>
      </c>
      <c r="H3345" s="11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1:26" ht="26.25" x14ac:dyDescent="0.4">
      <c r="A3346" s="29" t="s">
        <v>15</v>
      </c>
      <c r="B3346" s="26"/>
      <c r="C3346" s="26"/>
      <c r="D3346" s="26"/>
      <c r="E3346" s="26"/>
      <c r="F3346" s="26"/>
      <c r="G3346" s="27"/>
      <c r="H3346" s="17">
        <f>SUM(G3343:G3345)</f>
        <v>1346240</v>
      </c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1:26" ht="26.25" x14ac:dyDescent="0.4">
      <c r="A3347" s="29" t="s">
        <v>16</v>
      </c>
      <c r="B3347" s="26"/>
      <c r="C3347" s="26"/>
      <c r="D3347" s="26"/>
      <c r="E3347" s="26"/>
      <c r="F3347" s="26"/>
      <c r="G3347" s="27"/>
      <c r="H3347" s="17">
        <f>MAX(0,H3346-648000)</f>
        <v>698240</v>
      </c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1:26" ht="26.25" x14ac:dyDescent="0.4">
      <c r="A3348" s="25" t="s">
        <v>17</v>
      </c>
      <c r="B3348" s="26"/>
      <c r="C3348" s="26"/>
      <c r="D3348" s="26"/>
      <c r="E3348" s="26"/>
      <c r="F3348" s="26"/>
      <c r="G3348" s="27"/>
      <c r="H3348" s="18">
        <v>649000</v>
      </c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1:26" ht="26.25" x14ac:dyDescent="0.4">
      <c r="A3349" s="28" t="s">
        <v>18</v>
      </c>
      <c r="B3349" s="26"/>
      <c r="C3349" s="26"/>
      <c r="D3349" s="26"/>
      <c r="E3349" s="26"/>
      <c r="F3349" s="26"/>
      <c r="G3349" s="26"/>
      <c r="H3349" s="27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1:26" ht="12.75" x14ac:dyDescent="0.2"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1:26" ht="12.75" x14ac:dyDescent="0.2"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5" spans="1:26" ht="15.75" customHeight="1" x14ac:dyDescent="0.4">
      <c r="A3355" s="28" t="s">
        <v>0</v>
      </c>
      <c r="B3355" s="26"/>
      <c r="C3355" s="26"/>
      <c r="D3355" s="26"/>
      <c r="E3355" s="26"/>
      <c r="F3355" s="26"/>
      <c r="G3355" s="26"/>
      <c r="H3355" s="27"/>
    </row>
    <row r="3356" spans="1:26" ht="15.75" customHeight="1" x14ac:dyDescent="0.4">
      <c r="A3356" s="28" t="s">
        <v>810</v>
      </c>
      <c r="B3356" s="26"/>
      <c r="C3356" s="26"/>
      <c r="D3356" s="26"/>
      <c r="E3356" s="26"/>
      <c r="F3356" s="26"/>
      <c r="G3356" s="26"/>
      <c r="H3356" s="27"/>
    </row>
    <row r="3357" spans="1:26" ht="15.75" customHeight="1" x14ac:dyDescent="0.3">
      <c r="A3357" s="3" t="s">
        <v>2</v>
      </c>
      <c r="B3357" s="3" t="s">
        <v>3</v>
      </c>
      <c r="C3357" s="3" t="s">
        <v>4</v>
      </c>
      <c r="D3357" s="3" t="s">
        <v>5</v>
      </c>
      <c r="E3357" s="3" t="s">
        <v>6</v>
      </c>
      <c r="F3357" s="4" t="s">
        <v>7</v>
      </c>
      <c r="G3357" s="3" t="s">
        <v>8</v>
      </c>
      <c r="H3357" s="5"/>
    </row>
    <row r="3358" spans="1:26" ht="15.75" customHeight="1" x14ac:dyDescent="0.4">
      <c r="A3358" s="6">
        <v>1</v>
      </c>
      <c r="B3358" s="20" t="s">
        <v>298</v>
      </c>
      <c r="C3358" s="21" t="s">
        <v>811</v>
      </c>
      <c r="D3358" s="8" t="s">
        <v>11</v>
      </c>
      <c r="E3358" s="20">
        <v>1</v>
      </c>
      <c r="F3358" s="9">
        <v>293000</v>
      </c>
      <c r="G3358" s="10">
        <f t="shared" ref="G3358:G3360" si="222">IFERROR(E3358*F3358,0)</f>
        <v>293000</v>
      </c>
      <c r="H3358" s="11"/>
    </row>
    <row r="3359" spans="1:26" ht="15.75" customHeight="1" x14ac:dyDescent="0.4">
      <c r="A3359" s="6">
        <v>2</v>
      </c>
      <c r="B3359" s="22" t="s">
        <v>427</v>
      </c>
      <c r="C3359" s="23" t="s">
        <v>812</v>
      </c>
      <c r="D3359" s="13" t="s">
        <v>13</v>
      </c>
      <c r="E3359" s="22">
        <v>2.63</v>
      </c>
      <c r="F3359" s="14">
        <v>435000</v>
      </c>
      <c r="G3359" s="10">
        <f t="shared" si="222"/>
        <v>1144050</v>
      </c>
      <c r="H3359" s="11"/>
    </row>
    <row r="3360" spans="1:26" ht="29.25" customHeight="1" x14ac:dyDescent="0.4">
      <c r="A3360" s="6">
        <v>3</v>
      </c>
      <c r="B3360" s="15" t="s">
        <v>14</v>
      </c>
      <c r="C3360" s="11"/>
      <c r="D3360" s="11"/>
      <c r="E3360" s="11"/>
      <c r="F3360" s="11"/>
      <c r="G3360" s="16">
        <f t="shared" si="222"/>
        <v>0</v>
      </c>
      <c r="H3360" s="11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1:26" ht="26.25" x14ac:dyDescent="0.4">
      <c r="A3361" s="29" t="s">
        <v>15</v>
      </c>
      <c r="B3361" s="26"/>
      <c r="C3361" s="26"/>
      <c r="D3361" s="26"/>
      <c r="E3361" s="26"/>
      <c r="F3361" s="26"/>
      <c r="G3361" s="27"/>
      <c r="H3361" s="17">
        <f>SUM(G3358:G3360)</f>
        <v>1437050</v>
      </c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1:26" ht="26.25" x14ac:dyDescent="0.4">
      <c r="A3362" s="29" t="s">
        <v>16</v>
      </c>
      <c r="B3362" s="26"/>
      <c r="C3362" s="26"/>
      <c r="D3362" s="26"/>
      <c r="E3362" s="26"/>
      <c r="F3362" s="26"/>
      <c r="G3362" s="27"/>
      <c r="H3362" s="17">
        <f>MAX(0,H3361-648000)</f>
        <v>789050</v>
      </c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1:26" ht="26.25" x14ac:dyDescent="0.4">
      <c r="A3363" s="25" t="s">
        <v>17</v>
      </c>
      <c r="B3363" s="26"/>
      <c r="C3363" s="26"/>
      <c r="D3363" s="26"/>
      <c r="E3363" s="26"/>
      <c r="F3363" s="26"/>
      <c r="G3363" s="27"/>
      <c r="H3363" s="18">
        <v>649000</v>
      </c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1:26" ht="26.25" x14ac:dyDescent="0.4">
      <c r="A3364" s="28" t="s">
        <v>18</v>
      </c>
      <c r="B3364" s="26"/>
      <c r="C3364" s="26"/>
      <c r="D3364" s="26"/>
      <c r="E3364" s="26"/>
      <c r="F3364" s="26"/>
      <c r="G3364" s="26"/>
      <c r="H3364" s="27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1:26" ht="12.75" x14ac:dyDescent="0.2"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1:26" ht="12.75" x14ac:dyDescent="0.2"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1:26" ht="12.75" x14ac:dyDescent="0.2"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1:26" ht="12.75" x14ac:dyDescent="0.2"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1:26" ht="12.75" x14ac:dyDescent="0.2"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3" spans="1:26" ht="15.75" customHeight="1" x14ac:dyDescent="0.4">
      <c r="A3373" s="28" t="s">
        <v>0</v>
      </c>
      <c r="B3373" s="26"/>
      <c r="C3373" s="26"/>
      <c r="D3373" s="26"/>
      <c r="E3373" s="26"/>
      <c r="F3373" s="26"/>
      <c r="G3373" s="26"/>
      <c r="H3373" s="27"/>
    </row>
    <row r="3374" spans="1:26" ht="15.75" customHeight="1" x14ac:dyDescent="0.4">
      <c r="A3374" s="28" t="s">
        <v>813</v>
      </c>
      <c r="B3374" s="26"/>
      <c r="C3374" s="26"/>
      <c r="D3374" s="26"/>
      <c r="E3374" s="26"/>
      <c r="F3374" s="26"/>
      <c r="G3374" s="26"/>
      <c r="H3374" s="27"/>
    </row>
    <row r="3375" spans="1:26" ht="29.25" customHeight="1" x14ac:dyDescent="0.3">
      <c r="A3375" s="3" t="s">
        <v>2</v>
      </c>
      <c r="B3375" s="3" t="s">
        <v>3</v>
      </c>
      <c r="C3375" s="3" t="s">
        <v>4</v>
      </c>
      <c r="D3375" s="3" t="s">
        <v>5</v>
      </c>
      <c r="E3375" s="3" t="s">
        <v>6</v>
      </c>
      <c r="F3375" s="4" t="s">
        <v>7</v>
      </c>
      <c r="G3375" s="3" t="s">
        <v>8</v>
      </c>
      <c r="H3375" s="5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1:26" ht="26.25" x14ac:dyDescent="0.4">
      <c r="A3376" s="6">
        <v>1</v>
      </c>
      <c r="B3376" s="20" t="s">
        <v>41</v>
      </c>
      <c r="C3376" s="21" t="s">
        <v>814</v>
      </c>
      <c r="D3376" s="8" t="s">
        <v>11</v>
      </c>
      <c r="E3376" s="20">
        <v>1.56</v>
      </c>
      <c r="F3376" s="9">
        <v>293000</v>
      </c>
      <c r="G3376" s="10">
        <f t="shared" ref="G3376:G3378" si="223">IFERROR(E3376*F3376,0)</f>
        <v>457080</v>
      </c>
      <c r="H3376" s="11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1:26" ht="26.25" x14ac:dyDescent="0.4">
      <c r="A3377" s="6">
        <v>2</v>
      </c>
      <c r="B3377" s="22" t="s">
        <v>263</v>
      </c>
      <c r="C3377" s="23" t="s">
        <v>815</v>
      </c>
      <c r="D3377" s="13" t="s">
        <v>13</v>
      </c>
      <c r="E3377" s="22">
        <v>2</v>
      </c>
      <c r="F3377" s="14">
        <v>435000</v>
      </c>
      <c r="G3377" s="10">
        <f t="shared" si="223"/>
        <v>870000</v>
      </c>
      <c r="H3377" s="11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1:26" ht="26.25" x14ac:dyDescent="0.4">
      <c r="A3378" s="6">
        <v>3</v>
      </c>
      <c r="B3378" s="15" t="s">
        <v>14</v>
      </c>
      <c r="C3378" s="11"/>
      <c r="D3378" s="11"/>
      <c r="E3378" s="11"/>
      <c r="F3378" s="11"/>
      <c r="G3378" s="16">
        <f t="shared" si="223"/>
        <v>0</v>
      </c>
      <c r="H3378" s="11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1:26" ht="26.25" x14ac:dyDescent="0.4">
      <c r="A3379" s="29" t="s">
        <v>15</v>
      </c>
      <c r="B3379" s="26"/>
      <c r="C3379" s="26"/>
      <c r="D3379" s="26"/>
      <c r="E3379" s="26"/>
      <c r="F3379" s="26"/>
      <c r="G3379" s="27"/>
      <c r="H3379" s="17">
        <f>SUM(G3376:G3378)</f>
        <v>1327080</v>
      </c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1:26" ht="26.25" x14ac:dyDescent="0.4">
      <c r="A3380" s="29" t="s">
        <v>16</v>
      </c>
      <c r="B3380" s="26"/>
      <c r="C3380" s="26"/>
      <c r="D3380" s="26"/>
      <c r="E3380" s="26"/>
      <c r="F3380" s="26"/>
      <c r="G3380" s="27"/>
      <c r="H3380" s="17">
        <f>MAX(0,H3379-648000)</f>
        <v>679080</v>
      </c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1:26" ht="26.25" x14ac:dyDescent="0.4">
      <c r="A3381" s="25" t="s">
        <v>17</v>
      </c>
      <c r="B3381" s="26"/>
      <c r="C3381" s="26"/>
      <c r="D3381" s="26"/>
      <c r="E3381" s="26"/>
      <c r="F3381" s="26"/>
      <c r="G3381" s="27"/>
      <c r="H3381" s="18">
        <v>649000</v>
      </c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1:26" ht="26.25" x14ac:dyDescent="0.4">
      <c r="A3382" s="28" t="s">
        <v>18</v>
      </c>
      <c r="B3382" s="26"/>
      <c r="C3382" s="26"/>
      <c r="D3382" s="26"/>
      <c r="E3382" s="26"/>
      <c r="F3382" s="26"/>
      <c r="G3382" s="26"/>
      <c r="H3382" s="27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1:26" ht="12.75" x14ac:dyDescent="0.2"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1:26" ht="12.75" x14ac:dyDescent="0.2"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8" spans="1:26" ht="15.75" customHeight="1" x14ac:dyDescent="0.4">
      <c r="A3388" s="28" t="s">
        <v>0</v>
      </c>
      <c r="B3388" s="26"/>
      <c r="C3388" s="26"/>
      <c r="D3388" s="26"/>
      <c r="E3388" s="26"/>
      <c r="F3388" s="26"/>
      <c r="G3388" s="26"/>
      <c r="H3388" s="27"/>
    </row>
    <row r="3389" spans="1:26" ht="15.75" customHeight="1" x14ac:dyDescent="0.4">
      <c r="A3389" s="28" t="s">
        <v>816</v>
      </c>
      <c r="B3389" s="26"/>
      <c r="C3389" s="26"/>
      <c r="D3389" s="26"/>
      <c r="E3389" s="26"/>
      <c r="F3389" s="26"/>
      <c r="G3389" s="26"/>
      <c r="H3389" s="27"/>
    </row>
    <row r="3390" spans="1:26" ht="29.25" customHeight="1" x14ac:dyDescent="0.3">
      <c r="A3390" s="3" t="s">
        <v>2</v>
      </c>
      <c r="B3390" s="3" t="s">
        <v>3</v>
      </c>
      <c r="C3390" s="3" t="s">
        <v>4</v>
      </c>
      <c r="D3390" s="3" t="s">
        <v>5</v>
      </c>
      <c r="E3390" s="3" t="s">
        <v>6</v>
      </c>
      <c r="F3390" s="4" t="s">
        <v>7</v>
      </c>
      <c r="G3390" s="3" t="s">
        <v>8</v>
      </c>
      <c r="H3390" s="5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1:26" ht="26.25" x14ac:dyDescent="0.4">
      <c r="A3391" s="6">
        <v>1</v>
      </c>
      <c r="B3391" s="20" t="s">
        <v>606</v>
      </c>
      <c r="C3391" s="21" t="s">
        <v>817</v>
      </c>
      <c r="D3391" s="8" t="s">
        <v>11</v>
      </c>
      <c r="E3391" s="20">
        <v>1.5</v>
      </c>
      <c r="F3391" s="9">
        <v>293000</v>
      </c>
      <c r="G3391" s="10">
        <f t="shared" ref="G3391:G3393" si="224">IFERROR(E3391*F3391,0)</f>
        <v>439500</v>
      </c>
      <c r="H3391" s="11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1:26" ht="26.25" x14ac:dyDescent="0.4">
      <c r="A3392" s="6">
        <v>2</v>
      </c>
      <c r="B3392" s="22" t="s">
        <v>151</v>
      </c>
      <c r="C3392" s="23" t="s">
        <v>799</v>
      </c>
      <c r="D3392" s="13" t="s">
        <v>13</v>
      </c>
      <c r="E3392" s="22">
        <v>2</v>
      </c>
      <c r="F3392" s="14">
        <v>435000</v>
      </c>
      <c r="G3392" s="10">
        <f t="shared" si="224"/>
        <v>870000</v>
      </c>
      <c r="H3392" s="11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1:26" ht="26.25" x14ac:dyDescent="0.4">
      <c r="A3393" s="6">
        <v>3</v>
      </c>
      <c r="B3393" s="15" t="s">
        <v>14</v>
      </c>
      <c r="C3393" s="11"/>
      <c r="D3393" s="11"/>
      <c r="E3393" s="11"/>
      <c r="F3393" s="11"/>
      <c r="G3393" s="16">
        <f t="shared" si="224"/>
        <v>0</v>
      </c>
      <c r="H3393" s="11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1:26" ht="26.25" x14ac:dyDescent="0.4">
      <c r="A3394" s="29" t="s">
        <v>15</v>
      </c>
      <c r="B3394" s="26"/>
      <c r="C3394" s="26"/>
      <c r="D3394" s="26"/>
      <c r="E3394" s="26"/>
      <c r="F3394" s="26"/>
      <c r="G3394" s="27"/>
      <c r="H3394" s="17">
        <f>SUM(G3391:G3393)</f>
        <v>1309500</v>
      </c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1:26" ht="26.25" x14ac:dyDescent="0.4">
      <c r="A3395" s="29" t="s">
        <v>16</v>
      </c>
      <c r="B3395" s="26"/>
      <c r="C3395" s="26"/>
      <c r="D3395" s="26"/>
      <c r="E3395" s="26"/>
      <c r="F3395" s="26"/>
      <c r="G3395" s="27"/>
      <c r="H3395" s="17">
        <f>MAX(0,H3394-648000)</f>
        <v>661500</v>
      </c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1:26" ht="26.25" x14ac:dyDescent="0.4">
      <c r="A3396" s="25" t="s">
        <v>17</v>
      </c>
      <c r="B3396" s="26"/>
      <c r="C3396" s="26"/>
      <c r="D3396" s="26"/>
      <c r="E3396" s="26"/>
      <c r="F3396" s="26"/>
      <c r="G3396" s="27"/>
      <c r="H3396" s="18">
        <v>649000</v>
      </c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1:26" ht="26.25" x14ac:dyDescent="0.4">
      <c r="A3397" s="28" t="s">
        <v>18</v>
      </c>
      <c r="B3397" s="26"/>
      <c r="C3397" s="26"/>
      <c r="D3397" s="26"/>
      <c r="E3397" s="26"/>
      <c r="F3397" s="26"/>
      <c r="G3397" s="26"/>
      <c r="H3397" s="27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1:26" ht="12.75" x14ac:dyDescent="0.2"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1:26" ht="12.75" x14ac:dyDescent="0.2"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3" spans="1:26" ht="15.75" customHeight="1" x14ac:dyDescent="0.4">
      <c r="A3403" s="28" t="s">
        <v>0</v>
      </c>
      <c r="B3403" s="26"/>
      <c r="C3403" s="26"/>
      <c r="D3403" s="26"/>
      <c r="E3403" s="26"/>
      <c r="F3403" s="26"/>
      <c r="G3403" s="26"/>
      <c r="H3403" s="27"/>
    </row>
    <row r="3404" spans="1:26" ht="15.75" customHeight="1" x14ac:dyDescent="0.4">
      <c r="A3404" s="28" t="s">
        <v>818</v>
      </c>
      <c r="B3404" s="26"/>
      <c r="C3404" s="26"/>
      <c r="D3404" s="26"/>
      <c r="E3404" s="26"/>
      <c r="F3404" s="26"/>
      <c r="G3404" s="26"/>
      <c r="H3404" s="27"/>
    </row>
    <row r="3405" spans="1:26" ht="29.25" customHeight="1" x14ac:dyDescent="0.3">
      <c r="A3405" s="3" t="s">
        <v>2</v>
      </c>
      <c r="B3405" s="3" t="s">
        <v>3</v>
      </c>
      <c r="C3405" s="3" t="s">
        <v>4</v>
      </c>
      <c r="D3405" s="3" t="s">
        <v>5</v>
      </c>
      <c r="E3405" s="3" t="s">
        <v>6</v>
      </c>
      <c r="F3405" s="4" t="s">
        <v>7</v>
      </c>
      <c r="G3405" s="3" t="s">
        <v>8</v>
      </c>
      <c r="H3405" s="5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1:26" ht="26.25" x14ac:dyDescent="0.4">
      <c r="A3406" s="6">
        <v>1</v>
      </c>
      <c r="B3406" s="20" t="s">
        <v>363</v>
      </c>
      <c r="C3406" s="21" t="s">
        <v>819</v>
      </c>
      <c r="D3406" s="8" t="s">
        <v>11</v>
      </c>
      <c r="E3406" s="20">
        <v>1.44</v>
      </c>
      <c r="F3406" s="9">
        <v>293000</v>
      </c>
      <c r="G3406" s="10">
        <f t="shared" ref="G3406:G3408" si="225">IFERROR(E3406*F3406,0)</f>
        <v>421920</v>
      </c>
      <c r="H3406" s="11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1:26" ht="26.25" x14ac:dyDescent="0.4">
      <c r="A3407" s="6">
        <v>2</v>
      </c>
      <c r="B3407" s="22" t="s">
        <v>98</v>
      </c>
      <c r="C3407" s="23" t="s">
        <v>80</v>
      </c>
      <c r="D3407" s="13" t="s">
        <v>13</v>
      </c>
      <c r="E3407" s="22">
        <v>2</v>
      </c>
      <c r="F3407" s="14">
        <v>435000</v>
      </c>
      <c r="G3407" s="10">
        <f t="shared" si="225"/>
        <v>870000</v>
      </c>
      <c r="H3407" s="11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1:26" ht="26.25" x14ac:dyDescent="0.4">
      <c r="A3408" s="6">
        <v>3</v>
      </c>
      <c r="B3408" s="15" t="s">
        <v>14</v>
      </c>
      <c r="C3408" s="11"/>
      <c r="D3408" s="11"/>
      <c r="E3408" s="11"/>
      <c r="F3408" s="11"/>
      <c r="G3408" s="16">
        <f t="shared" si="225"/>
        <v>0</v>
      </c>
      <c r="H3408" s="11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1:26" ht="26.25" x14ac:dyDescent="0.4">
      <c r="A3409" s="29" t="s">
        <v>15</v>
      </c>
      <c r="B3409" s="26"/>
      <c r="C3409" s="26"/>
      <c r="D3409" s="26"/>
      <c r="E3409" s="26"/>
      <c r="F3409" s="26"/>
      <c r="G3409" s="27"/>
      <c r="H3409" s="17">
        <f>SUM(G3406:G3408)</f>
        <v>1291920</v>
      </c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1:26" ht="26.25" x14ac:dyDescent="0.4">
      <c r="A3410" s="29" t="s">
        <v>16</v>
      </c>
      <c r="B3410" s="26"/>
      <c r="C3410" s="26"/>
      <c r="D3410" s="26"/>
      <c r="E3410" s="26"/>
      <c r="F3410" s="26"/>
      <c r="G3410" s="27"/>
      <c r="H3410" s="17">
        <f>MAX(0,H3409-648000)</f>
        <v>643920</v>
      </c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1:26" ht="26.25" x14ac:dyDescent="0.4">
      <c r="A3411" s="25" t="s">
        <v>17</v>
      </c>
      <c r="B3411" s="26"/>
      <c r="C3411" s="26"/>
      <c r="D3411" s="26"/>
      <c r="E3411" s="26"/>
      <c r="F3411" s="26"/>
      <c r="G3411" s="27"/>
      <c r="H3411" s="18">
        <v>649000</v>
      </c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1:26" ht="26.25" x14ac:dyDescent="0.4">
      <c r="A3412" s="28" t="s">
        <v>18</v>
      </c>
      <c r="B3412" s="26"/>
      <c r="C3412" s="26"/>
      <c r="D3412" s="26"/>
      <c r="E3412" s="26"/>
      <c r="F3412" s="26"/>
      <c r="G3412" s="26"/>
      <c r="H3412" s="27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1:26" ht="12.75" x14ac:dyDescent="0.2"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1:26" ht="12.75" x14ac:dyDescent="0.2"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8" spans="1:26" ht="15.75" customHeight="1" x14ac:dyDescent="0.4">
      <c r="A3418" s="28" t="s">
        <v>0</v>
      </c>
      <c r="B3418" s="26"/>
      <c r="C3418" s="26"/>
      <c r="D3418" s="26"/>
      <c r="E3418" s="26"/>
      <c r="F3418" s="26"/>
      <c r="G3418" s="26"/>
      <c r="H3418" s="27"/>
    </row>
    <row r="3419" spans="1:26" ht="15.75" customHeight="1" x14ac:dyDescent="0.4">
      <c r="A3419" s="28" t="s">
        <v>820</v>
      </c>
      <c r="B3419" s="26"/>
      <c r="C3419" s="26"/>
      <c r="D3419" s="26"/>
      <c r="E3419" s="26"/>
      <c r="F3419" s="26"/>
      <c r="G3419" s="26"/>
      <c r="H3419" s="27"/>
    </row>
    <row r="3420" spans="1:26" ht="29.25" customHeight="1" x14ac:dyDescent="0.3">
      <c r="A3420" s="3" t="s">
        <v>2</v>
      </c>
      <c r="B3420" s="3" t="s">
        <v>3</v>
      </c>
      <c r="C3420" s="3" t="s">
        <v>4</v>
      </c>
      <c r="D3420" s="3" t="s">
        <v>5</v>
      </c>
      <c r="E3420" s="3" t="s">
        <v>6</v>
      </c>
      <c r="F3420" s="4" t="s">
        <v>7</v>
      </c>
      <c r="G3420" s="3" t="s">
        <v>8</v>
      </c>
      <c r="H3420" s="5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1:26" ht="26.25" x14ac:dyDescent="0.4">
      <c r="A3421" s="6">
        <v>1</v>
      </c>
      <c r="B3421" s="20" t="s">
        <v>157</v>
      </c>
      <c r="C3421" s="21" t="s">
        <v>821</v>
      </c>
      <c r="D3421" s="8" t="s">
        <v>11</v>
      </c>
      <c r="E3421" s="20">
        <v>1.42</v>
      </c>
      <c r="F3421" s="9">
        <v>293000</v>
      </c>
      <c r="G3421" s="10">
        <f t="shared" ref="G3421:G3423" si="226">IFERROR(E3421*F3421,0)</f>
        <v>416060</v>
      </c>
      <c r="H3421" s="11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1:26" ht="26.25" x14ac:dyDescent="0.4">
      <c r="A3422" s="6">
        <v>2</v>
      </c>
      <c r="B3422" s="22" t="s">
        <v>151</v>
      </c>
      <c r="C3422" s="23" t="s">
        <v>822</v>
      </c>
      <c r="D3422" s="13" t="s">
        <v>13</v>
      </c>
      <c r="E3422" s="22">
        <v>2</v>
      </c>
      <c r="F3422" s="14">
        <v>435000</v>
      </c>
      <c r="G3422" s="10">
        <f t="shared" si="226"/>
        <v>870000</v>
      </c>
      <c r="H3422" s="11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1:26" ht="26.25" x14ac:dyDescent="0.4">
      <c r="A3423" s="6">
        <v>3</v>
      </c>
      <c r="B3423" s="15" t="s">
        <v>14</v>
      </c>
      <c r="C3423" s="11"/>
      <c r="D3423" s="11"/>
      <c r="E3423" s="11"/>
      <c r="F3423" s="11"/>
      <c r="G3423" s="16">
        <f t="shared" si="226"/>
        <v>0</v>
      </c>
      <c r="H3423" s="11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1:26" ht="26.25" x14ac:dyDescent="0.4">
      <c r="A3424" s="29" t="s">
        <v>15</v>
      </c>
      <c r="B3424" s="26"/>
      <c r="C3424" s="26"/>
      <c r="D3424" s="26"/>
      <c r="E3424" s="26"/>
      <c r="F3424" s="26"/>
      <c r="G3424" s="27"/>
      <c r="H3424" s="17">
        <f>SUM(G3421:G3423)</f>
        <v>1286060</v>
      </c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1:26" ht="26.25" x14ac:dyDescent="0.4">
      <c r="A3425" s="29" t="s">
        <v>16</v>
      </c>
      <c r="B3425" s="26"/>
      <c r="C3425" s="26"/>
      <c r="D3425" s="26"/>
      <c r="E3425" s="26"/>
      <c r="F3425" s="26"/>
      <c r="G3425" s="27"/>
      <c r="H3425" s="17">
        <f>MAX(0,H3424-648000)</f>
        <v>638060</v>
      </c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1:26" ht="26.25" x14ac:dyDescent="0.4">
      <c r="A3426" s="25" t="s">
        <v>17</v>
      </c>
      <c r="B3426" s="26"/>
      <c r="C3426" s="26"/>
      <c r="D3426" s="26"/>
      <c r="E3426" s="26"/>
      <c r="F3426" s="26"/>
      <c r="G3426" s="27"/>
      <c r="H3426" s="18">
        <v>649000</v>
      </c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1:26" ht="26.25" x14ac:dyDescent="0.4">
      <c r="A3427" s="28" t="s">
        <v>18</v>
      </c>
      <c r="B3427" s="26"/>
      <c r="C3427" s="26"/>
      <c r="D3427" s="26"/>
      <c r="E3427" s="26"/>
      <c r="F3427" s="26"/>
      <c r="G3427" s="26"/>
      <c r="H3427" s="27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1:26" ht="12.75" x14ac:dyDescent="0.2"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1:26" ht="12.75" x14ac:dyDescent="0.2"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3" spans="1:26" ht="15.75" customHeight="1" x14ac:dyDescent="0.4">
      <c r="A3433" s="28" t="s">
        <v>0</v>
      </c>
      <c r="B3433" s="26"/>
      <c r="C3433" s="26"/>
      <c r="D3433" s="26"/>
      <c r="E3433" s="26"/>
      <c r="F3433" s="26"/>
      <c r="G3433" s="26"/>
      <c r="H3433" s="27"/>
    </row>
    <row r="3434" spans="1:26" ht="29.25" customHeight="1" x14ac:dyDescent="0.4">
      <c r="A3434" s="28" t="s">
        <v>823</v>
      </c>
      <c r="B3434" s="26"/>
      <c r="C3434" s="26"/>
      <c r="D3434" s="26"/>
      <c r="E3434" s="26"/>
      <c r="F3434" s="26"/>
      <c r="G3434" s="26"/>
      <c r="H3434" s="27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1:26" ht="18.75" x14ac:dyDescent="0.3">
      <c r="A3435" s="3" t="s">
        <v>2</v>
      </c>
      <c r="B3435" s="3" t="s">
        <v>3</v>
      </c>
      <c r="C3435" s="3" t="s">
        <v>4</v>
      </c>
      <c r="D3435" s="3" t="s">
        <v>5</v>
      </c>
      <c r="E3435" s="3" t="s">
        <v>6</v>
      </c>
      <c r="F3435" s="4" t="s">
        <v>7</v>
      </c>
      <c r="G3435" s="3" t="s">
        <v>8</v>
      </c>
      <c r="H3435" s="5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1:26" ht="26.25" x14ac:dyDescent="0.4">
      <c r="A3436" s="6">
        <v>1</v>
      </c>
      <c r="B3436" s="20" t="s">
        <v>824</v>
      </c>
      <c r="C3436" s="21" t="s">
        <v>825</v>
      </c>
      <c r="D3436" s="8" t="s">
        <v>11</v>
      </c>
      <c r="E3436" s="20">
        <v>1.44</v>
      </c>
      <c r="F3436" s="9">
        <v>293000</v>
      </c>
      <c r="G3436" s="10">
        <f t="shared" ref="G3436:G3438" si="227">IFERROR(E3436*F3436,0)</f>
        <v>421920</v>
      </c>
      <c r="H3436" s="11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1:26" ht="26.25" x14ac:dyDescent="0.4">
      <c r="A3437" s="6">
        <v>2</v>
      </c>
      <c r="B3437" s="22" t="s">
        <v>151</v>
      </c>
      <c r="C3437" s="23" t="s">
        <v>822</v>
      </c>
      <c r="D3437" s="13" t="s">
        <v>13</v>
      </c>
      <c r="E3437" s="22">
        <v>2</v>
      </c>
      <c r="F3437" s="14">
        <v>435000</v>
      </c>
      <c r="G3437" s="10">
        <f t="shared" si="227"/>
        <v>870000</v>
      </c>
      <c r="H3437" s="11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1:26" ht="26.25" x14ac:dyDescent="0.4">
      <c r="A3438" s="6">
        <v>3</v>
      </c>
      <c r="B3438" s="15" t="s">
        <v>14</v>
      </c>
      <c r="C3438" s="11"/>
      <c r="D3438" s="11"/>
      <c r="E3438" s="11"/>
      <c r="F3438" s="11"/>
      <c r="G3438" s="16">
        <f t="shared" si="227"/>
        <v>0</v>
      </c>
      <c r="H3438" s="11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1:26" ht="26.25" x14ac:dyDescent="0.4">
      <c r="A3439" s="29" t="s">
        <v>15</v>
      </c>
      <c r="B3439" s="26"/>
      <c r="C3439" s="26"/>
      <c r="D3439" s="26"/>
      <c r="E3439" s="26"/>
      <c r="F3439" s="26"/>
      <c r="G3439" s="27"/>
      <c r="H3439" s="17">
        <f>SUM(G3436:G3438)</f>
        <v>1291920</v>
      </c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1:26" ht="26.25" x14ac:dyDescent="0.4">
      <c r="A3440" s="29" t="s">
        <v>16</v>
      </c>
      <c r="B3440" s="26"/>
      <c r="C3440" s="26"/>
      <c r="D3440" s="26"/>
      <c r="E3440" s="26"/>
      <c r="F3440" s="26"/>
      <c r="G3440" s="27"/>
      <c r="H3440" s="17">
        <f>MAX(0,H3439-648000)</f>
        <v>643920</v>
      </c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1:26" ht="26.25" x14ac:dyDescent="0.4">
      <c r="A3441" s="25" t="s">
        <v>17</v>
      </c>
      <c r="B3441" s="26"/>
      <c r="C3441" s="26"/>
      <c r="D3441" s="26"/>
      <c r="E3441" s="26"/>
      <c r="F3441" s="26"/>
      <c r="G3441" s="27"/>
      <c r="H3441" s="18">
        <v>649000</v>
      </c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1:26" ht="26.25" x14ac:dyDescent="0.4">
      <c r="A3442" s="28" t="s">
        <v>18</v>
      </c>
      <c r="B3442" s="26"/>
      <c r="C3442" s="26"/>
      <c r="D3442" s="26"/>
      <c r="E3442" s="26"/>
      <c r="F3442" s="26"/>
      <c r="G3442" s="26"/>
      <c r="H3442" s="27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1:26" ht="12.75" x14ac:dyDescent="0.2"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7" spans="1:26" ht="15.75" customHeight="1" x14ac:dyDescent="0.4">
      <c r="A3447" s="28" t="s">
        <v>0</v>
      </c>
      <c r="B3447" s="26"/>
      <c r="C3447" s="26"/>
      <c r="D3447" s="26"/>
      <c r="E3447" s="26"/>
      <c r="F3447" s="26"/>
      <c r="G3447" s="26"/>
      <c r="H3447" s="27"/>
    </row>
    <row r="3448" spans="1:26" ht="15.75" customHeight="1" x14ac:dyDescent="0.4">
      <c r="A3448" s="28" t="s">
        <v>826</v>
      </c>
      <c r="B3448" s="26"/>
      <c r="C3448" s="26"/>
      <c r="D3448" s="26"/>
      <c r="E3448" s="26"/>
      <c r="F3448" s="26"/>
      <c r="G3448" s="26"/>
      <c r="H3448" s="27"/>
    </row>
    <row r="3449" spans="1:26" ht="15.75" customHeight="1" x14ac:dyDescent="0.3">
      <c r="A3449" s="3" t="s">
        <v>2</v>
      </c>
      <c r="B3449" s="3" t="s">
        <v>3</v>
      </c>
      <c r="C3449" s="3" t="s">
        <v>4</v>
      </c>
      <c r="D3449" s="3" t="s">
        <v>5</v>
      </c>
      <c r="E3449" s="3" t="s">
        <v>6</v>
      </c>
      <c r="F3449" s="4" t="s">
        <v>7</v>
      </c>
      <c r="G3449" s="3" t="s">
        <v>8</v>
      </c>
      <c r="H3449" s="5"/>
    </row>
    <row r="3450" spans="1:26" ht="15.75" customHeight="1" x14ac:dyDescent="0.4">
      <c r="A3450" s="6">
        <v>1</v>
      </c>
      <c r="B3450" s="20" t="s">
        <v>98</v>
      </c>
      <c r="C3450" s="21" t="s">
        <v>827</v>
      </c>
      <c r="D3450" s="8" t="s">
        <v>11</v>
      </c>
      <c r="E3450" s="20">
        <v>1.5</v>
      </c>
      <c r="F3450" s="9">
        <v>293000</v>
      </c>
      <c r="G3450" s="10">
        <f t="shared" ref="G3450:G3452" si="228">IFERROR(E3450*F3450,0)</f>
        <v>439500</v>
      </c>
      <c r="H3450" s="11"/>
    </row>
    <row r="3451" spans="1:26" ht="29.25" customHeight="1" x14ac:dyDescent="0.4">
      <c r="A3451" s="6">
        <v>2</v>
      </c>
      <c r="B3451" s="22" t="s">
        <v>151</v>
      </c>
      <c r="C3451" s="23" t="s">
        <v>822</v>
      </c>
      <c r="D3451" s="13" t="s">
        <v>13</v>
      </c>
      <c r="E3451" s="22">
        <v>2</v>
      </c>
      <c r="F3451" s="14">
        <v>435000</v>
      </c>
      <c r="G3451" s="10">
        <f t="shared" si="228"/>
        <v>870000</v>
      </c>
      <c r="H3451" s="11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1:26" ht="26.25" x14ac:dyDescent="0.4">
      <c r="A3452" s="6">
        <v>3</v>
      </c>
      <c r="B3452" s="15" t="s">
        <v>14</v>
      </c>
      <c r="C3452" s="11"/>
      <c r="D3452" s="11"/>
      <c r="E3452" s="11"/>
      <c r="F3452" s="11"/>
      <c r="G3452" s="16">
        <f t="shared" si="228"/>
        <v>0</v>
      </c>
      <c r="H3452" s="11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1:26" ht="26.25" x14ac:dyDescent="0.4">
      <c r="A3453" s="29" t="s">
        <v>15</v>
      </c>
      <c r="B3453" s="26"/>
      <c r="C3453" s="26"/>
      <c r="D3453" s="26"/>
      <c r="E3453" s="26"/>
      <c r="F3453" s="26"/>
      <c r="G3453" s="27"/>
      <c r="H3453" s="17">
        <f>SUM(G3450:G3452)</f>
        <v>1309500</v>
      </c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1:26" ht="26.25" x14ac:dyDescent="0.4">
      <c r="A3454" s="29" t="s">
        <v>16</v>
      </c>
      <c r="B3454" s="26"/>
      <c r="C3454" s="26"/>
      <c r="D3454" s="26"/>
      <c r="E3454" s="26"/>
      <c r="F3454" s="26"/>
      <c r="G3454" s="27"/>
      <c r="H3454" s="17">
        <f>MAX(0,H3453-648000)</f>
        <v>661500</v>
      </c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1:26" ht="26.25" x14ac:dyDescent="0.4">
      <c r="A3455" s="25" t="s">
        <v>17</v>
      </c>
      <c r="B3455" s="26"/>
      <c r="C3455" s="26"/>
      <c r="D3455" s="26"/>
      <c r="E3455" s="26"/>
      <c r="F3455" s="26"/>
      <c r="G3455" s="27"/>
      <c r="H3455" s="18">
        <v>649000</v>
      </c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1:26" ht="26.25" x14ac:dyDescent="0.4">
      <c r="A3456" s="28" t="s">
        <v>18</v>
      </c>
      <c r="B3456" s="26"/>
      <c r="C3456" s="26"/>
      <c r="D3456" s="26"/>
      <c r="E3456" s="26"/>
      <c r="F3456" s="26"/>
      <c r="G3456" s="26"/>
      <c r="H3456" s="27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1:26" ht="12.75" x14ac:dyDescent="0.2"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1:26" ht="12.75" x14ac:dyDescent="0.2"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1:26" ht="12.75" x14ac:dyDescent="0.2"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1:26" ht="12.75" x14ac:dyDescent="0.2"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4" spans="1:26" ht="15.75" customHeight="1" x14ac:dyDescent="0.4">
      <c r="A3464" s="28" t="s">
        <v>0</v>
      </c>
      <c r="B3464" s="26"/>
      <c r="C3464" s="26"/>
      <c r="D3464" s="26"/>
      <c r="E3464" s="26"/>
      <c r="F3464" s="26"/>
      <c r="G3464" s="26"/>
      <c r="H3464" s="27"/>
    </row>
    <row r="3465" spans="1:26" ht="15.75" customHeight="1" x14ac:dyDescent="0.4">
      <c r="A3465" s="28" t="s">
        <v>828</v>
      </c>
      <c r="B3465" s="26"/>
      <c r="C3465" s="26"/>
      <c r="D3465" s="26"/>
      <c r="E3465" s="26"/>
      <c r="F3465" s="26"/>
      <c r="G3465" s="26"/>
      <c r="H3465" s="27"/>
    </row>
    <row r="3466" spans="1:26" ht="15.75" customHeight="1" x14ac:dyDescent="0.3">
      <c r="A3466" s="3" t="s">
        <v>2</v>
      </c>
      <c r="B3466" s="3" t="s">
        <v>3</v>
      </c>
      <c r="C3466" s="3" t="s">
        <v>4</v>
      </c>
      <c r="D3466" s="3" t="s">
        <v>5</v>
      </c>
      <c r="E3466" s="3" t="s">
        <v>6</v>
      </c>
      <c r="F3466" s="4" t="s">
        <v>7</v>
      </c>
      <c r="G3466" s="3" t="s">
        <v>8</v>
      </c>
      <c r="H3466" s="5"/>
    </row>
    <row r="3467" spans="1:26" ht="15.75" customHeight="1" x14ac:dyDescent="0.4">
      <c r="A3467" s="6">
        <v>1</v>
      </c>
      <c r="B3467" s="22" t="s">
        <v>379</v>
      </c>
      <c r="C3467" s="23" t="s">
        <v>829</v>
      </c>
      <c r="D3467" s="8" t="s">
        <v>11</v>
      </c>
      <c r="E3467" s="20">
        <v>2</v>
      </c>
      <c r="F3467" s="9">
        <v>293000</v>
      </c>
      <c r="G3467" s="10">
        <f t="shared" ref="G3467:G3469" si="229">IFERROR(E3467*F3467,0)</f>
        <v>586000</v>
      </c>
      <c r="H3467" s="11"/>
    </row>
    <row r="3468" spans="1:26" ht="29.25" customHeight="1" x14ac:dyDescent="0.4">
      <c r="A3468" s="6">
        <v>2</v>
      </c>
      <c r="B3468" s="22" t="s">
        <v>65</v>
      </c>
      <c r="C3468" s="23" t="s">
        <v>830</v>
      </c>
      <c r="D3468" s="13" t="s">
        <v>13</v>
      </c>
      <c r="E3468" s="22">
        <v>1.48</v>
      </c>
      <c r="F3468" s="14">
        <v>435000</v>
      </c>
      <c r="G3468" s="10">
        <f t="shared" si="229"/>
        <v>643800</v>
      </c>
      <c r="H3468" s="11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1:26" ht="26.25" x14ac:dyDescent="0.4">
      <c r="A3469" s="6">
        <v>3</v>
      </c>
      <c r="B3469" s="15" t="s">
        <v>14</v>
      </c>
      <c r="C3469" s="11"/>
      <c r="D3469" s="11"/>
      <c r="E3469" s="11"/>
      <c r="F3469" s="11"/>
      <c r="G3469" s="16">
        <f t="shared" si="229"/>
        <v>0</v>
      </c>
      <c r="H3469" s="11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1:26" ht="26.25" x14ac:dyDescent="0.4">
      <c r="A3470" s="29" t="s">
        <v>15</v>
      </c>
      <c r="B3470" s="26"/>
      <c r="C3470" s="26"/>
      <c r="D3470" s="26"/>
      <c r="E3470" s="26"/>
      <c r="F3470" s="26"/>
      <c r="G3470" s="27"/>
      <c r="H3470" s="17">
        <f>SUM(G3467:G3469)</f>
        <v>1229800</v>
      </c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1:26" ht="26.25" x14ac:dyDescent="0.4">
      <c r="A3471" s="29" t="s">
        <v>16</v>
      </c>
      <c r="B3471" s="26"/>
      <c r="C3471" s="26"/>
      <c r="D3471" s="26"/>
      <c r="E3471" s="26"/>
      <c r="F3471" s="26"/>
      <c r="G3471" s="27"/>
      <c r="H3471" s="17">
        <f>MAX(0,H3470-648000)</f>
        <v>581800</v>
      </c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1:26" ht="26.25" x14ac:dyDescent="0.4">
      <c r="A3472" s="25" t="s">
        <v>17</v>
      </c>
      <c r="B3472" s="26"/>
      <c r="C3472" s="26"/>
      <c r="D3472" s="26"/>
      <c r="E3472" s="26"/>
      <c r="F3472" s="26"/>
      <c r="G3472" s="27"/>
      <c r="H3472" s="18">
        <v>649000</v>
      </c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1:26" ht="26.25" x14ac:dyDescent="0.4">
      <c r="A3473" s="28" t="s">
        <v>18</v>
      </c>
      <c r="B3473" s="26"/>
      <c r="C3473" s="26"/>
      <c r="D3473" s="26"/>
      <c r="E3473" s="26"/>
      <c r="F3473" s="26"/>
      <c r="G3473" s="26"/>
      <c r="H3473" s="27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1:26" ht="12.75" x14ac:dyDescent="0.2"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1:26" ht="12.75" x14ac:dyDescent="0.2"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1:26" ht="12.75" x14ac:dyDescent="0.2"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1:26" ht="12.75" x14ac:dyDescent="0.2"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81" spans="1:26" ht="15.75" customHeight="1" x14ac:dyDescent="0.4">
      <c r="A3481" s="28" t="s">
        <v>0</v>
      </c>
      <c r="B3481" s="26"/>
      <c r="C3481" s="26"/>
      <c r="D3481" s="26"/>
      <c r="E3481" s="26"/>
      <c r="F3481" s="26"/>
      <c r="G3481" s="26"/>
      <c r="H3481" s="27"/>
    </row>
    <row r="3482" spans="1:26" ht="15.75" customHeight="1" x14ac:dyDescent="0.4">
      <c r="A3482" s="28" t="s">
        <v>831</v>
      </c>
      <c r="B3482" s="26"/>
      <c r="C3482" s="26"/>
      <c r="D3482" s="26"/>
      <c r="E3482" s="26"/>
      <c r="F3482" s="26"/>
      <c r="G3482" s="26"/>
      <c r="H3482" s="27"/>
    </row>
    <row r="3483" spans="1:26" ht="15.75" customHeight="1" x14ac:dyDescent="0.3">
      <c r="A3483" s="3" t="s">
        <v>2</v>
      </c>
      <c r="B3483" s="3" t="s">
        <v>3</v>
      </c>
      <c r="C3483" s="3" t="s">
        <v>4</v>
      </c>
      <c r="D3483" s="3" t="s">
        <v>5</v>
      </c>
      <c r="E3483" s="3" t="s">
        <v>6</v>
      </c>
      <c r="F3483" s="4" t="s">
        <v>7</v>
      </c>
      <c r="G3483" s="3" t="s">
        <v>8</v>
      </c>
      <c r="H3483" s="5"/>
    </row>
    <row r="3484" spans="1:26" ht="15.75" customHeight="1" x14ac:dyDescent="0.4">
      <c r="A3484" s="6">
        <v>1</v>
      </c>
      <c r="B3484" s="20" t="s">
        <v>832</v>
      </c>
      <c r="C3484" s="21" t="s">
        <v>833</v>
      </c>
      <c r="D3484" s="8" t="s">
        <v>11</v>
      </c>
      <c r="E3484" s="20">
        <v>1.45</v>
      </c>
      <c r="F3484" s="9">
        <v>293000</v>
      </c>
      <c r="G3484" s="10">
        <f t="shared" ref="G3484:G3486" si="230">IFERROR(E3484*F3484,0)</f>
        <v>424850</v>
      </c>
      <c r="H3484" s="11"/>
    </row>
    <row r="3485" spans="1:26" ht="29.25" customHeight="1" x14ac:dyDescent="0.4">
      <c r="A3485" s="6">
        <v>2</v>
      </c>
      <c r="B3485" s="22" t="s">
        <v>151</v>
      </c>
      <c r="C3485" s="23" t="s">
        <v>822</v>
      </c>
      <c r="D3485" s="13" t="s">
        <v>13</v>
      </c>
      <c r="E3485" s="22">
        <v>2</v>
      </c>
      <c r="F3485" s="14">
        <v>435000</v>
      </c>
      <c r="G3485" s="10">
        <f t="shared" si="230"/>
        <v>870000</v>
      </c>
      <c r="H3485" s="11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1:26" ht="26.25" x14ac:dyDescent="0.4">
      <c r="A3486" s="6">
        <v>3</v>
      </c>
      <c r="B3486" s="15" t="s">
        <v>14</v>
      </c>
      <c r="C3486" s="11"/>
      <c r="D3486" s="11"/>
      <c r="E3486" s="11"/>
      <c r="F3486" s="11"/>
      <c r="G3486" s="16">
        <f t="shared" si="230"/>
        <v>0</v>
      </c>
      <c r="H3486" s="11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1:26" ht="26.25" x14ac:dyDescent="0.4">
      <c r="A3487" s="29" t="s">
        <v>15</v>
      </c>
      <c r="B3487" s="26"/>
      <c r="C3487" s="26"/>
      <c r="D3487" s="26"/>
      <c r="E3487" s="26"/>
      <c r="F3487" s="26"/>
      <c r="G3487" s="27"/>
      <c r="H3487" s="17">
        <f>SUM(G3484:G3486)</f>
        <v>1294850</v>
      </c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1:26" ht="26.25" x14ac:dyDescent="0.4">
      <c r="A3488" s="29" t="s">
        <v>16</v>
      </c>
      <c r="B3488" s="26"/>
      <c r="C3488" s="26"/>
      <c r="D3488" s="26"/>
      <c r="E3488" s="26"/>
      <c r="F3488" s="26"/>
      <c r="G3488" s="27"/>
      <c r="H3488" s="17">
        <f>MAX(0,H3487-648000)</f>
        <v>646850</v>
      </c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1:26" ht="26.25" x14ac:dyDescent="0.4">
      <c r="A3489" s="25" t="s">
        <v>17</v>
      </c>
      <c r="B3489" s="26"/>
      <c r="C3489" s="26"/>
      <c r="D3489" s="26"/>
      <c r="E3489" s="26"/>
      <c r="F3489" s="26"/>
      <c r="G3489" s="27"/>
      <c r="H3489" s="18">
        <v>649000</v>
      </c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1:26" ht="26.25" x14ac:dyDescent="0.4">
      <c r="A3490" s="28" t="s">
        <v>18</v>
      </c>
      <c r="B3490" s="26"/>
      <c r="C3490" s="26"/>
      <c r="D3490" s="26"/>
      <c r="E3490" s="26"/>
      <c r="F3490" s="26"/>
      <c r="G3490" s="26"/>
      <c r="H3490" s="27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1:26" ht="12.75" x14ac:dyDescent="0.2"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1:26" ht="12.75" x14ac:dyDescent="0.2"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1:26" ht="12.75" x14ac:dyDescent="0.2"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1:26" ht="12.75" x14ac:dyDescent="0.2"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8" spans="1:26" ht="15.75" customHeight="1" x14ac:dyDescent="0.4">
      <c r="A3498" s="28" t="s">
        <v>0</v>
      </c>
      <c r="B3498" s="26"/>
      <c r="C3498" s="26"/>
      <c r="D3498" s="26"/>
      <c r="E3498" s="26"/>
      <c r="F3498" s="26"/>
      <c r="G3498" s="26"/>
      <c r="H3498" s="27"/>
    </row>
    <row r="3499" spans="1:26" ht="15.75" customHeight="1" x14ac:dyDescent="0.4">
      <c r="A3499" s="28" t="s">
        <v>834</v>
      </c>
      <c r="B3499" s="26"/>
      <c r="C3499" s="26"/>
      <c r="D3499" s="26"/>
      <c r="E3499" s="26"/>
      <c r="F3499" s="26"/>
      <c r="G3499" s="26"/>
      <c r="H3499" s="27"/>
    </row>
    <row r="3500" spans="1:26" ht="15.75" customHeight="1" x14ac:dyDescent="0.3">
      <c r="A3500" s="3" t="s">
        <v>2</v>
      </c>
      <c r="B3500" s="3" t="s">
        <v>3</v>
      </c>
      <c r="C3500" s="3" t="s">
        <v>4</v>
      </c>
      <c r="D3500" s="3" t="s">
        <v>5</v>
      </c>
      <c r="E3500" s="3" t="s">
        <v>6</v>
      </c>
      <c r="F3500" s="4" t="s">
        <v>7</v>
      </c>
      <c r="G3500" s="3" t="s">
        <v>8</v>
      </c>
      <c r="H3500" s="5"/>
    </row>
    <row r="3501" spans="1:26" ht="29.25" customHeight="1" x14ac:dyDescent="0.4">
      <c r="A3501" s="6">
        <v>1</v>
      </c>
      <c r="B3501" s="20" t="s">
        <v>835</v>
      </c>
      <c r="C3501" s="21" t="s">
        <v>836</v>
      </c>
      <c r="D3501" s="8" t="s">
        <v>11</v>
      </c>
      <c r="E3501" s="20">
        <v>1.55</v>
      </c>
      <c r="F3501" s="9">
        <v>293000</v>
      </c>
      <c r="G3501" s="10">
        <f t="shared" ref="G3501:G3503" si="231">IFERROR(E3501*F3501,0)</f>
        <v>454150</v>
      </c>
      <c r="H3501" s="11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1:26" ht="26.25" x14ac:dyDescent="0.4">
      <c r="A3502" s="6">
        <v>2</v>
      </c>
      <c r="B3502" s="22" t="s">
        <v>151</v>
      </c>
      <c r="C3502" s="23" t="s">
        <v>822</v>
      </c>
      <c r="D3502" s="13" t="s">
        <v>13</v>
      </c>
      <c r="E3502" s="22">
        <v>2</v>
      </c>
      <c r="F3502" s="14">
        <v>435000</v>
      </c>
      <c r="G3502" s="10">
        <f t="shared" si="231"/>
        <v>870000</v>
      </c>
      <c r="H3502" s="11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1:26" ht="26.25" x14ac:dyDescent="0.4">
      <c r="A3503" s="6">
        <v>3</v>
      </c>
      <c r="B3503" s="15" t="s">
        <v>14</v>
      </c>
      <c r="C3503" s="11"/>
      <c r="D3503" s="11"/>
      <c r="E3503" s="11"/>
      <c r="F3503" s="11"/>
      <c r="G3503" s="16">
        <f t="shared" si="231"/>
        <v>0</v>
      </c>
      <c r="H3503" s="11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1:26" ht="26.25" x14ac:dyDescent="0.4">
      <c r="A3504" s="29" t="s">
        <v>15</v>
      </c>
      <c r="B3504" s="26"/>
      <c r="C3504" s="26"/>
      <c r="D3504" s="26"/>
      <c r="E3504" s="26"/>
      <c r="F3504" s="26"/>
      <c r="G3504" s="27"/>
      <c r="H3504" s="17">
        <f>SUM(G3501:G3503)</f>
        <v>1324150</v>
      </c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1:26" ht="26.25" x14ac:dyDescent="0.4">
      <c r="A3505" s="29" t="s">
        <v>16</v>
      </c>
      <c r="B3505" s="26"/>
      <c r="C3505" s="26"/>
      <c r="D3505" s="26"/>
      <c r="E3505" s="26"/>
      <c r="F3505" s="26"/>
      <c r="G3505" s="27"/>
      <c r="H3505" s="17">
        <f>MAX(0,H3504-648000)</f>
        <v>676150</v>
      </c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1:26" ht="26.25" x14ac:dyDescent="0.4">
      <c r="A3506" s="25" t="s">
        <v>17</v>
      </c>
      <c r="B3506" s="26"/>
      <c r="C3506" s="26"/>
      <c r="D3506" s="26"/>
      <c r="E3506" s="26"/>
      <c r="F3506" s="26"/>
      <c r="G3506" s="27"/>
      <c r="H3506" s="18">
        <v>649000</v>
      </c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1:26" ht="26.25" x14ac:dyDescent="0.4">
      <c r="A3507" s="28" t="s">
        <v>18</v>
      </c>
      <c r="B3507" s="26"/>
      <c r="C3507" s="26"/>
      <c r="D3507" s="26"/>
      <c r="E3507" s="26"/>
      <c r="F3507" s="26"/>
      <c r="G3507" s="26"/>
      <c r="H3507" s="27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1:26" ht="12.75" x14ac:dyDescent="0.2"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1:26" ht="12.75" x14ac:dyDescent="0.2"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1:26" ht="12.75" x14ac:dyDescent="0.2"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4" spans="1:26" ht="15.75" customHeight="1" x14ac:dyDescent="0.4">
      <c r="A3514" s="28" t="s">
        <v>0</v>
      </c>
      <c r="B3514" s="26"/>
      <c r="C3514" s="26"/>
      <c r="D3514" s="26"/>
      <c r="E3514" s="26"/>
      <c r="F3514" s="26"/>
      <c r="G3514" s="26"/>
      <c r="H3514" s="27"/>
    </row>
    <row r="3515" spans="1:26" ht="15.75" customHeight="1" x14ac:dyDescent="0.4">
      <c r="A3515" s="28" t="s">
        <v>837</v>
      </c>
      <c r="B3515" s="26"/>
      <c r="C3515" s="26"/>
      <c r="D3515" s="26"/>
      <c r="E3515" s="26"/>
      <c r="F3515" s="26"/>
      <c r="G3515" s="26"/>
      <c r="H3515" s="27"/>
    </row>
    <row r="3516" spans="1:26" ht="15.75" customHeight="1" x14ac:dyDescent="0.3">
      <c r="A3516" s="3" t="s">
        <v>2</v>
      </c>
      <c r="B3516" s="3" t="s">
        <v>3</v>
      </c>
      <c r="C3516" s="3" t="s">
        <v>4</v>
      </c>
      <c r="D3516" s="3" t="s">
        <v>5</v>
      </c>
      <c r="E3516" s="3" t="s">
        <v>6</v>
      </c>
      <c r="F3516" s="4" t="s">
        <v>7</v>
      </c>
      <c r="G3516" s="3" t="s">
        <v>8</v>
      </c>
      <c r="H3516" s="5"/>
    </row>
    <row r="3517" spans="1:26" ht="29.25" customHeight="1" x14ac:dyDescent="0.4">
      <c r="A3517" s="6">
        <v>1</v>
      </c>
      <c r="B3517" s="20" t="s">
        <v>58</v>
      </c>
      <c r="C3517" s="21" t="s">
        <v>838</v>
      </c>
      <c r="D3517" s="8" t="s">
        <v>11</v>
      </c>
      <c r="E3517" s="20">
        <v>2</v>
      </c>
      <c r="F3517" s="9">
        <v>293000</v>
      </c>
      <c r="G3517" s="10">
        <f t="shared" ref="G3517:G3519" si="232">IFERROR(E3517*F3517,0)</f>
        <v>586000</v>
      </c>
      <c r="H3517" s="11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1:26" ht="26.25" x14ac:dyDescent="0.4">
      <c r="A3518" s="6">
        <v>2</v>
      </c>
      <c r="B3518" s="22" t="s">
        <v>539</v>
      </c>
      <c r="C3518" s="23" t="s">
        <v>839</v>
      </c>
      <c r="D3518" s="13" t="s">
        <v>13</v>
      </c>
      <c r="E3518" s="22">
        <v>1.4</v>
      </c>
      <c r="F3518" s="14">
        <v>435000</v>
      </c>
      <c r="G3518" s="10">
        <f t="shared" si="232"/>
        <v>609000</v>
      </c>
      <c r="H3518" s="11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1:26" ht="26.25" x14ac:dyDescent="0.4">
      <c r="A3519" s="6">
        <v>3</v>
      </c>
      <c r="B3519" s="15" t="s">
        <v>14</v>
      </c>
      <c r="C3519" s="11"/>
      <c r="D3519" s="11"/>
      <c r="E3519" s="11"/>
      <c r="F3519" s="11"/>
      <c r="G3519" s="16">
        <f t="shared" si="232"/>
        <v>0</v>
      </c>
      <c r="H3519" s="11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1:26" ht="26.25" x14ac:dyDescent="0.4">
      <c r="A3520" s="29" t="s">
        <v>15</v>
      </c>
      <c r="B3520" s="26"/>
      <c r="C3520" s="26"/>
      <c r="D3520" s="26"/>
      <c r="E3520" s="26"/>
      <c r="F3520" s="26"/>
      <c r="G3520" s="27"/>
      <c r="H3520" s="17">
        <f>SUM(G3517:G3519)</f>
        <v>1195000</v>
      </c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1:26" ht="26.25" x14ac:dyDescent="0.4">
      <c r="A3521" s="29" t="s">
        <v>16</v>
      </c>
      <c r="B3521" s="26"/>
      <c r="C3521" s="26"/>
      <c r="D3521" s="26"/>
      <c r="E3521" s="26"/>
      <c r="F3521" s="26"/>
      <c r="G3521" s="27"/>
      <c r="H3521" s="17">
        <f>MAX(0,H3520-648000)</f>
        <v>547000</v>
      </c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1:26" ht="26.25" x14ac:dyDescent="0.4">
      <c r="A3522" s="25" t="s">
        <v>17</v>
      </c>
      <c r="B3522" s="26"/>
      <c r="C3522" s="26"/>
      <c r="D3522" s="26"/>
      <c r="E3522" s="26"/>
      <c r="F3522" s="26"/>
      <c r="G3522" s="27"/>
      <c r="H3522" s="18">
        <v>649000</v>
      </c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1:26" ht="26.25" x14ac:dyDescent="0.4">
      <c r="A3523" s="28" t="s">
        <v>18</v>
      </c>
      <c r="B3523" s="26"/>
      <c r="C3523" s="26"/>
      <c r="D3523" s="26"/>
      <c r="E3523" s="26"/>
      <c r="F3523" s="26"/>
      <c r="G3523" s="26"/>
      <c r="H3523" s="27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1:26" ht="12.75" x14ac:dyDescent="0.2"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1:26" ht="12.75" x14ac:dyDescent="0.2"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1:26" ht="12.75" x14ac:dyDescent="0.2"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30" spans="1:26" ht="15.75" customHeight="1" x14ac:dyDescent="0.4">
      <c r="A3530" s="28" t="s">
        <v>0</v>
      </c>
      <c r="B3530" s="26"/>
      <c r="C3530" s="26"/>
      <c r="D3530" s="26"/>
      <c r="E3530" s="26"/>
      <c r="F3530" s="26"/>
      <c r="G3530" s="26"/>
      <c r="H3530" s="27"/>
    </row>
    <row r="3531" spans="1:26" ht="15.75" customHeight="1" x14ac:dyDescent="0.4">
      <c r="A3531" s="28" t="s">
        <v>840</v>
      </c>
      <c r="B3531" s="26"/>
      <c r="C3531" s="26"/>
      <c r="D3531" s="26"/>
      <c r="E3531" s="26"/>
      <c r="F3531" s="26"/>
      <c r="G3531" s="26"/>
      <c r="H3531" s="27"/>
    </row>
    <row r="3532" spans="1:26" ht="29.25" customHeight="1" x14ac:dyDescent="0.3">
      <c r="A3532" s="3" t="s">
        <v>2</v>
      </c>
      <c r="B3532" s="3" t="s">
        <v>3</v>
      </c>
      <c r="C3532" s="3" t="s">
        <v>4</v>
      </c>
      <c r="D3532" s="3" t="s">
        <v>5</v>
      </c>
      <c r="E3532" s="3" t="s">
        <v>6</v>
      </c>
      <c r="F3532" s="4" t="s">
        <v>7</v>
      </c>
      <c r="G3532" s="3" t="s">
        <v>8</v>
      </c>
      <c r="H3532" s="5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1:26" ht="26.25" x14ac:dyDescent="0.4">
      <c r="A3533" s="6">
        <v>1</v>
      </c>
      <c r="B3533" s="20" t="s">
        <v>841</v>
      </c>
      <c r="C3533" s="21" t="s">
        <v>438</v>
      </c>
      <c r="D3533" s="8" t="s">
        <v>11</v>
      </c>
      <c r="E3533" s="20">
        <v>2</v>
      </c>
      <c r="F3533" s="9">
        <v>293000</v>
      </c>
      <c r="G3533" s="10">
        <f t="shared" ref="G3533:G3535" si="233">IFERROR(E3533*F3533,0)</f>
        <v>586000</v>
      </c>
      <c r="H3533" s="11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1:26" ht="26.25" x14ac:dyDescent="0.4">
      <c r="A3534" s="6">
        <v>2</v>
      </c>
      <c r="B3534" s="22" t="s">
        <v>703</v>
      </c>
      <c r="C3534" s="23" t="s">
        <v>842</v>
      </c>
      <c r="D3534" s="13" t="s">
        <v>13</v>
      </c>
      <c r="E3534" s="22">
        <v>1.45</v>
      </c>
      <c r="F3534" s="14">
        <v>435000</v>
      </c>
      <c r="G3534" s="10">
        <f t="shared" si="233"/>
        <v>630750</v>
      </c>
      <c r="H3534" s="11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1:26" ht="26.25" x14ac:dyDescent="0.4">
      <c r="A3535" s="6">
        <v>3</v>
      </c>
      <c r="B3535" s="15" t="s">
        <v>14</v>
      </c>
      <c r="C3535" s="11"/>
      <c r="D3535" s="11"/>
      <c r="E3535" s="11"/>
      <c r="F3535" s="11"/>
      <c r="G3535" s="16">
        <f t="shared" si="233"/>
        <v>0</v>
      </c>
      <c r="H3535" s="11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1:26" ht="26.25" x14ac:dyDescent="0.4">
      <c r="A3536" s="29" t="s">
        <v>15</v>
      </c>
      <c r="B3536" s="26"/>
      <c r="C3536" s="26"/>
      <c r="D3536" s="26"/>
      <c r="E3536" s="26"/>
      <c r="F3536" s="26"/>
      <c r="G3536" s="27"/>
      <c r="H3536" s="17">
        <f>SUM(G3533:G3535)</f>
        <v>1216750</v>
      </c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1:26" ht="26.25" x14ac:dyDescent="0.4">
      <c r="A3537" s="29" t="s">
        <v>16</v>
      </c>
      <c r="B3537" s="26"/>
      <c r="C3537" s="26"/>
      <c r="D3537" s="26"/>
      <c r="E3537" s="26"/>
      <c r="F3537" s="26"/>
      <c r="G3537" s="27"/>
      <c r="H3537" s="17">
        <f>MAX(0,H3536-648000)</f>
        <v>568750</v>
      </c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1:26" ht="26.25" x14ac:dyDescent="0.4">
      <c r="A3538" s="25" t="s">
        <v>17</v>
      </c>
      <c r="B3538" s="26"/>
      <c r="C3538" s="26"/>
      <c r="D3538" s="26"/>
      <c r="E3538" s="26"/>
      <c r="F3538" s="26"/>
      <c r="G3538" s="27"/>
      <c r="H3538" s="18">
        <v>649000</v>
      </c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1:26" ht="26.25" x14ac:dyDescent="0.4">
      <c r="A3539" s="28" t="s">
        <v>18</v>
      </c>
      <c r="B3539" s="26"/>
      <c r="C3539" s="26"/>
      <c r="D3539" s="26"/>
      <c r="E3539" s="26"/>
      <c r="F3539" s="26"/>
      <c r="G3539" s="26"/>
      <c r="H3539" s="27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1:26" ht="12.75" x14ac:dyDescent="0.2"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1:26" ht="12.75" x14ac:dyDescent="0.2"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5" spans="1:26" ht="15.75" customHeight="1" x14ac:dyDescent="0.4">
      <c r="A3545" s="28" t="s">
        <v>0</v>
      </c>
      <c r="B3545" s="26"/>
      <c r="C3545" s="26"/>
      <c r="D3545" s="26"/>
      <c r="E3545" s="26"/>
      <c r="F3545" s="26"/>
      <c r="G3545" s="26"/>
      <c r="H3545" s="27"/>
    </row>
    <row r="3546" spans="1:26" ht="15.75" customHeight="1" x14ac:dyDescent="0.4">
      <c r="A3546" s="28" t="s">
        <v>843</v>
      </c>
      <c r="B3546" s="26"/>
      <c r="C3546" s="26"/>
      <c r="D3546" s="26"/>
      <c r="E3546" s="26"/>
      <c r="F3546" s="26"/>
      <c r="G3546" s="26"/>
      <c r="H3546" s="27"/>
    </row>
    <row r="3547" spans="1:26" ht="15.75" customHeight="1" x14ac:dyDescent="0.3">
      <c r="A3547" s="3" t="s">
        <v>2</v>
      </c>
      <c r="B3547" s="3" t="s">
        <v>3</v>
      </c>
      <c r="C3547" s="3" t="s">
        <v>4</v>
      </c>
      <c r="D3547" s="3" t="s">
        <v>5</v>
      </c>
      <c r="E3547" s="3" t="s">
        <v>6</v>
      </c>
      <c r="F3547" s="4" t="s">
        <v>7</v>
      </c>
      <c r="G3547" s="3" t="s">
        <v>8</v>
      </c>
      <c r="H3547" s="5"/>
    </row>
    <row r="3548" spans="1:26" ht="15.75" customHeight="1" x14ac:dyDescent="0.4">
      <c r="A3548" s="6">
        <v>1</v>
      </c>
      <c r="B3548" s="20" t="s">
        <v>544</v>
      </c>
      <c r="C3548" s="21" t="s">
        <v>844</v>
      </c>
      <c r="D3548" s="8" t="s">
        <v>11</v>
      </c>
      <c r="E3548" s="20">
        <v>2</v>
      </c>
      <c r="F3548" s="9">
        <v>293000</v>
      </c>
      <c r="G3548" s="10">
        <f t="shared" ref="G3548:G3550" si="234">IFERROR(E3548*F3548,0)</f>
        <v>586000</v>
      </c>
      <c r="H3548" s="11"/>
    </row>
    <row r="3549" spans="1:26" ht="29.25" customHeight="1" x14ac:dyDescent="0.4">
      <c r="A3549" s="6">
        <v>2</v>
      </c>
      <c r="B3549" s="22" t="s">
        <v>25</v>
      </c>
      <c r="C3549" s="23" t="s">
        <v>845</v>
      </c>
      <c r="D3549" s="13" t="s">
        <v>13</v>
      </c>
      <c r="E3549" s="22">
        <v>1.44</v>
      </c>
      <c r="F3549" s="14">
        <v>435000</v>
      </c>
      <c r="G3549" s="10">
        <f t="shared" si="234"/>
        <v>626400</v>
      </c>
      <c r="H3549" s="11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1:26" ht="26.25" x14ac:dyDescent="0.4">
      <c r="A3550" s="6">
        <v>3</v>
      </c>
      <c r="B3550" s="15" t="s">
        <v>14</v>
      </c>
      <c r="C3550" s="11"/>
      <c r="D3550" s="11"/>
      <c r="E3550" s="11"/>
      <c r="F3550" s="11"/>
      <c r="G3550" s="16">
        <f t="shared" si="234"/>
        <v>0</v>
      </c>
      <c r="H3550" s="11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1:26" ht="26.25" x14ac:dyDescent="0.4">
      <c r="A3551" s="29" t="s">
        <v>15</v>
      </c>
      <c r="B3551" s="26"/>
      <c r="C3551" s="26"/>
      <c r="D3551" s="26"/>
      <c r="E3551" s="26"/>
      <c r="F3551" s="26"/>
      <c r="G3551" s="27"/>
      <c r="H3551" s="17">
        <f>SUM(G3548:G3550)</f>
        <v>1212400</v>
      </c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1:26" ht="26.25" x14ac:dyDescent="0.4">
      <c r="A3552" s="29" t="s">
        <v>16</v>
      </c>
      <c r="B3552" s="26"/>
      <c r="C3552" s="26"/>
      <c r="D3552" s="26"/>
      <c r="E3552" s="26"/>
      <c r="F3552" s="26"/>
      <c r="G3552" s="27"/>
      <c r="H3552" s="17">
        <f>MAX(0,H3551-648000)</f>
        <v>564400</v>
      </c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1:26" ht="26.25" x14ac:dyDescent="0.4">
      <c r="A3553" s="25" t="s">
        <v>17</v>
      </c>
      <c r="B3553" s="26"/>
      <c r="C3553" s="26"/>
      <c r="D3553" s="26"/>
      <c r="E3553" s="26"/>
      <c r="F3553" s="26"/>
      <c r="G3553" s="27"/>
      <c r="H3553" s="18">
        <v>649000</v>
      </c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1:26" ht="26.25" x14ac:dyDescent="0.4">
      <c r="A3554" s="28" t="s">
        <v>18</v>
      </c>
      <c r="B3554" s="26"/>
      <c r="C3554" s="26"/>
      <c r="D3554" s="26"/>
      <c r="E3554" s="26"/>
      <c r="F3554" s="26"/>
      <c r="G3554" s="26"/>
      <c r="H3554" s="27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1:26" ht="12.75" x14ac:dyDescent="0.2"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1:26" ht="12.75" x14ac:dyDescent="0.2"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1:26" ht="12.75" x14ac:dyDescent="0.2"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1:26" ht="12.75" x14ac:dyDescent="0.2"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62" spans="1:26" ht="15.75" customHeight="1" x14ac:dyDescent="0.4">
      <c r="A3562" s="28" t="s">
        <v>0</v>
      </c>
      <c r="B3562" s="26"/>
      <c r="C3562" s="26"/>
      <c r="D3562" s="26"/>
      <c r="E3562" s="26"/>
      <c r="F3562" s="26"/>
      <c r="G3562" s="26"/>
      <c r="H3562" s="27"/>
    </row>
    <row r="3563" spans="1:26" ht="15.75" customHeight="1" x14ac:dyDescent="0.4">
      <c r="A3563" s="28" t="s">
        <v>846</v>
      </c>
      <c r="B3563" s="26"/>
      <c r="C3563" s="26"/>
      <c r="D3563" s="26"/>
      <c r="E3563" s="26"/>
      <c r="F3563" s="26"/>
      <c r="G3563" s="26"/>
      <c r="H3563" s="27"/>
    </row>
    <row r="3564" spans="1:26" ht="15.75" customHeight="1" x14ac:dyDescent="0.3">
      <c r="A3564" s="3">
        <v>6</v>
      </c>
      <c r="B3564" s="3" t="s">
        <v>3</v>
      </c>
      <c r="C3564" s="3" t="s">
        <v>4</v>
      </c>
      <c r="D3564" s="3" t="s">
        <v>5</v>
      </c>
      <c r="E3564" s="3" t="s">
        <v>6</v>
      </c>
      <c r="F3564" s="4" t="s">
        <v>7</v>
      </c>
      <c r="G3564" s="3" t="s">
        <v>8</v>
      </c>
      <c r="H3564" s="5"/>
    </row>
    <row r="3565" spans="1:26" ht="15.75" customHeight="1" x14ac:dyDescent="0.4">
      <c r="A3565" s="6">
        <v>1</v>
      </c>
      <c r="B3565" s="20" t="s">
        <v>847</v>
      </c>
      <c r="C3565" s="21" t="s">
        <v>848</v>
      </c>
      <c r="D3565" s="8" t="s">
        <v>11</v>
      </c>
      <c r="E3565" s="20">
        <v>1.4</v>
      </c>
      <c r="F3565" s="9">
        <v>293000</v>
      </c>
      <c r="G3565" s="10">
        <f t="shared" ref="G3565:G3567" si="235">IFERROR(E3565*F3565,0)</f>
        <v>410200</v>
      </c>
      <c r="H3565" s="11"/>
    </row>
    <row r="3566" spans="1:26" ht="15.75" customHeight="1" x14ac:dyDescent="0.4">
      <c r="A3566" s="6">
        <v>2</v>
      </c>
      <c r="B3566" s="22" t="s">
        <v>849</v>
      </c>
      <c r="C3566" s="23" t="s">
        <v>850</v>
      </c>
      <c r="D3566" s="13" t="s">
        <v>13</v>
      </c>
      <c r="E3566" s="22">
        <v>1.92</v>
      </c>
      <c r="F3566" s="14">
        <v>435000</v>
      </c>
      <c r="G3566" s="10">
        <f t="shared" si="235"/>
        <v>835200</v>
      </c>
      <c r="H3566" s="11"/>
    </row>
    <row r="3567" spans="1:26" ht="29.25" customHeight="1" x14ac:dyDescent="0.4">
      <c r="A3567" s="6">
        <v>3</v>
      </c>
      <c r="B3567" s="15" t="s">
        <v>14</v>
      </c>
      <c r="C3567" s="11"/>
      <c r="D3567" s="11"/>
      <c r="E3567" s="11"/>
      <c r="F3567" s="11"/>
      <c r="G3567" s="16">
        <f t="shared" si="235"/>
        <v>0</v>
      </c>
      <c r="H3567" s="11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1:26" ht="26.25" x14ac:dyDescent="0.4">
      <c r="A3568" s="29" t="s">
        <v>15</v>
      </c>
      <c r="B3568" s="26"/>
      <c r="C3568" s="26"/>
      <c r="D3568" s="26"/>
      <c r="E3568" s="26"/>
      <c r="F3568" s="26"/>
      <c r="G3568" s="27"/>
      <c r="H3568" s="17">
        <f>SUM(G3565:G3567)</f>
        <v>1245400</v>
      </c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1:26" ht="26.25" x14ac:dyDescent="0.4">
      <c r="A3569" s="29" t="s">
        <v>16</v>
      </c>
      <c r="B3569" s="26"/>
      <c r="C3569" s="26"/>
      <c r="D3569" s="26"/>
      <c r="E3569" s="26"/>
      <c r="F3569" s="26"/>
      <c r="G3569" s="27"/>
      <c r="H3569" s="17">
        <f>MAX(0,H3568-648000)</f>
        <v>597400</v>
      </c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1:26" ht="26.25" x14ac:dyDescent="0.4">
      <c r="A3570" s="25" t="s">
        <v>17</v>
      </c>
      <c r="B3570" s="26"/>
      <c r="C3570" s="26"/>
      <c r="D3570" s="26"/>
      <c r="E3570" s="26"/>
      <c r="F3570" s="26"/>
      <c r="G3570" s="27"/>
      <c r="H3570" s="18">
        <v>649000</v>
      </c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1:26" ht="26.25" x14ac:dyDescent="0.4">
      <c r="A3571" s="28" t="s">
        <v>18</v>
      </c>
      <c r="B3571" s="26"/>
      <c r="C3571" s="26"/>
      <c r="D3571" s="26"/>
      <c r="E3571" s="26"/>
      <c r="F3571" s="26"/>
      <c r="G3571" s="26"/>
      <c r="H3571" s="27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1:26" ht="12.75" x14ac:dyDescent="0.2"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1:26" ht="12.75" x14ac:dyDescent="0.2"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1:26" ht="12.75" x14ac:dyDescent="0.2"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1:26" ht="12.75" x14ac:dyDescent="0.2"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1:26" ht="12.75" x14ac:dyDescent="0.2"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80" spans="1:26" ht="15.75" customHeight="1" x14ac:dyDescent="0.4">
      <c r="A3580" s="28" t="s">
        <v>0</v>
      </c>
      <c r="B3580" s="26"/>
      <c r="C3580" s="26"/>
      <c r="D3580" s="26"/>
      <c r="E3580" s="26"/>
      <c r="F3580" s="26"/>
      <c r="G3580" s="26"/>
      <c r="H3580" s="27"/>
    </row>
    <row r="3581" spans="1:26" ht="15.75" customHeight="1" x14ac:dyDescent="0.4">
      <c r="A3581" s="28" t="s">
        <v>851</v>
      </c>
      <c r="B3581" s="26"/>
      <c r="C3581" s="26"/>
      <c r="D3581" s="26"/>
      <c r="E3581" s="26"/>
      <c r="F3581" s="26"/>
      <c r="G3581" s="26"/>
      <c r="H3581" s="27"/>
    </row>
    <row r="3582" spans="1:26" ht="29.25" customHeight="1" x14ac:dyDescent="0.3">
      <c r="A3582" s="3" t="s">
        <v>2</v>
      </c>
      <c r="B3582" s="3" t="s">
        <v>3</v>
      </c>
      <c r="C3582" s="3" t="s">
        <v>4</v>
      </c>
      <c r="D3582" s="3" t="s">
        <v>5</v>
      </c>
      <c r="E3582" s="3" t="s">
        <v>6</v>
      </c>
      <c r="F3582" s="4" t="s">
        <v>7</v>
      </c>
      <c r="G3582" s="3" t="s">
        <v>8</v>
      </c>
      <c r="H3582" s="5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1:26" ht="26.25" x14ac:dyDescent="0.4">
      <c r="A3583" s="6">
        <v>1</v>
      </c>
      <c r="B3583" s="20" t="s">
        <v>852</v>
      </c>
      <c r="C3583" s="21" t="s">
        <v>641</v>
      </c>
      <c r="D3583" s="8" t="s">
        <v>11</v>
      </c>
      <c r="E3583" s="20">
        <v>2</v>
      </c>
      <c r="F3583" s="9">
        <v>293000</v>
      </c>
      <c r="G3583" s="10">
        <f t="shared" ref="G3583:G3585" si="236">IFERROR(E3583*F3583,0)</f>
        <v>586000</v>
      </c>
      <c r="H3583" s="11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1:26" ht="26.25" x14ac:dyDescent="0.4">
      <c r="A3584" s="6">
        <v>2</v>
      </c>
      <c r="B3584" s="22" t="s">
        <v>60</v>
      </c>
      <c r="C3584" s="23" t="s">
        <v>853</v>
      </c>
      <c r="D3584" s="13" t="s">
        <v>13</v>
      </c>
      <c r="E3584" s="22">
        <v>1.55</v>
      </c>
      <c r="F3584" s="14">
        <v>435000</v>
      </c>
      <c r="G3584" s="10">
        <f t="shared" si="236"/>
        <v>674250</v>
      </c>
      <c r="H3584" s="11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1:26" ht="26.25" x14ac:dyDescent="0.4">
      <c r="A3585" s="6">
        <v>3</v>
      </c>
      <c r="B3585" s="15" t="s">
        <v>14</v>
      </c>
      <c r="C3585" s="11"/>
      <c r="D3585" s="11"/>
      <c r="E3585" s="11"/>
      <c r="F3585" s="11"/>
      <c r="G3585" s="16">
        <f t="shared" si="236"/>
        <v>0</v>
      </c>
      <c r="H3585" s="11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1:26" ht="26.25" x14ac:dyDescent="0.4">
      <c r="A3586" s="29" t="s">
        <v>15</v>
      </c>
      <c r="B3586" s="26"/>
      <c r="C3586" s="26"/>
      <c r="D3586" s="26"/>
      <c r="E3586" s="26"/>
      <c r="F3586" s="26"/>
      <c r="G3586" s="27"/>
      <c r="H3586" s="17">
        <f>SUM(G3583:G3585)</f>
        <v>1260250</v>
      </c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1:26" ht="26.25" x14ac:dyDescent="0.4">
      <c r="A3587" s="29" t="s">
        <v>16</v>
      </c>
      <c r="B3587" s="26"/>
      <c r="C3587" s="26"/>
      <c r="D3587" s="26"/>
      <c r="E3587" s="26"/>
      <c r="F3587" s="26"/>
      <c r="G3587" s="27"/>
      <c r="H3587" s="17">
        <f>MAX(0,H3586-648000)</f>
        <v>612250</v>
      </c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1:26" ht="26.25" x14ac:dyDescent="0.4">
      <c r="A3588" s="25" t="s">
        <v>17</v>
      </c>
      <c r="B3588" s="26"/>
      <c r="C3588" s="26"/>
      <c r="D3588" s="26"/>
      <c r="E3588" s="26"/>
      <c r="F3588" s="26"/>
      <c r="G3588" s="27"/>
      <c r="H3588" s="18">
        <v>649000</v>
      </c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1:26" ht="26.25" x14ac:dyDescent="0.4">
      <c r="A3589" s="28" t="s">
        <v>18</v>
      </c>
      <c r="B3589" s="26"/>
      <c r="C3589" s="26"/>
      <c r="D3589" s="26"/>
      <c r="E3589" s="26"/>
      <c r="F3589" s="26"/>
      <c r="G3589" s="26"/>
      <c r="H3589" s="27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1:26" ht="12.75" x14ac:dyDescent="0.2"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1:26" ht="12.75" x14ac:dyDescent="0.2"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5" spans="1:26" ht="15.75" customHeight="1" x14ac:dyDescent="0.4">
      <c r="A3595" s="28" t="s">
        <v>0</v>
      </c>
      <c r="B3595" s="26"/>
      <c r="C3595" s="26"/>
      <c r="D3595" s="26"/>
      <c r="E3595" s="26"/>
      <c r="F3595" s="26"/>
      <c r="G3595" s="26"/>
      <c r="H3595" s="27"/>
    </row>
    <row r="3596" spans="1:26" ht="29.25" customHeight="1" x14ac:dyDescent="0.4">
      <c r="A3596" s="28" t="s">
        <v>854</v>
      </c>
      <c r="B3596" s="26"/>
      <c r="C3596" s="26"/>
      <c r="D3596" s="26"/>
      <c r="E3596" s="26"/>
      <c r="F3596" s="26"/>
      <c r="G3596" s="26"/>
      <c r="H3596" s="27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1:26" ht="18.75" x14ac:dyDescent="0.3">
      <c r="A3597" s="3" t="s">
        <v>2</v>
      </c>
      <c r="B3597" s="3" t="s">
        <v>3</v>
      </c>
      <c r="C3597" s="3" t="s">
        <v>4</v>
      </c>
      <c r="D3597" s="3" t="s">
        <v>5</v>
      </c>
      <c r="E3597" s="3" t="s">
        <v>6</v>
      </c>
      <c r="F3597" s="4" t="s">
        <v>7</v>
      </c>
      <c r="G3597" s="3" t="s">
        <v>8</v>
      </c>
      <c r="H3597" s="5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1:26" ht="26.25" x14ac:dyDescent="0.4">
      <c r="A3598" s="6">
        <v>1</v>
      </c>
      <c r="B3598" s="20" t="s">
        <v>855</v>
      </c>
      <c r="C3598" s="21" t="s">
        <v>856</v>
      </c>
      <c r="D3598" s="8" t="s">
        <v>11</v>
      </c>
      <c r="E3598" s="20">
        <v>2</v>
      </c>
      <c r="F3598" s="9">
        <v>293000</v>
      </c>
      <c r="G3598" s="10">
        <f t="shared" ref="G3598:G3600" si="237">IFERROR(E3598*F3598,0)</f>
        <v>586000</v>
      </c>
      <c r="H3598" s="11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1:26" ht="26.25" x14ac:dyDescent="0.4">
      <c r="A3599" s="6">
        <v>2</v>
      </c>
      <c r="B3599" s="22" t="s">
        <v>218</v>
      </c>
      <c r="C3599" s="23" t="s">
        <v>857</v>
      </c>
      <c r="D3599" s="13" t="s">
        <v>13</v>
      </c>
      <c r="E3599" s="22">
        <v>1.45</v>
      </c>
      <c r="F3599" s="14">
        <v>435000</v>
      </c>
      <c r="G3599" s="10">
        <f t="shared" si="237"/>
        <v>630750</v>
      </c>
      <c r="H3599" s="11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1:26" ht="26.25" x14ac:dyDescent="0.4">
      <c r="A3600" s="6">
        <v>3</v>
      </c>
      <c r="B3600" s="15" t="s">
        <v>14</v>
      </c>
      <c r="C3600" s="11"/>
      <c r="D3600" s="11"/>
      <c r="E3600" s="11"/>
      <c r="F3600" s="11"/>
      <c r="G3600" s="16">
        <f t="shared" si="237"/>
        <v>0</v>
      </c>
      <c r="H3600" s="11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1:26" ht="26.25" x14ac:dyDescent="0.4">
      <c r="A3601" s="29" t="s">
        <v>15</v>
      </c>
      <c r="B3601" s="26"/>
      <c r="C3601" s="26"/>
      <c r="D3601" s="26"/>
      <c r="E3601" s="26"/>
      <c r="F3601" s="26"/>
      <c r="G3601" s="27"/>
      <c r="H3601" s="17">
        <f>SUM(G3598:G3600)</f>
        <v>1216750</v>
      </c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1:26" ht="26.25" x14ac:dyDescent="0.4">
      <c r="A3602" s="29" t="s">
        <v>16</v>
      </c>
      <c r="B3602" s="26"/>
      <c r="C3602" s="26"/>
      <c r="D3602" s="26"/>
      <c r="E3602" s="26"/>
      <c r="F3602" s="26"/>
      <c r="G3602" s="27"/>
      <c r="H3602" s="17">
        <f>MAX(0,H3601-648000)</f>
        <v>568750</v>
      </c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1:26" ht="26.25" x14ac:dyDescent="0.4">
      <c r="A3603" s="25" t="s">
        <v>17</v>
      </c>
      <c r="B3603" s="26"/>
      <c r="C3603" s="26"/>
      <c r="D3603" s="26"/>
      <c r="E3603" s="26"/>
      <c r="F3603" s="26"/>
      <c r="G3603" s="27"/>
      <c r="H3603" s="18">
        <v>649000</v>
      </c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1:26" ht="26.25" x14ac:dyDescent="0.4">
      <c r="A3604" s="28" t="s">
        <v>18</v>
      </c>
      <c r="B3604" s="26"/>
      <c r="C3604" s="26"/>
      <c r="D3604" s="26"/>
      <c r="E3604" s="26"/>
      <c r="F3604" s="26"/>
      <c r="G3604" s="26"/>
      <c r="H3604" s="27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1:26" ht="12.75" x14ac:dyDescent="0.2"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9" spans="1:26" ht="15.75" customHeight="1" x14ac:dyDescent="0.4">
      <c r="A3609" s="28" t="s">
        <v>0</v>
      </c>
      <c r="B3609" s="26"/>
      <c r="C3609" s="26"/>
      <c r="D3609" s="26"/>
      <c r="E3609" s="26"/>
      <c r="F3609" s="26"/>
      <c r="G3609" s="26"/>
      <c r="H3609" s="27"/>
    </row>
    <row r="3610" spans="1:26" ht="29.25" customHeight="1" x14ac:dyDescent="0.4">
      <c r="A3610" s="28" t="s">
        <v>858</v>
      </c>
      <c r="B3610" s="26"/>
      <c r="C3610" s="26"/>
      <c r="D3610" s="26"/>
      <c r="E3610" s="26"/>
      <c r="F3610" s="26"/>
      <c r="G3610" s="26"/>
      <c r="H3610" s="27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1:26" ht="18.75" x14ac:dyDescent="0.3">
      <c r="A3611" s="3" t="s">
        <v>2</v>
      </c>
      <c r="B3611" s="3" t="s">
        <v>3</v>
      </c>
      <c r="C3611" s="3" t="s">
        <v>4</v>
      </c>
      <c r="D3611" s="3" t="s">
        <v>5</v>
      </c>
      <c r="E3611" s="3" t="s">
        <v>6</v>
      </c>
      <c r="F3611" s="4" t="s">
        <v>7</v>
      </c>
      <c r="G3611" s="3" t="s">
        <v>8</v>
      </c>
      <c r="H3611" s="5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1:26" ht="26.25" x14ac:dyDescent="0.4">
      <c r="A3612" s="6">
        <v>1</v>
      </c>
      <c r="B3612" s="20" t="s">
        <v>544</v>
      </c>
      <c r="C3612" s="21" t="s">
        <v>859</v>
      </c>
      <c r="D3612" s="8" t="s">
        <v>11</v>
      </c>
      <c r="E3612" s="20">
        <v>2.7</v>
      </c>
      <c r="F3612" s="9">
        <v>293000</v>
      </c>
      <c r="G3612" s="10">
        <f t="shared" ref="G3612:G3614" si="238">IFERROR(E3612*F3612,0)</f>
        <v>791100</v>
      </c>
      <c r="H3612" s="11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1:26" ht="26.25" x14ac:dyDescent="0.4">
      <c r="A3613" s="6">
        <v>2</v>
      </c>
      <c r="B3613" s="22" t="s">
        <v>214</v>
      </c>
      <c r="C3613" s="23" t="s">
        <v>860</v>
      </c>
      <c r="D3613" s="13" t="s">
        <v>13</v>
      </c>
      <c r="E3613" s="22">
        <v>1</v>
      </c>
      <c r="F3613" s="14">
        <v>435000</v>
      </c>
      <c r="G3613" s="10">
        <f t="shared" si="238"/>
        <v>435000</v>
      </c>
      <c r="H3613" s="11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1:26" ht="26.25" x14ac:dyDescent="0.4">
      <c r="A3614" s="6">
        <v>3</v>
      </c>
      <c r="B3614" s="15" t="s">
        <v>14</v>
      </c>
      <c r="C3614" s="11"/>
      <c r="D3614" s="11"/>
      <c r="E3614" s="11"/>
      <c r="F3614" s="11"/>
      <c r="G3614" s="16">
        <f t="shared" si="238"/>
        <v>0</v>
      </c>
      <c r="H3614" s="11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1:26" ht="26.25" x14ac:dyDescent="0.4">
      <c r="A3615" s="29" t="s">
        <v>15</v>
      </c>
      <c r="B3615" s="26"/>
      <c r="C3615" s="26"/>
      <c r="D3615" s="26"/>
      <c r="E3615" s="26"/>
      <c r="F3615" s="26"/>
      <c r="G3615" s="27"/>
      <c r="H3615" s="17">
        <f>SUM(G3612:G3614)</f>
        <v>1226100</v>
      </c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1:26" ht="26.25" x14ac:dyDescent="0.4">
      <c r="A3616" s="29" t="s">
        <v>16</v>
      </c>
      <c r="B3616" s="26"/>
      <c r="C3616" s="26"/>
      <c r="D3616" s="26"/>
      <c r="E3616" s="26"/>
      <c r="F3616" s="26"/>
      <c r="G3616" s="27"/>
      <c r="H3616" s="17">
        <f>MAX(0,H3615-648000)</f>
        <v>578100</v>
      </c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1:26" ht="26.25" x14ac:dyDescent="0.4">
      <c r="A3617" s="25" t="s">
        <v>17</v>
      </c>
      <c r="B3617" s="26"/>
      <c r="C3617" s="26"/>
      <c r="D3617" s="26"/>
      <c r="E3617" s="26"/>
      <c r="F3617" s="26"/>
      <c r="G3617" s="27"/>
      <c r="H3617" s="18">
        <v>649000</v>
      </c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1:26" ht="26.25" x14ac:dyDescent="0.4">
      <c r="A3618" s="28" t="s">
        <v>18</v>
      </c>
      <c r="B3618" s="26"/>
      <c r="C3618" s="26"/>
      <c r="D3618" s="26"/>
      <c r="E3618" s="26"/>
      <c r="F3618" s="26"/>
      <c r="G3618" s="26"/>
      <c r="H3618" s="27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1:26" ht="12.75" x14ac:dyDescent="0.2"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3" spans="1:26" ht="15.75" customHeight="1" x14ac:dyDescent="0.4">
      <c r="A3623" s="28" t="s">
        <v>0</v>
      </c>
      <c r="B3623" s="26"/>
      <c r="C3623" s="26"/>
      <c r="D3623" s="26"/>
      <c r="E3623" s="26"/>
      <c r="F3623" s="26"/>
      <c r="G3623" s="26"/>
      <c r="H3623" s="27"/>
    </row>
    <row r="3624" spans="1:26" ht="29.25" customHeight="1" x14ac:dyDescent="0.4">
      <c r="A3624" s="28" t="s">
        <v>861</v>
      </c>
      <c r="B3624" s="26"/>
      <c r="C3624" s="26"/>
      <c r="D3624" s="26"/>
      <c r="E3624" s="26"/>
      <c r="F3624" s="26"/>
      <c r="G3624" s="26"/>
      <c r="H3624" s="27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1:26" ht="18.75" x14ac:dyDescent="0.3">
      <c r="A3625" s="3" t="s">
        <v>2</v>
      </c>
      <c r="B3625" s="3" t="s">
        <v>3</v>
      </c>
      <c r="C3625" s="3" t="s">
        <v>4</v>
      </c>
      <c r="D3625" s="3" t="s">
        <v>5</v>
      </c>
      <c r="E3625" s="3" t="s">
        <v>6</v>
      </c>
      <c r="F3625" s="4" t="s">
        <v>7</v>
      </c>
      <c r="G3625" s="3" t="s">
        <v>8</v>
      </c>
      <c r="H3625" s="5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1:26" ht="26.25" x14ac:dyDescent="0.4">
      <c r="A3626" s="6">
        <v>1</v>
      </c>
      <c r="B3626" s="20" t="s">
        <v>862</v>
      </c>
      <c r="C3626" s="21" t="s">
        <v>863</v>
      </c>
      <c r="D3626" s="8" t="s">
        <v>11</v>
      </c>
      <c r="E3626" s="20">
        <v>1.5</v>
      </c>
      <c r="F3626" s="9">
        <v>293000</v>
      </c>
      <c r="G3626" s="10">
        <f t="shared" ref="G3626:G3628" si="239">IFERROR(E3626*F3626,0)</f>
        <v>439500</v>
      </c>
      <c r="H3626" s="11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1:26" ht="26.25" x14ac:dyDescent="0.4">
      <c r="A3627" s="6">
        <v>2</v>
      </c>
      <c r="B3627" s="22" t="s">
        <v>151</v>
      </c>
      <c r="C3627" s="23" t="s">
        <v>166</v>
      </c>
      <c r="D3627" s="13" t="s">
        <v>13</v>
      </c>
      <c r="E3627" s="22">
        <v>2</v>
      </c>
      <c r="F3627" s="14">
        <v>435000</v>
      </c>
      <c r="G3627" s="10">
        <f t="shared" si="239"/>
        <v>870000</v>
      </c>
      <c r="H3627" s="11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1:26" ht="26.25" x14ac:dyDescent="0.4">
      <c r="A3628" s="6">
        <v>3</v>
      </c>
      <c r="B3628" s="15" t="s">
        <v>14</v>
      </c>
      <c r="C3628" s="11"/>
      <c r="D3628" s="11"/>
      <c r="E3628" s="11"/>
      <c r="F3628" s="11"/>
      <c r="G3628" s="16">
        <f t="shared" si="239"/>
        <v>0</v>
      </c>
      <c r="H3628" s="11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1:26" ht="26.25" x14ac:dyDescent="0.4">
      <c r="A3629" s="29" t="s">
        <v>15</v>
      </c>
      <c r="B3629" s="26"/>
      <c r="C3629" s="26"/>
      <c r="D3629" s="26"/>
      <c r="E3629" s="26"/>
      <c r="F3629" s="26"/>
      <c r="G3629" s="27"/>
      <c r="H3629" s="17">
        <f>SUM(G3626:G3628)</f>
        <v>1309500</v>
      </c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1:26" ht="26.25" x14ac:dyDescent="0.4">
      <c r="A3630" s="29" t="s">
        <v>16</v>
      </c>
      <c r="B3630" s="26"/>
      <c r="C3630" s="26"/>
      <c r="D3630" s="26"/>
      <c r="E3630" s="26"/>
      <c r="F3630" s="26"/>
      <c r="G3630" s="27"/>
      <c r="H3630" s="17">
        <f>MAX(0,H3629-648000)</f>
        <v>661500</v>
      </c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1:26" ht="26.25" x14ac:dyDescent="0.4">
      <c r="A3631" s="25" t="s">
        <v>17</v>
      </c>
      <c r="B3631" s="26"/>
      <c r="C3631" s="26"/>
      <c r="D3631" s="26"/>
      <c r="E3631" s="26"/>
      <c r="F3631" s="26"/>
      <c r="G3631" s="27"/>
      <c r="H3631" s="18">
        <v>649000</v>
      </c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1:26" ht="26.25" x14ac:dyDescent="0.4">
      <c r="A3632" s="28" t="s">
        <v>18</v>
      </c>
      <c r="B3632" s="26"/>
      <c r="C3632" s="26"/>
      <c r="D3632" s="26"/>
      <c r="E3632" s="26"/>
      <c r="F3632" s="26"/>
      <c r="G3632" s="26"/>
      <c r="H3632" s="27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1:26" ht="12.75" x14ac:dyDescent="0.2"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7" spans="1:26" ht="15.75" customHeight="1" x14ac:dyDescent="0.4">
      <c r="A3637" s="28" t="s">
        <v>0</v>
      </c>
      <c r="B3637" s="26"/>
      <c r="C3637" s="26"/>
      <c r="D3637" s="26"/>
      <c r="E3637" s="26"/>
      <c r="F3637" s="26"/>
      <c r="G3637" s="26"/>
      <c r="H3637" s="27"/>
    </row>
    <row r="3638" spans="1:26" ht="15.75" customHeight="1" x14ac:dyDescent="0.4">
      <c r="A3638" s="28" t="s">
        <v>864</v>
      </c>
      <c r="B3638" s="26"/>
      <c r="C3638" s="26"/>
      <c r="D3638" s="26"/>
      <c r="E3638" s="26"/>
      <c r="F3638" s="26"/>
      <c r="G3638" s="26"/>
      <c r="H3638" s="27"/>
    </row>
    <row r="3639" spans="1:26" ht="15.75" customHeight="1" x14ac:dyDescent="0.3">
      <c r="A3639" s="3" t="s">
        <v>2</v>
      </c>
      <c r="B3639" s="3" t="s">
        <v>3</v>
      </c>
      <c r="C3639" s="3" t="s">
        <v>4</v>
      </c>
      <c r="D3639" s="3" t="s">
        <v>5</v>
      </c>
      <c r="E3639" s="3" t="s">
        <v>6</v>
      </c>
      <c r="F3639" s="4" t="s">
        <v>7</v>
      </c>
      <c r="G3639" s="3" t="s">
        <v>8</v>
      </c>
      <c r="H3639" s="5"/>
    </row>
    <row r="3640" spans="1:26" ht="15.75" customHeight="1" x14ac:dyDescent="0.4">
      <c r="A3640" s="6">
        <v>1</v>
      </c>
      <c r="B3640" s="20" t="s">
        <v>776</v>
      </c>
      <c r="C3640" s="21" t="s">
        <v>865</v>
      </c>
      <c r="D3640" s="8" t="s">
        <v>11</v>
      </c>
      <c r="E3640" s="20">
        <v>0.88</v>
      </c>
      <c r="F3640" s="9">
        <v>293000</v>
      </c>
      <c r="G3640" s="10">
        <f t="shared" ref="G3640:G3642" si="240">IFERROR(E3640*F3640,0)</f>
        <v>257840</v>
      </c>
      <c r="H3640" s="11"/>
    </row>
    <row r="3641" spans="1:26" ht="15.75" customHeight="1" x14ac:dyDescent="0.4">
      <c r="A3641" s="6">
        <v>2</v>
      </c>
      <c r="B3641" s="22" t="s">
        <v>98</v>
      </c>
      <c r="C3641" s="23" t="s">
        <v>203</v>
      </c>
      <c r="D3641" s="13" t="s">
        <v>13</v>
      </c>
      <c r="E3641" s="22">
        <v>2.7</v>
      </c>
      <c r="F3641" s="14">
        <v>435000</v>
      </c>
      <c r="G3641" s="10">
        <f t="shared" si="240"/>
        <v>1174500</v>
      </c>
      <c r="H3641" s="11"/>
    </row>
    <row r="3642" spans="1:26" ht="15.75" customHeight="1" x14ac:dyDescent="0.4">
      <c r="A3642" s="6">
        <v>3</v>
      </c>
      <c r="B3642" s="15" t="s">
        <v>14</v>
      </c>
      <c r="C3642" s="11"/>
      <c r="D3642" s="11"/>
      <c r="E3642" s="11"/>
      <c r="F3642" s="11"/>
      <c r="G3642" s="16">
        <f t="shared" si="240"/>
        <v>0</v>
      </c>
      <c r="H3642" s="11"/>
    </row>
    <row r="3643" spans="1:26" ht="29.25" customHeight="1" x14ac:dyDescent="0.4">
      <c r="A3643" s="29" t="s">
        <v>15</v>
      </c>
      <c r="B3643" s="26"/>
      <c r="C3643" s="26"/>
      <c r="D3643" s="26"/>
      <c r="E3643" s="26"/>
      <c r="F3643" s="26"/>
      <c r="G3643" s="27"/>
      <c r="H3643" s="17">
        <f>SUM(G3640:G3642)</f>
        <v>1432340</v>
      </c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1:26" ht="26.25" x14ac:dyDescent="0.4">
      <c r="A3644" s="29" t="s">
        <v>16</v>
      </c>
      <c r="B3644" s="26"/>
      <c r="C3644" s="26"/>
      <c r="D3644" s="26"/>
      <c r="E3644" s="26"/>
      <c r="F3644" s="26"/>
      <c r="G3644" s="27"/>
      <c r="H3644" s="17">
        <f>MAX(0,H3643-648000)</f>
        <v>784340</v>
      </c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1:26" ht="26.25" x14ac:dyDescent="0.4">
      <c r="A3645" s="25" t="s">
        <v>17</v>
      </c>
      <c r="B3645" s="26"/>
      <c r="C3645" s="26"/>
      <c r="D3645" s="26"/>
      <c r="E3645" s="26"/>
      <c r="F3645" s="26"/>
      <c r="G3645" s="27"/>
      <c r="H3645" s="18">
        <v>649000</v>
      </c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1:26" ht="26.25" x14ac:dyDescent="0.4">
      <c r="A3646" s="28" t="s">
        <v>18</v>
      </c>
      <c r="B3646" s="26"/>
      <c r="C3646" s="26"/>
      <c r="D3646" s="26"/>
      <c r="E3646" s="26"/>
      <c r="F3646" s="26"/>
      <c r="G3646" s="26"/>
      <c r="H3646" s="27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1:26" ht="12.75" x14ac:dyDescent="0.2"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1:26" ht="12.75" x14ac:dyDescent="0.2"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1:26" ht="12.75" x14ac:dyDescent="0.2"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1:26" ht="12.75" x14ac:dyDescent="0.2"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1:26" ht="12.75" x14ac:dyDescent="0.2"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1:26" ht="12.75" x14ac:dyDescent="0.2"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6" spans="1:26" ht="15.75" customHeight="1" x14ac:dyDescent="0.4">
      <c r="A3656" s="28" t="s">
        <v>0</v>
      </c>
      <c r="B3656" s="26"/>
      <c r="C3656" s="26"/>
      <c r="D3656" s="26"/>
      <c r="E3656" s="26"/>
      <c r="F3656" s="26"/>
      <c r="G3656" s="26"/>
      <c r="H3656" s="27"/>
    </row>
    <row r="3657" spans="1:26" ht="15.75" customHeight="1" x14ac:dyDescent="0.4">
      <c r="A3657" s="28" t="s">
        <v>866</v>
      </c>
      <c r="B3657" s="26"/>
      <c r="C3657" s="26"/>
      <c r="D3657" s="26"/>
      <c r="E3657" s="26"/>
      <c r="F3657" s="26"/>
      <c r="G3657" s="26"/>
      <c r="H3657" s="27"/>
    </row>
    <row r="3658" spans="1:26" ht="29.25" customHeight="1" x14ac:dyDescent="0.3">
      <c r="A3658" s="3" t="s">
        <v>2</v>
      </c>
      <c r="B3658" s="3" t="s">
        <v>3</v>
      </c>
      <c r="C3658" s="3" t="s">
        <v>4</v>
      </c>
      <c r="D3658" s="3" t="s">
        <v>5</v>
      </c>
      <c r="E3658" s="3" t="s">
        <v>6</v>
      </c>
      <c r="F3658" s="4" t="s">
        <v>7</v>
      </c>
      <c r="G3658" s="3" t="s">
        <v>8</v>
      </c>
      <c r="H3658" s="5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1:26" ht="26.25" x14ac:dyDescent="0.4">
      <c r="A3659" s="6">
        <v>1</v>
      </c>
      <c r="B3659" s="20" t="s">
        <v>544</v>
      </c>
      <c r="C3659" s="21" t="s">
        <v>844</v>
      </c>
      <c r="D3659" s="8" t="s">
        <v>11</v>
      </c>
      <c r="E3659" s="20">
        <v>2</v>
      </c>
      <c r="F3659" s="9">
        <v>293000</v>
      </c>
      <c r="G3659" s="10">
        <f t="shared" ref="G3659:G3661" si="241">IFERROR(E3659*F3659,0)</f>
        <v>586000</v>
      </c>
      <c r="H3659" s="11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1:26" ht="26.25" x14ac:dyDescent="0.4">
      <c r="A3660" s="6">
        <v>2</v>
      </c>
      <c r="B3660" s="22" t="s">
        <v>94</v>
      </c>
      <c r="C3660" s="23" t="s">
        <v>867</v>
      </c>
      <c r="D3660" s="13" t="s">
        <v>13</v>
      </c>
      <c r="E3660" s="22">
        <v>1.55</v>
      </c>
      <c r="F3660" s="14">
        <v>435000</v>
      </c>
      <c r="G3660" s="10">
        <f t="shared" si="241"/>
        <v>674250</v>
      </c>
      <c r="H3660" s="11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1:26" ht="26.25" x14ac:dyDescent="0.4">
      <c r="A3661" s="6">
        <v>3</v>
      </c>
      <c r="B3661" s="15" t="s">
        <v>14</v>
      </c>
      <c r="C3661" s="11"/>
      <c r="D3661" s="11"/>
      <c r="E3661" s="11"/>
      <c r="F3661" s="11"/>
      <c r="G3661" s="16">
        <f t="shared" si="241"/>
        <v>0</v>
      </c>
      <c r="H3661" s="11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1:26" ht="26.25" x14ac:dyDescent="0.4">
      <c r="A3662" s="29" t="s">
        <v>15</v>
      </c>
      <c r="B3662" s="26"/>
      <c r="C3662" s="26"/>
      <c r="D3662" s="26"/>
      <c r="E3662" s="26"/>
      <c r="F3662" s="26"/>
      <c r="G3662" s="27"/>
      <c r="H3662" s="17">
        <f>SUM(G3659:G3661)</f>
        <v>1260250</v>
      </c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1:26" ht="26.25" x14ac:dyDescent="0.4">
      <c r="A3663" s="29" t="s">
        <v>16</v>
      </c>
      <c r="B3663" s="26"/>
      <c r="C3663" s="26"/>
      <c r="D3663" s="26"/>
      <c r="E3663" s="26"/>
      <c r="F3663" s="26"/>
      <c r="G3663" s="27"/>
      <c r="H3663" s="17">
        <f>MAX(0,H3662-648000)</f>
        <v>612250</v>
      </c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1:26" ht="26.25" x14ac:dyDescent="0.4">
      <c r="A3664" s="25" t="s">
        <v>17</v>
      </c>
      <c r="B3664" s="26"/>
      <c r="C3664" s="26"/>
      <c r="D3664" s="26"/>
      <c r="E3664" s="26"/>
      <c r="F3664" s="26"/>
      <c r="G3664" s="27"/>
      <c r="H3664" s="18">
        <v>649000</v>
      </c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1:26" ht="26.25" x14ac:dyDescent="0.4">
      <c r="A3665" s="28" t="s">
        <v>18</v>
      </c>
      <c r="B3665" s="26"/>
      <c r="C3665" s="26"/>
      <c r="D3665" s="26"/>
      <c r="E3665" s="26"/>
      <c r="F3665" s="26"/>
      <c r="G3665" s="26"/>
      <c r="H3665" s="27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1:26" ht="12.75" x14ac:dyDescent="0.2"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1:26" ht="12.75" x14ac:dyDescent="0.2"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71" spans="1:26" ht="15.75" customHeight="1" x14ac:dyDescent="0.4">
      <c r="A3671" s="28" t="s">
        <v>0</v>
      </c>
      <c r="B3671" s="26"/>
      <c r="C3671" s="26"/>
      <c r="D3671" s="26"/>
      <c r="E3671" s="26"/>
      <c r="F3671" s="26"/>
      <c r="G3671" s="26"/>
      <c r="H3671" s="27"/>
    </row>
    <row r="3672" spans="1:26" ht="15.75" customHeight="1" x14ac:dyDescent="0.4">
      <c r="A3672" s="28" t="s">
        <v>868</v>
      </c>
      <c r="B3672" s="26"/>
      <c r="C3672" s="26"/>
      <c r="D3672" s="26"/>
      <c r="E3672" s="26"/>
      <c r="F3672" s="26"/>
      <c r="G3672" s="26"/>
      <c r="H3672" s="27"/>
    </row>
    <row r="3673" spans="1:26" ht="29.25" customHeight="1" x14ac:dyDescent="0.3">
      <c r="A3673" s="3" t="s">
        <v>2</v>
      </c>
      <c r="B3673" s="3" t="s">
        <v>3</v>
      </c>
      <c r="C3673" s="3" t="s">
        <v>4</v>
      </c>
      <c r="D3673" s="3" t="s">
        <v>5</v>
      </c>
      <c r="E3673" s="3" t="s">
        <v>6</v>
      </c>
      <c r="F3673" s="4" t="s">
        <v>7</v>
      </c>
      <c r="G3673" s="3" t="s">
        <v>8</v>
      </c>
      <c r="H3673" s="5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1:26" ht="26.25" x14ac:dyDescent="0.4">
      <c r="A3674" s="6">
        <v>1</v>
      </c>
      <c r="B3674" s="20" t="s">
        <v>511</v>
      </c>
      <c r="C3674" s="21" t="s">
        <v>869</v>
      </c>
      <c r="D3674" s="8" t="s">
        <v>11</v>
      </c>
      <c r="E3674" s="20">
        <v>1.5</v>
      </c>
      <c r="F3674" s="9">
        <v>293000</v>
      </c>
      <c r="G3674" s="10">
        <f t="shared" ref="G3674:G3676" si="242">IFERROR(E3674*F3674,0)</f>
        <v>439500</v>
      </c>
      <c r="H3674" s="11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1:26" ht="26.25" x14ac:dyDescent="0.4">
      <c r="A3675" s="6">
        <v>2</v>
      </c>
      <c r="B3675" s="22" t="s">
        <v>870</v>
      </c>
      <c r="C3675" s="23" t="s">
        <v>871</v>
      </c>
      <c r="D3675" s="13" t="s">
        <v>13</v>
      </c>
      <c r="E3675" s="22">
        <v>2</v>
      </c>
      <c r="F3675" s="14">
        <v>435000</v>
      </c>
      <c r="G3675" s="10">
        <f t="shared" si="242"/>
        <v>870000</v>
      </c>
      <c r="H3675" s="11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1:26" ht="26.25" x14ac:dyDescent="0.4">
      <c r="A3676" s="6">
        <v>3</v>
      </c>
      <c r="B3676" s="15" t="s">
        <v>14</v>
      </c>
      <c r="C3676" s="11"/>
      <c r="D3676" s="11"/>
      <c r="E3676" s="11"/>
      <c r="F3676" s="11"/>
      <c r="G3676" s="16">
        <f t="shared" si="242"/>
        <v>0</v>
      </c>
      <c r="H3676" s="11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1:26" ht="26.25" x14ac:dyDescent="0.4">
      <c r="A3677" s="29" t="s">
        <v>15</v>
      </c>
      <c r="B3677" s="26"/>
      <c r="C3677" s="26"/>
      <c r="D3677" s="26"/>
      <c r="E3677" s="26"/>
      <c r="F3677" s="26"/>
      <c r="G3677" s="27"/>
      <c r="H3677" s="17">
        <f>SUM(G3674:G3676)</f>
        <v>1309500</v>
      </c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1:26" ht="26.25" x14ac:dyDescent="0.4">
      <c r="A3678" s="29" t="s">
        <v>16</v>
      </c>
      <c r="B3678" s="26"/>
      <c r="C3678" s="26"/>
      <c r="D3678" s="26"/>
      <c r="E3678" s="26"/>
      <c r="F3678" s="26"/>
      <c r="G3678" s="27"/>
      <c r="H3678" s="17">
        <f>MAX(0,H3677-648000)</f>
        <v>661500</v>
      </c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1:26" ht="26.25" x14ac:dyDescent="0.4">
      <c r="A3679" s="25" t="s">
        <v>17</v>
      </c>
      <c r="B3679" s="26"/>
      <c r="C3679" s="26"/>
      <c r="D3679" s="26"/>
      <c r="E3679" s="26"/>
      <c r="F3679" s="26"/>
      <c r="G3679" s="27"/>
      <c r="H3679" s="18">
        <v>649000</v>
      </c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1:26" ht="26.25" x14ac:dyDescent="0.4">
      <c r="A3680" s="28" t="s">
        <v>18</v>
      </c>
      <c r="B3680" s="26"/>
      <c r="C3680" s="26"/>
      <c r="D3680" s="26"/>
      <c r="E3680" s="26"/>
      <c r="F3680" s="26"/>
      <c r="G3680" s="26"/>
      <c r="H3680" s="27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1:26" ht="12.75" x14ac:dyDescent="0.2"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1:26" ht="12.75" x14ac:dyDescent="0.2"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6" spans="1:26" ht="15.75" customHeight="1" x14ac:dyDescent="0.4">
      <c r="A3686" s="28" t="s">
        <v>0</v>
      </c>
      <c r="B3686" s="26"/>
      <c r="C3686" s="26"/>
      <c r="D3686" s="26"/>
      <c r="E3686" s="26"/>
      <c r="F3686" s="26"/>
      <c r="G3686" s="26"/>
      <c r="H3686" s="27"/>
    </row>
    <row r="3687" spans="1:26" ht="29.25" customHeight="1" x14ac:dyDescent="0.4">
      <c r="A3687" s="28" t="s">
        <v>872</v>
      </c>
      <c r="B3687" s="26"/>
      <c r="C3687" s="26"/>
      <c r="D3687" s="26"/>
      <c r="E3687" s="26"/>
      <c r="F3687" s="26"/>
      <c r="G3687" s="26"/>
      <c r="H3687" s="27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1:26" ht="18.75" x14ac:dyDescent="0.3">
      <c r="A3688" s="3" t="s">
        <v>2</v>
      </c>
      <c r="B3688" s="3" t="s">
        <v>3</v>
      </c>
      <c r="C3688" s="3" t="s">
        <v>4</v>
      </c>
      <c r="D3688" s="3" t="s">
        <v>5</v>
      </c>
      <c r="E3688" s="3" t="s">
        <v>6</v>
      </c>
      <c r="F3688" s="4" t="s">
        <v>7</v>
      </c>
      <c r="G3688" s="3" t="s">
        <v>8</v>
      </c>
      <c r="H3688" s="5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1:26" ht="26.25" x14ac:dyDescent="0.4">
      <c r="A3689" s="6">
        <v>1</v>
      </c>
      <c r="B3689" s="20" t="s">
        <v>873</v>
      </c>
      <c r="C3689" s="21" t="s">
        <v>874</v>
      </c>
      <c r="D3689" s="8" t="s">
        <v>11</v>
      </c>
      <c r="E3689" s="20">
        <v>1.5</v>
      </c>
      <c r="F3689" s="9">
        <v>293000</v>
      </c>
      <c r="G3689" s="10">
        <f t="shared" ref="G3689:G3691" si="243">IFERROR(E3689*F3689,0)</f>
        <v>439500</v>
      </c>
      <c r="H3689" s="11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1:26" ht="26.25" x14ac:dyDescent="0.4">
      <c r="A3690" s="6">
        <v>2</v>
      </c>
      <c r="B3690" s="22" t="s">
        <v>151</v>
      </c>
      <c r="C3690" s="23" t="s">
        <v>452</v>
      </c>
      <c r="D3690" s="13" t="s">
        <v>13</v>
      </c>
      <c r="E3690" s="22">
        <v>2</v>
      </c>
      <c r="F3690" s="14">
        <v>435000</v>
      </c>
      <c r="G3690" s="10">
        <f t="shared" si="243"/>
        <v>870000</v>
      </c>
      <c r="H3690" s="11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1:26" ht="26.25" x14ac:dyDescent="0.4">
      <c r="A3691" s="6">
        <v>3</v>
      </c>
      <c r="B3691" s="15" t="s">
        <v>14</v>
      </c>
      <c r="C3691" s="11"/>
      <c r="D3691" s="11"/>
      <c r="E3691" s="11"/>
      <c r="F3691" s="11"/>
      <c r="G3691" s="16">
        <f t="shared" si="243"/>
        <v>0</v>
      </c>
      <c r="H3691" s="11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1:26" ht="26.25" x14ac:dyDescent="0.4">
      <c r="A3692" s="29" t="s">
        <v>15</v>
      </c>
      <c r="B3692" s="26"/>
      <c r="C3692" s="26"/>
      <c r="D3692" s="26"/>
      <c r="E3692" s="26"/>
      <c r="F3692" s="26"/>
      <c r="G3692" s="27"/>
      <c r="H3692" s="17">
        <f>SUM(G3689:G3691)</f>
        <v>1309500</v>
      </c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1:26" ht="26.25" x14ac:dyDescent="0.4">
      <c r="A3693" s="29" t="s">
        <v>16</v>
      </c>
      <c r="B3693" s="26"/>
      <c r="C3693" s="26"/>
      <c r="D3693" s="26"/>
      <c r="E3693" s="26"/>
      <c r="F3693" s="26"/>
      <c r="G3693" s="27"/>
      <c r="H3693" s="17">
        <f>MAX(0,H3692-648000)</f>
        <v>661500</v>
      </c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1:26" ht="26.25" x14ac:dyDescent="0.4">
      <c r="A3694" s="25" t="s">
        <v>17</v>
      </c>
      <c r="B3694" s="26"/>
      <c r="C3694" s="26"/>
      <c r="D3694" s="26"/>
      <c r="E3694" s="26"/>
      <c r="F3694" s="26"/>
      <c r="G3694" s="27"/>
      <c r="H3694" s="18">
        <v>649000</v>
      </c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1:26" ht="26.25" x14ac:dyDescent="0.4">
      <c r="A3695" s="28" t="s">
        <v>18</v>
      </c>
      <c r="B3695" s="26"/>
      <c r="C3695" s="26"/>
      <c r="D3695" s="26"/>
      <c r="E3695" s="26"/>
      <c r="F3695" s="26"/>
      <c r="G3695" s="26"/>
      <c r="H3695" s="27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1:26" ht="12.75" x14ac:dyDescent="0.2"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700" spans="1:26" ht="15.75" customHeight="1" x14ac:dyDescent="0.4">
      <c r="A3700" s="28" t="s">
        <v>0</v>
      </c>
      <c r="B3700" s="26"/>
      <c r="C3700" s="26"/>
      <c r="D3700" s="26"/>
      <c r="E3700" s="26"/>
      <c r="F3700" s="26"/>
      <c r="G3700" s="26"/>
      <c r="H3700" s="27"/>
    </row>
    <row r="3701" spans="1:26" ht="29.25" customHeight="1" x14ac:dyDescent="0.4">
      <c r="A3701" s="28" t="s">
        <v>875</v>
      </c>
      <c r="B3701" s="26"/>
      <c r="C3701" s="26"/>
      <c r="D3701" s="26"/>
      <c r="E3701" s="26"/>
      <c r="F3701" s="26"/>
      <c r="G3701" s="26"/>
      <c r="H3701" s="27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1:26" ht="18.75" x14ac:dyDescent="0.3">
      <c r="A3702" s="3" t="s">
        <v>2</v>
      </c>
      <c r="B3702" s="3" t="s">
        <v>3</v>
      </c>
      <c r="C3702" s="3" t="s">
        <v>4</v>
      </c>
      <c r="D3702" s="3" t="s">
        <v>5</v>
      </c>
      <c r="E3702" s="3" t="s">
        <v>6</v>
      </c>
      <c r="F3702" s="4" t="s">
        <v>7</v>
      </c>
      <c r="G3702" s="3" t="s">
        <v>8</v>
      </c>
      <c r="H3702" s="5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1:26" ht="26.25" x14ac:dyDescent="0.4">
      <c r="A3703" s="6">
        <v>1</v>
      </c>
      <c r="B3703" s="20" t="s">
        <v>12</v>
      </c>
      <c r="C3703" s="21" t="s">
        <v>876</v>
      </c>
      <c r="D3703" s="8" t="s">
        <v>11</v>
      </c>
      <c r="E3703" s="20">
        <v>2.17</v>
      </c>
      <c r="F3703" s="9">
        <v>293000</v>
      </c>
      <c r="G3703" s="10">
        <f t="shared" ref="G3703:G3705" si="244">IFERROR(E3703*F3703,0)</f>
        <v>635810</v>
      </c>
      <c r="H3703" s="11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1:26" ht="26.25" x14ac:dyDescent="0.4">
      <c r="A3704" s="6">
        <v>2</v>
      </c>
      <c r="B3704" s="22" t="s">
        <v>27</v>
      </c>
      <c r="C3704" s="23" t="s">
        <v>877</v>
      </c>
      <c r="D3704" s="13" t="s">
        <v>13</v>
      </c>
      <c r="E3704" s="22">
        <v>1.45</v>
      </c>
      <c r="F3704" s="14">
        <v>435000</v>
      </c>
      <c r="G3704" s="10">
        <f t="shared" si="244"/>
        <v>630750</v>
      </c>
      <c r="H3704" s="11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1:26" ht="26.25" x14ac:dyDescent="0.4">
      <c r="A3705" s="6">
        <v>3</v>
      </c>
      <c r="B3705" s="15" t="s">
        <v>14</v>
      </c>
      <c r="C3705" s="11"/>
      <c r="D3705" s="11"/>
      <c r="E3705" s="11"/>
      <c r="F3705" s="11"/>
      <c r="G3705" s="16">
        <f t="shared" si="244"/>
        <v>0</v>
      </c>
      <c r="H3705" s="11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1:26" ht="26.25" x14ac:dyDescent="0.4">
      <c r="A3706" s="29" t="s">
        <v>15</v>
      </c>
      <c r="B3706" s="26"/>
      <c r="C3706" s="26"/>
      <c r="D3706" s="26"/>
      <c r="E3706" s="26"/>
      <c r="F3706" s="26"/>
      <c r="G3706" s="27"/>
      <c r="H3706" s="17">
        <f>SUM(G3703:G3705)</f>
        <v>1266560</v>
      </c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1:26" ht="26.25" x14ac:dyDescent="0.4">
      <c r="A3707" s="29" t="s">
        <v>16</v>
      </c>
      <c r="B3707" s="26"/>
      <c r="C3707" s="26"/>
      <c r="D3707" s="26"/>
      <c r="E3707" s="26"/>
      <c r="F3707" s="26"/>
      <c r="G3707" s="27"/>
      <c r="H3707" s="17">
        <f>MAX(0,H3706-648000)</f>
        <v>618560</v>
      </c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1:26" ht="26.25" x14ac:dyDescent="0.4">
      <c r="A3708" s="25" t="s">
        <v>17</v>
      </c>
      <c r="B3708" s="26"/>
      <c r="C3708" s="26"/>
      <c r="D3708" s="26"/>
      <c r="E3708" s="26"/>
      <c r="F3708" s="26"/>
      <c r="G3708" s="27"/>
      <c r="H3708" s="18">
        <v>649000</v>
      </c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1:26" ht="26.25" x14ac:dyDescent="0.4">
      <c r="A3709" s="28" t="s">
        <v>18</v>
      </c>
      <c r="B3709" s="26"/>
      <c r="C3709" s="26"/>
      <c r="D3709" s="26"/>
      <c r="E3709" s="26"/>
      <c r="F3709" s="26"/>
      <c r="G3709" s="26"/>
      <c r="H3709" s="27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1:26" ht="12.75" x14ac:dyDescent="0.2"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4" spans="1:26" ht="15.75" customHeight="1" x14ac:dyDescent="0.4">
      <c r="A3714" s="28" t="s">
        <v>0</v>
      </c>
      <c r="B3714" s="26"/>
      <c r="C3714" s="26"/>
      <c r="D3714" s="26"/>
      <c r="E3714" s="26"/>
      <c r="F3714" s="26"/>
      <c r="G3714" s="26"/>
      <c r="H3714" s="27"/>
    </row>
    <row r="3715" spans="1:26" ht="29.25" customHeight="1" x14ac:dyDescent="0.4">
      <c r="A3715" s="28" t="s">
        <v>878</v>
      </c>
      <c r="B3715" s="26"/>
      <c r="C3715" s="26"/>
      <c r="D3715" s="26"/>
      <c r="E3715" s="26"/>
      <c r="F3715" s="26"/>
      <c r="G3715" s="26"/>
      <c r="H3715" s="27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1:26" ht="18.75" x14ac:dyDescent="0.3">
      <c r="A3716" s="3" t="s">
        <v>2</v>
      </c>
      <c r="B3716" s="3" t="s">
        <v>3</v>
      </c>
      <c r="C3716" s="3" t="s">
        <v>4</v>
      </c>
      <c r="D3716" s="3" t="s">
        <v>5</v>
      </c>
      <c r="E3716" s="3" t="s">
        <v>6</v>
      </c>
      <c r="F3716" s="4" t="s">
        <v>7</v>
      </c>
      <c r="G3716" s="3" t="s">
        <v>8</v>
      </c>
      <c r="H3716" s="5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1:26" ht="26.25" x14ac:dyDescent="0.4">
      <c r="A3717" s="6">
        <v>1</v>
      </c>
      <c r="B3717" s="20" t="s">
        <v>879</v>
      </c>
      <c r="C3717" s="21" t="s">
        <v>880</v>
      </c>
      <c r="D3717" s="8" t="s">
        <v>11</v>
      </c>
      <c r="E3717" s="20">
        <v>2.9</v>
      </c>
      <c r="F3717" s="9">
        <v>293000</v>
      </c>
      <c r="G3717" s="10">
        <f t="shared" ref="G3717:G3719" si="245">IFERROR(E3717*F3717,0)</f>
        <v>849700</v>
      </c>
      <c r="H3717" s="11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1:26" ht="26.25" x14ac:dyDescent="0.4">
      <c r="A3718" s="6">
        <v>2</v>
      </c>
      <c r="B3718" s="22" t="s">
        <v>27</v>
      </c>
      <c r="C3718" s="23" t="s">
        <v>881</v>
      </c>
      <c r="D3718" s="13" t="s">
        <v>13</v>
      </c>
      <c r="E3718" s="22">
        <v>0.8</v>
      </c>
      <c r="F3718" s="14">
        <v>435000</v>
      </c>
      <c r="G3718" s="10">
        <f t="shared" si="245"/>
        <v>348000</v>
      </c>
      <c r="H3718" s="11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1:26" ht="26.25" x14ac:dyDescent="0.4">
      <c r="A3719" s="6">
        <v>3</v>
      </c>
      <c r="B3719" s="15" t="s">
        <v>14</v>
      </c>
      <c r="C3719" s="11"/>
      <c r="D3719" s="11"/>
      <c r="E3719" s="11"/>
      <c r="F3719" s="11"/>
      <c r="G3719" s="16">
        <f t="shared" si="245"/>
        <v>0</v>
      </c>
      <c r="H3719" s="11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1:26" ht="26.25" x14ac:dyDescent="0.4">
      <c r="A3720" s="29" t="s">
        <v>15</v>
      </c>
      <c r="B3720" s="26"/>
      <c r="C3720" s="26"/>
      <c r="D3720" s="26"/>
      <c r="E3720" s="26"/>
      <c r="F3720" s="26"/>
      <c r="G3720" s="27"/>
      <c r="H3720" s="17">
        <f>SUM(G3717:G3719)</f>
        <v>1197700</v>
      </c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1:26" ht="26.25" x14ac:dyDescent="0.4">
      <c r="A3721" s="29" t="s">
        <v>16</v>
      </c>
      <c r="B3721" s="26"/>
      <c r="C3721" s="26"/>
      <c r="D3721" s="26"/>
      <c r="E3721" s="26"/>
      <c r="F3721" s="26"/>
      <c r="G3721" s="27"/>
      <c r="H3721" s="17">
        <f>MAX(0,H3720-648000)</f>
        <v>549700</v>
      </c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1:26" ht="26.25" x14ac:dyDescent="0.4">
      <c r="A3722" s="25" t="s">
        <v>17</v>
      </c>
      <c r="B3722" s="26"/>
      <c r="C3722" s="26"/>
      <c r="D3722" s="26"/>
      <c r="E3722" s="26"/>
      <c r="F3722" s="26"/>
      <c r="G3722" s="27"/>
      <c r="H3722" s="18">
        <v>649000</v>
      </c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1:26" ht="26.25" x14ac:dyDescent="0.4">
      <c r="A3723" s="28" t="s">
        <v>18</v>
      </c>
      <c r="B3723" s="26"/>
      <c r="C3723" s="26"/>
      <c r="D3723" s="26"/>
      <c r="E3723" s="26"/>
      <c r="F3723" s="26"/>
      <c r="G3723" s="26"/>
      <c r="H3723" s="27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1:26" ht="12.75" x14ac:dyDescent="0.2"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8" spans="1:26" ht="15.75" customHeight="1" x14ac:dyDescent="0.4">
      <c r="A3728" s="28" t="s">
        <v>0</v>
      </c>
      <c r="B3728" s="26"/>
      <c r="C3728" s="26"/>
      <c r="D3728" s="26"/>
      <c r="E3728" s="26"/>
      <c r="F3728" s="26"/>
      <c r="G3728" s="26"/>
      <c r="H3728" s="27"/>
    </row>
    <row r="3729" spans="1:26" ht="15.75" customHeight="1" x14ac:dyDescent="0.4">
      <c r="A3729" s="28" t="s">
        <v>882</v>
      </c>
      <c r="B3729" s="26"/>
      <c r="C3729" s="26"/>
      <c r="D3729" s="26"/>
      <c r="E3729" s="26"/>
      <c r="F3729" s="26"/>
      <c r="G3729" s="26"/>
      <c r="H3729" s="27"/>
    </row>
    <row r="3730" spans="1:26" ht="15.75" customHeight="1" x14ac:dyDescent="0.3">
      <c r="A3730" s="3" t="s">
        <v>2</v>
      </c>
      <c r="B3730" s="3" t="s">
        <v>3</v>
      </c>
      <c r="C3730" s="3" t="s">
        <v>4</v>
      </c>
      <c r="D3730" s="3" t="s">
        <v>5</v>
      </c>
      <c r="E3730" s="3" t="s">
        <v>6</v>
      </c>
      <c r="F3730" s="4" t="s">
        <v>7</v>
      </c>
      <c r="G3730" s="3" t="s">
        <v>8</v>
      </c>
      <c r="H3730" s="5"/>
    </row>
    <row r="3731" spans="1:26" ht="29.25" customHeight="1" x14ac:dyDescent="0.4">
      <c r="A3731" s="6">
        <v>1</v>
      </c>
      <c r="B3731" s="20" t="s">
        <v>883</v>
      </c>
      <c r="C3731" s="21" t="s">
        <v>884</v>
      </c>
      <c r="D3731" s="8" t="s">
        <v>11</v>
      </c>
      <c r="E3731" s="20">
        <v>1.5</v>
      </c>
      <c r="F3731" s="9">
        <v>293000</v>
      </c>
      <c r="G3731" s="10">
        <f t="shared" ref="G3731:G3733" si="246">IFERROR(E3731*F3731,0)</f>
        <v>439500</v>
      </c>
      <c r="H3731" s="11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1:26" ht="26.25" x14ac:dyDescent="0.4">
      <c r="A3732" s="6">
        <v>2</v>
      </c>
      <c r="B3732" s="22" t="s">
        <v>151</v>
      </c>
      <c r="C3732" s="23" t="s">
        <v>885</v>
      </c>
      <c r="D3732" s="13" t="s">
        <v>13</v>
      </c>
      <c r="E3732" s="22">
        <v>2</v>
      </c>
      <c r="F3732" s="14">
        <v>435000</v>
      </c>
      <c r="G3732" s="10">
        <f t="shared" si="246"/>
        <v>870000</v>
      </c>
      <c r="H3732" s="11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1:26" ht="26.25" x14ac:dyDescent="0.4">
      <c r="A3733" s="6">
        <v>3</v>
      </c>
      <c r="B3733" s="15" t="s">
        <v>14</v>
      </c>
      <c r="C3733" s="11"/>
      <c r="D3733" s="11"/>
      <c r="E3733" s="11"/>
      <c r="F3733" s="11"/>
      <c r="G3733" s="16">
        <f t="shared" si="246"/>
        <v>0</v>
      </c>
      <c r="H3733" s="11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1:26" ht="26.25" x14ac:dyDescent="0.4">
      <c r="A3734" s="29" t="s">
        <v>15</v>
      </c>
      <c r="B3734" s="26"/>
      <c r="C3734" s="26"/>
      <c r="D3734" s="26"/>
      <c r="E3734" s="26"/>
      <c r="F3734" s="26"/>
      <c r="G3734" s="27"/>
      <c r="H3734" s="17">
        <f>SUM(G3731:G3733)</f>
        <v>1309500</v>
      </c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1:26" ht="26.25" x14ac:dyDescent="0.4">
      <c r="A3735" s="29" t="s">
        <v>16</v>
      </c>
      <c r="B3735" s="26"/>
      <c r="C3735" s="26"/>
      <c r="D3735" s="26"/>
      <c r="E3735" s="26"/>
      <c r="F3735" s="26"/>
      <c r="G3735" s="27"/>
      <c r="H3735" s="17">
        <f>MAX(0,H3734-648000)</f>
        <v>661500</v>
      </c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1:26" ht="26.25" x14ac:dyDescent="0.4">
      <c r="A3736" s="25" t="s">
        <v>17</v>
      </c>
      <c r="B3736" s="26"/>
      <c r="C3736" s="26"/>
      <c r="D3736" s="26"/>
      <c r="E3736" s="26"/>
      <c r="F3736" s="26"/>
      <c r="G3736" s="27"/>
      <c r="H3736" s="18">
        <v>649000</v>
      </c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1:26" ht="26.25" x14ac:dyDescent="0.4">
      <c r="A3737" s="28" t="s">
        <v>18</v>
      </c>
      <c r="B3737" s="26"/>
      <c r="C3737" s="26"/>
      <c r="D3737" s="26"/>
      <c r="E3737" s="26"/>
      <c r="F3737" s="26"/>
      <c r="G3737" s="26"/>
      <c r="H3737" s="27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1:26" ht="12.75" x14ac:dyDescent="0.2"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1:26" ht="12.75" x14ac:dyDescent="0.2"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1:26" ht="12.75" x14ac:dyDescent="0.2"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4" spans="1:26" ht="26.25" x14ac:dyDescent="0.4">
      <c r="A3744" s="28" t="s">
        <v>0</v>
      </c>
      <c r="B3744" s="26"/>
      <c r="C3744" s="26"/>
      <c r="D3744" s="26"/>
      <c r="E3744" s="26"/>
      <c r="F3744" s="26"/>
      <c r="G3744" s="26"/>
      <c r="H3744" s="27"/>
    </row>
    <row r="3745" spans="1:26" ht="29.25" customHeight="1" x14ac:dyDescent="0.4">
      <c r="A3745" s="28" t="s">
        <v>886</v>
      </c>
      <c r="B3745" s="26"/>
      <c r="C3745" s="26"/>
      <c r="D3745" s="26"/>
      <c r="E3745" s="26"/>
      <c r="F3745" s="26"/>
      <c r="G3745" s="26"/>
      <c r="H3745" s="27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1:26" ht="18.75" x14ac:dyDescent="0.3">
      <c r="A3746" s="3" t="s">
        <v>2</v>
      </c>
      <c r="B3746" s="3" t="s">
        <v>3</v>
      </c>
      <c r="C3746" s="3" t="s">
        <v>4</v>
      </c>
      <c r="D3746" s="3" t="s">
        <v>5</v>
      </c>
      <c r="E3746" s="3" t="s">
        <v>6</v>
      </c>
      <c r="F3746" s="4" t="s">
        <v>7</v>
      </c>
      <c r="G3746" s="3" t="s">
        <v>8</v>
      </c>
      <c r="H3746" s="5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1:26" ht="26.25" x14ac:dyDescent="0.4">
      <c r="A3747" s="6">
        <v>1</v>
      </c>
      <c r="B3747" s="20" t="s">
        <v>887</v>
      </c>
      <c r="C3747" s="21" t="s">
        <v>888</v>
      </c>
      <c r="D3747" s="8" t="s">
        <v>11</v>
      </c>
      <c r="E3747" s="20">
        <v>2</v>
      </c>
      <c r="F3747" s="9">
        <v>293000</v>
      </c>
      <c r="G3747" s="10">
        <f t="shared" ref="G3747:G3749" si="247">IFERROR(E3747*F3747,0)</f>
        <v>586000</v>
      </c>
      <c r="H3747" s="11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1:26" ht="26.25" x14ac:dyDescent="0.4">
      <c r="A3748" s="6">
        <v>2</v>
      </c>
      <c r="B3748" s="22" t="s">
        <v>889</v>
      </c>
      <c r="C3748" s="23" t="s">
        <v>890</v>
      </c>
      <c r="D3748" s="13" t="s">
        <v>13</v>
      </c>
      <c r="E3748" s="22">
        <v>1.47</v>
      </c>
      <c r="F3748" s="14">
        <v>435000</v>
      </c>
      <c r="G3748" s="10">
        <f t="shared" si="247"/>
        <v>639450</v>
      </c>
      <c r="H3748" s="11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1:26" ht="26.25" x14ac:dyDescent="0.4">
      <c r="A3749" s="6">
        <v>3</v>
      </c>
      <c r="B3749" s="15" t="s">
        <v>14</v>
      </c>
      <c r="C3749" s="11"/>
      <c r="D3749" s="11"/>
      <c r="E3749" s="11"/>
      <c r="F3749" s="11"/>
      <c r="G3749" s="16">
        <f t="shared" si="247"/>
        <v>0</v>
      </c>
      <c r="H3749" s="11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1:26" ht="26.25" x14ac:dyDescent="0.4">
      <c r="A3750" s="29" t="s">
        <v>15</v>
      </c>
      <c r="B3750" s="26"/>
      <c r="C3750" s="26"/>
      <c r="D3750" s="26"/>
      <c r="E3750" s="26"/>
      <c r="F3750" s="26"/>
      <c r="G3750" s="27"/>
      <c r="H3750" s="17">
        <f>SUM(G3747:G3749)</f>
        <v>1225450</v>
      </c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1:26" ht="26.25" x14ac:dyDescent="0.4">
      <c r="A3751" s="29" t="s">
        <v>16</v>
      </c>
      <c r="B3751" s="26"/>
      <c r="C3751" s="26"/>
      <c r="D3751" s="26"/>
      <c r="E3751" s="26"/>
      <c r="F3751" s="26"/>
      <c r="G3751" s="27"/>
      <c r="H3751" s="17">
        <f>MAX(0,H3750-648000)</f>
        <v>577450</v>
      </c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1:26" ht="26.25" x14ac:dyDescent="0.4">
      <c r="A3752" s="25" t="s">
        <v>17</v>
      </c>
      <c r="B3752" s="26"/>
      <c r="C3752" s="26"/>
      <c r="D3752" s="26"/>
      <c r="E3752" s="26"/>
      <c r="F3752" s="26"/>
      <c r="G3752" s="27"/>
      <c r="H3752" s="18">
        <v>649000</v>
      </c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1:26" ht="26.25" x14ac:dyDescent="0.4">
      <c r="A3753" s="28" t="s">
        <v>18</v>
      </c>
      <c r="B3753" s="26"/>
      <c r="C3753" s="26"/>
      <c r="D3753" s="26"/>
      <c r="E3753" s="26"/>
      <c r="F3753" s="26"/>
      <c r="G3753" s="26"/>
      <c r="H3753" s="27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1:26" ht="12.75" x14ac:dyDescent="0.2"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7" spans="1:26" ht="15.75" customHeight="1" x14ac:dyDescent="0.2">
      <c r="A3757" s="24"/>
    </row>
    <row r="3758" spans="1:26" ht="15.75" customHeight="1" x14ac:dyDescent="0.4">
      <c r="A3758" s="28" t="s">
        <v>0</v>
      </c>
      <c r="B3758" s="26"/>
      <c r="C3758" s="26"/>
      <c r="D3758" s="26"/>
      <c r="E3758" s="26"/>
      <c r="F3758" s="26"/>
      <c r="G3758" s="26"/>
      <c r="H3758" s="27"/>
    </row>
    <row r="3759" spans="1:26" ht="15.75" customHeight="1" x14ac:dyDescent="0.4">
      <c r="A3759" s="28" t="s">
        <v>891</v>
      </c>
      <c r="B3759" s="26"/>
      <c r="C3759" s="26"/>
      <c r="D3759" s="26"/>
      <c r="E3759" s="26"/>
      <c r="F3759" s="26"/>
      <c r="G3759" s="26"/>
      <c r="H3759" s="27"/>
    </row>
    <row r="3760" spans="1:26" ht="29.25" customHeight="1" x14ac:dyDescent="0.3">
      <c r="A3760" s="3" t="s">
        <v>2</v>
      </c>
      <c r="B3760" s="3" t="s">
        <v>3</v>
      </c>
      <c r="C3760" s="3" t="s">
        <v>4</v>
      </c>
      <c r="D3760" s="3" t="s">
        <v>5</v>
      </c>
      <c r="E3760" s="3" t="s">
        <v>6</v>
      </c>
      <c r="F3760" s="4" t="s">
        <v>7</v>
      </c>
      <c r="G3760" s="3" t="s">
        <v>8</v>
      </c>
      <c r="H3760" s="5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1:26" ht="26.25" x14ac:dyDescent="0.4">
      <c r="A3761" s="6">
        <v>1</v>
      </c>
      <c r="B3761" s="20" t="s">
        <v>12</v>
      </c>
      <c r="C3761" s="21" t="s">
        <v>876</v>
      </c>
      <c r="D3761" s="8" t="s">
        <v>11</v>
      </c>
      <c r="E3761" s="20">
        <v>2</v>
      </c>
      <c r="F3761" s="9">
        <v>293000</v>
      </c>
      <c r="G3761" s="10">
        <f t="shared" ref="G3761:G3763" si="248">IFERROR(E3761*F3761,0)</f>
        <v>586000</v>
      </c>
      <c r="H3761" s="11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1:26" ht="26.25" x14ac:dyDescent="0.4">
      <c r="A3762" s="6">
        <v>2</v>
      </c>
      <c r="B3762" s="22" t="s">
        <v>892</v>
      </c>
      <c r="C3762" s="23" t="s">
        <v>893</v>
      </c>
      <c r="D3762" s="13" t="s">
        <v>13</v>
      </c>
      <c r="E3762" s="22">
        <v>1.47</v>
      </c>
      <c r="F3762" s="14">
        <v>435000</v>
      </c>
      <c r="G3762" s="10">
        <f t="shared" si="248"/>
        <v>639450</v>
      </c>
      <c r="H3762" s="11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1:26" ht="26.25" x14ac:dyDescent="0.4">
      <c r="A3763" s="6">
        <v>3</v>
      </c>
      <c r="B3763" s="15" t="s">
        <v>14</v>
      </c>
      <c r="C3763" s="11"/>
      <c r="D3763" s="11"/>
      <c r="E3763" s="11"/>
      <c r="F3763" s="11"/>
      <c r="G3763" s="16">
        <f t="shared" si="248"/>
        <v>0</v>
      </c>
      <c r="H3763" s="11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1:26" ht="26.25" x14ac:dyDescent="0.4">
      <c r="A3764" s="29" t="s">
        <v>15</v>
      </c>
      <c r="B3764" s="26"/>
      <c r="C3764" s="26"/>
      <c r="D3764" s="26"/>
      <c r="E3764" s="26"/>
      <c r="F3764" s="26"/>
      <c r="G3764" s="27"/>
      <c r="H3764" s="17">
        <f>SUM(G3761:G3763)</f>
        <v>1225450</v>
      </c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1:26" ht="26.25" x14ac:dyDescent="0.4">
      <c r="A3765" s="29" t="s">
        <v>16</v>
      </c>
      <c r="B3765" s="26"/>
      <c r="C3765" s="26"/>
      <c r="D3765" s="26"/>
      <c r="E3765" s="26"/>
      <c r="F3765" s="26"/>
      <c r="G3765" s="27"/>
      <c r="H3765" s="17">
        <f>MAX(0,H3764-648000)</f>
        <v>577450</v>
      </c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1:26" ht="26.25" x14ac:dyDescent="0.4">
      <c r="A3766" s="25" t="s">
        <v>17</v>
      </c>
      <c r="B3766" s="26"/>
      <c r="C3766" s="26"/>
      <c r="D3766" s="26"/>
      <c r="E3766" s="26"/>
      <c r="F3766" s="26"/>
      <c r="G3766" s="27"/>
      <c r="H3766" s="18">
        <v>649000</v>
      </c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1:26" ht="26.25" x14ac:dyDescent="0.4">
      <c r="A3767" s="28" t="s">
        <v>18</v>
      </c>
      <c r="B3767" s="26"/>
      <c r="C3767" s="26"/>
      <c r="D3767" s="26"/>
      <c r="E3767" s="26"/>
      <c r="F3767" s="26"/>
      <c r="G3767" s="26"/>
      <c r="H3767" s="27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1:26" ht="12.75" x14ac:dyDescent="0.2"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1:26" ht="12.75" x14ac:dyDescent="0.2"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3" spans="1:26" ht="15.75" customHeight="1" x14ac:dyDescent="0.4">
      <c r="A3773" s="28" t="s">
        <v>0</v>
      </c>
      <c r="B3773" s="26"/>
      <c r="C3773" s="26"/>
      <c r="D3773" s="26"/>
      <c r="E3773" s="26"/>
      <c r="F3773" s="26"/>
      <c r="G3773" s="26"/>
      <c r="H3773" s="27"/>
    </row>
    <row r="3774" spans="1:26" ht="15.75" customHeight="1" x14ac:dyDescent="0.4">
      <c r="A3774" s="28" t="s">
        <v>894</v>
      </c>
      <c r="B3774" s="26"/>
      <c r="C3774" s="26"/>
      <c r="D3774" s="26"/>
      <c r="E3774" s="26"/>
      <c r="F3774" s="26"/>
      <c r="G3774" s="26"/>
      <c r="H3774" s="27"/>
    </row>
    <row r="3775" spans="1:26" ht="15.75" customHeight="1" x14ac:dyDescent="0.3">
      <c r="A3775" s="3" t="s">
        <v>2</v>
      </c>
      <c r="B3775" s="3" t="s">
        <v>3</v>
      </c>
      <c r="C3775" s="3" t="s">
        <v>4</v>
      </c>
      <c r="D3775" s="3" t="s">
        <v>5</v>
      </c>
      <c r="E3775" s="3" t="s">
        <v>6</v>
      </c>
      <c r="F3775" s="4" t="s">
        <v>7</v>
      </c>
      <c r="G3775" s="3" t="s">
        <v>8</v>
      </c>
      <c r="H3775" s="5"/>
    </row>
    <row r="3776" spans="1:26" ht="29.25" customHeight="1" x14ac:dyDescent="0.4">
      <c r="A3776" s="6">
        <v>1</v>
      </c>
      <c r="B3776" s="20" t="s">
        <v>12</v>
      </c>
      <c r="C3776" s="21">
        <v>2079</v>
      </c>
      <c r="D3776" s="8" t="s">
        <v>11</v>
      </c>
      <c r="E3776" s="20">
        <v>2</v>
      </c>
      <c r="F3776" s="9">
        <v>293000</v>
      </c>
      <c r="G3776" s="10">
        <f t="shared" ref="G3776:G3778" si="249">IFERROR(E3776*F3776,0)</f>
        <v>586000</v>
      </c>
      <c r="H3776" s="11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1:26" ht="26.25" x14ac:dyDescent="0.4">
      <c r="A3777" s="6">
        <v>2</v>
      </c>
      <c r="B3777" s="22" t="s">
        <v>895</v>
      </c>
      <c r="C3777" s="23" t="s">
        <v>896</v>
      </c>
      <c r="D3777" s="13" t="s">
        <v>13</v>
      </c>
      <c r="E3777" s="22">
        <v>1.4</v>
      </c>
      <c r="F3777" s="14">
        <v>435000</v>
      </c>
      <c r="G3777" s="10">
        <f t="shared" si="249"/>
        <v>609000</v>
      </c>
      <c r="H3777" s="11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1:26" ht="26.25" x14ac:dyDescent="0.4">
      <c r="A3778" s="6">
        <v>3</v>
      </c>
      <c r="B3778" s="15" t="s">
        <v>14</v>
      </c>
      <c r="C3778" s="11"/>
      <c r="D3778" s="11"/>
      <c r="E3778" s="11"/>
      <c r="F3778" s="11"/>
      <c r="G3778" s="16">
        <f t="shared" si="249"/>
        <v>0</v>
      </c>
      <c r="H3778" s="11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1:26" ht="26.25" x14ac:dyDescent="0.4">
      <c r="A3779" s="29" t="s">
        <v>15</v>
      </c>
      <c r="B3779" s="26"/>
      <c r="C3779" s="26"/>
      <c r="D3779" s="26"/>
      <c r="E3779" s="26"/>
      <c r="F3779" s="26"/>
      <c r="G3779" s="27"/>
      <c r="H3779" s="17">
        <f>SUM(G3776:G3778)</f>
        <v>1195000</v>
      </c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1:26" ht="26.25" x14ac:dyDescent="0.4">
      <c r="A3780" s="29" t="s">
        <v>16</v>
      </c>
      <c r="B3780" s="26"/>
      <c r="C3780" s="26"/>
      <c r="D3780" s="26"/>
      <c r="E3780" s="26"/>
      <c r="F3780" s="26"/>
      <c r="G3780" s="27"/>
      <c r="H3780" s="17">
        <f>MAX(0,H3779-648000)</f>
        <v>547000</v>
      </c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1:26" ht="26.25" x14ac:dyDescent="0.4">
      <c r="A3781" s="25" t="s">
        <v>17</v>
      </c>
      <c r="B3781" s="26"/>
      <c r="C3781" s="26"/>
      <c r="D3781" s="26"/>
      <c r="E3781" s="26"/>
      <c r="F3781" s="26"/>
      <c r="G3781" s="27"/>
      <c r="H3781" s="18">
        <v>649000</v>
      </c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1:26" ht="26.25" x14ac:dyDescent="0.4">
      <c r="A3782" s="28" t="s">
        <v>18</v>
      </c>
      <c r="B3782" s="26"/>
      <c r="C3782" s="26"/>
      <c r="D3782" s="26"/>
      <c r="E3782" s="26"/>
      <c r="F3782" s="26"/>
      <c r="G3782" s="26"/>
      <c r="H3782" s="27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1:26" ht="12.75" x14ac:dyDescent="0.2"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1:26" ht="12.75" x14ac:dyDescent="0.2"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1:26" ht="12.75" x14ac:dyDescent="0.2"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9" spans="1:26" ht="15.75" customHeight="1" x14ac:dyDescent="0.4">
      <c r="A3789" s="28" t="s">
        <v>0</v>
      </c>
      <c r="B3789" s="26"/>
      <c r="C3789" s="26"/>
      <c r="D3789" s="26"/>
      <c r="E3789" s="26"/>
      <c r="F3789" s="26"/>
      <c r="G3789" s="26"/>
      <c r="H3789" s="27"/>
    </row>
    <row r="3790" spans="1:26" ht="29.25" customHeight="1" x14ac:dyDescent="0.4">
      <c r="A3790" s="28" t="s">
        <v>897</v>
      </c>
      <c r="B3790" s="26"/>
      <c r="C3790" s="26"/>
      <c r="D3790" s="26"/>
      <c r="E3790" s="26"/>
      <c r="F3790" s="26"/>
      <c r="G3790" s="26"/>
      <c r="H3790" s="27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1:26" ht="18.75" x14ac:dyDescent="0.3">
      <c r="A3791" s="3" t="s">
        <v>2</v>
      </c>
      <c r="B3791" s="3" t="s">
        <v>3</v>
      </c>
      <c r="C3791" s="3" t="s">
        <v>4</v>
      </c>
      <c r="D3791" s="3" t="s">
        <v>5</v>
      </c>
      <c r="E3791" s="3" t="s">
        <v>6</v>
      </c>
      <c r="F3791" s="4" t="s">
        <v>7</v>
      </c>
      <c r="G3791" s="3" t="s">
        <v>8</v>
      </c>
      <c r="H3791" s="5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1:26" ht="26.25" x14ac:dyDescent="0.4">
      <c r="A3792" s="6">
        <v>1</v>
      </c>
      <c r="B3792" s="20" t="s">
        <v>898</v>
      </c>
      <c r="C3792" s="21" t="s">
        <v>899</v>
      </c>
      <c r="D3792" s="8" t="s">
        <v>11</v>
      </c>
      <c r="E3792" s="20">
        <v>1.5</v>
      </c>
      <c r="F3792" s="9">
        <v>293000</v>
      </c>
      <c r="G3792" s="10">
        <f t="shared" ref="G3792:G3794" si="250">IFERROR(E3792*F3792,0)</f>
        <v>439500</v>
      </c>
      <c r="H3792" s="11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1:26" ht="26.25" x14ac:dyDescent="0.4">
      <c r="A3793" s="6">
        <v>2</v>
      </c>
      <c r="B3793" s="22" t="s">
        <v>25</v>
      </c>
      <c r="C3793" s="23" t="s">
        <v>900</v>
      </c>
      <c r="D3793" s="13" t="s">
        <v>13</v>
      </c>
      <c r="E3793" s="22">
        <v>2</v>
      </c>
      <c r="F3793" s="14">
        <v>435000</v>
      </c>
      <c r="G3793" s="10">
        <f t="shared" si="250"/>
        <v>870000</v>
      </c>
      <c r="H3793" s="11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1:26" ht="26.25" x14ac:dyDescent="0.4">
      <c r="A3794" s="6">
        <v>3</v>
      </c>
      <c r="B3794" s="15" t="s">
        <v>14</v>
      </c>
      <c r="C3794" s="11"/>
      <c r="D3794" s="11"/>
      <c r="E3794" s="11"/>
      <c r="F3794" s="11"/>
      <c r="G3794" s="16">
        <f t="shared" si="250"/>
        <v>0</v>
      </c>
      <c r="H3794" s="11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1:26" ht="26.25" x14ac:dyDescent="0.4">
      <c r="A3795" s="29" t="s">
        <v>15</v>
      </c>
      <c r="B3795" s="26"/>
      <c r="C3795" s="26"/>
      <c r="D3795" s="26"/>
      <c r="E3795" s="26"/>
      <c r="F3795" s="26"/>
      <c r="G3795" s="27"/>
      <c r="H3795" s="17">
        <f>SUM(G3792:G3794)</f>
        <v>1309500</v>
      </c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1:26" ht="26.25" x14ac:dyDescent="0.4">
      <c r="A3796" s="29" t="s">
        <v>16</v>
      </c>
      <c r="B3796" s="26"/>
      <c r="C3796" s="26"/>
      <c r="D3796" s="26"/>
      <c r="E3796" s="26"/>
      <c r="F3796" s="26"/>
      <c r="G3796" s="27"/>
      <c r="H3796" s="17">
        <f>MAX(0,H3795-648000)</f>
        <v>661500</v>
      </c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1:26" ht="26.25" x14ac:dyDescent="0.4">
      <c r="A3797" s="25" t="s">
        <v>17</v>
      </c>
      <c r="B3797" s="26"/>
      <c r="C3797" s="26"/>
      <c r="D3797" s="26"/>
      <c r="E3797" s="26"/>
      <c r="F3797" s="26"/>
      <c r="G3797" s="27"/>
      <c r="H3797" s="18">
        <v>649000</v>
      </c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1:26" ht="26.25" x14ac:dyDescent="0.4">
      <c r="A3798" s="28" t="s">
        <v>18</v>
      </c>
      <c r="B3798" s="26"/>
      <c r="C3798" s="26"/>
      <c r="D3798" s="26"/>
      <c r="E3798" s="26"/>
      <c r="F3798" s="26"/>
      <c r="G3798" s="26"/>
      <c r="H3798" s="27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1:26" ht="12.75" x14ac:dyDescent="0.2"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3" spans="1:26" ht="15.75" customHeight="1" x14ac:dyDescent="0.4">
      <c r="A3803" s="28" t="s">
        <v>0</v>
      </c>
      <c r="B3803" s="26"/>
      <c r="C3803" s="26"/>
      <c r="D3803" s="26"/>
      <c r="E3803" s="26"/>
      <c r="F3803" s="26"/>
      <c r="G3803" s="26"/>
      <c r="H3803" s="27"/>
    </row>
    <row r="3804" spans="1:26" ht="15.75" customHeight="1" x14ac:dyDescent="0.4">
      <c r="A3804" s="28" t="s">
        <v>901</v>
      </c>
      <c r="B3804" s="26"/>
      <c r="C3804" s="26"/>
      <c r="D3804" s="26"/>
      <c r="E3804" s="26"/>
      <c r="F3804" s="26"/>
      <c r="G3804" s="26"/>
      <c r="H3804" s="27"/>
    </row>
    <row r="3805" spans="1:26" ht="29.25" customHeight="1" x14ac:dyDescent="0.3">
      <c r="A3805" s="3" t="s">
        <v>2</v>
      </c>
      <c r="B3805" s="3" t="s">
        <v>3</v>
      </c>
      <c r="C3805" s="3" t="s">
        <v>4</v>
      </c>
      <c r="D3805" s="3" t="s">
        <v>5</v>
      </c>
      <c r="E3805" s="3" t="s">
        <v>6</v>
      </c>
      <c r="F3805" s="4" t="s">
        <v>7</v>
      </c>
      <c r="G3805" s="3" t="s">
        <v>8</v>
      </c>
      <c r="H3805" s="5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1:26" ht="26.25" x14ac:dyDescent="0.4">
      <c r="A3806" s="6">
        <v>1</v>
      </c>
      <c r="B3806" s="20" t="s">
        <v>137</v>
      </c>
      <c r="C3806" s="21" t="s">
        <v>902</v>
      </c>
      <c r="D3806" s="8" t="s">
        <v>11</v>
      </c>
      <c r="E3806" s="20">
        <v>2.6</v>
      </c>
      <c r="F3806" s="9">
        <v>293000</v>
      </c>
      <c r="G3806" s="10">
        <f t="shared" ref="G3806:G3808" si="251">IFERROR(E3806*F3806,0)</f>
        <v>761800</v>
      </c>
      <c r="H3806" s="11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1:26" ht="26.25" x14ac:dyDescent="0.4">
      <c r="A3807" s="6">
        <v>2</v>
      </c>
      <c r="B3807" s="22" t="s">
        <v>903</v>
      </c>
      <c r="C3807" s="23" t="s">
        <v>904</v>
      </c>
      <c r="D3807" s="13" t="s">
        <v>13</v>
      </c>
      <c r="E3807" s="22">
        <v>1</v>
      </c>
      <c r="F3807" s="14">
        <v>435000</v>
      </c>
      <c r="G3807" s="10">
        <f t="shared" si="251"/>
        <v>435000</v>
      </c>
      <c r="H3807" s="11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1:26" ht="26.25" x14ac:dyDescent="0.4">
      <c r="A3808" s="6">
        <v>3</v>
      </c>
      <c r="B3808" s="15" t="s">
        <v>14</v>
      </c>
      <c r="C3808" s="11"/>
      <c r="D3808" s="11"/>
      <c r="E3808" s="11"/>
      <c r="F3808" s="11"/>
      <c r="G3808" s="16">
        <f t="shared" si="251"/>
        <v>0</v>
      </c>
      <c r="H3808" s="11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1:26" ht="26.25" x14ac:dyDescent="0.4">
      <c r="A3809" s="29" t="s">
        <v>15</v>
      </c>
      <c r="B3809" s="26"/>
      <c r="C3809" s="26"/>
      <c r="D3809" s="26"/>
      <c r="E3809" s="26"/>
      <c r="F3809" s="26"/>
      <c r="G3809" s="27"/>
      <c r="H3809" s="17">
        <f>SUM(G3806:G3808)</f>
        <v>1196800</v>
      </c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1:26" ht="26.25" x14ac:dyDescent="0.4">
      <c r="A3810" s="29" t="s">
        <v>16</v>
      </c>
      <c r="B3810" s="26"/>
      <c r="C3810" s="26"/>
      <c r="D3810" s="26"/>
      <c r="E3810" s="26"/>
      <c r="F3810" s="26"/>
      <c r="G3810" s="27"/>
      <c r="H3810" s="17">
        <f>MAX(0,H3809-648000)</f>
        <v>548800</v>
      </c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1:26" ht="26.25" x14ac:dyDescent="0.4">
      <c r="A3811" s="25" t="s">
        <v>17</v>
      </c>
      <c r="B3811" s="26"/>
      <c r="C3811" s="26"/>
      <c r="D3811" s="26"/>
      <c r="E3811" s="26"/>
      <c r="F3811" s="26"/>
      <c r="G3811" s="27"/>
      <c r="H3811" s="18">
        <v>649000</v>
      </c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1:26" ht="26.25" x14ac:dyDescent="0.4">
      <c r="A3812" s="28" t="s">
        <v>18</v>
      </c>
      <c r="B3812" s="26"/>
      <c r="C3812" s="26"/>
      <c r="D3812" s="26"/>
      <c r="E3812" s="26"/>
      <c r="F3812" s="26"/>
      <c r="G3812" s="26"/>
      <c r="H3812" s="27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1:26" ht="12.75" x14ac:dyDescent="0.2"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1:26" ht="12.75" x14ac:dyDescent="0.2"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8" spans="1:26" ht="15.75" customHeight="1" x14ac:dyDescent="0.4">
      <c r="A3818" s="28" t="s">
        <v>0</v>
      </c>
      <c r="B3818" s="26"/>
      <c r="C3818" s="26"/>
      <c r="D3818" s="26"/>
      <c r="E3818" s="26"/>
      <c r="F3818" s="26"/>
      <c r="G3818" s="26"/>
      <c r="H3818" s="27"/>
    </row>
    <row r="3819" spans="1:26" ht="29.25" customHeight="1" x14ac:dyDescent="0.4">
      <c r="A3819" s="28" t="s">
        <v>905</v>
      </c>
      <c r="B3819" s="26"/>
      <c r="C3819" s="26"/>
      <c r="D3819" s="26"/>
      <c r="E3819" s="26"/>
      <c r="F3819" s="26"/>
      <c r="G3819" s="26"/>
      <c r="H3819" s="27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1:26" ht="18.75" x14ac:dyDescent="0.3">
      <c r="A3820" s="3" t="s">
        <v>2</v>
      </c>
      <c r="B3820" s="3" t="s">
        <v>3</v>
      </c>
      <c r="C3820" s="3" t="s">
        <v>4</v>
      </c>
      <c r="D3820" s="3" t="s">
        <v>5</v>
      </c>
      <c r="E3820" s="3" t="s">
        <v>6</v>
      </c>
      <c r="F3820" s="4" t="s">
        <v>7</v>
      </c>
      <c r="G3820" s="3" t="s">
        <v>8</v>
      </c>
      <c r="H3820" s="5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1:26" ht="26.25" x14ac:dyDescent="0.4">
      <c r="A3821" s="6">
        <v>1</v>
      </c>
      <c r="B3821" s="20" t="s">
        <v>9</v>
      </c>
      <c r="C3821" s="21" t="s">
        <v>906</v>
      </c>
      <c r="D3821" s="8" t="s">
        <v>11</v>
      </c>
      <c r="E3821" s="20">
        <v>2.4</v>
      </c>
      <c r="F3821" s="9">
        <v>293000</v>
      </c>
      <c r="G3821" s="10">
        <f t="shared" ref="G3821:G3823" si="252">IFERROR(E3821*F3821,0)</f>
        <v>703200</v>
      </c>
      <c r="H3821" s="11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1:26" ht="26.25" x14ac:dyDescent="0.4">
      <c r="A3822" s="6">
        <v>2</v>
      </c>
      <c r="B3822" s="22" t="s">
        <v>118</v>
      </c>
      <c r="C3822" s="23" t="s">
        <v>907</v>
      </c>
      <c r="D3822" s="13" t="s">
        <v>13</v>
      </c>
      <c r="E3822" s="22">
        <v>1</v>
      </c>
      <c r="F3822" s="14">
        <v>435000</v>
      </c>
      <c r="G3822" s="10">
        <f t="shared" si="252"/>
        <v>435000</v>
      </c>
      <c r="H3822" s="11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1:26" ht="26.25" x14ac:dyDescent="0.4">
      <c r="A3823" s="6">
        <v>3</v>
      </c>
      <c r="B3823" s="15" t="s">
        <v>14</v>
      </c>
      <c r="C3823" s="11"/>
      <c r="D3823" s="11"/>
      <c r="E3823" s="11"/>
      <c r="F3823" s="11"/>
      <c r="G3823" s="16">
        <f t="shared" si="252"/>
        <v>0</v>
      </c>
      <c r="H3823" s="11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1:26" ht="26.25" x14ac:dyDescent="0.4">
      <c r="A3824" s="29" t="s">
        <v>15</v>
      </c>
      <c r="B3824" s="26"/>
      <c r="C3824" s="26"/>
      <c r="D3824" s="26"/>
      <c r="E3824" s="26"/>
      <c r="F3824" s="26"/>
      <c r="G3824" s="27"/>
      <c r="H3824" s="17">
        <f>SUM(G3821:G3823)</f>
        <v>1138200</v>
      </c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1:26" ht="26.25" x14ac:dyDescent="0.4">
      <c r="A3825" s="29" t="s">
        <v>16</v>
      </c>
      <c r="B3825" s="26"/>
      <c r="C3825" s="26"/>
      <c r="D3825" s="26"/>
      <c r="E3825" s="26"/>
      <c r="F3825" s="26"/>
      <c r="G3825" s="27"/>
      <c r="H3825" s="17">
        <f>MAX(0,H3824-648000)</f>
        <v>490200</v>
      </c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1:26" ht="26.25" x14ac:dyDescent="0.4">
      <c r="A3826" s="25" t="s">
        <v>17</v>
      </c>
      <c r="B3826" s="26"/>
      <c r="C3826" s="26"/>
      <c r="D3826" s="26"/>
      <c r="E3826" s="26"/>
      <c r="F3826" s="26"/>
      <c r="G3826" s="27"/>
      <c r="H3826" s="18">
        <v>649000</v>
      </c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1:26" ht="26.25" x14ac:dyDescent="0.4">
      <c r="A3827" s="28" t="s">
        <v>18</v>
      </c>
      <c r="B3827" s="26"/>
      <c r="C3827" s="26"/>
      <c r="D3827" s="26"/>
      <c r="E3827" s="26"/>
      <c r="F3827" s="26"/>
      <c r="G3827" s="26"/>
      <c r="H3827" s="27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1:26" ht="12.75" x14ac:dyDescent="0.2"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32" spans="1:26" ht="15.75" customHeight="1" x14ac:dyDescent="0.4">
      <c r="A3832" s="28" t="s">
        <v>0</v>
      </c>
      <c r="B3832" s="26"/>
      <c r="C3832" s="26"/>
      <c r="D3832" s="26"/>
      <c r="E3832" s="26"/>
      <c r="F3832" s="26"/>
      <c r="G3832" s="26"/>
      <c r="H3832" s="27"/>
    </row>
    <row r="3833" spans="1:26" ht="15.75" customHeight="1" x14ac:dyDescent="0.4">
      <c r="A3833" s="28" t="s">
        <v>908</v>
      </c>
      <c r="B3833" s="26"/>
      <c r="C3833" s="26"/>
      <c r="D3833" s="26"/>
      <c r="E3833" s="26"/>
      <c r="F3833" s="26"/>
      <c r="G3833" s="26"/>
      <c r="H3833" s="27"/>
    </row>
    <row r="3834" spans="1:26" ht="29.25" customHeight="1" x14ac:dyDescent="0.3">
      <c r="A3834" s="3" t="s">
        <v>2</v>
      </c>
      <c r="B3834" s="3" t="s">
        <v>3</v>
      </c>
      <c r="C3834" s="3" t="s">
        <v>4</v>
      </c>
      <c r="D3834" s="3" t="s">
        <v>5</v>
      </c>
      <c r="E3834" s="3" t="s">
        <v>6</v>
      </c>
      <c r="F3834" s="4" t="s">
        <v>7</v>
      </c>
      <c r="G3834" s="3" t="s">
        <v>8</v>
      </c>
      <c r="H3834" s="5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1:26" ht="26.25" x14ac:dyDescent="0.4">
      <c r="A3835" s="6">
        <v>1</v>
      </c>
      <c r="B3835" s="20" t="s">
        <v>41</v>
      </c>
      <c r="C3835" s="21" t="s">
        <v>909</v>
      </c>
      <c r="D3835" s="8" t="s">
        <v>11</v>
      </c>
      <c r="E3835" s="20">
        <v>1.4</v>
      </c>
      <c r="F3835" s="9">
        <v>293000</v>
      </c>
      <c r="G3835" s="10">
        <f t="shared" ref="G3835:G3837" si="253">IFERROR(E3835*F3835,0)</f>
        <v>410200</v>
      </c>
      <c r="H3835" s="11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1:26" ht="26.25" x14ac:dyDescent="0.4">
      <c r="A3836" s="6">
        <v>2</v>
      </c>
      <c r="B3836" s="22" t="s">
        <v>151</v>
      </c>
      <c r="C3836" s="23" t="s">
        <v>910</v>
      </c>
      <c r="D3836" s="13" t="s">
        <v>13</v>
      </c>
      <c r="E3836" s="22">
        <v>2</v>
      </c>
      <c r="F3836" s="14">
        <v>435000</v>
      </c>
      <c r="G3836" s="10">
        <f t="shared" si="253"/>
        <v>870000</v>
      </c>
      <c r="H3836" s="11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1:26" ht="26.25" x14ac:dyDescent="0.4">
      <c r="A3837" s="6">
        <v>3</v>
      </c>
      <c r="B3837" s="15" t="s">
        <v>14</v>
      </c>
      <c r="C3837" s="11"/>
      <c r="D3837" s="11"/>
      <c r="E3837" s="11"/>
      <c r="F3837" s="11"/>
      <c r="G3837" s="16">
        <f t="shared" si="253"/>
        <v>0</v>
      </c>
      <c r="H3837" s="11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1:26" ht="26.25" x14ac:dyDescent="0.4">
      <c r="A3838" s="29" t="s">
        <v>15</v>
      </c>
      <c r="B3838" s="26"/>
      <c r="C3838" s="26"/>
      <c r="D3838" s="26"/>
      <c r="E3838" s="26"/>
      <c r="F3838" s="26"/>
      <c r="G3838" s="27"/>
      <c r="H3838" s="17">
        <f>SUM(G3835:G3837)</f>
        <v>1280200</v>
      </c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1:26" ht="26.25" x14ac:dyDescent="0.4">
      <c r="A3839" s="29" t="s">
        <v>16</v>
      </c>
      <c r="B3839" s="26"/>
      <c r="C3839" s="26"/>
      <c r="D3839" s="26"/>
      <c r="E3839" s="26"/>
      <c r="F3839" s="26"/>
      <c r="G3839" s="27"/>
      <c r="H3839" s="17">
        <f>MAX(0,H3838-648000)</f>
        <v>632200</v>
      </c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1:26" ht="26.25" x14ac:dyDescent="0.4">
      <c r="A3840" s="25" t="s">
        <v>17</v>
      </c>
      <c r="B3840" s="26"/>
      <c r="C3840" s="26"/>
      <c r="D3840" s="26"/>
      <c r="E3840" s="26"/>
      <c r="F3840" s="26"/>
      <c r="G3840" s="27"/>
      <c r="H3840" s="18">
        <v>649000</v>
      </c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1:26" ht="26.25" x14ac:dyDescent="0.4">
      <c r="A3841" s="28" t="s">
        <v>18</v>
      </c>
      <c r="B3841" s="26"/>
      <c r="C3841" s="26"/>
      <c r="D3841" s="26"/>
      <c r="E3841" s="26"/>
      <c r="F3841" s="26"/>
      <c r="G3841" s="26"/>
      <c r="H3841" s="27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 ht="12.75" x14ac:dyDescent="0.2"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1:26" ht="12.75" x14ac:dyDescent="0.2"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7" spans="1:26" ht="15.75" customHeight="1" x14ac:dyDescent="0.4">
      <c r="A3847" s="28" t="s">
        <v>0</v>
      </c>
      <c r="B3847" s="26"/>
      <c r="C3847" s="26"/>
      <c r="D3847" s="26"/>
      <c r="E3847" s="26"/>
      <c r="F3847" s="26"/>
      <c r="G3847" s="26"/>
      <c r="H3847" s="27"/>
    </row>
    <row r="3848" spans="1:26" ht="15.75" customHeight="1" x14ac:dyDescent="0.4">
      <c r="A3848" s="28" t="s">
        <v>911</v>
      </c>
      <c r="B3848" s="26"/>
      <c r="C3848" s="26"/>
      <c r="D3848" s="26"/>
      <c r="E3848" s="26"/>
      <c r="F3848" s="26"/>
      <c r="G3848" s="26"/>
      <c r="H3848" s="27"/>
    </row>
    <row r="3849" spans="1:26" ht="15.75" customHeight="1" x14ac:dyDescent="0.3">
      <c r="A3849" s="3" t="s">
        <v>2</v>
      </c>
      <c r="B3849" s="3" t="s">
        <v>3</v>
      </c>
      <c r="C3849" s="3" t="s">
        <v>4</v>
      </c>
      <c r="D3849" s="3" t="s">
        <v>5</v>
      </c>
      <c r="E3849" s="3" t="s">
        <v>6</v>
      </c>
      <c r="F3849" s="4" t="s">
        <v>7</v>
      </c>
      <c r="G3849" s="3" t="s">
        <v>8</v>
      </c>
      <c r="H3849" s="5"/>
    </row>
    <row r="3850" spans="1:26" ht="29.25" customHeight="1" x14ac:dyDescent="0.4">
      <c r="A3850" s="6">
        <v>1</v>
      </c>
      <c r="B3850" s="20" t="s">
        <v>178</v>
      </c>
      <c r="C3850" s="21" t="s">
        <v>158</v>
      </c>
      <c r="D3850" s="8" t="s">
        <v>11</v>
      </c>
      <c r="E3850" s="20">
        <v>2</v>
      </c>
      <c r="F3850" s="9">
        <v>293000</v>
      </c>
      <c r="G3850" s="10">
        <f t="shared" ref="G3850:G3852" si="254">IFERROR(E3850*F3850,0)</f>
        <v>586000</v>
      </c>
      <c r="H3850" s="11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1:26" ht="26.25" x14ac:dyDescent="0.4">
      <c r="A3851" s="6">
        <v>2</v>
      </c>
      <c r="B3851" s="22" t="s">
        <v>526</v>
      </c>
      <c r="C3851" s="23" t="s">
        <v>912</v>
      </c>
      <c r="D3851" s="13" t="s">
        <v>13</v>
      </c>
      <c r="E3851" s="22">
        <v>1.28</v>
      </c>
      <c r="F3851" s="14">
        <v>435000</v>
      </c>
      <c r="G3851" s="10">
        <f t="shared" si="254"/>
        <v>556800</v>
      </c>
      <c r="H3851" s="11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1:26" ht="26.25" x14ac:dyDescent="0.4">
      <c r="A3852" s="6">
        <v>3</v>
      </c>
      <c r="B3852" s="15" t="s">
        <v>14</v>
      </c>
      <c r="C3852" s="11"/>
      <c r="D3852" s="11"/>
      <c r="E3852" s="11" t="s">
        <v>181</v>
      </c>
      <c r="F3852" s="11"/>
      <c r="G3852" s="16">
        <f t="shared" si="254"/>
        <v>0</v>
      </c>
      <c r="H3852" s="11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1:26" ht="26.25" x14ac:dyDescent="0.4">
      <c r="A3853" s="29" t="s">
        <v>15</v>
      </c>
      <c r="B3853" s="26"/>
      <c r="C3853" s="26"/>
      <c r="D3853" s="26"/>
      <c r="E3853" s="26"/>
      <c r="F3853" s="26"/>
      <c r="G3853" s="27"/>
      <c r="H3853" s="17">
        <f>SUM(G3850:G3852)</f>
        <v>1142800</v>
      </c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1:26" ht="26.25" x14ac:dyDescent="0.4">
      <c r="A3854" s="29" t="s">
        <v>16</v>
      </c>
      <c r="B3854" s="26"/>
      <c r="C3854" s="26"/>
      <c r="D3854" s="26"/>
      <c r="E3854" s="26"/>
      <c r="F3854" s="26"/>
      <c r="G3854" s="27"/>
      <c r="H3854" s="17">
        <f>MAX(0,H3853-648000)</f>
        <v>494800</v>
      </c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1:26" ht="26.25" x14ac:dyDescent="0.4">
      <c r="A3855" s="25" t="s">
        <v>17</v>
      </c>
      <c r="B3855" s="26"/>
      <c r="C3855" s="26"/>
      <c r="D3855" s="26"/>
      <c r="E3855" s="26"/>
      <c r="F3855" s="26"/>
      <c r="G3855" s="27"/>
      <c r="H3855" s="18">
        <v>649000</v>
      </c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1:26" ht="26.25" x14ac:dyDescent="0.4">
      <c r="A3856" s="28" t="s">
        <v>18</v>
      </c>
      <c r="B3856" s="26"/>
      <c r="C3856" s="26"/>
      <c r="D3856" s="26"/>
      <c r="E3856" s="26"/>
      <c r="F3856" s="26"/>
      <c r="G3856" s="26"/>
      <c r="H3856" s="27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1:26" ht="12.75" x14ac:dyDescent="0.2"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1:26" ht="12.75" x14ac:dyDescent="0.2"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1:26" ht="12.75" x14ac:dyDescent="0.2"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3" spans="1:26" ht="15.75" customHeight="1" x14ac:dyDescent="0.4">
      <c r="A3863" s="28" t="s">
        <v>0</v>
      </c>
      <c r="B3863" s="26"/>
      <c r="C3863" s="26"/>
      <c r="D3863" s="26"/>
      <c r="E3863" s="26"/>
      <c r="F3863" s="26"/>
      <c r="G3863" s="26"/>
      <c r="H3863" s="27"/>
    </row>
    <row r="3864" spans="1:26" ht="15.75" customHeight="1" x14ac:dyDescent="0.4">
      <c r="A3864" s="28" t="s">
        <v>913</v>
      </c>
      <c r="B3864" s="26"/>
      <c r="C3864" s="26"/>
      <c r="D3864" s="26"/>
      <c r="E3864" s="26"/>
      <c r="F3864" s="26"/>
      <c r="G3864" s="26"/>
      <c r="H3864" s="27"/>
    </row>
    <row r="3865" spans="1:26" ht="15.75" customHeight="1" x14ac:dyDescent="0.3">
      <c r="A3865" s="3" t="s">
        <v>2</v>
      </c>
      <c r="B3865" s="3" t="s">
        <v>3</v>
      </c>
      <c r="C3865" s="3" t="s">
        <v>4</v>
      </c>
      <c r="D3865" s="3" t="s">
        <v>5</v>
      </c>
      <c r="E3865" s="3" t="s">
        <v>6</v>
      </c>
      <c r="F3865" s="4" t="s">
        <v>7</v>
      </c>
      <c r="G3865" s="3" t="s">
        <v>8</v>
      </c>
      <c r="H3865" s="5"/>
    </row>
    <row r="3866" spans="1:26" ht="15.75" customHeight="1" x14ac:dyDescent="0.4">
      <c r="A3866" s="6">
        <v>1</v>
      </c>
      <c r="B3866" s="20" t="s">
        <v>914</v>
      </c>
      <c r="C3866" s="21" t="s">
        <v>915</v>
      </c>
      <c r="D3866" s="8" t="s">
        <v>11</v>
      </c>
      <c r="E3866" s="20">
        <v>1.45</v>
      </c>
      <c r="F3866" s="9">
        <v>293000</v>
      </c>
      <c r="G3866" s="10">
        <f t="shared" ref="G3866:G3868" si="255">IFERROR(E3866*F3866,0)</f>
        <v>424850</v>
      </c>
      <c r="H3866" s="11"/>
    </row>
    <row r="3867" spans="1:26" ht="29.25" customHeight="1" x14ac:dyDescent="0.4">
      <c r="A3867" s="6">
        <v>2</v>
      </c>
      <c r="B3867" s="22" t="s">
        <v>870</v>
      </c>
      <c r="C3867" s="23" t="s">
        <v>871</v>
      </c>
      <c r="D3867" s="13" t="s">
        <v>13</v>
      </c>
      <c r="E3867" s="22">
        <v>2</v>
      </c>
      <c r="F3867" s="14">
        <v>435000</v>
      </c>
      <c r="G3867" s="10">
        <f t="shared" si="255"/>
        <v>870000</v>
      </c>
      <c r="H3867" s="11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1:26" ht="26.25" x14ac:dyDescent="0.4">
      <c r="A3868" s="6">
        <v>3</v>
      </c>
      <c r="B3868" s="15" t="s">
        <v>14</v>
      </c>
      <c r="C3868" s="11"/>
      <c r="D3868" s="11"/>
      <c r="E3868" s="11"/>
      <c r="F3868" s="11"/>
      <c r="G3868" s="16">
        <f t="shared" si="255"/>
        <v>0</v>
      </c>
      <c r="H3868" s="11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1:26" ht="26.25" x14ac:dyDescent="0.4">
      <c r="A3869" s="29" t="s">
        <v>15</v>
      </c>
      <c r="B3869" s="26"/>
      <c r="C3869" s="26"/>
      <c r="D3869" s="26"/>
      <c r="E3869" s="26"/>
      <c r="F3869" s="26"/>
      <c r="G3869" s="27"/>
      <c r="H3869" s="17">
        <f>SUM(G3866:G3868)</f>
        <v>1294850</v>
      </c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1:26" ht="26.25" x14ac:dyDescent="0.4">
      <c r="A3870" s="29" t="s">
        <v>16</v>
      </c>
      <c r="B3870" s="26"/>
      <c r="C3870" s="26"/>
      <c r="D3870" s="26"/>
      <c r="E3870" s="26"/>
      <c r="F3870" s="26"/>
      <c r="G3870" s="27"/>
      <c r="H3870" s="17">
        <f>MAX(0,H3869-648000)</f>
        <v>646850</v>
      </c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1:26" ht="26.25" x14ac:dyDescent="0.4">
      <c r="A3871" s="25" t="s">
        <v>17</v>
      </c>
      <c r="B3871" s="26"/>
      <c r="C3871" s="26"/>
      <c r="D3871" s="26"/>
      <c r="E3871" s="26"/>
      <c r="F3871" s="26"/>
      <c r="G3871" s="27"/>
      <c r="H3871" s="18">
        <v>649000</v>
      </c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1:26" ht="26.25" x14ac:dyDescent="0.4">
      <c r="A3872" s="28" t="s">
        <v>18</v>
      </c>
      <c r="B3872" s="26"/>
      <c r="C3872" s="26"/>
      <c r="D3872" s="26"/>
      <c r="E3872" s="26"/>
      <c r="F3872" s="26"/>
      <c r="G3872" s="26"/>
      <c r="H3872" s="27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1:26" ht="12.75" x14ac:dyDescent="0.2"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1:26" ht="12.75" x14ac:dyDescent="0.2"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1:26" ht="12.75" x14ac:dyDescent="0.2"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1:26" ht="12.75" x14ac:dyDescent="0.2"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80" spans="1:26" ht="15.75" customHeight="1" x14ac:dyDescent="0.4">
      <c r="A3880" s="28" t="s">
        <v>0</v>
      </c>
      <c r="B3880" s="26"/>
      <c r="C3880" s="26"/>
      <c r="D3880" s="26"/>
      <c r="E3880" s="26"/>
      <c r="F3880" s="26"/>
      <c r="G3880" s="26"/>
      <c r="H3880" s="27"/>
    </row>
    <row r="3881" spans="1:26" ht="15.75" customHeight="1" x14ac:dyDescent="0.4">
      <c r="A3881" s="28" t="s">
        <v>916</v>
      </c>
      <c r="B3881" s="26"/>
      <c r="C3881" s="26"/>
      <c r="D3881" s="26"/>
      <c r="E3881" s="26"/>
      <c r="F3881" s="26"/>
      <c r="G3881" s="26"/>
      <c r="H3881" s="27"/>
    </row>
    <row r="3882" spans="1:26" ht="15.75" customHeight="1" x14ac:dyDescent="0.3">
      <c r="A3882" s="3" t="s">
        <v>2</v>
      </c>
      <c r="B3882" s="3" t="s">
        <v>3</v>
      </c>
      <c r="C3882" s="3" t="s">
        <v>4</v>
      </c>
      <c r="D3882" s="3" t="s">
        <v>5</v>
      </c>
      <c r="E3882" s="3" t="s">
        <v>6</v>
      </c>
      <c r="F3882" s="4" t="s">
        <v>7</v>
      </c>
      <c r="G3882" s="3" t="s">
        <v>8</v>
      </c>
      <c r="H3882" s="5"/>
    </row>
    <row r="3883" spans="1:26" ht="29.25" customHeight="1" x14ac:dyDescent="0.4">
      <c r="A3883" s="6">
        <v>1</v>
      </c>
      <c r="B3883" s="20" t="s">
        <v>12</v>
      </c>
      <c r="C3883" s="21" t="s">
        <v>876</v>
      </c>
      <c r="D3883" s="8" t="s">
        <v>11</v>
      </c>
      <c r="E3883" s="20">
        <v>2</v>
      </c>
      <c r="F3883" s="9">
        <v>293000</v>
      </c>
      <c r="G3883" s="10">
        <f t="shared" ref="G3883:G3885" si="256">IFERROR(E3883*F3883,0)</f>
        <v>586000</v>
      </c>
      <c r="H3883" s="11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1:26" ht="26.25" x14ac:dyDescent="0.4">
      <c r="A3884" s="6">
        <v>2</v>
      </c>
      <c r="B3884" s="22" t="s">
        <v>533</v>
      </c>
      <c r="C3884" s="23" t="s">
        <v>917</v>
      </c>
      <c r="D3884" s="13" t="s">
        <v>13</v>
      </c>
      <c r="E3884" s="22">
        <v>1.64</v>
      </c>
      <c r="F3884" s="14">
        <v>435000</v>
      </c>
      <c r="G3884" s="10">
        <f t="shared" si="256"/>
        <v>713400</v>
      </c>
      <c r="H3884" s="11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1:26" ht="26.25" x14ac:dyDescent="0.4">
      <c r="A3885" s="6">
        <v>3</v>
      </c>
      <c r="B3885" s="15" t="s">
        <v>14</v>
      </c>
      <c r="C3885" s="11"/>
      <c r="D3885" s="11"/>
      <c r="E3885" s="11"/>
      <c r="F3885" s="11"/>
      <c r="G3885" s="16">
        <f t="shared" si="256"/>
        <v>0</v>
      </c>
      <c r="H3885" s="11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1:26" ht="26.25" x14ac:dyDescent="0.4">
      <c r="A3886" s="29" t="s">
        <v>15</v>
      </c>
      <c r="B3886" s="26"/>
      <c r="C3886" s="26"/>
      <c r="D3886" s="26"/>
      <c r="E3886" s="26"/>
      <c r="F3886" s="26"/>
      <c r="G3886" s="27"/>
      <c r="H3886" s="17">
        <f>SUM(G3883:G3885)</f>
        <v>1299400</v>
      </c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1:26" ht="26.25" x14ac:dyDescent="0.4">
      <c r="A3887" s="29" t="s">
        <v>16</v>
      </c>
      <c r="B3887" s="26"/>
      <c r="C3887" s="26"/>
      <c r="D3887" s="26"/>
      <c r="E3887" s="26"/>
      <c r="F3887" s="26"/>
      <c r="G3887" s="27"/>
      <c r="H3887" s="17">
        <f>MAX(0,H3886-648000)</f>
        <v>651400</v>
      </c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1:26" ht="26.25" x14ac:dyDescent="0.4">
      <c r="A3888" s="25" t="s">
        <v>17</v>
      </c>
      <c r="B3888" s="26"/>
      <c r="C3888" s="26"/>
      <c r="D3888" s="26"/>
      <c r="E3888" s="26"/>
      <c r="F3888" s="26"/>
      <c r="G3888" s="27"/>
      <c r="H3888" s="18">
        <v>649000</v>
      </c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1:26" ht="26.25" x14ac:dyDescent="0.4">
      <c r="A3889" s="28" t="s">
        <v>18</v>
      </c>
      <c r="B3889" s="26"/>
      <c r="C3889" s="26"/>
      <c r="D3889" s="26"/>
      <c r="E3889" s="26"/>
      <c r="F3889" s="26"/>
      <c r="G3889" s="26"/>
      <c r="H3889" s="27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1:26" ht="12.75" x14ac:dyDescent="0.2"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1:26" ht="12.75" x14ac:dyDescent="0.2"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1:26" ht="12.75" x14ac:dyDescent="0.2"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6" spans="1:26" ht="15.75" customHeight="1" x14ac:dyDescent="0.4">
      <c r="A3896" s="28" t="s">
        <v>0</v>
      </c>
      <c r="B3896" s="26"/>
      <c r="C3896" s="26"/>
      <c r="D3896" s="26"/>
      <c r="E3896" s="26"/>
      <c r="F3896" s="26"/>
      <c r="G3896" s="26"/>
      <c r="H3896" s="27"/>
    </row>
    <row r="3897" spans="1:26" ht="15.75" customHeight="1" x14ac:dyDescent="0.4">
      <c r="A3897" s="28" t="s">
        <v>918</v>
      </c>
      <c r="B3897" s="26"/>
      <c r="C3897" s="26"/>
      <c r="D3897" s="26"/>
      <c r="E3897" s="26"/>
      <c r="F3897" s="26"/>
      <c r="G3897" s="26"/>
      <c r="H3897" s="27"/>
    </row>
    <row r="3898" spans="1:26" ht="15.75" customHeight="1" x14ac:dyDescent="0.3">
      <c r="A3898" s="3" t="s">
        <v>2</v>
      </c>
      <c r="B3898" s="3" t="s">
        <v>3</v>
      </c>
      <c r="C3898" s="3" t="s">
        <v>4</v>
      </c>
      <c r="D3898" s="3" t="s">
        <v>5</v>
      </c>
      <c r="E3898" s="3" t="s">
        <v>6</v>
      </c>
      <c r="F3898" s="4" t="s">
        <v>7</v>
      </c>
      <c r="G3898" s="3" t="s">
        <v>8</v>
      </c>
      <c r="H3898" s="5"/>
    </row>
    <row r="3899" spans="1:26" ht="29.25" customHeight="1" x14ac:dyDescent="0.4">
      <c r="A3899" s="6">
        <v>1</v>
      </c>
      <c r="B3899" s="20" t="s">
        <v>282</v>
      </c>
      <c r="C3899" s="21" t="s">
        <v>919</v>
      </c>
      <c r="D3899" s="8" t="s">
        <v>11</v>
      </c>
      <c r="E3899" s="20">
        <v>2.75</v>
      </c>
      <c r="F3899" s="9">
        <v>293000</v>
      </c>
      <c r="G3899" s="10">
        <f t="shared" ref="G3899:G3901" si="257">IFERROR(E3899*F3899,0)</f>
        <v>805750</v>
      </c>
      <c r="H3899" s="11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1:26" ht="26.25" x14ac:dyDescent="0.4">
      <c r="A3900" s="6">
        <v>2</v>
      </c>
      <c r="B3900" s="22" t="s">
        <v>597</v>
      </c>
      <c r="C3900" s="23" t="s">
        <v>920</v>
      </c>
      <c r="D3900" s="13" t="s">
        <v>13</v>
      </c>
      <c r="E3900" s="22">
        <v>1</v>
      </c>
      <c r="F3900" s="14">
        <v>435000</v>
      </c>
      <c r="G3900" s="10">
        <f t="shared" si="257"/>
        <v>435000</v>
      </c>
      <c r="H3900" s="11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1:26" ht="26.25" x14ac:dyDescent="0.4">
      <c r="A3901" s="6">
        <v>3</v>
      </c>
      <c r="B3901" s="15" t="s">
        <v>14</v>
      </c>
      <c r="C3901" s="11"/>
      <c r="D3901" s="11"/>
      <c r="E3901" s="11"/>
      <c r="F3901" s="11"/>
      <c r="G3901" s="16">
        <f t="shared" si="257"/>
        <v>0</v>
      </c>
      <c r="H3901" s="11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1:26" ht="26.25" x14ac:dyDescent="0.4">
      <c r="A3902" s="29" t="s">
        <v>15</v>
      </c>
      <c r="B3902" s="26"/>
      <c r="C3902" s="26"/>
      <c r="D3902" s="26"/>
      <c r="E3902" s="26"/>
      <c r="F3902" s="26"/>
      <c r="G3902" s="27"/>
      <c r="H3902" s="17">
        <f>SUM(G3899:G3901)</f>
        <v>1240750</v>
      </c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1:26" ht="26.25" x14ac:dyDescent="0.4">
      <c r="A3903" s="29" t="s">
        <v>16</v>
      </c>
      <c r="B3903" s="26"/>
      <c r="C3903" s="26"/>
      <c r="D3903" s="26"/>
      <c r="E3903" s="26"/>
      <c r="F3903" s="26"/>
      <c r="G3903" s="27"/>
      <c r="H3903" s="17">
        <f>MAX(0,H3902-648000)</f>
        <v>592750</v>
      </c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1:26" ht="26.25" x14ac:dyDescent="0.4">
      <c r="A3904" s="25" t="s">
        <v>17</v>
      </c>
      <c r="B3904" s="26"/>
      <c r="C3904" s="26"/>
      <c r="D3904" s="26"/>
      <c r="E3904" s="26"/>
      <c r="F3904" s="26"/>
      <c r="G3904" s="27"/>
      <c r="H3904" s="18">
        <v>649000</v>
      </c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1:26" ht="26.25" x14ac:dyDescent="0.4">
      <c r="A3905" s="28" t="s">
        <v>18</v>
      </c>
      <c r="B3905" s="26"/>
      <c r="C3905" s="26"/>
      <c r="D3905" s="26"/>
      <c r="E3905" s="26"/>
      <c r="F3905" s="26"/>
      <c r="G3905" s="26"/>
      <c r="H3905" s="27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1:26" ht="12.75" x14ac:dyDescent="0.2"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1:26" ht="12.75" x14ac:dyDescent="0.2"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1:26" ht="12.75" x14ac:dyDescent="0.2"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12" spans="1:26" ht="15.75" customHeight="1" x14ac:dyDescent="0.4">
      <c r="A3912" s="28" t="s">
        <v>0</v>
      </c>
      <c r="B3912" s="26"/>
      <c r="C3912" s="26"/>
      <c r="D3912" s="26"/>
      <c r="E3912" s="26"/>
      <c r="F3912" s="26"/>
      <c r="G3912" s="26"/>
      <c r="H3912" s="27"/>
    </row>
    <row r="3913" spans="1:26" ht="15.75" customHeight="1" x14ac:dyDescent="0.4">
      <c r="A3913" s="28" t="s">
        <v>921</v>
      </c>
      <c r="B3913" s="26"/>
      <c r="C3913" s="26"/>
      <c r="D3913" s="26"/>
      <c r="E3913" s="26"/>
      <c r="F3913" s="26"/>
      <c r="G3913" s="26"/>
      <c r="H3913" s="27"/>
    </row>
    <row r="3914" spans="1:26" ht="29.25" customHeight="1" x14ac:dyDescent="0.3">
      <c r="A3914" s="3" t="s">
        <v>2</v>
      </c>
      <c r="B3914" s="3" t="s">
        <v>3</v>
      </c>
      <c r="C3914" s="3" t="s">
        <v>4</v>
      </c>
      <c r="D3914" s="3" t="s">
        <v>5</v>
      </c>
      <c r="E3914" s="3" t="s">
        <v>6</v>
      </c>
      <c r="F3914" s="4" t="s">
        <v>7</v>
      </c>
      <c r="G3914" s="3" t="s">
        <v>8</v>
      </c>
      <c r="H3914" s="5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1:26" ht="26.25" x14ac:dyDescent="0.4">
      <c r="A3915" s="6">
        <v>1</v>
      </c>
      <c r="B3915" s="20" t="s">
        <v>541</v>
      </c>
      <c r="C3915" s="21" t="s">
        <v>922</v>
      </c>
      <c r="D3915" s="8" t="s">
        <v>11</v>
      </c>
      <c r="E3915" s="20">
        <v>1.5</v>
      </c>
      <c r="F3915" s="9">
        <v>293000</v>
      </c>
      <c r="G3915" s="10">
        <f t="shared" ref="G3915:G3917" si="258">IFERROR(E3915*F3915,0)</f>
        <v>439500</v>
      </c>
      <c r="H3915" s="11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1:26" ht="26.25" x14ac:dyDescent="0.4">
      <c r="A3916" s="6">
        <v>2</v>
      </c>
      <c r="B3916" s="22" t="s">
        <v>98</v>
      </c>
      <c r="C3916" s="23" t="s">
        <v>923</v>
      </c>
      <c r="D3916" s="13" t="s">
        <v>13</v>
      </c>
      <c r="E3916" s="22">
        <v>2</v>
      </c>
      <c r="F3916" s="14">
        <v>435000</v>
      </c>
      <c r="G3916" s="10">
        <f t="shared" si="258"/>
        <v>870000</v>
      </c>
      <c r="H3916" s="11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1:26" ht="26.25" x14ac:dyDescent="0.4">
      <c r="A3917" s="6">
        <v>3</v>
      </c>
      <c r="B3917" s="15" t="s">
        <v>14</v>
      </c>
      <c r="C3917" s="11"/>
      <c r="D3917" s="11"/>
      <c r="E3917" s="11"/>
      <c r="F3917" s="11"/>
      <c r="G3917" s="16">
        <f t="shared" si="258"/>
        <v>0</v>
      </c>
      <c r="H3917" s="11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1:26" ht="26.25" x14ac:dyDescent="0.4">
      <c r="A3918" s="29" t="s">
        <v>15</v>
      </c>
      <c r="B3918" s="26"/>
      <c r="C3918" s="26"/>
      <c r="D3918" s="26"/>
      <c r="E3918" s="26"/>
      <c r="F3918" s="26"/>
      <c r="G3918" s="27"/>
      <c r="H3918" s="17">
        <f>SUM(G3915:G3917)</f>
        <v>1309500</v>
      </c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1:26" ht="26.25" x14ac:dyDescent="0.4">
      <c r="A3919" s="29" t="s">
        <v>16</v>
      </c>
      <c r="B3919" s="26"/>
      <c r="C3919" s="26"/>
      <c r="D3919" s="26"/>
      <c r="E3919" s="26"/>
      <c r="F3919" s="26"/>
      <c r="G3919" s="27"/>
      <c r="H3919" s="17">
        <f>MAX(0,H3918-648000)</f>
        <v>661500</v>
      </c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1:26" ht="26.25" x14ac:dyDescent="0.4">
      <c r="A3920" s="25" t="s">
        <v>17</v>
      </c>
      <c r="B3920" s="26"/>
      <c r="C3920" s="26"/>
      <c r="D3920" s="26"/>
      <c r="E3920" s="26"/>
      <c r="F3920" s="26"/>
      <c r="G3920" s="27"/>
      <c r="H3920" s="18">
        <v>649000</v>
      </c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1:26" ht="26.25" x14ac:dyDescent="0.4">
      <c r="A3921" s="28" t="s">
        <v>18</v>
      </c>
      <c r="B3921" s="26"/>
      <c r="C3921" s="26"/>
      <c r="D3921" s="26"/>
      <c r="E3921" s="26"/>
      <c r="F3921" s="26"/>
      <c r="G3921" s="26"/>
      <c r="H3921" s="27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1:26" ht="12.75" x14ac:dyDescent="0.2"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1:26" ht="12.75" x14ac:dyDescent="0.2"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7" spans="1:26" ht="15.75" customHeight="1" x14ac:dyDescent="0.4">
      <c r="A3927" s="28" t="s">
        <v>0</v>
      </c>
      <c r="B3927" s="26"/>
      <c r="C3927" s="26"/>
      <c r="D3927" s="26"/>
      <c r="E3927" s="26"/>
      <c r="F3927" s="26"/>
      <c r="G3927" s="26"/>
      <c r="H3927" s="27"/>
    </row>
    <row r="3928" spans="1:26" ht="15.75" customHeight="1" x14ac:dyDescent="0.4">
      <c r="A3928" s="28" t="s">
        <v>924</v>
      </c>
      <c r="B3928" s="26"/>
      <c r="C3928" s="26"/>
      <c r="D3928" s="26"/>
      <c r="E3928" s="26"/>
      <c r="F3928" s="26"/>
      <c r="G3928" s="26"/>
      <c r="H3928" s="27"/>
    </row>
    <row r="3929" spans="1:26" ht="29.25" customHeight="1" x14ac:dyDescent="0.3">
      <c r="A3929" s="3" t="s">
        <v>2</v>
      </c>
      <c r="B3929" s="3" t="s">
        <v>3</v>
      </c>
      <c r="C3929" s="3" t="s">
        <v>4</v>
      </c>
      <c r="D3929" s="3" t="s">
        <v>5</v>
      </c>
      <c r="E3929" s="3" t="s">
        <v>6</v>
      </c>
      <c r="F3929" s="4" t="s">
        <v>7</v>
      </c>
      <c r="G3929" s="3" t="s">
        <v>8</v>
      </c>
      <c r="H3929" s="5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1:26" ht="26.25" x14ac:dyDescent="0.4">
      <c r="A3930" s="6">
        <v>1</v>
      </c>
      <c r="B3930" s="20" t="s">
        <v>925</v>
      </c>
      <c r="C3930" s="21" t="s">
        <v>926</v>
      </c>
      <c r="D3930" s="8" t="s">
        <v>11</v>
      </c>
      <c r="E3930" s="20">
        <v>2</v>
      </c>
      <c r="F3930" s="9">
        <v>293000</v>
      </c>
      <c r="G3930" s="10">
        <f t="shared" ref="G3930:G3932" si="259">IFERROR(E3930*F3930,0)</f>
        <v>586000</v>
      </c>
      <c r="H3930" s="11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1:26" ht="26.25" x14ac:dyDescent="0.4">
      <c r="A3931" s="6">
        <v>2</v>
      </c>
      <c r="B3931" s="22" t="s">
        <v>927</v>
      </c>
      <c r="C3931" s="23" t="s">
        <v>928</v>
      </c>
      <c r="D3931" s="13" t="s">
        <v>13</v>
      </c>
      <c r="E3931" s="22">
        <v>1.47</v>
      </c>
      <c r="F3931" s="14">
        <v>435000</v>
      </c>
      <c r="G3931" s="10">
        <f t="shared" si="259"/>
        <v>639450</v>
      </c>
      <c r="H3931" s="11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1:26" ht="26.25" x14ac:dyDescent="0.4">
      <c r="A3932" s="6">
        <v>3</v>
      </c>
      <c r="B3932" s="15" t="s">
        <v>14</v>
      </c>
      <c r="C3932" s="11"/>
      <c r="D3932" s="11"/>
      <c r="E3932" s="11"/>
      <c r="F3932" s="11"/>
      <c r="G3932" s="16">
        <f t="shared" si="259"/>
        <v>0</v>
      </c>
      <c r="H3932" s="11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1:26" ht="26.25" x14ac:dyDescent="0.4">
      <c r="A3933" s="29" t="s">
        <v>15</v>
      </c>
      <c r="B3933" s="26"/>
      <c r="C3933" s="26"/>
      <c r="D3933" s="26"/>
      <c r="E3933" s="26"/>
      <c r="F3933" s="26"/>
      <c r="G3933" s="27"/>
      <c r="H3933" s="17">
        <f>SUM(G3930:G3932)</f>
        <v>1225450</v>
      </c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1:26" ht="26.25" x14ac:dyDescent="0.4">
      <c r="A3934" s="29" t="s">
        <v>16</v>
      </c>
      <c r="B3934" s="26"/>
      <c r="C3934" s="26"/>
      <c r="D3934" s="26"/>
      <c r="E3934" s="26"/>
      <c r="F3934" s="26"/>
      <c r="G3934" s="27"/>
      <c r="H3934" s="17">
        <f>MAX(0,H3933-648000)</f>
        <v>577450</v>
      </c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1:26" ht="26.25" x14ac:dyDescent="0.4">
      <c r="A3935" s="25" t="s">
        <v>17</v>
      </c>
      <c r="B3935" s="26"/>
      <c r="C3935" s="26"/>
      <c r="D3935" s="26"/>
      <c r="E3935" s="26"/>
      <c r="F3935" s="26"/>
      <c r="G3935" s="27"/>
      <c r="H3935" s="18">
        <v>649000</v>
      </c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1:26" ht="26.25" x14ac:dyDescent="0.4">
      <c r="A3936" s="28" t="s">
        <v>18</v>
      </c>
      <c r="B3936" s="26"/>
      <c r="C3936" s="26"/>
      <c r="D3936" s="26"/>
      <c r="E3936" s="26"/>
      <c r="F3936" s="26"/>
      <c r="G3936" s="26"/>
      <c r="H3936" s="27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1:26" ht="12.75" x14ac:dyDescent="0.2"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1:26" ht="12.75" x14ac:dyDescent="0.2"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42" spans="1:26" ht="15.75" customHeight="1" x14ac:dyDescent="0.4">
      <c r="A3942" s="28" t="s">
        <v>0</v>
      </c>
      <c r="B3942" s="26"/>
      <c r="C3942" s="26"/>
      <c r="D3942" s="26"/>
      <c r="E3942" s="26"/>
      <c r="F3942" s="26"/>
      <c r="G3942" s="26"/>
      <c r="H3942" s="27"/>
    </row>
    <row r="3943" spans="1:26" ht="15.75" customHeight="1" x14ac:dyDescent="0.4">
      <c r="A3943" s="28" t="s">
        <v>929</v>
      </c>
      <c r="B3943" s="26"/>
      <c r="C3943" s="26"/>
      <c r="D3943" s="26"/>
      <c r="E3943" s="26"/>
      <c r="F3943" s="26"/>
      <c r="G3943" s="26"/>
      <c r="H3943" s="27"/>
    </row>
    <row r="3944" spans="1:26" ht="15.75" customHeight="1" x14ac:dyDescent="0.3">
      <c r="A3944" s="3" t="s">
        <v>2</v>
      </c>
      <c r="B3944" s="3" t="s">
        <v>3</v>
      </c>
      <c r="C3944" s="3" t="s">
        <v>4</v>
      </c>
      <c r="D3944" s="3" t="s">
        <v>5</v>
      </c>
      <c r="E3944" s="3" t="s">
        <v>6</v>
      </c>
      <c r="F3944" s="4" t="s">
        <v>7</v>
      </c>
      <c r="G3944" s="3" t="s">
        <v>8</v>
      </c>
      <c r="H3944" s="5"/>
    </row>
    <row r="3945" spans="1:26" ht="29.25" customHeight="1" x14ac:dyDescent="0.4">
      <c r="A3945" s="6">
        <v>1</v>
      </c>
      <c r="B3945" s="20" t="s">
        <v>375</v>
      </c>
      <c r="C3945" s="21" t="s">
        <v>80</v>
      </c>
      <c r="D3945" s="8" t="s">
        <v>11</v>
      </c>
      <c r="E3945" s="20">
        <v>1.9</v>
      </c>
      <c r="F3945" s="9">
        <v>293000</v>
      </c>
      <c r="G3945" s="10">
        <f t="shared" ref="G3945:G3947" si="260">IFERROR(E3945*F3945,0)</f>
        <v>556700</v>
      </c>
      <c r="H3945" s="11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1:26" ht="26.25" x14ac:dyDescent="0.4">
      <c r="A3946" s="6">
        <v>2</v>
      </c>
      <c r="B3946" s="22" t="s">
        <v>79</v>
      </c>
      <c r="C3946" s="23" t="s">
        <v>930</v>
      </c>
      <c r="D3946" s="13" t="s">
        <v>13</v>
      </c>
      <c r="E3946" s="22">
        <v>1.48</v>
      </c>
      <c r="F3946" s="14">
        <v>435000</v>
      </c>
      <c r="G3946" s="10">
        <f t="shared" si="260"/>
        <v>643800</v>
      </c>
      <c r="H3946" s="11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1:26" ht="26.25" x14ac:dyDescent="0.4">
      <c r="A3947" s="6">
        <v>3</v>
      </c>
      <c r="B3947" s="15" t="s">
        <v>14</v>
      </c>
      <c r="C3947" s="11"/>
      <c r="D3947" s="11"/>
      <c r="E3947" s="11"/>
      <c r="F3947" s="11"/>
      <c r="G3947" s="16">
        <f t="shared" si="260"/>
        <v>0</v>
      </c>
      <c r="H3947" s="11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1:26" ht="26.25" x14ac:dyDescent="0.4">
      <c r="A3948" s="29" t="s">
        <v>15</v>
      </c>
      <c r="B3948" s="26"/>
      <c r="C3948" s="26"/>
      <c r="D3948" s="26"/>
      <c r="E3948" s="26"/>
      <c r="F3948" s="26"/>
      <c r="G3948" s="27"/>
      <c r="H3948" s="17">
        <f>SUM(G3945:G3947)</f>
        <v>1200500</v>
      </c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1:26" ht="26.25" x14ac:dyDescent="0.4">
      <c r="A3949" s="29" t="s">
        <v>16</v>
      </c>
      <c r="B3949" s="26"/>
      <c r="C3949" s="26"/>
      <c r="D3949" s="26"/>
      <c r="E3949" s="26"/>
      <c r="F3949" s="26"/>
      <c r="G3949" s="27"/>
      <c r="H3949" s="17">
        <f>MAX(0,H3948-648000)</f>
        <v>552500</v>
      </c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1:26" ht="26.25" x14ac:dyDescent="0.4">
      <c r="A3950" s="25" t="s">
        <v>17</v>
      </c>
      <c r="B3950" s="26"/>
      <c r="C3950" s="26"/>
      <c r="D3950" s="26"/>
      <c r="E3950" s="26"/>
      <c r="F3950" s="26"/>
      <c r="G3950" s="27"/>
      <c r="H3950" s="18">
        <v>649000</v>
      </c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1:26" ht="26.25" x14ac:dyDescent="0.4">
      <c r="A3951" s="28" t="s">
        <v>18</v>
      </c>
      <c r="B3951" s="26"/>
      <c r="C3951" s="26"/>
      <c r="D3951" s="26"/>
      <c r="E3951" s="26"/>
      <c r="F3951" s="26"/>
      <c r="G3951" s="26"/>
      <c r="H3951" s="27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1:26" ht="12.75" x14ac:dyDescent="0.2"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1:26" ht="12.75" x14ac:dyDescent="0.2"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1:26" ht="12.75" x14ac:dyDescent="0.2"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8" spans="1:26" ht="15.75" customHeight="1" x14ac:dyDescent="0.4">
      <c r="A3958" s="28" t="s">
        <v>0</v>
      </c>
      <c r="B3958" s="26"/>
      <c r="C3958" s="26"/>
      <c r="D3958" s="26"/>
      <c r="E3958" s="26"/>
      <c r="F3958" s="26"/>
      <c r="G3958" s="26"/>
      <c r="H3958" s="27"/>
    </row>
    <row r="3959" spans="1:26" ht="15.75" customHeight="1" x14ac:dyDescent="0.4">
      <c r="A3959" s="28" t="s">
        <v>931</v>
      </c>
      <c r="B3959" s="26"/>
      <c r="C3959" s="26"/>
      <c r="D3959" s="26"/>
      <c r="E3959" s="26"/>
      <c r="F3959" s="26"/>
      <c r="G3959" s="26"/>
      <c r="H3959" s="27"/>
    </row>
    <row r="3960" spans="1:26" ht="29.25" customHeight="1" x14ac:dyDescent="0.3">
      <c r="A3960" s="3" t="s">
        <v>2</v>
      </c>
      <c r="B3960" s="3" t="s">
        <v>3</v>
      </c>
      <c r="C3960" s="3" t="s">
        <v>4</v>
      </c>
      <c r="D3960" s="3" t="s">
        <v>5</v>
      </c>
      <c r="E3960" s="3" t="s">
        <v>6</v>
      </c>
      <c r="F3960" s="4" t="s">
        <v>7</v>
      </c>
      <c r="G3960" s="3" t="s">
        <v>8</v>
      </c>
      <c r="H3960" s="5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1:26" ht="26.25" x14ac:dyDescent="0.4">
      <c r="A3961" s="6">
        <v>1</v>
      </c>
      <c r="B3961" s="20" t="s">
        <v>932</v>
      </c>
      <c r="C3961" s="21" t="s">
        <v>933</v>
      </c>
      <c r="D3961" s="8" t="s">
        <v>11</v>
      </c>
      <c r="E3961" s="20">
        <v>2</v>
      </c>
      <c r="F3961" s="9">
        <v>293000</v>
      </c>
      <c r="G3961" s="10">
        <f t="shared" ref="G3961:G3963" si="261">IFERROR(E3961*F3961,0)</f>
        <v>586000</v>
      </c>
      <c r="H3961" s="11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1:26" ht="26.25" x14ac:dyDescent="0.4">
      <c r="A3962" s="6">
        <v>2</v>
      </c>
      <c r="B3962" s="22" t="s">
        <v>197</v>
      </c>
      <c r="C3962" s="23" t="s">
        <v>934</v>
      </c>
      <c r="D3962" s="13" t="s">
        <v>13</v>
      </c>
      <c r="E3962" s="22">
        <v>1.5</v>
      </c>
      <c r="F3962" s="14">
        <v>435000</v>
      </c>
      <c r="G3962" s="10">
        <f t="shared" si="261"/>
        <v>652500</v>
      </c>
      <c r="H3962" s="11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1:26" ht="26.25" x14ac:dyDescent="0.4">
      <c r="A3963" s="6">
        <v>3</v>
      </c>
      <c r="B3963" s="15" t="s">
        <v>14</v>
      </c>
      <c r="C3963" s="11"/>
      <c r="D3963" s="11"/>
      <c r="E3963" s="11"/>
      <c r="F3963" s="11"/>
      <c r="G3963" s="16">
        <f t="shared" si="261"/>
        <v>0</v>
      </c>
      <c r="H3963" s="11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1:26" ht="26.25" x14ac:dyDescent="0.4">
      <c r="A3964" s="29" t="s">
        <v>15</v>
      </c>
      <c r="B3964" s="26"/>
      <c r="C3964" s="26"/>
      <c r="D3964" s="26"/>
      <c r="E3964" s="26"/>
      <c r="F3964" s="26"/>
      <c r="G3964" s="27"/>
      <c r="H3964" s="17">
        <f>SUM(G3961:G3963)</f>
        <v>1238500</v>
      </c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1:26" ht="26.25" x14ac:dyDescent="0.4">
      <c r="A3965" s="29" t="s">
        <v>16</v>
      </c>
      <c r="B3965" s="26"/>
      <c r="C3965" s="26"/>
      <c r="D3965" s="26"/>
      <c r="E3965" s="26"/>
      <c r="F3965" s="26"/>
      <c r="G3965" s="27"/>
      <c r="H3965" s="17">
        <f>MAX(0,H3964-648000)</f>
        <v>590500</v>
      </c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1:26" ht="26.25" x14ac:dyDescent="0.4">
      <c r="A3966" s="25" t="s">
        <v>17</v>
      </c>
      <c r="B3966" s="26"/>
      <c r="C3966" s="26"/>
      <c r="D3966" s="26"/>
      <c r="E3966" s="26"/>
      <c r="F3966" s="26"/>
      <c r="G3966" s="27"/>
      <c r="H3966" s="18">
        <v>649000</v>
      </c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1:26" ht="26.25" x14ac:dyDescent="0.4">
      <c r="A3967" s="28" t="s">
        <v>18</v>
      </c>
      <c r="B3967" s="26"/>
      <c r="C3967" s="26"/>
      <c r="D3967" s="26"/>
      <c r="E3967" s="26"/>
      <c r="F3967" s="26"/>
      <c r="G3967" s="26"/>
      <c r="H3967" s="27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1:26" ht="12.75" x14ac:dyDescent="0.2"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1:26" ht="12.75" x14ac:dyDescent="0.2"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3" spans="1:26" ht="29.25" customHeight="1" x14ac:dyDescent="0.4">
      <c r="A3973" s="28" t="s">
        <v>0</v>
      </c>
      <c r="B3973" s="26"/>
      <c r="C3973" s="26"/>
      <c r="D3973" s="26"/>
      <c r="E3973" s="26"/>
      <c r="F3973" s="26"/>
      <c r="G3973" s="26"/>
      <c r="H3973" s="27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1:26" ht="26.25" x14ac:dyDescent="0.4">
      <c r="A3974" s="28" t="s">
        <v>935</v>
      </c>
      <c r="B3974" s="26"/>
      <c r="C3974" s="26"/>
      <c r="D3974" s="26"/>
      <c r="E3974" s="26"/>
      <c r="F3974" s="26"/>
      <c r="G3974" s="26"/>
      <c r="H3974" s="27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1:26" ht="18.75" x14ac:dyDescent="0.3">
      <c r="A3975" s="3" t="s">
        <v>2</v>
      </c>
      <c r="B3975" s="3" t="s">
        <v>3</v>
      </c>
      <c r="C3975" s="3" t="s">
        <v>4</v>
      </c>
      <c r="D3975" s="3" t="s">
        <v>5</v>
      </c>
      <c r="E3975" s="3" t="s">
        <v>6</v>
      </c>
      <c r="F3975" s="4" t="s">
        <v>7</v>
      </c>
      <c r="G3975" s="3" t="s">
        <v>8</v>
      </c>
      <c r="H3975" s="5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1:26" ht="26.25" x14ac:dyDescent="0.4">
      <c r="A3976" s="6">
        <v>1</v>
      </c>
      <c r="B3976" s="20" t="s">
        <v>178</v>
      </c>
      <c r="C3976" s="21" t="s">
        <v>936</v>
      </c>
      <c r="D3976" s="8" t="s">
        <v>11</v>
      </c>
      <c r="E3976" s="20">
        <v>2</v>
      </c>
      <c r="F3976" s="9">
        <v>293000</v>
      </c>
      <c r="G3976" s="10">
        <f t="shared" ref="G3976:G3978" si="262">IFERROR(E3976*F3976,0)</f>
        <v>586000</v>
      </c>
      <c r="H3976" s="11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1:26" ht="26.25" x14ac:dyDescent="0.4">
      <c r="A3977" s="6">
        <v>2</v>
      </c>
      <c r="B3977" s="22" t="s">
        <v>12</v>
      </c>
      <c r="C3977" s="23" t="s">
        <v>937</v>
      </c>
      <c r="D3977" s="13" t="s">
        <v>13</v>
      </c>
      <c r="E3977" s="22">
        <v>1.43</v>
      </c>
      <c r="F3977" s="14">
        <v>435000</v>
      </c>
      <c r="G3977" s="10">
        <f t="shared" si="262"/>
        <v>622050</v>
      </c>
      <c r="H3977" s="11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1:26" ht="26.25" x14ac:dyDescent="0.4">
      <c r="A3978" s="6">
        <v>3</v>
      </c>
      <c r="B3978" s="15" t="s">
        <v>14</v>
      </c>
      <c r="C3978" s="11"/>
      <c r="D3978" s="11"/>
      <c r="E3978" s="11"/>
      <c r="F3978" s="11"/>
      <c r="G3978" s="16">
        <f t="shared" si="262"/>
        <v>0</v>
      </c>
      <c r="H3978" s="11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1:26" ht="26.25" x14ac:dyDescent="0.4">
      <c r="A3979" s="29" t="s">
        <v>15</v>
      </c>
      <c r="B3979" s="26"/>
      <c r="C3979" s="26"/>
      <c r="D3979" s="26"/>
      <c r="E3979" s="26"/>
      <c r="F3979" s="26"/>
      <c r="G3979" s="27"/>
      <c r="H3979" s="17">
        <f>SUM(G3976:G3978)</f>
        <v>1208050</v>
      </c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1:26" ht="26.25" x14ac:dyDescent="0.4">
      <c r="A3980" s="29" t="s">
        <v>16</v>
      </c>
      <c r="B3980" s="26"/>
      <c r="C3980" s="26"/>
      <c r="D3980" s="26"/>
      <c r="E3980" s="26"/>
      <c r="F3980" s="26"/>
      <c r="G3980" s="27"/>
      <c r="H3980" s="17">
        <f>MAX(0,H3979-648000)</f>
        <v>560050</v>
      </c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1:26" ht="26.25" x14ac:dyDescent="0.4">
      <c r="A3981" s="25" t="s">
        <v>17</v>
      </c>
      <c r="B3981" s="26"/>
      <c r="C3981" s="26"/>
      <c r="D3981" s="26"/>
      <c r="E3981" s="26"/>
      <c r="F3981" s="26"/>
      <c r="G3981" s="27"/>
      <c r="H3981" s="18">
        <v>649000</v>
      </c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1:26" ht="26.25" x14ac:dyDescent="0.4">
      <c r="A3982" s="28" t="s">
        <v>18</v>
      </c>
      <c r="B3982" s="26"/>
      <c r="C3982" s="26"/>
      <c r="D3982" s="26"/>
      <c r="E3982" s="26"/>
      <c r="F3982" s="26"/>
      <c r="G3982" s="26"/>
      <c r="H3982" s="27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6" spans="1:26" ht="29.25" customHeight="1" x14ac:dyDescent="0.4">
      <c r="A3986" s="28" t="s">
        <v>0</v>
      </c>
      <c r="B3986" s="26"/>
      <c r="C3986" s="26"/>
      <c r="D3986" s="26"/>
      <c r="E3986" s="26"/>
      <c r="F3986" s="26"/>
      <c r="G3986" s="26"/>
      <c r="H3986" s="27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1:26" ht="26.25" x14ac:dyDescent="0.4">
      <c r="A3987" s="28" t="s">
        <v>938</v>
      </c>
      <c r="B3987" s="26"/>
      <c r="C3987" s="26"/>
      <c r="D3987" s="26"/>
      <c r="E3987" s="26"/>
      <c r="F3987" s="26"/>
      <c r="G3987" s="26"/>
      <c r="H3987" s="27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1:26" ht="18.75" x14ac:dyDescent="0.3">
      <c r="A3988" s="3" t="s">
        <v>2</v>
      </c>
      <c r="B3988" s="3" t="s">
        <v>3</v>
      </c>
      <c r="C3988" s="3" t="s">
        <v>4</v>
      </c>
      <c r="D3988" s="3" t="s">
        <v>5</v>
      </c>
      <c r="E3988" s="3" t="s">
        <v>6</v>
      </c>
      <c r="F3988" s="4" t="s">
        <v>7</v>
      </c>
      <c r="G3988" s="3" t="s">
        <v>8</v>
      </c>
      <c r="H3988" s="5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1:26" ht="26.25" x14ac:dyDescent="0.4">
      <c r="A3989" s="6">
        <v>1</v>
      </c>
      <c r="B3989" s="20" t="s">
        <v>887</v>
      </c>
      <c r="C3989" s="21" t="s">
        <v>166</v>
      </c>
      <c r="D3989" s="8" t="s">
        <v>11</v>
      </c>
      <c r="E3989" s="20">
        <v>2</v>
      </c>
      <c r="F3989" s="9">
        <v>293000</v>
      </c>
      <c r="G3989" s="10">
        <f t="shared" ref="G3989:G3991" si="263">IFERROR(E3989*F3989,0)</f>
        <v>586000</v>
      </c>
      <c r="H3989" s="11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1:26" ht="26.25" x14ac:dyDescent="0.4">
      <c r="A3990" s="6">
        <v>2</v>
      </c>
      <c r="B3990" s="22" t="s">
        <v>12</v>
      </c>
      <c r="C3990" s="23" t="s">
        <v>939</v>
      </c>
      <c r="D3990" s="13" t="s">
        <v>13</v>
      </c>
      <c r="E3990" s="22">
        <v>1.46</v>
      </c>
      <c r="F3990" s="14">
        <v>435000</v>
      </c>
      <c r="G3990" s="10">
        <f t="shared" si="263"/>
        <v>635100</v>
      </c>
      <c r="H3990" s="11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1:26" ht="26.25" x14ac:dyDescent="0.4">
      <c r="A3991" s="6">
        <v>3</v>
      </c>
      <c r="B3991" s="15" t="s">
        <v>14</v>
      </c>
      <c r="C3991" s="11"/>
      <c r="D3991" s="11"/>
      <c r="E3991" s="11"/>
      <c r="F3991" s="11"/>
      <c r="G3991" s="16">
        <f t="shared" si="263"/>
        <v>0</v>
      </c>
      <c r="H3991" s="11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1:26" ht="26.25" x14ac:dyDescent="0.4">
      <c r="A3992" s="29" t="s">
        <v>15</v>
      </c>
      <c r="B3992" s="26"/>
      <c r="C3992" s="26"/>
      <c r="D3992" s="26"/>
      <c r="E3992" s="26"/>
      <c r="F3992" s="26"/>
      <c r="G3992" s="27"/>
      <c r="H3992" s="17">
        <f>SUM(G3989:G3991)</f>
        <v>1221100</v>
      </c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1:26" ht="26.25" x14ac:dyDescent="0.4">
      <c r="A3993" s="29" t="s">
        <v>16</v>
      </c>
      <c r="B3993" s="26"/>
      <c r="C3993" s="26"/>
      <c r="D3993" s="26"/>
      <c r="E3993" s="26"/>
      <c r="F3993" s="26"/>
      <c r="G3993" s="27"/>
      <c r="H3993" s="17">
        <f>MAX(0,H3992-648000)</f>
        <v>573100</v>
      </c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1:26" ht="26.25" x14ac:dyDescent="0.4">
      <c r="A3994" s="25" t="s">
        <v>17</v>
      </c>
      <c r="B3994" s="26"/>
      <c r="C3994" s="26"/>
      <c r="D3994" s="26"/>
      <c r="E3994" s="26"/>
      <c r="F3994" s="26"/>
      <c r="G3994" s="27"/>
      <c r="H3994" s="18">
        <v>649000</v>
      </c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1:26" ht="26.25" x14ac:dyDescent="0.4">
      <c r="A3995" s="28" t="s">
        <v>18</v>
      </c>
      <c r="B3995" s="26"/>
      <c r="C3995" s="26"/>
      <c r="D3995" s="26"/>
      <c r="E3995" s="26"/>
      <c r="F3995" s="26"/>
      <c r="G3995" s="26"/>
      <c r="H3995" s="27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9" spans="1:26" ht="15.75" customHeight="1" x14ac:dyDescent="0.4">
      <c r="A3999" s="28" t="s">
        <v>0</v>
      </c>
      <c r="B3999" s="26"/>
      <c r="C3999" s="26"/>
      <c r="D3999" s="26"/>
      <c r="E3999" s="26"/>
      <c r="F3999" s="26"/>
      <c r="G3999" s="26"/>
      <c r="H3999" s="27"/>
    </row>
    <row r="4000" spans="1:26" ht="29.25" customHeight="1" x14ac:dyDescent="0.4">
      <c r="A4000" s="28" t="s">
        <v>940</v>
      </c>
      <c r="B4000" s="26"/>
      <c r="C4000" s="26"/>
      <c r="D4000" s="26"/>
      <c r="E4000" s="26"/>
      <c r="F4000" s="26"/>
      <c r="G4000" s="26"/>
      <c r="H4000" s="27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1:26" ht="18.75" x14ac:dyDescent="0.3">
      <c r="A4001" s="3" t="s">
        <v>2</v>
      </c>
      <c r="B4001" s="3" t="s">
        <v>3</v>
      </c>
      <c r="C4001" s="3" t="s">
        <v>4</v>
      </c>
      <c r="D4001" s="3" t="s">
        <v>5</v>
      </c>
      <c r="E4001" s="3" t="s">
        <v>6</v>
      </c>
      <c r="F4001" s="4" t="s">
        <v>7</v>
      </c>
      <c r="G4001" s="3" t="s">
        <v>8</v>
      </c>
      <c r="H4001" s="5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1:26" ht="26.25" x14ac:dyDescent="0.4">
      <c r="A4002" s="6">
        <v>1</v>
      </c>
      <c r="B4002" s="20" t="s">
        <v>941</v>
      </c>
      <c r="C4002" s="21" t="s">
        <v>942</v>
      </c>
      <c r="D4002" s="8" t="s">
        <v>11</v>
      </c>
      <c r="E4002" s="20">
        <v>1.53</v>
      </c>
      <c r="F4002" s="9">
        <v>293000</v>
      </c>
      <c r="G4002" s="10">
        <f t="shared" ref="G4002:G4004" si="264">IFERROR(E4002*F4002,0)</f>
        <v>448290</v>
      </c>
      <c r="H4002" s="11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1:26" ht="26.25" x14ac:dyDescent="0.4">
      <c r="A4003" s="6">
        <v>2</v>
      </c>
      <c r="B4003" s="22" t="s">
        <v>22</v>
      </c>
      <c r="C4003" s="23" t="s">
        <v>943</v>
      </c>
      <c r="D4003" s="13" t="s">
        <v>13</v>
      </c>
      <c r="E4003" s="22">
        <v>2</v>
      </c>
      <c r="F4003" s="14">
        <v>435000</v>
      </c>
      <c r="G4003" s="10">
        <f t="shared" si="264"/>
        <v>870000</v>
      </c>
      <c r="H4003" s="11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1:26" ht="26.25" x14ac:dyDescent="0.4">
      <c r="A4004" s="6">
        <v>3</v>
      </c>
      <c r="B4004" s="15" t="s">
        <v>14</v>
      </c>
      <c r="C4004" s="11"/>
      <c r="D4004" s="11"/>
      <c r="E4004" s="11"/>
      <c r="F4004" s="11"/>
      <c r="G4004" s="16">
        <f t="shared" si="264"/>
        <v>0</v>
      </c>
      <c r="H4004" s="11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1:26" ht="26.25" x14ac:dyDescent="0.4">
      <c r="A4005" s="29" t="s">
        <v>15</v>
      </c>
      <c r="B4005" s="26"/>
      <c r="C4005" s="26"/>
      <c r="D4005" s="26"/>
      <c r="E4005" s="26"/>
      <c r="F4005" s="26"/>
      <c r="G4005" s="27"/>
      <c r="H4005" s="17">
        <f>SUM(G4002:G4004)</f>
        <v>1318290</v>
      </c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1:26" ht="26.25" x14ac:dyDescent="0.4">
      <c r="A4006" s="29" t="s">
        <v>16</v>
      </c>
      <c r="B4006" s="26"/>
      <c r="C4006" s="26"/>
      <c r="D4006" s="26"/>
      <c r="E4006" s="26"/>
      <c r="F4006" s="26"/>
      <c r="G4006" s="27"/>
      <c r="H4006" s="17">
        <f>MAX(0,H4005-648000)</f>
        <v>670290</v>
      </c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1:26" ht="26.25" x14ac:dyDescent="0.4">
      <c r="A4007" s="25" t="s">
        <v>17</v>
      </c>
      <c r="B4007" s="26"/>
      <c r="C4007" s="26"/>
      <c r="D4007" s="26"/>
      <c r="E4007" s="26"/>
      <c r="F4007" s="26"/>
      <c r="G4007" s="27"/>
      <c r="H4007" s="18">
        <v>649000</v>
      </c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1:26" ht="26.25" x14ac:dyDescent="0.4">
      <c r="A4008" s="28" t="s">
        <v>18</v>
      </c>
      <c r="B4008" s="26"/>
      <c r="C4008" s="26"/>
      <c r="D4008" s="26"/>
      <c r="E4008" s="26"/>
      <c r="F4008" s="26"/>
      <c r="G4008" s="26"/>
      <c r="H4008" s="27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1:26" ht="12.75" x14ac:dyDescent="0.2"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3" spans="1:26" ht="15.75" customHeight="1" x14ac:dyDescent="0.4">
      <c r="A4013" s="28" t="s">
        <v>0</v>
      </c>
      <c r="B4013" s="26"/>
      <c r="C4013" s="26"/>
      <c r="D4013" s="26"/>
      <c r="E4013" s="26"/>
      <c r="F4013" s="26"/>
      <c r="G4013" s="26"/>
      <c r="H4013" s="27"/>
    </row>
    <row r="4014" spans="1:26" ht="29.25" customHeight="1" x14ac:dyDescent="0.4">
      <c r="A4014" s="28" t="s">
        <v>944</v>
      </c>
      <c r="B4014" s="26"/>
      <c r="C4014" s="26"/>
      <c r="D4014" s="26"/>
      <c r="E4014" s="26"/>
      <c r="F4014" s="26"/>
      <c r="G4014" s="26"/>
      <c r="H4014" s="27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1:26" ht="18.75" x14ac:dyDescent="0.3">
      <c r="A4015" s="3" t="s">
        <v>2</v>
      </c>
      <c r="B4015" s="3" t="s">
        <v>3</v>
      </c>
      <c r="C4015" s="3" t="s">
        <v>4</v>
      </c>
      <c r="D4015" s="3" t="s">
        <v>5</v>
      </c>
      <c r="E4015" s="3" t="s">
        <v>6</v>
      </c>
      <c r="F4015" s="4" t="s">
        <v>7</v>
      </c>
      <c r="G4015" s="3" t="s">
        <v>8</v>
      </c>
      <c r="H4015" s="5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1:26" ht="26.25" x14ac:dyDescent="0.4">
      <c r="A4016" s="6">
        <v>1</v>
      </c>
      <c r="B4016" s="20" t="s">
        <v>379</v>
      </c>
      <c r="C4016" s="21" t="s">
        <v>945</v>
      </c>
      <c r="D4016" s="8" t="s">
        <v>11</v>
      </c>
      <c r="E4016" s="20">
        <v>2</v>
      </c>
      <c r="F4016" s="9">
        <v>293000</v>
      </c>
      <c r="G4016" s="10">
        <f t="shared" ref="G4016:G4018" si="265">IFERROR(E4016*F4016,0)</f>
        <v>586000</v>
      </c>
      <c r="H4016" s="11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1:26" ht="26.25" x14ac:dyDescent="0.4">
      <c r="A4017" s="6">
        <v>2</v>
      </c>
      <c r="B4017" s="22" t="s">
        <v>157</v>
      </c>
      <c r="C4017" s="23" t="s">
        <v>946</v>
      </c>
      <c r="D4017" s="13" t="s">
        <v>13</v>
      </c>
      <c r="E4017" s="22">
        <v>1.45</v>
      </c>
      <c r="F4017" s="14">
        <v>435000</v>
      </c>
      <c r="G4017" s="10">
        <f t="shared" si="265"/>
        <v>630750</v>
      </c>
      <c r="H4017" s="11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1:26" ht="26.25" x14ac:dyDescent="0.4">
      <c r="A4018" s="6">
        <v>3</v>
      </c>
      <c r="B4018" s="15" t="s">
        <v>14</v>
      </c>
      <c r="C4018" s="11"/>
      <c r="D4018" s="11"/>
      <c r="E4018" s="11"/>
      <c r="F4018" s="11"/>
      <c r="G4018" s="16">
        <f t="shared" si="265"/>
        <v>0</v>
      </c>
      <c r="H4018" s="11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1:26" ht="26.25" x14ac:dyDescent="0.4">
      <c r="A4019" s="29" t="s">
        <v>15</v>
      </c>
      <c r="B4019" s="26"/>
      <c r="C4019" s="26"/>
      <c r="D4019" s="26"/>
      <c r="E4019" s="26"/>
      <c r="F4019" s="26"/>
      <c r="G4019" s="27"/>
      <c r="H4019" s="17">
        <f>SUM(G4016:G4018)</f>
        <v>1216750</v>
      </c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1:26" ht="26.25" x14ac:dyDescent="0.4">
      <c r="A4020" s="29" t="s">
        <v>16</v>
      </c>
      <c r="B4020" s="26"/>
      <c r="C4020" s="26"/>
      <c r="D4020" s="26"/>
      <c r="E4020" s="26"/>
      <c r="F4020" s="26"/>
      <c r="G4020" s="27"/>
      <c r="H4020" s="17">
        <f>MAX(0,H4019-648000)</f>
        <v>568750</v>
      </c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1:26" ht="26.25" x14ac:dyDescent="0.4">
      <c r="A4021" s="25" t="s">
        <v>17</v>
      </c>
      <c r="B4021" s="26"/>
      <c r="C4021" s="26"/>
      <c r="D4021" s="26"/>
      <c r="E4021" s="26"/>
      <c r="F4021" s="26"/>
      <c r="G4021" s="27"/>
      <c r="H4021" s="18">
        <v>649000</v>
      </c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1:26" ht="26.25" x14ac:dyDescent="0.4">
      <c r="A4022" s="28" t="s">
        <v>18</v>
      </c>
      <c r="B4022" s="26"/>
      <c r="C4022" s="26"/>
      <c r="D4022" s="26"/>
      <c r="E4022" s="26"/>
      <c r="F4022" s="26"/>
      <c r="G4022" s="26"/>
      <c r="H4022" s="27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1:26" ht="12.75" x14ac:dyDescent="0.2"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7" spans="1:26" ht="15.75" customHeight="1" x14ac:dyDescent="0.4">
      <c r="A4027" s="28" t="s">
        <v>0</v>
      </c>
      <c r="B4027" s="26"/>
      <c r="C4027" s="26"/>
      <c r="D4027" s="26"/>
      <c r="E4027" s="26"/>
      <c r="F4027" s="26"/>
      <c r="G4027" s="26"/>
      <c r="H4027" s="27"/>
    </row>
    <row r="4028" spans="1:26" ht="15.75" customHeight="1" x14ac:dyDescent="0.4">
      <c r="A4028" s="28" t="s">
        <v>947</v>
      </c>
      <c r="B4028" s="26"/>
      <c r="C4028" s="26"/>
      <c r="D4028" s="26"/>
      <c r="E4028" s="26"/>
      <c r="F4028" s="26"/>
      <c r="G4028" s="26"/>
      <c r="H4028" s="27"/>
    </row>
    <row r="4029" spans="1:26" ht="29.25" customHeight="1" x14ac:dyDescent="0.3">
      <c r="A4029" s="3" t="s">
        <v>2</v>
      </c>
      <c r="B4029" s="3" t="s">
        <v>3</v>
      </c>
      <c r="C4029" s="3" t="s">
        <v>4</v>
      </c>
      <c r="D4029" s="3" t="s">
        <v>5</v>
      </c>
      <c r="E4029" s="3" t="s">
        <v>6</v>
      </c>
      <c r="F4029" s="4" t="s">
        <v>7</v>
      </c>
      <c r="G4029" s="3" t="s">
        <v>8</v>
      </c>
      <c r="H4029" s="5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1:26" ht="26.25" x14ac:dyDescent="0.4">
      <c r="A4030" s="6">
        <v>1</v>
      </c>
      <c r="B4030" s="20" t="s">
        <v>282</v>
      </c>
      <c r="C4030" s="21" t="s">
        <v>919</v>
      </c>
      <c r="D4030" s="8" t="s">
        <v>11</v>
      </c>
      <c r="E4030" s="20">
        <v>2</v>
      </c>
      <c r="F4030" s="9">
        <v>293000</v>
      </c>
      <c r="G4030" s="10">
        <f t="shared" ref="G4030:G4032" si="266">IFERROR(E4030*F4030,0)</f>
        <v>586000</v>
      </c>
      <c r="H4030" s="11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1:26" ht="26.25" x14ac:dyDescent="0.4">
      <c r="A4031" s="6">
        <v>2</v>
      </c>
      <c r="B4031" s="22" t="s">
        <v>665</v>
      </c>
      <c r="C4031" s="23" t="s">
        <v>948</v>
      </c>
      <c r="D4031" s="13" t="s">
        <v>13</v>
      </c>
      <c r="E4031" s="22">
        <v>1.4</v>
      </c>
      <c r="F4031" s="14">
        <v>435000</v>
      </c>
      <c r="G4031" s="10">
        <f t="shared" si="266"/>
        <v>609000</v>
      </c>
      <c r="H4031" s="11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1:26" ht="26.25" x14ac:dyDescent="0.4">
      <c r="A4032" s="6">
        <v>3</v>
      </c>
      <c r="B4032" s="15" t="s">
        <v>14</v>
      </c>
      <c r="C4032" s="11"/>
      <c r="D4032" s="11"/>
      <c r="E4032" s="11"/>
      <c r="F4032" s="11"/>
      <c r="G4032" s="16">
        <f t="shared" si="266"/>
        <v>0</v>
      </c>
      <c r="H4032" s="11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1:26" ht="26.25" x14ac:dyDescent="0.4">
      <c r="A4033" s="29" t="s">
        <v>15</v>
      </c>
      <c r="B4033" s="26"/>
      <c r="C4033" s="26"/>
      <c r="D4033" s="26"/>
      <c r="E4033" s="26"/>
      <c r="F4033" s="26"/>
      <c r="G4033" s="27"/>
      <c r="H4033" s="17">
        <f>SUM(G4030:G4032)</f>
        <v>1195000</v>
      </c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1:26" ht="26.25" x14ac:dyDescent="0.4">
      <c r="A4034" s="29" t="s">
        <v>16</v>
      </c>
      <c r="B4034" s="26"/>
      <c r="C4034" s="26"/>
      <c r="D4034" s="26"/>
      <c r="E4034" s="26"/>
      <c r="F4034" s="26"/>
      <c r="G4034" s="27"/>
      <c r="H4034" s="17">
        <f>MAX(0,H4033-648000)</f>
        <v>547000</v>
      </c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1:26" ht="26.25" x14ac:dyDescent="0.4">
      <c r="A4035" s="25" t="s">
        <v>17</v>
      </c>
      <c r="B4035" s="26"/>
      <c r="C4035" s="26"/>
      <c r="D4035" s="26"/>
      <c r="E4035" s="26"/>
      <c r="F4035" s="26"/>
      <c r="G4035" s="27"/>
      <c r="H4035" s="18">
        <v>649000</v>
      </c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1:26" ht="26.25" x14ac:dyDescent="0.4">
      <c r="A4036" s="28" t="s">
        <v>18</v>
      </c>
      <c r="B4036" s="26"/>
      <c r="C4036" s="26"/>
      <c r="D4036" s="26"/>
      <c r="E4036" s="26"/>
      <c r="F4036" s="26"/>
      <c r="G4036" s="26"/>
      <c r="H4036" s="27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1:26" ht="12.75" x14ac:dyDescent="0.2"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1:26" ht="12.75" x14ac:dyDescent="0.2"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42" spans="1:26" ht="15.75" customHeight="1" x14ac:dyDescent="0.4">
      <c r="A4042" s="28" t="s">
        <v>0</v>
      </c>
      <c r="B4042" s="26"/>
      <c r="C4042" s="26"/>
      <c r="D4042" s="26"/>
      <c r="E4042" s="26"/>
      <c r="F4042" s="26"/>
      <c r="G4042" s="26"/>
      <c r="H4042" s="27"/>
    </row>
    <row r="4043" spans="1:26" ht="15.75" customHeight="1" x14ac:dyDescent="0.4">
      <c r="A4043" s="28" t="s">
        <v>949</v>
      </c>
      <c r="B4043" s="26"/>
      <c r="C4043" s="26"/>
      <c r="D4043" s="26"/>
      <c r="E4043" s="26"/>
      <c r="F4043" s="26"/>
      <c r="G4043" s="26"/>
      <c r="H4043" s="27"/>
    </row>
    <row r="4044" spans="1:26" ht="15.75" customHeight="1" x14ac:dyDescent="0.3">
      <c r="A4044" s="3" t="s">
        <v>2</v>
      </c>
      <c r="B4044" s="3" t="s">
        <v>3</v>
      </c>
      <c r="C4044" s="3" t="s">
        <v>4</v>
      </c>
      <c r="D4044" s="3" t="s">
        <v>5</v>
      </c>
      <c r="E4044" s="3" t="s">
        <v>6</v>
      </c>
      <c r="F4044" s="4" t="s">
        <v>7</v>
      </c>
      <c r="G4044" s="3" t="s">
        <v>8</v>
      </c>
      <c r="H4044" s="5"/>
    </row>
    <row r="4045" spans="1:26" ht="29.25" customHeight="1" x14ac:dyDescent="0.4">
      <c r="A4045" s="6">
        <v>1</v>
      </c>
      <c r="B4045" s="20" t="s">
        <v>950</v>
      </c>
      <c r="C4045" s="21" t="s">
        <v>166</v>
      </c>
      <c r="D4045" s="8" t="s">
        <v>11</v>
      </c>
      <c r="E4045" s="20">
        <v>2</v>
      </c>
      <c r="F4045" s="9">
        <v>293000</v>
      </c>
      <c r="G4045" s="10">
        <f t="shared" ref="G4045:G4047" si="267">IFERROR(E4045*F4045,0)</f>
        <v>586000</v>
      </c>
      <c r="H4045" s="11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1:26" ht="26.25" x14ac:dyDescent="0.4">
      <c r="A4046" s="6">
        <v>2</v>
      </c>
      <c r="B4046" s="22" t="s">
        <v>914</v>
      </c>
      <c r="C4046" s="23" t="s">
        <v>951</v>
      </c>
      <c r="D4046" s="13" t="s">
        <v>13</v>
      </c>
      <c r="E4046" s="22">
        <v>1.5</v>
      </c>
      <c r="F4046" s="14">
        <v>435000</v>
      </c>
      <c r="G4046" s="10">
        <f t="shared" si="267"/>
        <v>652500</v>
      </c>
      <c r="H4046" s="11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1:26" ht="26.25" x14ac:dyDescent="0.4">
      <c r="A4047" s="6">
        <v>3</v>
      </c>
      <c r="B4047" s="15" t="s">
        <v>14</v>
      </c>
      <c r="C4047" s="11"/>
      <c r="D4047" s="11"/>
      <c r="E4047" s="11"/>
      <c r="F4047" s="11"/>
      <c r="G4047" s="16">
        <f t="shared" si="267"/>
        <v>0</v>
      </c>
      <c r="H4047" s="11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1:26" ht="26.25" x14ac:dyDescent="0.4">
      <c r="A4048" s="29" t="s">
        <v>15</v>
      </c>
      <c r="B4048" s="26"/>
      <c r="C4048" s="26"/>
      <c r="D4048" s="26"/>
      <c r="E4048" s="26"/>
      <c r="F4048" s="26"/>
      <c r="G4048" s="27"/>
      <c r="H4048" s="17">
        <f>SUM(G4045:G4047)</f>
        <v>1238500</v>
      </c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1:26" ht="26.25" x14ac:dyDescent="0.4">
      <c r="A4049" s="29" t="s">
        <v>16</v>
      </c>
      <c r="B4049" s="26"/>
      <c r="C4049" s="26"/>
      <c r="D4049" s="26"/>
      <c r="E4049" s="26"/>
      <c r="F4049" s="26"/>
      <c r="G4049" s="27"/>
      <c r="H4049" s="17">
        <f>MAX(0,H4048-648000)</f>
        <v>590500</v>
      </c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1:26" ht="26.25" x14ac:dyDescent="0.4">
      <c r="A4050" s="25" t="s">
        <v>17</v>
      </c>
      <c r="B4050" s="26"/>
      <c r="C4050" s="26"/>
      <c r="D4050" s="26"/>
      <c r="E4050" s="26"/>
      <c r="F4050" s="26"/>
      <c r="G4050" s="27"/>
      <c r="H4050" s="18">
        <v>649000</v>
      </c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1:26" ht="26.25" x14ac:dyDescent="0.4">
      <c r="A4051" s="28" t="s">
        <v>18</v>
      </c>
      <c r="B4051" s="26"/>
      <c r="C4051" s="26"/>
      <c r="D4051" s="26"/>
      <c r="E4051" s="26"/>
      <c r="F4051" s="26"/>
      <c r="G4051" s="26"/>
      <c r="H4051" s="27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1:26" ht="12.75" x14ac:dyDescent="0.2"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1:26" ht="12.75" x14ac:dyDescent="0.2"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1:26" ht="12.75" x14ac:dyDescent="0.2"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8" spans="1:26" ht="15.75" customHeight="1" x14ac:dyDescent="0.4">
      <c r="A4058" s="28" t="s">
        <v>0</v>
      </c>
      <c r="B4058" s="26"/>
      <c r="C4058" s="26"/>
      <c r="D4058" s="26"/>
      <c r="E4058" s="26"/>
      <c r="F4058" s="26"/>
      <c r="G4058" s="26"/>
      <c r="H4058" s="27"/>
    </row>
    <row r="4059" spans="1:26" ht="15.75" customHeight="1" x14ac:dyDescent="0.4">
      <c r="A4059" s="28" t="s">
        <v>952</v>
      </c>
      <c r="B4059" s="26"/>
      <c r="C4059" s="26"/>
      <c r="D4059" s="26"/>
      <c r="E4059" s="26"/>
      <c r="F4059" s="26"/>
      <c r="G4059" s="26"/>
      <c r="H4059" s="27"/>
    </row>
    <row r="4060" spans="1:26" ht="15.75" customHeight="1" x14ac:dyDescent="0.3">
      <c r="A4060" s="3" t="s">
        <v>2</v>
      </c>
      <c r="B4060" s="3" t="s">
        <v>3</v>
      </c>
      <c r="C4060" s="3" t="s">
        <v>4</v>
      </c>
      <c r="D4060" s="3" t="s">
        <v>5</v>
      </c>
      <c r="E4060" s="3" t="s">
        <v>6</v>
      </c>
      <c r="F4060" s="4" t="s">
        <v>7</v>
      </c>
      <c r="G4060" s="3" t="s">
        <v>8</v>
      </c>
      <c r="H4060" s="5"/>
    </row>
    <row r="4061" spans="1:26" ht="29.25" customHeight="1" x14ac:dyDescent="0.4">
      <c r="A4061" s="6">
        <v>1</v>
      </c>
      <c r="B4061" s="20" t="s">
        <v>282</v>
      </c>
      <c r="C4061" s="21" t="s">
        <v>919</v>
      </c>
      <c r="D4061" s="8" t="s">
        <v>11</v>
      </c>
      <c r="E4061" s="20">
        <v>2</v>
      </c>
      <c r="F4061" s="9">
        <v>293000</v>
      </c>
      <c r="G4061" s="10">
        <f t="shared" ref="G4061:G4063" si="268">IFERROR(E4061*F4061,0)</f>
        <v>586000</v>
      </c>
      <c r="H4061" s="11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1:26" ht="26.25" x14ac:dyDescent="0.4">
      <c r="A4062" s="6">
        <v>2</v>
      </c>
      <c r="B4062" s="22" t="s">
        <v>427</v>
      </c>
      <c r="C4062" s="23" t="s">
        <v>953</v>
      </c>
      <c r="D4062" s="13" t="s">
        <v>13</v>
      </c>
      <c r="E4062" s="22">
        <v>1.3</v>
      </c>
      <c r="F4062" s="14">
        <v>435000</v>
      </c>
      <c r="G4062" s="10">
        <f t="shared" si="268"/>
        <v>565500</v>
      </c>
      <c r="H4062" s="11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1:26" ht="26.25" x14ac:dyDescent="0.4">
      <c r="A4063" s="6">
        <v>3</v>
      </c>
      <c r="B4063" s="15" t="s">
        <v>14</v>
      </c>
      <c r="C4063" s="11"/>
      <c r="D4063" s="11"/>
      <c r="E4063" s="11"/>
      <c r="F4063" s="11"/>
      <c r="G4063" s="16">
        <f t="shared" si="268"/>
        <v>0</v>
      </c>
      <c r="H4063" s="11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1:26" ht="26.25" x14ac:dyDescent="0.4">
      <c r="A4064" s="29" t="s">
        <v>15</v>
      </c>
      <c r="B4064" s="26"/>
      <c r="C4064" s="26"/>
      <c r="D4064" s="26"/>
      <c r="E4064" s="26"/>
      <c r="F4064" s="26"/>
      <c r="G4064" s="27"/>
      <c r="H4064" s="17">
        <f>SUM(G4061:G4063)</f>
        <v>1151500</v>
      </c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1:26" ht="26.25" x14ac:dyDescent="0.4">
      <c r="A4065" s="29" t="s">
        <v>16</v>
      </c>
      <c r="B4065" s="26"/>
      <c r="C4065" s="26"/>
      <c r="D4065" s="26"/>
      <c r="E4065" s="26"/>
      <c r="F4065" s="26"/>
      <c r="G4065" s="27"/>
      <c r="H4065" s="17">
        <f>MAX(0,H4064-648000)</f>
        <v>503500</v>
      </c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1:26" ht="26.25" x14ac:dyDescent="0.4">
      <c r="A4066" s="25" t="s">
        <v>17</v>
      </c>
      <c r="B4066" s="26"/>
      <c r="C4066" s="26"/>
      <c r="D4066" s="26"/>
      <c r="E4066" s="26"/>
      <c r="F4066" s="26"/>
      <c r="G4066" s="27"/>
      <c r="H4066" s="18">
        <v>649000</v>
      </c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1:26" ht="26.25" x14ac:dyDescent="0.4">
      <c r="A4067" s="28" t="s">
        <v>18</v>
      </c>
      <c r="B4067" s="26"/>
      <c r="C4067" s="26"/>
      <c r="D4067" s="26"/>
      <c r="E4067" s="26"/>
      <c r="F4067" s="26"/>
      <c r="G4067" s="26"/>
      <c r="H4067" s="27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1:26" ht="12.75" x14ac:dyDescent="0.2"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1:26" ht="12.75" x14ac:dyDescent="0.2"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1:26" ht="12.75" x14ac:dyDescent="0.2"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4" spans="1:26" ht="15.75" customHeight="1" x14ac:dyDescent="0.4">
      <c r="A4074" s="28" t="s">
        <v>0</v>
      </c>
      <c r="B4074" s="26"/>
      <c r="C4074" s="26"/>
      <c r="D4074" s="26"/>
      <c r="E4074" s="26"/>
      <c r="F4074" s="26"/>
      <c r="G4074" s="26"/>
      <c r="H4074" s="27"/>
    </row>
    <row r="4075" spans="1:26" ht="15.75" customHeight="1" x14ac:dyDescent="0.4">
      <c r="A4075" s="28" t="s">
        <v>954</v>
      </c>
      <c r="B4075" s="26"/>
      <c r="C4075" s="26"/>
      <c r="D4075" s="26"/>
      <c r="E4075" s="26"/>
      <c r="F4075" s="26"/>
      <c r="G4075" s="26"/>
      <c r="H4075" s="27"/>
    </row>
    <row r="4076" spans="1:26" ht="29.25" customHeight="1" x14ac:dyDescent="0.3">
      <c r="A4076" s="3" t="s">
        <v>2</v>
      </c>
      <c r="B4076" s="3" t="s">
        <v>3</v>
      </c>
      <c r="C4076" s="3" t="s">
        <v>4</v>
      </c>
      <c r="D4076" s="3" t="s">
        <v>5</v>
      </c>
      <c r="E4076" s="3" t="s">
        <v>6</v>
      </c>
      <c r="F4076" s="4" t="s">
        <v>7</v>
      </c>
      <c r="G4076" s="3" t="s">
        <v>8</v>
      </c>
      <c r="H4076" s="5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1:26" ht="26.25" x14ac:dyDescent="0.4">
      <c r="A4077" s="6">
        <v>1</v>
      </c>
      <c r="B4077" s="20" t="s">
        <v>48</v>
      </c>
      <c r="C4077" s="21" t="s">
        <v>955</v>
      </c>
      <c r="D4077" s="8" t="s">
        <v>11</v>
      </c>
      <c r="E4077" s="20">
        <v>2.7</v>
      </c>
      <c r="F4077" s="9">
        <v>293000</v>
      </c>
      <c r="G4077" s="10">
        <f t="shared" ref="G4077:G4079" si="269">IFERROR(E4077*F4077,0)</f>
        <v>791100</v>
      </c>
      <c r="H4077" s="11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1:26" ht="26.25" x14ac:dyDescent="0.4">
      <c r="A4078" s="6">
        <v>2</v>
      </c>
      <c r="B4078" s="22" t="s">
        <v>956</v>
      </c>
      <c r="C4078" s="23" t="s">
        <v>957</v>
      </c>
      <c r="D4078" s="13" t="s">
        <v>13</v>
      </c>
      <c r="E4078" s="22">
        <v>0.98</v>
      </c>
      <c r="F4078" s="14">
        <v>435000</v>
      </c>
      <c r="G4078" s="10">
        <f t="shared" si="269"/>
        <v>426300</v>
      </c>
      <c r="H4078" s="11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1:26" ht="26.25" x14ac:dyDescent="0.4">
      <c r="A4079" s="6">
        <v>3</v>
      </c>
      <c r="B4079" s="15" t="s">
        <v>14</v>
      </c>
      <c r="C4079" s="11"/>
      <c r="D4079" s="11"/>
      <c r="E4079" s="11"/>
      <c r="F4079" s="11"/>
      <c r="G4079" s="16">
        <f t="shared" si="269"/>
        <v>0</v>
      </c>
      <c r="H4079" s="11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1:26" ht="26.25" x14ac:dyDescent="0.4">
      <c r="A4080" s="29" t="s">
        <v>15</v>
      </c>
      <c r="B4080" s="26"/>
      <c r="C4080" s="26"/>
      <c r="D4080" s="26"/>
      <c r="E4080" s="26"/>
      <c r="F4080" s="26"/>
      <c r="G4080" s="27"/>
      <c r="H4080" s="17">
        <f>SUM(G4077:G4079)</f>
        <v>1217400</v>
      </c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1:26" ht="26.25" x14ac:dyDescent="0.4">
      <c r="A4081" s="29" t="s">
        <v>16</v>
      </c>
      <c r="B4081" s="26"/>
      <c r="C4081" s="26"/>
      <c r="D4081" s="26"/>
      <c r="E4081" s="26"/>
      <c r="F4081" s="26"/>
      <c r="G4081" s="27"/>
      <c r="H4081" s="17">
        <f>MAX(0,H4080-648000)</f>
        <v>569400</v>
      </c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1:26" ht="26.25" x14ac:dyDescent="0.4">
      <c r="A4082" s="25" t="s">
        <v>17</v>
      </c>
      <c r="B4082" s="26"/>
      <c r="C4082" s="26"/>
      <c r="D4082" s="26"/>
      <c r="E4082" s="26"/>
      <c r="F4082" s="26"/>
      <c r="G4082" s="27"/>
      <c r="H4082" s="18">
        <v>649000</v>
      </c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1:26" ht="26.25" x14ac:dyDescent="0.4">
      <c r="A4083" s="28" t="s">
        <v>18</v>
      </c>
      <c r="B4083" s="26"/>
      <c r="C4083" s="26"/>
      <c r="D4083" s="26"/>
      <c r="E4083" s="26"/>
      <c r="F4083" s="26"/>
      <c r="G4083" s="26"/>
      <c r="H4083" s="27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1:26" ht="12.75" x14ac:dyDescent="0.2"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1:26" ht="12.75" x14ac:dyDescent="0.2"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9" spans="1:26" ht="15.75" customHeight="1" x14ac:dyDescent="0.4">
      <c r="A4089" s="28" t="s">
        <v>0</v>
      </c>
      <c r="B4089" s="26"/>
      <c r="C4089" s="26"/>
      <c r="D4089" s="26"/>
      <c r="E4089" s="26"/>
      <c r="F4089" s="26"/>
      <c r="G4089" s="26"/>
      <c r="H4089" s="27"/>
    </row>
    <row r="4090" spans="1:26" ht="15.75" customHeight="1" x14ac:dyDescent="0.4">
      <c r="A4090" s="28" t="s">
        <v>958</v>
      </c>
      <c r="B4090" s="26"/>
      <c r="C4090" s="26"/>
      <c r="D4090" s="26"/>
      <c r="E4090" s="26"/>
      <c r="F4090" s="26"/>
      <c r="G4090" s="26"/>
      <c r="H4090" s="27"/>
    </row>
    <row r="4091" spans="1:26" ht="29.25" customHeight="1" x14ac:dyDescent="0.3">
      <c r="A4091" s="3" t="s">
        <v>2</v>
      </c>
      <c r="B4091" s="3" t="s">
        <v>3</v>
      </c>
      <c r="C4091" s="3" t="s">
        <v>4</v>
      </c>
      <c r="D4091" s="3" t="s">
        <v>5</v>
      </c>
      <c r="E4091" s="3" t="s">
        <v>6</v>
      </c>
      <c r="F4091" s="4" t="s">
        <v>7</v>
      </c>
      <c r="G4091" s="3" t="s">
        <v>8</v>
      </c>
      <c r="H4091" s="5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1:26" ht="26.25" x14ac:dyDescent="0.4">
      <c r="A4092" s="6">
        <v>1</v>
      </c>
      <c r="B4092" s="20" t="s">
        <v>950</v>
      </c>
      <c r="C4092" s="21" t="s">
        <v>959</v>
      </c>
      <c r="D4092" s="8" t="s">
        <v>11</v>
      </c>
      <c r="E4092" s="20">
        <v>2.4</v>
      </c>
      <c r="F4092" s="9">
        <v>293000</v>
      </c>
      <c r="G4092" s="10">
        <f t="shared" ref="G4092:G4094" si="270">IFERROR(E4092*F4092,0)</f>
        <v>703200</v>
      </c>
      <c r="H4092" s="11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1:26" ht="26.25" x14ac:dyDescent="0.4">
      <c r="A4093" s="6">
        <v>2</v>
      </c>
      <c r="B4093" s="22" t="s">
        <v>12</v>
      </c>
      <c r="C4093" s="23" t="s">
        <v>960</v>
      </c>
      <c r="D4093" s="13" t="s">
        <v>13</v>
      </c>
      <c r="E4093" s="22">
        <v>1.08</v>
      </c>
      <c r="F4093" s="14">
        <v>435000</v>
      </c>
      <c r="G4093" s="10">
        <f t="shared" si="270"/>
        <v>469800.00000000006</v>
      </c>
      <c r="H4093" s="11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spans="1:26" ht="26.25" x14ac:dyDescent="0.4">
      <c r="A4094" s="6">
        <v>3</v>
      </c>
      <c r="B4094" s="15" t="s">
        <v>14</v>
      </c>
      <c r="C4094" s="11"/>
      <c r="D4094" s="11"/>
      <c r="E4094" s="11"/>
      <c r="F4094" s="11"/>
      <c r="G4094" s="16">
        <f t="shared" si="270"/>
        <v>0</v>
      </c>
      <c r="H4094" s="11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spans="1:26" ht="26.25" x14ac:dyDescent="0.4">
      <c r="A4095" s="29" t="s">
        <v>15</v>
      </c>
      <c r="B4095" s="26"/>
      <c r="C4095" s="26"/>
      <c r="D4095" s="26"/>
      <c r="E4095" s="26"/>
      <c r="F4095" s="26"/>
      <c r="G4095" s="27"/>
      <c r="H4095" s="17">
        <f>SUM(G4092:G4094)</f>
        <v>1173000</v>
      </c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spans="1:26" ht="26.25" x14ac:dyDescent="0.4">
      <c r="A4096" s="29" t="s">
        <v>16</v>
      </c>
      <c r="B4096" s="26"/>
      <c r="C4096" s="26"/>
      <c r="D4096" s="26"/>
      <c r="E4096" s="26"/>
      <c r="F4096" s="26"/>
      <c r="G4096" s="27"/>
      <c r="H4096" s="17">
        <f>MAX(0,H4095-648000)</f>
        <v>525000</v>
      </c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1:26" ht="26.25" x14ac:dyDescent="0.4">
      <c r="A4097" s="25" t="s">
        <v>17</v>
      </c>
      <c r="B4097" s="26"/>
      <c r="C4097" s="26"/>
      <c r="D4097" s="26"/>
      <c r="E4097" s="26"/>
      <c r="F4097" s="26"/>
      <c r="G4097" s="27"/>
      <c r="H4097" s="18">
        <v>649000</v>
      </c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1:26" ht="26.25" x14ac:dyDescent="0.4">
      <c r="A4098" s="28" t="s">
        <v>18</v>
      </c>
      <c r="B4098" s="26"/>
      <c r="C4098" s="26"/>
      <c r="D4098" s="26"/>
      <c r="E4098" s="26"/>
      <c r="F4098" s="26"/>
      <c r="G4098" s="26"/>
      <c r="H4098" s="27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1:26" ht="12.75" x14ac:dyDescent="0.2"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1:26" ht="12.75" x14ac:dyDescent="0.2"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4" spans="1:26" ht="15.75" customHeight="1" x14ac:dyDescent="0.4">
      <c r="A4104" s="28" t="s">
        <v>0</v>
      </c>
      <c r="B4104" s="26"/>
      <c r="C4104" s="26"/>
      <c r="D4104" s="26"/>
      <c r="E4104" s="26"/>
      <c r="F4104" s="26"/>
      <c r="G4104" s="26"/>
      <c r="H4104" s="27"/>
    </row>
    <row r="4105" spans="1:26" ht="15.75" customHeight="1" x14ac:dyDescent="0.4">
      <c r="A4105" s="28" t="s">
        <v>961</v>
      </c>
      <c r="B4105" s="26"/>
      <c r="C4105" s="26"/>
      <c r="D4105" s="26"/>
      <c r="E4105" s="26"/>
      <c r="F4105" s="26"/>
      <c r="G4105" s="26"/>
      <c r="H4105" s="27"/>
    </row>
    <row r="4106" spans="1:26" ht="29.25" customHeight="1" x14ac:dyDescent="0.3">
      <c r="A4106" s="3" t="s">
        <v>2</v>
      </c>
      <c r="B4106" s="3" t="s">
        <v>3</v>
      </c>
      <c r="C4106" s="3" t="s">
        <v>4</v>
      </c>
      <c r="D4106" s="3" t="s">
        <v>5</v>
      </c>
      <c r="E4106" s="3" t="s">
        <v>6</v>
      </c>
      <c r="F4106" s="4" t="s">
        <v>7</v>
      </c>
      <c r="G4106" s="3" t="s">
        <v>8</v>
      </c>
      <c r="H4106" s="5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1:26" ht="26.25" x14ac:dyDescent="0.4">
      <c r="A4107" s="6">
        <v>1</v>
      </c>
      <c r="B4107" s="20" t="s">
        <v>218</v>
      </c>
      <c r="C4107" s="21" t="s">
        <v>962</v>
      </c>
      <c r="D4107" s="8" t="s">
        <v>11</v>
      </c>
      <c r="E4107" s="20">
        <v>2.36</v>
      </c>
      <c r="F4107" s="9">
        <v>293000</v>
      </c>
      <c r="G4107" s="10">
        <f t="shared" ref="G4107:G4109" si="271">IFERROR(E4107*F4107,0)</f>
        <v>691480</v>
      </c>
      <c r="H4107" s="11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1:26" ht="26.25" x14ac:dyDescent="0.4">
      <c r="A4108" s="6">
        <v>2</v>
      </c>
      <c r="B4108" s="22" t="s">
        <v>151</v>
      </c>
      <c r="C4108" s="23" t="s">
        <v>963</v>
      </c>
      <c r="D4108" s="13" t="s">
        <v>13</v>
      </c>
      <c r="E4108" s="22">
        <v>1.18</v>
      </c>
      <c r="F4108" s="14">
        <v>435000</v>
      </c>
      <c r="G4108" s="10">
        <f t="shared" si="271"/>
        <v>513300</v>
      </c>
      <c r="H4108" s="11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1:26" ht="26.25" x14ac:dyDescent="0.4">
      <c r="A4109" s="6">
        <v>3</v>
      </c>
      <c r="B4109" s="15" t="s">
        <v>14</v>
      </c>
      <c r="C4109" s="11"/>
      <c r="D4109" s="11"/>
      <c r="E4109" s="11"/>
      <c r="F4109" s="11"/>
      <c r="G4109" s="16">
        <f t="shared" si="271"/>
        <v>0</v>
      </c>
      <c r="H4109" s="11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1:26" ht="26.25" x14ac:dyDescent="0.4">
      <c r="A4110" s="29" t="s">
        <v>15</v>
      </c>
      <c r="B4110" s="26"/>
      <c r="C4110" s="26"/>
      <c r="D4110" s="26"/>
      <c r="E4110" s="26"/>
      <c r="F4110" s="26"/>
      <c r="G4110" s="27"/>
      <c r="H4110" s="17">
        <f>SUM(G4107:G4109)</f>
        <v>1204780</v>
      </c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1:26" ht="26.25" x14ac:dyDescent="0.4">
      <c r="A4111" s="29" t="s">
        <v>16</v>
      </c>
      <c r="B4111" s="26"/>
      <c r="C4111" s="26"/>
      <c r="D4111" s="26"/>
      <c r="E4111" s="26"/>
      <c r="F4111" s="26"/>
      <c r="G4111" s="27"/>
      <c r="H4111" s="17">
        <f>MAX(0,H4110-648000)</f>
        <v>556780</v>
      </c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1:26" ht="26.25" x14ac:dyDescent="0.4">
      <c r="A4112" s="25" t="s">
        <v>17</v>
      </c>
      <c r="B4112" s="26"/>
      <c r="C4112" s="26"/>
      <c r="D4112" s="26"/>
      <c r="E4112" s="26"/>
      <c r="F4112" s="26"/>
      <c r="G4112" s="27"/>
      <c r="H4112" s="18">
        <v>649000</v>
      </c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1:26" ht="26.25" x14ac:dyDescent="0.4">
      <c r="A4113" s="28" t="s">
        <v>18</v>
      </c>
      <c r="B4113" s="26"/>
      <c r="C4113" s="26"/>
      <c r="D4113" s="26"/>
      <c r="E4113" s="26"/>
      <c r="F4113" s="26"/>
      <c r="G4113" s="26"/>
      <c r="H4113" s="27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1:26" ht="12.75" x14ac:dyDescent="0.2"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1:26" ht="12.75" x14ac:dyDescent="0.2"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9" spans="1:26" ht="15.75" customHeight="1" x14ac:dyDescent="0.4">
      <c r="A4119" s="28" t="s">
        <v>0</v>
      </c>
      <c r="B4119" s="26"/>
      <c r="C4119" s="26"/>
      <c r="D4119" s="26"/>
      <c r="E4119" s="26"/>
      <c r="F4119" s="26"/>
      <c r="G4119" s="26"/>
      <c r="H4119" s="27"/>
    </row>
    <row r="4120" spans="1:26" ht="15.75" customHeight="1" x14ac:dyDescent="0.4">
      <c r="A4120" s="28" t="s">
        <v>964</v>
      </c>
      <c r="B4120" s="26"/>
      <c r="C4120" s="26"/>
      <c r="D4120" s="26"/>
      <c r="E4120" s="26"/>
      <c r="F4120" s="26"/>
      <c r="G4120" s="26"/>
      <c r="H4120" s="27"/>
    </row>
    <row r="4121" spans="1:26" ht="15.75" customHeight="1" x14ac:dyDescent="0.3">
      <c r="A4121" s="3" t="s">
        <v>2</v>
      </c>
      <c r="B4121" s="3" t="s">
        <v>3</v>
      </c>
      <c r="C4121" s="3" t="s">
        <v>4</v>
      </c>
      <c r="D4121" s="3" t="s">
        <v>5</v>
      </c>
      <c r="E4121" s="3" t="s">
        <v>6</v>
      </c>
      <c r="F4121" s="4" t="s">
        <v>7</v>
      </c>
      <c r="G4121" s="3" t="s">
        <v>8</v>
      </c>
      <c r="H4121" s="5"/>
    </row>
    <row r="4122" spans="1:26" ht="29.25" customHeight="1" x14ac:dyDescent="0.4">
      <c r="A4122" s="6">
        <v>1</v>
      </c>
      <c r="B4122" s="20" t="s">
        <v>855</v>
      </c>
      <c r="C4122" s="21" t="s">
        <v>856</v>
      </c>
      <c r="D4122" s="8" t="s">
        <v>11</v>
      </c>
      <c r="E4122" s="20">
        <v>2</v>
      </c>
      <c r="F4122" s="9">
        <v>293000</v>
      </c>
      <c r="G4122" s="10">
        <f t="shared" ref="G4122:G4124" si="272">IFERROR(E4122*F4122,0)</f>
        <v>586000</v>
      </c>
      <c r="H4122" s="11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1:26" ht="26.25" x14ac:dyDescent="0.4">
      <c r="A4123" s="6">
        <v>2</v>
      </c>
      <c r="B4123" s="22" t="s">
        <v>12</v>
      </c>
      <c r="C4123" s="23" t="s">
        <v>965</v>
      </c>
      <c r="D4123" s="13" t="s">
        <v>13</v>
      </c>
      <c r="E4123" s="22">
        <v>1.3</v>
      </c>
      <c r="F4123" s="14">
        <v>435000</v>
      </c>
      <c r="G4123" s="10">
        <f t="shared" si="272"/>
        <v>565500</v>
      </c>
      <c r="H4123" s="11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1:26" ht="26.25" x14ac:dyDescent="0.4">
      <c r="A4124" s="6">
        <v>3</v>
      </c>
      <c r="B4124" s="15" t="s">
        <v>14</v>
      </c>
      <c r="C4124" s="11"/>
      <c r="D4124" s="11"/>
      <c r="E4124" s="11"/>
      <c r="F4124" s="11"/>
      <c r="G4124" s="16">
        <f t="shared" si="272"/>
        <v>0</v>
      </c>
      <c r="H4124" s="11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1:26" ht="26.25" x14ac:dyDescent="0.4">
      <c r="A4125" s="29" t="s">
        <v>15</v>
      </c>
      <c r="B4125" s="26"/>
      <c r="C4125" s="26"/>
      <c r="D4125" s="26"/>
      <c r="E4125" s="26"/>
      <c r="F4125" s="26"/>
      <c r="G4125" s="27"/>
      <c r="H4125" s="17">
        <f>SUM(G4122:G4124)</f>
        <v>1151500</v>
      </c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1:26" ht="26.25" x14ac:dyDescent="0.4">
      <c r="A4126" s="29" t="s">
        <v>16</v>
      </c>
      <c r="B4126" s="26"/>
      <c r="C4126" s="26"/>
      <c r="D4126" s="26"/>
      <c r="E4126" s="26"/>
      <c r="F4126" s="26"/>
      <c r="G4126" s="27"/>
      <c r="H4126" s="17">
        <f>MAX(0,H4125-648000)</f>
        <v>503500</v>
      </c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1:26" ht="26.25" x14ac:dyDescent="0.4">
      <c r="A4127" s="25" t="s">
        <v>17</v>
      </c>
      <c r="B4127" s="26"/>
      <c r="C4127" s="26"/>
      <c r="D4127" s="26"/>
      <c r="E4127" s="26"/>
      <c r="F4127" s="26"/>
      <c r="G4127" s="27"/>
      <c r="H4127" s="18">
        <v>649000</v>
      </c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1:26" ht="26.25" x14ac:dyDescent="0.4">
      <c r="A4128" s="28" t="s">
        <v>18</v>
      </c>
      <c r="B4128" s="26"/>
      <c r="C4128" s="26"/>
      <c r="D4128" s="26"/>
      <c r="E4128" s="26"/>
      <c r="F4128" s="26"/>
      <c r="G4128" s="26"/>
      <c r="H4128" s="27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1:26" ht="12.75" x14ac:dyDescent="0.2"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1:26" ht="12.75" x14ac:dyDescent="0.2"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1:26" ht="12.75" x14ac:dyDescent="0.2"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5" spans="1:26" ht="15.75" customHeight="1" x14ac:dyDescent="0.4">
      <c r="A4135" s="28" t="s">
        <v>0</v>
      </c>
      <c r="B4135" s="26"/>
      <c r="C4135" s="26"/>
      <c r="D4135" s="26"/>
      <c r="E4135" s="26"/>
      <c r="F4135" s="26"/>
      <c r="G4135" s="26"/>
      <c r="H4135" s="27"/>
    </row>
    <row r="4136" spans="1:26" ht="15.75" customHeight="1" x14ac:dyDescent="0.4">
      <c r="A4136" s="28" t="s">
        <v>966</v>
      </c>
      <c r="B4136" s="26"/>
      <c r="C4136" s="26"/>
      <c r="D4136" s="26"/>
      <c r="E4136" s="26"/>
      <c r="F4136" s="26"/>
      <c r="G4136" s="26"/>
      <c r="H4136" s="27"/>
    </row>
    <row r="4137" spans="1:26" ht="29.25" customHeight="1" x14ac:dyDescent="0.3">
      <c r="A4137" s="3" t="s">
        <v>2</v>
      </c>
      <c r="B4137" s="3" t="s">
        <v>3</v>
      </c>
      <c r="C4137" s="3" t="s">
        <v>4</v>
      </c>
      <c r="D4137" s="3" t="s">
        <v>5</v>
      </c>
      <c r="E4137" s="3" t="s">
        <v>6</v>
      </c>
      <c r="F4137" s="4" t="s">
        <v>7</v>
      </c>
      <c r="G4137" s="3" t="s">
        <v>8</v>
      </c>
      <c r="H4137" s="5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1:26" ht="26.25" x14ac:dyDescent="0.4">
      <c r="A4138" s="6">
        <v>1</v>
      </c>
      <c r="B4138" s="20" t="s">
        <v>763</v>
      </c>
      <c r="C4138" s="21" t="s">
        <v>967</v>
      </c>
      <c r="D4138" s="8" t="s">
        <v>11</v>
      </c>
      <c r="E4138" s="20">
        <v>2</v>
      </c>
      <c r="F4138" s="9">
        <v>293000</v>
      </c>
      <c r="G4138" s="10">
        <f t="shared" ref="G4138:G4140" si="273">IFERROR(E4138*F4138,0)</f>
        <v>586000</v>
      </c>
      <c r="H4138" s="11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1:26" ht="26.25" x14ac:dyDescent="0.4">
      <c r="A4139" s="6">
        <v>2</v>
      </c>
      <c r="B4139" s="22" t="s">
        <v>533</v>
      </c>
      <c r="C4139" s="23" t="s">
        <v>917</v>
      </c>
      <c r="D4139" s="13" t="s">
        <v>13</v>
      </c>
      <c r="E4139" s="22">
        <v>1.69</v>
      </c>
      <c r="F4139" s="14">
        <v>435000</v>
      </c>
      <c r="G4139" s="10">
        <f t="shared" si="273"/>
        <v>735150</v>
      </c>
      <c r="H4139" s="11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1:26" ht="26.25" x14ac:dyDescent="0.4">
      <c r="A4140" s="6">
        <v>3</v>
      </c>
      <c r="B4140" s="15" t="s">
        <v>14</v>
      </c>
      <c r="C4140" s="11"/>
      <c r="D4140" s="11"/>
      <c r="E4140" s="11"/>
      <c r="F4140" s="11"/>
      <c r="G4140" s="16">
        <f t="shared" si="273"/>
        <v>0</v>
      </c>
      <c r="H4140" s="11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1:26" ht="26.25" x14ac:dyDescent="0.4">
      <c r="A4141" s="29" t="s">
        <v>15</v>
      </c>
      <c r="B4141" s="26"/>
      <c r="C4141" s="26"/>
      <c r="D4141" s="26"/>
      <c r="E4141" s="26"/>
      <c r="F4141" s="26"/>
      <c r="G4141" s="27"/>
      <c r="H4141" s="17">
        <f>SUM(G4138:G4140)</f>
        <v>1321150</v>
      </c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1:26" ht="26.25" x14ac:dyDescent="0.4">
      <c r="A4142" s="29" t="s">
        <v>16</v>
      </c>
      <c r="B4142" s="26"/>
      <c r="C4142" s="26"/>
      <c r="D4142" s="26"/>
      <c r="E4142" s="26"/>
      <c r="F4142" s="26"/>
      <c r="G4142" s="27"/>
      <c r="H4142" s="17">
        <f>MAX(0,H4141-648000)</f>
        <v>673150</v>
      </c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1:26" ht="26.25" x14ac:dyDescent="0.4">
      <c r="A4143" s="25" t="s">
        <v>17</v>
      </c>
      <c r="B4143" s="26"/>
      <c r="C4143" s="26"/>
      <c r="D4143" s="26"/>
      <c r="E4143" s="26"/>
      <c r="F4143" s="26"/>
      <c r="G4143" s="27"/>
      <c r="H4143" s="18">
        <v>649000</v>
      </c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1:26" ht="26.25" x14ac:dyDescent="0.4">
      <c r="A4144" s="28" t="s">
        <v>18</v>
      </c>
      <c r="B4144" s="26"/>
      <c r="C4144" s="26"/>
      <c r="D4144" s="26"/>
      <c r="E4144" s="26"/>
      <c r="F4144" s="26"/>
      <c r="G4144" s="26"/>
      <c r="H4144" s="27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1:26" ht="12.75" x14ac:dyDescent="0.2"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1:26" ht="12.75" x14ac:dyDescent="0.2"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50" spans="1:26" ht="15.75" customHeight="1" x14ac:dyDescent="0.4">
      <c r="A4150" s="28" t="s">
        <v>0</v>
      </c>
      <c r="B4150" s="26"/>
      <c r="C4150" s="26"/>
      <c r="D4150" s="26"/>
      <c r="E4150" s="26"/>
      <c r="F4150" s="26"/>
      <c r="G4150" s="26"/>
      <c r="H4150" s="27"/>
    </row>
    <row r="4151" spans="1:26" ht="15.75" customHeight="1" x14ac:dyDescent="0.4">
      <c r="A4151" s="28" t="s">
        <v>968</v>
      </c>
      <c r="B4151" s="26"/>
      <c r="C4151" s="26"/>
      <c r="D4151" s="26"/>
      <c r="E4151" s="26"/>
      <c r="F4151" s="26"/>
      <c r="G4151" s="26"/>
      <c r="H4151" s="27"/>
    </row>
    <row r="4152" spans="1:26" ht="29.25" customHeight="1" x14ac:dyDescent="0.3">
      <c r="A4152" s="3" t="s">
        <v>2</v>
      </c>
      <c r="B4152" s="3" t="s">
        <v>3</v>
      </c>
      <c r="C4152" s="3" t="s">
        <v>4</v>
      </c>
      <c r="D4152" s="3" t="s">
        <v>5</v>
      </c>
      <c r="E4152" s="3" t="s">
        <v>6</v>
      </c>
      <c r="F4152" s="4" t="s">
        <v>7</v>
      </c>
      <c r="G4152" s="3" t="s">
        <v>8</v>
      </c>
      <c r="H4152" s="5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1:26" ht="26.25" x14ac:dyDescent="0.4">
      <c r="A4153" s="6">
        <v>1</v>
      </c>
      <c r="B4153" s="20" t="s">
        <v>98</v>
      </c>
      <c r="C4153" s="21" t="s">
        <v>969</v>
      </c>
      <c r="D4153" s="8" t="s">
        <v>11</v>
      </c>
      <c r="E4153" s="20">
        <v>1.47</v>
      </c>
      <c r="F4153" s="9">
        <v>293000</v>
      </c>
      <c r="G4153" s="10">
        <f t="shared" ref="G4153:G4155" si="274">IFERROR(E4153*F4153,0)</f>
        <v>430710</v>
      </c>
      <c r="H4153" s="11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1:26" ht="26.25" x14ac:dyDescent="0.4">
      <c r="A4154" s="6">
        <v>2</v>
      </c>
      <c r="B4154" s="20" t="s">
        <v>970</v>
      </c>
      <c r="C4154" s="21" t="s">
        <v>971</v>
      </c>
      <c r="D4154" s="13" t="s">
        <v>13</v>
      </c>
      <c r="E4154" s="22">
        <v>1.98</v>
      </c>
      <c r="F4154" s="14">
        <v>435000</v>
      </c>
      <c r="G4154" s="10">
        <f t="shared" si="274"/>
        <v>861300</v>
      </c>
      <c r="H4154" s="11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1:26" ht="26.25" x14ac:dyDescent="0.4">
      <c r="A4155" s="6">
        <v>3</v>
      </c>
      <c r="B4155" s="15" t="s">
        <v>14</v>
      </c>
      <c r="C4155" s="11"/>
      <c r="D4155" s="11"/>
      <c r="E4155" s="11"/>
      <c r="F4155" s="11"/>
      <c r="G4155" s="16">
        <f t="shared" si="274"/>
        <v>0</v>
      </c>
      <c r="H4155" s="11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1:26" ht="26.25" x14ac:dyDescent="0.4">
      <c r="A4156" s="29" t="s">
        <v>15</v>
      </c>
      <c r="B4156" s="26"/>
      <c r="C4156" s="26"/>
      <c r="D4156" s="26"/>
      <c r="E4156" s="26"/>
      <c r="F4156" s="26"/>
      <c r="G4156" s="27"/>
      <c r="H4156" s="17">
        <f>SUM(G4153:G4155)</f>
        <v>1292010</v>
      </c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1:26" ht="26.25" x14ac:dyDescent="0.4">
      <c r="A4157" s="29" t="s">
        <v>16</v>
      </c>
      <c r="B4157" s="26"/>
      <c r="C4157" s="26"/>
      <c r="D4157" s="26"/>
      <c r="E4157" s="26"/>
      <c r="F4157" s="26"/>
      <c r="G4157" s="27"/>
      <c r="H4157" s="17">
        <f>MAX(0,H4156-648000)</f>
        <v>644010</v>
      </c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1:26" ht="26.25" x14ac:dyDescent="0.4">
      <c r="A4158" s="25" t="s">
        <v>17</v>
      </c>
      <c r="B4158" s="26"/>
      <c r="C4158" s="26"/>
      <c r="D4158" s="26"/>
      <c r="E4158" s="26"/>
      <c r="F4158" s="26"/>
      <c r="G4158" s="27"/>
      <c r="H4158" s="18">
        <v>649000</v>
      </c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1:26" ht="26.25" x14ac:dyDescent="0.4">
      <c r="A4159" s="28" t="s">
        <v>18</v>
      </c>
      <c r="B4159" s="26"/>
      <c r="C4159" s="26"/>
      <c r="D4159" s="26"/>
      <c r="E4159" s="26"/>
      <c r="F4159" s="26"/>
      <c r="G4159" s="26"/>
      <c r="H4159" s="27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1:26" ht="12.75" x14ac:dyDescent="0.2"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1:26" ht="12.75" x14ac:dyDescent="0.2"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5" spans="1:26" ht="15.75" customHeight="1" x14ac:dyDescent="0.4">
      <c r="A4165" s="28" t="s">
        <v>0</v>
      </c>
      <c r="B4165" s="26"/>
      <c r="C4165" s="26"/>
      <c r="D4165" s="26"/>
      <c r="E4165" s="26"/>
      <c r="F4165" s="26"/>
      <c r="G4165" s="26"/>
      <c r="H4165" s="27"/>
    </row>
    <row r="4166" spans="1:26" ht="15.75" customHeight="1" x14ac:dyDescent="0.4">
      <c r="A4166" s="28" t="s">
        <v>972</v>
      </c>
      <c r="B4166" s="26"/>
      <c r="C4166" s="26"/>
      <c r="D4166" s="26"/>
      <c r="E4166" s="26"/>
      <c r="F4166" s="26"/>
      <c r="G4166" s="26"/>
      <c r="H4166" s="27"/>
    </row>
    <row r="4167" spans="1:26" ht="15.75" customHeight="1" x14ac:dyDescent="0.3">
      <c r="A4167" s="3" t="s">
        <v>2</v>
      </c>
      <c r="B4167" s="3" t="s">
        <v>3</v>
      </c>
      <c r="C4167" s="3" t="s">
        <v>4</v>
      </c>
      <c r="D4167" s="3" t="s">
        <v>5</v>
      </c>
      <c r="E4167" s="3" t="s">
        <v>6</v>
      </c>
      <c r="F4167" s="4" t="s">
        <v>7</v>
      </c>
      <c r="G4167" s="3" t="s">
        <v>8</v>
      </c>
      <c r="H4167" s="5"/>
    </row>
    <row r="4168" spans="1:26" ht="29.25" customHeight="1" x14ac:dyDescent="0.4">
      <c r="A4168" s="6">
        <v>1</v>
      </c>
      <c r="B4168" s="20" t="s">
        <v>282</v>
      </c>
      <c r="C4168" s="21" t="s">
        <v>919</v>
      </c>
      <c r="D4168" s="8" t="s">
        <v>11</v>
      </c>
      <c r="E4168" s="20">
        <v>2</v>
      </c>
      <c r="F4168" s="9">
        <v>293000</v>
      </c>
      <c r="G4168" s="10">
        <f t="shared" ref="G4168:G4170" si="275">IFERROR(E4168*F4168,0)</f>
        <v>586000</v>
      </c>
      <c r="H4168" s="11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1:26" ht="26.25" x14ac:dyDescent="0.4">
      <c r="A4169" s="6">
        <v>2</v>
      </c>
      <c r="B4169" s="22" t="s">
        <v>12</v>
      </c>
      <c r="C4169" s="23" t="s">
        <v>973</v>
      </c>
      <c r="D4169" s="13" t="s">
        <v>13</v>
      </c>
      <c r="E4169" s="22">
        <v>1.36</v>
      </c>
      <c r="F4169" s="14">
        <v>435000</v>
      </c>
      <c r="G4169" s="10">
        <f t="shared" si="275"/>
        <v>591600</v>
      </c>
      <c r="H4169" s="11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1:26" ht="26.25" x14ac:dyDescent="0.4">
      <c r="A4170" s="6">
        <v>3</v>
      </c>
      <c r="B4170" s="15" t="s">
        <v>14</v>
      </c>
      <c r="C4170" s="11"/>
      <c r="D4170" s="11"/>
      <c r="E4170" s="11"/>
      <c r="F4170" s="11"/>
      <c r="G4170" s="16">
        <f t="shared" si="275"/>
        <v>0</v>
      </c>
      <c r="H4170" s="11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1:26" ht="26.25" x14ac:dyDescent="0.4">
      <c r="A4171" s="29" t="s">
        <v>15</v>
      </c>
      <c r="B4171" s="26"/>
      <c r="C4171" s="26"/>
      <c r="D4171" s="26"/>
      <c r="E4171" s="26"/>
      <c r="F4171" s="26"/>
      <c r="G4171" s="27"/>
      <c r="H4171" s="17">
        <f>SUM(G4168:G4170)</f>
        <v>1177600</v>
      </c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1:26" ht="26.25" x14ac:dyDescent="0.4">
      <c r="A4172" s="29" t="s">
        <v>16</v>
      </c>
      <c r="B4172" s="26"/>
      <c r="C4172" s="26"/>
      <c r="D4172" s="26"/>
      <c r="E4172" s="26"/>
      <c r="F4172" s="26"/>
      <c r="G4172" s="27"/>
      <c r="H4172" s="17">
        <f>MAX(0,H4171-648000)</f>
        <v>529600</v>
      </c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1:26" ht="26.25" x14ac:dyDescent="0.4">
      <c r="A4173" s="25" t="s">
        <v>17</v>
      </c>
      <c r="B4173" s="26"/>
      <c r="C4173" s="26"/>
      <c r="D4173" s="26"/>
      <c r="E4173" s="26"/>
      <c r="F4173" s="26"/>
      <c r="G4173" s="27"/>
      <c r="H4173" s="18">
        <v>649000</v>
      </c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1:26" ht="26.25" x14ac:dyDescent="0.4">
      <c r="A4174" s="28" t="s">
        <v>18</v>
      </c>
      <c r="B4174" s="26"/>
      <c r="C4174" s="26"/>
      <c r="D4174" s="26"/>
      <c r="E4174" s="26"/>
      <c r="F4174" s="26"/>
      <c r="G4174" s="26"/>
      <c r="H4174" s="27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1:26" ht="12.75" x14ac:dyDescent="0.2"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1:26" ht="12.75" x14ac:dyDescent="0.2"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1:26" ht="12.75" x14ac:dyDescent="0.2"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81" spans="1:26" ht="15.75" customHeight="1" x14ac:dyDescent="0.4">
      <c r="A4181" s="28" t="s">
        <v>0</v>
      </c>
      <c r="B4181" s="26"/>
      <c r="C4181" s="26"/>
      <c r="D4181" s="26"/>
      <c r="E4181" s="26"/>
      <c r="F4181" s="26"/>
      <c r="G4181" s="26"/>
      <c r="H4181" s="27"/>
    </row>
    <row r="4182" spans="1:26" ht="15.75" customHeight="1" x14ac:dyDescent="0.4">
      <c r="A4182" s="28" t="s">
        <v>974</v>
      </c>
      <c r="B4182" s="26"/>
      <c r="C4182" s="26"/>
      <c r="D4182" s="26"/>
      <c r="E4182" s="26"/>
      <c r="F4182" s="26"/>
      <c r="G4182" s="26"/>
      <c r="H4182" s="27"/>
    </row>
    <row r="4183" spans="1:26" ht="15.75" customHeight="1" x14ac:dyDescent="0.3">
      <c r="A4183" s="3" t="s">
        <v>2</v>
      </c>
      <c r="B4183" s="3" t="s">
        <v>3</v>
      </c>
      <c r="C4183" s="3" t="s">
        <v>4</v>
      </c>
      <c r="D4183" s="3" t="s">
        <v>5</v>
      </c>
      <c r="E4183" s="3" t="s">
        <v>6</v>
      </c>
      <c r="F4183" s="4" t="s">
        <v>7</v>
      </c>
      <c r="G4183" s="3" t="s">
        <v>8</v>
      </c>
      <c r="H4183" s="5"/>
    </row>
    <row r="4184" spans="1:26" ht="29.25" customHeight="1" x14ac:dyDescent="0.4">
      <c r="A4184" s="6">
        <v>1</v>
      </c>
      <c r="B4184" s="20" t="s">
        <v>707</v>
      </c>
      <c r="C4184" s="21" t="s">
        <v>975</v>
      </c>
      <c r="D4184" s="8" t="s">
        <v>11</v>
      </c>
      <c r="E4184" s="20">
        <v>2.0499999999999998</v>
      </c>
      <c r="F4184" s="9">
        <v>293000</v>
      </c>
      <c r="G4184" s="10">
        <f t="shared" ref="G4184:G4186" si="276">IFERROR(E4184*F4184,0)</f>
        <v>600650</v>
      </c>
      <c r="H4184" s="11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1:26" ht="26.25" x14ac:dyDescent="0.4">
      <c r="A4185" s="6">
        <v>2</v>
      </c>
      <c r="B4185" s="22" t="s">
        <v>25</v>
      </c>
      <c r="C4185" s="23" t="s">
        <v>976</v>
      </c>
      <c r="D4185" s="13" t="s">
        <v>13</v>
      </c>
      <c r="E4185" s="22">
        <v>1.5</v>
      </c>
      <c r="F4185" s="14">
        <v>435000</v>
      </c>
      <c r="G4185" s="10">
        <f t="shared" si="276"/>
        <v>652500</v>
      </c>
      <c r="H4185" s="11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1:26" ht="26.25" x14ac:dyDescent="0.4">
      <c r="A4186" s="6">
        <v>3</v>
      </c>
      <c r="B4186" s="15" t="s">
        <v>14</v>
      </c>
      <c r="C4186" s="11"/>
      <c r="D4186" s="11"/>
      <c r="E4186" s="11"/>
      <c r="F4186" s="11"/>
      <c r="G4186" s="16">
        <f t="shared" si="276"/>
        <v>0</v>
      </c>
      <c r="H4186" s="11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1:26" ht="26.25" x14ac:dyDescent="0.4">
      <c r="A4187" s="29" t="s">
        <v>15</v>
      </c>
      <c r="B4187" s="26"/>
      <c r="C4187" s="26"/>
      <c r="D4187" s="26"/>
      <c r="E4187" s="26"/>
      <c r="F4187" s="26"/>
      <c r="G4187" s="27"/>
      <c r="H4187" s="17">
        <f>SUM(G4184:G4186)</f>
        <v>1253150</v>
      </c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1:26" ht="26.25" x14ac:dyDescent="0.4">
      <c r="A4188" s="29" t="s">
        <v>16</v>
      </c>
      <c r="B4188" s="26"/>
      <c r="C4188" s="26"/>
      <c r="D4188" s="26"/>
      <c r="E4188" s="26"/>
      <c r="F4188" s="26"/>
      <c r="G4188" s="27"/>
      <c r="H4188" s="17">
        <f>MAX(0,H4187-648000)</f>
        <v>605150</v>
      </c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1:26" ht="26.25" x14ac:dyDescent="0.4">
      <c r="A4189" s="25" t="s">
        <v>17</v>
      </c>
      <c r="B4189" s="26"/>
      <c r="C4189" s="26"/>
      <c r="D4189" s="26"/>
      <c r="E4189" s="26"/>
      <c r="F4189" s="26"/>
      <c r="G4189" s="27"/>
      <c r="H4189" s="18">
        <v>649000</v>
      </c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1:26" ht="26.25" x14ac:dyDescent="0.4">
      <c r="A4190" s="28" t="s">
        <v>18</v>
      </c>
      <c r="B4190" s="26"/>
      <c r="C4190" s="26"/>
      <c r="D4190" s="26"/>
      <c r="E4190" s="26"/>
      <c r="F4190" s="26"/>
      <c r="G4190" s="26"/>
      <c r="H4190" s="27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1:26" ht="12.75" x14ac:dyDescent="0.2"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1:26" ht="12.75" x14ac:dyDescent="0.2"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1:26" ht="12.75" x14ac:dyDescent="0.2"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7" spans="1:26" ht="15.75" customHeight="1" x14ac:dyDescent="0.4">
      <c r="A4197" s="28" t="s">
        <v>0</v>
      </c>
      <c r="B4197" s="26"/>
      <c r="C4197" s="26"/>
      <c r="D4197" s="26"/>
      <c r="E4197" s="26"/>
      <c r="F4197" s="26"/>
      <c r="G4197" s="26"/>
      <c r="H4197" s="27"/>
    </row>
    <row r="4198" spans="1:26" ht="15.75" customHeight="1" x14ac:dyDescent="0.4">
      <c r="A4198" s="28" t="s">
        <v>977</v>
      </c>
      <c r="B4198" s="26"/>
      <c r="C4198" s="26"/>
      <c r="D4198" s="26"/>
      <c r="E4198" s="26"/>
      <c r="F4198" s="26"/>
      <c r="G4198" s="26"/>
      <c r="H4198" s="27"/>
    </row>
    <row r="4199" spans="1:26" ht="29.25" customHeight="1" x14ac:dyDescent="0.3">
      <c r="A4199" s="3" t="s">
        <v>2</v>
      </c>
      <c r="B4199" s="3" t="s">
        <v>3</v>
      </c>
      <c r="C4199" s="3" t="s">
        <v>4</v>
      </c>
      <c r="D4199" s="3" t="s">
        <v>5</v>
      </c>
      <c r="E4199" s="3" t="s">
        <v>6</v>
      </c>
      <c r="F4199" s="4" t="s">
        <v>7</v>
      </c>
      <c r="G4199" s="3" t="s">
        <v>8</v>
      </c>
      <c r="H4199" s="5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spans="1:26" ht="26.25" x14ac:dyDescent="0.4">
      <c r="A4200" s="6">
        <v>1</v>
      </c>
      <c r="B4200" s="20" t="s">
        <v>282</v>
      </c>
      <c r="C4200" s="21" t="s">
        <v>919</v>
      </c>
      <c r="D4200" s="8" t="s">
        <v>11</v>
      </c>
      <c r="E4200" s="20">
        <v>2.1</v>
      </c>
      <c r="F4200" s="9">
        <v>293000</v>
      </c>
      <c r="G4200" s="10">
        <f t="shared" ref="G4200:G4202" si="277">IFERROR(E4200*F4200,0)</f>
        <v>615300</v>
      </c>
      <c r="H4200" s="11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spans="1:26" ht="26.25" x14ac:dyDescent="0.4">
      <c r="A4201" s="6">
        <v>2</v>
      </c>
      <c r="B4201" s="22" t="s">
        <v>391</v>
      </c>
      <c r="C4201" s="23" t="s">
        <v>978</v>
      </c>
      <c r="D4201" s="13" t="s">
        <v>13</v>
      </c>
      <c r="E4201" s="22">
        <v>1.24</v>
      </c>
      <c r="F4201" s="14">
        <v>435000</v>
      </c>
      <c r="G4201" s="10">
        <f t="shared" si="277"/>
        <v>539400</v>
      </c>
      <c r="H4201" s="11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1:26" ht="26.25" x14ac:dyDescent="0.4">
      <c r="A4202" s="6">
        <v>3</v>
      </c>
      <c r="B4202" s="15" t="s">
        <v>14</v>
      </c>
      <c r="C4202" s="11"/>
      <c r="D4202" s="11"/>
      <c r="E4202" s="11"/>
      <c r="F4202" s="11"/>
      <c r="G4202" s="16">
        <f t="shared" si="277"/>
        <v>0</v>
      </c>
      <c r="H4202" s="11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1:26" ht="26.25" x14ac:dyDescent="0.4">
      <c r="A4203" s="29" t="s">
        <v>15</v>
      </c>
      <c r="B4203" s="26"/>
      <c r="C4203" s="26"/>
      <c r="D4203" s="26"/>
      <c r="E4203" s="26"/>
      <c r="F4203" s="26"/>
      <c r="G4203" s="27"/>
      <c r="H4203" s="17">
        <f>SUM(G4200:G4202)</f>
        <v>1154700</v>
      </c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1:26" ht="26.25" x14ac:dyDescent="0.4">
      <c r="A4204" s="29" t="s">
        <v>16</v>
      </c>
      <c r="B4204" s="26"/>
      <c r="C4204" s="26"/>
      <c r="D4204" s="26"/>
      <c r="E4204" s="26"/>
      <c r="F4204" s="26"/>
      <c r="G4204" s="27"/>
      <c r="H4204" s="17">
        <f>MAX(0,H4203-648000)</f>
        <v>506700</v>
      </c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1:26" ht="26.25" x14ac:dyDescent="0.4">
      <c r="A4205" s="25" t="s">
        <v>17</v>
      </c>
      <c r="B4205" s="26"/>
      <c r="C4205" s="26"/>
      <c r="D4205" s="26"/>
      <c r="E4205" s="26"/>
      <c r="F4205" s="26"/>
      <c r="G4205" s="27"/>
      <c r="H4205" s="18">
        <v>649000</v>
      </c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1:26" ht="26.25" x14ac:dyDescent="0.4">
      <c r="A4206" s="28" t="s">
        <v>18</v>
      </c>
      <c r="B4206" s="26"/>
      <c r="C4206" s="26"/>
      <c r="D4206" s="26"/>
      <c r="E4206" s="26"/>
      <c r="F4206" s="26"/>
      <c r="G4206" s="26"/>
      <c r="H4206" s="27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1:26" ht="12.75" x14ac:dyDescent="0.2"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1:26" ht="12.75" x14ac:dyDescent="0.2"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12" spans="1:26" ht="15.75" customHeight="1" x14ac:dyDescent="0.4">
      <c r="A4212" s="28" t="s">
        <v>0</v>
      </c>
      <c r="B4212" s="26"/>
      <c r="C4212" s="26"/>
      <c r="D4212" s="26"/>
      <c r="E4212" s="26"/>
      <c r="F4212" s="26"/>
      <c r="G4212" s="26"/>
      <c r="H4212" s="27"/>
    </row>
    <row r="4213" spans="1:26" ht="15.75" customHeight="1" x14ac:dyDescent="0.4">
      <c r="A4213" s="28" t="s">
        <v>979</v>
      </c>
      <c r="B4213" s="26"/>
      <c r="C4213" s="26"/>
      <c r="D4213" s="26"/>
      <c r="E4213" s="26"/>
      <c r="F4213" s="26"/>
      <c r="G4213" s="26"/>
      <c r="H4213" s="27"/>
    </row>
    <row r="4214" spans="1:26" ht="29.25" customHeight="1" x14ac:dyDescent="0.3">
      <c r="A4214" s="3" t="s">
        <v>2</v>
      </c>
      <c r="B4214" s="3" t="s">
        <v>3</v>
      </c>
      <c r="C4214" s="3" t="s">
        <v>4</v>
      </c>
      <c r="D4214" s="3" t="s">
        <v>5</v>
      </c>
      <c r="E4214" s="3" t="s">
        <v>6</v>
      </c>
      <c r="F4214" s="4" t="s">
        <v>7</v>
      </c>
      <c r="G4214" s="3" t="s">
        <v>8</v>
      </c>
      <c r="H4214" s="5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1:26" ht="26.25" x14ac:dyDescent="0.4">
      <c r="A4215" s="6">
        <v>1</v>
      </c>
      <c r="B4215" s="20" t="s">
        <v>294</v>
      </c>
      <c r="C4215" s="21" t="s">
        <v>980</v>
      </c>
      <c r="D4215" s="8" t="s">
        <v>11</v>
      </c>
      <c r="E4215" s="20">
        <v>1.53</v>
      </c>
      <c r="F4215" s="9">
        <v>293000</v>
      </c>
      <c r="G4215" s="10">
        <f t="shared" ref="G4215:G4217" si="278">IFERROR(E4215*F4215,0)</f>
        <v>448290</v>
      </c>
      <c r="H4215" s="11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1:26" ht="26.25" x14ac:dyDescent="0.4">
      <c r="A4216" s="6">
        <v>2</v>
      </c>
      <c r="B4216" s="22" t="s">
        <v>22</v>
      </c>
      <c r="C4216" s="23" t="s">
        <v>900</v>
      </c>
      <c r="D4216" s="13" t="s">
        <v>13</v>
      </c>
      <c r="E4216" s="22">
        <v>2.2999999999999998</v>
      </c>
      <c r="F4216" s="14">
        <v>435000</v>
      </c>
      <c r="G4216" s="10">
        <f t="shared" si="278"/>
        <v>1000499.9999999999</v>
      </c>
      <c r="H4216" s="11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1:26" ht="26.25" x14ac:dyDescent="0.4">
      <c r="A4217" s="6">
        <v>3</v>
      </c>
      <c r="B4217" s="15" t="s">
        <v>14</v>
      </c>
      <c r="C4217" s="11"/>
      <c r="D4217" s="11"/>
      <c r="E4217" s="11"/>
      <c r="F4217" s="11"/>
      <c r="G4217" s="16">
        <f t="shared" si="278"/>
        <v>0</v>
      </c>
      <c r="H4217" s="11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1:26" ht="26.25" x14ac:dyDescent="0.4">
      <c r="A4218" s="29" t="s">
        <v>15</v>
      </c>
      <c r="B4218" s="26"/>
      <c r="C4218" s="26"/>
      <c r="D4218" s="26"/>
      <c r="E4218" s="26"/>
      <c r="F4218" s="26"/>
      <c r="G4218" s="27"/>
      <c r="H4218" s="17">
        <f>SUM(G4215:G4217)</f>
        <v>1448790</v>
      </c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1:26" ht="26.25" x14ac:dyDescent="0.4">
      <c r="A4219" s="29" t="s">
        <v>16</v>
      </c>
      <c r="B4219" s="26"/>
      <c r="C4219" s="26"/>
      <c r="D4219" s="26"/>
      <c r="E4219" s="26"/>
      <c r="F4219" s="26"/>
      <c r="G4219" s="27"/>
      <c r="H4219" s="17">
        <f>MAX(0,H4218-648000)</f>
        <v>800790</v>
      </c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1:26" ht="26.25" x14ac:dyDescent="0.4">
      <c r="A4220" s="25" t="s">
        <v>17</v>
      </c>
      <c r="B4220" s="26"/>
      <c r="C4220" s="26"/>
      <c r="D4220" s="26"/>
      <c r="E4220" s="26"/>
      <c r="F4220" s="26"/>
      <c r="G4220" s="27"/>
      <c r="H4220" s="18">
        <v>649000</v>
      </c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1:26" ht="26.25" x14ac:dyDescent="0.4">
      <c r="A4221" s="28" t="s">
        <v>18</v>
      </c>
      <c r="B4221" s="26"/>
      <c r="C4221" s="26"/>
      <c r="D4221" s="26"/>
      <c r="E4221" s="26"/>
      <c r="F4221" s="26"/>
      <c r="G4221" s="26"/>
      <c r="H4221" s="27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1:26" ht="12.75" x14ac:dyDescent="0.2"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1:26" ht="12.75" x14ac:dyDescent="0.2"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7" spans="1:26" ht="15.75" customHeight="1" x14ac:dyDescent="0.4">
      <c r="A4227" s="28" t="s">
        <v>0</v>
      </c>
      <c r="B4227" s="26"/>
      <c r="C4227" s="26"/>
      <c r="D4227" s="26"/>
      <c r="E4227" s="26"/>
      <c r="F4227" s="26"/>
      <c r="G4227" s="26"/>
      <c r="H4227" s="27"/>
    </row>
    <row r="4228" spans="1:26" ht="15.75" customHeight="1" x14ac:dyDescent="0.4">
      <c r="A4228" s="28" t="s">
        <v>981</v>
      </c>
      <c r="B4228" s="26"/>
      <c r="C4228" s="26"/>
      <c r="D4228" s="26"/>
      <c r="E4228" s="26"/>
      <c r="F4228" s="26"/>
      <c r="G4228" s="26"/>
      <c r="H4228" s="27"/>
    </row>
    <row r="4229" spans="1:26" ht="29.25" customHeight="1" x14ac:dyDescent="0.3">
      <c r="A4229" s="3" t="s">
        <v>2</v>
      </c>
      <c r="B4229" s="3" t="s">
        <v>3</v>
      </c>
      <c r="C4229" s="3" t="s">
        <v>4</v>
      </c>
      <c r="D4229" s="3" t="s">
        <v>5</v>
      </c>
      <c r="E4229" s="3" t="s">
        <v>6</v>
      </c>
      <c r="F4229" s="4" t="s">
        <v>7</v>
      </c>
      <c r="G4229" s="3" t="s">
        <v>8</v>
      </c>
      <c r="H4229" s="5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1:26" ht="26.25" x14ac:dyDescent="0.4">
      <c r="A4230" s="6">
        <v>1</v>
      </c>
      <c r="B4230" s="20" t="s">
        <v>98</v>
      </c>
      <c r="C4230" s="21" t="s">
        <v>827</v>
      </c>
      <c r="D4230" s="8" t="s">
        <v>11</v>
      </c>
      <c r="E4230" s="20">
        <v>1.5</v>
      </c>
      <c r="F4230" s="9">
        <v>293000</v>
      </c>
      <c r="G4230" s="10">
        <f t="shared" ref="G4230:G4232" si="279">IFERROR(E4230*F4230,0)</f>
        <v>439500</v>
      </c>
      <c r="H4230" s="11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1:26" ht="26.25" x14ac:dyDescent="0.4">
      <c r="A4231" s="6">
        <v>2</v>
      </c>
      <c r="B4231" s="22" t="s">
        <v>151</v>
      </c>
      <c r="C4231" s="23" t="s">
        <v>10</v>
      </c>
      <c r="D4231" s="13" t="s">
        <v>13</v>
      </c>
      <c r="E4231" s="22">
        <v>2</v>
      </c>
      <c r="F4231" s="14">
        <v>435000</v>
      </c>
      <c r="G4231" s="10">
        <f t="shared" si="279"/>
        <v>870000</v>
      </c>
      <c r="H4231" s="11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1:26" ht="26.25" x14ac:dyDescent="0.4">
      <c r="A4232" s="6">
        <v>3</v>
      </c>
      <c r="B4232" s="15" t="s">
        <v>14</v>
      </c>
      <c r="C4232" s="11"/>
      <c r="D4232" s="11"/>
      <c r="E4232" s="11"/>
      <c r="F4232" s="11"/>
      <c r="G4232" s="16">
        <f t="shared" si="279"/>
        <v>0</v>
      </c>
      <c r="H4232" s="11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1:26" ht="26.25" x14ac:dyDescent="0.4">
      <c r="A4233" s="29" t="s">
        <v>15</v>
      </c>
      <c r="B4233" s="26"/>
      <c r="C4233" s="26"/>
      <c r="D4233" s="26"/>
      <c r="E4233" s="26"/>
      <c r="F4233" s="26"/>
      <c r="G4233" s="27"/>
      <c r="H4233" s="17">
        <f>SUM(G4230:G4232)</f>
        <v>1309500</v>
      </c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1:26" ht="26.25" x14ac:dyDescent="0.4">
      <c r="A4234" s="29" t="s">
        <v>16</v>
      </c>
      <c r="B4234" s="26"/>
      <c r="C4234" s="26"/>
      <c r="D4234" s="26"/>
      <c r="E4234" s="26"/>
      <c r="F4234" s="26"/>
      <c r="G4234" s="27"/>
      <c r="H4234" s="17">
        <f>MAX(0,H4233-648000)</f>
        <v>661500</v>
      </c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1:26" ht="26.25" x14ac:dyDescent="0.4">
      <c r="A4235" s="25" t="s">
        <v>17</v>
      </c>
      <c r="B4235" s="26"/>
      <c r="C4235" s="26"/>
      <c r="D4235" s="26"/>
      <c r="E4235" s="26"/>
      <c r="F4235" s="26"/>
      <c r="G4235" s="27"/>
      <c r="H4235" s="18">
        <v>649000</v>
      </c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1:26" ht="26.25" x14ac:dyDescent="0.4">
      <c r="A4236" s="28" t="s">
        <v>18</v>
      </c>
      <c r="B4236" s="26"/>
      <c r="C4236" s="26"/>
      <c r="D4236" s="26"/>
      <c r="E4236" s="26"/>
      <c r="F4236" s="26"/>
      <c r="G4236" s="26"/>
      <c r="H4236" s="27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1:26" ht="12.75" x14ac:dyDescent="0.2"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1:26" ht="12.75" x14ac:dyDescent="0.2"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42" spans="1:26" ht="15.75" customHeight="1" x14ac:dyDescent="0.4">
      <c r="A4242" s="28" t="s">
        <v>0</v>
      </c>
      <c r="B4242" s="26"/>
      <c r="C4242" s="26"/>
      <c r="D4242" s="26"/>
      <c r="E4242" s="26"/>
      <c r="F4242" s="26"/>
      <c r="G4242" s="26"/>
      <c r="H4242" s="27"/>
    </row>
    <row r="4243" spans="1:26" ht="29.25" customHeight="1" x14ac:dyDescent="0.4">
      <c r="A4243" s="28" t="s">
        <v>982</v>
      </c>
      <c r="B4243" s="26"/>
      <c r="C4243" s="26"/>
      <c r="D4243" s="26"/>
      <c r="E4243" s="26"/>
      <c r="F4243" s="26"/>
      <c r="G4243" s="26"/>
      <c r="H4243" s="27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1:26" ht="18.75" x14ac:dyDescent="0.3">
      <c r="A4244" s="3" t="s">
        <v>2</v>
      </c>
      <c r="B4244" s="3" t="s">
        <v>3</v>
      </c>
      <c r="C4244" s="3" t="s">
        <v>4</v>
      </c>
      <c r="D4244" s="3" t="s">
        <v>5</v>
      </c>
      <c r="E4244" s="3" t="s">
        <v>6</v>
      </c>
      <c r="F4244" s="4" t="s">
        <v>7</v>
      </c>
      <c r="G4244" s="3" t="s">
        <v>8</v>
      </c>
      <c r="H4244" s="5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1:26" ht="26.25" x14ac:dyDescent="0.4">
      <c r="A4245" s="6">
        <v>1</v>
      </c>
      <c r="B4245" s="20" t="s">
        <v>74</v>
      </c>
      <c r="C4245" s="21" t="s">
        <v>983</v>
      </c>
      <c r="D4245" s="8" t="s">
        <v>11</v>
      </c>
      <c r="E4245" s="20">
        <v>1.57</v>
      </c>
      <c r="F4245" s="9">
        <v>293000</v>
      </c>
      <c r="G4245" s="10">
        <f t="shared" ref="G4245:G4247" si="280">IFERROR(E4245*F4245,0)</f>
        <v>460010</v>
      </c>
      <c r="H4245" s="11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1:26" ht="26.25" x14ac:dyDescent="0.4">
      <c r="A4246" s="6">
        <v>2</v>
      </c>
      <c r="B4246" s="22" t="s">
        <v>151</v>
      </c>
      <c r="C4246" s="23" t="s">
        <v>10</v>
      </c>
      <c r="D4246" s="13" t="s">
        <v>13</v>
      </c>
      <c r="E4246" s="22">
        <v>2</v>
      </c>
      <c r="F4246" s="14">
        <v>435000</v>
      </c>
      <c r="G4246" s="10">
        <f t="shared" si="280"/>
        <v>870000</v>
      </c>
      <c r="H4246" s="11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1:26" ht="26.25" x14ac:dyDescent="0.4">
      <c r="A4247" s="6">
        <v>3</v>
      </c>
      <c r="B4247" s="15" t="s">
        <v>14</v>
      </c>
      <c r="C4247" s="11"/>
      <c r="D4247" s="11"/>
      <c r="E4247" s="11"/>
      <c r="F4247" s="11"/>
      <c r="G4247" s="16">
        <f t="shared" si="280"/>
        <v>0</v>
      </c>
      <c r="H4247" s="11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1:26" ht="26.25" x14ac:dyDescent="0.4">
      <c r="A4248" s="29" t="s">
        <v>15</v>
      </c>
      <c r="B4248" s="26"/>
      <c r="C4248" s="26"/>
      <c r="D4248" s="26"/>
      <c r="E4248" s="26"/>
      <c r="F4248" s="26"/>
      <c r="G4248" s="27"/>
      <c r="H4248" s="17">
        <f>SUM(G4245:G4247)</f>
        <v>1330010</v>
      </c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1:26" ht="26.25" x14ac:dyDescent="0.4">
      <c r="A4249" s="29" t="s">
        <v>16</v>
      </c>
      <c r="B4249" s="26"/>
      <c r="C4249" s="26"/>
      <c r="D4249" s="26"/>
      <c r="E4249" s="26"/>
      <c r="F4249" s="26"/>
      <c r="G4249" s="27"/>
      <c r="H4249" s="17">
        <f>MAX(0,H4248-648000)</f>
        <v>682010</v>
      </c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1:26" ht="26.25" x14ac:dyDescent="0.4">
      <c r="A4250" s="25" t="s">
        <v>17</v>
      </c>
      <c r="B4250" s="26"/>
      <c r="C4250" s="26"/>
      <c r="D4250" s="26"/>
      <c r="E4250" s="26"/>
      <c r="F4250" s="26"/>
      <c r="G4250" s="27"/>
      <c r="H4250" s="18">
        <v>649000</v>
      </c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1:26" ht="26.25" x14ac:dyDescent="0.4">
      <c r="A4251" s="28" t="s">
        <v>18</v>
      </c>
      <c r="B4251" s="26"/>
      <c r="C4251" s="26"/>
      <c r="D4251" s="26"/>
      <c r="E4251" s="26"/>
      <c r="F4251" s="26"/>
      <c r="G4251" s="26"/>
      <c r="H4251" s="27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1:26" ht="12.75" x14ac:dyDescent="0.2"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6" spans="1:26" ht="15.75" customHeight="1" x14ac:dyDescent="0.4">
      <c r="A4256" s="28" t="s">
        <v>0</v>
      </c>
      <c r="B4256" s="26"/>
      <c r="C4256" s="26"/>
      <c r="D4256" s="26"/>
      <c r="E4256" s="26"/>
      <c r="F4256" s="26"/>
      <c r="G4256" s="26"/>
      <c r="H4256" s="27"/>
    </row>
    <row r="4257" spans="1:26" ht="15.75" customHeight="1" x14ac:dyDescent="0.4">
      <c r="A4257" s="28" t="s">
        <v>984</v>
      </c>
      <c r="B4257" s="26"/>
      <c r="C4257" s="26"/>
      <c r="D4257" s="26"/>
      <c r="E4257" s="26"/>
      <c r="F4257" s="26"/>
      <c r="G4257" s="26"/>
      <c r="H4257" s="27"/>
    </row>
    <row r="4258" spans="1:26" ht="29.25" customHeight="1" x14ac:dyDescent="0.3">
      <c r="A4258" s="3" t="s">
        <v>2</v>
      </c>
      <c r="B4258" s="3" t="s">
        <v>3</v>
      </c>
      <c r="C4258" s="3" t="s">
        <v>4</v>
      </c>
      <c r="D4258" s="3" t="s">
        <v>5</v>
      </c>
      <c r="E4258" s="3" t="s">
        <v>6</v>
      </c>
      <c r="F4258" s="4" t="s">
        <v>7</v>
      </c>
      <c r="G4258" s="3" t="s">
        <v>8</v>
      </c>
      <c r="H4258" s="5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1:26" ht="26.25" x14ac:dyDescent="0.4">
      <c r="A4259" s="6">
        <v>1</v>
      </c>
      <c r="B4259" s="20" t="s">
        <v>985</v>
      </c>
      <c r="C4259" s="21" t="s">
        <v>986</v>
      </c>
      <c r="D4259" s="8" t="s">
        <v>11</v>
      </c>
      <c r="E4259" s="20">
        <v>1.5</v>
      </c>
      <c r="F4259" s="9">
        <v>293000</v>
      </c>
      <c r="G4259" s="10">
        <f t="shared" ref="G4259:G4261" si="281">IFERROR(E4259*F4259,0)</f>
        <v>439500</v>
      </c>
      <c r="H4259" s="11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1:26" ht="26.25" x14ac:dyDescent="0.4">
      <c r="A4260" s="6">
        <v>2</v>
      </c>
      <c r="B4260" s="22" t="s">
        <v>151</v>
      </c>
      <c r="C4260" s="23" t="s">
        <v>10</v>
      </c>
      <c r="D4260" s="13" t="s">
        <v>13</v>
      </c>
      <c r="E4260" s="22">
        <v>2</v>
      </c>
      <c r="F4260" s="14">
        <v>435000</v>
      </c>
      <c r="G4260" s="10">
        <f t="shared" si="281"/>
        <v>870000</v>
      </c>
      <c r="H4260" s="11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1:26" ht="26.25" x14ac:dyDescent="0.4">
      <c r="A4261" s="6">
        <v>3</v>
      </c>
      <c r="B4261" s="15" t="s">
        <v>14</v>
      </c>
      <c r="C4261" s="11"/>
      <c r="D4261" s="11"/>
      <c r="E4261" s="11"/>
      <c r="F4261" s="11"/>
      <c r="G4261" s="16">
        <f t="shared" si="281"/>
        <v>0</v>
      </c>
      <c r="H4261" s="11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1:26" ht="26.25" x14ac:dyDescent="0.4">
      <c r="A4262" s="29" t="s">
        <v>15</v>
      </c>
      <c r="B4262" s="26"/>
      <c r="C4262" s="26"/>
      <c r="D4262" s="26"/>
      <c r="E4262" s="26"/>
      <c r="F4262" s="26"/>
      <c r="G4262" s="27"/>
      <c r="H4262" s="17">
        <f>SUM(G4259:G4261)</f>
        <v>1309500</v>
      </c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1:26" ht="26.25" x14ac:dyDescent="0.4">
      <c r="A4263" s="29" t="s">
        <v>16</v>
      </c>
      <c r="B4263" s="26"/>
      <c r="C4263" s="26"/>
      <c r="D4263" s="26"/>
      <c r="E4263" s="26"/>
      <c r="F4263" s="26"/>
      <c r="G4263" s="27"/>
      <c r="H4263" s="17">
        <f>MAX(0,H4262-648000)</f>
        <v>661500</v>
      </c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1:26" ht="26.25" x14ac:dyDescent="0.4">
      <c r="A4264" s="25" t="s">
        <v>17</v>
      </c>
      <c r="B4264" s="26"/>
      <c r="C4264" s="26"/>
      <c r="D4264" s="26"/>
      <c r="E4264" s="26"/>
      <c r="F4264" s="26"/>
      <c r="G4264" s="27"/>
      <c r="H4264" s="18">
        <v>649000</v>
      </c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1:26" ht="26.25" x14ac:dyDescent="0.4">
      <c r="A4265" s="28" t="s">
        <v>18</v>
      </c>
      <c r="B4265" s="26"/>
      <c r="C4265" s="26"/>
      <c r="D4265" s="26"/>
      <c r="E4265" s="26"/>
      <c r="F4265" s="26"/>
      <c r="G4265" s="26"/>
      <c r="H4265" s="27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1:26" ht="12.75" x14ac:dyDescent="0.2"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1:26" ht="12.75" x14ac:dyDescent="0.2"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71" spans="1:26" ht="15.75" customHeight="1" x14ac:dyDescent="0.4">
      <c r="A4271" s="28" t="s">
        <v>0</v>
      </c>
      <c r="B4271" s="26"/>
      <c r="C4271" s="26"/>
      <c r="D4271" s="26"/>
      <c r="E4271" s="26"/>
      <c r="F4271" s="26"/>
      <c r="G4271" s="26"/>
      <c r="H4271" s="27"/>
    </row>
    <row r="4272" spans="1:26" ht="15.75" customHeight="1" x14ac:dyDescent="0.4">
      <c r="A4272" s="28" t="s">
        <v>987</v>
      </c>
      <c r="B4272" s="26"/>
      <c r="C4272" s="26"/>
      <c r="D4272" s="26"/>
      <c r="E4272" s="26"/>
      <c r="F4272" s="26"/>
      <c r="G4272" s="26"/>
      <c r="H4272" s="27"/>
    </row>
    <row r="4273" spans="1:26" ht="29.25" customHeight="1" x14ac:dyDescent="0.3">
      <c r="A4273" s="3" t="s">
        <v>2</v>
      </c>
      <c r="B4273" s="3" t="s">
        <v>3</v>
      </c>
      <c r="C4273" s="3" t="s">
        <v>4</v>
      </c>
      <c r="D4273" s="3" t="s">
        <v>5</v>
      </c>
      <c r="E4273" s="3" t="s">
        <v>6</v>
      </c>
      <c r="F4273" s="4" t="s">
        <v>7</v>
      </c>
      <c r="G4273" s="3" t="s">
        <v>8</v>
      </c>
      <c r="H4273" s="5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1:26" ht="26.25" x14ac:dyDescent="0.4">
      <c r="A4274" s="6">
        <v>1</v>
      </c>
      <c r="B4274" s="20" t="s">
        <v>12</v>
      </c>
      <c r="C4274" s="21" t="s">
        <v>876</v>
      </c>
      <c r="D4274" s="8" t="s">
        <v>11</v>
      </c>
      <c r="E4274" s="20">
        <v>2</v>
      </c>
      <c r="F4274" s="9">
        <v>293000</v>
      </c>
      <c r="G4274" s="10">
        <f t="shared" ref="G4274:G4276" si="282">IFERROR(E4274*F4274,0)</f>
        <v>586000</v>
      </c>
      <c r="H4274" s="11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1:26" ht="26.25" x14ac:dyDescent="0.4">
      <c r="A4275" s="6">
        <v>2</v>
      </c>
      <c r="B4275" s="22" t="s">
        <v>65</v>
      </c>
      <c r="C4275" s="23" t="s">
        <v>988</v>
      </c>
      <c r="D4275" s="13" t="s">
        <v>13</v>
      </c>
      <c r="E4275" s="22">
        <v>1.6</v>
      </c>
      <c r="F4275" s="14">
        <v>435000</v>
      </c>
      <c r="G4275" s="10">
        <f t="shared" si="282"/>
        <v>696000</v>
      </c>
      <c r="H4275" s="11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1:26" ht="26.25" x14ac:dyDescent="0.4">
      <c r="A4276" s="6">
        <v>3</v>
      </c>
      <c r="B4276" s="15" t="s">
        <v>14</v>
      </c>
      <c r="C4276" s="11"/>
      <c r="D4276" s="11"/>
      <c r="E4276" s="11"/>
      <c r="F4276" s="11"/>
      <c r="G4276" s="16">
        <f t="shared" si="282"/>
        <v>0</v>
      </c>
      <c r="H4276" s="11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1:26" ht="26.25" x14ac:dyDescent="0.4">
      <c r="A4277" s="29" t="s">
        <v>15</v>
      </c>
      <c r="B4277" s="26"/>
      <c r="C4277" s="26"/>
      <c r="D4277" s="26"/>
      <c r="E4277" s="26"/>
      <c r="F4277" s="26"/>
      <c r="G4277" s="27"/>
      <c r="H4277" s="17">
        <f>SUM(G4274:G4276)</f>
        <v>1282000</v>
      </c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1:26" ht="26.25" x14ac:dyDescent="0.4">
      <c r="A4278" s="29" t="s">
        <v>16</v>
      </c>
      <c r="B4278" s="26"/>
      <c r="C4278" s="26"/>
      <c r="D4278" s="26"/>
      <c r="E4278" s="26"/>
      <c r="F4278" s="26"/>
      <c r="G4278" s="27"/>
      <c r="H4278" s="17">
        <f>MAX(0,H4277-648000)</f>
        <v>634000</v>
      </c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1:26" ht="26.25" x14ac:dyDescent="0.4">
      <c r="A4279" s="25" t="s">
        <v>17</v>
      </c>
      <c r="B4279" s="26"/>
      <c r="C4279" s="26"/>
      <c r="D4279" s="26"/>
      <c r="E4279" s="26"/>
      <c r="F4279" s="26"/>
      <c r="G4279" s="27"/>
      <c r="H4279" s="18">
        <v>649000</v>
      </c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1:26" ht="26.25" x14ac:dyDescent="0.4">
      <c r="A4280" s="28" t="s">
        <v>18</v>
      </c>
      <c r="B4280" s="26"/>
      <c r="C4280" s="26"/>
      <c r="D4280" s="26"/>
      <c r="E4280" s="26"/>
      <c r="F4280" s="26"/>
      <c r="G4280" s="26"/>
      <c r="H4280" s="27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1:26" ht="12.75" x14ac:dyDescent="0.2"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1:26" ht="12.75" x14ac:dyDescent="0.2"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6" spans="1:26" ht="15.75" customHeight="1" x14ac:dyDescent="0.4">
      <c r="A4286" s="28" t="s">
        <v>0</v>
      </c>
      <c r="B4286" s="26"/>
      <c r="C4286" s="26"/>
      <c r="D4286" s="26"/>
      <c r="E4286" s="26"/>
      <c r="F4286" s="26"/>
      <c r="G4286" s="26"/>
      <c r="H4286" s="27"/>
    </row>
    <row r="4287" spans="1:26" ht="15.75" customHeight="1" x14ac:dyDescent="0.4">
      <c r="A4287" s="28" t="s">
        <v>989</v>
      </c>
      <c r="B4287" s="26"/>
      <c r="C4287" s="26"/>
      <c r="D4287" s="26"/>
      <c r="E4287" s="26"/>
      <c r="F4287" s="26"/>
      <c r="G4287" s="26"/>
      <c r="H4287" s="27"/>
    </row>
    <row r="4288" spans="1:26" ht="29.25" customHeight="1" x14ac:dyDescent="0.3">
      <c r="A4288" s="3" t="s">
        <v>2</v>
      </c>
      <c r="B4288" s="3" t="s">
        <v>3</v>
      </c>
      <c r="C4288" s="3" t="s">
        <v>4</v>
      </c>
      <c r="D4288" s="3" t="s">
        <v>5</v>
      </c>
      <c r="E4288" s="3" t="s">
        <v>6</v>
      </c>
      <c r="F4288" s="4" t="s">
        <v>7</v>
      </c>
      <c r="G4288" s="3" t="s">
        <v>8</v>
      </c>
      <c r="H4288" s="5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1:26" ht="26.25" x14ac:dyDescent="0.4">
      <c r="A4289" s="6">
        <v>1</v>
      </c>
      <c r="B4289" s="20" t="s">
        <v>990</v>
      </c>
      <c r="C4289" s="21" t="s">
        <v>991</v>
      </c>
      <c r="D4289" s="8" t="s">
        <v>11</v>
      </c>
      <c r="E4289" s="20">
        <v>1.5</v>
      </c>
      <c r="F4289" s="9">
        <v>293000</v>
      </c>
      <c r="G4289" s="10">
        <f t="shared" ref="G4289:G4291" si="283">IFERROR(E4289*F4289,0)</f>
        <v>439500</v>
      </c>
      <c r="H4289" s="11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1:26" ht="26.25" x14ac:dyDescent="0.4">
      <c r="A4290" s="6">
        <v>2</v>
      </c>
      <c r="B4290" s="22" t="s">
        <v>992</v>
      </c>
      <c r="C4290" s="23" t="s">
        <v>993</v>
      </c>
      <c r="D4290" s="13" t="s">
        <v>13</v>
      </c>
      <c r="E4290" s="22">
        <v>2</v>
      </c>
      <c r="F4290" s="14">
        <v>435000</v>
      </c>
      <c r="G4290" s="10">
        <f t="shared" si="283"/>
        <v>870000</v>
      </c>
      <c r="H4290" s="11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1:26" ht="26.25" x14ac:dyDescent="0.4">
      <c r="A4291" s="6">
        <v>3</v>
      </c>
      <c r="B4291" s="15" t="s">
        <v>14</v>
      </c>
      <c r="C4291" s="11"/>
      <c r="D4291" s="11"/>
      <c r="E4291" s="11"/>
      <c r="F4291" s="11"/>
      <c r="G4291" s="16">
        <f t="shared" si="283"/>
        <v>0</v>
      </c>
      <c r="H4291" s="11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1:26" ht="26.25" x14ac:dyDescent="0.4">
      <c r="A4292" s="29" t="s">
        <v>15</v>
      </c>
      <c r="B4292" s="26"/>
      <c r="C4292" s="26"/>
      <c r="D4292" s="26"/>
      <c r="E4292" s="26"/>
      <c r="F4292" s="26"/>
      <c r="G4292" s="27"/>
      <c r="H4292" s="17">
        <f>SUM(G4289:G4291)</f>
        <v>1309500</v>
      </c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1:26" ht="26.25" x14ac:dyDescent="0.4">
      <c r="A4293" s="29" t="s">
        <v>16</v>
      </c>
      <c r="B4293" s="26"/>
      <c r="C4293" s="26"/>
      <c r="D4293" s="26"/>
      <c r="E4293" s="26"/>
      <c r="F4293" s="26"/>
      <c r="G4293" s="27"/>
      <c r="H4293" s="17">
        <f>MAX(0,H4292-648000)</f>
        <v>661500</v>
      </c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1:26" ht="26.25" x14ac:dyDescent="0.4">
      <c r="A4294" s="25" t="s">
        <v>17</v>
      </c>
      <c r="B4294" s="26"/>
      <c r="C4294" s="26"/>
      <c r="D4294" s="26"/>
      <c r="E4294" s="26"/>
      <c r="F4294" s="26"/>
      <c r="G4294" s="27"/>
      <c r="H4294" s="18">
        <v>649000</v>
      </c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1:26" ht="26.25" x14ac:dyDescent="0.4">
      <c r="A4295" s="28" t="s">
        <v>18</v>
      </c>
      <c r="B4295" s="26"/>
      <c r="C4295" s="26"/>
      <c r="D4295" s="26"/>
      <c r="E4295" s="26"/>
      <c r="F4295" s="26"/>
      <c r="G4295" s="26"/>
      <c r="H4295" s="27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1:26" ht="12.75" x14ac:dyDescent="0.2"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1:26" ht="12.75" x14ac:dyDescent="0.2"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301" spans="1:26" ht="15.75" customHeight="1" x14ac:dyDescent="0.4">
      <c r="A4301" s="28" t="s">
        <v>0</v>
      </c>
      <c r="B4301" s="26"/>
      <c r="C4301" s="26"/>
      <c r="D4301" s="26"/>
      <c r="E4301" s="26"/>
      <c r="F4301" s="26"/>
      <c r="G4301" s="26"/>
      <c r="H4301" s="27"/>
    </row>
    <row r="4302" spans="1:26" ht="29.25" customHeight="1" x14ac:dyDescent="0.4">
      <c r="A4302" s="28" t="s">
        <v>994</v>
      </c>
      <c r="B4302" s="26"/>
      <c r="C4302" s="26"/>
      <c r="D4302" s="26"/>
      <c r="E4302" s="26"/>
      <c r="F4302" s="26"/>
      <c r="G4302" s="26"/>
      <c r="H4302" s="27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1:26" ht="18.75" x14ac:dyDescent="0.3">
      <c r="A4303" s="3" t="s">
        <v>2</v>
      </c>
      <c r="B4303" s="3" t="s">
        <v>3</v>
      </c>
      <c r="C4303" s="3" t="s">
        <v>4</v>
      </c>
      <c r="D4303" s="3" t="s">
        <v>5</v>
      </c>
      <c r="E4303" s="3" t="s">
        <v>6</v>
      </c>
      <c r="F4303" s="4" t="s">
        <v>7</v>
      </c>
      <c r="G4303" s="3" t="s">
        <v>8</v>
      </c>
      <c r="H4303" s="5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spans="1:26" ht="26.25" x14ac:dyDescent="0.4">
      <c r="A4304" s="6">
        <v>1</v>
      </c>
      <c r="B4304" s="20" t="s">
        <v>391</v>
      </c>
      <c r="C4304" s="21" t="s">
        <v>995</v>
      </c>
      <c r="D4304" s="8" t="s">
        <v>11</v>
      </c>
      <c r="E4304" s="20">
        <v>1.53</v>
      </c>
      <c r="F4304" s="9">
        <v>293000</v>
      </c>
      <c r="G4304" s="10">
        <f t="shared" ref="G4304:G4306" si="284">IFERROR(E4304*F4304,0)</f>
        <v>448290</v>
      </c>
      <c r="H4304" s="11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spans="1:26" ht="26.25" x14ac:dyDescent="0.4">
      <c r="A4305" s="6">
        <v>2</v>
      </c>
      <c r="B4305" s="22" t="s">
        <v>263</v>
      </c>
      <c r="C4305" s="23" t="s">
        <v>166</v>
      </c>
      <c r="D4305" s="13" t="s">
        <v>13</v>
      </c>
      <c r="E4305" s="22">
        <v>2</v>
      </c>
      <c r="F4305" s="14">
        <v>435000</v>
      </c>
      <c r="G4305" s="10">
        <f t="shared" si="284"/>
        <v>870000</v>
      </c>
      <c r="H4305" s="11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spans="1:26" ht="26.25" x14ac:dyDescent="0.4">
      <c r="A4306" s="6">
        <v>3</v>
      </c>
      <c r="B4306" s="15" t="s">
        <v>14</v>
      </c>
      <c r="C4306" s="11"/>
      <c r="D4306" s="11"/>
      <c r="E4306" s="11"/>
      <c r="F4306" s="11"/>
      <c r="G4306" s="16">
        <f t="shared" si="284"/>
        <v>0</v>
      </c>
      <c r="H4306" s="11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1:26" ht="26.25" x14ac:dyDescent="0.4">
      <c r="A4307" s="29" t="s">
        <v>15</v>
      </c>
      <c r="B4307" s="26"/>
      <c r="C4307" s="26"/>
      <c r="D4307" s="26"/>
      <c r="E4307" s="26"/>
      <c r="F4307" s="26"/>
      <c r="G4307" s="27"/>
      <c r="H4307" s="17">
        <f>SUM(G4304:G4306)</f>
        <v>1318290</v>
      </c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1:26" ht="26.25" x14ac:dyDescent="0.4">
      <c r="A4308" s="29" t="s">
        <v>16</v>
      </c>
      <c r="B4308" s="26"/>
      <c r="C4308" s="26"/>
      <c r="D4308" s="26"/>
      <c r="E4308" s="26"/>
      <c r="F4308" s="26"/>
      <c r="G4308" s="27"/>
      <c r="H4308" s="17">
        <f>MAX(0,H4307-648000)</f>
        <v>670290</v>
      </c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1:26" ht="26.25" x14ac:dyDescent="0.4">
      <c r="A4309" s="25" t="s">
        <v>17</v>
      </c>
      <c r="B4309" s="26"/>
      <c r="C4309" s="26"/>
      <c r="D4309" s="26"/>
      <c r="E4309" s="26"/>
      <c r="F4309" s="26"/>
      <c r="G4309" s="27"/>
      <c r="H4309" s="18">
        <v>649000</v>
      </c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1:26" ht="26.25" x14ac:dyDescent="0.4">
      <c r="A4310" s="28" t="s">
        <v>18</v>
      </c>
      <c r="B4310" s="26"/>
      <c r="C4310" s="26"/>
      <c r="D4310" s="26"/>
      <c r="E4310" s="26"/>
      <c r="F4310" s="26"/>
      <c r="G4310" s="26"/>
      <c r="H4310" s="27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1:26" ht="12.75" x14ac:dyDescent="0.2"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5" spans="1:26" ht="15.75" customHeight="1" x14ac:dyDescent="0.4">
      <c r="A4315" s="28" t="s">
        <v>0</v>
      </c>
      <c r="B4315" s="26"/>
      <c r="C4315" s="26"/>
      <c r="D4315" s="26"/>
      <c r="E4315" s="26"/>
      <c r="F4315" s="26"/>
      <c r="G4315" s="26"/>
      <c r="H4315" s="27"/>
    </row>
    <row r="4316" spans="1:26" ht="29.25" customHeight="1" x14ac:dyDescent="0.4">
      <c r="A4316" s="28" t="s">
        <v>996</v>
      </c>
      <c r="B4316" s="26"/>
      <c r="C4316" s="26"/>
      <c r="D4316" s="26"/>
      <c r="E4316" s="26"/>
      <c r="F4316" s="26"/>
      <c r="G4316" s="26"/>
      <c r="H4316" s="27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1:26" ht="18.75" x14ac:dyDescent="0.3">
      <c r="A4317" s="3" t="s">
        <v>2</v>
      </c>
      <c r="B4317" s="3" t="s">
        <v>3</v>
      </c>
      <c r="C4317" s="3" t="s">
        <v>4</v>
      </c>
      <c r="D4317" s="3" t="s">
        <v>5</v>
      </c>
      <c r="E4317" s="3" t="s">
        <v>6</v>
      </c>
      <c r="F4317" s="4" t="s">
        <v>7</v>
      </c>
      <c r="G4317" s="3" t="s">
        <v>8</v>
      </c>
      <c r="H4317" s="5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1:26" ht="26.25" x14ac:dyDescent="0.4">
      <c r="A4318" s="6">
        <v>1</v>
      </c>
      <c r="B4318" s="20" t="s">
        <v>391</v>
      </c>
      <c r="C4318" s="21" t="s">
        <v>997</v>
      </c>
      <c r="D4318" s="8" t="s">
        <v>11</v>
      </c>
      <c r="E4318" s="20">
        <v>1</v>
      </c>
      <c r="F4318" s="9">
        <v>293000</v>
      </c>
      <c r="G4318" s="10">
        <f t="shared" ref="G4318:G4320" si="285">IFERROR(E4318*F4318,0)</f>
        <v>293000</v>
      </c>
      <c r="H4318" s="11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1:26" ht="26.25" x14ac:dyDescent="0.4">
      <c r="A4319" s="6">
        <v>2</v>
      </c>
      <c r="B4319" s="22" t="s">
        <v>98</v>
      </c>
      <c r="C4319" s="23" t="s">
        <v>998</v>
      </c>
      <c r="D4319" s="13" t="s">
        <v>13</v>
      </c>
      <c r="E4319" s="22">
        <v>2.4</v>
      </c>
      <c r="F4319" s="14">
        <v>435000</v>
      </c>
      <c r="G4319" s="10">
        <f t="shared" si="285"/>
        <v>1044000</v>
      </c>
      <c r="H4319" s="11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1:26" ht="26.25" x14ac:dyDescent="0.4">
      <c r="A4320" s="6">
        <v>3</v>
      </c>
      <c r="B4320" s="15" t="s">
        <v>14</v>
      </c>
      <c r="C4320" s="11"/>
      <c r="D4320" s="11"/>
      <c r="E4320" s="11"/>
      <c r="F4320" s="11"/>
      <c r="G4320" s="16">
        <f t="shared" si="285"/>
        <v>0</v>
      </c>
      <c r="H4320" s="11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1:26" ht="26.25" x14ac:dyDescent="0.4">
      <c r="A4321" s="29" t="s">
        <v>15</v>
      </c>
      <c r="B4321" s="26"/>
      <c r="C4321" s="26"/>
      <c r="D4321" s="26"/>
      <c r="E4321" s="26"/>
      <c r="F4321" s="26"/>
      <c r="G4321" s="27"/>
      <c r="H4321" s="17">
        <f>SUM(G4318:G4320)</f>
        <v>1337000</v>
      </c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1:26" ht="26.25" x14ac:dyDescent="0.4">
      <c r="A4322" s="29" t="s">
        <v>16</v>
      </c>
      <c r="B4322" s="26"/>
      <c r="C4322" s="26"/>
      <c r="D4322" s="26"/>
      <c r="E4322" s="26"/>
      <c r="F4322" s="26"/>
      <c r="G4322" s="27"/>
      <c r="H4322" s="17">
        <f>MAX(0,H4321-648000)</f>
        <v>689000</v>
      </c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1:26" ht="26.25" x14ac:dyDescent="0.4">
      <c r="A4323" s="25" t="s">
        <v>17</v>
      </c>
      <c r="B4323" s="26"/>
      <c r="C4323" s="26"/>
      <c r="D4323" s="26"/>
      <c r="E4323" s="26"/>
      <c r="F4323" s="26"/>
      <c r="G4323" s="27"/>
      <c r="H4323" s="18">
        <v>649000</v>
      </c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1:26" ht="26.25" x14ac:dyDescent="0.4">
      <c r="A4324" s="28" t="s">
        <v>18</v>
      </c>
      <c r="B4324" s="26"/>
      <c r="C4324" s="26"/>
      <c r="D4324" s="26"/>
      <c r="E4324" s="26"/>
      <c r="F4324" s="26"/>
      <c r="G4324" s="26"/>
      <c r="H4324" s="27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1:26" ht="12.75" x14ac:dyDescent="0.2"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9" spans="1:26" ht="15.75" customHeight="1" x14ac:dyDescent="0.4">
      <c r="A4329" s="28" t="s">
        <v>0</v>
      </c>
      <c r="B4329" s="26"/>
      <c r="C4329" s="26"/>
      <c r="D4329" s="26"/>
      <c r="E4329" s="26"/>
      <c r="F4329" s="26"/>
      <c r="G4329" s="26"/>
      <c r="H4329" s="27"/>
    </row>
    <row r="4330" spans="1:26" ht="29.25" customHeight="1" x14ac:dyDescent="0.4">
      <c r="A4330" s="28" t="s">
        <v>999</v>
      </c>
      <c r="B4330" s="26"/>
      <c r="C4330" s="26"/>
      <c r="D4330" s="26"/>
      <c r="E4330" s="26"/>
      <c r="F4330" s="26"/>
      <c r="G4330" s="26"/>
      <c r="H4330" s="27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1:26" ht="18.75" x14ac:dyDescent="0.3">
      <c r="A4331" s="3" t="s">
        <v>2</v>
      </c>
      <c r="B4331" s="3" t="s">
        <v>3</v>
      </c>
      <c r="C4331" s="3" t="s">
        <v>4</v>
      </c>
      <c r="D4331" s="3" t="s">
        <v>5</v>
      </c>
      <c r="E4331" s="3" t="s">
        <v>6</v>
      </c>
      <c r="F4331" s="4" t="s">
        <v>7</v>
      </c>
      <c r="G4331" s="3" t="s">
        <v>8</v>
      </c>
      <c r="H4331" s="5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1:26" ht="26.25" x14ac:dyDescent="0.4">
      <c r="A4332" s="6">
        <v>1</v>
      </c>
      <c r="B4332" s="20" t="s">
        <v>1000</v>
      </c>
      <c r="C4332" s="21" t="s">
        <v>1001</v>
      </c>
      <c r="D4332" s="8" t="s">
        <v>11</v>
      </c>
      <c r="E4332" s="20">
        <v>2</v>
      </c>
      <c r="F4332" s="9">
        <v>293000</v>
      </c>
      <c r="G4332" s="10">
        <f t="shared" ref="G4332:G4334" si="286">IFERROR(E4332*F4332,0)</f>
        <v>586000</v>
      </c>
      <c r="H4332" s="11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1:26" ht="26.25" x14ac:dyDescent="0.4">
      <c r="A4333" s="6">
        <v>2</v>
      </c>
      <c r="B4333" s="22" t="s">
        <v>65</v>
      </c>
      <c r="C4333" s="23" t="s">
        <v>1002</v>
      </c>
      <c r="D4333" s="13" t="s">
        <v>13</v>
      </c>
      <c r="E4333" s="22">
        <v>1.4</v>
      </c>
      <c r="F4333" s="14">
        <v>435000</v>
      </c>
      <c r="G4333" s="10">
        <f t="shared" si="286"/>
        <v>609000</v>
      </c>
      <c r="H4333" s="11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1:26" ht="26.25" x14ac:dyDescent="0.4">
      <c r="A4334" s="6">
        <v>3</v>
      </c>
      <c r="B4334" s="15" t="s">
        <v>14</v>
      </c>
      <c r="C4334" s="11"/>
      <c r="D4334" s="11"/>
      <c r="E4334" s="11"/>
      <c r="F4334" s="11"/>
      <c r="G4334" s="16">
        <f t="shared" si="286"/>
        <v>0</v>
      </c>
      <c r="H4334" s="11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1:26" ht="26.25" x14ac:dyDescent="0.4">
      <c r="A4335" s="29" t="s">
        <v>15</v>
      </c>
      <c r="B4335" s="26"/>
      <c r="C4335" s="26"/>
      <c r="D4335" s="26"/>
      <c r="E4335" s="26"/>
      <c r="F4335" s="26"/>
      <c r="G4335" s="27"/>
      <c r="H4335" s="17">
        <f>SUM(G4332:G4334)</f>
        <v>1195000</v>
      </c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1:26" ht="26.25" x14ac:dyDescent="0.4">
      <c r="A4336" s="29" t="s">
        <v>16</v>
      </c>
      <c r="B4336" s="26"/>
      <c r="C4336" s="26"/>
      <c r="D4336" s="26"/>
      <c r="E4336" s="26"/>
      <c r="F4336" s="26"/>
      <c r="G4336" s="27"/>
      <c r="H4336" s="17">
        <f>MAX(0,H4335-648000)</f>
        <v>547000</v>
      </c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1:26" ht="26.25" x14ac:dyDescent="0.4">
      <c r="A4337" s="25" t="s">
        <v>17</v>
      </c>
      <c r="B4337" s="26"/>
      <c r="C4337" s="26"/>
      <c r="D4337" s="26"/>
      <c r="E4337" s="26"/>
      <c r="F4337" s="26"/>
      <c r="G4337" s="27"/>
      <c r="H4337" s="18">
        <v>649000</v>
      </c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1:26" ht="26.25" x14ac:dyDescent="0.4">
      <c r="A4338" s="28" t="s">
        <v>18</v>
      </c>
      <c r="B4338" s="26"/>
      <c r="C4338" s="26"/>
      <c r="D4338" s="26"/>
      <c r="E4338" s="26"/>
      <c r="F4338" s="26"/>
      <c r="G4338" s="26"/>
      <c r="H4338" s="27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1:26" ht="12.75" x14ac:dyDescent="0.2"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3" spans="1:26" ht="15.75" customHeight="1" x14ac:dyDescent="0.4">
      <c r="A4343" s="28" t="s">
        <v>0</v>
      </c>
      <c r="B4343" s="26"/>
      <c r="C4343" s="26"/>
      <c r="D4343" s="26"/>
      <c r="E4343" s="26"/>
      <c r="F4343" s="26"/>
      <c r="G4343" s="26"/>
      <c r="H4343" s="27"/>
    </row>
    <row r="4344" spans="1:26" ht="15.75" customHeight="1" x14ac:dyDescent="0.4">
      <c r="A4344" s="28" t="s">
        <v>1003</v>
      </c>
      <c r="B4344" s="26"/>
      <c r="C4344" s="26"/>
      <c r="D4344" s="26"/>
      <c r="E4344" s="26"/>
      <c r="F4344" s="26"/>
      <c r="G4344" s="26"/>
      <c r="H4344" s="27"/>
    </row>
    <row r="4345" spans="1:26" ht="29.25" customHeight="1" x14ac:dyDescent="0.3">
      <c r="A4345" s="3" t="s">
        <v>2</v>
      </c>
      <c r="B4345" s="3" t="s">
        <v>3</v>
      </c>
      <c r="C4345" s="3" t="s">
        <v>4</v>
      </c>
      <c r="D4345" s="3" t="s">
        <v>5</v>
      </c>
      <c r="E4345" s="3" t="s">
        <v>6</v>
      </c>
      <c r="F4345" s="4" t="s">
        <v>7</v>
      </c>
      <c r="G4345" s="3" t="s">
        <v>8</v>
      </c>
      <c r="H4345" s="5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1:26" ht="26.25" x14ac:dyDescent="0.4">
      <c r="A4346" s="6">
        <v>1</v>
      </c>
      <c r="B4346" s="20" t="s">
        <v>1004</v>
      </c>
      <c r="C4346" s="21" t="s">
        <v>1005</v>
      </c>
      <c r="D4346" s="8" t="s">
        <v>11</v>
      </c>
      <c r="E4346" s="20">
        <v>1.45</v>
      </c>
      <c r="F4346" s="9">
        <v>293000</v>
      </c>
      <c r="G4346" s="10">
        <f t="shared" ref="G4346:G4348" si="287">IFERROR(E4346*F4346,0)</f>
        <v>424850</v>
      </c>
      <c r="H4346" s="11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1:26" ht="26.25" x14ac:dyDescent="0.4">
      <c r="A4347" s="6">
        <v>2</v>
      </c>
      <c r="B4347" s="20" t="s">
        <v>1006</v>
      </c>
      <c r="C4347" s="23" t="s">
        <v>166</v>
      </c>
      <c r="D4347" s="13" t="s">
        <v>13</v>
      </c>
      <c r="E4347" s="22">
        <v>2</v>
      </c>
      <c r="F4347" s="14">
        <v>435000</v>
      </c>
      <c r="G4347" s="10">
        <f t="shared" si="287"/>
        <v>870000</v>
      </c>
      <c r="H4347" s="11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1:26" ht="26.25" x14ac:dyDescent="0.4">
      <c r="A4348" s="6">
        <v>3</v>
      </c>
      <c r="B4348" s="15" t="s">
        <v>14</v>
      </c>
      <c r="C4348" s="11"/>
      <c r="D4348" s="11"/>
      <c r="E4348" s="11"/>
      <c r="F4348" s="11"/>
      <c r="G4348" s="16">
        <f t="shared" si="287"/>
        <v>0</v>
      </c>
      <c r="H4348" s="11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1:26" ht="26.25" x14ac:dyDescent="0.4">
      <c r="A4349" s="29" t="s">
        <v>15</v>
      </c>
      <c r="B4349" s="26"/>
      <c r="C4349" s="26"/>
      <c r="D4349" s="26"/>
      <c r="E4349" s="26"/>
      <c r="F4349" s="26"/>
      <c r="G4349" s="27"/>
      <c r="H4349" s="17">
        <f>SUM(G4346:G4348)</f>
        <v>1294850</v>
      </c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1:26" ht="26.25" x14ac:dyDescent="0.4">
      <c r="A4350" s="29" t="s">
        <v>16</v>
      </c>
      <c r="B4350" s="26"/>
      <c r="C4350" s="26"/>
      <c r="D4350" s="26"/>
      <c r="E4350" s="26"/>
      <c r="F4350" s="26"/>
      <c r="G4350" s="27"/>
      <c r="H4350" s="17">
        <f>MAX(0,H4349-648000)</f>
        <v>646850</v>
      </c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1:26" ht="26.25" x14ac:dyDescent="0.4">
      <c r="A4351" s="25" t="s">
        <v>17</v>
      </c>
      <c r="B4351" s="26"/>
      <c r="C4351" s="26"/>
      <c r="D4351" s="26"/>
      <c r="E4351" s="26"/>
      <c r="F4351" s="26"/>
      <c r="G4351" s="27"/>
      <c r="H4351" s="18">
        <v>649000</v>
      </c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1:26" ht="26.25" x14ac:dyDescent="0.4">
      <c r="A4352" s="28" t="s">
        <v>18</v>
      </c>
      <c r="B4352" s="26"/>
      <c r="C4352" s="26"/>
      <c r="D4352" s="26"/>
      <c r="E4352" s="26"/>
      <c r="F4352" s="26"/>
      <c r="G4352" s="26"/>
      <c r="H4352" s="27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1:26" ht="12.75" x14ac:dyDescent="0.2"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1:26" ht="12.75" x14ac:dyDescent="0.2"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8" spans="1:26" ht="29.25" customHeight="1" x14ac:dyDescent="0.4">
      <c r="A4358" s="28" t="s">
        <v>0</v>
      </c>
      <c r="B4358" s="26"/>
      <c r="C4358" s="26"/>
      <c r="D4358" s="26"/>
      <c r="E4358" s="26"/>
      <c r="F4358" s="26"/>
      <c r="G4358" s="26"/>
      <c r="H4358" s="27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1:26" ht="26.25" x14ac:dyDescent="0.4">
      <c r="A4359" s="28" t="s">
        <v>1007</v>
      </c>
      <c r="B4359" s="26"/>
      <c r="C4359" s="26"/>
      <c r="D4359" s="26"/>
      <c r="E4359" s="26"/>
      <c r="F4359" s="26"/>
      <c r="G4359" s="26"/>
      <c r="H4359" s="27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1:26" ht="18.75" x14ac:dyDescent="0.3">
      <c r="A4360" s="3" t="s">
        <v>2</v>
      </c>
      <c r="B4360" s="3" t="s">
        <v>3</v>
      </c>
      <c r="C4360" s="3" t="s">
        <v>4</v>
      </c>
      <c r="D4360" s="3" t="s">
        <v>5</v>
      </c>
      <c r="E4360" s="3" t="s">
        <v>6</v>
      </c>
      <c r="F4360" s="4" t="s">
        <v>7</v>
      </c>
      <c r="G4360" s="3" t="s">
        <v>8</v>
      </c>
      <c r="H4360" s="5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1:26" ht="26.25" x14ac:dyDescent="0.4">
      <c r="A4361" s="6">
        <v>1</v>
      </c>
      <c r="B4361" s="20" t="s">
        <v>1008</v>
      </c>
      <c r="C4361" s="21" t="s">
        <v>1009</v>
      </c>
      <c r="D4361" s="8" t="s">
        <v>11</v>
      </c>
      <c r="E4361" s="20">
        <v>1.5</v>
      </c>
      <c r="F4361" s="9">
        <v>293000</v>
      </c>
      <c r="G4361" s="10">
        <f t="shared" ref="G4361:G4363" si="288">IFERROR(E4361*F4361,0)</f>
        <v>439500</v>
      </c>
      <c r="H4361" s="11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1:26" ht="26.25" x14ac:dyDescent="0.4">
      <c r="A4362" s="6">
        <v>2</v>
      </c>
      <c r="B4362" s="20" t="s">
        <v>1006</v>
      </c>
      <c r="C4362" s="23" t="s">
        <v>166</v>
      </c>
      <c r="D4362" s="13" t="s">
        <v>13</v>
      </c>
      <c r="E4362" s="22">
        <v>2</v>
      </c>
      <c r="F4362" s="14">
        <v>435000</v>
      </c>
      <c r="G4362" s="10">
        <f t="shared" si="288"/>
        <v>870000</v>
      </c>
      <c r="H4362" s="11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1:26" ht="26.25" x14ac:dyDescent="0.4">
      <c r="A4363" s="6">
        <v>3</v>
      </c>
      <c r="B4363" s="15" t="s">
        <v>14</v>
      </c>
      <c r="C4363" s="11"/>
      <c r="D4363" s="11"/>
      <c r="E4363" s="11"/>
      <c r="F4363" s="11"/>
      <c r="G4363" s="16">
        <f t="shared" si="288"/>
        <v>0</v>
      </c>
      <c r="H4363" s="11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1:26" ht="26.25" x14ac:dyDescent="0.4">
      <c r="A4364" s="29" t="s">
        <v>15</v>
      </c>
      <c r="B4364" s="26"/>
      <c r="C4364" s="26"/>
      <c r="D4364" s="26"/>
      <c r="E4364" s="26"/>
      <c r="F4364" s="26"/>
      <c r="G4364" s="27"/>
      <c r="H4364" s="17">
        <f>SUM(G4361:G4363)</f>
        <v>1309500</v>
      </c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1:26" ht="26.25" x14ac:dyDescent="0.4">
      <c r="A4365" s="29" t="s">
        <v>16</v>
      </c>
      <c r="B4365" s="26"/>
      <c r="C4365" s="26"/>
      <c r="D4365" s="26"/>
      <c r="E4365" s="26"/>
      <c r="F4365" s="26"/>
      <c r="G4365" s="27"/>
      <c r="H4365" s="17">
        <f>MAX(0,H4364-648000)</f>
        <v>661500</v>
      </c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1:26" ht="26.25" x14ac:dyDescent="0.4">
      <c r="A4366" s="25" t="s">
        <v>17</v>
      </c>
      <c r="B4366" s="26"/>
      <c r="C4366" s="26"/>
      <c r="D4366" s="26"/>
      <c r="E4366" s="26"/>
      <c r="F4366" s="26"/>
      <c r="G4366" s="27"/>
      <c r="H4366" s="18">
        <v>649000</v>
      </c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1:26" ht="26.25" x14ac:dyDescent="0.4">
      <c r="A4367" s="28" t="s">
        <v>18</v>
      </c>
      <c r="B4367" s="26"/>
      <c r="C4367" s="26"/>
      <c r="D4367" s="26"/>
      <c r="E4367" s="26"/>
      <c r="F4367" s="26"/>
      <c r="G4367" s="26"/>
      <c r="H4367" s="27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71" spans="1:26" ht="15.75" customHeight="1" x14ac:dyDescent="0.4">
      <c r="A4371" s="28" t="s">
        <v>0</v>
      </c>
      <c r="B4371" s="26"/>
      <c r="C4371" s="26"/>
      <c r="D4371" s="26"/>
      <c r="E4371" s="26"/>
      <c r="F4371" s="26"/>
      <c r="G4371" s="26"/>
      <c r="H4371" s="27"/>
    </row>
    <row r="4372" spans="1:26" ht="29.25" customHeight="1" x14ac:dyDescent="0.4">
      <c r="A4372" s="28" t="s">
        <v>1010</v>
      </c>
      <c r="B4372" s="26"/>
      <c r="C4372" s="26"/>
      <c r="D4372" s="26"/>
      <c r="E4372" s="26"/>
      <c r="F4372" s="26"/>
      <c r="G4372" s="26"/>
      <c r="H4372" s="27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1:26" ht="18.75" x14ac:dyDescent="0.3">
      <c r="A4373" s="3" t="s">
        <v>2</v>
      </c>
      <c r="B4373" s="3" t="s">
        <v>3</v>
      </c>
      <c r="C4373" s="3" t="s">
        <v>4</v>
      </c>
      <c r="D4373" s="3" t="s">
        <v>5</v>
      </c>
      <c r="E4373" s="3" t="s">
        <v>6</v>
      </c>
      <c r="F4373" s="4" t="s">
        <v>7</v>
      </c>
      <c r="G4373" s="3" t="s">
        <v>8</v>
      </c>
      <c r="H4373" s="5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1:26" ht="26.25" x14ac:dyDescent="0.4">
      <c r="A4374" s="6">
        <v>1</v>
      </c>
      <c r="B4374" s="20" t="s">
        <v>178</v>
      </c>
      <c r="C4374" s="21" t="s">
        <v>104</v>
      </c>
      <c r="D4374" s="8" t="s">
        <v>11</v>
      </c>
      <c r="E4374" s="20">
        <v>2</v>
      </c>
      <c r="F4374" s="9">
        <v>293000</v>
      </c>
      <c r="G4374" s="10">
        <f t="shared" ref="G4374:G4376" si="289">IFERROR(E4374*F4374,0)</f>
        <v>586000</v>
      </c>
      <c r="H4374" s="11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1:26" ht="26.25" x14ac:dyDescent="0.4">
      <c r="A4375" s="6">
        <v>2</v>
      </c>
      <c r="B4375" s="20" t="s">
        <v>431</v>
      </c>
      <c r="C4375" s="23" t="s">
        <v>1011</v>
      </c>
      <c r="D4375" s="13" t="s">
        <v>13</v>
      </c>
      <c r="E4375" s="22">
        <v>1.5</v>
      </c>
      <c r="F4375" s="14">
        <v>435000</v>
      </c>
      <c r="G4375" s="10">
        <f t="shared" si="289"/>
        <v>652500</v>
      </c>
      <c r="H4375" s="11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1:26" ht="26.25" x14ac:dyDescent="0.4">
      <c r="A4376" s="6">
        <v>3</v>
      </c>
      <c r="B4376" s="15" t="s">
        <v>14</v>
      </c>
      <c r="C4376" s="11"/>
      <c r="D4376" s="11"/>
      <c r="E4376" s="11"/>
      <c r="F4376" s="11"/>
      <c r="G4376" s="16">
        <f t="shared" si="289"/>
        <v>0</v>
      </c>
      <c r="H4376" s="11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1:26" ht="26.25" x14ac:dyDescent="0.4">
      <c r="A4377" s="29" t="s">
        <v>15</v>
      </c>
      <c r="B4377" s="26"/>
      <c r="C4377" s="26"/>
      <c r="D4377" s="26"/>
      <c r="E4377" s="26"/>
      <c r="F4377" s="26"/>
      <c r="G4377" s="27"/>
      <c r="H4377" s="17">
        <f>SUM(G4374:G4376)</f>
        <v>1238500</v>
      </c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1:26" ht="26.25" x14ac:dyDescent="0.4">
      <c r="A4378" s="29" t="s">
        <v>16</v>
      </c>
      <c r="B4378" s="26"/>
      <c r="C4378" s="26"/>
      <c r="D4378" s="26"/>
      <c r="E4378" s="26"/>
      <c r="F4378" s="26"/>
      <c r="G4378" s="27"/>
      <c r="H4378" s="17">
        <f>MAX(0,H4377-648000)</f>
        <v>590500</v>
      </c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1:26" ht="26.25" x14ac:dyDescent="0.4">
      <c r="A4379" s="25" t="s">
        <v>17</v>
      </c>
      <c r="B4379" s="26"/>
      <c r="C4379" s="26"/>
      <c r="D4379" s="26"/>
      <c r="E4379" s="26"/>
      <c r="F4379" s="26"/>
      <c r="G4379" s="27"/>
      <c r="H4379" s="18">
        <v>649000</v>
      </c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1:26" ht="26.25" x14ac:dyDescent="0.4">
      <c r="A4380" s="28" t="s">
        <v>18</v>
      </c>
      <c r="B4380" s="26"/>
      <c r="C4380" s="26"/>
      <c r="D4380" s="26"/>
      <c r="E4380" s="26"/>
      <c r="F4380" s="26"/>
      <c r="G4380" s="26"/>
      <c r="H4380" s="27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1:26" ht="12.75" x14ac:dyDescent="0.2"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5" spans="1:26" ht="15.75" customHeight="1" x14ac:dyDescent="0.4">
      <c r="A4385" s="28" t="s">
        <v>0</v>
      </c>
      <c r="B4385" s="26"/>
      <c r="C4385" s="26"/>
      <c r="D4385" s="26"/>
      <c r="E4385" s="26"/>
      <c r="F4385" s="26"/>
      <c r="G4385" s="26"/>
      <c r="H4385" s="27"/>
    </row>
    <row r="4386" spans="1:26" ht="29.25" customHeight="1" x14ac:dyDescent="0.4">
      <c r="A4386" s="28" t="s">
        <v>1012</v>
      </c>
      <c r="B4386" s="26"/>
      <c r="C4386" s="26"/>
      <c r="D4386" s="26"/>
      <c r="E4386" s="26"/>
      <c r="F4386" s="26"/>
      <c r="G4386" s="26"/>
      <c r="H4386" s="27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1:26" ht="18.75" x14ac:dyDescent="0.3">
      <c r="A4387" s="3" t="s">
        <v>2</v>
      </c>
      <c r="B4387" s="3" t="s">
        <v>3</v>
      </c>
      <c r="C4387" s="3" t="s">
        <v>4</v>
      </c>
      <c r="D4387" s="3" t="s">
        <v>5</v>
      </c>
      <c r="E4387" s="3" t="s">
        <v>6</v>
      </c>
      <c r="F4387" s="4" t="s">
        <v>7</v>
      </c>
      <c r="G4387" s="3" t="s">
        <v>8</v>
      </c>
      <c r="H4387" s="5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1:26" ht="26.25" x14ac:dyDescent="0.4">
      <c r="A4388" s="6">
        <v>1</v>
      </c>
      <c r="B4388" s="20" t="s">
        <v>79</v>
      </c>
      <c r="C4388" s="21" t="s">
        <v>1013</v>
      </c>
      <c r="D4388" s="8" t="s">
        <v>11</v>
      </c>
      <c r="E4388" s="20">
        <v>2</v>
      </c>
      <c r="F4388" s="9">
        <v>293000</v>
      </c>
      <c r="G4388" s="10">
        <f t="shared" ref="G4388:G4390" si="290">IFERROR(E4388*F4388,0)</f>
        <v>586000</v>
      </c>
      <c r="H4388" s="11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1:26" ht="26.25" x14ac:dyDescent="0.4">
      <c r="A4389" s="6">
        <v>2</v>
      </c>
      <c r="B4389" s="22" t="s">
        <v>1014</v>
      </c>
      <c r="C4389" s="23" t="s">
        <v>1015</v>
      </c>
      <c r="D4389" s="13" t="s">
        <v>13</v>
      </c>
      <c r="E4389" s="22">
        <v>1.57</v>
      </c>
      <c r="F4389" s="14">
        <v>435000</v>
      </c>
      <c r="G4389" s="10">
        <f t="shared" si="290"/>
        <v>682950</v>
      </c>
      <c r="H4389" s="11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1:26" ht="26.25" x14ac:dyDescent="0.4">
      <c r="A4390" s="6">
        <v>3</v>
      </c>
      <c r="B4390" s="15" t="s">
        <v>14</v>
      </c>
      <c r="C4390" s="11"/>
      <c r="D4390" s="11"/>
      <c r="E4390" s="11"/>
      <c r="F4390" s="11"/>
      <c r="G4390" s="16">
        <f t="shared" si="290"/>
        <v>0</v>
      </c>
      <c r="H4390" s="11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1:26" ht="26.25" x14ac:dyDescent="0.4">
      <c r="A4391" s="29" t="s">
        <v>15</v>
      </c>
      <c r="B4391" s="26"/>
      <c r="C4391" s="26"/>
      <c r="D4391" s="26"/>
      <c r="E4391" s="26"/>
      <c r="F4391" s="26"/>
      <c r="G4391" s="27"/>
      <c r="H4391" s="17">
        <f>SUM(G4388:G4390)</f>
        <v>1268950</v>
      </c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1:26" ht="26.25" x14ac:dyDescent="0.4">
      <c r="A4392" s="29" t="s">
        <v>16</v>
      </c>
      <c r="B4392" s="26"/>
      <c r="C4392" s="26"/>
      <c r="D4392" s="26"/>
      <c r="E4392" s="26"/>
      <c r="F4392" s="26"/>
      <c r="G4392" s="27"/>
      <c r="H4392" s="17">
        <f>MAX(0,H4391-648000)</f>
        <v>620950</v>
      </c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1:26" ht="26.25" x14ac:dyDescent="0.4">
      <c r="A4393" s="25" t="s">
        <v>17</v>
      </c>
      <c r="B4393" s="26"/>
      <c r="C4393" s="26"/>
      <c r="D4393" s="26"/>
      <c r="E4393" s="26"/>
      <c r="F4393" s="26"/>
      <c r="G4393" s="27"/>
      <c r="H4393" s="18">
        <v>649000</v>
      </c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1:26" ht="26.25" x14ac:dyDescent="0.4">
      <c r="A4394" s="28" t="s">
        <v>18</v>
      </c>
      <c r="B4394" s="26"/>
      <c r="C4394" s="26"/>
      <c r="D4394" s="26"/>
      <c r="E4394" s="26"/>
      <c r="F4394" s="26"/>
      <c r="G4394" s="26"/>
      <c r="H4394" s="27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1:26" ht="12.75" x14ac:dyDescent="0.2"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9" spans="1:26" ht="15.75" customHeight="1" x14ac:dyDescent="0.4">
      <c r="A4399" s="28" t="s">
        <v>0</v>
      </c>
      <c r="B4399" s="26"/>
      <c r="C4399" s="26"/>
      <c r="D4399" s="26"/>
      <c r="E4399" s="26"/>
      <c r="F4399" s="26"/>
      <c r="G4399" s="26"/>
      <c r="H4399" s="27"/>
    </row>
    <row r="4400" spans="1:26" ht="15.75" customHeight="1" x14ac:dyDescent="0.4">
      <c r="A4400" s="28" t="s">
        <v>1016</v>
      </c>
      <c r="B4400" s="26"/>
      <c r="C4400" s="26"/>
      <c r="D4400" s="26"/>
      <c r="E4400" s="26"/>
      <c r="F4400" s="26"/>
      <c r="G4400" s="26"/>
      <c r="H4400" s="27"/>
    </row>
    <row r="4401" spans="1:26" ht="29.25" customHeight="1" x14ac:dyDescent="0.3">
      <c r="A4401" s="3" t="s">
        <v>2</v>
      </c>
      <c r="B4401" s="3" t="s">
        <v>3</v>
      </c>
      <c r="C4401" s="3" t="s">
        <v>4</v>
      </c>
      <c r="D4401" s="3" t="s">
        <v>5</v>
      </c>
      <c r="E4401" s="3" t="s">
        <v>6</v>
      </c>
      <c r="F4401" s="4" t="s">
        <v>7</v>
      </c>
      <c r="G4401" s="3" t="s">
        <v>8</v>
      </c>
      <c r="H4401" s="5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1:26" ht="26.25" x14ac:dyDescent="0.4">
      <c r="A4402" s="6">
        <v>1</v>
      </c>
      <c r="B4402" s="20" t="s">
        <v>950</v>
      </c>
      <c r="C4402" s="21" t="s">
        <v>959</v>
      </c>
      <c r="D4402" s="8" t="s">
        <v>11</v>
      </c>
      <c r="E4402" s="20">
        <v>2</v>
      </c>
      <c r="F4402" s="9">
        <v>293000</v>
      </c>
      <c r="G4402" s="10">
        <f t="shared" ref="G4402:G4404" si="291">IFERROR(E4402*F4402,0)</f>
        <v>586000</v>
      </c>
      <c r="H4402" s="11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1:26" ht="26.25" x14ac:dyDescent="0.4">
      <c r="A4403" s="6">
        <v>2</v>
      </c>
      <c r="B4403" s="20" t="s">
        <v>1006</v>
      </c>
      <c r="C4403" s="23" t="s">
        <v>166</v>
      </c>
      <c r="D4403" s="13" t="s">
        <v>13</v>
      </c>
      <c r="E4403" s="22">
        <v>2</v>
      </c>
      <c r="F4403" s="14">
        <v>435000</v>
      </c>
      <c r="G4403" s="10">
        <f t="shared" si="291"/>
        <v>870000</v>
      </c>
      <c r="H4403" s="11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1:26" ht="26.25" x14ac:dyDescent="0.4">
      <c r="A4404" s="6">
        <v>3</v>
      </c>
      <c r="B4404" s="15" t="s">
        <v>14</v>
      </c>
      <c r="C4404" s="11"/>
      <c r="D4404" s="11"/>
      <c r="E4404" s="11"/>
      <c r="F4404" s="11"/>
      <c r="G4404" s="16">
        <f t="shared" si="291"/>
        <v>0</v>
      </c>
      <c r="H4404" s="11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1:26" ht="26.25" x14ac:dyDescent="0.4">
      <c r="A4405" s="29" t="s">
        <v>15</v>
      </c>
      <c r="B4405" s="26"/>
      <c r="C4405" s="26"/>
      <c r="D4405" s="26"/>
      <c r="E4405" s="26"/>
      <c r="F4405" s="26"/>
      <c r="G4405" s="27"/>
      <c r="H4405" s="17">
        <f>SUM(G4402:G4404)</f>
        <v>1456000</v>
      </c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1:26" ht="26.25" x14ac:dyDescent="0.4">
      <c r="A4406" s="29" t="s">
        <v>16</v>
      </c>
      <c r="B4406" s="26"/>
      <c r="C4406" s="26"/>
      <c r="D4406" s="26"/>
      <c r="E4406" s="26"/>
      <c r="F4406" s="26"/>
      <c r="G4406" s="27"/>
      <c r="H4406" s="17">
        <f>MAX(0,H4405-648000)</f>
        <v>808000</v>
      </c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1:26" ht="26.25" x14ac:dyDescent="0.4">
      <c r="A4407" s="25" t="s">
        <v>17</v>
      </c>
      <c r="B4407" s="26"/>
      <c r="C4407" s="26"/>
      <c r="D4407" s="26"/>
      <c r="E4407" s="26"/>
      <c r="F4407" s="26"/>
      <c r="G4407" s="27"/>
      <c r="H4407" s="18">
        <v>649000</v>
      </c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1:26" ht="26.25" x14ac:dyDescent="0.4">
      <c r="A4408" s="28" t="s">
        <v>18</v>
      </c>
      <c r="B4408" s="26"/>
      <c r="C4408" s="26"/>
      <c r="D4408" s="26"/>
      <c r="E4408" s="26"/>
      <c r="F4408" s="26"/>
      <c r="G4408" s="26"/>
      <c r="H4408" s="27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spans="1:26" ht="12.75" x14ac:dyDescent="0.2"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spans="1:26" ht="12.75" x14ac:dyDescent="0.2"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4" spans="1:26" ht="15.75" customHeight="1" x14ac:dyDescent="0.4">
      <c r="A4414" s="28" t="s">
        <v>0</v>
      </c>
      <c r="B4414" s="26"/>
      <c r="C4414" s="26"/>
      <c r="D4414" s="26"/>
      <c r="E4414" s="26"/>
      <c r="F4414" s="26"/>
      <c r="G4414" s="26"/>
      <c r="H4414" s="27"/>
    </row>
    <row r="4415" spans="1:26" ht="15.75" customHeight="1" x14ac:dyDescent="0.4">
      <c r="A4415" s="28" t="s">
        <v>1017</v>
      </c>
      <c r="B4415" s="26"/>
      <c r="C4415" s="26"/>
      <c r="D4415" s="26"/>
      <c r="E4415" s="26"/>
      <c r="F4415" s="26"/>
      <c r="G4415" s="26"/>
      <c r="H4415" s="27"/>
    </row>
    <row r="4416" spans="1:26" ht="29.25" customHeight="1" x14ac:dyDescent="0.3">
      <c r="A4416" s="3" t="s">
        <v>2</v>
      </c>
      <c r="B4416" s="3" t="s">
        <v>3</v>
      </c>
      <c r="C4416" s="3" t="s">
        <v>4</v>
      </c>
      <c r="D4416" s="3" t="s">
        <v>5</v>
      </c>
      <c r="E4416" s="3" t="s">
        <v>6</v>
      </c>
      <c r="F4416" s="4" t="s">
        <v>7</v>
      </c>
      <c r="G4416" s="3" t="s">
        <v>8</v>
      </c>
      <c r="H4416" s="5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1:26" ht="26.25" x14ac:dyDescent="0.4">
      <c r="A4417" s="6">
        <v>1</v>
      </c>
      <c r="B4417" s="20" t="s">
        <v>44</v>
      </c>
      <c r="C4417" s="21" t="s">
        <v>900</v>
      </c>
      <c r="D4417" s="8" t="s">
        <v>11</v>
      </c>
      <c r="E4417" s="20">
        <v>1.5</v>
      </c>
      <c r="F4417" s="9">
        <v>293000</v>
      </c>
      <c r="G4417" s="10">
        <f t="shared" ref="G4417:G4419" si="292">IFERROR(E4417*F4417,0)</f>
        <v>439500</v>
      </c>
      <c r="H4417" s="11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1:26" ht="26.25" x14ac:dyDescent="0.4">
      <c r="A4418" s="6">
        <v>2</v>
      </c>
      <c r="B4418" s="20" t="s">
        <v>1006</v>
      </c>
      <c r="C4418" s="23" t="s">
        <v>166</v>
      </c>
      <c r="D4418" s="13" t="s">
        <v>13</v>
      </c>
      <c r="E4418" s="22">
        <v>2</v>
      </c>
      <c r="F4418" s="14">
        <v>435000</v>
      </c>
      <c r="G4418" s="10">
        <f t="shared" si="292"/>
        <v>870000</v>
      </c>
      <c r="H4418" s="11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1:26" ht="26.25" x14ac:dyDescent="0.4">
      <c r="A4419" s="6">
        <v>3</v>
      </c>
      <c r="B4419" s="15" t="s">
        <v>14</v>
      </c>
      <c r="C4419" s="11"/>
      <c r="D4419" s="11"/>
      <c r="E4419" s="11"/>
      <c r="F4419" s="11"/>
      <c r="G4419" s="16">
        <f t="shared" si="292"/>
        <v>0</v>
      </c>
      <c r="H4419" s="11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1:26" ht="26.25" x14ac:dyDescent="0.4">
      <c r="A4420" s="29" t="s">
        <v>15</v>
      </c>
      <c r="B4420" s="26"/>
      <c r="C4420" s="26"/>
      <c r="D4420" s="26"/>
      <c r="E4420" s="26"/>
      <c r="F4420" s="26"/>
      <c r="G4420" s="27"/>
      <c r="H4420" s="17">
        <f>SUM(G4417:G4419)</f>
        <v>1309500</v>
      </c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1:26" ht="26.25" x14ac:dyDescent="0.4">
      <c r="A4421" s="29" t="s">
        <v>16</v>
      </c>
      <c r="B4421" s="26"/>
      <c r="C4421" s="26"/>
      <c r="D4421" s="26"/>
      <c r="E4421" s="26"/>
      <c r="F4421" s="26"/>
      <c r="G4421" s="27"/>
      <c r="H4421" s="17">
        <f>MAX(0,H4420-648000)</f>
        <v>661500</v>
      </c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1:26" ht="26.25" x14ac:dyDescent="0.4">
      <c r="A4422" s="25" t="s">
        <v>17</v>
      </c>
      <c r="B4422" s="26"/>
      <c r="C4422" s="26"/>
      <c r="D4422" s="26"/>
      <c r="E4422" s="26"/>
      <c r="F4422" s="26"/>
      <c r="G4422" s="27"/>
      <c r="H4422" s="18">
        <v>649000</v>
      </c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1:26" ht="26.25" x14ac:dyDescent="0.4">
      <c r="A4423" s="28" t="s">
        <v>18</v>
      </c>
      <c r="B4423" s="26"/>
      <c r="C4423" s="26"/>
      <c r="D4423" s="26"/>
      <c r="E4423" s="26"/>
      <c r="F4423" s="26"/>
      <c r="G4423" s="26"/>
      <c r="H4423" s="27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1:26" ht="12.75" x14ac:dyDescent="0.2"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1:26" ht="12.75" x14ac:dyDescent="0.2"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9" spans="1:26" ht="15.75" customHeight="1" x14ac:dyDescent="0.4">
      <c r="A4429" s="28" t="s">
        <v>0</v>
      </c>
      <c r="B4429" s="26"/>
      <c r="C4429" s="26"/>
      <c r="D4429" s="26"/>
      <c r="E4429" s="26"/>
      <c r="F4429" s="26"/>
      <c r="G4429" s="26"/>
      <c r="H4429" s="27"/>
    </row>
    <row r="4430" spans="1:26" ht="29.25" customHeight="1" x14ac:dyDescent="0.4">
      <c r="A4430" s="28" t="s">
        <v>1018</v>
      </c>
      <c r="B4430" s="26"/>
      <c r="C4430" s="26"/>
      <c r="D4430" s="26"/>
      <c r="E4430" s="26"/>
      <c r="F4430" s="26"/>
      <c r="G4430" s="26"/>
      <c r="H4430" s="27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1:26" ht="18.75" x14ac:dyDescent="0.3">
      <c r="A4431" s="3" t="s">
        <v>2</v>
      </c>
      <c r="B4431" s="3" t="s">
        <v>3</v>
      </c>
      <c r="C4431" s="3" t="s">
        <v>4</v>
      </c>
      <c r="D4431" s="3" t="s">
        <v>5</v>
      </c>
      <c r="E4431" s="3" t="s">
        <v>6</v>
      </c>
      <c r="F4431" s="4" t="s">
        <v>7</v>
      </c>
      <c r="G4431" s="3" t="s">
        <v>8</v>
      </c>
      <c r="H4431" s="5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1:26" ht="26.25" x14ac:dyDescent="0.4">
      <c r="A4432" s="6">
        <v>1</v>
      </c>
      <c r="B4432" s="20" t="s">
        <v>487</v>
      </c>
      <c r="C4432" s="21" t="s">
        <v>1019</v>
      </c>
      <c r="D4432" s="8" t="s">
        <v>11</v>
      </c>
      <c r="E4432" s="20">
        <v>1.6</v>
      </c>
      <c r="F4432" s="9">
        <v>293000</v>
      </c>
      <c r="G4432" s="10">
        <f t="shared" ref="G4432:G4434" si="293">IFERROR(E4432*F4432,0)</f>
        <v>468800</v>
      </c>
      <c r="H4432" s="11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1:26" ht="26.25" x14ac:dyDescent="0.4">
      <c r="A4433" s="6">
        <v>2</v>
      </c>
      <c r="B4433" s="22" t="s">
        <v>1020</v>
      </c>
      <c r="C4433" s="23" t="s">
        <v>1021</v>
      </c>
      <c r="D4433" s="13" t="s">
        <v>13</v>
      </c>
      <c r="E4433" s="22">
        <v>1.8</v>
      </c>
      <c r="F4433" s="14">
        <v>435000</v>
      </c>
      <c r="G4433" s="10">
        <f t="shared" si="293"/>
        <v>783000</v>
      </c>
      <c r="H4433" s="11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1:26" ht="26.25" x14ac:dyDescent="0.4">
      <c r="A4434" s="6">
        <v>3</v>
      </c>
      <c r="B4434" s="15" t="s">
        <v>14</v>
      </c>
      <c r="C4434" s="11"/>
      <c r="D4434" s="11"/>
      <c r="E4434" s="11"/>
      <c r="F4434" s="11"/>
      <c r="G4434" s="16">
        <f t="shared" si="293"/>
        <v>0</v>
      </c>
      <c r="H4434" s="11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1:26" ht="26.25" x14ac:dyDescent="0.4">
      <c r="A4435" s="29" t="s">
        <v>15</v>
      </c>
      <c r="B4435" s="26"/>
      <c r="C4435" s="26"/>
      <c r="D4435" s="26"/>
      <c r="E4435" s="26"/>
      <c r="F4435" s="26"/>
      <c r="G4435" s="27"/>
      <c r="H4435" s="17">
        <f>SUM(G4432:G4434)</f>
        <v>1251800</v>
      </c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1:26" ht="26.25" x14ac:dyDescent="0.4">
      <c r="A4436" s="29" t="s">
        <v>16</v>
      </c>
      <c r="B4436" s="26"/>
      <c r="C4436" s="26"/>
      <c r="D4436" s="26"/>
      <c r="E4436" s="26"/>
      <c r="F4436" s="26"/>
      <c r="G4436" s="27"/>
      <c r="H4436" s="17">
        <f>MAX(0,H4435-648000)</f>
        <v>603800</v>
      </c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1:26" ht="26.25" x14ac:dyDescent="0.4">
      <c r="A4437" s="25" t="s">
        <v>17</v>
      </c>
      <c r="B4437" s="26"/>
      <c r="C4437" s="26"/>
      <c r="D4437" s="26"/>
      <c r="E4437" s="26"/>
      <c r="F4437" s="26"/>
      <c r="G4437" s="27"/>
      <c r="H4437" s="18">
        <v>649000</v>
      </c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1:26" ht="26.25" x14ac:dyDescent="0.4">
      <c r="A4438" s="28" t="s">
        <v>18</v>
      </c>
      <c r="B4438" s="26"/>
      <c r="C4438" s="26"/>
      <c r="D4438" s="26"/>
      <c r="E4438" s="26"/>
      <c r="F4438" s="26"/>
      <c r="G4438" s="26"/>
      <c r="H4438" s="27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1:26" ht="12.75" x14ac:dyDescent="0.2"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3" spans="1:26" ht="15.75" customHeight="1" x14ac:dyDescent="0.4">
      <c r="A4443" s="28" t="s">
        <v>0</v>
      </c>
      <c r="B4443" s="26"/>
      <c r="C4443" s="26"/>
      <c r="D4443" s="26"/>
      <c r="E4443" s="26"/>
      <c r="F4443" s="26"/>
      <c r="G4443" s="26"/>
      <c r="H4443" s="27"/>
    </row>
    <row r="4444" spans="1:26" ht="29.25" customHeight="1" x14ac:dyDescent="0.4">
      <c r="A4444" s="28" t="s">
        <v>1022</v>
      </c>
      <c r="B4444" s="26"/>
      <c r="C4444" s="26"/>
      <c r="D4444" s="26"/>
      <c r="E4444" s="26"/>
      <c r="F4444" s="26"/>
      <c r="G4444" s="26"/>
      <c r="H4444" s="27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1:26" ht="18.75" x14ac:dyDescent="0.3">
      <c r="A4445" s="3" t="s">
        <v>2</v>
      </c>
      <c r="B4445" s="3" t="s">
        <v>3</v>
      </c>
      <c r="C4445" s="3" t="s">
        <v>4</v>
      </c>
      <c r="D4445" s="3" t="s">
        <v>5</v>
      </c>
      <c r="E4445" s="3" t="s">
        <v>6</v>
      </c>
      <c r="F4445" s="4" t="s">
        <v>7</v>
      </c>
      <c r="G4445" s="3" t="s">
        <v>8</v>
      </c>
      <c r="H4445" s="5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1:26" ht="26.25" x14ac:dyDescent="0.4">
      <c r="A4446" s="6">
        <v>1</v>
      </c>
      <c r="B4446" s="20" t="s">
        <v>1023</v>
      </c>
      <c r="C4446" s="21" t="s">
        <v>1024</v>
      </c>
      <c r="D4446" s="8" t="s">
        <v>11</v>
      </c>
      <c r="E4446" s="20">
        <v>2.25</v>
      </c>
      <c r="F4446" s="9">
        <v>293000</v>
      </c>
      <c r="G4446" s="10">
        <f t="shared" ref="G4446:G4448" si="294">IFERROR(E4446*F4446,0)</f>
        <v>659250</v>
      </c>
      <c r="H4446" s="11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1:26" ht="26.25" x14ac:dyDescent="0.4">
      <c r="A4447" s="6">
        <v>2</v>
      </c>
      <c r="B4447" s="22" t="s">
        <v>175</v>
      </c>
      <c r="C4447" s="23" t="s">
        <v>1025</v>
      </c>
      <c r="D4447" s="13" t="s">
        <v>13</v>
      </c>
      <c r="E4447" s="22">
        <v>1.32</v>
      </c>
      <c r="F4447" s="14">
        <v>435000</v>
      </c>
      <c r="G4447" s="10">
        <f t="shared" si="294"/>
        <v>574200</v>
      </c>
      <c r="H4447" s="11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1:26" ht="26.25" x14ac:dyDescent="0.4">
      <c r="A4448" s="6">
        <v>3</v>
      </c>
      <c r="B4448" s="15" t="s">
        <v>14</v>
      </c>
      <c r="C4448" s="11"/>
      <c r="D4448" s="11"/>
      <c r="E4448" s="11"/>
      <c r="F4448" s="11"/>
      <c r="G4448" s="16">
        <f t="shared" si="294"/>
        <v>0</v>
      </c>
      <c r="H4448" s="11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1:26" ht="26.25" x14ac:dyDescent="0.4">
      <c r="A4449" s="29" t="s">
        <v>15</v>
      </c>
      <c r="B4449" s="26"/>
      <c r="C4449" s="26"/>
      <c r="D4449" s="26"/>
      <c r="E4449" s="26"/>
      <c r="F4449" s="26"/>
      <c r="G4449" s="27"/>
      <c r="H4449" s="17">
        <f>SUM(G4446:G4448)</f>
        <v>1233450</v>
      </c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1:26" ht="26.25" x14ac:dyDescent="0.4">
      <c r="A4450" s="29" t="s">
        <v>16</v>
      </c>
      <c r="B4450" s="26"/>
      <c r="C4450" s="26"/>
      <c r="D4450" s="26"/>
      <c r="E4450" s="26"/>
      <c r="F4450" s="26"/>
      <c r="G4450" s="27"/>
      <c r="H4450" s="17">
        <f>MAX(0,H4449-648000)</f>
        <v>585450</v>
      </c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1:26" ht="26.25" x14ac:dyDescent="0.4">
      <c r="A4451" s="25" t="s">
        <v>17</v>
      </c>
      <c r="B4451" s="26"/>
      <c r="C4451" s="26"/>
      <c r="D4451" s="26"/>
      <c r="E4451" s="26"/>
      <c r="F4451" s="26"/>
      <c r="G4451" s="27"/>
      <c r="H4451" s="18">
        <v>649000</v>
      </c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1:26" ht="26.25" x14ac:dyDescent="0.4">
      <c r="A4452" s="28" t="s">
        <v>18</v>
      </c>
      <c r="B4452" s="26"/>
      <c r="C4452" s="26"/>
      <c r="D4452" s="26"/>
      <c r="E4452" s="26"/>
      <c r="F4452" s="26"/>
      <c r="G4452" s="26"/>
      <c r="H4452" s="27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1:26" ht="12.75" x14ac:dyDescent="0.2"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7" spans="1:26" ht="15.75" customHeight="1" x14ac:dyDescent="0.4">
      <c r="A4457" s="28" t="s">
        <v>0</v>
      </c>
      <c r="B4457" s="26"/>
      <c r="C4457" s="26"/>
      <c r="D4457" s="26"/>
      <c r="E4457" s="26"/>
      <c r="F4457" s="26"/>
      <c r="G4457" s="26"/>
      <c r="H4457" s="27"/>
    </row>
    <row r="4458" spans="1:26" ht="29.25" customHeight="1" x14ac:dyDescent="0.4">
      <c r="A4458" s="28" t="s">
        <v>1026</v>
      </c>
      <c r="B4458" s="26"/>
      <c r="C4458" s="26"/>
      <c r="D4458" s="26"/>
      <c r="E4458" s="26"/>
      <c r="F4458" s="26"/>
      <c r="G4458" s="26"/>
      <c r="H4458" s="27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1:26" ht="18.75" x14ac:dyDescent="0.3">
      <c r="A4459" s="3" t="s">
        <v>2</v>
      </c>
      <c r="B4459" s="3" t="s">
        <v>3</v>
      </c>
      <c r="C4459" s="3" t="s">
        <v>4</v>
      </c>
      <c r="D4459" s="3" t="s">
        <v>5</v>
      </c>
      <c r="E4459" s="3" t="s">
        <v>6</v>
      </c>
      <c r="F4459" s="4" t="s">
        <v>7</v>
      </c>
      <c r="G4459" s="3" t="s">
        <v>8</v>
      </c>
      <c r="H4459" s="5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1:26" ht="26.25" x14ac:dyDescent="0.4">
      <c r="A4460" s="6">
        <v>1</v>
      </c>
      <c r="B4460" s="20" t="s">
        <v>375</v>
      </c>
      <c r="C4460" s="21" t="s">
        <v>1027</v>
      </c>
      <c r="D4460" s="8" t="s">
        <v>11</v>
      </c>
      <c r="E4460" s="20">
        <v>2</v>
      </c>
      <c r="F4460" s="9">
        <v>293000</v>
      </c>
      <c r="G4460" s="10">
        <f t="shared" ref="G4460:G4462" si="295">IFERROR(E4460*F4460,0)</f>
        <v>586000</v>
      </c>
      <c r="H4460" s="11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1:26" ht="26.25" x14ac:dyDescent="0.4">
      <c r="A4461" s="6">
        <v>2</v>
      </c>
      <c r="B4461" s="22" t="s">
        <v>12</v>
      </c>
      <c r="C4461" s="23" t="s">
        <v>1028</v>
      </c>
      <c r="D4461" s="13" t="s">
        <v>13</v>
      </c>
      <c r="E4461" s="22">
        <v>1.5</v>
      </c>
      <c r="F4461" s="14">
        <v>435000</v>
      </c>
      <c r="G4461" s="10">
        <f t="shared" si="295"/>
        <v>652500</v>
      </c>
      <c r="H4461" s="11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1:26" ht="26.25" x14ac:dyDescent="0.4">
      <c r="A4462" s="6">
        <v>3</v>
      </c>
      <c r="B4462" s="15" t="s">
        <v>14</v>
      </c>
      <c r="C4462" s="11"/>
      <c r="D4462" s="11"/>
      <c r="E4462" s="11"/>
      <c r="F4462" s="11"/>
      <c r="G4462" s="16">
        <f t="shared" si="295"/>
        <v>0</v>
      </c>
      <c r="H4462" s="11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1:26" ht="26.25" x14ac:dyDescent="0.4">
      <c r="A4463" s="29" t="s">
        <v>15</v>
      </c>
      <c r="B4463" s="26"/>
      <c r="C4463" s="26"/>
      <c r="D4463" s="26"/>
      <c r="E4463" s="26"/>
      <c r="F4463" s="26"/>
      <c r="G4463" s="27"/>
      <c r="H4463" s="17">
        <f>SUM(G4460:G4462)</f>
        <v>1238500</v>
      </c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1:26" ht="26.25" x14ac:dyDescent="0.4">
      <c r="A4464" s="29" t="s">
        <v>16</v>
      </c>
      <c r="B4464" s="26"/>
      <c r="C4464" s="26"/>
      <c r="D4464" s="26"/>
      <c r="E4464" s="26"/>
      <c r="F4464" s="26"/>
      <c r="G4464" s="27"/>
      <c r="H4464" s="17">
        <f>MAX(0,H4463-648000)</f>
        <v>590500</v>
      </c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1:26" ht="26.25" x14ac:dyDescent="0.4">
      <c r="A4465" s="25" t="s">
        <v>17</v>
      </c>
      <c r="B4465" s="26"/>
      <c r="C4465" s="26"/>
      <c r="D4465" s="26"/>
      <c r="E4465" s="26"/>
      <c r="F4465" s="26"/>
      <c r="G4465" s="27"/>
      <c r="H4465" s="18">
        <v>649000</v>
      </c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1:26" ht="26.25" x14ac:dyDescent="0.4">
      <c r="A4466" s="28" t="s">
        <v>18</v>
      </c>
      <c r="B4466" s="26"/>
      <c r="C4466" s="26"/>
      <c r="D4466" s="26"/>
      <c r="E4466" s="26"/>
      <c r="F4466" s="26"/>
      <c r="G4466" s="26"/>
      <c r="H4466" s="27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1:26" ht="12.75" x14ac:dyDescent="0.2"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71" spans="1:26" ht="29.25" customHeight="1" x14ac:dyDescent="0.4">
      <c r="A4471" s="28" t="s">
        <v>0</v>
      </c>
      <c r="B4471" s="26"/>
      <c r="C4471" s="26"/>
      <c r="D4471" s="26"/>
      <c r="E4471" s="26"/>
      <c r="F4471" s="26"/>
      <c r="G4471" s="26"/>
      <c r="H4471" s="27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1:26" ht="26.25" x14ac:dyDescent="0.4">
      <c r="A4472" s="28" t="s">
        <v>1029</v>
      </c>
      <c r="B4472" s="26"/>
      <c r="C4472" s="26"/>
      <c r="D4472" s="26"/>
      <c r="E4472" s="26"/>
      <c r="F4472" s="26"/>
      <c r="G4472" s="26"/>
      <c r="H4472" s="27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1:26" ht="18.75" x14ac:dyDescent="0.3">
      <c r="A4473" s="3" t="s">
        <v>2</v>
      </c>
      <c r="B4473" s="3" t="s">
        <v>3</v>
      </c>
      <c r="C4473" s="3" t="s">
        <v>4</v>
      </c>
      <c r="D4473" s="3" t="s">
        <v>5</v>
      </c>
      <c r="E4473" s="3" t="s">
        <v>6</v>
      </c>
      <c r="F4473" s="4" t="s">
        <v>7</v>
      </c>
      <c r="G4473" s="3" t="s">
        <v>8</v>
      </c>
      <c r="H4473" s="5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1:26" ht="26.25" x14ac:dyDescent="0.4">
      <c r="A4474" s="6">
        <v>1</v>
      </c>
      <c r="B4474" s="20" t="s">
        <v>1030</v>
      </c>
      <c r="C4474" s="21" t="s">
        <v>1031</v>
      </c>
      <c r="D4474" s="8" t="s">
        <v>11</v>
      </c>
      <c r="E4474" s="20">
        <v>2.7</v>
      </c>
      <c r="F4474" s="9">
        <v>293000</v>
      </c>
      <c r="G4474" s="10">
        <f t="shared" ref="G4474:G4476" si="296">IFERROR(E4474*F4474,0)</f>
        <v>791100</v>
      </c>
      <c r="H4474" s="11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1:26" ht="26.25" x14ac:dyDescent="0.4">
      <c r="A4475" s="6">
        <v>2</v>
      </c>
      <c r="B4475" s="22" t="s">
        <v>263</v>
      </c>
      <c r="C4475" s="23" t="s">
        <v>936</v>
      </c>
      <c r="D4475" s="13" t="s">
        <v>13</v>
      </c>
      <c r="E4475" s="22">
        <v>0.9</v>
      </c>
      <c r="F4475" s="14">
        <v>435000</v>
      </c>
      <c r="G4475" s="10">
        <f t="shared" si="296"/>
        <v>391500</v>
      </c>
      <c r="H4475" s="11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1:26" ht="26.25" x14ac:dyDescent="0.4">
      <c r="A4476" s="6">
        <v>3</v>
      </c>
      <c r="B4476" s="15" t="s">
        <v>14</v>
      </c>
      <c r="C4476" s="11"/>
      <c r="D4476" s="11"/>
      <c r="E4476" s="11"/>
      <c r="F4476" s="11"/>
      <c r="G4476" s="16">
        <f t="shared" si="296"/>
        <v>0</v>
      </c>
      <c r="H4476" s="11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1:26" ht="26.25" x14ac:dyDescent="0.4">
      <c r="A4477" s="29" t="s">
        <v>15</v>
      </c>
      <c r="B4477" s="26"/>
      <c r="C4477" s="26"/>
      <c r="D4477" s="26"/>
      <c r="E4477" s="26"/>
      <c r="F4477" s="26"/>
      <c r="G4477" s="27"/>
      <c r="H4477" s="17">
        <f>SUM(G4474:G4476)</f>
        <v>1182600</v>
      </c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1:26" ht="26.25" x14ac:dyDescent="0.4">
      <c r="A4478" s="29" t="s">
        <v>16</v>
      </c>
      <c r="B4478" s="26"/>
      <c r="C4478" s="26"/>
      <c r="D4478" s="26"/>
      <c r="E4478" s="26"/>
      <c r="F4478" s="26"/>
      <c r="G4478" s="27"/>
      <c r="H4478" s="17">
        <f>MAX(0,H4477-648000)</f>
        <v>534600</v>
      </c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1:26" ht="26.25" x14ac:dyDescent="0.4">
      <c r="A4479" s="25" t="s">
        <v>17</v>
      </c>
      <c r="B4479" s="26"/>
      <c r="C4479" s="26"/>
      <c r="D4479" s="26"/>
      <c r="E4479" s="26"/>
      <c r="F4479" s="26"/>
      <c r="G4479" s="27"/>
      <c r="H4479" s="18">
        <v>649000</v>
      </c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1:26" ht="26.25" x14ac:dyDescent="0.4">
      <c r="A4480" s="28" t="s">
        <v>18</v>
      </c>
      <c r="B4480" s="26"/>
      <c r="C4480" s="26"/>
      <c r="D4480" s="26"/>
      <c r="E4480" s="26"/>
      <c r="F4480" s="26"/>
      <c r="G4480" s="26"/>
      <c r="H4480" s="27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4" spans="1:26" ht="15.75" customHeight="1" x14ac:dyDescent="0.4">
      <c r="A4484" s="28" t="s">
        <v>0</v>
      </c>
      <c r="B4484" s="26"/>
      <c r="C4484" s="26"/>
      <c r="D4484" s="26"/>
      <c r="E4484" s="26"/>
      <c r="F4484" s="26"/>
      <c r="G4484" s="26"/>
      <c r="H4484" s="27"/>
    </row>
    <row r="4485" spans="1:26" ht="29.25" customHeight="1" x14ac:dyDescent="0.4">
      <c r="A4485" s="28" t="s">
        <v>1032</v>
      </c>
      <c r="B4485" s="26"/>
      <c r="C4485" s="26"/>
      <c r="D4485" s="26"/>
      <c r="E4485" s="26"/>
      <c r="F4485" s="26"/>
      <c r="G4485" s="26"/>
      <c r="H4485" s="27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1:26" ht="18.75" x14ac:dyDescent="0.3">
      <c r="A4486" s="3" t="s">
        <v>2</v>
      </c>
      <c r="B4486" s="3" t="s">
        <v>3</v>
      </c>
      <c r="C4486" s="3" t="s">
        <v>4</v>
      </c>
      <c r="D4486" s="3" t="s">
        <v>5</v>
      </c>
      <c r="E4486" s="3" t="s">
        <v>6</v>
      </c>
      <c r="F4486" s="4" t="s">
        <v>7</v>
      </c>
      <c r="G4486" s="3" t="s">
        <v>8</v>
      </c>
      <c r="H4486" s="5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1:26" ht="26.25" x14ac:dyDescent="0.4">
      <c r="A4487" s="6">
        <v>1</v>
      </c>
      <c r="B4487" s="20" t="s">
        <v>151</v>
      </c>
      <c r="C4487" s="21" t="s">
        <v>1033</v>
      </c>
      <c r="D4487" s="8" t="s">
        <v>11</v>
      </c>
      <c r="E4487" s="20">
        <v>2</v>
      </c>
      <c r="F4487" s="9">
        <v>293000</v>
      </c>
      <c r="G4487" s="10">
        <f t="shared" ref="G4487:G4489" si="297">IFERROR(E4487*F4487,0)</f>
        <v>586000</v>
      </c>
      <c r="H4487" s="11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1:26" ht="26.25" x14ac:dyDescent="0.4">
      <c r="A4488" s="6">
        <v>2</v>
      </c>
      <c r="B4488" s="22" t="s">
        <v>1034</v>
      </c>
      <c r="C4488" s="23" t="s">
        <v>1035</v>
      </c>
      <c r="D4488" s="13" t="s">
        <v>13</v>
      </c>
      <c r="E4488" s="22">
        <v>1.33</v>
      </c>
      <c r="F4488" s="14">
        <v>435000</v>
      </c>
      <c r="G4488" s="10">
        <f t="shared" si="297"/>
        <v>578550</v>
      </c>
      <c r="H4488" s="11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1:26" ht="26.25" x14ac:dyDescent="0.4">
      <c r="A4489" s="6">
        <v>3</v>
      </c>
      <c r="B4489" s="15" t="s">
        <v>14</v>
      </c>
      <c r="C4489" s="11"/>
      <c r="D4489" s="11"/>
      <c r="E4489" s="11"/>
      <c r="F4489" s="11"/>
      <c r="G4489" s="16">
        <f t="shared" si="297"/>
        <v>0</v>
      </c>
      <c r="H4489" s="11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1:26" ht="26.25" x14ac:dyDescent="0.4">
      <c r="A4490" s="29" t="s">
        <v>15</v>
      </c>
      <c r="B4490" s="26"/>
      <c r="C4490" s="26"/>
      <c r="D4490" s="26"/>
      <c r="E4490" s="26"/>
      <c r="F4490" s="26"/>
      <c r="G4490" s="27"/>
      <c r="H4490" s="17">
        <f>SUM(G4487:G4489)</f>
        <v>1164550</v>
      </c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1:26" ht="26.25" x14ac:dyDescent="0.4">
      <c r="A4491" s="29" t="s">
        <v>16</v>
      </c>
      <c r="B4491" s="26"/>
      <c r="C4491" s="26"/>
      <c r="D4491" s="26"/>
      <c r="E4491" s="26"/>
      <c r="F4491" s="26"/>
      <c r="G4491" s="27"/>
      <c r="H4491" s="17">
        <f>MAX(0,H4490-648000)</f>
        <v>516550</v>
      </c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1:26" ht="26.25" x14ac:dyDescent="0.4">
      <c r="A4492" s="25" t="s">
        <v>17</v>
      </c>
      <c r="B4492" s="26"/>
      <c r="C4492" s="26"/>
      <c r="D4492" s="26"/>
      <c r="E4492" s="26"/>
      <c r="F4492" s="26"/>
      <c r="G4492" s="27"/>
      <c r="H4492" s="18">
        <v>649000</v>
      </c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1:26" ht="26.25" x14ac:dyDescent="0.4">
      <c r="A4493" s="28" t="s">
        <v>18</v>
      </c>
      <c r="B4493" s="26"/>
      <c r="C4493" s="26"/>
      <c r="D4493" s="26"/>
      <c r="E4493" s="26"/>
      <c r="F4493" s="26"/>
      <c r="G4493" s="26"/>
      <c r="H4493" s="27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1:26" ht="12.75" x14ac:dyDescent="0.2"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8" spans="1:26" ht="15.75" customHeight="1" x14ac:dyDescent="0.4">
      <c r="A4498" s="28" t="s">
        <v>0</v>
      </c>
      <c r="B4498" s="26"/>
      <c r="C4498" s="26"/>
      <c r="D4498" s="26"/>
      <c r="E4498" s="26"/>
      <c r="F4498" s="26"/>
      <c r="G4498" s="26"/>
      <c r="H4498" s="27"/>
    </row>
    <row r="4499" spans="1:26" ht="29.25" customHeight="1" x14ac:dyDescent="0.4">
      <c r="A4499" s="28" t="s">
        <v>1036</v>
      </c>
      <c r="B4499" s="26"/>
      <c r="C4499" s="26"/>
      <c r="D4499" s="26"/>
      <c r="E4499" s="26"/>
      <c r="F4499" s="26"/>
      <c r="G4499" s="26"/>
      <c r="H4499" s="27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1:26" ht="18.75" x14ac:dyDescent="0.3">
      <c r="A4500" s="3" t="s">
        <v>2</v>
      </c>
      <c r="B4500" s="3" t="s">
        <v>3</v>
      </c>
      <c r="C4500" s="3" t="s">
        <v>4</v>
      </c>
      <c r="D4500" s="3" t="s">
        <v>5</v>
      </c>
      <c r="E4500" s="3" t="s">
        <v>6</v>
      </c>
      <c r="F4500" s="4" t="s">
        <v>7</v>
      </c>
      <c r="G4500" s="3" t="s">
        <v>8</v>
      </c>
      <c r="H4500" s="5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1:26" ht="26.25" x14ac:dyDescent="0.4">
      <c r="A4501" s="6">
        <v>1</v>
      </c>
      <c r="B4501" s="20" t="s">
        <v>41</v>
      </c>
      <c r="C4501" s="21" t="s">
        <v>1037</v>
      </c>
      <c r="D4501" s="8" t="s">
        <v>11</v>
      </c>
      <c r="E4501" s="20">
        <v>2.4300000000000002</v>
      </c>
      <c r="F4501" s="9">
        <v>293000</v>
      </c>
      <c r="G4501" s="10">
        <f t="shared" ref="G4501:G4503" si="298">IFERROR(E4501*F4501,0)</f>
        <v>711990</v>
      </c>
      <c r="H4501" s="11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1:26" ht="26.25" x14ac:dyDescent="0.4">
      <c r="A4502" s="6">
        <v>2</v>
      </c>
      <c r="B4502" s="22" t="s">
        <v>218</v>
      </c>
      <c r="C4502" s="23" t="s">
        <v>1038</v>
      </c>
      <c r="D4502" s="13" t="s">
        <v>13</v>
      </c>
      <c r="E4502" s="22">
        <v>0.96</v>
      </c>
      <c r="F4502" s="14">
        <v>435000</v>
      </c>
      <c r="G4502" s="10">
        <f t="shared" si="298"/>
        <v>417600</v>
      </c>
      <c r="H4502" s="11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1:26" ht="26.25" x14ac:dyDescent="0.4">
      <c r="A4503" s="6">
        <v>3</v>
      </c>
      <c r="B4503" s="15" t="s">
        <v>14</v>
      </c>
      <c r="C4503" s="11"/>
      <c r="D4503" s="11"/>
      <c r="E4503" s="11"/>
      <c r="F4503" s="11"/>
      <c r="G4503" s="16">
        <f t="shared" si="298"/>
        <v>0</v>
      </c>
      <c r="H4503" s="11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1:26" ht="26.25" x14ac:dyDescent="0.4">
      <c r="A4504" s="29" t="s">
        <v>15</v>
      </c>
      <c r="B4504" s="26"/>
      <c r="C4504" s="26"/>
      <c r="D4504" s="26"/>
      <c r="E4504" s="26"/>
      <c r="F4504" s="26"/>
      <c r="G4504" s="27"/>
      <c r="H4504" s="17">
        <f>SUM(G4501:G4503)</f>
        <v>1129590</v>
      </c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1:26" ht="26.25" x14ac:dyDescent="0.4">
      <c r="A4505" s="29" t="s">
        <v>16</v>
      </c>
      <c r="B4505" s="26"/>
      <c r="C4505" s="26"/>
      <c r="D4505" s="26"/>
      <c r="E4505" s="26"/>
      <c r="F4505" s="26"/>
      <c r="G4505" s="27"/>
      <c r="H4505" s="17">
        <f>MAX(0,H4504-648000)</f>
        <v>481590</v>
      </c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1:26" ht="26.25" x14ac:dyDescent="0.4">
      <c r="A4506" s="25" t="s">
        <v>17</v>
      </c>
      <c r="B4506" s="26"/>
      <c r="C4506" s="26"/>
      <c r="D4506" s="26"/>
      <c r="E4506" s="26"/>
      <c r="F4506" s="26"/>
      <c r="G4506" s="27"/>
      <c r="H4506" s="18">
        <v>649000</v>
      </c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1:26" ht="26.25" x14ac:dyDescent="0.4">
      <c r="A4507" s="28" t="s">
        <v>18</v>
      </c>
      <c r="B4507" s="26"/>
      <c r="C4507" s="26"/>
      <c r="D4507" s="26"/>
      <c r="E4507" s="26"/>
      <c r="F4507" s="26"/>
      <c r="G4507" s="26"/>
      <c r="H4507" s="27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1:26" ht="12.75" x14ac:dyDescent="0.2"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12" spans="1:26" ht="15.75" customHeight="1" x14ac:dyDescent="0.4">
      <c r="A4512" s="28" t="s">
        <v>0</v>
      </c>
      <c r="B4512" s="26"/>
      <c r="C4512" s="26"/>
      <c r="D4512" s="26"/>
      <c r="E4512" s="26"/>
      <c r="F4512" s="26"/>
      <c r="G4512" s="26"/>
      <c r="H4512" s="27"/>
    </row>
    <row r="4513" spans="1:26" ht="29.25" customHeight="1" x14ac:dyDescent="0.4">
      <c r="A4513" s="28" t="s">
        <v>1039</v>
      </c>
      <c r="B4513" s="26"/>
      <c r="C4513" s="26"/>
      <c r="D4513" s="26"/>
      <c r="E4513" s="26"/>
      <c r="F4513" s="26"/>
      <c r="G4513" s="26"/>
      <c r="H4513" s="27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spans="1:26" ht="18.75" x14ac:dyDescent="0.3">
      <c r="A4514" s="3" t="s">
        <v>2</v>
      </c>
      <c r="B4514" s="3" t="s">
        <v>3</v>
      </c>
      <c r="C4514" s="3" t="s">
        <v>4</v>
      </c>
      <c r="D4514" s="3" t="s">
        <v>5</v>
      </c>
      <c r="E4514" s="3" t="s">
        <v>6</v>
      </c>
      <c r="F4514" s="4" t="s">
        <v>7</v>
      </c>
      <c r="G4514" s="3" t="s">
        <v>8</v>
      </c>
      <c r="H4514" s="5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spans="1:26" ht="26.25" x14ac:dyDescent="0.4">
      <c r="A4515" s="6">
        <v>1</v>
      </c>
      <c r="B4515" s="20" t="s">
        <v>137</v>
      </c>
      <c r="C4515" s="21" t="s">
        <v>21</v>
      </c>
      <c r="D4515" s="8" t="s">
        <v>11</v>
      </c>
      <c r="E4515" s="20">
        <v>2.93</v>
      </c>
      <c r="F4515" s="9">
        <v>293000</v>
      </c>
      <c r="G4515" s="10">
        <f t="shared" ref="G4515:G4517" si="299">IFERROR(E4515*F4515,0)</f>
        <v>858490</v>
      </c>
      <c r="H4515" s="11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spans="1:26" ht="26.25" x14ac:dyDescent="0.4">
      <c r="A4516" s="6">
        <v>2</v>
      </c>
      <c r="B4516" s="22" t="s">
        <v>74</v>
      </c>
      <c r="C4516" s="23" t="s">
        <v>1040</v>
      </c>
      <c r="D4516" s="13" t="s">
        <v>13</v>
      </c>
      <c r="E4516" s="22">
        <v>0.73</v>
      </c>
      <c r="F4516" s="14">
        <v>435000</v>
      </c>
      <c r="G4516" s="10">
        <f t="shared" si="299"/>
        <v>317550</v>
      </c>
      <c r="H4516" s="11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1:26" ht="26.25" x14ac:dyDescent="0.4">
      <c r="A4517" s="6">
        <v>3</v>
      </c>
      <c r="B4517" s="15" t="s">
        <v>14</v>
      </c>
      <c r="C4517" s="11"/>
      <c r="D4517" s="11"/>
      <c r="E4517" s="11"/>
      <c r="F4517" s="11"/>
      <c r="G4517" s="16">
        <f t="shared" si="299"/>
        <v>0</v>
      </c>
      <c r="H4517" s="11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1:26" ht="26.25" x14ac:dyDescent="0.4">
      <c r="A4518" s="29" t="s">
        <v>15</v>
      </c>
      <c r="B4518" s="26"/>
      <c r="C4518" s="26"/>
      <c r="D4518" s="26"/>
      <c r="E4518" s="26"/>
      <c r="F4518" s="26"/>
      <c r="G4518" s="27"/>
      <c r="H4518" s="17">
        <f>SUM(G4515:G4517)</f>
        <v>1176040</v>
      </c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1:26" ht="26.25" x14ac:dyDescent="0.4">
      <c r="A4519" s="29" t="s">
        <v>16</v>
      </c>
      <c r="B4519" s="26"/>
      <c r="C4519" s="26"/>
      <c r="D4519" s="26"/>
      <c r="E4519" s="26"/>
      <c r="F4519" s="26"/>
      <c r="G4519" s="27"/>
      <c r="H4519" s="17">
        <f>MAX(0,H4518-648000)</f>
        <v>528040</v>
      </c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1:26" ht="26.25" x14ac:dyDescent="0.4">
      <c r="A4520" s="25" t="s">
        <v>17</v>
      </c>
      <c r="B4520" s="26"/>
      <c r="C4520" s="26"/>
      <c r="D4520" s="26"/>
      <c r="E4520" s="26"/>
      <c r="F4520" s="26"/>
      <c r="G4520" s="27"/>
      <c r="H4520" s="18">
        <v>649000</v>
      </c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1:26" ht="26.25" x14ac:dyDescent="0.4">
      <c r="A4521" s="28" t="s">
        <v>18</v>
      </c>
      <c r="B4521" s="26"/>
      <c r="C4521" s="26"/>
      <c r="D4521" s="26"/>
      <c r="E4521" s="26"/>
      <c r="F4521" s="26"/>
      <c r="G4521" s="26"/>
      <c r="H4521" s="27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1:26" ht="12.75" x14ac:dyDescent="0.2"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6" spans="1:26" ht="15.75" customHeight="1" x14ac:dyDescent="0.4">
      <c r="A4526" s="28" t="s">
        <v>0</v>
      </c>
      <c r="B4526" s="26"/>
      <c r="C4526" s="26"/>
      <c r="D4526" s="26"/>
      <c r="E4526" s="26"/>
      <c r="F4526" s="26"/>
      <c r="G4526" s="26"/>
      <c r="H4526" s="27"/>
    </row>
    <row r="4527" spans="1:26" ht="29.25" customHeight="1" x14ac:dyDescent="0.4">
      <c r="A4527" s="28" t="s">
        <v>1041</v>
      </c>
      <c r="B4527" s="26"/>
      <c r="C4527" s="26"/>
      <c r="D4527" s="26"/>
      <c r="E4527" s="26"/>
      <c r="F4527" s="26"/>
      <c r="G4527" s="26"/>
      <c r="H4527" s="27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1:26" ht="18.75" x14ac:dyDescent="0.3">
      <c r="A4528" s="3" t="s">
        <v>2</v>
      </c>
      <c r="B4528" s="3" t="s">
        <v>3</v>
      </c>
      <c r="C4528" s="3" t="s">
        <v>4</v>
      </c>
      <c r="D4528" s="3" t="s">
        <v>5</v>
      </c>
      <c r="E4528" s="3" t="s">
        <v>6</v>
      </c>
      <c r="F4528" s="4" t="s">
        <v>7</v>
      </c>
      <c r="G4528" s="3" t="s">
        <v>8</v>
      </c>
      <c r="H4528" s="5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1:26" ht="26.25" x14ac:dyDescent="0.4">
      <c r="A4529" s="6">
        <v>1</v>
      </c>
      <c r="B4529" s="20" t="s">
        <v>22</v>
      </c>
      <c r="C4529" s="21" t="s">
        <v>1042</v>
      </c>
      <c r="D4529" s="8" t="s">
        <v>11</v>
      </c>
      <c r="E4529" s="20">
        <v>3</v>
      </c>
      <c r="F4529" s="9">
        <v>293000</v>
      </c>
      <c r="G4529" s="10">
        <f t="shared" ref="G4529:G4531" si="300">IFERROR(E4529*F4529,0)</f>
        <v>879000</v>
      </c>
      <c r="H4529" s="11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1:26" ht="26.25" x14ac:dyDescent="0.4">
      <c r="A4530" s="6">
        <v>2</v>
      </c>
      <c r="B4530" s="22" t="s">
        <v>197</v>
      </c>
      <c r="C4530" s="23">
        <v>4206</v>
      </c>
      <c r="D4530" s="13" t="s">
        <v>13</v>
      </c>
      <c r="E4530" s="22">
        <v>0.44</v>
      </c>
      <c r="F4530" s="14">
        <v>435000</v>
      </c>
      <c r="G4530" s="10">
        <f t="shared" si="300"/>
        <v>191400</v>
      </c>
      <c r="H4530" s="11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1:26" ht="26.25" x14ac:dyDescent="0.4">
      <c r="A4531" s="6">
        <v>3</v>
      </c>
      <c r="B4531" s="15" t="s">
        <v>14</v>
      </c>
      <c r="C4531" s="11"/>
      <c r="D4531" s="11"/>
      <c r="E4531" s="11"/>
      <c r="F4531" s="11"/>
      <c r="G4531" s="16">
        <f t="shared" si="300"/>
        <v>0</v>
      </c>
      <c r="H4531" s="11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1:26" ht="26.25" x14ac:dyDescent="0.4">
      <c r="A4532" s="29" t="s">
        <v>15</v>
      </c>
      <c r="B4532" s="26"/>
      <c r="C4532" s="26"/>
      <c r="D4532" s="26"/>
      <c r="E4532" s="26"/>
      <c r="F4532" s="26"/>
      <c r="G4532" s="27"/>
      <c r="H4532" s="17">
        <f>SUM(G4529:G4531)</f>
        <v>1070400</v>
      </c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1:26" ht="26.25" x14ac:dyDescent="0.4">
      <c r="A4533" s="29" t="s">
        <v>16</v>
      </c>
      <c r="B4533" s="26"/>
      <c r="C4533" s="26"/>
      <c r="D4533" s="26"/>
      <c r="E4533" s="26"/>
      <c r="F4533" s="26"/>
      <c r="G4533" s="27"/>
      <c r="H4533" s="17">
        <f>MAX(0,H4532-648000)</f>
        <v>422400</v>
      </c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1:26" ht="26.25" x14ac:dyDescent="0.4">
      <c r="A4534" s="25" t="s">
        <v>17</v>
      </c>
      <c r="B4534" s="26"/>
      <c r="C4534" s="26"/>
      <c r="D4534" s="26"/>
      <c r="E4534" s="26"/>
      <c r="F4534" s="26"/>
      <c r="G4534" s="27"/>
      <c r="H4534" s="18">
        <v>649000</v>
      </c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1:26" ht="26.25" x14ac:dyDescent="0.4">
      <c r="A4535" s="28" t="s">
        <v>18</v>
      </c>
      <c r="B4535" s="26"/>
      <c r="C4535" s="26"/>
      <c r="D4535" s="26"/>
      <c r="E4535" s="26"/>
      <c r="F4535" s="26"/>
      <c r="G4535" s="26"/>
      <c r="H4535" s="27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1:26" ht="12.75" x14ac:dyDescent="0.2"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40" spans="1:26" ht="15.75" customHeight="1" x14ac:dyDescent="0.4">
      <c r="A4540" s="28" t="s">
        <v>0</v>
      </c>
      <c r="B4540" s="26"/>
      <c r="C4540" s="26"/>
      <c r="D4540" s="26"/>
      <c r="E4540" s="26"/>
      <c r="F4540" s="26"/>
      <c r="G4540" s="26"/>
      <c r="H4540" s="27"/>
    </row>
    <row r="4541" spans="1:26" ht="29.25" customHeight="1" x14ac:dyDescent="0.4">
      <c r="A4541" s="28" t="s">
        <v>1043</v>
      </c>
      <c r="B4541" s="26"/>
      <c r="C4541" s="26"/>
      <c r="D4541" s="26"/>
      <c r="E4541" s="26"/>
      <c r="F4541" s="26"/>
      <c r="G4541" s="26"/>
      <c r="H4541" s="27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1:26" ht="18.75" x14ac:dyDescent="0.3">
      <c r="A4542" s="3" t="s">
        <v>2</v>
      </c>
      <c r="B4542" s="3" t="s">
        <v>3</v>
      </c>
      <c r="C4542" s="3" t="s">
        <v>4</v>
      </c>
      <c r="D4542" s="3" t="s">
        <v>5</v>
      </c>
      <c r="E4542" s="3" t="s">
        <v>6</v>
      </c>
      <c r="F4542" s="4" t="s">
        <v>7</v>
      </c>
      <c r="G4542" s="3" t="s">
        <v>8</v>
      </c>
      <c r="H4542" s="5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1:26" ht="26.25" x14ac:dyDescent="0.4">
      <c r="A4543" s="6">
        <v>1</v>
      </c>
      <c r="B4543" s="20" t="s">
        <v>383</v>
      </c>
      <c r="C4543" s="21" t="s">
        <v>1044</v>
      </c>
      <c r="D4543" s="8" t="s">
        <v>11</v>
      </c>
      <c r="E4543" s="20">
        <v>3</v>
      </c>
      <c r="F4543" s="9">
        <v>293000</v>
      </c>
      <c r="G4543" s="10">
        <f t="shared" ref="G4543:G4545" si="301">IFERROR(E4543*F4543,0)</f>
        <v>879000</v>
      </c>
      <c r="H4543" s="11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1:26" ht="26.25" x14ac:dyDescent="0.4">
      <c r="A4544" s="6">
        <v>2</v>
      </c>
      <c r="B4544" s="22" t="s">
        <v>331</v>
      </c>
      <c r="C4544" s="23" t="s">
        <v>1045</v>
      </c>
      <c r="D4544" s="13" t="s">
        <v>13</v>
      </c>
      <c r="E4544" s="22">
        <v>0.56999999999999995</v>
      </c>
      <c r="F4544" s="14">
        <v>435000</v>
      </c>
      <c r="G4544" s="10">
        <f t="shared" si="301"/>
        <v>247949.99999999997</v>
      </c>
      <c r="H4544" s="11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1:26" ht="26.25" x14ac:dyDescent="0.4">
      <c r="A4545" s="6">
        <v>3</v>
      </c>
      <c r="B4545" s="15" t="s">
        <v>14</v>
      </c>
      <c r="C4545" s="11"/>
      <c r="D4545" s="11"/>
      <c r="E4545" s="11"/>
      <c r="F4545" s="11"/>
      <c r="G4545" s="16">
        <f t="shared" si="301"/>
        <v>0</v>
      </c>
      <c r="H4545" s="11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1:26" ht="26.25" x14ac:dyDescent="0.4">
      <c r="A4546" s="29" t="s">
        <v>15</v>
      </c>
      <c r="B4546" s="26"/>
      <c r="C4546" s="26"/>
      <c r="D4546" s="26"/>
      <c r="E4546" s="26"/>
      <c r="F4546" s="26"/>
      <c r="G4546" s="27"/>
      <c r="H4546" s="17">
        <f>SUM(G4543:G4545)</f>
        <v>1126950</v>
      </c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1:26" ht="26.25" x14ac:dyDescent="0.4">
      <c r="A4547" s="29" t="s">
        <v>16</v>
      </c>
      <c r="B4547" s="26"/>
      <c r="C4547" s="26"/>
      <c r="D4547" s="26"/>
      <c r="E4547" s="26"/>
      <c r="F4547" s="26"/>
      <c r="G4547" s="27"/>
      <c r="H4547" s="17">
        <f>MAX(0,H4546-648000)</f>
        <v>478950</v>
      </c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1:26" ht="26.25" x14ac:dyDescent="0.4">
      <c r="A4548" s="25" t="s">
        <v>17</v>
      </c>
      <c r="B4548" s="26"/>
      <c r="C4548" s="26"/>
      <c r="D4548" s="26"/>
      <c r="E4548" s="26"/>
      <c r="F4548" s="26"/>
      <c r="G4548" s="27"/>
      <c r="H4548" s="18">
        <v>649000</v>
      </c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1:26" ht="26.25" x14ac:dyDescent="0.4">
      <c r="A4549" s="28" t="s">
        <v>18</v>
      </c>
      <c r="B4549" s="26"/>
      <c r="C4549" s="26"/>
      <c r="D4549" s="26"/>
      <c r="E4549" s="26"/>
      <c r="F4549" s="26"/>
      <c r="G4549" s="26"/>
      <c r="H4549" s="27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1:26" ht="12.75" x14ac:dyDescent="0.2"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4" spans="1:26" ht="15.75" customHeight="1" x14ac:dyDescent="0.4">
      <c r="A4554" s="28" t="s">
        <v>0</v>
      </c>
      <c r="B4554" s="26"/>
      <c r="C4554" s="26"/>
      <c r="D4554" s="26"/>
      <c r="E4554" s="26"/>
      <c r="F4554" s="26"/>
      <c r="G4554" s="26"/>
      <c r="H4554" s="27"/>
    </row>
    <row r="4555" spans="1:26" ht="29.25" customHeight="1" x14ac:dyDescent="0.4">
      <c r="A4555" s="28" t="s">
        <v>1046</v>
      </c>
      <c r="B4555" s="26"/>
      <c r="C4555" s="26"/>
      <c r="D4555" s="26"/>
      <c r="E4555" s="26"/>
      <c r="F4555" s="26"/>
      <c r="G4555" s="26"/>
      <c r="H4555" s="27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1:26" ht="18.75" x14ac:dyDescent="0.3">
      <c r="A4556" s="3" t="s">
        <v>2</v>
      </c>
      <c r="B4556" s="3" t="s">
        <v>3</v>
      </c>
      <c r="C4556" s="3" t="s">
        <v>4</v>
      </c>
      <c r="D4556" s="3" t="s">
        <v>5</v>
      </c>
      <c r="E4556" s="3" t="s">
        <v>6</v>
      </c>
      <c r="F4556" s="4" t="s">
        <v>7</v>
      </c>
      <c r="G4556" s="3" t="s">
        <v>8</v>
      </c>
      <c r="H4556" s="5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1:26" ht="26.25" x14ac:dyDescent="0.4">
      <c r="A4557" s="6">
        <v>1</v>
      </c>
      <c r="B4557" s="20" t="s">
        <v>48</v>
      </c>
      <c r="C4557" s="21" t="s">
        <v>1047</v>
      </c>
      <c r="D4557" s="8" t="s">
        <v>11</v>
      </c>
      <c r="E4557" s="20">
        <v>1.48</v>
      </c>
      <c r="F4557" s="9">
        <v>293000</v>
      </c>
      <c r="G4557" s="10">
        <f t="shared" ref="G4557:G4559" si="302">IFERROR(E4557*F4557,0)</f>
        <v>433640</v>
      </c>
      <c r="H4557" s="11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1:26" ht="26.25" x14ac:dyDescent="0.4">
      <c r="A4558" s="6">
        <v>2</v>
      </c>
      <c r="B4558" s="22" t="s">
        <v>27</v>
      </c>
      <c r="C4558" s="23" t="s">
        <v>1048</v>
      </c>
      <c r="D4558" s="13" t="s">
        <v>13</v>
      </c>
      <c r="E4558" s="22">
        <v>1.87</v>
      </c>
      <c r="F4558" s="14">
        <v>435000</v>
      </c>
      <c r="G4558" s="10">
        <f t="shared" si="302"/>
        <v>813450</v>
      </c>
      <c r="H4558" s="11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1:26" ht="26.25" x14ac:dyDescent="0.4">
      <c r="A4559" s="6">
        <v>3</v>
      </c>
      <c r="B4559" s="15" t="s">
        <v>14</v>
      </c>
      <c r="C4559" s="11"/>
      <c r="D4559" s="11"/>
      <c r="E4559" s="11" t="s">
        <v>70</v>
      </c>
      <c r="F4559" s="11"/>
      <c r="G4559" s="16">
        <f t="shared" si="302"/>
        <v>0</v>
      </c>
      <c r="H4559" s="11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1:26" ht="26.25" x14ac:dyDescent="0.4">
      <c r="A4560" s="29" t="s">
        <v>15</v>
      </c>
      <c r="B4560" s="26"/>
      <c r="C4560" s="26"/>
      <c r="D4560" s="26"/>
      <c r="E4560" s="26"/>
      <c r="F4560" s="26"/>
      <c r="G4560" s="27"/>
      <c r="H4560" s="17">
        <f>SUM(G4557:G4559)</f>
        <v>1247090</v>
      </c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1:26" ht="26.25" x14ac:dyDescent="0.4">
      <c r="A4561" s="29" t="s">
        <v>16</v>
      </c>
      <c r="B4561" s="26"/>
      <c r="C4561" s="26"/>
      <c r="D4561" s="26"/>
      <c r="E4561" s="26"/>
      <c r="F4561" s="26"/>
      <c r="G4561" s="27"/>
      <c r="H4561" s="17">
        <f>MAX(0,H4560-648000)</f>
        <v>599090</v>
      </c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1:26" ht="26.25" x14ac:dyDescent="0.4">
      <c r="A4562" s="25" t="s">
        <v>17</v>
      </c>
      <c r="B4562" s="26"/>
      <c r="C4562" s="26"/>
      <c r="D4562" s="26"/>
      <c r="E4562" s="26"/>
      <c r="F4562" s="26"/>
      <c r="G4562" s="27"/>
      <c r="H4562" s="18">
        <v>649000</v>
      </c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1:26" ht="26.25" x14ac:dyDescent="0.4">
      <c r="A4563" s="28" t="s">
        <v>18</v>
      </c>
      <c r="B4563" s="26"/>
      <c r="C4563" s="26"/>
      <c r="D4563" s="26"/>
      <c r="E4563" s="26"/>
      <c r="F4563" s="26"/>
      <c r="G4563" s="26"/>
      <c r="H4563" s="27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1:26" ht="12.75" x14ac:dyDescent="0.2"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8" spans="1:26" ht="15.75" customHeight="1" x14ac:dyDescent="0.4">
      <c r="A4568" s="28" t="s">
        <v>0</v>
      </c>
      <c r="B4568" s="26"/>
      <c r="C4568" s="26"/>
      <c r="D4568" s="26"/>
      <c r="E4568" s="26"/>
      <c r="F4568" s="26"/>
      <c r="G4568" s="26"/>
      <c r="H4568" s="27"/>
    </row>
    <row r="4569" spans="1:26" ht="29.25" customHeight="1" x14ac:dyDescent="0.4">
      <c r="A4569" s="28" t="s">
        <v>1049</v>
      </c>
      <c r="B4569" s="26"/>
      <c r="C4569" s="26"/>
      <c r="D4569" s="26"/>
      <c r="E4569" s="26"/>
      <c r="F4569" s="26"/>
      <c r="G4569" s="26"/>
      <c r="H4569" s="27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1:26" ht="18.75" x14ac:dyDescent="0.3">
      <c r="A4570" s="3" t="s">
        <v>2</v>
      </c>
      <c r="B4570" s="3" t="s">
        <v>3</v>
      </c>
      <c r="C4570" s="3" t="s">
        <v>4</v>
      </c>
      <c r="D4570" s="3" t="s">
        <v>5</v>
      </c>
      <c r="E4570" s="3" t="s">
        <v>6</v>
      </c>
      <c r="F4570" s="4" t="s">
        <v>7</v>
      </c>
      <c r="G4570" s="3" t="s">
        <v>8</v>
      </c>
      <c r="H4570" s="5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1:26" ht="26.25" x14ac:dyDescent="0.4">
      <c r="A4571" s="6">
        <v>1</v>
      </c>
      <c r="B4571" s="20" t="s">
        <v>621</v>
      </c>
      <c r="C4571" s="21" t="s">
        <v>1050</v>
      </c>
      <c r="D4571" s="8" t="s">
        <v>11</v>
      </c>
      <c r="E4571" s="20">
        <v>2</v>
      </c>
      <c r="F4571" s="9">
        <v>293000</v>
      </c>
      <c r="G4571" s="10">
        <f t="shared" ref="G4571:G4573" si="303">IFERROR(E4571*F4571,0)</f>
        <v>586000</v>
      </c>
      <c r="H4571" s="11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1:26" ht="26.25" x14ac:dyDescent="0.4">
      <c r="A4572" s="6">
        <v>2</v>
      </c>
      <c r="B4572" s="22" t="s">
        <v>1051</v>
      </c>
      <c r="C4572" s="23" t="s">
        <v>936</v>
      </c>
      <c r="D4572" s="13" t="s">
        <v>13</v>
      </c>
      <c r="E4572" s="22">
        <v>1.46</v>
      </c>
      <c r="F4572" s="14">
        <v>435000</v>
      </c>
      <c r="G4572" s="10">
        <f t="shared" si="303"/>
        <v>635100</v>
      </c>
      <c r="H4572" s="11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1:26" ht="26.25" x14ac:dyDescent="0.4">
      <c r="A4573" s="6">
        <v>3</v>
      </c>
      <c r="B4573" s="15" t="s">
        <v>14</v>
      </c>
      <c r="C4573" s="11"/>
      <c r="D4573" s="11"/>
      <c r="E4573" s="11"/>
      <c r="F4573" s="11"/>
      <c r="G4573" s="16">
        <f t="shared" si="303"/>
        <v>0</v>
      </c>
      <c r="H4573" s="11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1:26" ht="26.25" x14ac:dyDescent="0.4">
      <c r="A4574" s="29" t="s">
        <v>15</v>
      </c>
      <c r="B4574" s="26"/>
      <c r="C4574" s="26"/>
      <c r="D4574" s="26"/>
      <c r="E4574" s="26"/>
      <c r="F4574" s="26"/>
      <c r="G4574" s="27"/>
      <c r="H4574" s="17">
        <f>SUM(G4571:G4573)</f>
        <v>1221100</v>
      </c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1:26" ht="26.25" x14ac:dyDescent="0.4">
      <c r="A4575" s="29" t="s">
        <v>16</v>
      </c>
      <c r="B4575" s="26"/>
      <c r="C4575" s="26"/>
      <c r="D4575" s="26"/>
      <c r="E4575" s="26"/>
      <c r="F4575" s="26"/>
      <c r="G4575" s="27"/>
      <c r="H4575" s="17">
        <f>MAX(0,H4574-648000)</f>
        <v>573100</v>
      </c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1:26" ht="26.25" x14ac:dyDescent="0.4">
      <c r="A4576" s="25" t="s">
        <v>17</v>
      </c>
      <c r="B4576" s="26"/>
      <c r="C4576" s="26"/>
      <c r="D4576" s="26"/>
      <c r="E4576" s="26"/>
      <c r="F4576" s="26"/>
      <c r="G4576" s="27"/>
      <c r="H4576" s="18">
        <v>649000</v>
      </c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1:26" ht="26.25" x14ac:dyDescent="0.4">
      <c r="A4577" s="28" t="s">
        <v>18</v>
      </c>
      <c r="B4577" s="26"/>
      <c r="C4577" s="26"/>
      <c r="D4577" s="26"/>
      <c r="E4577" s="26"/>
      <c r="F4577" s="26"/>
      <c r="G4577" s="26"/>
      <c r="H4577" s="27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1:26" ht="12.75" x14ac:dyDescent="0.2"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82" spans="1:26" ht="15.75" customHeight="1" x14ac:dyDescent="0.4">
      <c r="A4582" s="28" t="s">
        <v>0</v>
      </c>
      <c r="B4582" s="26"/>
      <c r="C4582" s="26"/>
      <c r="D4582" s="26"/>
      <c r="E4582" s="26"/>
      <c r="F4582" s="26"/>
      <c r="G4582" s="26"/>
      <c r="H4582" s="27"/>
    </row>
    <row r="4583" spans="1:26" ht="29.25" customHeight="1" x14ac:dyDescent="0.4">
      <c r="A4583" s="28" t="s">
        <v>1052</v>
      </c>
      <c r="B4583" s="26"/>
      <c r="C4583" s="26"/>
      <c r="D4583" s="26"/>
      <c r="E4583" s="26"/>
      <c r="F4583" s="26"/>
      <c r="G4583" s="26"/>
      <c r="H4583" s="27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1:26" ht="18.75" x14ac:dyDescent="0.3">
      <c r="A4584" s="3" t="s">
        <v>2</v>
      </c>
      <c r="B4584" s="3" t="s">
        <v>3</v>
      </c>
      <c r="C4584" s="3" t="s">
        <v>4</v>
      </c>
      <c r="D4584" s="3" t="s">
        <v>5</v>
      </c>
      <c r="E4584" s="3" t="s">
        <v>6</v>
      </c>
      <c r="F4584" s="4" t="s">
        <v>7</v>
      </c>
      <c r="G4584" s="3" t="s">
        <v>8</v>
      </c>
      <c r="H4584" s="5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1:26" ht="26.25" x14ac:dyDescent="0.4">
      <c r="A4585" s="6">
        <v>1</v>
      </c>
      <c r="B4585" s="20" t="s">
        <v>27</v>
      </c>
      <c r="C4585" s="21" t="s">
        <v>1053</v>
      </c>
      <c r="D4585" s="8" t="s">
        <v>11</v>
      </c>
      <c r="E4585" s="20">
        <v>1.8</v>
      </c>
      <c r="F4585" s="9">
        <v>293000</v>
      </c>
      <c r="G4585" s="10">
        <f t="shared" ref="G4585:G4587" si="304">IFERROR(E4585*F4585,0)</f>
        <v>527400</v>
      </c>
      <c r="H4585" s="11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1:26" ht="26.25" x14ac:dyDescent="0.4">
      <c r="A4586" s="6">
        <v>2</v>
      </c>
      <c r="B4586" s="22" t="s">
        <v>131</v>
      </c>
      <c r="C4586" s="23" t="s">
        <v>1054</v>
      </c>
      <c r="D4586" s="13" t="s">
        <v>13</v>
      </c>
      <c r="E4586" s="22">
        <v>1.59</v>
      </c>
      <c r="F4586" s="14">
        <v>435000</v>
      </c>
      <c r="G4586" s="10">
        <f t="shared" si="304"/>
        <v>691650</v>
      </c>
      <c r="H4586" s="11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1:26" ht="26.25" x14ac:dyDescent="0.4">
      <c r="A4587" s="6">
        <v>3</v>
      </c>
      <c r="B4587" s="15" t="s">
        <v>14</v>
      </c>
      <c r="C4587" s="11"/>
      <c r="D4587" s="11"/>
      <c r="E4587" s="11"/>
      <c r="F4587" s="11"/>
      <c r="G4587" s="16">
        <f t="shared" si="304"/>
        <v>0</v>
      </c>
      <c r="H4587" s="11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1:26" ht="26.25" x14ac:dyDescent="0.4">
      <c r="A4588" s="29" t="s">
        <v>15</v>
      </c>
      <c r="B4588" s="26"/>
      <c r="C4588" s="26"/>
      <c r="D4588" s="26"/>
      <c r="E4588" s="26"/>
      <c r="F4588" s="26"/>
      <c r="G4588" s="27"/>
      <c r="H4588" s="17">
        <f>SUM(G4585:G4587)</f>
        <v>1219050</v>
      </c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1:26" ht="26.25" x14ac:dyDescent="0.4">
      <c r="A4589" s="29" t="s">
        <v>16</v>
      </c>
      <c r="B4589" s="26"/>
      <c r="C4589" s="26"/>
      <c r="D4589" s="26"/>
      <c r="E4589" s="26"/>
      <c r="F4589" s="26"/>
      <c r="G4589" s="27"/>
      <c r="H4589" s="17">
        <f>MAX(0,H4588-648000)</f>
        <v>571050</v>
      </c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1:26" ht="26.25" x14ac:dyDescent="0.4">
      <c r="A4590" s="25" t="s">
        <v>17</v>
      </c>
      <c r="B4590" s="26"/>
      <c r="C4590" s="26"/>
      <c r="D4590" s="26"/>
      <c r="E4590" s="26"/>
      <c r="F4590" s="26"/>
      <c r="G4590" s="27"/>
      <c r="H4590" s="18">
        <v>649000</v>
      </c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1:26" ht="26.25" x14ac:dyDescent="0.4">
      <c r="A4591" s="28" t="s">
        <v>18</v>
      </c>
      <c r="B4591" s="26"/>
      <c r="C4591" s="26"/>
      <c r="D4591" s="26"/>
      <c r="E4591" s="26"/>
      <c r="F4591" s="26"/>
      <c r="G4591" s="26"/>
      <c r="H4591" s="27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1:26" ht="12.75" x14ac:dyDescent="0.2"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6" spans="1:26" ht="15.75" customHeight="1" x14ac:dyDescent="0.4">
      <c r="A4596" s="28" t="s">
        <v>0</v>
      </c>
      <c r="B4596" s="26"/>
      <c r="C4596" s="26"/>
      <c r="D4596" s="26"/>
      <c r="E4596" s="26"/>
      <c r="F4596" s="26"/>
      <c r="G4596" s="26"/>
      <c r="H4596" s="27"/>
    </row>
    <row r="4597" spans="1:26" ht="15.75" customHeight="1" x14ac:dyDescent="0.4">
      <c r="A4597" s="28" t="s">
        <v>1055</v>
      </c>
      <c r="B4597" s="26"/>
      <c r="C4597" s="26"/>
      <c r="D4597" s="26"/>
      <c r="E4597" s="26"/>
      <c r="F4597" s="26"/>
      <c r="G4597" s="26"/>
      <c r="H4597" s="27"/>
    </row>
    <row r="4598" spans="1:26" ht="29.25" customHeight="1" x14ac:dyDescent="0.3">
      <c r="A4598" s="3" t="s">
        <v>2</v>
      </c>
      <c r="B4598" s="3" t="s">
        <v>3</v>
      </c>
      <c r="C4598" s="3" t="s">
        <v>4</v>
      </c>
      <c r="D4598" s="3" t="s">
        <v>5</v>
      </c>
      <c r="E4598" s="3" t="s">
        <v>6</v>
      </c>
      <c r="F4598" s="4" t="s">
        <v>7</v>
      </c>
      <c r="G4598" s="3" t="s">
        <v>8</v>
      </c>
      <c r="H4598" s="5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1:26" ht="26.25" x14ac:dyDescent="0.4">
      <c r="A4599" s="6">
        <v>1</v>
      </c>
      <c r="B4599" s="20" t="s">
        <v>1056</v>
      </c>
      <c r="C4599" s="21" t="s">
        <v>1057</v>
      </c>
      <c r="D4599" s="8" t="s">
        <v>11</v>
      </c>
      <c r="E4599" s="20">
        <v>2.73</v>
      </c>
      <c r="F4599" s="9">
        <v>293000</v>
      </c>
      <c r="G4599" s="10">
        <f t="shared" ref="G4599:G4601" si="305">IFERROR(E4599*F4599,0)</f>
        <v>799890</v>
      </c>
      <c r="H4599" s="11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1:26" ht="26.25" x14ac:dyDescent="0.4">
      <c r="A4600" s="6">
        <v>2</v>
      </c>
      <c r="B4600" s="22" t="s">
        <v>94</v>
      </c>
      <c r="C4600" s="23" t="s">
        <v>1058</v>
      </c>
      <c r="D4600" s="13" t="s">
        <v>13</v>
      </c>
      <c r="E4600" s="22">
        <v>0.77</v>
      </c>
      <c r="F4600" s="14">
        <v>435000</v>
      </c>
      <c r="G4600" s="10">
        <f t="shared" si="305"/>
        <v>334950</v>
      </c>
      <c r="H4600" s="11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1:26" ht="26.25" x14ac:dyDescent="0.4">
      <c r="A4601" s="6">
        <v>3</v>
      </c>
      <c r="B4601" s="15" t="s">
        <v>14</v>
      </c>
      <c r="C4601" s="11"/>
      <c r="D4601" s="11"/>
      <c r="E4601" s="11"/>
      <c r="F4601" s="11"/>
      <c r="G4601" s="16">
        <f t="shared" si="305"/>
        <v>0</v>
      </c>
      <c r="H4601" s="11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1:26" ht="26.25" x14ac:dyDescent="0.4">
      <c r="A4602" s="29" t="s">
        <v>15</v>
      </c>
      <c r="B4602" s="26"/>
      <c r="C4602" s="26"/>
      <c r="D4602" s="26"/>
      <c r="E4602" s="26"/>
      <c r="F4602" s="26"/>
      <c r="G4602" s="27"/>
      <c r="H4602" s="17">
        <f>SUM(G4599:G4601)</f>
        <v>1134840</v>
      </c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1:26" ht="26.25" x14ac:dyDescent="0.4">
      <c r="A4603" s="29" t="s">
        <v>16</v>
      </c>
      <c r="B4603" s="26"/>
      <c r="C4603" s="26"/>
      <c r="D4603" s="26"/>
      <c r="E4603" s="26"/>
      <c r="F4603" s="26"/>
      <c r="G4603" s="27"/>
      <c r="H4603" s="17">
        <f>MAX(0,H4602-648000)</f>
        <v>486840</v>
      </c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1:26" ht="26.25" x14ac:dyDescent="0.4">
      <c r="A4604" s="25" t="s">
        <v>17</v>
      </c>
      <c r="B4604" s="26"/>
      <c r="C4604" s="26"/>
      <c r="D4604" s="26"/>
      <c r="E4604" s="26"/>
      <c r="F4604" s="26"/>
      <c r="G4604" s="27"/>
      <c r="H4604" s="18">
        <v>649000</v>
      </c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1:26" ht="26.25" x14ac:dyDescent="0.4">
      <c r="A4605" s="28" t="s">
        <v>18</v>
      </c>
      <c r="B4605" s="26"/>
      <c r="C4605" s="26"/>
      <c r="D4605" s="26"/>
      <c r="E4605" s="26"/>
      <c r="F4605" s="26"/>
      <c r="G4605" s="26"/>
      <c r="H4605" s="27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1:26" ht="12.75" x14ac:dyDescent="0.2"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1:26" ht="12.75" x14ac:dyDescent="0.2"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11" spans="1:26" ht="15.75" customHeight="1" x14ac:dyDescent="0.4">
      <c r="A4611" s="28" t="s">
        <v>0</v>
      </c>
      <c r="B4611" s="26"/>
      <c r="C4611" s="26"/>
      <c r="D4611" s="26"/>
      <c r="E4611" s="26"/>
      <c r="F4611" s="26"/>
      <c r="G4611" s="26"/>
      <c r="H4611" s="27"/>
    </row>
    <row r="4612" spans="1:26" ht="15.75" customHeight="1" x14ac:dyDescent="0.4">
      <c r="A4612" s="28" t="s">
        <v>1059</v>
      </c>
      <c r="B4612" s="26"/>
      <c r="C4612" s="26"/>
      <c r="D4612" s="26"/>
      <c r="E4612" s="26"/>
      <c r="F4612" s="26"/>
      <c r="G4612" s="26"/>
      <c r="H4612" s="27"/>
    </row>
    <row r="4613" spans="1:26" ht="15.75" customHeight="1" x14ac:dyDescent="0.3">
      <c r="A4613" s="3" t="s">
        <v>2</v>
      </c>
      <c r="B4613" s="3" t="s">
        <v>3</v>
      </c>
      <c r="C4613" s="3" t="s">
        <v>4</v>
      </c>
      <c r="D4613" s="3" t="s">
        <v>5</v>
      </c>
      <c r="E4613" s="3" t="s">
        <v>6</v>
      </c>
      <c r="F4613" s="4" t="s">
        <v>7</v>
      </c>
      <c r="G4613" s="3" t="s">
        <v>8</v>
      </c>
      <c r="H4613" s="5"/>
    </row>
    <row r="4614" spans="1:26" ht="29.25" customHeight="1" x14ac:dyDescent="0.4">
      <c r="A4614" s="6">
        <v>1</v>
      </c>
      <c r="B4614" s="20" t="s">
        <v>1034</v>
      </c>
      <c r="C4614" s="21" t="s">
        <v>114</v>
      </c>
      <c r="D4614" s="8" t="s">
        <v>11</v>
      </c>
      <c r="E4614" s="20">
        <v>3</v>
      </c>
      <c r="F4614" s="9">
        <v>293000</v>
      </c>
      <c r="G4614" s="10">
        <f t="shared" ref="G4614:G4616" si="306">IFERROR(E4614*F4614,0)</f>
        <v>879000</v>
      </c>
      <c r="H4614" s="11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1:26" ht="26.25" x14ac:dyDescent="0.4">
      <c r="A4615" s="6">
        <v>2</v>
      </c>
      <c r="B4615" s="22" t="s">
        <v>22</v>
      </c>
      <c r="C4615" s="23" t="s">
        <v>1060</v>
      </c>
      <c r="D4615" s="13" t="s">
        <v>13</v>
      </c>
      <c r="E4615" s="22">
        <v>0.44</v>
      </c>
      <c r="F4615" s="14">
        <v>435000</v>
      </c>
      <c r="G4615" s="10">
        <f t="shared" si="306"/>
        <v>191400</v>
      </c>
      <c r="H4615" s="11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1:26" ht="26.25" x14ac:dyDescent="0.4">
      <c r="A4616" s="6">
        <v>3</v>
      </c>
      <c r="B4616" s="15" t="s">
        <v>14</v>
      </c>
      <c r="C4616" s="11"/>
      <c r="D4616" s="11"/>
      <c r="E4616" s="11"/>
      <c r="F4616" s="11"/>
      <c r="G4616" s="16">
        <f t="shared" si="306"/>
        <v>0</v>
      </c>
      <c r="H4616" s="11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1:26" ht="26.25" x14ac:dyDescent="0.4">
      <c r="A4617" s="29" t="s">
        <v>15</v>
      </c>
      <c r="B4617" s="26"/>
      <c r="C4617" s="26"/>
      <c r="D4617" s="26"/>
      <c r="E4617" s="26"/>
      <c r="F4617" s="26"/>
      <c r="G4617" s="27"/>
      <c r="H4617" s="17">
        <f>SUM(G4614:G4616)</f>
        <v>1070400</v>
      </c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1:26" ht="26.25" x14ac:dyDescent="0.4">
      <c r="A4618" s="29" t="s">
        <v>16</v>
      </c>
      <c r="B4618" s="26"/>
      <c r="C4618" s="26"/>
      <c r="D4618" s="26"/>
      <c r="E4618" s="26"/>
      <c r="F4618" s="26"/>
      <c r="G4618" s="27"/>
      <c r="H4618" s="17">
        <f>MAX(0,H4617-648000)</f>
        <v>422400</v>
      </c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spans="1:26" ht="26.25" x14ac:dyDescent="0.4">
      <c r="A4619" s="25" t="s">
        <v>17</v>
      </c>
      <c r="B4619" s="26"/>
      <c r="C4619" s="26"/>
      <c r="D4619" s="26"/>
      <c r="E4619" s="26"/>
      <c r="F4619" s="26"/>
      <c r="G4619" s="27"/>
      <c r="H4619" s="18">
        <v>649000</v>
      </c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spans="1:26" ht="26.25" x14ac:dyDescent="0.4">
      <c r="A4620" s="28" t="s">
        <v>18</v>
      </c>
      <c r="B4620" s="26"/>
      <c r="C4620" s="26"/>
      <c r="D4620" s="26"/>
      <c r="E4620" s="26"/>
      <c r="F4620" s="26"/>
      <c r="G4620" s="26"/>
      <c r="H4620" s="27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spans="1:26" ht="12.75" x14ac:dyDescent="0.2"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1:26" ht="12.75" x14ac:dyDescent="0.2"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1:26" ht="12.75" x14ac:dyDescent="0.2"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7" spans="1:26" ht="15.75" customHeight="1" x14ac:dyDescent="0.4">
      <c r="A4627" s="28" t="s">
        <v>0</v>
      </c>
      <c r="B4627" s="26"/>
      <c r="C4627" s="26"/>
      <c r="D4627" s="26"/>
      <c r="E4627" s="26"/>
      <c r="F4627" s="26"/>
      <c r="G4627" s="26"/>
      <c r="H4627" s="27"/>
    </row>
    <row r="4628" spans="1:26" ht="15.75" customHeight="1" x14ac:dyDescent="0.4">
      <c r="A4628" s="28" t="s">
        <v>1061</v>
      </c>
      <c r="B4628" s="26"/>
      <c r="C4628" s="26"/>
      <c r="D4628" s="26"/>
      <c r="E4628" s="26"/>
      <c r="F4628" s="26"/>
      <c r="G4628" s="26"/>
      <c r="H4628" s="27"/>
    </row>
    <row r="4629" spans="1:26" ht="29.25" customHeight="1" x14ac:dyDescent="0.3">
      <c r="A4629" s="3" t="s">
        <v>2</v>
      </c>
      <c r="B4629" s="3" t="s">
        <v>3</v>
      </c>
      <c r="C4629" s="3" t="s">
        <v>4</v>
      </c>
      <c r="D4629" s="3" t="s">
        <v>5</v>
      </c>
      <c r="E4629" s="3" t="s">
        <v>6</v>
      </c>
      <c r="F4629" s="4" t="s">
        <v>7</v>
      </c>
      <c r="G4629" s="3" t="s">
        <v>8</v>
      </c>
      <c r="H4629" s="5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1:26" ht="26.25" x14ac:dyDescent="0.4">
      <c r="A4630" s="6">
        <v>1</v>
      </c>
      <c r="B4630" s="20" t="s">
        <v>776</v>
      </c>
      <c r="C4630" s="21" t="s">
        <v>777</v>
      </c>
      <c r="D4630" s="8" t="s">
        <v>11</v>
      </c>
      <c r="E4630" s="20">
        <v>2.06</v>
      </c>
      <c r="F4630" s="9">
        <v>293000</v>
      </c>
      <c r="G4630" s="10">
        <f t="shared" ref="G4630:G4632" si="307">IFERROR(E4630*F4630,0)</f>
        <v>603580</v>
      </c>
      <c r="H4630" s="11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1:26" ht="26.25" x14ac:dyDescent="0.4">
      <c r="A4631" s="6">
        <v>2</v>
      </c>
      <c r="B4631" s="22" t="s">
        <v>12</v>
      </c>
      <c r="C4631" s="23" t="s">
        <v>1062</v>
      </c>
      <c r="D4631" s="13" t="s">
        <v>13</v>
      </c>
      <c r="E4631" s="22">
        <v>1.48</v>
      </c>
      <c r="F4631" s="14">
        <v>435000</v>
      </c>
      <c r="G4631" s="10">
        <f t="shared" si="307"/>
        <v>643800</v>
      </c>
      <c r="H4631" s="11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1:26" ht="26.25" x14ac:dyDescent="0.4">
      <c r="A4632" s="6">
        <v>3</v>
      </c>
      <c r="B4632" s="15" t="s">
        <v>14</v>
      </c>
      <c r="C4632" s="11"/>
      <c r="D4632" s="11"/>
      <c r="E4632" s="11"/>
      <c r="F4632" s="11"/>
      <c r="G4632" s="16">
        <f t="shared" si="307"/>
        <v>0</v>
      </c>
      <c r="H4632" s="11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1:26" ht="26.25" x14ac:dyDescent="0.4">
      <c r="A4633" s="29" t="s">
        <v>15</v>
      </c>
      <c r="B4633" s="26"/>
      <c r="C4633" s="26"/>
      <c r="D4633" s="26"/>
      <c r="E4633" s="26"/>
      <c r="F4633" s="26"/>
      <c r="G4633" s="27"/>
      <c r="H4633" s="17">
        <f>SUM(G4630:G4632)</f>
        <v>1247380</v>
      </c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1:26" ht="26.25" x14ac:dyDescent="0.4">
      <c r="A4634" s="29" t="s">
        <v>16</v>
      </c>
      <c r="B4634" s="26"/>
      <c r="C4634" s="26"/>
      <c r="D4634" s="26"/>
      <c r="E4634" s="26"/>
      <c r="F4634" s="26"/>
      <c r="G4634" s="27"/>
      <c r="H4634" s="17">
        <f>MAX(0,H4633-648000)</f>
        <v>599380</v>
      </c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1:26" ht="26.25" x14ac:dyDescent="0.4">
      <c r="A4635" s="25" t="s">
        <v>17</v>
      </c>
      <c r="B4635" s="26"/>
      <c r="C4635" s="26"/>
      <c r="D4635" s="26"/>
      <c r="E4635" s="26"/>
      <c r="F4635" s="26"/>
      <c r="G4635" s="27"/>
      <c r="H4635" s="18">
        <v>649000</v>
      </c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1:26" ht="26.25" x14ac:dyDescent="0.4">
      <c r="A4636" s="28" t="s">
        <v>18</v>
      </c>
      <c r="B4636" s="26"/>
      <c r="C4636" s="26"/>
      <c r="D4636" s="26"/>
      <c r="E4636" s="26"/>
      <c r="F4636" s="26"/>
      <c r="G4636" s="26"/>
      <c r="H4636" s="27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1:26" ht="12.75" x14ac:dyDescent="0.2"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1:26" ht="12.75" x14ac:dyDescent="0.2"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42" spans="1:26" ht="15.75" customHeight="1" x14ac:dyDescent="0.4">
      <c r="A4642" s="28" t="s">
        <v>0</v>
      </c>
      <c r="B4642" s="26"/>
      <c r="C4642" s="26"/>
      <c r="D4642" s="26"/>
      <c r="E4642" s="26"/>
      <c r="F4642" s="26"/>
      <c r="G4642" s="26"/>
      <c r="H4642" s="27"/>
    </row>
    <row r="4643" spans="1:26" ht="15.75" customHeight="1" x14ac:dyDescent="0.4">
      <c r="A4643" s="28" t="s">
        <v>1063</v>
      </c>
      <c r="B4643" s="26"/>
      <c r="C4643" s="26"/>
      <c r="D4643" s="26"/>
      <c r="E4643" s="26"/>
      <c r="F4643" s="26"/>
      <c r="G4643" s="26"/>
      <c r="H4643" s="27"/>
    </row>
    <row r="4644" spans="1:26" ht="29.25" customHeight="1" x14ac:dyDescent="0.3">
      <c r="A4644" s="3" t="s">
        <v>2</v>
      </c>
      <c r="B4644" s="3" t="s">
        <v>3</v>
      </c>
      <c r="C4644" s="3" t="s">
        <v>4</v>
      </c>
      <c r="D4644" s="3" t="s">
        <v>5</v>
      </c>
      <c r="E4644" s="3" t="s">
        <v>6</v>
      </c>
      <c r="F4644" s="4" t="s">
        <v>7</v>
      </c>
      <c r="G4644" s="3" t="s">
        <v>8</v>
      </c>
      <c r="H4644" s="5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1:26" ht="26.25" x14ac:dyDescent="0.4">
      <c r="A4645" s="6">
        <v>1</v>
      </c>
      <c r="B4645" s="20" t="s">
        <v>234</v>
      </c>
      <c r="C4645" s="21" t="s">
        <v>1064</v>
      </c>
      <c r="D4645" s="8" t="s">
        <v>11</v>
      </c>
      <c r="E4645" s="20">
        <v>1</v>
      </c>
      <c r="F4645" s="9">
        <v>293000</v>
      </c>
      <c r="G4645" s="10">
        <f t="shared" ref="G4645:G4647" si="308">IFERROR(E4645*F4645,0)</f>
        <v>293000</v>
      </c>
      <c r="H4645" s="11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1:26" ht="26.25" x14ac:dyDescent="0.4">
      <c r="A4646" s="6">
        <v>2</v>
      </c>
      <c r="B4646" s="22" t="s">
        <v>122</v>
      </c>
      <c r="C4646" s="23" t="s">
        <v>1065</v>
      </c>
      <c r="D4646" s="13" t="s">
        <v>13</v>
      </c>
      <c r="E4646" s="22">
        <v>2.5</v>
      </c>
      <c r="F4646" s="14">
        <v>435000</v>
      </c>
      <c r="G4646" s="10">
        <f t="shared" si="308"/>
        <v>1087500</v>
      </c>
      <c r="H4646" s="11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1:26" ht="26.25" x14ac:dyDescent="0.4">
      <c r="A4647" s="6">
        <v>3</v>
      </c>
      <c r="B4647" s="15" t="s">
        <v>14</v>
      </c>
      <c r="C4647" s="11"/>
      <c r="D4647" s="11"/>
      <c r="E4647" s="11"/>
      <c r="F4647" s="11"/>
      <c r="G4647" s="16">
        <f t="shared" si="308"/>
        <v>0</v>
      </c>
      <c r="H4647" s="11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1:26" ht="26.25" x14ac:dyDescent="0.4">
      <c r="A4648" s="29" t="s">
        <v>15</v>
      </c>
      <c r="B4648" s="26"/>
      <c r="C4648" s="26"/>
      <c r="D4648" s="26"/>
      <c r="E4648" s="26"/>
      <c r="F4648" s="26"/>
      <c r="G4648" s="27"/>
      <c r="H4648" s="17">
        <f>SUM(G4645:G4647)</f>
        <v>1380500</v>
      </c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1:26" ht="26.25" x14ac:dyDescent="0.4">
      <c r="A4649" s="29" t="s">
        <v>16</v>
      </c>
      <c r="B4649" s="26"/>
      <c r="C4649" s="26"/>
      <c r="D4649" s="26"/>
      <c r="E4649" s="26"/>
      <c r="F4649" s="26"/>
      <c r="G4649" s="27"/>
      <c r="H4649" s="17">
        <f>MAX(0,H4648-648000)</f>
        <v>732500</v>
      </c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1:26" ht="26.25" x14ac:dyDescent="0.4">
      <c r="A4650" s="25" t="s">
        <v>17</v>
      </c>
      <c r="B4650" s="26"/>
      <c r="C4650" s="26"/>
      <c r="D4650" s="26"/>
      <c r="E4650" s="26"/>
      <c r="F4650" s="26"/>
      <c r="G4650" s="27"/>
      <c r="H4650" s="18">
        <v>649000</v>
      </c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1:26" ht="26.25" x14ac:dyDescent="0.4">
      <c r="A4651" s="28" t="s">
        <v>18</v>
      </c>
      <c r="B4651" s="26"/>
      <c r="C4651" s="26"/>
      <c r="D4651" s="26"/>
      <c r="E4651" s="26"/>
      <c r="F4651" s="26"/>
      <c r="G4651" s="26"/>
      <c r="H4651" s="27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1:26" ht="12.75" x14ac:dyDescent="0.2"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1:26" ht="12.75" x14ac:dyDescent="0.2"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7" spans="1:26" ht="15.75" customHeight="1" x14ac:dyDescent="0.4">
      <c r="A4657" s="28" t="s">
        <v>0</v>
      </c>
      <c r="B4657" s="26"/>
      <c r="C4657" s="26"/>
      <c r="D4657" s="26"/>
      <c r="E4657" s="26"/>
      <c r="F4657" s="26"/>
      <c r="G4657" s="26"/>
      <c r="H4657" s="27"/>
    </row>
    <row r="4658" spans="1:26" ht="15.75" customHeight="1" x14ac:dyDescent="0.4">
      <c r="A4658" s="28" t="s">
        <v>1066</v>
      </c>
      <c r="B4658" s="26"/>
      <c r="C4658" s="26"/>
      <c r="D4658" s="26"/>
      <c r="E4658" s="26"/>
      <c r="F4658" s="26"/>
      <c r="G4658" s="26"/>
      <c r="H4658" s="27"/>
    </row>
    <row r="4659" spans="1:26" ht="29.25" customHeight="1" x14ac:dyDescent="0.3">
      <c r="A4659" s="3" t="s">
        <v>2</v>
      </c>
      <c r="B4659" s="3" t="s">
        <v>3</v>
      </c>
      <c r="C4659" s="3" t="s">
        <v>4</v>
      </c>
      <c r="D4659" s="3" t="s">
        <v>5</v>
      </c>
      <c r="E4659" s="3" t="s">
        <v>6</v>
      </c>
      <c r="F4659" s="4" t="s">
        <v>7</v>
      </c>
      <c r="G4659" s="3" t="s">
        <v>8</v>
      </c>
      <c r="H4659" s="5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1:26" ht="26.25" x14ac:dyDescent="0.4">
      <c r="A4660" s="6">
        <v>1</v>
      </c>
      <c r="B4660" s="20" t="s">
        <v>1067</v>
      </c>
      <c r="C4660" s="21" t="s">
        <v>1068</v>
      </c>
      <c r="D4660" s="8" t="s">
        <v>11</v>
      </c>
      <c r="E4660" s="20">
        <v>2.9</v>
      </c>
      <c r="F4660" s="9">
        <v>293000</v>
      </c>
      <c r="G4660" s="10">
        <f t="shared" ref="G4660:G4662" si="309">IFERROR(E4660*F4660,0)</f>
        <v>849700</v>
      </c>
      <c r="H4660" s="11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1:26" ht="26.25" x14ac:dyDescent="0.4">
      <c r="A4661" s="6">
        <v>2</v>
      </c>
      <c r="B4661" s="22" t="s">
        <v>88</v>
      </c>
      <c r="C4661" s="23" t="s">
        <v>166</v>
      </c>
      <c r="D4661" s="13" t="s">
        <v>13</v>
      </c>
      <c r="E4661" s="22">
        <v>0.55000000000000004</v>
      </c>
      <c r="F4661" s="14">
        <v>435000</v>
      </c>
      <c r="G4661" s="10">
        <f t="shared" si="309"/>
        <v>239250.00000000003</v>
      </c>
      <c r="H4661" s="11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1:26" ht="26.25" x14ac:dyDescent="0.4">
      <c r="A4662" s="6">
        <v>3</v>
      </c>
      <c r="B4662" s="15" t="s">
        <v>14</v>
      </c>
      <c r="C4662" s="11"/>
      <c r="D4662" s="11"/>
      <c r="E4662" s="11"/>
      <c r="F4662" s="11"/>
      <c r="G4662" s="16">
        <f t="shared" si="309"/>
        <v>0</v>
      </c>
      <c r="H4662" s="11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1:26" ht="26.25" x14ac:dyDescent="0.4">
      <c r="A4663" s="29" t="s">
        <v>15</v>
      </c>
      <c r="B4663" s="26"/>
      <c r="C4663" s="26"/>
      <c r="D4663" s="26"/>
      <c r="E4663" s="26"/>
      <c r="F4663" s="26"/>
      <c r="G4663" s="27"/>
      <c r="H4663" s="17">
        <f>SUM(G4660:G4662)</f>
        <v>1088950</v>
      </c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1:26" ht="26.25" x14ac:dyDescent="0.4">
      <c r="A4664" s="29" t="s">
        <v>16</v>
      </c>
      <c r="B4664" s="26"/>
      <c r="C4664" s="26"/>
      <c r="D4664" s="26"/>
      <c r="E4664" s="26"/>
      <c r="F4664" s="26"/>
      <c r="G4664" s="27"/>
      <c r="H4664" s="17">
        <f>MAX(0,H4663-648000)</f>
        <v>440950</v>
      </c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1:26" ht="26.25" x14ac:dyDescent="0.4">
      <c r="A4665" s="25" t="s">
        <v>17</v>
      </c>
      <c r="B4665" s="26"/>
      <c r="C4665" s="26"/>
      <c r="D4665" s="26"/>
      <c r="E4665" s="26"/>
      <c r="F4665" s="26"/>
      <c r="G4665" s="27"/>
      <c r="H4665" s="18">
        <v>649000</v>
      </c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1:26" ht="26.25" x14ac:dyDescent="0.4">
      <c r="A4666" s="28" t="s">
        <v>18</v>
      </c>
      <c r="B4666" s="26"/>
      <c r="C4666" s="26"/>
      <c r="D4666" s="26"/>
      <c r="E4666" s="26"/>
      <c r="F4666" s="26"/>
      <c r="G4666" s="26"/>
      <c r="H4666" s="27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1:26" ht="12.75" x14ac:dyDescent="0.2"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1:26" ht="12.75" x14ac:dyDescent="0.2"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72" spans="1:26" ht="15.75" customHeight="1" x14ac:dyDescent="0.4">
      <c r="A4672" s="28" t="s">
        <v>0</v>
      </c>
      <c r="B4672" s="26"/>
      <c r="C4672" s="26"/>
      <c r="D4672" s="26"/>
      <c r="E4672" s="26"/>
      <c r="F4672" s="26"/>
      <c r="G4672" s="26"/>
      <c r="H4672" s="27"/>
    </row>
    <row r="4673" spans="1:26" ht="29.25" customHeight="1" x14ac:dyDescent="0.4">
      <c r="A4673" s="28" t="s">
        <v>1069</v>
      </c>
      <c r="B4673" s="26"/>
      <c r="C4673" s="26"/>
      <c r="D4673" s="26"/>
      <c r="E4673" s="26"/>
      <c r="F4673" s="26"/>
      <c r="G4673" s="26"/>
      <c r="H4673" s="27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1:26" ht="18.75" x14ac:dyDescent="0.3">
      <c r="A4674" s="3" t="s">
        <v>2</v>
      </c>
      <c r="B4674" s="3" t="s">
        <v>3</v>
      </c>
      <c r="C4674" s="3" t="s">
        <v>4</v>
      </c>
      <c r="D4674" s="3" t="s">
        <v>5</v>
      </c>
      <c r="E4674" s="3" t="s">
        <v>6</v>
      </c>
      <c r="F4674" s="4" t="s">
        <v>7</v>
      </c>
      <c r="G4674" s="3" t="s">
        <v>8</v>
      </c>
      <c r="H4674" s="5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1:26" ht="26.25" x14ac:dyDescent="0.4">
      <c r="A4675" s="6">
        <v>1</v>
      </c>
      <c r="B4675" s="20" t="s">
        <v>298</v>
      </c>
      <c r="C4675" s="21" t="s">
        <v>1070</v>
      </c>
      <c r="D4675" s="8" t="s">
        <v>11</v>
      </c>
      <c r="E4675" s="20">
        <v>2.5</v>
      </c>
      <c r="F4675" s="9">
        <v>293000</v>
      </c>
      <c r="G4675" s="10">
        <f t="shared" ref="G4675:G4677" si="310">IFERROR(E4675*F4675,0)</f>
        <v>732500</v>
      </c>
      <c r="H4675" s="11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1:26" ht="26.25" x14ac:dyDescent="0.4">
      <c r="A4676" s="6">
        <v>2</v>
      </c>
      <c r="B4676" s="22" t="s">
        <v>218</v>
      </c>
      <c r="C4676" s="23" t="s">
        <v>1071</v>
      </c>
      <c r="D4676" s="13" t="s">
        <v>13</v>
      </c>
      <c r="E4676" s="22">
        <v>1</v>
      </c>
      <c r="F4676" s="14">
        <v>435000</v>
      </c>
      <c r="G4676" s="10">
        <f t="shared" si="310"/>
        <v>435000</v>
      </c>
      <c r="H4676" s="11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1:26" ht="26.25" x14ac:dyDescent="0.4">
      <c r="A4677" s="6">
        <v>3</v>
      </c>
      <c r="B4677" s="15" t="s">
        <v>14</v>
      </c>
      <c r="C4677" s="11"/>
      <c r="D4677" s="11"/>
      <c r="E4677" s="11"/>
      <c r="F4677" s="11"/>
      <c r="G4677" s="16">
        <f t="shared" si="310"/>
        <v>0</v>
      </c>
      <c r="H4677" s="11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1:26" ht="26.25" x14ac:dyDescent="0.4">
      <c r="A4678" s="29" t="s">
        <v>15</v>
      </c>
      <c r="B4678" s="26"/>
      <c r="C4678" s="26"/>
      <c r="D4678" s="26"/>
      <c r="E4678" s="26"/>
      <c r="F4678" s="26"/>
      <c r="G4678" s="27"/>
      <c r="H4678" s="17">
        <f>SUM(G4675:G4677)</f>
        <v>1167500</v>
      </c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1:26" ht="26.25" x14ac:dyDescent="0.4">
      <c r="A4679" s="29" t="s">
        <v>16</v>
      </c>
      <c r="B4679" s="26"/>
      <c r="C4679" s="26"/>
      <c r="D4679" s="26"/>
      <c r="E4679" s="26"/>
      <c r="F4679" s="26"/>
      <c r="G4679" s="27"/>
      <c r="H4679" s="17">
        <f>MAX(0,H4678-648000)</f>
        <v>519500</v>
      </c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1:26" ht="26.25" x14ac:dyDescent="0.4">
      <c r="A4680" s="25" t="s">
        <v>17</v>
      </c>
      <c r="B4680" s="26"/>
      <c r="C4680" s="26"/>
      <c r="D4680" s="26"/>
      <c r="E4680" s="26"/>
      <c r="F4680" s="26"/>
      <c r="G4680" s="27"/>
      <c r="H4680" s="18">
        <v>649000</v>
      </c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1:26" ht="26.25" x14ac:dyDescent="0.4">
      <c r="A4681" s="28" t="s">
        <v>18</v>
      </c>
      <c r="B4681" s="26"/>
      <c r="C4681" s="26"/>
      <c r="D4681" s="26"/>
      <c r="E4681" s="26"/>
      <c r="F4681" s="26"/>
      <c r="G4681" s="26"/>
      <c r="H4681" s="27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1:26" ht="12.75" x14ac:dyDescent="0.2"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6" spans="1:26" ht="15.75" customHeight="1" x14ac:dyDescent="0.4">
      <c r="A4686" s="28" t="s">
        <v>0</v>
      </c>
      <c r="B4686" s="26"/>
      <c r="C4686" s="26"/>
      <c r="D4686" s="26"/>
      <c r="E4686" s="26"/>
      <c r="F4686" s="26"/>
      <c r="G4686" s="26"/>
      <c r="H4686" s="27"/>
    </row>
    <row r="4687" spans="1:26" ht="29.25" customHeight="1" x14ac:dyDescent="0.4">
      <c r="A4687" s="28" t="s">
        <v>1072</v>
      </c>
      <c r="B4687" s="26"/>
      <c r="C4687" s="26"/>
      <c r="D4687" s="26"/>
      <c r="E4687" s="26"/>
      <c r="F4687" s="26"/>
      <c r="G4687" s="26"/>
      <c r="H4687" s="27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1:26" ht="18.75" x14ac:dyDescent="0.3">
      <c r="A4688" s="3" t="s">
        <v>2</v>
      </c>
      <c r="B4688" s="3" t="s">
        <v>3</v>
      </c>
      <c r="C4688" s="3" t="s">
        <v>4</v>
      </c>
      <c r="D4688" s="3" t="s">
        <v>5</v>
      </c>
      <c r="E4688" s="3" t="s">
        <v>6</v>
      </c>
      <c r="F4688" s="4" t="s">
        <v>7</v>
      </c>
      <c r="G4688" s="3" t="s">
        <v>8</v>
      </c>
      <c r="H4688" s="5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1:26" ht="26.25" x14ac:dyDescent="0.4">
      <c r="A4689" s="6">
        <v>1</v>
      </c>
      <c r="B4689" s="20" t="s">
        <v>1073</v>
      </c>
      <c r="C4689" s="21" t="s">
        <v>1074</v>
      </c>
      <c r="D4689" s="8" t="s">
        <v>11</v>
      </c>
      <c r="E4689" s="20">
        <v>1.4</v>
      </c>
      <c r="F4689" s="9">
        <v>293000</v>
      </c>
      <c r="G4689" s="10">
        <f t="shared" ref="G4689:G4691" si="311">IFERROR(E4689*F4689,0)</f>
        <v>410200</v>
      </c>
      <c r="H4689" s="11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1:26" ht="26.25" x14ac:dyDescent="0.4">
      <c r="A4690" s="6">
        <v>2</v>
      </c>
      <c r="B4690" s="22" t="s">
        <v>34</v>
      </c>
      <c r="C4690" s="23" t="s">
        <v>10</v>
      </c>
      <c r="D4690" s="13" t="s">
        <v>13</v>
      </c>
      <c r="E4690" s="22">
        <v>2</v>
      </c>
      <c r="F4690" s="14">
        <v>435000</v>
      </c>
      <c r="G4690" s="10">
        <f t="shared" si="311"/>
        <v>870000</v>
      </c>
      <c r="H4690" s="11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1:26" ht="26.25" x14ac:dyDescent="0.4">
      <c r="A4691" s="6">
        <v>3</v>
      </c>
      <c r="B4691" s="15" t="s">
        <v>14</v>
      </c>
      <c r="C4691" s="11"/>
      <c r="D4691" s="11"/>
      <c r="E4691" s="11"/>
      <c r="F4691" s="11"/>
      <c r="G4691" s="16">
        <f t="shared" si="311"/>
        <v>0</v>
      </c>
      <c r="H4691" s="11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1:26" ht="26.25" x14ac:dyDescent="0.4">
      <c r="A4692" s="29" t="s">
        <v>15</v>
      </c>
      <c r="B4692" s="26"/>
      <c r="C4692" s="26"/>
      <c r="D4692" s="26"/>
      <c r="E4692" s="26"/>
      <c r="F4692" s="26"/>
      <c r="G4692" s="27"/>
      <c r="H4692" s="17">
        <f>SUM(G4689:G4691)</f>
        <v>1280200</v>
      </c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1:26" ht="26.25" x14ac:dyDescent="0.4">
      <c r="A4693" s="29" t="s">
        <v>16</v>
      </c>
      <c r="B4693" s="26"/>
      <c r="C4693" s="26"/>
      <c r="D4693" s="26"/>
      <c r="E4693" s="26"/>
      <c r="F4693" s="26"/>
      <c r="G4693" s="27"/>
      <c r="H4693" s="17">
        <f>MAX(0,H4692-648000)</f>
        <v>632200</v>
      </c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1:26" ht="26.25" x14ac:dyDescent="0.4">
      <c r="A4694" s="25" t="s">
        <v>17</v>
      </c>
      <c r="B4694" s="26"/>
      <c r="C4694" s="26"/>
      <c r="D4694" s="26"/>
      <c r="E4694" s="26"/>
      <c r="F4694" s="26"/>
      <c r="G4694" s="27"/>
      <c r="H4694" s="18">
        <v>649000</v>
      </c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1:26" ht="26.25" x14ac:dyDescent="0.4">
      <c r="A4695" s="28" t="s">
        <v>18</v>
      </c>
      <c r="B4695" s="26"/>
      <c r="C4695" s="26"/>
      <c r="D4695" s="26"/>
      <c r="E4695" s="26"/>
      <c r="F4695" s="26"/>
      <c r="G4695" s="26"/>
      <c r="H4695" s="27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1:26" ht="12.75" x14ac:dyDescent="0.2"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700" spans="1:26" ht="15.75" customHeight="1" x14ac:dyDescent="0.4">
      <c r="A4700" s="28" t="s">
        <v>0</v>
      </c>
      <c r="B4700" s="26"/>
      <c r="C4700" s="26"/>
      <c r="D4700" s="26"/>
      <c r="E4700" s="26"/>
      <c r="F4700" s="26"/>
      <c r="G4700" s="26"/>
      <c r="H4700" s="27"/>
    </row>
    <row r="4701" spans="1:26" ht="15.75" customHeight="1" x14ac:dyDescent="0.4">
      <c r="A4701" s="28" t="s">
        <v>1075</v>
      </c>
      <c r="B4701" s="26"/>
      <c r="C4701" s="26"/>
      <c r="D4701" s="26"/>
      <c r="E4701" s="26"/>
      <c r="F4701" s="26"/>
      <c r="G4701" s="26"/>
      <c r="H4701" s="27"/>
    </row>
    <row r="4702" spans="1:26" ht="29.25" customHeight="1" x14ac:dyDescent="0.3">
      <c r="A4702" s="3" t="s">
        <v>2</v>
      </c>
      <c r="B4702" s="3" t="s">
        <v>3</v>
      </c>
      <c r="C4702" s="3" t="s">
        <v>4</v>
      </c>
      <c r="D4702" s="3" t="s">
        <v>5</v>
      </c>
      <c r="E4702" s="3" t="s">
        <v>6</v>
      </c>
      <c r="F4702" s="4" t="s">
        <v>7</v>
      </c>
      <c r="G4702" s="3" t="s">
        <v>8</v>
      </c>
      <c r="H4702" s="5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1:26" ht="26.25" x14ac:dyDescent="0.4">
      <c r="A4703" s="6">
        <v>1</v>
      </c>
      <c r="B4703" s="20" t="s">
        <v>383</v>
      </c>
      <c r="C4703" s="21" t="s">
        <v>1076</v>
      </c>
      <c r="D4703" s="8" t="s">
        <v>11</v>
      </c>
      <c r="E4703" s="20">
        <v>1.5</v>
      </c>
      <c r="F4703" s="9">
        <v>293000</v>
      </c>
      <c r="G4703" s="10">
        <f t="shared" ref="G4703:G4705" si="312">IFERROR(E4703*F4703,0)</f>
        <v>439500</v>
      </c>
      <c r="H4703" s="11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1:26" ht="26.25" x14ac:dyDescent="0.4">
      <c r="A4704" s="6">
        <v>2</v>
      </c>
      <c r="B4704" s="22" t="s">
        <v>12</v>
      </c>
      <c r="C4704" s="23" t="s">
        <v>1077</v>
      </c>
      <c r="D4704" s="13" t="s">
        <v>13</v>
      </c>
      <c r="E4704" s="22">
        <v>2</v>
      </c>
      <c r="F4704" s="14">
        <v>435000</v>
      </c>
      <c r="G4704" s="10">
        <f t="shared" si="312"/>
        <v>870000</v>
      </c>
      <c r="H4704" s="11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1:26" ht="26.25" x14ac:dyDescent="0.4">
      <c r="A4705" s="6">
        <v>3</v>
      </c>
      <c r="B4705" s="15" t="s">
        <v>14</v>
      </c>
      <c r="C4705" s="11"/>
      <c r="D4705" s="11"/>
      <c r="E4705" s="11"/>
      <c r="F4705" s="11"/>
      <c r="G4705" s="16">
        <f t="shared" si="312"/>
        <v>0</v>
      </c>
      <c r="H4705" s="11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1:26" ht="26.25" x14ac:dyDescent="0.4">
      <c r="A4706" s="29" t="s">
        <v>15</v>
      </c>
      <c r="B4706" s="26"/>
      <c r="C4706" s="26"/>
      <c r="D4706" s="26"/>
      <c r="E4706" s="26"/>
      <c r="F4706" s="26"/>
      <c r="G4706" s="27"/>
      <c r="H4706" s="17">
        <f>SUM(G4703:G4705)</f>
        <v>1309500</v>
      </c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1:26" ht="26.25" x14ac:dyDescent="0.4">
      <c r="A4707" s="29" t="s">
        <v>16</v>
      </c>
      <c r="B4707" s="26"/>
      <c r="C4707" s="26"/>
      <c r="D4707" s="26"/>
      <c r="E4707" s="26"/>
      <c r="F4707" s="26"/>
      <c r="G4707" s="27"/>
      <c r="H4707" s="17">
        <f>MAX(0,H4706-648000)</f>
        <v>661500</v>
      </c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1:26" ht="26.25" x14ac:dyDescent="0.4">
      <c r="A4708" s="25" t="s">
        <v>17</v>
      </c>
      <c r="B4708" s="26"/>
      <c r="C4708" s="26"/>
      <c r="D4708" s="26"/>
      <c r="E4708" s="26"/>
      <c r="F4708" s="26"/>
      <c r="G4708" s="27"/>
      <c r="H4708" s="18">
        <v>649000</v>
      </c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1:26" ht="26.25" x14ac:dyDescent="0.4">
      <c r="A4709" s="28" t="s">
        <v>18</v>
      </c>
      <c r="B4709" s="26"/>
      <c r="C4709" s="26"/>
      <c r="D4709" s="26"/>
      <c r="E4709" s="26"/>
      <c r="F4709" s="26"/>
      <c r="G4709" s="26"/>
      <c r="H4709" s="27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1:26" ht="12.75" x14ac:dyDescent="0.2"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1:26" ht="12.75" x14ac:dyDescent="0.2"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5" spans="1:26" ht="15.75" customHeight="1" x14ac:dyDescent="0.4">
      <c r="A4715" s="28" t="s">
        <v>0</v>
      </c>
      <c r="B4715" s="26"/>
      <c r="C4715" s="26"/>
      <c r="D4715" s="26"/>
      <c r="E4715" s="26"/>
      <c r="F4715" s="26"/>
      <c r="G4715" s="26"/>
      <c r="H4715" s="27"/>
    </row>
    <row r="4716" spans="1:26" ht="15.75" customHeight="1" x14ac:dyDescent="0.4">
      <c r="A4716" s="28" t="s">
        <v>1078</v>
      </c>
      <c r="B4716" s="26"/>
      <c r="C4716" s="26"/>
      <c r="D4716" s="26"/>
      <c r="E4716" s="26"/>
      <c r="F4716" s="26"/>
      <c r="G4716" s="26"/>
      <c r="H4716" s="27"/>
    </row>
    <row r="4717" spans="1:26" ht="15.75" customHeight="1" x14ac:dyDescent="0.3">
      <c r="A4717" s="3" t="s">
        <v>2</v>
      </c>
      <c r="B4717" s="3" t="s">
        <v>3</v>
      </c>
      <c r="C4717" s="3" t="s">
        <v>4</v>
      </c>
      <c r="D4717" s="3" t="s">
        <v>5</v>
      </c>
      <c r="E4717" s="3" t="s">
        <v>6</v>
      </c>
      <c r="F4717" s="4" t="s">
        <v>7</v>
      </c>
      <c r="G4717" s="3" t="s">
        <v>8</v>
      </c>
      <c r="H4717" s="5"/>
    </row>
    <row r="4718" spans="1:26" ht="29.25" customHeight="1" x14ac:dyDescent="0.4">
      <c r="A4718" s="6">
        <v>1</v>
      </c>
      <c r="B4718" s="20" t="s">
        <v>1079</v>
      </c>
      <c r="C4718" s="21" t="s">
        <v>1080</v>
      </c>
      <c r="D4718" s="8" t="s">
        <v>11</v>
      </c>
      <c r="E4718" s="20">
        <v>2.2000000000000002</v>
      </c>
      <c r="F4718" s="9">
        <v>293000</v>
      </c>
      <c r="G4718" s="10">
        <f t="shared" ref="G4718:G4720" si="313">IFERROR(E4718*F4718,0)</f>
        <v>644600</v>
      </c>
      <c r="H4718" s="11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1:26" ht="26.25" x14ac:dyDescent="0.4">
      <c r="A4719" s="6">
        <v>2</v>
      </c>
      <c r="B4719" s="22" t="s">
        <v>12</v>
      </c>
      <c r="C4719" s="23" t="s">
        <v>1081</v>
      </c>
      <c r="D4719" s="13" t="s">
        <v>13</v>
      </c>
      <c r="E4719" s="22">
        <v>1.47</v>
      </c>
      <c r="F4719" s="14">
        <v>435000</v>
      </c>
      <c r="G4719" s="10">
        <f t="shared" si="313"/>
        <v>639450</v>
      </c>
      <c r="H4719" s="11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1:26" ht="26.25" x14ac:dyDescent="0.4">
      <c r="A4720" s="6">
        <v>3</v>
      </c>
      <c r="B4720" s="15" t="s">
        <v>14</v>
      </c>
      <c r="C4720" s="11"/>
      <c r="D4720" s="11"/>
      <c r="E4720" s="11"/>
      <c r="F4720" s="11"/>
      <c r="G4720" s="16">
        <f t="shared" si="313"/>
        <v>0</v>
      </c>
      <c r="H4720" s="11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1:26" ht="26.25" x14ac:dyDescent="0.4">
      <c r="A4721" s="29" t="s">
        <v>15</v>
      </c>
      <c r="B4721" s="26"/>
      <c r="C4721" s="26"/>
      <c r="D4721" s="26"/>
      <c r="E4721" s="26"/>
      <c r="F4721" s="26"/>
      <c r="G4721" s="27"/>
      <c r="H4721" s="17">
        <f>SUM(G4718:G4720)</f>
        <v>1284050</v>
      </c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1:26" ht="26.25" x14ac:dyDescent="0.4">
      <c r="A4722" s="29" t="s">
        <v>16</v>
      </c>
      <c r="B4722" s="26"/>
      <c r="C4722" s="26"/>
      <c r="D4722" s="26"/>
      <c r="E4722" s="26"/>
      <c r="F4722" s="26"/>
      <c r="G4722" s="27"/>
      <c r="H4722" s="17">
        <f>MAX(0,H4721-648000)</f>
        <v>636050</v>
      </c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1:26" ht="26.25" x14ac:dyDescent="0.4">
      <c r="A4723" s="25" t="s">
        <v>17</v>
      </c>
      <c r="B4723" s="26"/>
      <c r="C4723" s="26"/>
      <c r="D4723" s="26"/>
      <c r="E4723" s="26"/>
      <c r="F4723" s="26"/>
      <c r="G4723" s="27"/>
      <c r="H4723" s="18">
        <v>649000</v>
      </c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spans="1:26" ht="26.25" x14ac:dyDescent="0.4">
      <c r="A4724" s="28" t="s">
        <v>18</v>
      </c>
      <c r="B4724" s="26"/>
      <c r="C4724" s="26"/>
      <c r="D4724" s="26"/>
      <c r="E4724" s="26"/>
      <c r="F4724" s="26"/>
      <c r="G4724" s="26"/>
      <c r="H4724" s="27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spans="1:26" ht="12.75" x14ac:dyDescent="0.2"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spans="1:26" ht="12.75" x14ac:dyDescent="0.2"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1:26" ht="12.75" x14ac:dyDescent="0.2"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31" spans="1:26" ht="15.75" customHeight="1" x14ac:dyDescent="0.4">
      <c r="A4731" s="28" t="s">
        <v>0</v>
      </c>
      <c r="B4731" s="26"/>
      <c r="C4731" s="26"/>
      <c r="D4731" s="26"/>
      <c r="E4731" s="26"/>
      <c r="F4731" s="26"/>
      <c r="G4731" s="26"/>
      <c r="H4731" s="27"/>
    </row>
    <row r="4732" spans="1:26" ht="15.75" customHeight="1" x14ac:dyDescent="0.4">
      <c r="A4732" s="28" t="s">
        <v>1082</v>
      </c>
      <c r="B4732" s="26"/>
      <c r="C4732" s="26"/>
      <c r="D4732" s="26"/>
      <c r="E4732" s="26"/>
      <c r="F4732" s="26"/>
      <c r="G4732" s="26"/>
      <c r="H4732" s="27"/>
    </row>
    <row r="4733" spans="1:26" ht="15.75" customHeight="1" x14ac:dyDescent="0.3">
      <c r="A4733" s="3" t="s">
        <v>2</v>
      </c>
      <c r="B4733" s="3" t="s">
        <v>3</v>
      </c>
      <c r="C4733" s="3" t="s">
        <v>4</v>
      </c>
      <c r="D4733" s="3" t="s">
        <v>5</v>
      </c>
      <c r="E4733" s="3" t="s">
        <v>6</v>
      </c>
      <c r="F4733" s="4" t="s">
        <v>7</v>
      </c>
      <c r="G4733" s="3" t="s">
        <v>8</v>
      </c>
      <c r="H4733" s="5"/>
    </row>
    <row r="4734" spans="1:26" ht="29.25" customHeight="1" x14ac:dyDescent="0.4">
      <c r="A4734" s="6">
        <v>1</v>
      </c>
      <c r="B4734" s="20" t="s">
        <v>763</v>
      </c>
      <c r="C4734" s="21" t="s">
        <v>1083</v>
      </c>
      <c r="D4734" s="8" t="s">
        <v>11</v>
      </c>
      <c r="E4734" s="20">
        <v>0.79</v>
      </c>
      <c r="F4734" s="9">
        <v>293000</v>
      </c>
      <c r="G4734" s="10">
        <f t="shared" ref="G4734:G4736" si="314">IFERROR(E4734*F4734,0)</f>
        <v>231470</v>
      </c>
      <c r="H4734" s="11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1:26" ht="26.25" x14ac:dyDescent="0.4">
      <c r="A4735" s="6">
        <v>2</v>
      </c>
      <c r="B4735" s="22" t="s">
        <v>22</v>
      </c>
      <c r="C4735" s="23" t="s">
        <v>551</v>
      </c>
      <c r="D4735" s="13" t="s">
        <v>13</v>
      </c>
      <c r="E4735" s="22">
        <v>2.7</v>
      </c>
      <c r="F4735" s="14">
        <v>435000</v>
      </c>
      <c r="G4735" s="10">
        <f t="shared" si="314"/>
        <v>1174500</v>
      </c>
      <c r="H4735" s="11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1:26" ht="26.25" x14ac:dyDescent="0.4">
      <c r="A4736" s="6">
        <v>3</v>
      </c>
      <c r="B4736" s="15" t="s">
        <v>14</v>
      </c>
      <c r="C4736" s="11"/>
      <c r="D4736" s="11"/>
      <c r="E4736" s="11"/>
      <c r="F4736" s="11"/>
      <c r="G4736" s="16">
        <f t="shared" si="314"/>
        <v>0</v>
      </c>
      <c r="H4736" s="11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1:26" ht="26.25" x14ac:dyDescent="0.4">
      <c r="A4737" s="29" t="s">
        <v>15</v>
      </c>
      <c r="B4737" s="26"/>
      <c r="C4737" s="26"/>
      <c r="D4737" s="26"/>
      <c r="E4737" s="26"/>
      <c r="F4737" s="26"/>
      <c r="G4737" s="27"/>
      <c r="H4737" s="17">
        <f>SUM(G4734:G4736)</f>
        <v>1405970</v>
      </c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1:26" ht="26.25" x14ac:dyDescent="0.4">
      <c r="A4738" s="29" t="s">
        <v>16</v>
      </c>
      <c r="B4738" s="26"/>
      <c r="C4738" s="26"/>
      <c r="D4738" s="26"/>
      <c r="E4738" s="26"/>
      <c r="F4738" s="26"/>
      <c r="G4738" s="27"/>
      <c r="H4738" s="17">
        <f>MAX(0,H4737-648000)</f>
        <v>757970</v>
      </c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1:26" ht="26.25" x14ac:dyDescent="0.4">
      <c r="A4739" s="25" t="s">
        <v>17</v>
      </c>
      <c r="B4739" s="26"/>
      <c r="C4739" s="26"/>
      <c r="D4739" s="26"/>
      <c r="E4739" s="26"/>
      <c r="F4739" s="26"/>
      <c r="G4739" s="27"/>
      <c r="H4739" s="18">
        <v>649000</v>
      </c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1:26" ht="26.25" x14ac:dyDescent="0.4">
      <c r="A4740" s="28" t="s">
        <v>18</v>
      </c>
      <c r="B4740" s="26"/>
      <c r="C4740" s="26"/>
      <c r="D4740" s="26"/>
      <c r="E4740" s="26"/>
      <c r="F4740" s="26"/>
      <c r="G4740" s="26"/>
      <c r="H4740" s="27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1:26" ht="12.75" x14ac:dyDescent="0.2"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1:26" ht="12.75" x14ac:dyDescent="0.2"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1:26" ht="12.75" x14ac:dyDescent="0.2"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7" spans="1:26" ht="15.75" customHeight="1" x14ac:dyDescent="0.4">
      <c r="A4747" s="28" t="s">
        <v>0</v>
      </c>
      <c r="B4747" s="26"/>
      <c r="C4747" s="26"/>
      <c r="D4747" s="26"/>
      <c r="E4747" s="26"/>
      <c r="F4747" s="26"/>
      <c r="G4747" s="26"/>
      <c r="H4747" s="27"/>
    </row>
    <row r="4748" spans="1:26" ht="15.75" customHeight="1" x14ac:dyDescent="0.4">
      <c r="A4748" s="28" t="s">
        <v>1084</v>
      </c>
      <c r="B4748" s="26"/>
      <c r="C4748" s="26"/>
      <c r="D4748" s="26"/>
      <c r="E4748" s="26"/>
      <c r="F4748" s="26"/>
      <c r="G4748" s="26"/>
      <c r="H4748" s="27"/>
    </row>
    <row r="4749" spans="1:26" ht="15.75" customHeight="1" x14ac:dyDescent="0.3">
      <c r="A4749" s="3" t="s">
        <v>2</v>
      </c>
      <c r="B4749" s="3" t="s">
        <v>3</v>
      </c>
      <c r="C4749" s="3" t="s">
        <v>4</v>
      </c>
      <c r="D4749" s="3" t="s">
        <v>5</v>
      </c>
      <c r="E4749" s="3" t="s">
        <v>6</v>
      </c>
      <c r="F4749" s="4" t="s">
        <v>7</v>
      </c>
      <c r="G4749" s="3" t="s">
        <v>8</v>
      </c>
      <c r="H4749" s="5"/>
    </row>
    <row r="4750" spans="1:26" ht="15.75" customHeight="1" x14ac:dyDescent="0.4">
      <c r="A4750" s="6">
        <v>1</v>
      </c>
      <c r="B4750" s="20" t="s">
        <v>27</v>
      </c>
      <c r="C4750" s="21" t="s">
        <v>1085</v>
      </c>
      <c r="D4750" s="8" t="s">
        <v>11</v>
      </c>
      <c r="E4750" s="20">
        <v>1.83</v>
      </c>
      <c r="F4750" s="9">
        <v>293000</v>
      </c>
      <c r="G4750" s="10">
        <f t="shared" ref="G4750:G4752" si="315">IFERROR(E4750*F4750,0)</f>
        <v>536190</v>
      </c>
      <c r="H4750" s="11"/>
    </row>
    <row r="4751" spans="1:26" ht="29.25" customHeight="1" x14ac:dyDescent="0.4">
      <c r="A4751" s="6">
        <v>2</v>
      </c>
      <c r="B4751" s="22" t="s">
        <v>12</v>
      </c>
      <c r="C4751" s="23" t="s">
        <v>1086</v>
      </c>
      <c r="D4751" s="13" t="s">
        <v>13</v>
      </c>
      <c r="E4751" s="22">
        <v>1.45</v>
      </c>
      <c r="F4751" s="14">
        <v>435000</v>
      </c>
      <c r="G4751" s="10">
        <f t="shared" si="315"/>
        <v>630750</v>
      </c>
      <c r="H4751" s="11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1:26" ht="26.25" x14ac:dyDescent="0.4">
      <c r="A4752" s="6">
        <v>3</v>
      </c>
      <c r="B4752" s="15" t="s">
        <v>14</v>
      </c>
      <c r="C4752" s="11"/>
      <c r="D4752" s="11"/>
      <c r="E4752" s="11"/>
      <c r="F4752" s="11"/>
      <c r="G4752" s="16">
        <f t="shared" si="315"/>
        <v>0</v>
      </c>
      <c r="H4752" s="11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1:26" ht="26.25" x14ac:dyDescent="0.4">
      <c r="A4753" s="29" t="s">
        <v>15</v>
      </c>
      <c r="B4753" s="26"/>
      <c r="C4753" s="26"/>
      <c r="D4753" s="26"/>
      <c r="E4753" s="26"/>
      <c r="F4753" s="26"/>
      <c r="G4753" s="27"/>
      <c r="H4753" s="17">
        <f>SUM(G4750:G4752)</f>
        <v>1166940</v>
      </c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1:26" ht="26.25" x14ac:dyDescent="0.4">
      <c r="A4754" s="29" t="s">
        <v>16</v>
      </c>
      <c r="B4754" s="26"/>
      <c r="C4754" s="26"/>
      <c r="D4754" s="26"/>
      <c r="E4754" s="26"/>
      <c r="F4754" s="26"/>
      <c r="G4754" s="27"/>
      <c r="H4754" s="17">
        <f>MAX(0,H4753-648000)</f>
        <v>518940</v>
      </c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1:26" ht="26.25" x14ac:dyDescent="0.4">
      <c r="A4755" s="25" t="s">
        <v>17</v>
      </c>
      <c r="B4755" s="26"/>
      <c r="C4755" s="26"/>
      <c r="D4755" s="26"/>
      <c r="E4755" s="26"/>
      <c r="F4755" s="26"/>
      <c r="G4755" s="27"/>
      <c r="H4755" s="18">
        <v>649000</v>
      </c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1:26" ht="26.25" x14ac:dyDescent="0.4">
      <c r="A4756" s="28" t="s">
        <v>18</v>
      </c>
      <c r="B4756" s="26"/>
      <c r="C4756" s="26"/>
      <c r="D4756" s="26"/>
      <c r="E4756" s="26"/>
      <c r="F4756" s="26"/>
      <c r="G4756" s="26"/>
      <c r="H4756" s="27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1:26" ht="12.75" x14ac:dyDescent="0.2"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1:26" ht="12.75" x14ac:dyDescent="0.2"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1:26" ht="12.75" x14ac:dyDescent="0.2"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1:26" ht="12.75" x14ac:dyDescent="0.2"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4" spans="1:26" ht="15.75" customHeight="1" x14ac:dyDescent="0.4">
      <c r="A4764" s="28" t="s">
        <v>0</v>
      </c>
      <c r="B4764" s="26"/>
      <c r="C4764" s="26"/>
      <c r="D4764" s="26"/>
      <c r="E4764" s="26"/>
      <c r="F4764" s="26"/>
      <c r="G4764" s="26"/>
      <c r="H4764" s="27"/>
    </row>
    <row r="4765" spans="1:26" ht="15.75" customHeight="1" x14ac:dyDescent="0.4">
      <c r="A4765" s="28" t="s">
        <v>1087</v>
      </c>
      <c r="B4765" s="26"/>
      <c r="C4765" s="26"/>
      <c r="D4765" s="26"/>
      <c r="E4765" s="26"/>
      <c r="F4765" s="26"/>
      <c r="G4765" s="26"/>
      <c r="H4765" s="27"/>
    </row>
    <row r="4766" spans="1:26" ht="15.75" customHeight="1" x14ac:dyDescent="0.3">
      <c r="A4766" s="3" t="s">
        <v>2</v>
      </c>
      <c r="B4766" s="3" t="s">
        <v>3</v>
      </c>
      <c r="C4766" s="3" t="s">
        <v>4</v>
      </c>
      <c r="D4766" s="3" t="s">
        <v>5</v>
      </c>
      <c r="E4766" s="3" t="s">
        <v>6</v>
      </c>
      <c r="F4766" s="4" t="s">
        <v>7</v>
      </c>
      <c r="G4766" s="3" t="s">
        <v>8</v>
      </c>
      <c r="H4766" s="5"/>
    </row>
    <row r="4767" spans="1:26" ht="29.25" customHeight="1" x14ac:dyDescent="0.4">
      <c r="A4767" s="6">
        <v>1</v>
      </c>
      <c r="B4767" s="20" t="s">
        <v>950</v>
      </c>
      <c r="C4767" s="21" t="s">
        <v>1088</v>
      </c>
      <c r="D4767" s="8" t="s">
        <v>11</v>
      </c>
      <c r="E4767" s="20">
        <v>2.36</v>
      </c>
      <c r="F4767" s="9">
        <v>293000</v>
      </c>
      <c r="G4767" s="10">
        <f t="shared" ref="G4767:G4769" si="316">IFERROR(E4767*F4767,0)</f>
        <v>691480</v>
      </c>
      <c r="H4767" s="11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1:26" ht="26.25" x14ac:dyDescent="0.4">
      <c r="A4768" s="6">
        <v>2</v>
      </c>
      <c r="B4768" s="22" t="s">
        <v>391</v>
      </c>
      <c r="C4768" s="23" t="s">
        <v>1089</v>
      </c>
      <c r="D4768" s="13" t="s">
        <v>13</v>
      </c>
      <c r="E4768" s="22">
        <v>1.2</v>
      </c>
      <c r="F4768" s="14">
        <v>435000</v>
      </c>
      <c r="G4768" s="10">
        <f t="shared" si="316"/>
        <v>522000</v>
      </c>
      <c r="H4768" s="11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1:26" ht="26.25" x14ac:dyDescent="0.4">
      <c r="A4769" s="6">
        <v>3</v>
      </c>
      <c r="B4769" s="15" t="s">
        <v>14</v>
      </c>
      <c r="C4769" s="11"/>
      <c r="D4769" s="11"/>
      <c r="E4769" s="11"/>
      <c r="F4769" s="11"/>
      <c r="G4769" s="16">
        <f t="shared" si="316"/>
        <v>0</v>
      </c>
      <c r="H4769" s="11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1:26" ht="26.25" x14ac:dyDescent="0.4">
      <c r="A4770" s="29" t="s">
        <v>15</v>
      </c>
      <c r="B4770" s="26"/>
      <c r="C4770" s="26"/>
      <c r="D4770" s="26"/>
      <c r="E4770" s="26"/>
      <c r="F4770" s="26"/>
      <c r="G4770" s="27"/>
      <c r="H4770" s="17">
        <f>SUM(G4767:G4769)</f>
        <v>1213480</v>
      </c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1:26" ht="26.25" x14ac:dyDescent="0.4">
      <c r="A4771" s="29" t="s">
        <v>16</v>
      </c>
      <c r="B4771" s="26"/>
      <c r="C4771" s="26"/>
      <c r="D4771" s="26"/>
      <c r="E4771" s="26"/>
      <c r="F4771" s="26"/>
      <c r="G4771" s="27"/>
      <c r="H4771" s="17">
        <f>MAX(0,H4770-648000)</f>
        <v>565480</v>
      </c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1:26" ht="26.25" x14ac:dyDescent="0.4">
      <c r="A4772" s="25" t="s">
        <v>17</v>
      </c>
      <c r="B4772" s="26"/>
      <c r="C4772" s="26"/>
      <c r="D4772" s="26"/>
      <c r="E4772" s="26"/>
      <c r="F4772" s="26"/>
      <c r="G4772" s="27"/>
      <c r="H4772" s="18">
        <v>649000</v>
      </c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1:26" ht="26.25" x14ac:dyDescent="0.4">
      <c r="A4773" s="28" t="s">
        <v>18</v>
      </c>
      <c r="B4773" s="26"/>
      <c r="C4773" s="26"/>
      <c r="D4773" s="26"/>
      <c r="E4773" s="26"/>
      <c r="F4773" s="26"/>
      <c r="G4773" s="26"/>
      <c r="H4773" s="27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1:26" ht="12.75" x14ac:dyDescent="0.2"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1:26" ht="12.75" x14ac:dyDescent="0.2"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1:26" ht="12.75" x14ac:dyDescent="0.2"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80" spans="1:26" ht="15.75" customHeight="1" x14ac:dyDescent="0.4">
      <c r="A4780" s="28" t="s">
        <v>0</v>
      </c>
      <c r="B4780" s="26"/>
      <c r="C4780" s="26"/>
      <c r="D4780" s="26"/>
      <c r="E4780" s="26"/>
      <c r="F4780" s="26"/>
      <c r="G4780" s="26"/>
      <c r="H4780" s="27"/>
    </row>
    <row r="4781" spans="1:26" ht="15.75" customHeight="1" x14ac:dyDescent="0.4">
      <c r="A4781" s="28" t="s">
        <v>1090</v>
      </c>
      <c r="B4781" s="26"/>
      <c r="C4781" s="26"/>
      <c r="D4781" s="26"/>
      <c r="E4781" s="26"/>
      <c r="F4781" s="26"/>
      <c r="G4781" s="26"/>
      <c r="H4781" s="27"/>
    </row>
    <row r="4782" spans="1:26" ht="29.25" customHeight="1" x14ac:dyDescent="0.3">
      <c r="A4782" s="3" t="s">
        <v>2</v>
      </c>
      <c r="B4782" s="3" t="s">
        <v>3</v>
      </c>
      <c r="C4782" s="3" t="s">
        <v>4</v>
      </c>
      <c r="D4782" s="3" t="s">
        <v>5</v>
      </c>
      <c r="E4782" s="3" t="s">
        <v>6</v>
      </c>
      <c r="F4782" s="4" t="s">
        <v>7</v>
      </c>
      <c r="G4782" s="3" t="s">
        <v>8</v>
      </c>
      <c r="H4782" s="5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1:26" ht="26.25" x14ac:dyDescent="0.4">
      <c r="A4783" s="6">
        <v>1</v>
      </c>
      <c r="B4783" s="20" t="s">
        <v>1091</v>
      </c>
      <c r="C4783" s="21" t="s">
        <v>1092</v>
      </c>
      <c r="D4783" s="8" t="s">
        <v>11</v>
      </c>
      <c r="E4783" s="20">
        <v>2</v>
      </c>
      <c r="F4783" s="9">
        <v>293000</v>
      </c>
      <c r="G4783" s="10">
        <f t="shared" ref="G4783:G4785" si="317">IFERROR(E4783*F4783,0)</f>
        <v>586000</v>
      </c>
      <c r="H4783" s="11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1:26" ht="26.25" x14ac:dyDescent="0.4">
      <c r="A4784" s="6">
        <v>2</v>
      </c>
      <c r="B4784" s="22" t="s">
        <v>1093</v>
      </c>
      <c r="C4784" s="23" t="s">
        <v>1094</v>
      </c>
      <c r="D4784" s="13" t="s">
        <v>13</v>
      </c>
      <c r="E4784" s="22">
        <v>1.44</v>
      </c>
      <c r="F4784" s="14">
        <v>435000</v>
      </c>
      <c r="G4784" s="10">
        <f t="shared" si="317"/>
        <v>626400</v>
      </c>
      <c r="H4784" s="11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1:26" ht="26.25" x14ac:dyDescent="0.4">
      <c r="A4785" s="6">
        <v>3</v>
      </c>
      <c r="B4785" s="15" t="s">
        <v>14</v>
      </c>
      <c r="C4785" s="11"/>
      <c r="D4785" s="11"/>
      <c r="E4785" s="11"/>
      <c r="F4785" s="11"/>
      <c r="G4785" s="16">
        <f t="shared" si="317"/>
        <v>0</v>
      </c>
      <c r="H4785" s="11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1:26" ht="26.25" x14ac:dyDescent="0.4">
      <c r="A4786" s="29" t="s">
        <v>15</v>
      </c>
      <c r="B4786" s="26"/>
      <c r="C4786" s="26"/>
      <c r="D4786" s="26"/>
      <c r="E4786" s="26"/>
      <c r="F4786" s="26"/>
      <c r="G4786" s="27"/>
      <c r="H4786" s="17">
        <f>SUM(G4783:G4785)</f>
        <v>1212400</v>
      </c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1:26" ht="26.25" x14ac:dyDescent="0.4">
      <c r="A4787" s="29" t="s">
        <v>16</v>
      </c>
      <c r="B4787" s="26"/>
      <c r="C4787" s="26"/>
      <c r="D4787" s="26"/>
      <c r="E4787" s="26"/>
      <c r="F4787" s="26"/>
      <c r="G4787" s="27"/>
      <c r="H4787" s="17">
        <f>MAX(0,H4786-648000)</f>
        <v>564400</v>
      </c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1:26" ht="26.25" x14ac:dyDescent="0.4">
      <c r="A4788" s="25" t="s">
        <v>17</v>
      </c>
      <c r="B4788" s="26"/>
      <c r="C4788" s="26"/>
      <c r="D4788" s="26"/>
      <c r="E4788" s="26"/>
      <c r="F4788" s="26"/>
      <c r="G4788" s="27"/>
      <c r="H4788" s="18">
        <v>649000</v>
      </c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1:26" ht="26.25" x14ac:dyDescent="0.4">
      <c r="A4789" s="28" t="s">
        <v>18</v>
      </c>
      <c r="B4789" s="26"/>
      <c r="C4789" s="26"/>
      <c r="D4789" s="26"/>
      <c r="E4789" s="26"/>
      <c r="F4789" s="26"/>
      <c r="G4789" s="26"/>
      <c r="H4789" s="27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1:26" ht="12.75" x14ac:dyDescent="0.2"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1:26" ht="12.75" x14ac:dyDescent="0.2"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5" spans="1:26" ht="15.75" customHeight="1" x14ac:dyDescent="0.4">
      <c r="A4795" s="28" t="s">
        <v>0</v>
      </c>
      <c r="B4795" s="26"/>
      <c r="C4795" s="26"/>
      <c r="D4795" s="26"/>
      <c r="E4795" s="26"/>
      <c r="F4795" s="26"/>
      <c r="G4795" s="26"/>
      <c r="H4795" s="27"/>
    </row>
    <row r="4796" spans="1:26" ht="15.75" customHeight="1" x14ac:dyDescent="0.4">
      <c r="A4796" s="28" t="s">
        <v>1095</v>
      </c>
      <c r="B4796" s="26"/>
      <c r="C4796" s="26"/>
      <c r="D4796" s="26"/>
      <c r="E4796" s="26"/>
      <c r="F4796" s="26"/>
      <c r="G4796" s="26"/>
      <c r="H4796" s="27"/>
    </row>
    <row r="4797" spans="1:26" ht="15.75" customHeight="1" x14ac:dyDescent="0.3">
      <c r="A4797" s="3" t="s">
        <v>2</v>
      </c>
      <c r="B4797" s="3" t="s">
        <v>3</v>
      </c>
      <c r="C4797" s="3" t="s">
        <v>4</v>
      </c>
      <c r="D4797" s="3" t="s">
        <v>5</v>
      </c>
      <c r="E4797" s="3" t="s">
        <v>6</v>
      </c>
      <c r="F4797" s="4" t="s">
        <v>7</v>
      </c>
      <c r="G4797" s="3" t="s">
        <v>8</v>
      </c>
      <c r="H4797" s="5"/>
    </row>
    <row r="4798" spans="1:26" ht="29.25" customHeight="1" x14ac:dyDescent="0.4">
      <c r="A4798" s="6">
        <v>1</v>
      </c>
      <c r="B4798" s="20" t="s">
        <v>27</v>
      </c>
      <c r="C4798" s="21" t="s">
        <v>1096</v>
      </c>
      <c r="D4798" s="8" t="s">
        <v>11</v>
      </c>
      <c r="E4798" s="20">
        <v>2.0499999999999998</v>
      </c>
      <c r="F4798" s="9">
        <v>293000</v>
      </c>
      <c r="G4798" s="10">
        <f t="shared" ref="G4798:G4800" si="318">IFERROR(E4798*F4798,0)</f>
        <v>600650</v>
      </c>
      <c r="H4798" s="11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1:26" ht="26.25" x14ac:dyDescent="0.4">
      <c r="A4799" s="6">
        <v>2</v>
      </c>
      <c r="B4799" s="22" t="s">
        <v>331</v>
      </c>
      <c r="C4799" s="23" t="s">
        <v>1097</v>
      </c>
      <c r="D4799" s="13" t="s">
        <v>13</v>
      </c>
      <c r="E4799" s="22">
        <v>1.4</v>
      </c>
      <c r="F4799" s="14">
        <v>435000</v>
      </c>
      <c r="G4799" s="10">
        <f t="shared" si="318"/>
        <v>609000</v>
      </c>
      <c r="H4799" s="11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1:26" ht="26.25" x14ac:dyDescent="0.4">
      <c r="A4800" s="6">
        <v>3</v>
      </c>
      <c r="B4800" s="15" t="s">
        <v>14</v>
      </c>
      <c r="C4800" s="11"/>
      <c r="D4800" s="11"/>
      <c r="E4800" s="11"/>
      <c r="F4800" s="11"/>
      <c r="G4800" s="16">
        <f t="shared" si="318"/>
        <v>0</v>
      </c>
      <c r="H4800" s="11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1:26" ht="26.25" x14ac:dyDescent="0.4">
      <c r="A4801" s="29" t="s">
        <v>15</v>
      </c>
      <c r="B4801" s="26"/>
      <c r="C4801" s="26"/>
      <c r="D4801" s="26"/>
      <c r="E4801" s="26"/>
      <c r="F4801" s="26"/>
      <c r="G4801" s="27"/>
      <c r="H4801" s="17">
        <f>SUM(G4798:G4800)</f>
        <v>1209650</v>
      </c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1:26" ht="26.25" x14ac:dyDescent="0.4">
      <c r="A4802" s="29" t="s">
        <v>16</v>
      </c>
      <c r="B4802" s="26"/>
      <c r="C4802" s="26"/>
      <c r="D4802" s="26"/>
      <c r="E4802" s="26"/>
      <c r="F4802" s="26"/>
      <c r="G4802" s="27"/>
      <c r="H4802" s="17">
        <f>MAX(0,H4801-648000)</f>
        <v>561650</v>
      </c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1:26" ht="26.25" x14ac:dyDescent="0.4">
      <c r="A4803" s="25" t="s">
        <v>17</v>
      </c>
      <c r="B4803" s="26"/>
      <c r="C4803" s="26"/>
      <c r="D4803" s="26"/>
      <c r="E4803" s="26"/>
      <c r="F4803" s="26"/>
      <c r="G4803" s="27"/>
      <c r="H4803" s="18">
        <v>649000</v>
      </c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1:26" ht="26.25" x14ac:dyDescent="0.4">
      <c r="A4804" s="28" t="s">
        <v>18</v>
      </c>
      <c r="B4804" s="26"/>
      <c r="C4804" s="26"/>
      <c r="D4804" s="26"/>
      <c r="E4804" s="26"/>
      <c r="F4804" s="26"/>
      <c r="G4804" s="26"/>
      <c r="H4804" s="27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1:26" ht="12.75" x14ac:dyDescent="0.2"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1:26" ht="12.75" x14ac:dyDescent="0.2"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1:26" ht="12.75" x14ac:dyDescent="0.2"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11" spans="1:26" ht="15.75" customHeight="1" x14ac:dyDescent="0.4">
      <c r="A4811" s="28" t="s">
        <v>0</v>
      </c>
      <c r="B4811" s="26"/>
      <c r="C4811" s="26"/>
      <c r="D4811" s="26"/>
      <c r="E4811" s="26"/>
      <c r="F4811" s="26"/>
      <c r="G4811" s="26"/>
      <c r="H4811" s="27"/>
    </row>
    <row r="4812" spans="1:26" ht="15.75" customHeight="1" x14ac:dyDescent="0.4">
      <c r="A4812" s="28" t="s">
        <v>1098</v>
      </c>
      <c r="B4812" s="26"/>
      <c r="C4812" s="26"/>
      <c r="D4812" s="26"/>
      <c r="E4812" s="26"/>
      <c r="F4812" s="26"/>
      <c r="G4812" s="26"/>
      <c r="H4812" s="27"/>
    </row>
    <row r="4813" spans="1:26" ht="15.75" customHeight="1" x14ac:dyDescent="0.3">
      <c r="A4813" s="3" t="s">
        <v>2</v>
      </c>
      <c r="B4813" s="3" t="s">
        <v>3</v>
      </c>
      <c r="C4813" s="3" t="s">
        <v>4</v>
      </c>
      <c r="D4813" s="3" t="s">
        <v>5</v>
      </c>
      <c r="E4813" s="3" t="s">
        <v>6</v>
      </c>
      <c r="F4813" s="4" t="s">
        <v>7</v>
      </c>
      <c r="G4813" s="3" t="s">
        <v>8</v>
      </c>
      <c r="H4813" s="5"/>
    </row>
    <row r="4814" spans="1:26" ht="29.25" customHeight="1" x14ac:dyDescent="0.4">
      <c r="A4814" s="6">
        <v>1</v>
      </c>
      <c r="B4814" s="20" t="s">
        <v>294</v>
      </c>
      <c r="C4814" s="21" t="s">
        <v>1099</v>
      </c>
      <c r="D4814" s="8" t="s">
        <v>11</v>
      </c>
      <c r="E4814" s="20">
        <v>1.48</v>
      </c>
      <c r="F4814" s="9">
        <v>293000</v>
      </c>
      <c r="G4814" s="10">
        <f t="shared" ref="G4814:G4816" si="319">IFERROR(E4814*F4814,0)</f>
        <v>433640</v>
      </c>
      <c r="H4814" s="11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1:26" ht="26.25" x14ac:dyDescent="0.4">
      <c r="A4815" s="6">
        <v>2</v>
      </c>
      <c r="B4815" s="22" t="s">
        <v>279</v>
      </c>
      <c r="C4815" s="23" t="s">
        <v>936</v>
      </c>
      <c r="D4815" s="13" t="s">
        <v>13</v>
      </c>
      <c r="E4815" s="22">
        <v>2</v>
      </c>
      <c r="F4815" s="14">
        <v>435000</v>
      </c>
      <c r="G4815" s="10">
        <f t="shared" si="319"/>
        <v>870000</v>
      </c>
      <c r="H4815" s="11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1:26" ht="26.25" x14ac:dyDescent="0.4">
      <c r="A4816" s="6">
        <v>3</v>
      </c>
      <c r="B4816" s="15" t="s">
        <v>14</v>
      </c>
      <c r="C4816" s="11"/>
      <c r="D4816" s="11"/>
      <c r="E4816" s="11"/>
      <c r="F4816" s="11"/>
      <c r="G4816" s="16">
        <f t="shared" si="319"/>
        <v>0</v>
      </c>
      <c r="H4816" s="11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1:26" ht="26.25" x14ac:dyDescent="0.4">
      <c r="A4817" s="29" t="s">
        <v>15</v>
      </c>
      <c r="B4817" s="26"/>
      <c r="C4817" s="26"/>
      <c r="D4817" s="26"/>
      <c r="E4817" s="26"/>
      <c r="F4817" s="26"/>
      <c r="G4817" s="27"/>
      <c r="H4817" s="17">
        <f>SUM(G4814:G4816)</f>
        <v>1303640</v>
      </c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1:26" ht="26.25" x14ac:dyDescent="0.4">
      <c r="A4818" s="29" t="s">
        <v>16</v>
      </c>
      <c r="B4818" s="26"/>
      <c r="C4818" s="26"/>
      <c r="D4818" s="26"/>
      <c r="E4818" s="26"/>
      <c r="F4818" s="26"/>
      <c r="G4818" s="27"/>
      <c r="H4818" s="17">
        <f>MAX(0,H4817-648000)</f>
        <v>655640</v>
      </c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1:26" ht="26.25" x14ac:dyDescent="0.4">
      <c r="A4819" s="25" t="s">
        <v>17</v>
      </c>
      <c r="B4819" s="26"/>
      <c r="C4819" s="26"/>
      <c r="D4819" s="26"/>
      <c r="E4819" s="26"/>
      <c r="F4819" s="26"/>
      <c r="G4819" s="27"/>
      <c r="H4819" s="18">
        <v>649000</v>
      </c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1:26" ht="26.25" x14ac:dyDescent="0.4">
      <c r="A4820" s="28" t="s">
        <v>18</v>
      </c>
      <c r="B4820" s="26"/>
      <c r="C4820" s="26"/>
      <c r="D4820" s="26"/>
      <c r="E4820" s="26"/>
      <c r="F4820" s="26"/>
      <c r="G4820" s="26"/>
      <c r="H4820" s="27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1:26" ht="12.75" x14ac:dyDescent="0.2"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1:26" ht="12.75" x14ac:dyDescent="0.2"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1:26" ht="12.75" x14ac:dyDescent="0.2"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7" spans="1:26" ht="15.75" customHeight="1" x14ac:dyDescent="0.4">
      <c r="A4827" s="28" t="s">
        <v>0</v>
      </c>
      <c r="B4827" s="26"/>
      <c r="C4827" s="26"/>
      <c r="D4827" s="26"/>
      <c r="E4827" s="26"/>
      <c r="F4827" s="26"/>
      <c r="G4827" s="26"/>
      <c r="H4827" s="27"/>
    </row>
    <row r="4828" spans="1:26" ht="29.25" customHeight="1" x14ac:dyDescent="0.4">
      <c r="A4828" s="28" t="s">
        <v>1100</v>
      </c>
      <c r="B4828" s="26"/>
      <c r="C4828" s="26"/>
      <c r="D4828" s="26"/>
      <c r="E4828" s="26"/>
      <c r="F4828" s="26"/>
      <c r="G4828" s="26"/>
      <c r="H4828" s="27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spans="1:26" ht="18.75" x14ac:dyDescent="0.3">
      <c r="A4829" s="3" t="s">
        <v>2</v>
      </c>
      <c r="B4829" s="3" t="s">
        <v>3</v>
      </c>
      <c r="C4829" s="3" t="s">
        <v>4</v>
      </c>
      <c r="D4829" s="3" t="s">
        <v>5</v>
      </c>
      <c r="E4829" s="3" t="s">
        <v>6</v>
      </c>
      <c r="F4829" s="4" t="s">
        <v>7</v>
      </c>
      <c r="G4829" s="3" t="s">
        <v>8</v>
      </c>
      <c r="H4829" s="5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spans="1:26" ht="26.25" x14ac:dyDescent="0.4">
      <c r="A4830" s="6">
        <v>1</v>
      </c>
      <c r="B4830" s="20" t="s">
        <v>763</v>
      </c>
      <c r="C4830" s="21" t="s">
        <v>764</v>
      </c>
      <c r="D4830" s="8" t="s">
        <v>11</v>
      </c>
      <c r="E4830" s="20">
        <v>2.41</v>
      </c>
      <c r="F4830" s="9">
        <v>293000</v>
      </c>
      <c r="G4830" s="10">
        <f t="shared" ref="G4830:G4832" si="320">IFERROR(E4830*F4830,0)</f>
        <v>706130</v>
      </c>
      <c r="H4830" s="11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spans="1:26" ht="26.25" x14ac:dyDescent="0.4">
      <c r="A4831" s="6">
        <v>2</v>
      </c>
      <c r="B4831" s="22" t="s">
        <v>1101</v>
      </c>
      <c r="C4831" s="23" t="s">
        <v>1102</v>
      </c>
      <c r="D4831" s="13" t="s">
        <v>13</v>
      </c>
      <c r="E4831" s="22">
        <v>1</v>
      </c>
      <c r="F4831" s="14">
        <v>435000</v>
      </c>
      <c r="G4831" s="10">
        <f t="shared" si="320"/>
        <v>435000</v>
      </c>
      <c r="H4831" s="11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1:26" ht="26.25" x14ac:dyDescent="0.4">
      <c r="A4832" s="6">
        <v>3</v>
      </c>
      <c r="B4832" s="15" t="s">
        <v>14</v>
      </c>
      <c r="C4832" s="11"/>
      <c r="D4832" s="11"/>
      <c r="E4832" s="11"/>
      <c r="F4832" s="11"/>
      <c r="G4832" s="16">
        <f t="shared" si="320"/>
        <v>0</v>
      </c>
      <c r="H4832" s="11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1:26" ht="26.25" x14ac:dyDescent="0.4">
      <c r="A4833" s="29" t="s">
        <v>15</v>
      </c>
      <c r="B4833" s="26"/>
      <c r="C4833" s="26"/>
      <c r="D4833" s="26"/>
      <c r="E4833" s="26"/>
      <c r="F4833" s="26"/>
      <c r="G4833" s="27"/>
      <c r="H4833" s="17">
        <f>SUM(G4830:G4832)</f>
        <v>1141130</v>
      </c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1:26" ht="26.25" x14ac:dyDescent="0.4">
      <c r="A4834" s="29" t="s">
        <v>16</v>
      </c>
      <c r="B4834" s="26"/>
      <c r="C4834" s="26"/>
      <c r="D4834" s="26"/>
      <c r="E4834" s="26"/>
      <c r="F4834" s="26"/>
      <c r="G4834" s="27"/>
      <c r="H4834" s="17">
        <f>MAX(0,H4833-648000)</f>
        <v>493130</v>
      </c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1:26" ht="26.25" x14ac:dyDescent="0.4">
      <c r="A4835" s="25" t="s">
        <v>17</v>
      </c>
      <c r="B4835" s="26"/>
      <c r="C4835" s="26"/>
      <c r="D4835" s="26"/>
      <c r="E4835" s="26"/>
      <c r="F4835" s="26"/>
      <c r="G4835" s="27"/>
      <c r="H4835" s="18">
        <v>649000</v>
      </c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1:26" ht="26.25" x14ac:dyDescent="0.4">
      <c r="A4836" s="28" t="s">
        <v>18</v>
      </c>
      <c r="B4836" s="26"/>
      <c r="C4836" s="26"/>
      <c r="D4836" s="26"/>
      <c r="E4836" s="26"/>
      <c r="F4836" s="26"/>
      <c r="G4836" s="26"/>
      <c r="H4836" s="27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1:26" ht="12.75" x14ac:dyDescent="0.2"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41" spans="1:26" ht="15.75" customHeight="1" x14ac:dyDescent="0.4">
      <c r="A4841" s="28" t="s">
        <v>0</v>
      </c>
      <c r="B4841" s="26"/>
      <c r="C4841" s="26"/>
      <c r="D4841" s="26"/>
      <c r="E4841" s="26"/>
      <c r="F4841" s="26"/>
      <c r="G4841" s="26"/>
      <c r="H4841" s="27"/>
    </row>
    <row r="4842" spans="1:26" ht="15.75" customHeight="1" x14ac:dyDescent="0.4">
      <c r="A4842" s="28" t="s">
        <v>1103</v>
      </c>
      <c r="B4842" s="26"/>
      <c r="C4842" s="26"/>
      <c r="D4842" s="26"/>
      <c r="E4842" s="26"/>
      <c r="F4842" s="26"/>
      <c r="G4842" s="26"/>
      <c r="H4842" s="27"/>
    </row>
    <row r="4843" spans="1:26" ht="29.25" customHeight="1" x14ac:dyDescent="0.3">
      <c r="A4843" s="3" t="s">
        <v>2</v>
      </c>
      <c r="B4843" s="3" t="s">
        <v>3</v>
      </c>
      <c r="C4843" s="3" t="s">
        <v>4</v>
      </c>
      <c r="D4843" s="3" t="s">
        <v>5</v>
      </c>
      <c r="E4843" s="3" t="s">
        <v>6</v>
      </c>
      <c r="F4843" s="4" t="s">
        <v>7</v>
      </c>
      <c r="G4843" s="3" t="s">
        <v>8</v>
      </c>
      <c r="H4843" s="5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1:26" ht="26.25" x14ac:dyDescent="0.4">
      <c r="A4844" s="6">
        <v>1</v>
      </c>
      <c r="B4844" s="20" t="s">
        <v>41</v>
      </c>
      <c r="C4844" s="21" t="s">
        <v>1104</v>
      </c>
      <c r="D4844" s="8" t="s">
        <v>11</v>
      </c>
      <c r="E4844" s="20">
        <v>1.53</v>
      </c>
      <c r="F4844" s="9">
        <v>293000</v>
      </c>
      <c r="G4844" s="10">
        <f t="shared" ref="G4844:G4846" si="321">IFERROR(E4844*F4844,0)</f>
        <v>448290</v>
      </c>
      <c r="H4844" s="11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1:26" ht="26.25" x14ac:dyDescent="0.4">
      <c r="A4845" s="6">
        <v>2</v>
      </c>
      <c r="B4845" s="22" t="s">
        <v>1006</v>
      </c>
      <c r="C4845" s="23" t="s">
        <v>1105</v>
      </c>
      <c r="D4845" s="13" t="s">
        <v>13</v>
      </c>
      <c r="E4845" s="22">
        <v>2</v>
      </c>
      <c r="F4845" s="14">
        <v>435000</v>
      </c>
      <c r="G4845" s="10">
        <f t="shared" si="321"/>
        <v>870000</v>
      </c>
      <c r="H4845" s="11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1:26" ht="26.25" x14ac:dyDescent="0.4">
      <c r="A4846" s="6">
        <v>3</v>
      </c>
      <c r="B4846" s="15" t="s">
        <v>14</v>
      </c>
      <c r="C4846" s="11"/>
      <c r="D4846" s="11"/>
      <c r="E4846" s="11"/>
      <c r="F4846" s="11"/>
      <c r="G4846" s="16">
        <f t="shared" si="321"/>
        <v>0</v>
      </c>
      <c r="H4846" s="11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1:26" ht="26.25" x14ac:dyDescent="0.4">
      <c r="A4847" s="29" t="s">
        <v>15</v>
      </c>
      <c r="B4847" s="26"/>
      <c r="C4847" s="26"/>
      <c r="D4847" s="26"/>
      <c r="E4847" s="26"/>
      <c r="F4847" s="26"/>
      <c r="G4847" s="27"/>
      <c r="H4847" s="17">
        <f>SUM(G4844:G4846)</f>
        <v>1318290</v>
      </c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1:26" ht="26.25" x14ac:dyDescent="0.4">
      <c r="A4848" s="29" t="s">
        <v>16</v>
      </c>
      <c r="B4848" s="26"/>
      <c r="C4848" s="26"/>
      <c r="D4848" s="26"/>
      <c r="E4848" s="26"/>
      <c r="F4848" s="26"/>
      <c r="G4848" s="27"/>
      <c r="H4848" s="17">
        <f>MAX(0,H4847-648000)</f>
        <v>670290</v>
      </c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1:26" ht="26.25" x14ac:dyDescent="0.4">
      <c r="A4849" s="25" t="s">
        <v>17</v>
      </c>
      <c r="B4849" s="26"/>
      <c r="C4849" s="26"/>
      <c r="D4849" s="26"/>
      <c r="E4849" s="26"/>
      <c r="F4849" s="26"/>
      <c r="G4849" s="27"/>
      <c r="H4849" s="18">
        <v>649000</v>
      </c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1:26" ht="26.25" x14ac:dyDescent="0.4">
      <c r="A4850" s="28" t="s">
        <v>18</v>
      </c>
      <c r="B4850" s="26"/>
      <c r="C4850" s="26"/>
      <c r="D4850" s="26"/>
      <c r="E4850" s="26"/>
      <c r="F4850" s="26"/>
      <c r="G4850" s="26"/>
      <c r="H4850" s="27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1:26" ht="12.75" x14ac:dyDescent="0.2"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1:26" ht="12.75" x14ac:dyDescent="0.2"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6" spans="1:26" ht="15.75" customHeight="1" x14ac:dyDescent="0.4">
      <c r="A4856" s="28" t="s">
        <v>0</v>
      </c>
      <c r="B4856" s="26"/>
      <c r="C4856" s="26"/>
      <c r="D4856" s="26"/>
      <c r="E4856" s="26"/>
      <c r="F4856" s="26"/>
      <c r="G4856" s="26"/>
      <c r="H4856" s="27"/>
    </row>
    <row r="4857" spans="1:26" ht="15.75" customHeight="1" x14ac:dyDescent="0.4">
      <c r="A4857" s="28" t="s">
        <v>1106</v>
      </c>
      <c r="B4857" s="26"/>
      <c r="C4857" s="26"/>
      <c r="D4857" s="26"/>
      <c r="E4857" s="26"/>
      <c r="F4857" s="26"/>
      <c r="G4857" s="26"/>
      <c r="H4857" s="27"/>
    </row>
    <row r="4858" spans="1:26" ht="15.75" customHeight="1" x14ac:dyDescent="0.3">
      <c r="A4858" s="3" t="s">
        <v>2</v>
      </c>
      <c r="B4858" s="3" t="s">
        <v>3</v>
      </c>
      <c r="C4858" s="3" t="s">
        <v>4</v>
      </c>
      <c r="D4858" s="3" t="s">
        <v>5</v>
      </c>
      <c r="E4858" s="3" t="s">
        <v>6</v>
      </c>
      <c r="F4858" s="4" t="s">
        <v>7</v>
      </c>
      <c r="G4858" s="3" t="s">
        <v>8</v>
      </c>
      <c r="H4858" s="5"/>
    </row>
    <row r="4859" spans="1:26" ht="29.25" customHeight="1" x14ac:dyDescent="0.4">
      <c r="A4859" s="6">
        <v>1</v>
      </c>
      <c r="B4859" s="20" t="s">
        <v>94</v>
      </c>
      <c r="C4859" s="21" t="s">
        <v>1107</v>
      </c>
      <c r="D4859" s="8" t="s">
        <v>11</v>
      </c>
      <c r="E4859" s="20">
        <v>1</v>
      </c>
      <c r="F4859" s="9">
        <v>293000</v>
      </c>
      <c r="G4859" s="10">
        <f t="shared" ref="G4859:G4861" si="322">IFERROR(E4859*F4859,0)</f>
        <v>293000</v>
      </c>
      <c r="H4859" s="11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1:26" ht="26.25" x14ac:dyDescent="0.4">
      <c r="A4860" s="6">
        <v>2</v>
      </c>
      <c r="B4860" s="22" t="s">
        <v>128</v>
      </c>
      <c r="C4860" s="23" t="s">
        <v>1108</v>
      </c>
      <c r="D4860" s="13" t="s">
        <v>13</v>
      </c>
      <c r="E4860" s="22">
        <v>2.4500000000000002</v>
      </c>
      <c r="F4860" s="14">
        <v>435000</v>
      </c>
      <c r="G4860" s="10">
        <f t="shared" si="322"/>
        <v>1065750</v>
      </c>
      <c r="H4860" s="11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1:26" ht="26.25" x14ac:dyDescent="0.4">
      <c r="A4861" s="6">
        <v>3</v>
      </c>
      <c r="B4861" s="15" t="s">
        <v>14</v>
      </c>
      <c r="C4861" s="11"/>
      <c r="D4861" s="11"/>
      <c r="E4861" s="11"/>
      <c r="F4861" s="11"/>
      <c r="G4861" s="16">
        <f t="shared" si="322"/>
        <v>0</v>
      </c>
      <c r="H4861" s="11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1:26" ht="26.25" x14ac:dyDescent="0.4">
      <c r="A4862" s="29" t="s">
        <v>15</v>
      </c>
      <c r="B4862" s="26"/>
      <c r="C4862" s="26"/>
      <c r="D4862" s="26"/>
      <c r="E4862" s="26"/>
      <c r="F4862" s="26"/>
      <c r="G4862" s="27"/>
      <c r="H4862" s="17">
        <f>SUM(G4859:G4861)</f>
        <v>1358750</v>
      </c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1:26" ht="26.25" x14ac:dyDescent="0.4">
      <c r="A4863" s="29" t="s">
        <v>16</v>
      </c>
      <c r="B4863" s="26"/>
      <c r="C4863" s="26"/>
      <c r="D4863" s="26"/>
      <c r="E4863" s="26"/>
      <c r="F4863" s="26"/>
      <c r="G4863" s="27"/>
      <c r="H4863" s="17">
        <f>MAX(0,H4862-648000)</f>
        <v>710750</v>
      </c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1:26" ht="26.25" x14ac:dyDescent="0.4">
      <c r="A4864" s="25" t="s">
        <v>17</v>
      </c>
      <c r="B4864" s="26"/>
      <c r="C4864" s="26"/>
      <c r="D4864" s="26"/>
      <c r="E4864" s="26"/>
      <c r="F4864" s="26"/>
      <c r="G4864" s="27"/>
      <c r="H4864" s="18">
        <v>649000</v>
      </c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1:26" ht="26.25" x14ac:dyDescent="0.4">
      <c r="A4865" s="28" t="s">
        <v>18</v>
      </c>
      <c r="B4865" s="26"/>
      <c r="C4865" s="26"/>
      <c r="D4865" s="26"/>
      <c r="E4865" s="26"/>
      <c r="F4865" s="26"/>
      <c r="G4865" s="26"/>
      <c r="H4865" s="27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1:26" ht="12.75" x14ac:dyDescent="0.2"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1:26" ht="12.75" x14ac:dyDescent="0.2"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1:26" ht="12.75" x14ac:dyDescent="0.2"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72" spans="1:26" ht="15.75" customHeight="1" x14ac:dyDescent="0.4">
      <c r="A4872" s="28" t="s">
        <v>0</v>
      </c>
      <c r="B4872" s="26"/>
      <c r="C4872" s="26"/>
      <c r="D4872" s="26"/>
      <c r="E4872" s="26"/>
      <c r="F4872" s="26"/>
      <c r="G4872" s="26"/>
      <c r="H4872" s="27"/>
    </row>
    <row r="4873" spans="1:26" ht="29.25" customHeight="1" x14ac:dyDescent="0.4">
      <c r="A4873" s="28" t="s">
        <v>1109</v>
      </c>
      <c r="B4873" s="26"/>
      <c r="C4873" s="26"/>
      <c r="D4873" s="26"/>
      <c r="E4873" s="26"/>
      <c r="F4873" s="26"/>
      <c r="G4873" s="26"/>
      <c r="H4873" s="27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1:26" ht="18.75" x14ac:dyDescent="0.3">
      <c r="A4874" s="3" t="s">
        <v>2</v>
      </c>
      <c r="B4874" s="3" t="s">
        <v>3</v>
      </c>
      <c r="C4874" s="3" t="s">
        <v>4</v>
      </c>
      <c r="D4874" s="3" t="s">
        <v>5</v>
      </c>
      <c r="E4874" s="3" t="s">
        <v>6</v>
      </c>
      <c r="F4874" s="4" t="s">
        <v>7</v>
      </c>
      <c r="G4874" s="3" t="s">
        <v>8</v>
      </c>
      <c r="H4874" s="5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1:26" ht="26.25" x14ac:dyDescent="0.4">
      <c r="A4875" s="6">
        <v>1</v>
      </c>
      <c r="B4875" s="20" t="s">
        <v>1110</v>
      </c>
      <c r="C4875" s="21" t="s">
        <v>1111</v>
      </c>
      <c r="D4875" s="8" t="s">
        <v>11</v>
      </c>
      <c r="E4875" s="20">
        <v>0.86</v>
      </c>
      <c r="F4875" s="9">
        <v>293000</v>
      </c>
      <c r="G4875" s="10">
        <f t="shared" ref="G4875:G4877" si="323">IFERROR(E4875*F4875,0)</f>
        <v>251980</v>
      </c>
      <c r="H4875" s="11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1:26" ht="26.25" x14ac:dyDescent="0.4">
      <c r="A4876" s="6">
        <v>2</v>
      </c>
      <c r="B4876" s="22" t="s">
        <v>22</v>
      </c>
      <c r="C4876" s="23" t="s">
        <v>1112</v>
      </c>
      <c r="D4876" s="13" t="s">
        <v>13</v>
      </c>
      <c r="E4876" s="22">
        <v>2.96</v>
      </c>
      <c r="F4876" s="14">
        <v>435000</v>
      </c>
      <c r="G4876" s="10">
        <f t="shared" si="323"/>
        <v>1287600</v>
      </c>
      <c r="H4876" s="11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1:26" ht="26.25" x14ac:dyDescent="0.4">
      <c r="A4877" s="6">
        <v>3</v>
      </c>
      <c r="B4877" s="15" t="s">
        <v>14</v>
      </c>
      <c r="C4877" s="11"/>
      <c r="D4877" s="11"/>
      <c r="E4877" s="11"/>
      <c r="F4877" s="11"/>
      <c r="G4877" s="16">
        <f t="shared" si="323"/>
        <v>0</v>
      </c>
      <c r="H4877" s="11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1:26" ht="26.25" x14ac:dyDescent="0.4">
      <c r="A4878" s="29" t="s">
        <v>15</v>
      </c>
      <c r="B4878" s="26"/>
      <c r="C4878" s="26"/>
      <c r="D4878" s="26"/>
      <c r="E4878" s="26"/>
      <c r="F4878" s="26"/>
      <c r="G4878" s="27"/>
      <c r="H4878" s="17">
        <f>SUM(G4875:G4877)</f>
        <v>1539580</v>
      </c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1:26" ht="26.25" x14ac:dyDescent="0.4">
      <c r="A4879" s="29" t="s">
        <v>16</v>
      </c>
      <c r="B4879" s="26"/>
      <c r="C4879" s="26"/>
      <c r="D4879" s="26"/>
      <c r="E4879" s="26"/>
      <c r="F4879" s="26"/>
      <c r="G4879" s="27"/>
      <c r="H4879" s="17">
        <f>MAX(0,H4878-648000)</f>
        <v>891580</v>
      </c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1:26" ht="26.25" x14ac:dyDescent="0.4">
      <c r="A4880" s="25" t="s">
        <v>17</v>
      </c>
      <c r="B4880" s="26"/>
      <c r="C4880" s="26"/>
      <c r="D4880" s="26"/>
      <c r="E4880" s="26"/>
      <c r="F4880" s="26"/>
      <c r="G4880" s="27"/>
      <c r="H4880" s="18">
        <v>649000</v>
      </c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1:26" ht="26.25" x14ac:dyDescent="0.4">
      <c r="A4881" s="28" t="s">
        <v>18</v>
      </c>
      <c r="B4881" s="26"/>
      <c r="C4881" s="26"/>
      <c r="D4881" s="26"/>
      <c r="E4881" s="26"/>
      <c r="F4881" s="26"/>
      <c r="G4881" s="26"/>
      <c r="H4881" s="27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1:26" ht="12.75" x14ac:dyDescent="0.2"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6" spans="1:26" ht="15.75" customHeight="1" x14ac:dyDescent="0.4">
      <c r="A4886" s="28" t="s">
        <v>0</v>
      </c>
      <c r="B4886" s="26"/>
      <c r="C4886" s="26"/>
      <c r="D4886" s="26"/>
      <c r="E4886" s="26"/>
      <c r="F4886" s="26"/>
      <c r="G4886" s="26"/>
      <c r="H4886" s="27"/>
    </row>
    <row r="4887" spans="1:26" ht="15.75" customHeight="1" x14ac:dyDescent="0.4">
      <c r="A4887" s="28" t="s">
        <v>1113</v>
      </c>
      <c r="B4887" s="26"/>
      <c r="C4887" s="26"/>
      <c r="D4887" s="26"/>
      <c r="E4887" s="26"/>
      <c r="F4887" s="26"/>
      <c r="G4887" s="26"/>
      <c r="H4887" s="27"/>
    </row>
    <row r="4888" spans="1:26" ht="29.25" customHeight="1" x14ac:dyDescent="0.3">
      <c r="A4888" s="3" t="s">
        <v>2</v>
      </c>
      <c r="B4888" s="3" t="s">
        <v>3</v>
      </c>
      <c r="C4888" s="3" t="s">
        <v>4</v>
      </c>
      <c r="D4888" s="3" t="s">
        <v>5</v>
      </c>
      <c r="E4888" s="3" t="s">
        <v>6</v>
      </c>
      <c r="F4888" s="4" t="s">
        <v>7</v>
      </c>
      <c r="G4888" s="3" t="s">
        <v>8</v>
      </c>
      <c r="H4888" s="5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1:26" ht="26.25" x14ac:dyDescent="0.4">
      <c r="A4889" s="6">
        <v>1</v>
      </c>
      <c r="B4889" s="20" t="s">
        <v>1114</v>
      </c>
      <c r="C4889" s="21" t="s">
        <v>1115</v>
      </c>
      <c r="D4889" s="8" t="s">
        <v>11</v>
      </c>
      <c r="E4889" s="20">
        <v>2.34</v>
      </c>
      <c r="F4889" s="9">
        <v>293000</v>
      </c>
      <c r="G4889" s="10">
        <f t="shared" ref="G4889:G4891" si="324">IFERROR(E4889*F4889,0)</f>
        <v>685620</v>
      </c>
      <c r="H4889" s="11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1:26" ht="26.25" x14ac:dyDescent="0.4">
      <c r="A4890" s="6">
        <v>2</v>
      </c>
      <c r="B4890" s="22" t="s">
        <v>98</v>
      </c>
      <c r="C4890" s="23" t="s">
        <v>1116</v>
      </c>
      <c r="D4890" s="13" t="s">
        <v>13</v>
      </c>
      <c r="E4890" s="22">
        <v>1.32</v>
      </c>
      <c r="F4890" s="14">
        <v>435000</v>
      </c>
      <c r="G4890" s="10">
        <f t="shared" si="324"/>
        <v>574200</v>
      </c>
      <c r="H4890" s="11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1:26" ht="26.25" x14ac:dyDescent="0.4">
      <c r="A4891" s="6">
        <v>3</v>
      </c>
      <c r="B4891" s="15" t="s">
        <v>14</v>
      </c>
      <c r="C4891" s="11"/>
      <c r="D4891" s="11"/>
      <c r="E4891" s="11"/>
      <c r="F4891" s="11"/>
      <c r="G4891" s="16">
        <f t="shared" si="324"/>
        <v>0</v>
      </c>
      <c r="H4891" s="11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1:26" ht="26.25" x14ac:dyDescent="0.4">
      <c r="A4892" s="29" t="s">
        <v>15</v>
      </c>
      <c r="B4892" s="26"/>
      <c r="C4892" s="26"/>
      <c r="D4892" s="26"/>
      <c r="E4892" s="26"/>
      <c r="F4892" s="26"/>
      <c r="G4892" s="27"/>
      <c r="H4892" s="17">
        <f>SUM(G4889:G4891)</f>
        <v>1259820</v>
      </c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1:26" ht="26.25" x14ac:dyDescent="0.4">
      <c r="A4893" s="29" t="s">
        <v>16</v>
      </c>
      <c r="B4893" s="26"/>
      <c r="C4893" s="26"/>
      <c r="D4893" s="26"/>
      <c r="E4893" s="26"/>
      <c r="F4893" s="26"/>
      <c r="G4893" s="27"/>
      <c r="H4893" s="17">
        <f>MAX(0,H4892-648000)</f>
        <v>611820</v>
      </c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1:26" ht="26.25" x14ac:dyDescent="0.4">
      <c r="A4894" s="25" t="s">
        <v>17</v>
      </c>
      <c r="B4894" s="26"/>
      <c r="C4894" s="26"/>
      <c r="D4894" s="26"/>
      <c r="E4894" s="26"/>
      <c r="F4894" s="26"/>
      <c r="G4894" s="27"/>
      <c r="H4894" s="18">
        <v>649000</v>
      </c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1:26" ht="26.25" x14ac:dyDescent="0.4">
      <c r="A4895" s="28" t="s">
        <v>18</v>
      </c>
      <c r="B4895" s="26"/>
      <c r="C4895" s="26"/>
      <c r="D4895" s="26"/>
      <c r="E4895" s="26"/>
      <c r="F4895" s="26"/>
      <c r="G4895" s="26"/>
      <c r="H4895" s="27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1:26" ht="12.75" x14ac:dyDescent="0.2"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1:26" ht="12.75" x14ac:dyDescent="0.2"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901" spans="1:26" ht="15.75" customHeight="1" x14ac:dyDescent="0.4">
      <c r="A4901" s="28" t="s">
        <v>0</v>
      </c>
      <c r="B4901" s="26"/>
      <c r="C4901" s="26"/>
      <c r="D4901" s="26"/>
      <c r="E4901" s="26"/>
      <c r="F4901" s="26"/>
      <c r="G4901" s="26"/>
      <c r="H4901" s="27"/>
    </row>
    <row r="4902" spans="1:26" ht="29.25" customHeight="1" x14ac:dyDescent="0.4">
      <c r="A4902" s="28" t="s">
        <v>1117</v>
      </c>
      <c r="B4902" s="26"/>
      <c r="C4902" s="26"/>
      <c r="D4902" s="26"/>
      <c r="E4902" s="26"/>
      <c r="F4902" s="26"/>
      <c r="G4902" s="26"/>
      <c r="H4902" s="27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1:26" ht="18.75" x14ac:dyDescent="0.3">
      <c r="A4903" s="3" t="s">
        <v>2</v>
      </c>
      <c r="B4903" s="3" t="s">
        <v>3</v>
      </c>
      <c r="C4903" s="3" t="s">
        <v>4</v>
      </c>
      <c r="D4903" s="3" t="s">
        <v>5</v>
      </c>
      <c r="E4903" s="3" t="s">
        <v>6</v>
      </c>
      <c r="F4903" s="4" t="s">
        <v>7</v>
      </c>
      <c r="G4903" s="3" t="s">
        <v>8</v>
      </c>
      <c r="H4903" s="5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1:26" ht="26.25" x14ac:dyDescent="0.4">
      <c r="A4904" s="6">
        <v>1</v>
      </c>
      <c r="B4904" s="20" t="s">
        <v>218</v>
      </c>
      <c r="C4904" s="21" t="s">
        <v>1118</v>
      </c>
      <c r="D4904" s="8" t="s">
        <v>11</v>
      </c>
      <c r="E4904" s="20">
        <v>2.5</v>
      </c>
      <c r="F4904" s="9">
        <v>293000</v>
      </c>
      <c r="G4904" s="10">
        <f t="shared" ref="G4904:G4906" si="325">IFERROR(E4904*F4904,0)</f>
        <v>732500</v>
      </c>
      <c r="H4904" s="11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1:26" ht="26.25" x14ac:dyDescent="0.4">
      <c r="A4905" s="6">
        <v>2</v>
      </c>
      <c r="B4905" s="22" t="s">
        <v>94</v>
      </c>
      <c r="C4905" s="23" t="s">
        <v>1119</v>
      </c>
      <c r="D4905" s="13" t="s">
        <v>13</v>
      </c>
      <c r="E4905" s="22">
        <v>1</v>
      </c>
      <c r="F4905" s="14">
        <v>435000</v>
      </c>
      <c r="G4905" s="10">
        <f t="shared" si="325"/>
        <v>435000</v>
      </c>
      <c r="H4905" s="11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1:26" ht="26.25" x14ac:dyDescent="0.4">
      <c r="A4906" s="6">
        <v>3</v>
      </c>
      <c r="B4906" s="15" t="s">
        <v>14</v>
      </c>
      <c r="C4906" s="11"/>
      <c r="D4906" s="11"/>
      <c r="E4906" s="11"/>
      <c r="F4906" s="11"/>
      <c r="G4906" s="16">
        <f t="shared" si="325"/>
        <v>0</v>
      </c>
      <c r="H4906" s="11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1:26" ht="26.25" x14ac:dyDescent="0.4">
      <c r="A4907" s="29" t="s">
        <v>15</v>
      </c>
      <c r="B4907" s="26"/>
      <c r="C4907" s="26"/>
      <c r="D4907" s="26"/>
      <c r="E4907" s="26"/>
      <c r="F4907" s="26"/>
      <c r="G4907" s="27"/>
      <c r="H4907" s="17">
        <f>SUM(G4904:G4906)</f>
        <v>1167500</v>
      </c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1:26" ht="26.25" x14ac:dyDescent="0.4">
      <c r="A4908" s="29" t="s">
        <v>16</v>
      </c>
      <c r="B4908" s="26"/>
      <c r="C4908" s="26"/>
      <c r="D4908" s="26"/>
      <c r="E4908" s="26"/>
      <c r="F4908" s="26"/>
      <c r="G4908" s="27"/>
      <c r="H4908" s="17">
        <f>MAX(0,H4907-648000)</f>
        <v>519500</v>
      </c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1:26" ht="26.25" x14ac:dyDescent="0.4">
      <c r="A4909" s="25" t="s">
        <v>17</v>
      </c>
      <c r="B4909" s="26"/>
      <c r="C4909" s="26"/>
      <c r="D4909" s="26"/>
      <c r="E4909" s="26"/>
      <c r="F4909" s="26"/>
      <c r="G4909" s="27"/>
      <c r="H4909" s="18">
        <v>649000</v>
      </c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1:26" ht="26.25" x14ac:dyDescent="0.4">
      <c r="A4910" s="28" t="s">
        <v>18</v>
      </c>
      <c r="B4910" s="26"/>
      <c r="C4910" s="26"/>
      <c r="D4910" s="26"/>
      <c r="E4910" s="26"/>
      <c r="F4910" s="26"/>
      <c r="G4910" s="26"/>
      <c r="H4910" s="27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1:26" ht="12.75" x14ac:dyDescent="0.2"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5" spans="1:26" ht="15.75" customHeight="1" x14ac:dyDescent="0.4">
      <c r="A4915" s="28" t="s">
        <v>0</v>
      </c>
      <c r="B4915" s="26"/>
      <c r="C4915" s="26"/>
      <c r="D4915" s="26"/>
      <c r="E4915" s="26"/>
      <c r="F4915" s="26"/>
      <c r="G4915" s="26"/>
      <c r="H4915" s="27"/>
    </row>
    <row r="4916" spans="1:26" ht="15.75" customHeight="1" x14ac:dyDescent="0.4">
      <c r="A4916" s="28" t="s">
        <v>1120</v>
      </c>
      <c r="B4916" s="26"/>
      <c r="C4916" s="26"/>
      <c r="D4916" s="26"/>
      <c r="E4916" s="26"/>
      <c r="F4916" s="26"/>
      <c r="G4916" s="26"/>
      <c r="H4916" s="27"/>
    </row>
    <row r="4917" spans="1:26" ht="15.75" customHeight="1" x14ac:dyDescent="0.3">
      <c r="A4917" s="3" t="s">
        <v>2</v>
      </c>
      <c r="B4917" s="3" t="s">
        <v>3</v>
      </c>
      <c r="C4917" s="3" t="s">
        <v>4</v>
      </c>
      <c r="D4917" s="3" t="s">
        <v>5</v>
      </c>
      <c r="E4917" s="3" t="s">
        <v>6</v>
      </c>
      <c r="F4917" s="4" t="s">
        <v>7</v>
      </c>
      <c r="G4917" s="3" t="s">
        <v>8</v>
      </c>
      <c r="H4917" s="5"/>
    </row>
    <row r="4918" spans="1:26" ht="29.25" customHeight="1" x14ac:dyDescent="0.4">
      <c r="A4918" s="6">
        <v>1</v>
      </c>
      <c r="B4918" s="20" t="s">
        <v>533</v>
      </c>
      <c r="C4918" s="21" t="s">
        <v>207</v>
      </c>
      <c r="D4918" s="8" t="s">
        <v>11</v>
      </c>
      <c r="E4918" s="20">
        <v>2.0299999999999998</v>
      </c>
      <c r="F4918" s="9">
        <v>293000</v>
      </c>
      <c r="G4918" s="10">
        <f t="shared" ref="G4918:G4920" si="326">IFERROR(E4918*F4918,0)</f>
        <v>594790</v>
      </c>
      <c r="H4918" s="11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1:26" ht="26.25" x14ac:dyDescent="0.4">
      <c r="A4919" s="6">
        <v>2</v>
      </c>
      <c r="B4919" s="22" t="s">
        <v>60</v>
      </c>
      <c r="C4919" s="23" t="s">
        <v>1121</v>
      </c>
      <c r="D4919" s="13" t="s">
        <v>13</v>
      </c>
      <c r="E4919" s="22">
        <v>1.6</v>
      </c>
      <c r="F4919" s="14">
        <v>435000</v>
      </c>
      <c r="G4919" s="10">
        <f t="shared" si="326"/>
        <v>696000</v>
      </c>
      <c r="H4919" s="11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1:26" ht="26.25" x14ac:dyDescent="0.4">
      <c r="A4920" s="6">
        <v>3</v>
      </c>
      <c r="B4920" s="15" t="s">
        <v>14</v>
      </c>
      <c r="C4920" s="11"/>
      <c r="D4920" s="11"/>
      <c r="E4920" s="11"/>
      <c r="F4920" s="11"/>
      <c r="G4920" s="16">
        <f t="shared" si="326"/>
        <v>0</v>
      </c>
      <c r="H4920" s="11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1:26" ht="26.25" x14ac:dyDescent="0.4">
      <c r="A4921" s="29" t="s">
        <v>15</v>
      </c>
      <c r="B4921" s="26"/>
      <c r="C4921" s="26"/>
      <c r="D4921" s="26"/>
      <c r="E4921" s="26"/>
      <c r="F4921" s="26"/>
      <c r="G4921" s="27"/>
      <c r="H4921" s="17">
        <f>SUM(G4918:G4920)</f>
        <v>1290790</v>
      </c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1:26" ht="26.25" x14ac:dyDescent="0.4">
      <c r="A4922" s="29" t="s">
        <v>16</v>
      </c>
      <c r="B4922" s="26"/>
      <c r="C4922" s="26"/>
      <c r="D4922" s="26"/>
      <c r="E4922" s="26"/>
      <c r="F4922" s="26"/>
      <c r="G4922" s="27"/>
      <c r="H4922" s="17">
        <f>MAX(0,H4921-648000)</f>
        <v>642790</v>
      </c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1:26" ht="26.25" x14ac:dyDescent="0.4">
      <c r="A4923" s="25" t="s">
        <v>17</v>
      </c>
      <c r="B4923" s="26"/>
      <c r="C4923" s="26"/>
      <c r="D4923" s="26"/>
      <c r="E4923" s="26"/>
      <c r="F4923" s="26"/>
      <c r="G4923" s="27"/>
      <c r="H4923" s="18">
        <v>649000</v>
      </c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1:26" ht="26.25" x14ac:dyDescent="0.4">
      <c r="A4924" s="28" t="s">
        <v>18</v>
      </c>
      <c r="B4924" s="26"/>
      <c r="C4924" s="26"/>
      <c r="D4924" s="26"/>
      <c r="E4924" s="26"/>
      <c r="F4924" s="26"/>
      <c r="G4924" s="26"/>
      <c r="H4924" s="27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1:26" ht="12.75" x14ac:dyDescent="0.2"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1:26" ht="12.75" x14ac:dyDescent="0.2"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1:26" ht="12.75" x14ac:dyDescent="0.2"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31" spans="1:26" ht="29.25" customHeight="1" x14ac:dyDescent="0.4">
      <c r="A4931" s="28" t="s">
        <v>0</v>
      </c>
      <c r="B4931" s="26"/>
      <c r="C4931" s="26"/>
      <c r="D4931" s="26"/>
      <c r="E4931" s="26"/>
      <c r="F4931" s="26"/>
      <c r="G4931" s="26"/>
      <c r="H4931" s="27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1:26" ht="26.25" x14ac:dyDescent="0.4">
      <c r="A4932" s="28" t="s">
        <v>1122</v>
      </c>
      <c r="B4932" s="26"/>
      <c r="C4932" s="26"/>
      <c r="D4932" s="26"/>
      <c r="E4932" s="26"/>
      <c r="F4932" s="26"/>
      <c r="G4932" s="26"/>
      <c r="H4932" s="27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1:26" ht="18.75" x14ac:dyDescent="0.3">
      <c r="A4933" s="3" t="s">
        <v>2</v>
      </c>
      <c r="B4933" s="3" t="s">
        <v>3</v>
      </c>
      <c r="C4933" s="3" t="s">
        <v>4</v>
      </c>
      <c r="D4933" s="3" t="s">
        <v>5</v>
      </c>
      <c r="E4933" s="3" t="s">
        <v>6</v>
      </c>
      <c r="F4933" s="4" t="s">
        <v>7</v>
      </c>
      <c r="G4933" s="3" t="s">
        <v>8</v>
      </c>
      <c r="H4933" s="5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spans="1:26" ht="26.25" x14ac:dyDescent="0.4">
      <c r="A4934" s="6">
        <v>1</v>
      </c>
      <c r="B4934" s="20" t="s">
        <v>447</v>
      </c>
      <c r="C4934" s="21" t="s">
        <v>1123</v>
      </c>
      <c r="D4934" s="8" t="s">
        <v>11</v>
      </c>
      <c r="E4934" s="20">
        <v>2</v>
      </c>
      <c r="F4934" s="9">
        <v>293000</v>
      </c>
      <c r="G4934" s="10">
        <f t="shared" ref="G4934:G4936" si="327">IFERROR(E4934*F4934,0)</f>
        <v>586000</v>
      </c>
      <c r="H4934" s="11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spans="1:26" ht="26.25" x14ac:dyDescent="0.4">
      <c r="A4935" s="6">
        <v>2</v>
      </c>
      <c r="B4935" s="22" t="s">
        <v>956</v>
      </c>
      <c r="C4935" s="23" t="s">
        <v>1124</v>
      </c>
      <c r="D4935" s="13" t="s">
        <v>13</v>
      </c>
      <c r="E4935" s="22">
        <v>1.4</v>
      </c>
      <c r="F4935" s="14">
        <v>435000</v>
      </c>
      <c r="G4935" s="10">
        <f t="shared" si="327"/>
        <v>609000</v>
      </c>
      <c r="H4935" s="11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spans="1:26" ht="26.25" x14ac:dyDescent="0.4">
      <c r="A4936" s="6">
        <v>3</v>
      </c>
      <c r="B4936" s="15" t="s">
        <v>14</v>
      </c>
      <c r="C4936" s="11"/>
      <c r="D4936" s="11"/>
      <c r="E4936" s="11"/>
      <c r="F4936" s="11"/>
      <c r="G4936" s="16">
        <f t="shared" si="327"/>
        <v>0</v>
      </c>
      <c r="H4936" s="11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1:26" ht="26.25" x14ac:dyDescent="0.4">
      <c r="A4937" s="29" t="s">
        <v>15</v>
      </c>
      <c r="B4937" s="26"/>
      <c r="C4937" s="26"/>
      <c r="D4937" s="26"/>
      <c r="E4937" s="26"/>
      <c r="F4937" s="26"/>
      <c r="G4937" s="27"/>
      <c r="H4937" s="17">
        <f>SUM(G4934:G4936)</f>
        <v>1195000</v>
      </c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1:26" ht="26.25" x14ac:dyDescent="0.4">
      <c r="A4938" s="29" t="s">
        <v>16</v>
      </c>
      <c r="B4938" s="26"/>
      <c r="C4938" s="26"/>
      <c r="D4938" s="26"/>
      <c r="E4938" s="26"/>
      <c r="F4938" s="26"/>
      <c r="G4938" s="27"/>
      <c r="H4938" s="17">
        <f>MAX(0,H4937-648000)</f>
        <v>547000</v>
      </c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1:26" ht="26.25" x14ac:dyDescent="0.4">
      <c r="A4939" s="25" t="s">
        <v>17</v>
      </c>
      <c r="B4939" s="26"/>
      <c r="C4939" s="26"/>
      <c r="D4939" s="26"/>
      <c r="E4939" s="26"/>
      <c r="F4939" s="26"/>
      <c r="G4939" s="27"/>
      <c r="H4939" s="18">
        <v>649000</v>
      </c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1:26" ht="26.25" x14ac:dyDescent="0.4">
      <c r="A4940" s="28" t="s">
        <v>18</v>
      </c>
      <c r="B4940" s="26"/>
      <c r="C4940" s="26"/>
      <c r="D4940" s="26"/>
      <c r="E4940" s="26"/>
      <c r="F4940" s="26"/>
      <c r="G4940" s="26"/>
      <c r="H4940" s="27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4" spans="1:26" ht="15.75" customHeight="1" x14ac:dyDescent="0.4">
      <c r="A4944" s="28" t="s">
        <v>0</v>
      </c>
      <c r="B4944" s="26"/>
      <c r="C4944" s="26"/>
      <c r="D4944" s="26"/>
      <c r="E4944" s="26"/>
      <c r="F4944" s="26"/>
      <c r="G4944" s="26"/>
      <c r="H4944" s="27"/>
    </row>
    <row r="4945" spans="1:26" ht="15.75" customHeight="1" x14ac:dyDescent="0.4">
      <c r="A4945" s="28" t="s">
        <v>1125</v>
      </c>
      <c r="B4945" s="26"/>
      <c r="C4945" s="26"/>
      <c r="D4945" s="26"/>
      <c r="E4945" s="26"/>
      <c r="F4945" s="26"/>
      <c r="G4945" s="26"/>
      <c r="H4945" s="27"/>
    </row>
    <row r="4946" spans="1:26" ht="29.25" customHeight="1" x14ac:dyDescent="0.3">
      <c r="A4946" s="3" t="s">
        <v>2</v>
      </c>
      <c r="B4946" s="3" t="s">
        <v>3</v>
      </c>
      <c r="C4946" s="3" t="s">
        <v>4</v>
      </c>
      <c r="D4946" s="3" t="s">
        <v>5</v>
      </c>
      <c r="E4946" s="3" t="s">
        <v>6</v>
      </c>
      <c r="F4946" s="4" t="s">
        <v>7</v>
      </c>
      <c r="G4946" s="3" t="s">
        <v>8</v>
      </c>
      <c r="H4946" s="5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1:26" ht="26.25" x14ac:dyDescent="0.4">
      <c r="A4947" s="6">
        <v>1</v>
      </c>
      <c r="B4947" s="20" t="s">
        <v>1126</v>
      </c>
      <c r="C4947" s="21" t="s">
        <v>1127</v>
      </c>
      <c r="D4947" s="8" t="s">
        <v>11</v>
      </c>
      <c r="E4947" s="20">
        <v>3</v>
      </c>
      <c r="F4947" s="9">
        <v>293000</v>
      </c>
      <c r="G4947" s="10">
        <f t="shared" ref="G4947:G4949" si="328">IFERROR(E4947*F4947,0)</f>
        <v>879000</v>
      </c>
      <c r="H4947" s="11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1:26" ht="26.25" x14ac:dyDescent="0.4">
      <c r="A4948" s="6">
        <v>2</v>
      </c>
      <c r="B4948" s="22" t="s">
        <v>1128</v>
      </c>
      <c r="C4948" s="23" t="s">
        <v>1129</v>
      </c>
      <c r="D4948" s="13" t="s">
        <v>13</v>
      </c>
      <c r="E4948" s="22">
        <v>0.65</v>
      </c>
      <c r="F4948" s="14">
        <v>435000</v>
      </c>
      <c r="G4948" s="10">
        <f t="shared" si="328"/>
        <v>282750</v>
      </c>
      <c r="H4948" s="11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1:26" ht="26.25" x14ac:dyDescent="0.4">
      <c r="A4949" s="6">
        <v>3</v>
      </c>
      <c r="B4949" s="15" t="s">
        <v>14</v>
      </c>
      <c r="C4949" s="11"/>
      <c r="D4949" s="11"/>
      <c r="E4949" s="11"/>
      <c r="F4949" s="11"/>
      <c r="G4949" s="16">
        <f t="shared" si="328"/>
        <v>0</v>
      </c>
      <c r="H4949" s="11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1:26" ht="26.25" x14ac:dyDescent="0.4">
      <c r="A4950" s="29" t="s">
        <v>15</v>
      </c>
      <c r="B4950" s="26"/>
      <c r="C4950" s="26"/>
      <c r="D4950" s="26"/>
      <c r="E4950" s="26"/>
      <c r="F4950" s="26"/>
      <c r="G4950" s="27"/>
      <c r="H4950" s="17">
        <f>SUM(G4947:G4949)</f>
        <v>1161750</v>
      </c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1:26" ht="26.25" x14ac:dyDescent="0.4">
      <c r="A4951" s="29" t="s">
        <v>16</v>
      </c>
      <c r="B4951" s="26"/>
      <c r="C4951" s="26"/>
      <c r="D4951" s="26"/>
      <c r="E4951" s="26"/>
      <c r="F4951" s="26"/>
      <c r="G4951" s="27"/>
      <c r="H4951" s="17">
        <f>MAX(0,H4950-648000)</f>
        <v>513750</v>
      </c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1:26" ht="26.25" x14ac:dyDescent="0.4">
      <c r="A4952" s="25" t="s">
        <v>17</v>
      </c>
      <c r="B4952" s="26"/>
      <c r="C4952" s="26"/>
      <c r="D4952" s="26"/>
      <c r="E4952" s="26"/>
      <c r="F4952" s="26"/>
      <c r="G4952" s="27"/>
      <c r="H4952" s="18">
        <v>649000</v>
      </c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1:26" ht="26.25" x14ac:dyDescent="0.4">
      <c r="A4953" s="28" t="s">
        <v>18</v>
      </c>
      <c r="B4953" s="26"/>
      <c r="C4953" s="26"/>
      <c r="D4953" s="26"/>
      <c r="E4953" s="26"/>
      <c r="F4953" s="26"/>
      <c r="G4953" s="26"/>
      <c r="H4953" s="27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1:26" ht="12.75" x14ac:dyDescent="0.2"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1:26" ht="12.75" x14ac:dyDescent="0.2"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9" spans="1:26" ht="15.75" customHeight="1" x14ac:dyDescent="0.4">
      <c r="A4959" s="28" t="s">
        <v>0</v>
      </c>
      <c r="B4959" s="26"/>
      <c r="C4959" s="26"/>
      <c r="D4959" s="26"/>
      <c r="E4959" s="26"/>
      <c r="F4959" s="26"/>
      <c r="G4959" s="26"/>
      <c r="H4959" s="27"/>
    </row>
    <row r="4960" spans="1:26" ht="15.75" customHeight="1" x14ac:dyDescent="0.4">
      <c r="A4960" s="28" t="s">
        <v>1130</v>
      </c>
      <c r="B4960" s="26"/>
      <c r="C4960" s="26"/>
      <c r="D4960" s="26"/>
      <c r="E4960" s="26"/>
      <c r="F4960" s="26"/>
      <c r="G4960" s="26"/>
      <c r="H4960" s="27"/>
    </row>
    <row r="4961" spans="1:26" ht="15.75" customHeight="1" x14ac:dyDescent="0.3">
      <c r="A4961" s="3" t="s">
        <v>2</v>
      </c>
      <c r="B4961" s="3" t="s">
        <v>3</v>
      </c>
      <c r="C4961" s="3" t="s">
        <v>4</v>
      </c>
      <c r="D4961" s="3" t="s">
        <v>5</v>
      </c>
      <c r="E4961" s="3" t="s">
        <v>6</v>
      </c>
      <c r="F4961" s="4" t="s">
        <v>7</v>
      </c>
      <c r="G4961" s="3" t="s">
        <v>8</v>
      </c>
      <c r="H4961" s="5"/>
    </row>
    <row r="4962" spans="1:26" ht="29.25" customHeight="1" x14ac:dyDescent="0.4">
      <c r="A4962" s="6">
        <v>1</v>
      </c>
      <c r="B4962" s="20" t="s">
        <v>279</v>
      </c>
      <c r="C4962" s="21" t="s">
        <v>1131</v>
      </c>
      <c r="D4962" s="8" t="s">
        <v>11</v>
      </c>
      <c r="E4962" s="20">
        <v>1.5</v>
      </c>
      <c r="F4962" s="9">
        <v>293000</v>
      </c>
      <c r="G4962" s="10">
        <f t="shared" ref="G4962:G4964" si="329">IFERROR(E4962*F4962,0)</f>
        <v>439500</v>
      </c>
      <c r="H4962" s="11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1:26" ht="26.25" x14ac:dyDescent="0.4">
      <c r="A4963" s="6">
        <v>2</v>
      </c>
      <c r="B4963" s="22" t="s">
        <v>101</v>
      </c>
      <c r="C4963" s="23" t="s">
        <v>888</v>
      </c>
      <c r="D4963" s="13" t="s">
        <v>13</v>
      </c>
      <c r="E4963" s="22">
        <v>2</v>
      </c>
      <c r="F4963" s="14">
        <v>435000</v>
      </c>
      <c r="G4963" s="10">
        <f t="shared" si="329"/>
        <v>870000</v>
      </c>
      <c r="H4963" s="11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1:26" ht="26.25" x14ac:dyDescent="0.4">
      <c r="A4964" s="6">
        <v>3</v>
      </c>
      <c r="B4964" s="15" t="s">
        <v>14</v>
      </c>
      <c r="C4964" s="11"/>
      <c r="D4964" s="11"/>
      <c r="E4964" s="11"/>
      <c r="F4964" s="11"/>
      <c r="G4964" s="16">
        <f t="shared" si="329"/>
        <v>0</v>
      </c>
      <c r="H4964" s="11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1:26" ht="26.25" x14ac:dyDescent="0.4">
      <c r="A4965" s="29" t="s">
        <v>15</v>
      </c>
      <c r="B4965" s="26"/>
      <c r="C4965" s="26"/>
      <c r="D4965" s="26"/>
      <c r="E4965" s="26"/>
      <c r="F4965" s="26"/>
      <c r="G4965" s="27"/>
      <c r="H4965" s="17">
        <f>SUM(G4962:G4964)</f>
        <v>1309500</v>
      </c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1:26" ht="26.25" x14ac:dyDescent="0.4">
      <c r="A4966" s="29" t="s">
        <v>16</v>
      </c>
      <c r="B4966" s="26"/>
      <c r="C4966" s="26"/>
      <c r="D4966" s="26"/>
      <c r="E4966" s="26"/>
      <c r="F4966" s="26"/>
      <c r="G4966" s="27"/>
      <c r="H4966" s="17">
        <f>MAX(0,H4965-648000)</f>
        <v>661500</v>
      </c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1:26" ht="26.25" x14ac:dyDescent="0.4">
      <c r="A4967" s="25" t="s">
        <v>17</v>
      </c>
      <c r="B4967" s="26"/>
      <c r="C4967" s="26"/>
      <c r="D4967" s="26"/>
      <c r="E4967" s="26"/>
      <c r="F4967" s="26"/>
      <c r="G4967" s="27"/>
      <c r="H4967" s="18">
        <v>649000</v>
      </c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1:26" ht="26.25" x14ac:dyDescent="0.4">
      <c r="A4968" s="28" t="s">
        <v>18</v>
      </c>
      <c r="B4968" s="26"/>
      <c r="C4968" s="26"/>
      <c r="D4968" s="26"/>
      <c r="E4968" s="26"/>
      <c r="F4968" s="26"/>
      <c r="G4968" s="26"/>
      <c r="H4968" s="27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1:26" ht="12.75" x14ac:dyDescent="0.2"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1:26" ht="12.75" x14ac:dyDescent="0.2"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1:26" ht="12.75" x14ac:dyDescent="0.2"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5" spans="1:26" ht="15.75" customHeight="1" x14ac:dyDescent="0.4">
      <c r="A4975" s="28" t="s">
        <v>0</v>
      </c>
      <c r="B4975" s="26"/>
      <c r="C4975" s="26"/>
      <c r="D4975" s="26"/>
      <c r="E4975" s="26"/>
      <c r="F4975" s="26"/>
      <c r="G4975" s="26"/>
      <c r="H4975" s="27"/>
    </row>
    <row r="4976" spans="1:26" ht="29.25" customHeight="1" x14ac:dyDescent="0.4">
      <c r="A4976" s="28" t="s">
        <v>1132</v>
      </c>
      <c r="B4976" s="26"/>
      <c r="C4976" s="26"/>
      <c r="D4976" s="26"/>
      <c r="E4976" s="26"/>
      <c r="F4976" s="26"/>
      <c r="G4976" s="26"/>
      <c r="H4976" s="27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1:26" ht="18.75" x14ac:dyDescent="0.3">
      <c r="A4977" s="3" t="s">
        <v>2</v>
      </c>
      <c r="B4977" s="3" t="s">
        <v>3</v>
      </c>
      <c r="C4977" s="3" t="s">
        <v>4</v>
      </c>
      <c r="D4977" s="3" t="s">
        <v>5</v>
      </c>
      <c r="E4977" s="3" t="s">
        <v>6</v>
      </c>
      <c r="F4977" s="4" t="s">
        <v>7</v>
      </c>
      <c r="G4977" s="3" t="s">
        <v>8</v>
      </c>
      <c r="H4977" s="5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1:26" ht="26.25" x14ac:dyDescent="0.4">
      <c r="A4978" s="6">
        <v>1</v>
      </c>
      <c r="B4978" s="20" t="s">
        <v>94</v>
      </c>
      <c r="C4978" s="21" t="s">
        <v>1133</v>
      </c>
      <c r="D4978" s="8" t="s">
        <v>11</v>
      </c>
      <c r="E4978" s="20">
        <v>2.65</v>
      </c>
      <c r="F4978" s="9">
        <v>293000</v>
      </c>
      <c r="G4978" s="10">
        <f t="shared" ref="G4978:G4980" si="330">IFERROR(E4978*F4978,0)</f>
        <v>776450</v>
      </c>
      <c r="H4978" s="11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1:26" ht="26.25" x14ac:dyDescent="0.4">
      <c r="A4979" s="6">
        <v>2</v>
      </c>
      <c r="B4979" s="22" t="s">
        <v>707</v>
      </c>
      <c r="C4979" s="23" t="s">
        <v>1134</v>
      </c>
      <c r="D4979" s="13" t="s">
        <v>13</v>
      </c>
      <c r="E4979" s="22">
        <v>0.99</v>
      </c>
      <c r="F4979" s="14">
        <v>435000</v>
      </c>
      <c r="G4979" s="10">
        <f t="shared" si="330"/>
        <v>430650</v>
      </c>
      <c r="H4979" s="11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1:26" ht="26.25" x14ac:dyDescent="0.4">
      <c r="A4980" s="6">
        <v>3</v>
      </c>
      <c r="B4980" s="15" t="s">
        <v>14</v>
      </c>
      <c r="C4980" s="11"/>
      <c r="D4980" s="11"/>
      <c r="E4980" s="11"/>
      <c r="F4980" s="11"/>
      <c r="G4980" s="16">
        <f t="shared" si="330"/>
        <v>0</v>
      </c>
      <c r="H4980" s="11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1:26" ht="26.25" x14ac:dyDescent="0.4">
      <c r="A4981" s="29" t="s">
        <v>15</v>
      </c>
      <c r="B4981" s="26"/>
      <c r="C4981" s="26"/>
      <c r="D4981" s="26"/>
      <c r="E4981" s="26"/>
      <c r="F4981" s="26"/>
      <c r="G4981" s="27"/>
      <c r="H4981" s="17">
        <f>SUM(G4978:G4980)</f>
        <v>1207100</v>
      </c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1:26" ht="26.25" x14ac:dyDescent="0.4">
      <c r="A4982" s="29" t="s">
        <v>16</v>
      </c>
      <c r="B4982" s="26"/>
      <c r="C4982" s="26"/>
      <c r="D4982" s="26"/>
      <c r="E4982" s="26"/>
      <c r="F4982" s="26"/>
      <c r="G4982" s="27"/>
      <c r="H4982" s="17">
        <f>MAX(0,H4981-648000)</f>
        <v>559100</v>
      </c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1:26" ht="26.25" x14ac:dyDescent="0.4">
      <c r="A4983" s="25" t="s">
        <v>17</v>
      </c>
      <c r="B4983" s="26"/>
      <c r="C4983" s="26"/>
      <c r="D4983" s="26"/>
      <c r="E4983" s="26"/>
      <c r="F4983" s="26"/>
      <c r="G4983" s="27"/>
      <c r="H4983" s="18">
        <v>649000</v>
      </c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1:26" ht="26.25" x14ac:dyDescent="0.4">
      <c r="A4984" s="28" t="s">
        <v>18</v>
      </c>
      <c r="B4984" s="26"/>
      <c r="C4984" s="26"/>
      <c r="D4984" s="26"/>
      <c r="E4984" s="26"/>
      <c r="F4984" s="26"/>
      <c r="G4984" s="26"/>
      <c r="H4984" s="27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1:26" ht="12.75" x14ac:dyDescent="0.2"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9" spans="1:26" ht="15.75" customHeight="1" x14ac:dyDescent="0.4">
      <c r="A4989" s="28" t="s">
        <v>0</v>
      </c>
      <c r="B4989" s="26"/>
      <c r="C4989" s="26"/>
      <c r="D4989" s="26"/>
      <c r="E4989" s="26"/>
      <c r="F4989" s="26"/>
      <c r="G4989" s="26"/>
      <c r="H4989" s="27"/>
    </row>
    <row r="4990" spans="1:26" ht="15.75" customHeight="1" x14ac:dyDescent="0.4">
      <c r="A4990" s="28" t="s">
        <v>1135</v>
      </c>
      <c r="B4990" s="26"/>
      <c r="C4990" s="26"/>
      <c r="D4990" s="26"/>
      <c r="E4990" s="26"/>
      <c r="F4990" s="26"/>
      <c r="G4990" s="26"/>
      <c r="H4990" s="27"/>
    </row>
    <row r="4991" spans="1:26" ht="29.25" customHeight="1" x14ac:dyDescent="0.3">
      <c r="A4991" s="3" t="s">
        <v>2</v>
      </c>
      <c r="B4991" s="3" t="s">
        <v>3</v>
      </c>
      <c r="C4991" s="3" t="s">
        <v>4</v>
      </c>
      <c r="D4991" s="3" t="s">
        <v>5</v>
      </c>
      <c r="E4991" s="3" t="s">
        <v>6</v>
      </c>
      <c r="F4991" s="4" t="s">
        <v>7</v>
      </c>
      <c r="G4991" s="3" t="s">
        <v>8</v>
      </c>
      <c r="H4991" s="5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1:26" ht="26.25" x14ac:dyDescent="0.4">
      <c r="A4992" s="6">
        <v>1</v>
      </c>
      <c r="B4992" s="20" t="s">
        <v>1056</v>
      </c>
      <c r="C4992" s="21" t="s">
        <v>1136</v>
      </c>
      <c r="D4992" s="8" t="s">
        <v>11</v>
      </c>
      <c r="E4992" s="20">
        <v>3</v>
      </c>
      <c r="F4992" s="9">
        <v>293000</v>
      </c>
      <c r="G4992" s="10">
        <f t="shared" ref="G4992:G4994" si="331">IFERROR(E4992*F4992,0)</f>
        <v>879000</v>
      </c>
      <c r="H4992" s="11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1:26" ht="26.25" x14ac:dyDescent="0.4">
      <c r="A4993" s="6">
        <v>2</v>
      </c>
      <c r="B4993" s="22" t="s">
        <v>12</v>
      </c>
      <c r="C4993" s="23" t="s">
        <v>1137</v>
      </c>
      <c r="D4993" s="13" t="s">
        <v>13</v>
      </c>
      <c r="E4993" s="22">
        <v>0.67</v>
      </c>
      <c r="F4993" s="14">
        <v>435000</v>
      </c>
      <c r="G4993" s="10">
        <f t="shared" si="331"/>
        <v>291450</v>
      </c>
      <c r="H4993" s="11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1:26" ht="26.25" x14ac:dyDescent="0.4">
      <c r="A4994" s="6">
        <v>3</v>
      </c>
      <c r="B4994" s="15" t="s">
        <v>14</v>
      </c>
      <c r="C4994" s="11"/>
      <c r="D4994" s="11"/>
      <c r="E4994" s="11"/>
      <c r="F4994" s="11"/>
      <c r="G4994" s="16">
        <f t="shared" si="331"/>
        <v>0</v>
      </c>
      <c r="H4994" s="11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1:26" ht="26.25" x14ac:dyDescent="0.4">
      <c r="A4995" s="29" t="s">
        <v>15</v>
      </c>
      <c r="B4995" s="26"/>
      <c r="C4995" s="26"/>
      <c r="D4995" s="26"/>
      <c r="E4995" s="26"/>
      <c r="F4995" s="26"/>
      <c r="G4995" s="27"/>
      <c r="H4995" s="17">
        <f>SUM(G4992:G4994)</f>
        <v>1170450</v>
      </c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1:26" ht="26.25" x14ac:dyDescent="0.4">
      <c r="A4996" s="29" t="s">
        <v>16</v>
      </c>
      <c r="B4996" s="26"/>
      <c r="C4996" s="26"/>
      <c r="D4996" s="26"/>
      <c r="E4996" s="26"/>
      <c r="F4996" s="26"/>
      <c r="G4996" s="27"/>
      <c r="H4996" s="17">
        <f>MAX(0,H4995-648000)</f>
        <v>522450</v>
      </c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1:26" ht="26.25" x14ac:dyDescent="0.4">
      <c r="A4997" s="25" t="s">
        <v>17</v>
      </c>
      <c r="B4997" s="26"/>
      <c r="C4997" s="26"/>
      <c r="D4997" s="26"/>
      <c r="E4997" s="26"/>
      <c r="F4997" s="26"/>
      <c r="G4997" s="27"/>
      <c r="H4997" s="18">
        <v>649000</v>
      </c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1:26" ht="26.25" x14ac:dyDescent="0.4">
      <c r="A4998" s="28" t="s">
        <v>18</v>
      </c>
      <c r="B4998" s="26"/>
      <c r="C4998" s="26"/>
      <c r="D4998" s="26"/>
      <c r="E4998" s="26"/>
      <c r="F4998" s="26"/>
      <c r="G4998" s="26"/>
      <c r="H4998" s="27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1:26" ht="12.75" x14ac:dyDescent="0.2"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1:26" ht="12.75" x14ac:dyDescent="0.2"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4" spans="1:26" ht="15.75" customHeight="1" x14ac:dyDescent="0.4">
      <c r="A5004" s="28" t="s">
        <v>0</v>
      </c>
      <c r="B5004" s="26"/>
      <c r="C5004" s="26"/>
      <c r="D5004" s="26"/>
      <c r="E5004" s="26"/>
      <c r="F5004" s="26"/>
      <c r="G5004" s="26"/>
      <c r="H5004" s="27"/>
    </row>
    <row r="5005" spans="1:26" ht="15.75" customHeight="1" x14ac:dyDescent="0.4">
      <c r="A5005" s="28" t="s">
        <v>1138</v>
      </c>
      <c r="B5005" s="26"/>
      <c r="C5005" s="26"/>
      <c r="D5005" s="26"/>
      <c r="E5005" s="26"/>
      <c r="F5005" s="26"/>
      <c r="G5005" s="26"/>
      <c r="H5005" s="27"/>
    </row>
    <row r="5006" spans="1:26" ht="29.25" customHeight="1" x14ac:dyDescent="0.3">
      <c r="A5006" s="3" t="s">
        <v>2</v>
      </c>
      <c r="B5006" s="3" t="s">
        <v>3</v>
      </c>
      <c r="C5006" s="3" t="s">
        <v>4</v>
      </c>
      <c r="D5006" s="3" t="s">
        <v>5</v>
      </c>
      <c r="E5006" s="3" t="s">
        <v>6</v>
      </c>
      <c r="F5006" s="4" t="s">
        <v>7</v>
      </c>
      <c r="G5006" s="3" t="s">
        <v>8</v>
      </c>
      <c r="H5006" s="5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1:26" ht="26.25" x14ac:dyDescent="0.4">
      <c r="A5007" s="6">
        <v>1</v>
      </c>
      <c r="B5007" s="20" t="s">
        <v>72</v>
      </c>
      <c r="C5007" s="21" t="s">
        <v>1139</v>
      </c>
      <c r="D5007" s="8" t="s">
        <v>11</v>
      </c>
      <c r="E5007" s="20">
        <v>3</v>
      </c>
      <c r="F5007" s="9">
        <v>293000</v>
      </c>
      <c r="G5007" s="10">
        <f t="shared" ref="G5007:G5009" si="332">IFERROR(E5007*F5007,0)</f>
        <v>879000</v>
      </c>
      <c r="H5007" s="11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1:26" ht="26.25" x14ac:dyDescent="0.4">
      <c r="A5008" s="6">
        <v>2</v>
      </c>
      <c r="B5008" s="22" t="s">
        <v>895</v>
      </c>
      <c r="C5008" s="23" t="s">
        <v>1140</v>
      </c>
      <c r="D5008" s="13" t="s">
        <v>13</v>
      </c>
      <c r="E5008" s="22">
        <v>0.51</v>
      </c>
      <c r="F5008" s="14">
        <v>435000</v>
      </c>
      <c r="G5008" s="10">
        <f t="shared" si="332"/>
        <v>221850</v>
      </c>
      <c r="H5008" s="11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1:26" ht="26.25" x14ac:dyDescent="0.4">
      <c r="A5009" s="6">
        <v>3</v>
      </c>
      <c r="B5009" s="15" t="s">
        <v>14</v>
      </c>
      <c r="C5009" s="11"/>
      <c r="D5009" s="11"/>
      <c r="E5009" s="11"/>
      <c r="F5009" s="11"/>
      <c r="G5009" s="16">
        <f t="shared" si="332"/>
        <v>0</v>
      </c>
      <c r="H5009" s="11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1:26" ht="26.25" x14ac:dyDescent="0.4">
      <c r="A5010" s="29" t="s">
        <v>15</v>
      </c>
      <c r="B5010" s="26"/>
      <c r="C5010" s="26"/>
      <c r="D5010" s="26"/>
      <c r="E5010" s="26"/>
      <c r="F5010" s="26"/>
      <c r="G5010" s="27"/>
      <c r="H5010" s="17">
        <f>SUM(G5007:G5009)</f>
        <v>1100850</v>
      </c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1:26" ht="26.25" x14ac:dyDescent="0.4">
      <c r="A5011" s="29" t="s">
        <v>16</v>
      </c>
      <c r="B5011" s="26"/>
      <c r="C5011" s="26"/>
      <c r="D5011" s="26"/>
      <c r="E5011" s="26"/>
      <c r="F5011" s="26"/>
      <c r="G5011" s="27"/>
      <c r="H5011" s="17">
        <f>MAX(0,H5010-648000)</f>
        <v>452850</v>
      </c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1:26" ht="26.25" x14ac:dyDescent="0.4">
      <c r="A5012" s="25" t="s">
        <v>17</v>
      </c>
      <c r="B5012" s="26"/>
      <c r="C5012" s="26"/>
      <c r="D5012" s="26"/>
      <c r="E5012" s="26"/>
      <c r="F5012" s="26"/>
      <c r="G5012" s="27"/>
      <c r="H5012" s="18">
        <v>649000</v>
      </c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1:26" ht="26.25" x14ac:dyDescent="0.4">
      <c r="A5013" s="28" t="s">
        <v>18</v>
      </c>
      <c r="B5013" s="26"/>
      <c r="C5013" s="26"/>
      <c r="D5013" s="26"/>
      <c r="E5013" s="26"/>
      <c r="F5013" s="26"/>
      <c r="G5013" s="26"/>
      <c r="H5013" s="27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1:26" ht="12.75" x14ac:dyDescent="0.2"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1:26" ht="12.75" x14ac:dyDescent="0.2"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9" spans="1:26" ht="15.75" customHeight="1" x14ac:dyDescent="0.4">
      <c r="A5019" s="28" t="s">
        <v>0</v>
      </c>
      <c r="B5019" s="26"/>
      <c r="C5019" s="26"/>
      <c r="D5019" s="26"/>
      <c r="E5019" s="26"/>
      <c r="F5019" s="26"/>
      <c r="G5019" s="26"/>
      <c r="H5019" s="27"/>
    </row>
    <row r="5020" spans="1:26" ht="15.75" customHeight="1" x14ac:dyDescent="0.4">
      <c r="A5020" s="28" t="s">
        <v>1141</v>
      </c>
      <c r="B5020" s="26"/>
      <c r="C5020" s="26"/>
      <c r="D5020" s="26"/>
      <c r="E5020" s="26"/>
      <c r="F5020" s="26"/>
      <c r="G5020" s="26"/>
      <c r="H5020" s="27"/>
    </row>
    <row r="5021" spans="1:26" ht="15.75" customHeight="1" x14ac:dyDescent="0.3">
      <c r="A5021" s="3" t="s">
        <v>2</v>
      </c>
      <c r="B5021" s="3" t="s">
        <v>3</v>
      </c>
      <c r="C5021" s="3" t="s">
        <v>4</v>
      </c>
      <c r="D5021" s="3" t="s">
        <v>5</v>
      </c>
      <c r="E5021" s="3" t="s">
        <v>6</v>
      </c>
      <c r="F5021" s="4" t="s">
        <v>7</v>
      </c>
      <c r="G5021" s="3" t="s">
        <v>8</v>
      </c>
      <c r="H5021" s="5"/>
    </row>
    <row r="5022" spans="1:26" ht="29.25" customHeight="1" x14ac:dyDescent="0.4">
      <c r="A5022" s="6">
        <v>1</v>
      </c>
      <c r="B5022" s="20" t="s">
        <v>1091</v>
      </c>
      <c r="C5022" s="21" t="s">
        <v>1142</v>
      </c>
      <c r="D5022" s="8" t="s">
        <v>11</v>
      </c>
      <c r="E5022" s="20">
        <v>2.2999999999999998</v>
      </c>
      <c r="F5022" s="9">
        <v>293000</v>
      </c>
      <c r="G5022" s="10">
        <f t="shared" ref="G5022:G5024" si="333">IFERROR(E5022*F5022,0)</f>
        <v>673900</v>
      </c>
      <c r="H5022" s="11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1:26" ht="26.25" x14ac:dyDescent="0.4">
      <c r="A5023" s="6">
        <v>2</v>
      </c>
      <c r="B5023" s="22" t="s">
        <v>1143</v>
      </c>
      <c r="C5023" s="23" t="s">
        <v>1144</v>
      </c>
      <c r="D5023" s="13" t="s">
        <v>13</v>
      </c>
      <c r="E5023" s="22">
        <v>1.45</v>
      </c>
      <c r="F5023" s="14">
        <v>435000</v>
      </c>
      <c r="G5023" s="10">
        <f t="shared" si="333"/>
        <v>630750</v>
      </c>
      <c r="H5023" s="11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1:26" ht="26.25" x14ac:dyDescent="0.4">
      <c r="A5024" s="6">
        <v>3</v>
      </c>
      <c r="B5024" s="15" t="s">
        <v>14</v>
      </c>
      <c r="C5024" s="11"/>
      <c r="D5024" s="11"/>
      <c r="E5024" s="11"/>
      <c r="F5024" s="11"/>
      <c r="G5024" s="16">
        <f t="shared" si="333"/>
        <v>0</v>
      </c>
      <c r="H5024" s="11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1:26" ht="26.25" x14ac:dyDescent="0.4">
      <c r="A5025" s="29" t="s">
        <v>15</v>
      </c>
      <c r="B5025" s="26"/>
      <c r="C5025" s="26"/>
      <c r="D5025" s="26"/>
      <c r="E5025" s="26"/>
      <c r="F5025" s="26"/>
      <c r="G5025" s="27"/>
      <c r="H5025" s="17">
        <f>SUM(G5022:G5024)</f>
        <v>1304650</v>
      </c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1:26" ht="26.25" x14ac:dyDescent="0.4">
      <c r="A5026" s="29" t="s">
        <v>16</v>
      </c>
      <c r="B5026" s="26"/>
      <c r="C5026" s="26"/>
      <c r="D5026" s="26"/>
      <c r="E5026" s="26"/>
      <c r="F5026" s="26"/>
      <c r="G5026" s="27"/>
      <c r="H5026" s="17">
        <f>MAX(0,H5025-648000)</f>
        <v>656650</v>
      </c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1:26" ht="26.25" x14ac:dyDescent="0.4">
      <c r="A5027" s="25" t="s">
        <v>17</v>
      </c>
      <c r="B5027" s="26"/>
      <c r="C5027" s="26"/>
      <c r="D5027" s="26"/>
      <c r="E5027" s="26"/>
      <c r="F5027" s="26"/>
      <c r="G5027" s="27"/>
      <c r="H5027" s="18">
        <v>649000</v>
      </c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1:26" ht="26.25" x14ac:dyDescent="0.4">
      <c r="A5028" s="28" t="s">
        <v>18</v>
      </c>
      <c r="B5028" s="26"/>
      <c r="C5028" s="26"/>
      <c r="D5028" s="26"/>
      <c r="E5028" s="26"/>
      <c r="F5028" s="26"/>
      <c r="G5028" s="26"/>
      <c r="H5028" s="27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1:26" ht="12.75" x14ac:dyDescent="0.2"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1:26" ht="12.75" x14ac:dyDescent="0.2"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1:26" ht="12.75" x14ac:dyDescent="0.2"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5" spans="1:26" ht="29.25" customHeight="1" x14ac:dyDescent="0.4">
      <c r="A5035" s="28" t="s">
        <v>0</v>
      </c>
      <c r="B5035" s="26"/>
      <c r="C5035" s="26"/>
      <c r="D5035" s="26"/>
      <c r="E5035" s="26"/>
      <c r="F5035" s="26"/>
      <c r="G5035" s="26"/>
      <c r="H5035" s="27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1:26" ht="26.25" x14ac:dyDescent="0.4">
      <c r="A5036" s="28" t="s">
        <v>1145</v>
      </c>
      <c r="B5036" s="26"/>
      <c r="C5036" s="26"/>
      <c r="D5036" s="26"/>
      <c r="E5036" s="26"/>
      <c r="F5036" s="26"/>
      <c r="G5036" s="26"/>
      <c r="H5036" s="27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1:26" ht="18.75" x14ac:dyDescent="0.3">
      <c r="A5037" s="3" t="s">
        <v>2</v>
      </c>
      <c r="B5037" s="3" t="s">
        <v>3</v>
      </c>
      <c r="C5037" s="3" t="s">
        <v>4</v>
      </c>
      <c r="D5037" s="3" t="s">
        <v>5</v>
      </c>
      <c r="E5037" s="3" t="s">
        <v>6</v>
      </c>
      <c r="F5037" s="4" t="s">
        <v>7</v>
      </c>
      <c r="G5037" s="3" t="s">
        <v>8</v>
      </c>
      <c r="H5037" s="5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1:26" ht="26.25" x14ac:dyDescent="0.4">
      <c r="A5038" s="6">
        <v>1</v>
      </c>
      <c r="B5038" s="20" t="s">
        <v>72</v>
      </c>
      <c r="C5038" s="21" t="s">
        <v>1146</v>
      </c>
      <c r="D5038" s="8" t="s">
        <v>11</v>
      </c>
      <c r="E5038" s="20">
        <v>1.5</v>
      </c>
      <c r="F5038" s="9">
        <v>293000</v>
      </c>
      <c r="G5038" s="10">
        <f t="shared" ref="G5038:G5040" si="334">IFERROR(E5038*F5038,0)</f>
        <v>439500</v>
      </c>
      <c r="H5038" s="11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spans="1:26" ht="26.25" x14ac:dyDescent="0.4">
      <c r="A5039" s="6">
        <v>2</v>
      </c>
      <c r="B5039" s="22" t="s">
        <v>526</v>
      </c>
      <c r="C5039" s="23" t="s">
        <v>1147</v>
      </c>
      <c r="D5039" s="13" t="s">
        <v>13</v>
      </c>
      <c r="E5039" s="22">
        <v>2</v>
      </c>
      <c r="F5039" s="14">
        <v>435000</v>
      </c>
      <c r="G5039" s="10">
        <f t="shared" si="334"/>
        <v>870000</v>
      </c>
      <c r="H5039" s="11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spans="1:26" ht="26.25" x14ac:dyDescent="0.4">
      <c r="A5040" s="6">
        <v>3</v>
      </c>
      <c r="B5040" s="15" t="s">
        <v>14</v>
      </c>
      <c r="C5040" s="11"/>
      <c r="D5040" s="11"/>
      <c r="E5040" s="11"/>
      <c r="F5040" s="11"/>
      <c r="G5040" s="16">
        <f t="shared" si="334"/>
        <v>0</v>
      </c>
      <c r="H5040" s="11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spans="1:26" ht="26.25" x14ac:dyDescent="0.4">
      <c r="A5041" s="29" t="s">
        <v>15</v>
      </c>
      <c r="B5041" s="26"/>
      <c r="C5041" s="26"/>
      <c r="D5041" s="26"/>
      <c r="E5041" s="26"/>
      <c r="F5041" s="26"/>
      <c r="G5041" s="27"/>
      <c r="H5041" s="17">
        <f>SUM(G5038:G5040)</f>
        <v>1309500</v>
      </c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1:26" ht="26.25" x14ac:dyDescent="0.4">
      <c r="A5042" s="29" t="s">
        <v>16</v>
      </c>
      <c r="B5042" s="26"/>
      <c r="C5042" s="26"/>
      <c r="D5042" s="26"/>
      <c r="E5042" s="26"/>
      <c r="F5042" s="26"/>
      <c r="G5042" s="27"/>
      <c r="H5042" s="17">
        <f>MAX(0,H5041-648000)</f>
        <v>661500</v>
      </c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1:26" ht="26.25" x14ac:dyDescent="0.4">
      <c r="A5043" s="25" t="s">
        <v>17</v>
      </c>
      <c r="B5043" s="26"/>
      <c r="C5043" s="26"/>
      <c r="D5043" s="26"/>
      <c r="E5043" s="26"/>
      <c r="F5043" s="26"/>
      <c r="G5043" s="27"/>
      <c r="H5043" s="18">
        <v>649000</v>
      </c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1:26" ht="26.25" x14ac:dyDescent="0.4">
      <c r="A5044" s="28" t="s">
        <v>18</v>
      </c>
      <c r="B5044" s="26"/>
      <c r="C5044" s="26"/>
      <c r="D5044" s="26"/>
      <c r="E5044" s="26"/>
      <c r="F5044" s="26"/>
      <c r="G5044" s="26"/>
      <c r="H5044" s="27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8" spans="1:26" ht="15.75" customHeight="1" x14ac:dyDescent="0.4">
      <c r="A5048" s="28" t="s">
        <v>0</v>
      </c>
      <c r="B5048" s="26"/>
      <c r="C5048" s="26"/>
      <c r="D5048" s="26"/>
      <c r="E5048" s="26"/>
      <c r="F5048" s="26"/>
      <c r="G5048" s="26"/>
      <c r="H5048" s="27"/>
    </row>
    <row r="5049" spans="1:26" ht="29.25" customHeight="1" x14ac:dyDescent="0.4">
      <c r="A5049" s="28" t="s">
        <v>1148</v>
      </c>
      <c r="B5049" s="26"/>
      <c r="C5049" s="26"/>
      <c r="D5049" s="26"/>
      <c r="E5049" s="26"/>
      <c r="F5049" s="26"/>
      <c r="G5049" s="26"/>
      <c r="H5049" s="27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1:26" ht="18.75" x14ac:dyDescent="0.3">
      <c r="A5050" s="3" t="s">
        <v>2</v>
      </c>
      <c r="B5050" s="3" t="s">
        <v>3</v>
      </c>
      <c r="C5050" s="3" t="s">
        <v>4</v>
      </c>
      <c r="D5050" s="3" t="s">
        <v>5</v>
      </c>
      <c r="E5050" s="3" t="s">
        <v>6</v>
      </c>
      <c r="F5050" s="4" t="s">
        <v>7</v>
      </c>
      <c r="G5050" s="3" t="s">
        <v>8</v>
      </c>
      <c r="H5050" s="5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1:26" ht="26.25" x14ac:dyDescent="0.4">
      <c r="A5051" s="6">
        <v>1</v>
      </c>
      <c r="B5051" s="20" t="s">
        <v>12</v>
      </c>
      <c r="C5051" s="21" t="s">
        <v>1149</v>
      </c>
      <c r="D5051" s="8" t="s">
        <v>11</v>
      </c>
      <c r="E5051" s="20">
        <v>1.95</v>
      </c>
      <c r="F5051" s="9">
        <v>293000</v>
      </c>
      <c r="G5051" s="10">
        <f t="shared" ref="G5051:G5053" si="335">IFERROR(E5051*F5051,0)</f>
        <v>571350</v>
      </c>
      <c r="H5051" s="11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1:26" ht="26.25" x14ac:dyDescent="0.4">
      <c r="A5052" s="6">
        <v>2</v>
      </c>
      <c r="B5052" s="22" t="s">
        <v>218</v>
      </c>
      <c r="C5052" s="23" t="s">
        <v>1150</v>
      </c>
      <c r="D5052" s="13" t="s">
        <v>13</v>
      </c>
      <c r="E5052" s="22">
        <v>1.64</v>
      </c>
      <c r="F5052" s="14">
        <v>435000</v>
      </c>
      <c r="G5052" s="10">
        <f t="shared" si="335"/>
        <v>713400</v>
      </c>
      <c r="H5052" s="11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1:26" ht="26.25" x14ac:dyDescent="0.4">
      <c r="A5053" s="6">
        <v>3</v>
      </c>
      <c r="B5053" s="15" t="s">
        <v>14</v>
      </c>
      <c r="C5053" s="11"/>
      <c r="D5053" s="11"/>
      <c r="E5053" s="11"/>
      <c r="F5053" s="11"/>
      <c r="G5053" s="16">
        <f t="shared" si="335"/>
        <v>0</v>
      </c>
      <c r="H5053" s="11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1:26" ht="26.25" x14ac:dyDescent="0.4">
      <c r="A5054" s="29" t="s">
        <v>15</v>
      </c>
      <c r="B5054" s="26"/>
      <c r="C5054" s="26"/>
      <c r="D5054" s="26"/>
      <c r="E5054" s="26"/>
      <c r="F5054" s="26"/>
      <c r="G5054" s="27"/>
      <c r="H5054" s="17">
        <f>SUM(G5051:G5053)</f>
        <v>1284750</v>
      </c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1:26" ht="26.25" x14ac:dyDescent="0.4">
      <c r="A5055" s="29" t="s">
        <v>16</v>
      </c>
      <c r="B5055" s="26"/>
      <c r="C5055" s="26"/>
      <c r="D5055" s="26"/>
      <c r="E5055" s="26"/>
      <c r="F5055" s="26"/>
      <c r="G5055" s="27"/>
      <c r="H5055" s="17">
        <f>MAX(0,H5054-648000)</f>
        <v>636750</v>
      </c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1:26" ht="26.25" x14ac:dyDescent="0.4">
      <c r="A5056" s="25" t="s">
        <v>17</v>
      </c>
      <c r="B5056" s="26"/>
      <c r="C5056" s="26"/>
      <c r="D5056" s="26"/>
      <c r="E5056" s="26"/>
      <c r="F5056" s="26"/>
      <c r="G5056" s="27"/>
      <c r="H5056" s="18">
        <v>649000</v>
      </c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1:26" ht="26.25" x14ac:dyDescent="0.4">
      <c r="A5057" s="28" t="s">
        <v>18</v>
      </c>
      <c r="B5057" s="26"/>
      <c r="C5057" s="26"/>
      <c r="D5057" s="26"/>
      <c r="E5057" s="26"/>
      <c r="F5057" s="26"/>
      <c r="G5057" s="26"/>
      <c r="H5057" s="27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1:26" ht="12.75" x14ac:dyDescent="0.2"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62" spans="1:26" ht="15.75" customHeight="1" x14ac:dyDescent="0.4">
      <c r="A5062" s="28" t="s">
        <v>0</v>
      </c>
      <c r="B5062" s="26"/>
      <c r="C5062" s="26"/>
      <c r="D5062" s="26"/>
      <c r="E5062" s="26"/>
      <c r="F5062" s="26"/>
      <c r="G5062" s="26"/>
      <c r="H5062" s="27"/>
    </row>
    <row r="5063" spans="1:26" ht="15.75" customHeight="1" x14ac:dyDescent="0.4">
      <c r="A5063" s="28" t="s">
        <v>1151</v>
      </c>
      <c r="B5063" s="26"/>
      <c r="C5063" s="26"/>
      <c r="D5063" s="26"/>
      <c r="E5063" s="26"/>
      <c r="F5063" s="26"/>
      <c r="G5063" s="26"/>
      <c r="H5063" s="27"/>
    </row>
    <row r="5064" spans="1:26" ht="29.25" customHeight="1" x14ac:dyDescent="0.3">
      <c r="A5064" s="3" t="s">
        <v>2</v>
      </c>
      <c r="B5064" s="3" t="s">
        <v>3</v>
      </c>
      <c r="C5064" s="3" t="s">
        <v>4</v>
      </c>
      <c r="D5064" s="3" t="s">
        <v>5</v>
      </c>
      <c r="E5064" s="3" t="s">
        <v>6</v>
      </c>
      <c r="F5064" s="4" t="s">
        <v>7</v>
      </c>
      <c r="G5064" s="3" t="s">
        <v>8</v>
      </c>
      <c r="H5064" s="5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1:26" ht="26.25" x14ac:dyDescent="0.4">
      <c r="A5065" s="6">
        <v>1</v>
      </c>
      <c r="B5065" s="20" t="s">
        <v>544</v>
      </c>
      <c r="C5065" s="21" t="s">
        <v>648</v>
      </c>
      <c r="D5065" s="8" t="s">
        <v>11</v>
      </c>
      <c r="E5065" s="20">
        <v>2</v>
      </c>
      <c r="F5065" s="9">
        <v>293000</v>
      </c>
      <c r="G5065" s="10">
        <f t="shared" ref="G5065:G5067" si="336">IFERROR(E5065*F5065,0)</f>
        <v>586000</v>
      </c>
      <c r="H5065" s="11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1:26" ht="26.25" x14ac:dyDescent="0.4">
      <c r="A5066" s="6">
        <v>2</v>
      </c>
      <c r="B5066" s="22" t="s">
        <v>36</v>
      </c>
      <c r="C5066" s="23" t="s">
        <v>1152</v>
      </c>
      <c r="D5066" s="13" t="s">
        <v>13</v>
      </c>
      <c r="E5066" s="22">
        <v>1.45</v>
      </c>
      <c r="F5066" s="14">
        <v>435000</v>
      </c>
      <c r="G5066" s="10">
        <f t="shared" si="336"/>
        <v>630750</v>
      </c>
      <c r="H5066" s="11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1:26" ht="26.25" x14ac:dyDescent="0.4">
      <c r="A5067" s="6">
        <v>3</v>
      </c>
      <c r="B5067" s="15" t="s">
        <v>14</v>
      </c>
      <c r="C5067" s="11"/>
      <c r="D5067" s="11"/>
      <c r="E5067" s="11"/>
      <c r="F5067" s="11"/>
      <c r="G5067" s="16">
        <f t="shared" si="336"/>
        <v>0</v>
      </c>
      <c r="H5067" s="11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1:26" ht="26.25" x14ac:dyDescent="0.4">
      <c r="A5068" s="29" t="s">
        <v>15</v>
      </c>
      <c r="B5068" s="26"/>
      <c r="C5068" s="26"/>
      <c r="D5068" s="26"/>
      <c r="E5068" s="26"/>
      <c r="F5068" s="26"/>
      <c r="G5068" s="27"/>
      <c r="H5068" s="17">
        <f>SUM(G5065:G5067)</f>
        <v>1216750</v>
      </c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1:26" ht="26.25" x14ac:dyDescent="0.4">
      <c r="A5069" s="29" t="s">
        <v>16</v>
      </c>
      <c r="B5069" s="26"/>
      <c r="C5069" s="26"/>
      <c r="D5069" s="26"/>
      <c r="E5069" s="26"/>
      <c r="F5069" s="26"/>
      <c r="G5069" s="27"/>
      <c r="H5069" s="17">
        <f>MAX(0,H5068-648000)</f>
        <v>568750</v>
      </c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1:26" ht="26.25" x14ac:dyDescent="0.4">
      <c r="A5070" s="25" t="s">
        <v>17</v>
      </c>
      <c r="B5070" s="26"/>
      <c r="C5070" s="26"/>
      <c r="D5070" s="26"/>
      <c r="E5070" s="26"/>
      <c r="F5070" s="26"/>
      <c r="G5070" s="27"/>
      <c r="H5070" s="18">
        <v>649000</v>
      </c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1:26" ht="26.25" x14ac:dyDescent="0.4">
      <c r="A5071" s="28" t="s">
        <v>18</v>
      </c>
      <c r="B5071" s="26"/>
      <c r="C5071" s="26"/>
      <c r="D5071" s="26"/>
      <c r="E5071" s="26"/>
      <c r="F5071" s="26"/>
      <c r="G5071" s="26"/>
      <c r="H5071" s="27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1:26" ht="12.75" x14ac:dyDescent="0.2"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1:26" ht="12.75" x14ac:dyDescent="0.2"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7" spans="1:26" ht="15.75" customHeight="1" x14ac:dyDescent="0.4">
      <c r="A5077" s="28" t="s">
        <v>0</v>
      </c>
      <c r="B5077" s="26"/>
      <c r="C5077" s="26"/>
      <c r="D5077" s="26"/>
      <c r="E5077" s="26"/>
      <c r="F5077" s="26"/>
      <c r="G5077" s="26"/>
      <c r="H5077" s="27"/>
    </row>
    <row r="5078" spans="1:26" ht="15.75" customHeight="1" x14ac:dyDescent="0.4">
      <c r="A5078" s="28" t="s">
        <v>1153</v>
      </c>
      <c r="B5078" s="26"/>
      <c r="C5078" s="26"/>
      <c r="D5078" s="26"/>
      <c r="E5078" s="26"/>
      <c r="F5078" s="26"/>
      <c r="G5078" s="26"/>
      <c r="H5078" s="27"/>
    </row>
    <row r="5079" spans="1:26" ht="15.75" customHeight="1" x14ac:dyDescent="0.3">
      <c r="A5079" s="3" t="s">
        <v>2</v>
      </c>
      <c r="B5079" s="3" t="s">
        <v>3</v>
      </c>
      <c r="C5079" s="3" t="s">
        <v>4</v>
      </c>
      <c r="D5079" s="3" t="s">
        <v>5</v>
      </c>
      <c r="E5079" s="3" t="s">
        <v>6</v>
      </c>
      <c r="F5079" s="4" t="s">
        <v>7</v>
      </c>
      <c r="G5079" s="3" t="s">
        <v>8</v>
      </c>
      <c r="H5079" s="5"/>
    </row>
    <row r="5080" spans="1:26" ht="29.25" customHeight="1" x14ac:dyDescent="0.4">
      <c r="A5080" s="6">
        <v>1</v>
      </c>
      <c r="B5080" s="20" t="s">
        <v>544</v>
      </c>
      <c r="C5080" s="21" t="s">
        <v>1154</v>
      </c>
      <c r="D5080" s="8" t="s">
        <v>11</v>
      </c>
      <c r="E5080" s="20">
        <v>2</v>
      </c>
      <c r="F5080" s="9">
        <v>293000</v>
      </c>
      <c r="G5080" s="10">
        <f t="shared" ref="G5080:G5082" si="337">IFERROR(E5080*F5080,0)</f>
        <v>586000</v>
      </c>
      <c r="H5080" s="11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1:26" ht="26.25" x14ac:dyDescent="0.4">
      <c r="A5081" s="6">
        <v>2</v>
      </c>
      <c r="B5081" s="22" t="s">
        <v>65</v>
      </c>
      <c r="C5081" s="23" t="s">
        <v>394</v>
      </c>
      <c r="D5081" s="13" t="s">
        <v>13</v>
      </c>
      <c r="E5081" s="22">
        <v>1.49</v>
      </c>
      <c r="F5081" s="14">
        <v>435000</v>
      </c>
      <c r="G5081" s="10">
        <f t="shared" si="337"/>
        <v>648150</v>
      </c>
      <c r="H5081" s="11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1:26" ht="26.25" x14ac:dyDescent="0.4">
      <c r="A5082" s="6">
        <v>3</v>
      </c>
      <c r="B5082" s="15" t="s">
        <v>14</v>
      </c>
      <c r="C5082" s="11"/>
      <c r="D5082" s="11"/>
      <c r="E5082" s="11"/>
      <c r="F5082" s="11"/>
      <c r="G5082" s="16">
        <f t="shared" si="337"/>
        <v>0</v>
      </c>
      <c r="H5082" s="11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1:26" ht="26.25" x14ac:dyDescent="0.4">
      <c r="A5083" s="29" t="s">
        <v>15</v>
      </c>
      <c r="B5083" s="26"/>
      <c r="C5083" s="26"/>
      <c r="D5083" s="26"/>
      <c r="E5083" s="26"/>
      <c r="F5083" s="26"/>
      <c r="G5083" s="27"/>
      <c r="H5083" s="17">
        <f>SUM(G5080:G5082)</f>
        <v>1234150</v>
      </c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1:26" ht="26.25" x14ac:dyDescent="0.4">
      <c r="A5084" s="29" t="s">
        <v>16</v>
      </c>
      <c r="B5084" s="26"/>
      <c r="C5084" s="26"/>
      <c r="D5084" s="26"/>
      <c r="E5084" s="26"/>
      <c r="F5084" s="26"/>
      <c r="G5084" s="27"/>
      <c r="H5084" s="17">
        <f>MAX(0,H5083-648000)</f>
        <v>586150</v>
      </c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1:26" ht="26.25" x14ac:dyDescent="0.4">
      <c r="A5085" s="25" t="s">
        <v>17</v>
      </c>
      <c r="B5085" s="26"/>
      <c r="C5085" s="26"/>
      <c r="D5085" s="26"/>
      <c r="E5085" s="26"/>
      <c r="F5085" s="26"/>
      <c r="G5085" s="27"/>
      <c r="H5085" s="18">
        <v>649000</v>
      </c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1:26" ht="26.25" x14ac:dyDescent="0.4">
      <c r="A5086" s="28" t="s">
        <v>18</v>
      </c>
      <c r="B5086" s="26"/>
      <c r="C5086" s="26"/>
      <c r="D5086" s="26"/>
      <c r="E5086" s="26"/>
      <c r="F5086" s="26"/>
      <c r="G5086" s="26"/>
      <c r="H5086" s="27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1:26" ht="12.75" x14ac:dyDescent="0.2"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1:26" ht="12.75" x14ac:dyDescent="0.2"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1:26" ht="12.75" x14ac:dyDescent="0.2"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3" spans="1:26" ht="15.75" customHeight="1" x14ac:dyDescent="0.4">
      <c r="A5093" s="28" t="s">
        <v>0</v>
      </c>
      <c r="B5093" s="26"/>
      <c r="C5093" s="26"/>
      <c r="D5093" s="26"/>
      <c r="E5093" s="26"/>
      <c r="F5093" s="26"/>
      <c r="G5093" s="26"/>
      <c r="H5093" s="27"/>
    </row>
    <row r="5094" spans="1:26" ht="15.75" customHeight="1" x14ac:dyDescent="0.4">
      <c r="A5094" s="28" t="s">
        <v>1155</v>
      </c>
      <c r="B5094" s="26"/>
      <c r="C5094" s="26"/>
      <c r="D5094" s="26"/>
      <c r="E5094" s="26"/>
      <c r="F5094" s="26"/>
      <c r="G5094" s="26"/>
      <c r="H5094" s="27"/>
    </row>
    <row r="5095" spans="1:26" ht="29.25" customHeight="1" x14ac:dyDescent="0.3">
      <c r="A5095" s="3" t="s">
        <v>2</v>
      </c>
      <c r="B5095" s="3" t="s">
        <v>3</v>
      </c>
      <c r="C5095" s="3" t="s">
        <v>4</v>
      </c>
      <c r="D5095" s="3" t="s">
        <v>5</v>
      </c>
      <c r="E5095" s="3" t="s">
        <v>6</v>
      </c>
      <c r="F5095" s="4" t="s">
        <v>7</v>
      </c>
      <c r="G5095" s="3" t="s">
        <v>8</v>
      </c>
      <c r="H5095" s="5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1:26" ht="26.25" x14ac:dyDescent="0.4">
      <c r="A5096" s="6">
        <v>1</v>
      </c>
      <c r="B5096" s="20" t="s">
        <v>544</v>
      </c>
      <c r="C5096" s="21" t="s">
        <v>1105</v>
      </c>
      <c r="D5096" s="8" t="s">
        <v>11</v>
      </c>
      <c r="E5096" s="20">
        <v>1.65</v>
      </c>
      <c r="F5096" s="9">
        <v>293000</v>
      </c>
      <c r="G5096" s="10">
        <f t="shared" ref="G5096:G5098" si="338">IFERROR(E5096*F5096,0)</f>
        <v>483450</v>
      </c>
      <c r="H5096" s="11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1:26" ht="26.25" x14ac:dyDescent="0.4">
      <c r="A5097" s="6">
        <v>2</v>
      </c>
      <c r="B5097" s="22" t="s">
        <v>258</v>
      </c>
      <c r="C5097" s="23" t="s">
        <v>1156</v>
      </c>
      <c r="D5097" s="13" t="s">
        <v>13</v>
      </c>
      <c r="E5097" s="22">
        <v>1.5</v>
      </c>
      <c r="F5097" s="14">
        <v>435000</v>
      </c>
      <c r="G5097" s="10">
        <f t="shared" si="338"/>
        <v>652500</v>
      </c>
      <c r="H5097" s="11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1:26" ht="26.25" x14ac:dyDescent="0.4">
      <c r="A5098" s="6">
        <v>3</v>
      </c>
      <c r="B5098" s="15" t="s">
        <v>14</v>
      </c>
      <c r="C5098" s="11"/>
      <c r="D5098" s="11"/>
      <c r="E5098" s="11"/>
      <c r="F5098" s="11"/>
      <c r="G5098" s="16">
        <f t="shared" si="338"/>
        <v>0</v>
      </c>
      <c r="H5098" s="11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1:26" ht="26.25" x14ac:dyDescent="0.4">
      <c r="A5099" s="29" t="s">
        <v>15</v>
      </c>
      <c r="B5099" s="26"/>
      <c r="C5099" s="26"/>
      <c r="D5099" s="26"/>
      <c r="E5099" s="26"/>
      <c r="F5099" s="26"/>
      <c r="G5099" s="27"/>
      <c r="H5099" s="17">
        <f>SUM(G5096:G5098)</f>
        <v>1135950</v>
      </c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1:26" ht="26.25" x14ac:dyDescent="0.4">
      <c r="A5100" s="29" t="s">
        <v>16</v>
      </c>
      <c r="B5100" s="26"/>
      <c r="C5100" s="26"/>
      <c r="D5100" s="26"/>
      <c r="E5100" s="26"/>
      <c r="F5100" s="26"/>
      <c r="G5100" s="27"/>
      <c r="H5100" s="17">
        <f>MAX(0,H5099-648000)</f>
        <v>487950</v>
      </c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1:26" ht="26.25" x14ac:dyDescent="0.4">
      <c r="A5101" s="25" t="s">
        <v>17</v>
      </c>
      <c r="B5101" s="26"/>
      <c r="C5101" s="26"/>
      <c r="D5101" s="26"/>
      <c r="E5101" s="26"/>
      <c r="F5101" s="26"/>
      <c r="G5101" s="27"/>
      <c r="H5101" s="18">
        <v>649000</v>
      </c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1:26" ht="26.25" x14ac:dyDescent="0.4">
      <c r="A5102" s="28" t="s">
        <v>18</v>
      </c>
      <c r="B5102" s="26"/>
      <c r="C5102" s="26"/>
      <c r="D5102" s="26"/>
      <c r="E5102" s="26"/>
      <c r="F5102" s="26"/>
      <c r="G5102" s="26"/>
      <c r="H5102" s="27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1:26" ht="12.75" x14ac:dyDescent="0.2"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1:26" ht="12.75" x14ac:dyDescent="0.2"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8" spans="1:26" ht="15.75" customHeight="1" x14ac:dyDescent="0.4">
      <c r="A5108" s="28" t="s">
        <v>0</v>
      </c>
      <c r="B5108" s="26"/>
      <c r="C5108" s="26"/>
      <c r="D5108" s="26"/>
      <c r="E5108" s="26"/>
      <c r="F5108" s="26"/>
      <c r="G5108" s="26"/>
      <c r="H5108" s="27"/>
    </row>
    <row r="5109" spans="1:26" ht="15.75" customHeight="1" x14ac:dyDescent="0.4">
      <c r="A5109" s="28" t="s">
        <v>1157</v>
      </c>
      <c r="B5109" s="26"/>
      <c r="C5109" s="26"/>
      <c r="D5109" s="26"/>
      <c r="E5109" s="26"/>
      <c r="F5109" s="26"/>
      <c r="G5109" s="26"/>
      <c r="H5109" s="27"/>
    </row>
    <row r="5110" spans="1:26" ht="15.75" customHeight="1" x14ac:dyDescent="0.3">
      <c r="A5110" s="3" t="s">
        <v>2</v>
      </c>
      <c r="B5110" s="3" t="s">
        <v>3</v>
      </c>
      <c r="C5110" s="3" t="s">
        <v>4</v>
      </c>
      <c r="D5110" s="3" t="s">
        <v>5</v>
      </c>
      <c r="E5110" s="3" t="s">
        <v>6</v>
      </c>
      <c r="F5110" s="4" t="s">
        <v>7</v>
      </c>
      <c r="G5110" s="3" t="s">
        <v>8</v>
      </c>
      <c r="H5110" s="5"/>
    </row>
    <row r="5111" spans="1:26" ht="29.25" customHeight="1" x14ac:dyDescent="0.4">
      <c r="A5111" s="6">
        <v>1</v>
      </c>
      <c r="B5111" s="20" t="s">
        <v>175</v>
      </c>
      <c r="C5111" s="21" t="s">
        <v>1158</v>
      </c>
      <c r="D5111" s="8" t="s">
        <v>11</v>
      </c>
      <c r="E5111" s="20">
        <v>1.76</v>
      </c>
      <c r="F5111" s="9">
        <v>293000</v>
      </c>
      <c r="G5111" s="10">
        <f t="shared" ref="G5111:G5113" si="339">IFERROR(E5111*F5111,0)</f>
        <v>515680</v>
      </c>
      <c r="H5111" s="11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1:26" ht="26.25" x14ac:dyDescent="0.4">
      <c r="A5112" s="6">
        <v>2</v>
      </c>
      <c r="B5112" s="22" t="s">
        <v>98</v>
      </c>
      <c r="C5112" s="23" t="s">
        <v>1159</v>
      </c>
      <c r="D5112" s="13" t="s">
        <v>13</v>
      </c>
      <c r="E5112" s="22">
        <v>1.65</v>
      </c>
      <c r="F5112" s="14">
        <v>435000</v>
      </c>
      <c r="G5112" s="10">
        <f t="shared" si="339"/>
        <v>717750</v>
      </c>
      <c r="H5112" s="11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1:26" ht="26.25" x14ac:dyDescent="0.4">
      <c r="A5113" s="6">
        <v>3</v>
      </c>
      <c r="B5113" s="15" t="s">
        <v>14</v>
      </c>
      <c r="C5113" s="11"/>
      <c r="D5113" s="11"/>
      <c r="E5113" s="11"/>
      <c r="F5113" s="11"/>
      <c r="G5113" s="16">
        <f t="shared" si="339"/>
        <v>0</v>
      </c>
      <c r="H5113" s="11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1:26" ht="26.25" x14ac:dyDescent="0.4">
      <c r="A5114" s="29" t="s">
        <v>15</v>
      </c>
      <c r="B5114" s="26"/>
      <c r="C5114" s="26"/>
      <c r="D5114" s="26"/>
      <c r="E5114" s="26"/>
      <c r="F5114" s="26"/>
      <c r="G5114" s="27"/>
      <c r="H5114" s="17">
        <f>SUM(G5111:G5113)</f>
        <v>1233430</v>
      </c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1:26" ht="26.25" x14ac:dyDescent="0.4">
      <c r="A5115" s="29" t="s">
        <v>16</v>
      </c>
      <c r="B5115" s="26"/>
      <c r="C5115" s="26"/>
      <c r="D5115" s="26"/>
      <c r="E5115" s="26"/>
      <c r="F5115" s="26"/>
      <c r="G5115" s="27"/>
      <c r="H5115" s="17">
        <f>MAX(0,H5114-648000)</f>
        <v>585430</v>
      </c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1:26" ht="26.25" x14ac:dyDescent="0.4">
      <c r="A5116" s="25" t="s">
        <v>17</v>
      </c>
      <c r="B5116" s="26"/>
      <c r="C5116" s="26"/>
      <c r="D5116" s="26"/>
      <c r="E5116" s="26"/>
      <c r="F5116" s="26"/>
      <c r="G5116" s="27"/>
      <c r="H5116" s="18">
        <v>649000</v>
      </c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1:26" ht="26.25" x14ac:dyDescent="0.4">
      <c r="A5117" s="28" t="s">
        <v>18</v>
      </c>
      <c r="B5117" s="26"/>
      <c r="C5117" s="26"/>
      <c r="D5117" s="26"/>
      <c r="E5117" s="26"/>
      <c r="F5117" s="26"/>
      <c r="G5117" s="26"/>
      <c r="H5117" s="27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1:26" ht="12.75" x14ac:dyDescent="0.2"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1:26" ht="12.75" x14ac:dyDescent="0.2"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1:26" ht="12.75" x14ac:dyDescent="0.2"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4" spans="1:26" ht="15.75" customHeight="1" x14ac:dyDescent="0.4">
      <c r="A5124" s="28" t="s">
        <v>0</v>
      </c>
      <c r="B5124" s="26"/>
      <c r="C5124" s="26"/>
      <c r="D5124" s="26"/>
      <c r="E5124" s="26"/>
      <c r="F5124" s="26"/>
      <c r="G5124" s="26"/>
      <c r="H5124" s="27"/>
    </row>
    <row r="5125" spans="1:26" ht="15.75" customHeight="1" x14ac:dyDescent="0.4">
      <c r="A5125" s="28" t="s">
        <v>1160</v>
      </c>
      <c r="B5125" s="26"/>
      <c r="C5125" s="26"/>
      <c r="D5125" s="26"/>
      <c r="E5125" s="26"/>
      <c r="F5125" s="26"/>
      <c r="G5125" s="26"/>
      <c r="H5125" s="27"/>
    </row>
    <row r="5126" spans="1:26" ht="15.75" customHeight="1" x14ac:dyDescent="0.3">
      <c r="A5126" s="3" t="s">
        <v>2</v>
      </c>
      <c r="B5126" s="3" t="s">
        <v>3</v>
      </c>
      <c r="C5126" s="3" t="s">
        <v>4</v>
      </c>
      <c r="D5126" s="3" t="s">
        <v>5</v>
      </c>
      <c r="E5126" s="3" t="s">
        <v>6</v>
      </c>
      <c r="F5126" s="4" t="s">
        <v>7</v>
      </c>
      <c r="G5126" s="3" t="s">
        <v>8</v>
      </c>
      <c r="H5126" s="5"/>
    </row>
    <row r="5127" spans="1:26" ht="29.25" customHeight="1" x14ac:dyDescent="0.4">
      <c r="A5127" s="6">
        <v>1</v>
      </c>
      <c r="B5127" s="20" t="s">
        <v>544</v>
      </c>
      <c r="C5127" s="21" t="s">
        <v>1161</v>
      </c>
      <c r="D5127" s="8" t="s">
        <v>11</v>
      </c>
      <c r="E5127" s="20">
        <v>2</v>
      </c>
      <c r="F5127" s="9">
        <v>293000</v>
      </c>
      <c r="G5127" s="10">
        <f t="shared" ref="G5127:G5129" si="340">IFERROR(E5127*F5127,0)</f>
        <v>586000</v>
      </c>
      <c r="H5127" s="11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1:26" ht="26.25" x14ac:dyDescent="0.4">
      <c r="A5128" s="6">
        <v>2</v>
      </c>
      <c r="B5128" s="22" t="s">
        <v>327</v>
      </c>
      <c r="C5128" s="23" t="s">
        <v>1162</v>
      </c>
      <c r="D5128" s="13" t="s">
        <v>13</v>
      </c>
      <c r="E5128" s="22">
        <v>1.45</v>
      </c>
      <c r="F5128" s="14">
        <v>435000</v>
      </c>
      <c r="G5128" s="10">
        <f t="shared" si="340"/>
        <v>630750</v>
      </c>
      <c r="H5128" s="11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1:26" ht="26.25" x14ac:dyDescent="0.4">
      <c r="A5129" s="6">
        <v>3</v>
      </c>
      <c r="B5129" s="15" t="s">
        <v>14</v>
      </c>
      <c r="C5129" s="11"/>
      <c r="D5129" s="11"/>
      <c r="E5129" s="11"/>
      <c r="F5129" s="11"/>
      <c r="G5129" s="16">
        <f t="shared" si="340"/>
        <v>0</v>
      </c>
      <c r="H5129" s="11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1:26" ht="26.25" x14ac:dyDescent="0.4">
      <c r="A5130" s="29" t="s">
        <v>15</v>
      </c>
      <c r="B5130" s="26"/>
      <c r="C5130" s="26"/>
      <c r="D5130" s="26"/>
      <c r="E5130" s="26"/>
      <c r="F5130" s="26"/>
      <c r="G5130" s="27"/>
      <c r="H5130" s="17">
        <f>SUM(G5127:G5129)</f>
        <v>1216750</v>
      </c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1:26" ht="26.25" x14ac:dyDescent="0.4">
      <c r="A5131" s="29" t="s">
        <v>16</v>
      </c>
      <c r="B5131" s="26"/>
      <c r="C5131" s="26"/>
      <c r="D5131" s="26"/>
      <c r="E5131" s="26"/>
      <c r="F5131" s="26"/>
      <c r="G5131" s="27"/>
      <c r="H5131" s="17">
        <f>MAX(0,H5130-648000)</f>
        <v>568750</v>
      </c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1:26" ht="26.25" x14ac:dyDescent="0.4">
      <c r="A5132" s="25" t="s">
        <v>17</v>
      </c>
      <c r="B5132" s="26"/>
      <c r="C5132" s="26"/>
      <c r="D5132" s="26"/>
      <c r="E5132" s="26"/>
      <c r="F5132" s="26"/>
      <c r="G5132" s="27"/>
      <c r="H5132" s="18">
        <v>649000</v>
      </c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1:26" ht="26.25" x14ac:dyDescent="0.4">
      <c r="A5133" s="28" t="s">
        <v>18</v>
      </c>
      <c r="B5133" s="26"/>
      <c r="C5133" s="26"/>
      <c r="D5133" s="26"/>
      <c r="E5133" s="26"/>
      <c r="F5133" s="26"/>
      <c r="G5133" s="26"/>
      <c r="H5133" s="27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1:26" ht="12.75" x14ac:dyDescent="0.2"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1:26" ht="12.75" x14ac:dyDescent="0.2"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1:26" ht="12.75" x14ac:dyDescent="0.2"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40" spans="1:26" ht="15.75" customHeight="1" x14ac:dyDescent="0.4">
      <c r="A5140" s="28" t="s">
        <v>0</v>
      </c>
      <c r="B5140" s="26"/>
      <c r="C5140" s="26"/>
      <c r="D5140" s="26"/>
      <c r="E5140" s="26"/>
      <c r="F5140" s="26"/>
      <c r="G5140" s="26"/>
      <c r="H5140" s="27"/>
    </row>
    <row r="5141" spans="1:26" ht="15.75" customHeight="1" x14ac:dyDescent="0.4">
      <c r="A5141" s="28" t="s">
        <v>1163</v>
      </c>
      <c r="B5141" s="26"/>
      <c r="C5141" s="26"/>
      <c r="D5141" s="26"/>
      <c r="E5141" s="26"/>
      <c r="F5141" s="26"/>
      <c r="G5141" s="26"/>
      <c r="H5141" s="27"/>
    </row>
    <row r="5142" spans="1:26" ht="15.75" customHeight="1" x14ac:dyDescent="0.3">
      <c r="A5142" s="3" t="s">
        <v>2</v>
      </c>
      <c r="B5142" s="3" t="s">
        <v>3</v>
      </c>
      <c r="C5142" s="3" t="s">
        <v>4</v>
      </c>
      <c r="D5142" s="3" t="s">
        <v>5</v>
      </c>
      <c r="E5142" s="3" t="s">
        <v>6</v>
      </c>
      <c r="F5142" s="4" t="s">
        <v>7</v>
      </c>
      <c r="G5142" s="3" t="s">
        <v>8</v>
      </c>
      <c r="H5142" s="5"/>
    </row>
    <row r="5143" spans="1:26" ht="29.25" customHeight="1" x14ac:dyDescent="0.4">
      <c r="A5143" s="6">
        <v>1</v>
      </c>
      <c r="B5143" s="20" t="s">
        <v>544</v>
      </c>
      <c r="C5143" s="21" t="s">
        <v>1147</v>
      </c>
      <c r="D5143" s="8" t="s">
        <v>11</v>
      </c>
      <c r="E5143" s="20">
        <v>2.62</v>
      </c>
      <c r="F5143" s="9">
        <v>293000</v>
      </c>
      <c r="G5143" s="10">
        <f t="shared" ref="G5143:G5145" si="341">IFERROR(E5143*F5143,0)</f>
        <v>767660</v>
      </c>
      <c r="H5143" s="11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spans="1:26" ht="26.25" x14ac:dyDescent="0.4">
      <c r="A5144" s="6">
        <v>2</v>
      </c>
      <c r="B5144" s="22" t="s">
        <v>1164</v>
      </c>
      <c r="C5144" s="23" t="s">
        <v>1165</v>
      </c>
      <c r="D5144" s="13" t="s">
        <v>13</v>
      </c>
      <c r="E5144" s="22">
        <v>1</v>
      </c>
      <c r="F5144" s="14">
        <v>435000</v>
      </c>
      <c r="G5144" s="10">
        <f t="shared" si="341"/>
        <v>435000</v>
      </c>
      <c r="H5144" s="11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spans="1:26" ht="26.25" x14ac:dyDescent="0.4">
      <c r="A5145" s="6">
        <v>3</v>
      </c>
      <c r="B5145" s="15" t="s">
        <v>14</v>
      </c>
      <c r="C5145" s="11"/>
      <c r="D5145" s="11"/>
      <c r="E5145" s="11"/>
      <c r="F5145" s="11"/>
      <c r="G5145" s="16">
        <f t="shared" si="341"/>
        <v>0</v>
      </c>
      <c r="H5145" s="11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spans="1:26" ht="26.25" x14ac:dyDescent="0.4">
      <c r="A5146" s="29" t="s">
        <v>15</v>
      </c>
      <c r="B5146" s="26"/>
      <c r="C5146" s="26"/>
      <c r="D5146" s="26"/>
      <c r="E5146" s="26"/>
      <c r="F5146" s="26"/>
      <c r="G5146" s="27"/>
      <c r="H5146" s="17">
        <f>SUM(G5143:G5145)</f>
        <v>1202660</v>
      </c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1:26" ht="26.25" x14ac:dyDescent="0.4">
      <c r="A5147" s="29" t="s">
        <v>16</v>
      </c>
      <c r="B5147" s="26"/>
      <c r="C5147" s="26"/>
      <c r="D5147" s="26"/>
      <c r="E5147" s="26"/>
      <c r="F5147" s="26"/>
      <c r="G5147" s="27"/>
      <c r="H5147" s="17">
        <f>MAX(0,H5146-648000)</f>
        <v>554660</v>
      </c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1:26" ht="26.25" x14ac:dyDescent="0.4">
      <c r="A5148" s="25" t="s">
        <v>17</v>
      </c>
      <c r="B5148" s="26"/>
      <c r="C5148" s="26"/>
      <c r="D5148" s="26"/>
      <c r="E5148" s="26"/>
      <c r="F5148" s="26"/>
      <c r="G5148" s="27"/>
      <c r="H5148" s="18">
        <v>649000</v>
      </c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1:26" ht="26.25" x14ac:dyDescent="0.4">
      <c r="A5149" s="28" t="s">
        <v>18</v>
      </c>
      <c r="B5149" s="26"/>
      <c r="C5149" s="26"/>
      <c r="D5149" s="26"/>
      <c r="E5149" s="26"/>
      <c r="F5149" s="26"/>
      <c r="G5149" s="26"/>
      <c r="H5149" s="27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1:26" ht="12.75" x14ac:dyDescent="0.2"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1:26" ht="12.75" x14ac:dyDescent="0.2"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1:26" ht="12.75" x14ac:dyDescent="0.2"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6" spans="1:26" ht="15.75" customHeight="1" x14ac:dyDescent="0.4">
      <c r="A5156" s="28" t="s">
        <v>0</v>
      </c>
      <c r="B5156" s="26"/>
      <c r="C5156" s="26"/>
      <c r="D5156" s="26"/>
      <c r="E5156" s="26"/>
      <c r="F5156" s="26"/>
      <c r="G5156" s="26"/>
      <c r="H5156" s="27"/>
    </row>
    <row r="5157" spans="1:26" ht="15.75" customHeight="1" x14ac:dyDescent="0.4">
      <c r="A5157" s="28" t="s">
        <v>1166</v>
      </c>
      <c r="B5157" s="26"/>
      <c r="C5157" s="26"/>
      <c r="D5157" s="26"/>
      <c r="E5157" s="26"/>
      <c r="F5157" s="26"/>
      <c r="G5157" s="26"/>
      <c r="H5157" s="27"/>
    </row>
    <row r="5158" spans="1:26" ht="29.25" customHeight="1" x14ac:dyDescent="0.3">
      <c r="A5158" s="3" t="s">
        <v>2</v>
      </c>
      <c r="B5158" s="3" t="s">
        <v>3</v>
      </c>
      <c r="C5158" s="3" t="s">
        <v>4</v>
      </c>
      <c r="D5158" s="3" t="s">
        <v>5</v>
      </c>
      <c r="E5158" s="3" t="s">
        <v>6</v>
      </c>
      <c r="F5158" s="4" t="s">
        <v>7</v>
      </c>
      <c r="G5158" s="3" t="s">
        <v>8</v>
      </c>
      <c r="H5158" s="5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1:26" ht="26.25" x14ac:dyDescent="0.4">
      <c r="A5159" s="6">
        <v>1</v>
      </c>
      <c r="B5159" s="20" t="s">
        <v>94</v>
      </c>
      <c r="C5159" s="21" t="s">
        <v>1167</v>
      </c>
      <c r="D5159" s="8" t="s">
        <v>11</v>
      </c>
      <c r="E5159" s="20">
        <v>2.9</v>
      </c>
      <c r="F5159" s="9">
        <v>293000</v>
      </c>
      <c r="G5159" s="10">
        <f t="shared" ref="G5159:G5161" si="342">IFERROR(E5159*F5159,0)</f>
        <v>849700</v>
      </c>
      <c r="H5159" s="11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1:26" ht="26.25" x14ac:dyDescent="0.4">
      <c r="A5160" s="6">
        <v>2</v>
      </c>
      <c r="B5160" s="22" t="s">
        <v>1168</v>
      </c>
      <c r="C5160" s="23" t="s">
        <v>1169</v>
      </c>
      <c r="D5160" s="13" t="s">
        <v>13</v>
      </c>
      <c r="E5160" s="22">
        <v>0.55000000000000004</v>
      </c>
      <c r="F5160" s="14">
        <v>435000</v>
      </c>
      <c r="G5160" s="10">
        <f t="shared" si="342"/>
        <v>239250.00000000003</v>
      </c>
      <c r="H5160" s="11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1:26" ht="26.25" x14ac:dyDescent="0.4">
      <c r="A5161" s="6">
        <v>3</v>
      </c>
      <c r="B5161" s="15" t="s">
        <v>14</v>
      </c>
      <c r="C5161" s="11"/>
      <c r="D5161" s="11"/>
      <c r="E5161" s="11"/>
      <c r="F5161" s="11"/>
      <c r="G5161" s="16">
        <f t="shared" si="342"/>
        <v>0</v>
      </c>
      <c r="H5161" s="11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1:26" ht="26.25" x14ac:dyDescent="0.4">
      <c r="A5162" s="29" t="s">
        <v>15</v>
      </c>
      <c r="B5162" s="26"/>
      <c r="C5162" s="26"/>
      <c r="D5162" s="26"/>
      <c r="E5162" s="26"/>
      <c r="F5162" s="26"/>
      <c r="G5162" s="27"/>
      <c r="H5162" s="17">
        <f>SUM(G5159:G5161)</f>
        <v>1088950</v>
      </c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1:26" ht="26.25" x14ac:dyDescent="0.4">
      <c r="A5163" s="29" t="s">
        <v>16</v>
      </c>
      <c r="B5163" s="26"/>
      <c r="C5163" s="26"/>
      <c r="D5163" s="26"/>
      <c r="E5163" s="26"/>
      <c r="F5163" s="26"/>
      <c r="G5163" s="27"/>
      <c r="H5163" s="17">
        <f>MAX(0,H5162-648000)</f>
        <v>440950</v>
      </c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1:26" ht="26.25" x14ac:dyDescent="0.4">
      <c r="A5164" s="25" t="s">
        <v>17</v>
      </c>
      <c r="B5164" s="26"/>
      <c r="C5164" s="26"/>
      <c r="D5164" s="26"/>
      <c r="E5164" s="26"/>
      <c r="F5164" s="26"/>
      <c r="G5164" s="27"/>
      <c r="H5164" s="18">
        <v>649000</v>
      </c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1:26" ht="26.25" x14ac:dyDescent="0.4">
      <c r="A5165" s="28" t="s">
        <v>18</v>
      </c>
      <c r="B5165" s="26"/>
      <c r="C5165" s="26"/>
      <c r="D5165" s="26"/>
      <c r="E5165" s="26"/>
      <c r="F5165" s="26"/>
      <c r="G5165" s="26"/>
      <c r="H5165" s="27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1:26" ht="12.75" x14ac:dyDescent="0.2"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1:26" ht="12.75" x14ac:dyDescent="0.2"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71" spans="1:26" ht="15.75" customHeight="1" x14ac:dyDescent="0.4">
      <c r="A5171" s="28" t="s">
        <v>0</v>
      </c>
      <c r="B5171" s="26"/>
      <c r="C5171" s="26"/>
      <c r="D5171" s="26"/>
      <c r="E5171" s="26"/>
      <c r="F5171" s="26"/>
      <c r="G5171" s="26"/>
      <c r="H5171" s="27"/>
    </row>
    <row r="5172" spans="1:26" ht="15.75" customHeight="1" x14ac:dyDescent="0.4">
      <c r="A5172" s="28" t="s">
        <v>1170</v>
      </c>
      <c r="B5172" s="26"/>
      <c r="C5172" s="26"/>
      <c r="D5172" s="26"/>
      <c r="E5172" s="26"/>
      <c r="F5172" s="26"/>
      <c r="G5172" s="26"/>
      <c r="H5172" s="27"/>
    </row>
    <row r="5173" spans="1:26" ht="29.25" customHeight="1" x14ac:dyDescent="0.3">
      <c r="A5173" s="3" t="s">
        <v>2</v>
      </c>
      <c r="B5173" s="3" t="s">
        <v>3</v>
      </c>
      <c r="C5173" s="3" t="s">
        <v>4</v>
      </c>
      <c r="D5173" s="3" t="s">
        <v>5</v>
      </c>
      <c r="E5173" s="3" t="s">
        <v>6</v>
      </c>
      <c r="F5173" s="4" t="s">
        <v>7</v>
      </c>
      <c r="G5173" s="3" t="s">
        <v>8</v>
      </c>
      <c r="H5173" s="5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1:26" ht="26.25" x14ac:dyDescent="0.4">
      <c r="A5174" s="6">
        <v>1</v>
      </c>
      <c r="B5174" s="20" t="s">
        <v>22</v>
      </c>
      <c r="C5174" s="21" t="s">
        <v>1171</v>
      </c>
      <c r="D5174" s="8" t="s">
        <v>11</v>
      </c>
      <c r="E5174" s="20">
        <v>1.5</v>
      </c>
      <c r="F5174" s="9">
        <v>293000</v>
      </c>
      <c r="G5174" s="10">
        <f t="shared" ref="G5174:G5176" si="343">IFERROR(E5174*F5174,0)</f>
        <v>439500</v>
      </c>
      <c r="H5174" s="11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1:26" ht="26.25" x14ac:dyDescent="0.4">
      <c r="A5175" s="6">
        <v>2</v>
      </c>
      <c r="B5175" s="22" t="s">
        <v>526</v>
      </c>
      <c r="C5175" s="23" t="s">
        <v>452</v>
      </c>
      <c r="D5175" s="13" t="s">
        <v>13</v>
      </c>
      <c r="E5175" s="22">
        <v>2</v>
      </c>
      <c r="F5175" s="14">
        <v>435000</v>
      </c>
      <c r="G5175" s="10">
        <f t="shared" si="343"/>
        <v>870000</v>
      </c>
      <c r="H5175" s="11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1:26" ht="26.25" x14ac:dyDescent="0.4">
      <c r="A5176" s="6">
        <v>3</v>
      </c>
      <c r="B5176" s="15" t="s">
        <v>14</v>
      </c>
      <c r="C5176" s="11"/>
      <c r="D5176" s="11"/>
      <c r="E5176" s="11"/>
      <c r="F5176" s="11"/>
      <c r="G5176" s="16">
        <f t="shared" si="343"/>
        <v>0</v>
      </c>
      <c r="H5176" s="11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1:26" ht="26.25" x14ac:dyDescent="0.4">
      <c r="A5177" s="29" t="s">
        <v>15</v>
      </c>
      <c r="B5177" s="26"/>
      <c r="C5177" s="26"/>
      <c r="D5177" s="26"/>
      <c r="E5177" s="26"/>
      <c r="F5177" s="26"/>
      <c r="G5177" s="27"/>
      <c r="H5177" s="17">
        <f>SUM(G5174:G5176)</f>
        <v>1309500</v>
      </c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1:26" ht="26.25" x14ac:dyDescent="0.4">
      <c r="A5178" s="29" t="s">
        <v>16</v>
      </c>
      <c r="B5178" s="26"/>
      <c r="C5178" s="26"/>
      <c r="D5178" s="26"/>
      <c r="E5178" s="26"/>
      <c r="F5178" s="26"/>
      <c r="G5178" s="27"/>
      <c r="H5178" s="17">
        <f>MAX(0,H5177-648000)</f>
        <v>661500</v>
      </c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1:26" ht="26.25" x14ac:dyDescent="0.4">
      <c r="A5179" s="25" t="s">
        <v>17</v>
      </c>
      <c r="B5179" s="26"/>
      <c r="C5179" s="26"/>
      <c r="D5179" s="26"/>
      <c r="E5179" s="26"/>
      <c r="F5179" s="26"/>
      <c r="G5179" s="27"/>
      <c r="H5179" s="18">
        <v>649000</v>
      </c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1:26" ht="26.25" x14ac:dyDescent="0.4">
      <c r="A5180" s="28" t="s">
        <v>18</v>
      </c>
      <c r="B5180" s="26"/>
      <c r="C5180" s="26"/>
      <c r="D5180" s="26"/>
      <c r="E5180" s="26"/>
      <c r="F5180" s="26"/>
      <c r="G5180" s="26"/>
      <c r="H5180" s="27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1:26" ht="12.75" x14ac:dyDescent="0.2"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1:26" ht="12.75" x14ac:dyDescent="0.2"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6" spans="1:26" ht="15.75" customHeight="1" x14ac:dyDescent="0.4">
      <c r="A5186" s="28" t="s">
        <v>0</v>
      </c>
      <c r="B5186" s="26"/>
      <c r="C5186" s="26"/>
      <c r="D5186" s="26"/>
      <c r="E5186" s="26"/>
      <c r="F5186" s="26"/>
      <c r="G5186" s="26"/>
      <c r="H5186" s="27"/>
    </row>
    <row r="5187" spans="1:26" ht="15.75" customHeight="1" x14ac:dyDescent="0.4">
      <c r="A5187" s="28" t="s">
        <v>1172</v>
      </c>
      <c r="B5187" s="26"/>
      <c r="C5187" s="26"/>
      <c r="D5187" s="26"/>
      <c r="E5187" s="26"/>
      <c r="F5187" s="26"/>
      <c r="G5187" s="26"/>
      <c r="H5187" s="27"/>
    </row>
    <row r="5188" spans="1:26" ht="29.25" customHeight="1" x14ac:dyDescent="0.3">
      <c r="A5188" s="3" t="s">
        <v>2</v>
      </c>
      <c r="B5188" s="3" t="s">
        <v>3</v>
      </c>
      <c r="C5188" s="3" t="s">
        <v>4</v>
      </c>
      <c r="D5188" s="3" t="s">
        <v>5</v>
      </c>
      <c r="E5188" s="3" t="s">
        <v>6</v>
      </c>
      <c r="F5188" s="4" t="s">
        <v>7</v>
      </c>
      <c r="G5188" s="3" t="s">
        <v>8</v>
      </c>
      <c r="H5188" s="5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1:26" ht="26.25" x14ac:dyDescent="0.4">
      <c r="A5189" s="6">
        <v>1</v>
      </c>
      <c r="B5189" s="20" t="s">
        <v>678</v>
      </c>
      <c r="C5189" s="21" t="s">
        <v>1173</v>
      </c>
      <c r="D5189" s="8" t="s">
        <v>11</v>
      </c>
      <c r="E5189" s="20">
        <v>1.77</v>
      </c>
      <c r="F5189" s="9">
        <v>293000</v>
      </c>
      <c r="G5189" s="10">
        <f t="shared" ref="G5189:G5191" si="344">IFERROR(E5189*F5189,0)</f>
        <v>518610</v>
      </c>
      <c r="H5189" s="11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1:26" ht="26.25" x14ac:dyDescent="0.4">
      <c r="A5190" s="6">
        <v>2</v>
      </c>
      <c r="B5190" s="22" t="s">
        <v>25</v>
      </c>
      <c r="C5190" s="23" t="s">
        <v>1174</v>
      </c>
      <c r="D5190" s="13" t="s">
        <v>13</v>
      </c>
      <c r="E5190" s="22">
        <v>1.63</v>
      </c>
      <c r="F5190" s="14">
        <v>435000</v>
      </c>
      <c r="G5190" s="10">
        <f t="shared" si="344"/>
        <v>709050</v>
      </c>
      <c r="H5190" s="11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1:26" ht="26.25" x14ac:dyDescent="0.4">
      <c r="A5191" s="6">
        <v>3</v>
      </c>
      <c r="B5191" s="15" t="s">
        <v>14</v>
      </c>
      <c r="C5191" s="11"/>
      <c r="D5191" s="11"/>
      <c r="E5191" s="11"/>
      <c r="F5191" s="11"/>
      <c r="G5191" s="16">
        <f t="shared" si="344"/>
        <v>0</v>
      </c>
      <c r="H5191" s="11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1:26" ht="26.25" x14ac:dyDescent="0.4">
      <c r="A5192" s="29" t="s">
        <v>15</v>
      </c>
      <c r="B5192" s="26"/>
      <c r="C5192" s="26"/>
      <c r="D5192" s="26"/>
      <c r="E5192" s="26"/>
      <c r="F5192" s="26"/>
      <c r="G5192" s="27"/>
      <c r="H5192" s="17">
        <f>SUM(G5189:G5191)</f>
        <v>1227660</v>
      </c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1:26" ht="26.25" x14ac:dyDescent="0.4">
      <c r="A5193" s="29" t="s">
        <v>16</v>
      </c>
      <c r="B5193" s="26"/>
      <c r="C5193" s="26"/>
      <c r="D5193" s="26"/>
      <c r="E5193" s="26"/>
      <c r="F5193" s="26"/>
      <c r="G5193" s="27"/>
      <c r="H5193" s="17">
        <f>MAX(0,H5192-648000)</f>
        <v>579660</v>
      </c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1:26" ht="26.25" x14ac:dyDescent="0.4">
      <c r="A5194" s="25" t="s">
        <v>17</v>
      </c>
      <c r="B5194" s="26"/>
      <c r="C5194" s="26"/>
      <c r="D5194" s="26"/>
      <c r="E5194" s="26"/>
      <c r="F5194" s="26"/>
      <c r="G5194" s="27"/>
      <c r="H5194" s="18">
        <v>649000</v>
      </c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1:26" ht="26.25" x14ac:dyDescent="0.4">
      <c r="A5195" s="28" t="s">
        <v>18</v>
      </c>
      <c r="B5195" s="26"/>
      <c r="C5195" s="26"/>
      <c r="D5195" s="26"/>
      <c r="E5195" s="26"/>
      <c r="F5195" s="26"/>
      <c r="G5195" s="26"/>
      <c r="H5195" s="27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1:26" ht="12.75" x14ac:dyDescent="0.2"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1:26" ht="12.75" x14ac:dyDescent="0.2"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201" spans="1:26" ht="15.75" customHeight="1" x14ac:dyDescent="0.4">
      <c r="A5201" s="28" t="s">
        <v>0</v>
      </c>
      <c r="B5201" s="26"/>
      <c r="C5201" s="26"/>
      <c r="D5201" s="26"/>
      <c r="E5201" s="26"/>
      <c r="F5201" s="26"/>
      <c r="G5201" s="26"/>
      <c r="H5201" s="27"/>
    </row>
    <row r="5202" spans="1:26" ht="29.25" customHeight="1" x14ac:dyDescent="0.4">
      <c r="A5202" s="28" t="s">
        <v>1175</v>
      </c>
      <c r="B5202" s="26"/>
      <c r="C5202" s="26"/>
      <c r="D5202" s="26"/>
      <c r="E5202" s="26"/>
      <c r="F5202" s="26"/>
      <c r="G5202" s="26"/>
      <c r="H5202" s="27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1:26" ht="18.75" x14ac:dyDescent="0.3">
      <c r="A5203" s="3" t="s">
        <v>2</v>
      </c>
      <c r="B5203" s="3" t="s">
        <v>3</v>
      </c>
      <c r="C5203" s="3" t="s">
        <v>4</v>
      </c>
      <c r="D5203" s="3" t="s">
        <v>5</v>
      </c>
      <c r="E5203" s="3" t="s">
        <v>6</v>
      </c>
      <c r="F5203" s="4" t="s">
        <v>7</v>
      </c>
      <c r="G5203" s="3" t="s">
        <v>8</v>
      </c>
      <c r="H5203" s="5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1:26" ht="26.25" x14ac:dyDescent="0.4">
      <c r="A5204" s="6">
        <v>1</v>
      </c>
      <c r="B5204" s="20" t="s">
        <v>678</v>
      </c>
      <c r="C5204" s="21" t="s">
        <v>1176</v>
      </c>
      <c r="D5204" s="8" t="s">
        <v>11</v>
      </c>
      <c r="E5204" s="20">
        <v>1.4</v>
      </c>
      <c r="F5204" s="9">
        <v>293000</v>
      </c>
      <c r="G5204" s="10">
        <f t="shared" ref="G5204:G5206" si="345">IFERROR(E5204*F5204,0)</f>
        <v>410200</v>
      </c>
      <c r="H5204" s="11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1:26" ht="26.25" x14ac:dyDescent="0.4">
      <c r="A5205" s="6">
        <v>2</v>
      </c>
      <c r="B5205" s="22" t="s">
        <v>151</v>
      </c>
      <c r="C5205" s="23" t="s">
        <v>1124</v>
      </c>
      <c r="D5205" s="13" t="s">
        <v>13</v>
      </c>
      <c r="E5205" s="22">
        <v>2</v>
      </c>
      <c r="F5205" s="14">
        <v>435000</v>
      </c>
      <c r="G5205" s="10">
        <f t="shared" si="345"/>
        <v>870000</v>
      </c>
      <c r="H5205" s="11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1:26" ht="26.25" x14ac:dyDescent="0.4">
      <c r="A5206" s="6">
        <v>3</v>
      </c>
      <c r="B5206" s="15" t="s">
        <v>14</v>
      </c>
      <c r="C5206" s="11"/>
      <c r="D5206" s="11"/>
      <c r="E5206" s="11"/>
      <c r="F5206" s="11"/>
      <c r="G5206" s="16">
        <f t="shared" si="345"/>
        <v>0</v>
      </c>
      <c r="H5206" s="11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1:26" ht="26.25" x14ac:dyDescent="0.4">
      <c r="A5207" s="29" t="s">
        <v>15</v>
      </c>
      <c r="B5207" s="26"/>
      <c r="C5207" s="26"/>
      <c r="D5207" s="26"/>
      <c r="E5207" s="26"/>
      <c r="F5207" s="26"/>
      <c r="G5207" s="27"/>
      <c r="H5207" s="17">
        <f>SUM(G5204:G5206)</f>
        <v>1280200</v>
      </c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1:26" ht="26.25" x14ac:dyDescent="0.4">
      <c r="A5208" s="29" t="s">
        <v>16</v>
      </c>
      <c r="B5208" s="26"/>
      <c r="C5208" s="26"/>
      <c r="D5208" s="26"/>
      <c r="E5208" s="26"/>
      <c r="F5208" s="26"/>
      <c r="G5208" s="27"/>
      <c r="H5208" s="17">
        <f>MAX(0,H5207-648000)</f>
        <v>632200</v>
      </c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1:26" ht="26.25" x14ac:dyDescent="0.4">
      <c r="A5209" s="25" t="s">
        <v>17</v>
      </c>
      <c r="B5209" s="26"/>
      <c r="C5209" s="26"/>
      <c r="D5209" s="26"/>
      <c r="E5209" s="26"/>
      <c r="F5209" s="26"/>
      <c r="G5209" s="27"/>
      <c r="H5209" s="18">
        <v>649000</v>
      </c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1:26" ht="26.25" x14ac:dyDescent="0.4">
      <c r="A5210" s="28" t="s">
        <v>18</v>
      </c>
      <c r="B5210" s="26"/>
      <c r="C5210" s="26"/>
      <c r="D5210" s="26"/>
      <c r="E5210" s="26"/>
      <c r="F5210" s="26"/>
      <c r="G5210" s="26"/>
      <c r="H5210" s="27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1:26" ht="12.75" x14ac:dyDescent="0.2"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5" spans="1:26" ht="15.75" customHeight="1" x14ac:dyDescent="0.4">
      <c r="A5215" s="28" t="s">
        <v>0</v>
      </c>
      <c r="B5215" s="26"/>
      <c r="C5215" s="26"/>
      <c r="D5215" s="26"/>
      <c r="E5215" s="26"/>
      <c r="F5215" s="26"/>
      <c r="G5215" s="26"/>
      <c r="H5215" s="27"/>
    </row>
    <row r="5216" spans="1:26" ht="29.25" customHeight="1" x14ac:dyDescent="0.4">
      <c r="A5216" s="28" t="s">
        <v>1177</v>
      </c>
      <c r="B5216" s="26"/>
      <c r="C5216" s="26"/>
      <c r="D5216" s="26"/>
      <c r="E5216" s="26"/>
      <c r="F5216" s="26"/>
      <c r="G5216" s="26"/>
      <c r="H5216" s="27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1:26" ht="18.75" x14ac:dyDescent="0.3">
      <c r="A5217" s="3" t="s">
        <v>2</v>
      </c>
      <c r="B5217" s="3" t="s">
        <v>3</v>
      </c>
      <c r="C5217" s="3" t="s">
        <v>4</v>
      </c>
      <c r="D5217" s="3" t="s">
        <v>5</v>
      </c>
      <c r="E5217" s="3" t="s">
        <v>6</v>
      </c>
      <c r="F5217" s="4" t="s">
        <v>7</v>
      </c>
      <c r="G5217" s="3" t="s">
        <v>8</v>
      </c>
      <c r="H5217" s="5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1:26" ht="26.25" x14ac:dyDescent="0.4">
      <c r="A5218" s="6">
        <v>1</v>
      </c>
      <c r="B5218" s="20" t="s">
        <v>862</v>
      </c>
      <c r="C5218" s="21" t="s">
        <v>1178</v>
      </c>
      <c r="D5218" s="8" t="s">
        <v>11</v>
      </c>
      <c r="E5218" s="20">
        <v>1.5</v>
      </c>
      <c r="F5218" s="9">
        <v>293000</v>
      </c>
      <c r="G5218" s="10">
        <f t="shared" ref="G5218:G5220" si="346">IFERROR(E5218*F5218,0)</f>
        <v>439500</v>
      </c>
      <c r="H5218" s="11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1:26" ht="26.25" x14ac:dyDescent="0.4">
      <c r="A5219" s="6">
        <v>2</v>
      </c>
      <c r="B5219" s="22" t="s">
        <v>279</v>
      </c>
      <c r="C5219" s="23" t="s">
        <v>1179</v>
      </c>
      <c r="D5219" s="13" t="s">
        <v>13</v>
      </c>
      <c r="E5219" s="22">
        <v>2</v>
      </c>
      <c r="F5219" s="14">
        <v>435000</v>
      </c>
      <c r="G5219" s="10">
        <f t="shared" si="346"/>
        <v>870000</v>
      </c>
      <c r="H5219" s="11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1:26" ht="26.25" x14ac:dyDescent="0.4">
      <c r="A5220" s="6">
        <v>3</v>
      </c>
      <c r="B5220" s="15" t="s">
        <v>14</v>
      </c>
      <c r="C5220" s="11"/>
      <c r="D5220" s="11"/>
      <c r="E5220" s="11"/>
      <c r="F5220" s="11"/>
      <c r="G5220" s="16">
        <f t="shared" si="346"/>
        <v>0</v>
      </c>
      <c r="H5220" s="11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1:26" ht="26.25" x14ac:dyDescent="0.4">
      <c r="A5221" s="29" t="s">
        <v>15</v>
      </c>
      <c r="B5221" s="26"/>
      <c r="C5221" s="26"/>
      <c r="D5221" s="26"/>
      <c r="E5221" s="26"/>
      <c r="F5221" s="26"/>
      <c r="G5221" s="27"/>
      <c r="H5221" s="17">
        <f>SUM(G5218:G5220)</f>
        <v>1309500</v>
      </c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1:26" ht="26.25" x14ac:dyDescent="0.4">
      <c r="A5222" s="29" t="s">
        <v>16</v>
      </c>
      <c r="B5222" s="26"/>
      <c r="C5222" s="26"/>
      <c r="D5222" s="26"/>
      <c r="E5222" s="26"/>
      <c r="F5222" s="26"/>
      <c r="G5222" s="27"/>
      <c r="H5222" s="17">
        <f>MAX(0,H5221-648000)</f>
        <v>661500</v>
      </c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1:26" ht="26.25" x14ac:dyDescent="0.4">
      <c r="A5223" s="25" t="s">
        <v>17</v>
      </c>
      <c r="B5223" s="26"/>
      <c r="C5223" s="26"/>
      <c r="D5223" s="26"/>
      <c r="E5223" s="26"/>
      <c r="F5223" s="26"/>
      <c r="G5223" s="27"/>
      <c r="H5223" s="18">
        <v>649000</v>
      </c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1:26" ht="26.25" x14ac:dyDescent="0.4">
      <c r="A5224" s="28" t="s">
        <v>18</v>
      </c>
      <c r="B5224" s="26"/>
      <c r="C5224" s="26"/>
      <c r="D5224" s="26"/>
      <c r="E5224" s="26"/>
      <c r="F5224" s="26"/>
      <c r="G5224" s="26"/>
      <c r="H5224" s="27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1:26" ht="12.75" x14ac:dyDescent="0.2"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9" spans="1:26" ht="15.75" customHeight="1" x14ac:dyDescent="0.4">
      <c r="A5229" s="28" t="s">
        <v>0</v>
      </c>
      <c r="B5229" s="26"/>
      <c r="C5229" s="26"/>
      <c r="D5229" s="26"/>
      <c r="E5229" s="26"/>
      <c r="F5229" s="26"/>
      <c r="G5229" s="26"/>
      <c r="H5229" s="27"/>
    </row>
    <row r="5230" spans="1:26" ht="29.25" customHeight="1" x14ac:dyDescent="0.4">
      <c r="A5230" s="28" t="s">
        <v>1180</v>
      </c>
      <c r="B5230" s="26"/>
      <c r="C5230" s="26"/>
      <c r="D5230" s="26"/>
      <c r="E5230" s="26"/>
      <c r="F5230" s="26"/>
      <c r="G5230" s="26"/>
      <c r="H5230" s="27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1:26" ht="18.75" x14ac:dyDescent="0.3">
      <c r="A5231" s="3" t="s">
        <v>2</v>
      </c>
      <c r="B5231" s="3" t="s">
        <v>3</v>
      </c>
      <c r="C5231" s="3" t="s">
        <v>4</v>
      </c>
      <c r="D5231" s="3" t="s">
        <v>5</v>
      </c>
      <c r="E5231" s="3" t="s">
        <v>6</v>
      </c>
      <c r="F5231" s="4" t="s">
        <v>7</v>
      </c>
      <c r="G5231" s="3" t="s">
        <v>8</v>
      </c>
      <c r="H5231" s="5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1:26" ht="26.25" x14ac:dyDescent="0.4">
      <c r="A5232" s="6">
        <v>1</v>
      </c>
      <c r="B5232" s="20" t="s">
        <v>1181</v>
      </c>
      <c r="C5232" s="21" t="s">
        <v>1182</v>
      </c>
      <c r="D5232" s="8" t="s">
        <v>11</v>
      </c>
      <c r="E5232" s="20">
        <v>3</v>
      </c>
      <c r="F5232" s="9">
        <v>293000</v>
      </c>
      <c r="G5232" s="10">
        <f t="shared" ref="G5232:G5234" si="347">IFERROR(E5232*F5232,0)</f>
        <v>879000</v>
      </c>
      <c r="H5232" s="11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1:26" ht="26.25" x14ac:dyDescent="0.4">
      <c r="A5233" s="6">
        <v>2</v>
      </c>
      <c r="B5233" s="22" t="s">
        <v>1183</v>
      </c>
      <c r="C5233" s="23" t="s">
        <v>1184</v>
      </c>
      <c r="D5233" s="13" t="s">
        <v>13</v>
      </c>
      <c r="E5233" s="22">
        <v>0.57999999999999996</v>
      </c>
      <c r="F5233" s="14">
        <v>435000</v>
      </c>
      <c r="G5233" s="10">
        <f t="shared" si="347"/>
        <v>252299.99999999997</v>
      </c>
      <c r="H5233" s="11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1:26" ht="26.25" x14ac:dyDescent="0.4">
      <c r="A5234" s="6">
        <v>3</v>
      </c>
      <c r="B5234" s="15" t="s">
        <v>14</v>
      </c>
      <c r="C5234" s="11"/>
      <c r="D5234" s="11"/>
      <c r="E5234" s="11"/>
      <c r="F5234" s="11"/>
      <c r="G5234" s="16">
        <f t="shared" si="347"/>
        <v>0</v>
      </c>
      <c r="H5234" s="11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1:26" ht="26.25" x14ac:dyDescent="0.4">
      <c r="A5235" s="29" t="s">
        <v>15</v>
      </c>
      <c r="B5235" s="26"/>
      <c r="C5235" s="26"/>
      <c r="D5235" s="26"/>
      <c r="E5235" s="26"/>
      <c r="F5235" s="26"/>
      <c r="G5235" s="27"/>
      <c r="H5235" s="17">
        <f>SUM(G5232:G5234)</f>
        <v>1131300</v>
      </c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1:26" ht="26.25" x14ac:dyDescent="0.4">
      <c r="A5236" s="29" t="s">
        <v>16</v>
      </c>
      <c r="B5236" s="26"/>
      <c r="C5236" s="26"/>
      <c r="D5236" s="26"/>
      <c r="E5236" s="26"/>
      <c r="F5236" s="26"/>
      <c r="G5236" s="27"/>
      <c r="H5236" s="17">
        <f>MAX(0,H5235-648000)</f>
        <v>483300</v>
      </c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1:26" ht="26.25" x14ac:dyDescent="0.4">
      <c r="A5237" s="25" t="s">
        <v>17</v>
      </c>
      <c r="B5237" s="26"/>
      <c r="C5237" s="26"/>
      <c r="D5237" s="26"/>
      <c r="E5237" s="26"/>
      <c r="F5237" s="26"/>
      <c r="G5237" s="27"/>
      <c r="H5237" s="18">
        <v>649000</v>
      </c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1:26" ht="26.25" x14ac:dyDescent="0.4">
      <c r="A5238" s="28" t="s">
        <v>18</v>
      </c>
      <c r="B5238" s="26"/>
      <c r="C5238" s="26"/>
      <c r="D5238" s="26"/>
      <c r="E5238" s="26"/>
      <c r="F5238" s="26"/>
      <c r="G5238" s="26"/>
      <c r="H5238" s="27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1:26" ht="12.75" x14ac:dyDescent="0.2"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3" spans="1:26" ht="15.75" customHeight="1" x14ac:dyDescent="0.4">
      <c r="A5243" s="28" t="s">
        <v>0</v>
      </c>
      <c r="B5243" s="26"/>
      <c r="C5243" s="26"/>
      <c r="D5243" s="26"/>
      <c r="E5243" s="26"/>
      <c r="F5243" s="26"/>
      <c r="G5243" s="26"/>
      <c r="H5243" s="27"/>
    </row>
    <row r="5244" spans="1:26" ht="29.25" customHeight="1" x14ac:dyDescent="0.4">
      <c r="A5244" s="28" t="s">
        <v>1185</v>
      </c>
      <c r="B5244" s="26"/>
      <c r="C5244" s="26"/>
      <c r="D5244" s="26"/>
      <c r="E5244" s="26"/>
      <c r="F5244" s="26"/>
      <c r="G5244" s="26"/>
      <c r="H5244" s="27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1:26" ht="18.75" x14ac:dyDescent="0.3">
      <c r="A5245" s="3" t="s">
        <v>2</v>
      </c>
      <c r="B5245" s="3" t="s">
        <v>3</v>
      </c>
      <c r="C5245" s="3" t="s">
        <v>4</v>
      </c>
      <c r="D5245" s="3" t="s">
        <v>5</v>
      </c>
      <c r="E5245" s="3" t="s">
        <v>6</v>
      </c>
      <c r="F5245" s="4" t="s">
        <v>7</v>
      </c>
      <c r="G5245" s="3" t="s">
        <v>8</v>
      </c>
      <c r="H5245" s="5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1:26" ht="26.25" x14ac:dyDescent="0.4">
      <c r="A5246" s="6">
        <v>1</v>
      </c>
      <c r="B5246" s="20" t="s">
        <v>640</v>
      </c>
      <c r="C5246" s="21" t="s">
        <v>714</v>
      </c>
      <c r="D5246" s="8" t="s">
        <v>11</v>
      </c>
      <c r="E5246" s="20">
        <v>1.79</v>
      </c>
      <c r="F5246" s="9">
        <v>293000</v>
      </c>
      <c r="G5246" s="10">
        <f t="shared" ref="G5246:G5248" si="348">IFERROR(E5246*F5246,0)</f>
        <v>524470</v>
      </c>
      <c r="H5246" s="11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1:26" ht="26.25" x14ac:dyDescent="0.4">
      <c r="A5247" s="6">
        <v>2</v>
      </c>
      <c r="B5247" s="22" t="s">
        <v>711</v>
      </c>
      <c r="C5247" s="23" t="s">
        <v>1186</v>
      </c>
      <c r="D5247" s="13" t="s">
        <v>13</v>
      </c>
      <c r="E5247" s="22">
        <v>1.47</v>
      </c>
      <c r="F5247" s="14">
        <v>435000</v>
      </c>
      <c r="G5247" s="10">
        <f t="shared" si="348"/>
        <v>639450</v>
      </c>
      <c r="H5247" s="11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1:26" ht="26.25" x14ac:dyDescent="0.4">
      <c r="A5248" s="6">
        <v>3</v>
      </c>
      <c r="B5248" s="15" t="s">
        <v>14</v>
      </c>
      <c r="C5248" s="11"/>
      <c r="D5248" s="11"/>
      <c r="E5248" s="11"/>
      <c r="F5248" s="11"/>
      <c r="G5248" s="16">
        <f t="shared" si="348"/>
        <v>0</v>
      </c>
      <c r="H5248" s="11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spans="1:26" ht="26.25" x14ac:dyDescent="0.4">
      <c r="A5249" s="29" t="s">
        <v>15</v>
      </c>
      <c r="B5249" s="26"/>
      <c r="C5249" s="26"/>
      <c r="D5249" s="26"/>
      <c r="E5249" s="26"/>
      <c r="F5249" s="26"/>
      <c r="G5249" s="27"/>
      <c r="H5249" s="17">
        <f>SUM(G5246:G5248)</f>
        <v>1163920</v>
      </c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spans="1:26" ht="26.25" x14ac:dyDescent="0.4">
      <c r="A5250" s="29" t="s">
        <v>16</v>
      </c>
      <c r="B5250" s="26"/>
      <c r="C5250" s="26"/>
      <c r="D5250" s="26"/>
      <c r="E5250" s="26"/>
      <c r="F5250" s="26"/>
      <c r="G5250" s="27"/>
      <c r="H5250" s="17">
        <f>MAX(0,H5249-648000)</f>
        <v>515920</v>
      </c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spans="1:26" ht="26.25" x14ac:dyDescent="0.4">
      <c r="A5251" s="25" t="s">
        <v>17</v>
      </c>
      <c r="B5251" s="26"/>
      <c r="C5251" s="26"/>
      <c r="D5251" s="26"/>
      <c r="E5251" s="26"/>
      <c r="F5251" s="26"/>
      <c r="G5251" s="27"/>
      <c r="H5251" s="18">
        <v>649000</v>
      </c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1:26" ht="26.25" x14ac:dyDescent="0.4">
      <c r="A5252" s="28" t="s">
        <v>18</v>
      </c>
      <c r="B5252" s="26"/>
      <c r="C5252" s="26"/>
      <c r="D5252" s="26"/>
      <c r="E5252" s="26"/>
      <c r="F5252" s="26"/>
      <c r="G5252" s="26"/>
      <c r="H5252" s="27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1:26" ht="12.75" x14ac:dyDescent="0.2"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7" spans="1:26" ht="15.75" customHeight="1" x14ac:dyDescent="0.4">
      <c r="A5257" s="28" t="s">
        <v>0</v>
      </c>
      <c r="B5257" s="26"/>
      <c r="C5257" s="26"/>
      <c r="D5257" s="26"/>
      <c r="E5257" s="26"/>
      <c r="F5257" s="26"/>
      <c r="G5257" s="26"/>
      <c r="H5257" s="27"/>
    </row>
    <row r="5258" spans="1:26" ht="15.75" customHeight="1" x14ac:dyDescent="0.4">
      <c r="A5258" s="28" t="s">
        <v>1187</v>
      </c>
      <c r="B5258" s="26"/>
      <c r="C5258" s="26"/>
      <c r="D5258" s="26"/>
      <c r="E5258" s="26"/>
      <c r="F5258" s="26"/>
      <c r="G5258" s="26"/>
      <c r="H5258" s="27"/>
    </row>
    <row r="5259" spans="1:26" ht="29.25" customHeight="1" x14ac:dyDescent="0.3">
      <c r="A5259" s="3" t="s">
        <v>2</v>
      </c>
      <c r="B5259" s="3" t="s">
        <v>3</v>
      </c>
      <c r="C5259" s="3" t="s">
        <v>4</v>
      </c>
      <c r="D5259" s="3" t="s">
        <v>5</v>
      </c>
      <c r="E5259" s="3" t="s">
        <v>6</v>
      </c>
      <c r="F5259" s="4" t="s">
        <v>7</v>
      </c>
      <c r="G5259" s="3" t="s">
        <v>8</v>
      </c>
      <c r="H5259" s="5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1:26" ht="26.25" x14ac:dyDescent="0.4">
      <c r="A5260" s="6">
        <v>1</v>
      </c>
      <c r="B5260" s="20" t="s">
        <v>41</v>
      </c>
      <c r="C5260" s="21" t="s">
        <v>1188</v>
      </c>
      <c r="D5260" s="8" t="s">
        <v>11</v>
      </c>
      <c r="E5260" s="20">
        <v>0.75</v>
      </c>
      <c r="F5260" s="9">
        <v>293000</v>
      </c>
      <c r="G5260" s="10">
        <f t="shared" ref="G5260:G5262" si="349">IFERROR(E5260*F5260,0)</f>
        <v>219750</v>
      </c>
      <c r="H5260" s="11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1:26" ht="26.25" x14ac:dyDescent="0.4">
      <c r="A5261" s="6">
        <v>2</v>
      </c>
      <c r="B5261" s="22" t="s">
        <v>1189</v>
      </c>
      <c r="C5261" s="23">
        <v>806</v>
      </c>
      <c r="D5261" s="13" t="s">
        <v>13</v>
      </c>
      <c r="E5261" s="22">
        <v>2.97</v>
      </c>
      <c r="F5261" s="14">
        <v>435000</v>
      </c>
      <c r="G5261" s="10">
        <f t="shared" si="349"/>
        <v>1291950</v>
      </c>
      <c r="H5261" s="11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1:26" ht="26.25" x14ac:dyDescent="0.4">
      <c r="A5262" s="6">
        <v>3</v>
      </c>
      <c r="B5262" s="15" t="s">
        <v>14</v>
      </c>
      <c r="C5262" s="11"/>
      <c r="D5262" s="11"/>
      <c r="E5262" s="11"/>
      <c r="F5262" s="11"/>
      <c r="G5262" s="16">
        <f t="shared" si="349"/>
        <v>0</v>
      </c>
      <c r="H5262" s="11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1:26" ht="26.25" x14ac:dyDescent="0.4">
      <c r="A5263" s="29" t="s">
        <v>15</v>
      </c>
      <c r="B5263" s="26"/>
      <c r="C5263" s="26"/>
      <c r="D5263" s="26"/>
      <c r="E5263" s="26"/>
      <c r="F5263" s="26"/>
      <c r="G5263" s="27"/>
      <c r="H5263" s="17">
        <f>SUM(G5260:G5262)</f>
        <v>1511700</v>
      </c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1:26" ht="26.25" x14ac:dyDescent="0.4">
      <c r="A5264" s="29" t="s">
        <v>16</v>
      </c>
      <c r="B5264" s="26"/>
      <c r="C5264" s="26"/>
      <c r="D5264" s="26"/>
      <c r="E5264" s="26"/>
      <c r="F5264" s="26"/>
      <c r="G5264" s="27"/>
      <c r="H5264" s="17">
        <f>MAX(0,H5263-648000)</f>
        <v>863700</v>
      </c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1:26" ht="26.25" x14ac:dyDescent="0.4">
      <c r="A5265" s="25" t="s">
        <v>17</v>
      </c>
      <c r="B5265" s="26"/>
      <c r="C5265" s="26"/>
      <c r="D5265" s="26"/>
      <c r="E5265" s="26"/>
      <c r="F5265" s="26"/>
      <c r="G5265" s="27"/>
      <c r="H5265" s="18">
        <v>649000</v>
      </c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1:26" ht="26.25" x14ac:dyDescent="0.4">
      <c r="A5266" s="28" t="s">
        <v>18</v>
      </c>
      <c r="B5266" s="26"/>
      <c r="C5266" s="26"/>
      <c r="D5266" s="26"/>
      <c r="E5266" s="26"/>
      <c r="F5266" s="26"/>
      <c r="G5266" s="26"/>
      <c r="H5266" s="27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1:26" ht="12.75" x14ac:dyDescent="0.2"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1:26" ht="12.75" x14ac:dyDescent="0.2"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72" spans="1:26" ht="15.75" customHeight="1" x14ac:dyDescent="0.4">
      <c r="A5272" s="28" t="s">
        <v>0</v>
      </c>
      <c r="B5272" s="26"/>
      <c r="C5272" s="26"/>
      <c r="D5272" s="26"/>
      <c r="E5272" s="26"/>
      <c r="F5272" s="26"/>
      <c r="G5272" s="26"/>
      <c r="H5272" s="27"/>
    </row>
    <row r="5273" spans="1:26" ht="15.75" customHeight="1" x14ac:dyDescent="0.4">
      <c r="A5273" s="28" t="s">
        <v>1190</v>
      </c>
      <c r="B5273" s="26"/>
      <c r="C5273" s="26"/>
      <c r="D5273" s="26"/>
      <c r="E5273" s="26"/>
      <c r="F5273" s="26"/>
      <c r="G5273" s="26"/>
      <c r="H5273" s="27"/>
    </row>
    <row r="5274" spans="1:26" ht="29.25" customHeight="1" x14ac:dyDescent="0.3">
      <c r="A5274" s="3" t="s">
        <v>2</v>
      </c>
      <c r="B5274" s="3" t="s">
        <v>3</v>
      </c>
      <c r="C5274" s="3" t="s">
        <v>4</v>
      </c>
      <c r="D5274" s="3" t="s">
        <v>5</v>
      </c>
      <c r="E5274" s="3" t="s">
        <v>6</v>
      </c>
      <c r="F5274" s="4" t="s">
        <v>7</v>
      </c>
      <c r="G5274" s="3" t="s">
        <v>8</v>
      </c>
      <c r="H5274" s="5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1:26" ht="26.25" x14ac:dyDescent="0.4">
      <c r="A5275" s="6">
        <v>1</v>
      </c>
      <c r="B5275" s="20" t="s">
        <v>895</v>
      </c>
      <c r="C5275" s="21" t="s">
        <v>1191</v>
      </c>
      <c r="D5275" s="8" t="s">
        <v>11</v>
      </c>
      <c r="E5275" s="20">
        <v>1.46</v>
      </c>
      <c r="F5275" s="9">
        <v>293000</v>
      </c>
      <c r="G5275" s="10">
        <f t="shared" ref="G5275:G5277" si="350">IFERROR(E5275*F5275,0)</f>
        <v>427780</v>
      </c>
      <c r="H5275" s="11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1:26" ht="26.25" x14ac:dyDescent="0.4">
      <c r="A5276" s="6">
        <v>2</v>
      </c>
      <c r="B5276" s="22" t="s">
        <v>279</v>
      </c>
      <c r="C5276" s="23" t="s">
        <v>1192</v>
      </c>
      <c r="D5276" s="13" t="s">
        <v>13</v>
      </c>
      <c r="E5276" s="22">
        <v>2</v>
      </c>
      <c r="F5276" s="14">
        <v>435000</v>
      </c>
      <c r="G5276" s="10">
        <f t="shared" si="350"/>
        <v>870000</v>
      </c>
      <c r="H5276" s="11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1:26" ht="26.25" x14ac:dyDescent="0.4">
      <c r="A5277" s="6">
        <v>3</v>
      </c>
      <c r="B5277" s="15" t="s">
        <v>14</v>
      </c>
      <c r="C5277" s="11"/>
      <c r="D5277" s="11"/>
      <c r="E5277" s="11"/>
      <c r="F5277" s="11"/>
      <c r="G5277" s="16">
        <f t="shared" si="350"/>
        <v>0</v>
      </c>
      <c r="H5277" s="11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1:26" ht="26.25" x14ac:dyDescent="0.4">
      <c r="A5278" s="29" t="s">
        <v>15</v>
      </c>
      <c r="B5278" s="26"/>
      <c r="C5278" s="26"/>
      <c r="D5278" s="26"/>
      <c r="E5278" s="26"/>
      <c r="F5278" s="26"/>
      <c r="G5278" s="27"/>
      <c r="H5278" s="17">
        <f>SUM(G5275:G5277)</f>
        <v>1297780</v>
      </c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1:26" ht="26.25" x14ac:dyDescent="0.4">
      <c r="A5279" s="29" t="s">
        <v>16</v>
      </c>
      <c r="B5279" s="26"/>
      <c r="C5279" s="26"/>
      <c r="D5279" s="26"/>
      <c r="E5279" s="26"/>
      <c r="F5279" s="26"/>
      <c r="G5279" s="27"/>
      <c r="H5279" s="17">
        <f>MAX(0,H5278-648000)</f>
        <v>649780</v>
      </c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1:26" ht="26.25" x14ac:dyDescent="0.4">
      <c r="A5280" s="25" t="s">
        <v>17</v>
      </c>
      <c r="B5280" s="26"/>
      <c r="C5280" s="26"/>
      <c r="D5280" s="26"/>
      <c r="E5280" s="26"/>
      <c r="F5280" s="26"/>
      <c r="G5280" s="27"/>
      <c r="H5280" s="18">
        <v>649000</v>
      </c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1:26" ht="26.25" x14ac:dyDescent="0.4">
      <c r="A5281" s="28" t="s">
        <v>18</v>
      </c>
      <c r="B5281" s="26"/>
      <c r="C5281" s="26"/>
      <c r="D5281" s="26"/>
      <c r="E5281" s="26"/>
      <c r="F5281" s="26"/>
      <c r="G5281" s="26"/>
      <c r="H5281" s="27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1:26" ht="12.75" x14ac:dyDescent="0.2"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1:26" ht="12.75" x14ac:dyDescent="0.2"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7" spans="1:26" ht="15.75" customHeight="1" x14ac:dyDescent="0.4">
      <c r="A5287" s="28" t="s">
        <v>0</v>
      </c>
      <c r="B5287" s="26"/>
      <c r="C5287" s="26"/>
      <c r="D5287" s="26"/>
      <c r="E5287" s="26"/>
      <c r="F5287" s="26"/>
      <c r="G5287" s="26"/>
      <c r="H5287" s="27"/>
    </row>
    <row r="5288" spans="1:26" ht="15.75" customHeight="1" x14ac:dyDescent="0.4">
      <c r="A5288" s="28" t="s">
        <v>1193</v>
      </c>
      <c r="B5288" s="26"/>
      <c r="C5288" s="26"/>
      <c r="D5288" s="26"/>
      <c r="E5288" s="26"/>
      <c r="F5288" s="26"/>
      <c r="G5288" s="26"/>
      <c r="H5288" s="27"/>
    </row>
    <row r="5289" spans="1:26" ht="29.25" customHeight="1" x14ac:dyDescent="0.3">
      <c r="A5289" s="3" t="s">
        <v>2</v>
      </c>
      <c r="B5289" s="3" t="s">
        <v>3</v>
      </c>
      <c r="C5289" s="3" t="s">
        <v>4</v>
      </c>
      <c r="D5289" s="3" t="s">
        <v>5</v>
      </c>
      <c r="E5289" s="3" t="s">
        <v>6</v>
      </c>
      <c r="F5289" s="4" t="s">
        <v>7</v>
      </c>
      <c r="G5289" s="3" t="s">
        <v>8</v>
      </c>
      <c r="H5289" s="5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1:26" ht="26.25" x14ac:dyDescent="0.4">
      <c r="A5290" s="6">
        <v>1</v>
      </c>
      <c r="B5290" s="20" t="s">
        <v>122</v>
      </c>
      <c r="C5290" s="21" t="s">
        <v>1194</v>
      </c>
      <c r="D5290" s="8" t="s">
        <v>11</v>
      </c>
      <c r="E5290" s="20">
        <v>1.95</v>
      </c>
      <c r="F5290" s="9">
        <v>293000</v>
      </c>
      <c r="G5290" s="10">
        <f t="shared" ref="G5290:G5292" si="351">IFERROR(E5290*F5290,0)</f>
        <v>571350</v>
      </c>
      <c r="H5290" s="11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1:26" ht="26.25" x14ac:dyDescent="0.4">
      <c r="A5291" s="6">
        <v>2</v>
      </c>
      <c r="B5291" s="22" t="s">
        <v>1056</v>
      </c>
      <c r="C5291" s="23" t="s">
        <v>1195</v>
      </c>
      <c r="D5291" s="13" t="s">
        <v>13</v>
      </c>
      <c r="E5291" s="22">
        <v>1.5</v>
      </c>
      <c r="F5291" s="14">
        <v>435000</v>
      </c>
      <c r="G5291" s="10">
        <f t="shared" si="351"/>
        <v>652500</v>
      </c>
      <c r="H5291" s="11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1:26" ht="26.25" x14ac:dyDescent="0.4">
      <c r="A5292" s="6">
        <v>3</v>
      </c>
      <c r="B5292" s="15" t="s">
        <v>14</v>
      </c>
      <c r="C5292" s="11"/>
      <c r="D5292" s="11"/>
      <c r="E5292" s="11"/>
      <c r="F5292" s="11"/>
      <c r="G5292" s="16">
        <f t="shared" si="351"/>
        <v>0</v>
      </c>
      <c r="H5292" s="11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1:26" ht="26.25" x14ac:dyDescent="0.4">
      <c r="A5293" s="29" t="s">
        <v>15</v>
      </c>
      <c r="B5293" s="26"/>
      <c r="C5293" s="26"/>
      <c r="D5293" s="26"/>
      <c r="E5293" s="26"/>
      <c r="F5293" s="26"/>
      <c r="G5293" s="27"/>
      <c r="H5293" s="17">
        <f>SUM(G5290:G5292)</f>
        <v>1223850</v>
      </c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1:26" ht="26.25" x14ac:dyDescent="0.4">
      <c r="A5294" s="29" t="s">
        <v>16</v>
      </c>
      <c r="B5294" s="26"/>
      <c r="C5294" s="26"/>
      <c r="D5294" s="26"/>
      <c r="E5294" s="26"/>
      <c r="F5294" s="26"/>
      <c r="G5294" s="27"/>
      <c r="H5294" s="17">
        <f>MAX(0,H5293-648000)</f>
        <v>575850</v>
      </c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1:26" ht="26.25" x14ac:dyDescent="0.4">
      <c r="A5295" s="25" t="s">
        <v>17</v>
      </c>
      <c r="B5295" s="26"/>
      <c r="C5295" s="26"/>
      <c r="D5295" s="26"/>
      <c r="E5295" s="26"/>
      <c r="F5295" s="26"/>
      <c r="G5295" s="27"/>
      <c r="H5295" s="18">
        <v>649000</v>
      </c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1:26" ht="26.25" x14ac:dyDescent="0.4">
      <c r="A5296" s="28" t="s">
        <v>18</v>
      </c>
      <c r="B5296" s="26"/>
      <c r="C5296" s="26"/>
      <c r="D5296" s="26"/>
      <c r="E5296" s="26"/>
      <c r="F5296" s="26"/>
      <c r="G5296" s="26"/>
      <c r="H5296" s="27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1:26" ht="12.75" x14ac:dyDescent="0.2"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1:26" ht="12.75" x14ac:dyDescent="0.2"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302" spans="1:26" ht="15.75" customHeight="1" x14ac:dyDescent="0.4">
      <c r="A5302" s="28" t="s">
        <v>0</v>
      </c>
      <c r="B5302" s="26"/>
      <c r="C5302" s="26"/>
      <c r="D5302" s="26"/>
      <c r="E5302" s="26"/>
      <c r="F5302" s="26"/>
      <c r="G5302" s="26"/>
      <c r="H5302" s="27"/>
    </row>
    <row r="5303" spans="1:26" ht="15.75" customHeight="1" x14ac:dyDescent="0.4">
      <c r="A5303" s="28" t="s">
        <v>1196</v>
      </c>
      <c r="B5303" s="26"/>
      <c r="C5303" s="26"/>
      <c r="D5303" s="26"/>
      <c r="E5303" s="26"/>
      <c r="F5303" s="26"/>
      <c r="G5303" s="26"/>
      <c r="H5303" s="27"/>
    </row>
    <row r="5304" spans="1:26" ht="15.75" customHeight="1" x14ac:dyDescent="0.3">
      <c r="A5304" s="3" t="s">
        <v>2</v>
      </c>
      <c r="B5304" s="3" t="s">
        <v>3</v>
      </c>
      <c r="C5304" s="3" t="s">
        <v>4</v>
      </c>
      <c r="D5304" s="3" t="s">
        <v>5</v>
      </c>
      <c r="E5304" s="3" t="s">
        <v>6</v>
      </c>
      <c r="F5304" s="4" t="s">
        <v>7</v>
      </c>
      <c r="G5304" s="3" t="s">
        <v>8</v>
      </c>
      <c r="H5304" s="5"/>
    </row>
    <row r="5305" spans="1:26" ht="15.75" customHeight="1" x14ac:dyDescent="0.4">
      <c r="A5305" s="6">
        <v>1</v>
      </c>
      <c r="B5305" s="20" t="s">
        <v>12</v>
      </c>
      <c r="C5305" s="21" t="s">
        <v>614</v>
      </c>
      <c r="D5305" s="8" t="s">
        <v>11</v>
      </c>
      <c r="E5305" s="20">
        <v>2.5</v>
      </c>
      <c r="F5305" s="9">
        <v>293000</v>
      </c>
      <c r="G5305" s="10">
        <f t="shared" ref="G5305:G5307" si="352">IFERROR(E5305*F5305,0)</f>
        <v>732500</v>
      </c>
      <c r="H5305" s="11"/>
    </row>
    <row r="5306" spans="1:26" ht="29.25" customHeight="1" x14ac:dyDescent="0.4">
      <c r="A5306" s="6">
        <v>2</v>
      </c>
      <c r="B5306" s="22" t="s">
        <v>1197</v>
      </c>
      <c r="C5306" s="23" t="s">
        <v>1198</v>
      </c>
      <c r="D5306" s="13" t="s">
        <v>13</v>
      </c>
      <c r="E5306" s="22">
        <v>1</v>
      </c>
      <c r="F5306" s="14">
        <v>435000</v>
      </c>
      <c r="G5306" s="10">
        <f t="shared" si="352"/>
        <v>435000</v>
      </c>
      <c r="H5306" s="11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1:26" ht="26.25" x14ac:dyDescent="0.4">
      <c r="A5307" s="6">
        <v>3</v>
      </c>
      <c r="B5307" s="15" t="s">
        <v>14</v>
      </c>
      <c r="C5307" s="11"/>
      <c r="D5307" s="11"/>
      <c r="E5307" s="11"/>
      <c r="F5307" s="11"/>
      <c r="G5307" s="16">
        <f t="shared" si="352"/>
        <v>0</v>
      </c>
      <c r="H5307" s="11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1:26" ht="26.25" x14ac:dyDescent="0.4">
      <c r="A5308" s="29" t="s">
        <v>15</v>
      </c>
      <c r="B5308" s="26"/>
      <c r="C5308" s="26"/>
      <c r="D5308" s="26"/>
      <c r="E5308" s="26"/>
      <c r="F5308" s="26"/>
      <c r="G5308" s="27"/>
      <c r="H5308" s="17">
        <f>SUM(G5305:G5307)</f>
        <v>1167500</v>
      </c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1:26" ht="26.25" x14ac:dyDescent="0.4">
      <c r="A5309" s="29" t="s">
        <v>16</v>
      </c>
      <c r="B5309" s="26"/>
      <c r="C5309" s="26"/>
      <c r="D5309" s="26"/>
      <c r="E5309" s="26"/>
      <c r="F5309" s="26"/>
      <c r="G5309" s="27"/>
      <c r="H5309" s="17">
        <f>MAX(0,H5308-648000)</f>
        <v>519500</v>
      </c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1:26" ht="26.25" x14ac:dyDescent="0.4">
      <c r="A5310" s="25" t="s">
        <v>17</v>
      </c>
      <c r="B5310" s="26"/>
      <c r="C5310" s="26"/>
      <c r="D5310" s="26"/>
      <c r="E5310" s="26"/>
      <c r="F5310" s="26"/>
      <c r="G5310" s="27"/>
      <c r="H5310" s="18">
        <v>649000</v>
      </c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1:26" ht="26.25" x14ac:dyDescent="0.4">
      <c r="A5311" s="28" t="s">
        <v>18</v>
      </c>
      <c r="B5311" s="26"/>
      <c r="C5311" s="26"/>
      <c r="D5311" s="26"/>
      <c r="E5311" s="26"/>
      <c r="F5311" s="26"/>
      <c r="G5311" s="26"/>
      <c r="H5311" s="27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1:26" ht="12.75" x14ac:dyDescent="0.2"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1:26" ht="12.75" x14ac:dyDescent="0.2"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1:26" ht="12.75" x14ac:dyDescent="0.2"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1:26" ht="12.75" x14ac:dyDescent="0.2"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9" spans="1:26" ht="15.75" customHeight="1" x14ac:dyDescent="0.4">
      <c r="A5319" s="28" t="s">
        <v>0</v>
      </c>
      <c r="B5319" s="26"/>
      <c r="C5319" s="26"/>
      <c r="D5319" s="26"/>
      <c r="E5319" s="26"/>
      <c r="F5319" s="26"/>
      <c r="G5319" s="26"/>
      <c r="H5319" s="27"/>
    </row>
    <row r="5320" spans="1:26" ht="15.75" customHeight="1" x14ac:dyDescent="0.4">
      <c r="A5320" s="28" t="s">
        <v>1199</v>
      </c>
      <c r="B5320" s="26"/>
      <c r="C5320" s="26"/>
      <c r="D5320" s="26"/>
      <c r="E5320" s="26"/>
      <c r="F5320" s="26"/>
      <c r="G5320" s="26"/>
      <c r="H5320" s="27"/>
    </row>
    <row r="5321" spans="1:26" ht="29.25" customHeight="1" x14ac:dyDescent="0.3">
      <c r="A5321" s="3" t="s">
        <v>2</v>
      </c>
      <c r="B5321" s="3" t="s">
        <v>3</v>
      </c>
      <c r="C5321" s="3" t="s">
        <v>4</v>
      </c>
      <c r="D5321" s="3" t="s">
        <v>5</v>
      </c>
      <c r="E5321" s="3" t="s">
        <v>6</v>
      </c>
      <c r="F5321" s="4" t="s">
        <v>7</v>
      </c>
      <c r="G5321" s="3" t="s">
        <v>8</v>
      </c>
      <c r="H5321" s="5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1:26" ht="26.25" x14ac:dyDescent="0.4">
      <c r="A5322" s="6">
        <v>1</v>
      </c>
      <c r="B5322" s="20" t="s">
        <v>391</v>
      </c>
      <c r="C5322" s="21" t="s">
        <v>1200</v>
      </c>
      <c r="D5322" s="8" t="s">
        <v>11</v>
      </c>
      <c r="E5322" s="20">
        <v>2</v>
      </c>
      <c r="F5322" s="9">
        <v>293000</v>
      </c>
      <c r="G5322" s="10">
        <f t="shared" ref="G5322:G5324" si="353">IFERROR(E5322*F5322,0)</f>
        <v>586000</v>
      </c>
      <c r="H5322" s="11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1:26" ht="26.25" x14ac:dyDescent="0.4">
      <c r="A5323" s="6">
        <v>2</v>
      </c>
      <c r="B5323" s="22" t="s">
        <v>1201</v>
      </c>
      <c r="C5323" s="23" t="s">
        <v>1202</v>
      </c>
      <c r="D5323" s="13" t="s">
        <v>13</v>
      </c>
      <c r="E5323" s="22">
        <v>1.25</v>
      </c>
      <c r="F5323" s="14">
        <v>435000</v>
      </c>
      <c r="G5323" s="10">
        <f t="shared" si="353"/>
        <v>543750</v>
      </c>
      <c r="H5323" s="11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1:26" ht="26.25" x14ac:dyDescent="0.4">
      <c r="A5324" s="6">
        <v>3</v>
      </c>
      <c r="B5324" s="15" t="s">
        <v>14</v>
      </c>
      <c r="C5324" s="11"/>
      <c r="D5324" s="11"/>
      <c r="E5324" s="11"/>
      <c r="F5324" s="11"/>
      <c r="G5324" s="16">
        <f t="shared" si="353"/>
        <v>0</v>
      </c>
      <c r="H5324" s="11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1:26" ht="26.25" x14ac:dyDescent="0.4">
      <c r="A5325" s="29" t="s">
        <v>15</v>
      </c>
      <c r="B5325" s="26"/>
      <c r="C5325" s="26"/>
      <c r="D5325" s="26"/>
      <c r="E5325" s="26"/>
      <c r="F5325" s="26"/>
      <c r="G5325" s="27"/>
      <c r="H5325" s="17">
        <f>SUM(G5322:G5324)</f>
        <v>1129750</v>
      </c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1:26" ht="26.25" x14ac:dyDescent="0.4">
      <c r="A5326" s="29" t="s">
        <v>16</v>
      </c>
      <c r="B5326" s="26"/>
      <c r="C5326" s="26"/>
      <c r="D5326" s="26"/>
      <c r="E5326" s="26"/>
      <c r="F5326" s="26"/>
      <c r="G5326" s="27"/>
      <c r="H5326" s="17">
        <f>MAX(0,H5325-648000)</f>
        <v>481750</v>
      </c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1:26" ht="26.25" x14ac:dyDescent="0.4">
      <c r="A5327" s="25" t="s">
        <v>17</v>
      </c>
      <c r="B5327" s="26"/>
      <c r="C5327" s="26"/>
      <c r="D5327" s="26"/>
      <c r="E5327" s="26"/>
      <c r="F5327" s="26"/>
      <c r="G5327" s="27"/>
      <c r="H5327" s="18">
        <v>649000</v>
      </c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1:26" ht="26.25" x14ac:dyDescent="0.4">
      <c r="A5328" s="28" t="s">
        <v>18</v>
      </c>
      <c r="B5328" s="26"/>
      <c r="C5328" s="26"/>
      <c r="D5328" s="26"/>
      <c r="E5328" s="26"/>
      <c r="F5328" s="26"/>
      <c r="G5328" s="26"/>
      <c r="H5328" s="27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1:26" ht="12.75" x14ac:dyDescent="0.2"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1:26" ht="12.75" x14ac:dyDescent="0.2"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4" spans="1:26" ht="15.75" customHeight="1" x14ac:dyDescent="0.4">
      <c r="A5334" s="28" t="s">
        <v>0</v>
      </c>
      <c r="B5334" s="26"/>
      <c r="C5334" s="26"/>
      <c r="D5334" s="26"/>
      <c r="E5334" s="26"/>
      <c r="F5334" s="26"/>
      <c r="G5334" s="26"/>
      <c r="H5334" s="27"/>
    </row>
    <row r="5335" spans="1:26" ht="15.75" customHeight="1" x14ac:dyDescent="0.4">
      <c r="A5335" s="28" t="s">
        <v>1203</v>
      </c>
      <c r="B5335" s="26"/>
      <c r="C5335" s="26"/>
      <c r="D5335" s="26"/>
      <c r="E5335" s="26"/>
      <c r="F5335" s="26"/>
      <c r="G5335" s="26"/>
      <c r="H5335" s="27"/>
    </row>
    <row r="5336" spans="1:26" ht="29.25" customHeight="1" x14ac:dyDescent="0.3">
      <c r="A5336" s="3" t="s">
        <v>2</v>
      </c>
      <c r="B5336" s="3" t="s">
        <v>3</v>
      </c>
      <c r="C5336" s="3" t="s">
        <v>4</v>
      </c>
      <c r="D5336" s="3" t="s">
        <v>5</v>
      </c>
      <c r="E5336" s="3" t="s">
        <v>6</v>
      </c>
      <c r="F5336" s="4" t="s">
        <v>7</v>
      </c>
      <c r="G5336" s="3" t="s">
        <v>8</v>
      </c>
      <c r="H5336" s="5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1:26" ht="26.25" x14ac:dyDescent="0.4">
      <c r="A5337" s="6">
        <v>1</v>
      </c>
      <c r="B5337" s="20" t="s">
        <v>94</v>
      </c>
      <c r="C5337" s="21" t="s">
        <v>1204</v>
      </c>
      <c r="D5337" s="8" t="s">
        <v>11</v>
      </c>
      <c r="E5337" s="20">
        <v>1.5</v>
      </c>
      <c r="F5337" s="9">
        <v>293000</v>
      </c>
      <c r="G5337" s="10">
        <f t="shared" ref="G5337:G5339" si="354">IFERROR(E5337*F5337,0)</f>
        <v>439500</v>
      </c>
      <c r="H5337" s="11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1:26" ht="26.25" x14ac:dyDescent="0.4">
      <c r="A5338" s="6">
        <v>2</v>
      </c>
      <c r="B5338" s="22" t="s">
        <v>25</v>
      </c>
      <c r="C5338" s="23" t="s">
        <v>1105</v>
      </c>
      <c r="D5338" s="13" t="s">
        <v>13</v>
      </c>
      <c r="E5338" s="22">
        <v>2.1</v>
      </c>
      <c r="F5338" s="14">
        <v>435000</v>
      </c>
      <c r="G5338" s="10">
        <f t="shared" si="354"/>
        <v>913500</v>
      </c>
      <c r="H5338" s="11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1:26" ht="26.25" x14ac:dyDescent="0.4">
      <c r="A5339" s="6">
        <v>3</v>
      </c>
      <c r="B5339" s="15" t="s">
        <v>14</v>
      </c>
      <c r="C5339" s="11"/>
      <c r="D5339" s="11"/>
      <c r="E5339" s="11"/>
      <c r="F5339" s="11"/>
      <c r="G5339" s="16">
        <f t="shared" si="354"/>
        <v>0</v>
      </c>
      <c r="H5339" s="11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1:26" ht="26.25" x14ac:dyDescent="0.4">
      <c r="A5340" s="29" t="s">
        <v>15</v>
      </c>
      <c r="B5340" s="26"/>
      <c r="C5340" s="26"/>
      <c r="D5340" s="26"/>
      <c r="E5340" s="26"/>
      <c r="F5340" s="26"/>
      <c r="G5340" s="27"/>
      <c r="H5340" s="17">
        <f>SUM(G5337:G5339)</f>
        <v>1353000</v>
      </c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1:26" ht="26.25" x14ac:dyDescent="0.4">
      <c r="A5341" s="29" t="s">
        <v>16</v>
      </c>
      <c r="B5341" s="26"/>
      <c r="C5341" s="26"/>
      <c r="D5341" s="26"/>
      <c r="E5341" s="26"/>
      <c r="F5341" s="26"/>
      <c r="G5341" s="27"/>
      <c r="H5341" s="17">
        <f>MAX(0,H5340-648000)</f>
        <v>705000</v>
      </c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1:26" ht="26.25" x14ac:dyDescent="0.4">
      <c r="A5342" s="25" t="s">
        <v>17</v>
      </c>
      <c r="B5342" s="26"/>
      <c r="C5342" s="26"/>
      <c r="D5342" s="26"/>
      <c r="E5342" s="26"/>
      <c r="F5342" s="26"/>
      <c r="G5342" s="27"/>
      <c r="H5342" s="18">
        <v>649000</v>
      </c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1:26" ht="26.25" x14ac:dyDescent="0.4">
      <c r="A5343" s="28" t="s">
        <v>18</v>
      </c>
      <c r="B5343" s="26"/>
      <c r="C5343" s="26"/>
      <c r="D5343" s="26"/>
      <c r="E5343" s="26"/>
      <c r="F5343" s="26"/>
      <c r="G5343" s="26"/>
      <c r="H5343" s="27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1:26" ht="12.75" x14ac:dyDescent="0.2"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1:26" ht="12.75" x14ac:dyDescent="0.2"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9" spans="1:26" ht="15.75" customHeight="1" x14ac:dyDescent="0.4">
      <c r="A5349" s="28" t="s">
        <v>0</v>
      </c>
      <c r="B5349" s="26"/>
      <c r="C5349" s="26"/>
      <c r="D5349" s="26"/>
      <c r="E5349" s="26"/>
      <c r="F5349" s="26"/>
      <c r="G5349" s="26"/>
      <c r="H5349" s="27"/>
    </row>
    <row r="5350" spans="1:26" ht="15.75" customHeight="1" x14ac:dyDescent="0.4">
      <c r="A5350" s="28" t="s">
        <v>1205</v>
      </c>
      <c r="B5350" s="26"/>
      <c r="C5350" s="26"/>
      <c r="D5350" s="26"/>
      <c r="E5350" s="26"/>
      <c r="F5350" s="26"/>
      <c r="G5350" s="26"/>
      <c r="H5350" s="27"/>
    </row>
    <row r="5351" spans="1:26" ht="15.75" customHeight="1" x14ac:dyDescent="0.3">
      <c r="A5351" s="3" t="s">
        <v>2</v>
      </c>
      <c r="B5351" s="3" t="s">
        <v>3</v>
      </c>
      <c r="C5351" s="3" t="s">
        <v>4</v>
      </c>
      <c r="D5351" s="3" t="s">
        <v>5</v>
      </c>
      <c r="E5351" s="3" t="s">
        <v>6</v>
      </c>
      <c r="F5351" s="4" t="s">
        <v>7</v>
      </c>
      <c r="G5351" s="3" t="s">
        <v>8</v>
      </c>
      <c r="H5351" s="5"/>
    </row>
    <row r="5352" spans="1:26" ht="29.25" customHeight="1" x14ac:dyDescent="0.4">
      <c r="A5352" s="6">
        <v>1</v>
      </c>
      <c r="B5352" s="20" t="s">
        <v>94</v>
      </c>
      <c r="C5352" s="21" t="s">
        <v>1206</v>
      </c>
      <c r="D5352" s="8" t="s">
        <v>11</v>
      </c>
      <c r="E5352" s="20">
        <v>2.5</v>
      </c>
      <c r="F5352" s="9">
        <v>293000</v>
      </c>
      <c r="G5352" s="10">
        <f t="shared" ref="G5352:G5354" si="355">IFERROR(E5352*F5352,0)</f>
        <v>732500</v>
      </c>
      <c r="H5352" s="11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1:26" ht="26.25" x14ac:dyDescent="0.4">
      <c r="A5353" s="6">
        <v>2</v>
      </c>
      <c r="B5353" s="22" t="s">
        <v>41</v>
      </c>
      <c r="C5353" s="23" t="s">
        <v>1207</v>
      </c>
      <c r="D5353" s="13" t="s">
        <v>13</v>
      </c>
      <c r="E5353" s="22">
        <v>1.1000000000000001</v>
      </c>
      <c r="F5353" s="14">
        <v>435000</v>
      </c>
      <c r="G5353" s="10">
        <f t="shared" si="355"/>
        <v>478500.00000000006</v>
      </c>
      <c r="H5353" s="11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spans="1:26" ht="26.25" x14ac:dyDescent="0.4">
      <c r="A5354" s="6">
        <v>3</v>
      </c>
      <c r="B5354" s="15" t="s">
        <v>14</v>
      </c>
      <c r="C5354" s="11"/>
      <c r="D5354" s="11"/>
      <c r="E5354" s="11"/>
      <c r="F5354" s="11"/>
      <c r="G5354" s="16">
        <f t="shared" si="355"/>
        <v>0</v>
      </c>
      <c r="H5354" s="11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spans="1:26" ht="26.25" x14ac:dyDescent="0.4">
      <c r="A5355" s="29" t="s">
        <v>15</v>
      </c>
      <c r="B5355" s="26"/>
      <c r="C5355" s="26"/>
      <c r="D5355" s="26"/>
      <c r="E5355" s="26"/>
      <c r="F5355" s="26"/>
      <c r="G5355" s="27"/>
      <c r="H5355" s="17">
        <f>SUM(G5352:G5354)</f>
        <v>1211000</v>
      </c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spans="1:26" ht="26.25" x14ac:dyDescent="0.4">
      <c r="A5356" s="29" t="s">
        <v>16</v>
      </c>
      <c r="B5356" s="26"/>
      <c r="C5356" s="26"/>
      <c r="D5356" s="26"/>
      <c r="E5356" s="26"/>
      <c r="F5356" s="26"/>
      <c r="G5356" s="27"/>
      <c r="H5356" s="17">
        <f>MAX(0,H5355-648000)</f>
        <v>563000</v>
      </c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1:26" ht="26.25" x14ac:dyDescent="0.4">
      <c r="A5357" s="25" t="s">
        <v>17</v>
      </c>
      <c r="B5357" s="26"/>
      <c r="C5357" s="26"/>
      <c r="D5357" s="26"/>
      <c r="E5357" s="26"/>
      <c r="F5357" s="26"/>
      <c r="G5357" s="27"/>
      <c r="H5357" s="18">
        <v>649000</v>
      </c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1:26" ht="26.25" x14ac:dyDescent="0.4">
      <c r="A5358" s="28" t="s">
        <v>18</v>
      </c>
      <c r="B5358" s="26"/>
      <c r="C5358" s="26"/>
      <c r="D5358" s="26"/>
      <c r="E5358" s="26"/>
      <c r="F5358" s="26"/>
      <c r="G5358" s="26"/>
      <c r="H5358" s="27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1:26" ht="12.75" x14ac:dyDescent="0.2"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1:26" ht="12.75" x14ac:dyDescent="0.2"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1:26" ht="12.75" x14ac:dyDescent="0.2"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5" spans="1:26" ht="15.75" customHeight="1" x14ac:dyDescent="0.4">
      <c r="A5365" s="28" t="s">
        <v>0</v>
      </c>
      <c r="B5365" s="26"/>
      <c r="C5365" s="26"/>
      <c r="D5365" s="26"/>
      <c r="E5365" s="26"/>
      <c r="F5365" s="26"/>
      <c r="G5365" s="26"/>
      <c r="H5365" s="27"/>
    </row>
    <row r="5366" spans="1:26" ht="15.75" customHeight="1" x14ac:dyDescent="0.4">
      <c r="A5366" s="28" t="s">
        <v>1208</v>
      </c>
      <c r="B5366" s="26"/>
      <c r="C5366" s="26"/>
      <c r="D5366" s="26"/>
      <c r="E5366" s="26"/>
      <c r="F5366" s="26"/>
      <c r="G5366" s="26"/>
      <c r="H5366" s="27"/>
    </row>
    <row r="5367" spans="1:26" ht="15.75" customHeight="1" x14ac:dyDescent="0.3">
      <c r="A5367" s="3" t="s">
        <v>2</v>
      </c>
      <c r="B5367" s="3" t="s">
        <v>3</v>
      </c>
      <c r="C5367" s="3" t="s">
        <v>4</v>
      </c>
      <c r="D5367" s="3" t="s">
        <v>5</v>
      </c>
      <c r="E5367" s="3" t="s">
        <v>6</v>
      </c>
      <c r="F5367" s="4" t="s">
        <v>7</v>
      </c>
      <c r="G5367" s="3" t="s">
        <v>8</v>
      </c>
      <c r="H5367" s="5"/>
    </row>
    <row r="5368" spans="1:26" ht="29.25" customHeight="1" x14ac:dyDescent="0.4">
      <c r="A5368" s="6">
        <v>1</v>
      </c>
      <c r="B5368" s="20" t="s">
        <v>544</v>
      </c>
      <c r="C5368" s="21" t="s">
        <v>1192</v>
      </c>
      <c r="D5368" s="8" t="s">
        <v>11</v>
      </c>
      <c r="E5368" s="20">
        <v>2</v>
      </c>
      <c r="F5368" s="9">
        <v>293000</v>
      </c>
      <c r="G5368" s="10">
        <f t="shared" ref="G5368:G5370" si="356">IFERROR(E5368*F5368,0)</f>
        <v>586000</v>
      </c>
      <c r="H5368" s="11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1:26" ht="26.25" x14ac:dyDescent="0.4">
      <c r="A5369" s="6">
        <v>2</v>
      </c>
      <c r="B5369" s="22" t="s">
        <v>98</v>
      </c>
      <c r="C5369" s="23" t="s">
        <v>1209</v>
      </c>
      <c r="D5369" s="13" t="s">
        <v>13</v>
      </c>
      <c r="E5369" s="22">
        <v>1.5</v>
      </c>
      <c r="F5369" s="14">
        <v>435000</v>
      </c>
      <c r="G5369" s="10">
        <f t="shared" si="356"/>
        <v>652500</v>
      </c>
      <c r="H5369" s="11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1:26" ht="26.25" x14ac:dyDescent="0.4">
      <c r="A5370" s="6">
        <v>3</v>
      </c>
      <c r="B5370" s="15" t="s">
        <v>14</v>
      </c>
      <c r="C5370" s="11"/>
      <c r="D5370" s="11"/>
      <c r="E5370" s="11"/>
      <c r="F5370" s="11"/>
      <c r="G5370" s="16">
        <f t="shared" si="356"/>
        <v>0</v>
      </c>
      <c r="H5370" s="11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1:26" ht="26.25" x14ac:dyDescent="0.4">
      <c r="A5371" s="29" t="s">
        <v>15</v>
      </c>
      <c r="B5371" s="26"/>
      <c r="C5371" s="26"/>
      <c r="D5371" s="26"/>
      <c r="E5371" s="26"/>
      <c r="F5371" s="26"/>
      <c r="G5371" s="27"/>
      <c r="H5371" s="17">
        <f>SUM(G5368:G5370)</f>
        <v>1238500</v>
      </c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1:26" ht="26.25" x14ac:dyDescent="0.4">
      <c r="A5372" s="29" t="s">
        <v>16</v>
      </c>
      <c r="B5372" s="26"/>
      <c r="C5372" s="26"/>
      <c r="D5372" s="26"/>
      <c r="E5372" s="26"/>
      <c r="F5372" s="26"/>
      <c r="G5372" s="27"/>
      <c r="H5372" s="17">
        <f>MAX(0,H5371-648000)</f>
        <v>590500</v>
      </c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1:26" ht="26.25" x14ac:dyDescent="0.4">
      <c r="A5373" s="25" t="s">
        <v>17</v>
      </c>
      <c r="B5373" s="26"/>
      <c r="C5373" s="26"/>
      <c r="D5373" s="26"/>
      <c r="E5373" s="26"/>
      <c r="F5373" s="26"/>
      <c r="G5373" s="27"/>
      <c r="H5373" s="18">
        <v>649000</v>
      </c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1:26" ht="26.25" x14ac:dyDescent="0.4">
      <c r="A5374" s="28" t="s">
        <v>18</v>
      </c>
      <c r="B5374" s="26"/>
      <c r="C5374" s="26"/>
      <c r="D5374" s="26"/>
      <c r="E5374" s="26"/>
      <c r="F5374" s="26"/>
      <c r="G5374" s="26"/>
      <c r="H5374" s="27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1:26" ht="12.75" x14ac:dyDescent="0.2"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1:26" ht="12.75" x14ac:dyDescent="0.2"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1:26" ht="12.75" x14ac:dyDescent="0.2"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81" spans="1:26" ht="15.75" customHeight="1" x14ac:dyDescent="0.4">
      <c r="A5381" s="28" t="s">
        <v>0</v>
      </c>
      <c r="B5381" s="26"/>
      <c r="C5381" s="26"/>
      <c r="D5381" s="26"/>
      <c r="E5381" s="26"/>
      <c r="F5381" s="26"/>
      <c r="G5381" s="26"/>
      <c r="H5381" s="27"/>
    </row>
    <row r="5382" spans="1:26" ht="15.75" customHeight="1" x14ac:dyDescent="0.4">
      <c r="A5382" s="28" t="s">
        <v>1210</v>
      </c>
      <c r="B5382" s="26"/>
      <c r="C5382" s="26"/>
      <c r="D5382" s="26"/>
      <c r="E5382" s="26"/>
      <c r="F5382" s="26"/>
      <c r="G5382" s="26"/>
      <c r="H5382" s="27"/>
    </row>
    <row r="5383" spans="1:26" ht="15.75" customHeight="1" x14ac:dyDescent="0.3">
      <c r="A5383" s="3" t="s">
        <v>2</v>
      </c>
      <c r="B5383" s="3" t="s">
        <v>3</v>
      </c>
      <c r="C5383" s="3" t="s">
        <v>4</v>
      </c>
      <c r="D5383" s="3" t="s">
        <v>5</v>
      </c>
      <c r="E5383" s="3" t="s">
        <v>6</v>
      </c>
      <c r="F5383" s="4" t="s">
        <v>7</v>
      </c>
      <c r="G5383" s="3" t="s">
        <v>8</v>
      </c>
      <c r="H5383" s="5"/>
    </row>
    <row r="5384" spans="1:26" ht="15.75" customHeight="1" x14ac:dyDescent="0.4">
      <c r="A5384" s="6">
        <v>1</v>
      </c>
      <c r="B5384" s="20" t="s">
        <v>544</v>
      </c>
      <c r="C5384" s="21" t="s">
        <v>1192</v>
      </c>
      <c r="D5384" s="8" t="s">
        <v>11</v>
      </c>
      <c r="E5384" s="20">
        <v>2</v>
      </c>
      <c r="F5384" s="9">
        <v>293000</v>
      </c>
      <c r="G5384" s="10">
        <f t="shared" ref="G5384:G5386" si="357">IFERROR(E5384*F5384,0)</f>
        <v>586000</v>
      </c>
      <c r="H5384" s="11"/>
    </row>
    <row r="5385" spans="1:26" ht="29.25" customHeight="1" x14ac:dyDescent="0.4">
      <c r="A5385" s="6">
        <v>2</v>
      </c>
      <c r="B5385" s="22" t="s">
        <v>98</v>
      </c>
      <c r="C5385" s="23" t="s">
        <v>1211</v>
      </c>
      <c r="D5385" s="13" t="s">
        <v>13</v>
      </c>
      <c r="E5385" s="22">
        <v>1.45</v>
      </c>
      <c r="F5385" s="14">
        <v>435000</v>
      </c>
      <c r="G5385" s="10">
        <f t="shared" si="357"/>
        <v>630750</v>
      </c>
      <c r="H5385" s="11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1:26" ht="26.25" x14ac:dyDescent="0.4">
      <c r="A5386" s="6">
        <v>3</v>
      </c>
      <c r="B5386" s="15" t="s">
        <v>14</v>
      </c>
      <c r="C5386" s="11"/>
      <c r="D5386" s="11"/>
      <c r="E5386" s="11"/>
      <c r="F5386" s="11"/>
      <c r="G5386" s="16">
        <f t="shared" si="357"/>
        <v>0</v>
      </c>
      <c r="H5386" s="11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1:26" ht="26.25" x14ac:dyDescent="0.4">
      <c r="A5387" s="29" t="s">
        <v>15</v>
      </c>
      <c r="B5387" s="26"/>
      <c r="C5387" s="26"/>
      <c r="D5387" s="26"/>
      <c r="E5387" s="26"/>
      <c r="F5387" s="26"/>
      <c r="G5387" s="27"/>
      <c r="H5387" s="17">
        <f>SUM(G5384:G5386)</f>
        <v>1216750</v>
      </c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1:26" ht="26.25" x14ac:dyDescent="0.4">
      <c r="A5388" s="29" t="s">
        <v>16</v>
      </c>
      <c r="B5388" s="26"/>
      <c r="C5388" s="26"/>
      <c r="D5388" s="26"/>
      <c r="E5388" s="26"/>
      <c r="F5388" s="26"/>
      <c r="G5388" s="27"/>
      <c r="H5388" s="17">
        <f>MAX(0,H5387-648000)</f>
        <v>568750</v>
      </c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1:26" ht="26.25" x14ac:dyDescent="0.4">
      <c r="A5389" s="25" t="s">
        <v>17</v>
      </c>
      <c r="B5389" s="26"/>
      <c r="C5389" s="26"/>
      <c r="D5389" s="26"/>
      <c r="E5389" s="26"/>
      <c r="F5389" s="26"/>
      <c r="G5389" s="27"/>
      <c r="H5389" s="18">
        <v>649000</v>
      </c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1:26" ht="26.25" x14ac:dyDescent="0.4">
      <c r="A5390" s="28" t="s">
        <v>18</v>
      </c>
      <c r="B5390" s="26"/>
      <c r="C5390" s="26"/>
      <c r="D5390" s="26"/>
      <c r="E5390" s="26"/>
      <c r="F5390" s="26"/>
      <c r="G5390" s="26"/>
      <c r="H5390" s="27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1:26" ht="12.75" x14ac:dyDescent="0.2"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1:26" ht="12.75" x14ac:dyDescent="0.2"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1:26" ht="12.75" x14ac:dyDescent="0.2"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1:26" ht="12.75" x14ac:dyDescent="0.2"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8" spans="1:26" ht="15.75" customHeight="1" x14ac:dyDescent="0.4">
      <c r="A5398" s="28" t="s">
        <v>0</v>
      </c>
      <c r="B5398" s="26"/>
      <c r="C5398" s="26"/>
      <c r="D5398" s="26"/>
      <c r="E5398" s="26"/>
      <c r="F5398" s="26"/>
      <c r="G5398" s="26"/>
      <c r="H5398" s="27"/>
    </row>
    <row r="5399" spans="1:26" ht="15.75" customHeight="1" x14ac:dyDescent="0.4">
      <c r="A5399" s="28" t="s">
        <v>1212</v>
      </c>
      <c r="B5399" s="26"/>
      <c r="C5399" s="26"/>
      <c r="D5399" s="26"/>
      <c r="E5399" s="26"/>
      <c r="F5399" s="26"/>
      <c r="G5399" s="26"/>
      <c r="H5399" s="27"/>
    </row>
    <row r="5400" spans="1:26" ht="15.75" customHeight="1" x14ac:dyDescent="0.3">
      <c r="A5400" s="3" t="s">
        <v>2</v>
      </c>
      <c r="B5400" s="3" t="s">
        <v>3</v>
      </c>
      <c r="C5400" s="3" t="s">
        <v>4</v>
      </c>
      <c r="D5400" s="3" t="s">
        <v>5</v>
      </c>
      <c r="E5400" s="3" t="s">
        <v>6</v>
      </c>
      <c r="F5400" s="4" t="s">
        <v>7</v>
      </c>
      <c r="G5400" s="3" t="s">
        <v>8</v>
      </c>
      <c r="H5400" s="5"/>
    </row>
    <row r="5401" spans="1:26" ht="15.75" customHeight="1" x14ac:dyDescent="0.4">
      <c r="A5401" s="6">
        <v>1</v>
      </c>
      <c r="B5401" s="20" t="s">
        <v>544</v>
      </c>
      <c r="C5401" s="21" t="s">
        <v>1192</v>
      </c>
      <c r="D5401" s="8" t="s">
        <v>11</v>
      </c>
      <c r="E5401" s="20">
        <v>2</v>
      </c>
      <c r="F5401" s="9">
        <v>293000</v>
      </c>
      <c r="G5401" s="10">
        <f t="shared" ref="G5401:G5403" si="358">IFERROR(E5401*F5401,0)</f>
        <v>586000</v>
      </c>
      <c r="H5401" s="11"/>
    </row>
    <row r="5402" spans="1:26" ht="29.25" customHeight="1" x14ac:dyDescent="0.4">
      <c r="A5402" s="6">
        <v>2</v>
      </c>
      <c r="B5402" s="22" t="s">
        <v>1213</v>
      </c>
      <c r="C5402" s="23" t="s">
        <v>1214</v>
      </c>
      <c r="D5402" s="13" t="s">
        <v>13</v>
      </c>
      <c r="E5402" s="22">
        <v>1.47</v>
      </c>
      <c r="F5402" s="14">
        <v>435000</v>
      </c>
      <c r="G5402" s="10">
        <f t="shared" si="358"/>
        <v>639450</v>
      </c>
      <c r="H5402" s="11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1:26" ht="26.25" x14ac:dyDescent="0.4">
      <c r="A5403" s="6">
        <v>3</v>
      </c>
      <c r="B5403" s="15" t="s">
        <v>14</v>
      </c>
      <c r="C5403" s="11"/>
      <c r="D5403" s="11"/>
      <c r="E5403" s="11"/>
      <c r="F5403" s="11"/>
      <c r="G5403" s="16">
        <f t="shared" si="358"/>
        <v>0</v>
      </c>
      <c r="H5403" s="11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1:26" ht="26.25" x14ac:dyDescent="0.4">
      <c r="A5404" s="29" t="s">
        <v>15</v>
      </c>
      <c r="B5404" s="26"/>
      <c r="C5404" s="26"/>
      <c r="D5404" s="26"/>
      <c r="E5404" s="26"/>
      <c r="F5404" s="26"/>
      <c r="G5404" s="27"/>
      <c r="H5404" s="17">
        <f>SUM(G5401:G5403)</f>
        <v>1225450</v>
      </c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1:26" ht="26.25" x14ac:dyDescent="0.4">
      <c r="A5405" s="29" t="s">
        <v>16</v>
      </c>
      <c r="B5405" s="26"/>
      <c r="C5405" s="26"/>
      <c r="D5405" s="26"/>
      <c r="E5405" s="26"/>
      <c r="F5405" s="26"/>
      <c r="G5405" s="27"/>
      <c r="H5405" s="17">
        <f>MAX(0,H5404-648000)</f>
        <v>577450</v>
      </c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1:26" ht="26.25" x14ac:dyDescent="0.4">
      <c r="A5406" s="25" t="s">
        <v>17</v>
      </c>
      <c r="B5406" s="26"/>
      <c r="C5406" s="26"/>
      <c r="D5406" s="26"/>
      <c r="E5406" s="26"/>
      <c r="F5406" s="26"/>
      <c r="G5406" s="27"/>
      <c r="H5406" s="18">
        <v>649000</v>
      </c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1:26" ht="26.25" x14ac:dyDescent="0.4">
      <c r="A5407" s="28" t="s">
        <v>18</v>
      </c>
      <c r="B5407" s="26"/>
      <c r="C5407" s="26"/>
      <c r="D5407" s="26"/>
      <c r="E5407" s="26"/>
      <c r="F5407" s="26"/>
      <c r="G5407" s="26"/>
      <c r="H5407" s="27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1:26" ht="12.75" x14ac:dyDescent="0.2"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1:26" ht="12.75" x14ac:dyDescent="0.2"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1:26" ht="12.75" x14ac:dyDescent="0.2"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1:26" ht="12.75" x14ac:dyDescent="0.2"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5" spans="1:26" ht="15.75" customHeight="1" x14ac:dyDescent="0.4">
      <c r="A5415" s="28" t="s">
        <v>0</v>
      </c>
      <c r="B5415" s="26"/>
      <c r="C5415" s="26"/>
      <c r="D5415" s="26"/>
      <c r="E5415" s="26"/>
      <c r="F5415" s="26"/>
      <c r="G5415" s="26"/>
      <c r="H5415" s="27"/>
    </row>
    <row r="5416" spans="1:26" ht="15.75" customHeight="1" x14ac:dyDescent="0.4">
      <c r="A5416" s="28" t="s">
        <v>1215</v>
      </c>
      <c r="B5416" s="26"/>
      <c r="C5416" s="26"/>
      <c r="D5416" s="26"/>
      <c r="E5416" s="26"/>
      <c r="F5416" s="26"/>
      <c r="G5416" s="26"/>
      <c r="H5416" s="27"/>
    </row>
    <row r="5417" spans="1:26" ht="29.25" customHeight="1" x14ac:dyDescent="0.3">
      <c r="A5417" s="3" t="s">
        <v>2</v>
      </c>
      <c r="B5417" s="3" t="s">
        <v>3</v>
      </c>
      <c r="C5417" s="3" t="s">
        <v>4</v>
      </c>
      <c r="D5417" s="3" t="s">
        <v>5</v>
      </c>
      <c r="E5417" s="3" t="s">
        <v>6</v>
      </c>
      <c r="F5417" s="4" t="s">
        <v>7</v>
      </c>
      <c r="G5417" s="3" t="s">
        <v>8</v>
      </c>
      <c r="H5417" s="5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1:26" ht="26.25" x14ac:dyDescent="0.4">
      <c r="A5418" s="6">
        <v>1</v>
      </c>
      <c r="B5418" s="20" t="s">
        <v>544</v>
      </c>
      <c r="C5418" s="21" t="s">
        <v>1192</v>
      </c>
      <c r="D5418" s="8" t="s">
        <v>11</v>
      </c>
      <c r="E5418" s="20">
        <v>2</v>
      </c>
      <c r="F5418" s="9">
        <v>293000</v>
      </c>
      <c r="G5418" s="10">
        <f t="shared" ref="G5418:G5420" si="359">IFERROR(E5418*F5418,0)</f>
        <v>586000</v>
      </c>
      <c r="H5418" s="11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1:26" ht="26.25" x14ac:dyDescent="0.4">
      <c r="A5419" s="6">
        <v>2</v>
      </c>
      <c r="B5419" s="22" t="s">
        <v>12</v>
      </c>
      <c r="C5419" s="23" t="s">
        <v>1216</v>
      </c>
      <c r="D5419" s="13" t="s">
        <v>13</v>
      </c>
      <c r="E5419" s="22">
        <v>1.4</v>
      </c>
      <c r="F5419" s="14">
        <v>435000</v>
      </c>
      <c r="G5419" s="10">
        <f t="shared" si="359"/>
        <v>609000</v>
      </c>
      <c r="H5419" s="11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1:26" ht="26.25" x14ac:dyDescent="0.4">
      <c r="A5420" s="6">
        <v>3</v>
      </c>
      <c r="B5420" s="15" t="s">
        <v>14</v>
      </c>
      <c r="C5420" s="11"/>
      <c r="D5420" s="11"/>
      <c r="E5420" s="11"/>
      <c r="F5420" s="11"/>
      <c r="G5420" s="16">
        <f t="shared" si="359"/>
        <v>0</v>
      </c>
      <c r="H5420" s="11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1:26" ht="26.25" x14ac:dyDescent="0.4">
      <c r="A5421" s="29" t="s">
        <v>15</v>
      </c>
      <c r="B5421" s="26"/>
      <c r="C5421" s="26"/>
      <c r="D5421" s="26"/>
      <c r="E5421" s="26"/>
      <c r="F5421" s="26"/>
      <c r="G5421" s="27"/>
      <c r="H5421" s="17">
        <f>SUM(G5418:G5420)</f>
        <v>1195000</v>
      </c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1:26" ht="26.25" x14ac:dyDescent="0.4">
      <c r="A5422" s="29" t="s">
        <v>16</v>
      </c>
      <c r="B5422" s="26"/>
      <c r="C5422" s="26"/>
      <c r="D5422" s="26"/>
      <c r="E5422" s="26"/>
      <c r="F5422" s="26"/>
      <c r="G5422" s="27"/>
      <c r="H5422" s="17">
        <f>MAX(0,H5421-648000)</f>
        <v>547000</v>
      </c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1:26" ht="26.25" x14ac:dyDescent="0.4">
      <c r="A5423" s="25" t="s">
        <v>17</v>
      </c>
      <c r="B5423" s="26"/>
      <c r="C5423" s="26"/>
      <c r="D5423" s="26"/>
      <c r="E5423" s="26"/>
      <c r="F5423" s="26"/>
      <c r="G5423" s="27"/>
      <c r="H5423" s="18">
        <v>649000</v>
      </c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1:26" ht="26.25" x14ac:dyDescent="0.4">
      <c r="A5424" s="28" t="s">
        <v>18</v>
      </c>
      <c r="B5424" s="26"/>
      <c r="C5424" s="26"/>
      <c r="D5424" s="26"/>
      <c r="E5424" s="26"/>
      <c r="F5424" s="26"/>
      <c r="G5424" s="26"/>
      <c r="H5424" s="27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1:26" ht="12.75" x14ac:dyDescent="0.2"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1:26" ht="12.75" x14ac:dyDescent="0.2"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30" spans="1:26" ht="15.75" customHeight="1" x14ac:dyDescent="0.4">
      <c r="A5430" s="28" t="s">
        <v>0</v>
      </c>
      <c r="B5430" s="26"/>
      <c r="C5430" s="26"/>
      <c r="D5430" s="26"/>
      <c r="E5430" s="26"/>
      <c r="F5430" s="26"/>
      <c r="G5430" s="26"/>
      <c r="H5430" s="27"/>
    </row>
    <row r="5431" spans="1:26" ht="15.75" customHeight="1" x14ac:dyDescent="0.4">
      <c r="A5431" s="28" t="s">
        <v>1217</v>
      </c>
      <c r="B5431" s="26"/>
      <c r="C5431" s="26"/>
      <c r="D5431" s="26"/>
      <c r="E5431" s="26"/>
      <c r="F5431" s="26"/>
      <c r="G5431" s="26"/>
      <c r="H5431" s="27"/>
    </row>
    <row r="5432" spans="1:26" ht="15.75" customHeight="1" x14ac:dyDescent="0.3">
      <c r="A5432" s="3" t="s">
        <v>2</v>
      </c>
      <c r="B5432" s="3" t="s">
        <v>3</v>
      </c>
      <c r="C5432" s="3" t="s">
        <v>4</v>
      </c>
      <c r="D5432" s="3" t="s">
        <v>5</v>
      </c>
      <c r="E5432" s="3" t="s">
        <v>6</v>
      </c>
      <c r="F5432" s="4" t="s">
        <v>7</v>
      </c>
      <c r="G5432" s="3" t="s">
        <v>8</v>
      </c>
      <c r="H5432" s="5"/>
    </row>
    <row r="5433" spans="1:26" ht="29.25" customHeight="1" x14ac:dyDescent="0.4">
      <c r="A5433" s="6">
        <v>1</v>
      </c>
      <c r="B5433" s="20" t="s">
        <v>763</v>
      </c>
      <c r="C5433" s="21" t="s">
        <v>1147</v>
      </c>
      <c r="D5433" s="8" t="s">
        <v>11</v>
      </c>
      <c r="E5433" s="20">
        <v>3</v>
      </c>
      <c r="F5433" s="9">
        <v>293000</v>
      </c>
      <c r="G5433" s="10">
        <f t="shared" ref="G5433:G5435" si="360">IFERROR(E5433*F5433,0)</f>
        <v>879000</v>
      </c>
      <c r="H5433" s="11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1:26" ht="26.25" x14ac:dyDescent="0.4">
      <c r="A5434" s="6">
        <v>2</v>
      </c>
      <c r="B5434" s="22" t="s">
        <v>218</v>
      </c>
      <c r="C5434" s="23" t="s">
        <v>1218</v>
      </c>
      <c r="D5434" s="13" t="s">
        <v>13</v>
      </c>
      <c r="E5434" s="22">
        <v>0.6</v>
      </c>
      <c r="F5434" s="14">
        <v>435000</v>
      </c>
      <c r="G5434" s="10">
        <f t="shared" si="360"/>
        <v>261000</v>
      </c>
      <c r="H5434" s="11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1:26" ht="26.25" x14ac:dyDescent="0.4">
      <c r="A5435" s="6">
        <v>3</v>
      </c>
      <c r="B5435" s="15" t="s">
        <v>14</v>
      </c>
      <c r="C5435" s="11"/>
      <c r="D5435" s="11"/>
      <c r="E5435" s="11"/>
      <c r="F5435" s="11"/>
      <c r="G5435" s="16">
        <f t="shared" si="360"/>
        <v>0</v>
      </c>
      <c r="H5435" s="11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1:26" ht="26.25" x14ac:dyDescent="0.4">
      <c r="A5436" s="29" t="s">
        <v>15</v>
      </c>
      <c r="B5436" s="26"/>
      <c r="C5436" s="26"/>
      <c r="D5436" s="26"/>
      <c r="E5436" s="26"/>
      <c r="F5436" s="26"/>
      <c r="G5436" s="27"/>
      <c r="H5436" s="17">
        <f>SUM(G5433:G5435)</f>
        <v>1140000</v>
      </c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1:26" ht="26.25" x14ac:dyDescent="0.4">
      <c r="A5437" s="29" t="s">
        <v>16</v>
      </c>
      <c r="B5437" s="26"/>
      <c r="C5437" s="26"/>
      <c r="D5437" s="26"/>
      <c r="E5437" s="26"/>
      <c r="F5437" s="26"/>
      <c r="G5437" s="27"/>
      <c r="H5437" s="17">
        <f>MAX(0,H5436-648000)</f>
        <v>492000</v>
      </c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1:26" ht="26.25" x14ac:dyDescent="0.4">
      <c r="A5438" s="25" t="s">
        <v>17</v>
      </c>
      <c r="B5438" s="26"/>
      <c r="C5438" s="26"/>
      <c r="D5438" s="26"/>
      <c r="E5438" s="26"/>
      <c r="F5438" s="26"/>
      <c r="G5438" s="27"/>
      <c r="H5438" s="18">
        <v>649000</v>
      </c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1:26" ht="26.25" x14ac:dyDescent="0.4">
      <c r="A5439" s="28" t="s">
        <v>18</v>
      </c>
      <c r="B5439" s="26"/>
      <c r="C5439" s="26"/>
      <c r="D5439" s="26"/>
      <c r="E5439" s="26"/>
      <c r="F5439" s="26"/>
      <c r="G5439" s="26"/>
      <c r="H5439" s="27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1:26" ht="12.75" x14ac:dyDescent="0.2"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1:26" ht="12.75" x14ac:dyDescent="0.2"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1:26" ht="12.75" x14ac:dyDescent="0.2"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6" spans="1:26" ht="15.75" customHeight="1" x14ac:dyDescent="0.4">
      <c r="A5446" s="28" t="s">
        <v>0</v>
      </c>
      <c r="B5446" s="26"/>
      <c r="C5446" s="26"/>
      <c r="D5446" s="26"/>
      <c r="E5446" s="26"/>
      <c r="F5446" s="26"/>
      <c r="G5446" s="26"/>
      <c r="H5446" s="27"/>
    </row>
    <row r="5447" spans="1:26" ht="15.75" customHeight="1" x14ac:dyDescent="0.4">
      <c r="A5447" s="28" t="s">
        <v>1219</v>
      </c>
      <c r="B5447" s="26"/>
      <c r="C5447" s="26"/>
      <c r="D5447" s="26"/>
      <c r="E5447" s="26"/>
      <c r="F5447" s="26"/>
      <c r="G5447" s="26"/>
      <c r="H5447" s="27"/>
    </row>
    <row r="5448" spans="1:26" ht="29.25" customHeight="1" x14ac:dyDescent="0.3">
      <c r="A5448" s="3" t="s">
        <v>2</v>
      </c>
      <c r="B5448" s="3" t="s">
        <v>3</v>
      </c>
      <c r="C5448" s="3" t="s">
        <v>4</v>
      </c>
      <c r="D5448" s="3" t="s">
        <v>5</v>
      </c>
      <c r="E5448" s="3" t="s">
        <v>6</v>
      </c>
      <c r="F5448" s="4" t="s">
        <v>7</v>
      </c>
      <c r="G5448" s="3" t="s">
        <v>8</v>
      </c>
      <c r="H5448" s="5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1:26" ht="26.25" x14ac:dyDescent="0.4">
      <c r="A5449" s="6">
        <v>1</v>
      </c>
      <c r="B5449" s="20" t="s">
        <v>544</v>
      </c>
      <c r="C5449" s="21" t="s">
        <v>1192</v>
      </c>
      <c r="D5449" s="8" t="s">
        <v>11</v>
      </c>
      <c r="E5449" s="20">
        <v>2</v>
      </c>
      <c r="F5449" s="9">
        <v>293000</v>
      </c>
      <c r="G5449" s="10">
        <f t="shared" ref="G5449:G5451" si="361">IFERROR(E5449*F5449,0)</f>
        <v>586000</v>
      </c>
      <c r="H5449" s="11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1:26" ht="26.25" x14ac:dyDescent="0.4">
      <c r="A5450" s="6">
        <v>2</v>
      </c>
      <c r="B5450" s="22" t="s">
        <v>279</v>
      </c>
      <c r="C5450" s="23" t="s">
        <v>1220</v>
      </c>
      <c r="D5450" s="13" t="s">
        <v>13</v>
      </c>
      <c r="E5450" s="22">
        <v>1.5</v>
      </c>
      <c r="F5450" s="14">
        <v>435000</v>
      </c>
      <c r="G5450" s="10">
        <f t="shared" si="361"/>
        <v>652500</v>
      </c>
      <c r="H5450" s="11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1:26" ht="26.25" x14ac:dyDescent="0.4">
      <c r="A5451" s="6">
        <v>3</v>
      </c>
      <c r="B5451" s="15" t="s">
        <v>14</v>
      </c>
      <c r="C5451" s="11"/>
      <c r="D5451" s="11"/>
      <c r="E5451" s="11"/>
      <c r="F5451" s="11"/>
      <c r="G5451" s="16">
        <f t="shared" si="361"/>
        <v>0</v>
      </c>
      <c r="H5451" s="11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1:26" ht="26.25" x14ac:dyDescent="0.4">
      <c r="A5452" s="29" t="s">
        <v>15</v>
      </c>
      <c r="B5452" s="26"/>
      <c r="C5452" s="26"/>
      <c r="D5452" s="26"/>
      <c r="E5452" s="26"/>
      <c r="F5452" s="26"/>
      <c r="G5452" s="27"/>
      <c r="H5452" s="17">
        <f>SUM(G5449:G5451)</f>
        <v>1238500</v>
      </c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1:26" ht="26.25" x14ac:dyDescent="0.4">
      <c r="A5453" s="29" t="s">
        <v>16</v>
      </c>
      <c r="B5453" s="26"/>
      <c r="C5453" s="26"/>
      <c r="D5453" s="26"/>
      <c r="E5453" s="26"/>
      <c r="F5453" s="26"/>
      <c r="G5453" s="27"/>
      <c r="H5453" s="17">
        <f>MAX(0,H5452-648000)</f>
        <v>590500</v>
      </c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1:26" ht="26.25" x14ac:dyDescent="0.4">
      <c r="A5454" s="25" t="s">
        <v>17</v>
      </c>
      <c r="B5454" s="26"/>
      <c r="C5454" s="26"/>
      <c r="D5454" s="26"/>
      <c r="E5454" s="26"/>
      <c r="F5454" s="26"/>
      <c r="G5454" s="27"/>
      <c r="H5454" s="18">
        <v>649000</v>
      </c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1:26" ht="26.25" x14ac:dyDescent="0.4">
      <c r="A5455" s="28" t="s">
        <v>18</v>
      </c>
      <c r="B5455" s="26"/>
      <c r="C5455" s="26"/>
      <c r="D5455" s="26"/>
      <c r="E5455" s="26"/>
      <c r="F5455" s="26"/>
      <c r="G5455" s="26"/>
      <c r="H5455" s="27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1:26" ht="12.75" x14ac:dyDescent="0.2"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1:26" ht="12.75" x14ac:dyDescent="0.2"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61" spans="1:26" ht="15.75" customHeight="1" x14ac:dyDescent="0.4">
      <c r="A5461" s="28" t="s">
        <v>0</v>
      </c>
      <c r="B5461" s="26"/>
      <c r="C5461" s="26"/>
      <c r="D5461" s="26"/>
      <c r="E5461" s="26"/>
      <c r="F5461" s="26"/>
      <c r="G5461" s="26"/>
      <c r="H5461" s="27"/>
    </row>
    <row r="5462" spans="1:26" ht="15.75" customHeight="1" x14ac:dyDescent="0.4">
      <c r="A5462" s="28" t="s">
        <v>1221</v>
      </c>
      <c r="B5462" s="26"/>
      <c r="C5462" s="26"/>
      <c r="D5462" s="26"/>
      <c r="E5462" s="26"/>
      <c r="F5462" s="26"/>
      <c r="G5462" s="26"/>
      <c r="H5462" s="27"/>
    </row>
    <row r="5463" spans="1:26" ht="29.25" customHeight="1" x14ac:dyDescent="0.3">
      <c r="A5463" s="3" t="s">
        <v>2</v>
      </c>
      <c r="B5463" s="3" t="s">
        <v>3</v>
      </c>
      <c r="C5463" s="3" t="s">
        <v>4</v>
      </c>
      <c r="D5463" s="3" t="s">
        <v>5</v>
      </c>
      <c r="E5463" s="3" t="s">
        <v>6</v>
      </c>
      <c r="F5463" s="4" t="s">
        <v>7</v>
      </c>
      <c r="G5463" s="3" t="s">
        <v>8</v>
      </c>
      <c r="H5463" s="5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1:26" ht="26.25" x14ac:dyDescent="0.4">
      <c r="A5464" s="6">
        <v>1</v>
      </c>
      <c r="B5464" s="20" t="s">
        <v>1181</v>
      </c>
      <c r="C5464" s="21" t="s">
        <v>1222</v>
      </c>
      <c r="D5464" s="8" t="s">
        <v>11</v>
      </c>
      <c r="E5464" s="20">
        <v>2.4500000000000002</v>
      </c>
      <c r="F5464" s="9">
        <v>293000</v>
      </c>
      <c r="G5464" s="10">
        <f t="shared" ref="G5464:G5466" si="362">IFERROR(E5464*F5464,0)</f>
        <v>717850</v>
      </c>
      <c r="H5464" s="11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1:26" ht="26.25" x14ac:dyDescent="0.4">
      <c r="A5465" s="6">
        <v>2</v>
      </c>
      <c r="B5465" s="22" t="s">
        <v>453</v>
      </c>
      <c r="C5465" s="23" t="s">
        <v>1223</v>
      </c>
      <c r="D5465" s="13" t="s">
        <v>13</v>
      </c>
      <c r="E5465" s="22">
        <v>1.08</v>
      </c>
      <c r="F5465" s="14">
        <v>435000</v>
      </c>
      <c r="G5465" s="10">
        <f t="shared" si="362"/>
        <v>469800.00000000006</v>
      </c>
      <c r="H5465" s="11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1:26" ht="26.25" x14ac:dyDescent="0.4">
      <c r="A5466" s="6">
        <v>3</v>
      </c>
      <c r="B5466" s="15" t="s">
        <v>14</v>
      </c>
      <c r="C5466" s="11"/>
      <c r="D5466" s="11"/>
      <c r="E5466" s="11"/>
      <c r="F5466" s="11"/>
      <c r="G5466" s="16">
        <f t="shared" si="362"/>
        <v>0</v>
      </c>
      <c r="H5466" s="11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1:26" ht="26.25" x14ac:dyDescent="0.4">
      <c r="A5467" s="29" t="s">
        <v>15</v>
      </c>
      <c r="B5467" s="26"/>
      <c r="C5467" s="26"/>
      <c r="D5467" s="26"/>
      <c r="E5467" s="26"/>
      <c r="F5467" s="26"/>
      <c r="G5467" s="27"/>
      <c r="H5467" s="17">
        <f>SUM(G5464:G5466)</f>
        <v>1187650</v>
      </c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1:26" ht="26.25" x14ac:dyDescent="0.4">
      <c r="A5468" s="29" t="s">
        <v>16</v>
      </c>
      <c r="B5468" s="26"/>
      <c r="C5468" s="26"/>
      <c r="D5468" s="26"/>
      <c r="E5468" s="26"/>
      <c r="F5468" s="26"/>
      <c r="G5468" s="27"/>
      <c r="H5468" s="17">
        <f>MAX(0,H5467-648000)</f>
        <v>539650</v>
      </c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1:26" ht="26.25" x14ac:dyDescent="0.4">
      <c r="A5469" s="25" t="s">
        <v>17</v>
      </c>
      <c r="B5469" s="26"/>
      <c r="C5469" s="26"/>
      <c r="D5469" s="26"/>
      <c r="E5469" s="26"/>
      <c r="F5469" s="26"/>
      <c r="G5469" s="27"/>
      <c r="H5469" s="18">
        <v>649000</v>
      </c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1:26" ht="26.25" x14ac:dyDescent="0.4">
      <c r="A5470" s="28" t="s">
        <v>18</v>
      </c>
      <c r="B5470" s="26"/>
      <c r="C5470" s="26"/>
      <c r="D5470" s="26"/>
      <c r="E5470" s="26"/>
      <c r="F5470" s="26"/>
      <c r="G5470" s="26"/>
      <c r="H5470" s="27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1:26" ht="12.75" x14ac:dyDescent="0.2"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1:26" ht="12.75" x14ac:dyDescent="0.2"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6" spans="1:26" ht="15.75" customHeight="1" x14ac:dyDescent="0.4">
      <c r="A5476" s="28" t="s">
        <v>0</v>
      </c>
      <c r="B5476" s="26"/>
      <c r="C5476" s="26"/>
      <c r="D5476" s="26"/>
      <c r="E5476" s="26"/>
      <c r="F5476" s="26"/>
      <c r="G5476" s="26"/>
      <c r="H5476" s="27"/>
    </row>
    <row r="5477" spans="1:26" ht="15.75" customHeight="1" x14ac:dyDescent="0.4">
      <c r="A5477" s="28" t="s">
        <v>1224</v>
      </c>
      <c r="B5477" s="26"/>
      <c r="C5477" s="26"/>
      <c r="D5477" s="26"/>
      <c r="E5477" s="26"/>
      <c r="F5477" s="26"/>
      <c r="G5477" s="26"/>
      <c r="H5477" s="27"/>
    </row>
    <row r="5478" spans="1:26" ht="29.25" customHeight="1" x14ac:dyDescent="0.3">
      <c r="A5478" s="3" t="s">
        <v>2</v>
      </c>
      <c r="B5478" s="3" t="s">
        <v>3</v>
      </c>
      <c r="C5478" s="3" t="s">
        <v>4</v>
      </c>
      <c r="D5478" s="3" t="s">
        <v>5</v>
      </c>
      <c r="E5478" s="3" t="s">
        <v>6</v>
      </c>
      <c r="F5478" s="4" t="s">
        <v>7</v>
      </c>
      <c r="G5478" s="3" t="s">
        <v>8</v>
      </c>
      <c r="H5478" s="5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1:26" ht="26.25" x14ac:dyDescent="0.4">
      <c r="A5479" s="6">
        <v>1</v>
      </c>
      <c r="B5479" s="20" t="s">
        <v>94</v>
      </c>
      <c r="C5479" s="21" t="s">
        <v>1147</v>
      </c>
      <c r="D5479" s="8" t="s">
        <v>11</v>
      </c>
      <c r="E5479" s="20">
        <v>2</v>
      </c>
      <c r="F5479" s="9">
        <v>293000</v>
      </c>
      <c r="G5479" s="10">
        <f t="shared" ref="G5479:G5481" si="363">IFERROR(E5479*F5479,0)</f>
        <v>586000</v>
      </c>
      <c r="H5479" s="11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1:26" ht="26.25" x14ac:dyDescent="0.4">
      <c r="A5480" s="6">
        <v>2</v>
      </c>
      <c r="B5480" s="22" t="s">
        <v>12</v>
      </c>
      <c r="C5480" s="23" t="s">
        <v>1225</v>
      </c>
      <c r="D5480" s="13" t="s">
        <v>13</v>
      </c>
      <c r="E5480" s="22">
        <v>1.45</v>
      </c>
      <c r="F5480" s="14">
        <v>435000</v>
      </c>
      <c r="G5480" s="10">
        <f t="shared" si="363"/>
        <v>630750</v>
      </c>
      <c r="H5480" s="11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1:26" ht="26.25" x14ac:dyDescent="0.4">
      <c r="A5481" s="6">
        <v>3</v>
      </c>
      <c r="B5481" s="15" t="s">
        <v>14</v>
      </c>
      <c r="C5481" s="11"/>
      <c r="D5481" s="11"/>
      <c r="E5481" s="11"/>
      <c r="F5481" s="11"/>
      <c r="G5481" s="16">
        <f t="shared" si="363"/>
        <v>0</v>
      </c>
      <c r="H5481" s="11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1:26" ht="26.25" x14ac:dyDescent="0.4">
      <c r="A5482" s="29" t="s">
        <v>15</v>
      </c>
      <c r="B5482" s="26"/>
      <c r="C5482" s="26"/>
      <c r="D5482" s="26"/>
      <c r="E5482" s="26"/>
      <c r="F5482" s="26"/>
      <c r="G5482" s="27"/>
      <c r="H5482" s="17">
        <f>SUM(G5479:G5481)</f>
        <v>1216750</v>
      </c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1:26" ht="26.25" x14ac:dyDescent="0.4">
      <c r="A5483" s="29" t="s">
        <v>16</v>
      </c>
      <c r="B5483" s="26"/>
      <c r="C5483" s="26"/>
      <c r="D5483" s="26"/>
      <c r="E5483" s="26"/>
      <c r="F5483" s="26"/>
      <c r="G5483" s="27"/>
      <c r="H5483" s="17">
        <f>MAX(0,H5482-648000)</f>
        <v>568750</v>
      </c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1:26" ht="26.25" x14ac:dyDescent="0.4">
      <c r="A5484" s="25" t="s">
        <v>17</v>
      </c>
      <c r="B5484" s="26"/>
      <c r="C5484" s="26"/>
      <c r="D5484" s="26"/>
      <c r="E5484" s="26"/>
      <c r="F5484" s="26"/>
      <c r="G5484" s="27"/>
      <c r="H5484" s="18">
        <v>649000</v>
      </c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1:26" ht="26.25" x14ac:dyDescent="0.4">
      <c r="A5485" s="28" t="s">
        <v>18</v>
      </c>
      <c r="B5485" s="26"/>
      <c r="C5485" s="26"/>
      <c r="D5485" s="26"/>
      <c r="E5485" s="26"/>
      <c r="F5485" s="26"/>
      <c r="G5485" s="26"/>
      <c r="H5485" s="27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1:26" ht="12.75" x14ac:dyDescent="0.2"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1:26" ht="12.75" x14ac:dyDescent="0.2"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91" spans="1:26" ht="15.75" customHeight="1" x14ac:dyDescent="0.4">
      <c r="A5491" s="28" t="s">
        <v>0</v>
      </c>
      <c r="B5491" s="26"/>
      <c r="C5491" s="26"/>
      <c r="D5491" s="26"/>
      <c r="E5491" s="26"/>
      <c r="F5491" s="26"/>
      <c r="G5491" s="26"/>
      <c r="H5491" s="27"/>
    </row>
    <row r="5492" spans="1:26" ht="15.75" customHeight="1" x14ac:dyDescent="0.4">
      <c r="A5492" s="28" t="s">
        <v>1226</v>
      </c>
      <c r="B5492" s="26"/>
      <c r="C5492" s="26"/>
      <c r="D5492" s="26"/>
      <c r="E5492" s="26"/>
      <c r="F5492" s="26"/>
      <c r="G5492" s="26"/>
      <c r="H5492" s="27"/>
    </row>
    <row r="5493" spans="1:26" ht="29.25" customHeight="1" x14ac:dyDescent="0.3">
      <c r="A5493" s="3" t="s">
        <v>2</v>
      </c>
      <c r="B5493" s="3" t="s">
        <v>3</v>
      </c>
      <c r="C5493" s="3" t="s">
        <v>4</v>
      </c>
      <c r="D5493" s="3" t="s">
        <v>5</v>
      </c>
      <c r="E5493" s="3" t="s">
        <v>6</v>
      </c>
      <c r="F5493" s="4" t="s">
        <v>7</v>
      </c>
      <c r="G5493" s="3" t="s">
        <v>8</v>
      </c>
      <c r="H5493" s="5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1:26" ht="26.25" x14ac:dyDescent="0.4">
      <c r="A5494" s="6">
        <v>1</v>
      </c>
      <c r="B5494" s="20" t="s">
        <v>449</v>
      </c>
      <c r="C5494" s="21" t="s">
        <v>1227</v>
      </c>
      <c r="D5494" s="8" t="s">
        <v>11</v>
      </c>
      <c r="E5494" s="20">
        <v>1.52</v>
      </c>
      <c r="F5494" s="9">
        <v>293000</v>
      </c>
      <c r="G5494" s="10">
        <f t="shared" ref="G5494:G5496" si="364">IFERROR(E5494*F5494,0)</f>
        <v>445360</v>
      </c>
      <c r="H5494" s="11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1:26" ht="26.25" x14ac:dyDescent="0.4">
      <c r="A5495" s="6">
        <v>2</v>
      </c>
      <c r="B5495" s="22" t="s">
        <v>269</v>
      </c>
      <c r="C5495" s="23" t="s">
        <v>1228</v>
      </c>
      <c r="D5495" s="13" t="s">
        <v>13</v>
      </c>
      <c r="E5495" s="22">
        <v>2</v>
      </c>
      <c r="F5495" s="14">
        <v>435000</v>
      </c>
      <c r="G5495" s="10">
        <f t="shared" si="364"/>
        <v>870000</v>
      </c>
      <c r="H5495" s="11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1:26" ht="26.25" x14ac:dyDescent="0.4">
      <c r="A5496" s="6">
        <v>3</v>
      </c>
      <c r="B5496" s="15" t="s">
        <v>14</v>
      </c>
      <c r="C5496" s="11"/>
      <c r="D5496" s="11"/>
      <c r="E5496" s="11"/>
      <c r="F5496" s="11"/>
      <c r="G5496" s="16">
        <f t="shared" si="364"/>
        <v>0</v>
      </c>
      <c r="H5496" s="11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1:26" ht="26.25" x14ac:dyDescent="0.4">
      <c r="A5497" s="29" t="s">
        <v>15</v>
      </c>
      <c r="B5497" s="26"/>
      <c r="C5497" s="26"/>
      <c r="D5497" s="26"/>
      <c r="E5497" s="26"/>
      <c r="F5497" s="26"/>
      <c r="G5497" s="27"/>
      <c r="H5497" s="17">
        <f>SUM(G5494:G5496)</f>
        <v>1315360</v>
      </c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1:26" ht="26.25" x14ac:dyDescent="0.4">
      <c r="A5498" s="29" t="s">
        <v>16</v>
      </c>
      <c r="B5498" s="26"/>
      <c r="C5498" s="26"/>
      <c r="D5498" s="26"/>
      <c r="E5498" s="26"/>
      <c r="F5498" s="26"/>
      <c r="G5498" s="27"/>
      <c r="H5498" s="17">
        <f>MAX(0,H5497-648000)</f>
        <v>667360</v>
      </c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1:26" ht="26.25" x14ac:dyDescent="0.4">
      <c r="A5499" s="25" t="s">
        <v>17</v>
      </c>
      <c r="B5499" s="26"/>
      <c r="C5499" s="26"/>
      <c r="D5499" s="26"/>
      <c r="E5499" s="26"/>
      <c r="F5499" s="26"/>
      <c r="G5499" s="27"/>
      <c r="H5499" s="18">
        <v>649000</v>
      </c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1:26" ht="26.25" x14ac:dyDescent="0.4">
      <c r="A5500" s="28" t="s">
        <v>18</v>
      </c>
      <c r="B5500" s="26"/>
      <c r="C5500" s="26"/>
      <c r="D5500" s="26"/>
      <c r="E5500" s="26"/>
      <c r="F5500" s="26"/>
      <c r="G5500" s="26"/>
      <c r="H5500" s="27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1:26" ht="12.75" x14ac:dyDescent="0.2"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1:26" ht="12.75" x14ac:dyDescent="0.2"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6" spans="1:26" ht="15.75" customHeight="1" x14ac:dyDescent="0.4">
      <c r="A5506" s="28" t="s">
        <v>0</v>
      </c>
      <c r="B5506" s="26"/>
      <c r="C5506" s="26"/>
      <c r="D5506" s="26"/>
      <c r="E5506" s="26"/>
      <c r="F5506" s="26"/>
      <c r="G5506" s="26"/>
      <c r="H5506" s="27"/>
    </row>
    <row r="5507" spans="1:26" ht="15.75" customHeight="1" x14ac:dyDescent="0.4">
      <c r="A5507" s="28" t="s">
        <v>1229</v>
      </c>
      <c r="B5507" s="26"/>
      <c r="C5507" s="26"/>
      <c r="D5507" s="26"/>
      <c r="E5507" s="26"/>
      <c r="F5507" s="26"/>
      <c r="G5507" s="26"/>
      <c r="H5507" s="27"/>
    </row>
    <row r="5508" spans="1:26" ht="29.25" customHeight="1" x14ac:dyDescent="0.3">
      <c r="A5508" s="3" t="s">
        <v>2</v>
      </c>
      <c r="B5508" s="3" t="s">
        <v>3</v>
      </c>
      <c r="C5508" s="3" t="s">
        <v>4</v>
      </c>
      <c r="D5508" s="3" t="s">
        <v>5</v>
      </c>
      <c r="E5508" s="3" t="s">
        <v>6</v>
      </c>
      <c r="F5508" s="4" t="s">
        <v>7</v>
      </c>
      <c r="G5508" s="3" t="s">
        <v>8</v>
      </c>
      <c r="H5508" s="5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1:26" ht="26.25" x14ac:dyDescent="0.4">
      <c r="A5509" s="6">
        <v>1</v>
      </c>
      <c r="B5509" s="20" t="s">
        <v>72</v>
      </c>
      <c r="C5509" s="21" t="s">
        <v>1230</v>
      </c>
      <c r="D5509" s="8" t="s">
        <v>11</v>
      </c>
      <c r="E5509" s="20">
        <v>1.5</v>
      </c>
      <c r="F5509" s="9">
        <v>293000</v>
      </c>
      <c r="G5509" s="10">
        <f t="shared" ref="G5509:G5511" si="365">IFERROR(E5509*F5509,0)</f>
        <v>439500</v>
      </c>
      <c r="H5509" s="11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1:26" ht="26.25" x14ac:dyDescent="0.4">
      <c r="A5510" s="6">
        <v>2</v>
      </c>
      <c r="B5510" s="22" t="s">
        <v>218</v>
      </c>
      <c r="C5510" s="23" t="s">
        <v>1231</v>
      </c>
      <c r="D5510" s="13" t="s">
        <v>13</v>
      </c>
      <c r="E5510" s="22">
        <v>1.9</v>
      </c>
      <c r="F5510" s="14">
        <v>435000</v>
      </c>
      <c r="G5510" s="10">
        <f t="shared" si="365"/>
        <v>826500</v>
      </c>
      <c r="H5510" s="11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1:26" ht="26.25" x14ac:dyDescent="0.4">
      <c r="A5511" s="6">
        <v>3</v>
      </c>
      <c r="B5511" s="15" t="s">
        <v>14</v>
      </c>
      <c r="C5511" s="11"/>
      <c r="D5511" s="11"/>
      <c r="E5511" s="11"/>
      <c r="F5511" s="11"/>
      <c r="G5511" s="16">
        <f t="shared" si="365"/>
        <v>0</v>
      </c>
      <c r="H5511" s="11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1:26" ht="26.25" x14ac:dyDescent="0.4">
      <c r="A5512" s="29" t="s">
        <v>15</v>
      </c>
      <c r="B5512" s="26"/>
      <c r="C5512" s="26"/>
      <c r="D5512" s="26"/>
      <c r="E5512" s="26"/>
      <c r="F5512" s="26"/>
      <c r="G5512" s="27"/>
      <c r="H5512" s="17">
        <f>SUM(G5509:G5511)</f>
        <v>1266000</v>
      </c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1:26" ht="26.25" x14ac:dyDescent="0.4">
      <c r="A5513" s="29" t="s">
        <v>16</v>
      </c>
      <c r="B5513" s="26"/>
      <c r="C5513" s="26"/>
      <c r="D5513" s="26"/>
      <c r="E5513" s="26"/>
      <c r="F5513" s="26"/>
      <c r="G5513" s="27"/>
      <c r="H5513" s="17">
        <f>MAX(0,H5512-648000)</f>
        <v>618000</v>
      </c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1:26" ht="26.25" x14ac:dyDescent="0.4">
      <c r="A5514" s="25" t="s">
        <v>17</v>
      </c>
      <c r="B5514" s="26"/>
      <c r="C5514" s="26"/>
      <c r="D5514" s="26"/>
      <c r="E5514" s="26"/>
      <c r="F5514" s="26"/>
      <c r="G5514" s="27"/>
      <c r="H5514" s="18">
        <v>649000</v>
      </c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1:26" ht="26.25" x14ac:dyDescent="0.4">
      <c r="A5515" s="28" t="s">
        <v>18</v>
      </c>
      <c r="B5515" s="26"/>
      <c r="C5515" s="26"/>
      <c r="D5515" s="26"/>
      <c r="E5515" s="26"/>
      <c r="F5515" s="26"/>
      <c r="G5515" s="26"/>
      <c r="H5515" s="27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1:26" ht="12.75" x14ac:dyDescent="0.2"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1:26" ht="12.75" x14ac:dyDescent="0.2"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21" spans="1:26" ht="15.75" customHeight="1" x14ac:dyDescent="0.4">
      <c r="A5521" s="28" t="s">
        <v>0</v>
      </c>
      <c r="B5521" s="26"/>
      <c r="C5521" s="26"/>
      <c r="D5521" s="26"/>
      <c r="E5521" s="26"/>
      <c r="F5521" s="26"/>
      <c r="G5521" s="26"/>
      <c r="H5521" s="27"/>
    </row>
    <row r="5522" spans="1:26" ht="15.75" customHeight="1" x14ac:dyDescent="0.4">
      <c r="A5522" s="28" t="s">
        <v>1232</v>
      </c>
      <c r="B5522" s="26"/>
      <c r="C5522" s="26"/>
      <c r="D5522" s="26"/>
      <c r="E5522" s="26"/>
      <c r="F5522" s="26"/>
      <c r="G5522" s="26"/>
      <c r="H5522" s="27"/>
    </row>
    <row r="5523" spans="1:26" ht="29.25" customHeight="1" x14ac:dyDescent="0.3">
      <c r="A5523" s="3" t="s">
        <v>2</v>
      </c>
      <c r="B5523" s="3" t="s">
        <v>3</v>
      </c>
      <c r="C5523" s="3" t="s">
        <v>4</v>
      </c>
      <c r="D5523" s="3" t="s">
        <v>5</v>
      </c>
      <c r="E5523" s="3" t="s">
        <v>6</v>
      </c>
      <c r="F5523" s="4" t="s">
        <v>7</v>
      </c>
      <c r="G5523" s="3" t="s">
        <v>8</v>
      </c>
      <c r="H5523" s="5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1:26" ht="26.25" x14ac:dyDescent="0.4">
      <c r="A5524" s="6">
        <v>1</v>
      </c>
      <c r="B5524" s="20" t="s">
        <v>289</v>
      </c>
      <c r="C5524" s="21" t="s">
        <v>1233</v>
      </c>
      <c r="D5524" s="8" t="s">
        <v>11</v>
      </c>
      <c r="E5524" s="20">
        <v>2.5</v>
      </c>
      <c r="F5524" s="9">
        <v>293000</v>
      </c>
      <c r="G5524" s="10">
        <f t="shared" ref="G5524:G5526" si="366">IFERROR(E5524*F5524,0)</f>
        <v>732500</v>
      </c>
      <c r="H5524" s="11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1:26" ht="26.25" x14ac:dyDescent="0.4">
      <c r="A5525" s="6">
        <v>2</v>
      </c>
      <c r="B5525" s="22" t="s">
        <v>665</v>
      </c>
      <c r="C5525" s="23" t="s">
        <v>1234</v>
      </c>
      <c r="D5525" s="13" t="s">
        <v>13</v>
      </c>
      <c r="E5525" s="22">
        <v>1.1499999999999999</v>
      </c>
      <c r="F5525" s="14">
        <v>435000</v>
      </c>
      <c r="G5525" s="10">
        <f t="shared" si="366"/>
        <v>500249.99999999994</v>
      </c>
      <c r="H5525" s="11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1:26" ht="26.25" x14ac:dyDescent="0.4">
      <c r="A5526" s="6">
        <v>3</v>
      </c>
      <c r="B5526" s="15" t="s">
        <v>14</v>
      </c>
      <c r="C5526" s="11"/>
      <c r="D5526" s="11"/>
      <c r="E5526" s="11"/>
      <c r="F5526" s="11"/>
      <c r="G5526" s="16">
        <f t="shared" si="366"/>
        <v>0</v>
      </c>
      <c r="H5526" s="11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1:26" ht="26.25" x14ac:dyDescent="0.4">
      <c r="A5527" s="29" t="s">
        <v>15</v>
      </c>
      <c r="B5527" s="26"/>
      <c r="C5527" s="26"/>
      <c r="D5527" s="26"/>
      <c r="E5527" s="26"/>
      <c r="F5527" s="26"/>
      <c r="G5527" s="27"/>
      <c r="H5527" s="17">
        <f>SUM(G5524:G5526)</f>
        <v>1232750</v>
      </c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1:26" ht="26.25" x14ac:dyDescent="0.4">
      <c r="A5528" s="29" t="s">
        <v>16</v>
      </c>
      <c r="B5528" s="26"/>
      <c r="C5528" s="26"/>
      <c r="D5528" s="26"/>
      <c r="E5528" s="26"/>
      <c r="F5528" s="26"/>
      <c r="G5528" s="27"/>
      <c r="H5528" s="17">
        <f>MAX(0,H5527-648000)</f>
        <v>584750</v>
      </c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1:26" ht="26.25" x14ac:dyDescent="0.4">
      <c r="A5529" s="25" t="s">
        <v>17</v>
      </c>
      <c r="B5529" s="26"/>
      <c r="C5529" s="26"/>
      <c r="D5529" s="26"/>
      <c r="E5529" s="26"/>
      <c r="F5529" s="26"/>
      <c r="G5529" s="27"/>
      <c r="H5529" s="18">
        <v>649000</v>
      </c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1:26" ht="26.25" x14ac:dyDescent="0.4">
      <c r="A5530" s="28" t="s">
        <v>18</v>
      </c>
      <c r="B5530" s="26"/>
      <c r="C5530" s="26"/>
      <c r="D5530" s="26"/>
      <c r="E5530" s="26"/>
      <c r="F5530" s="26"/>
      <c r="G5530" s="26"/>
      <c r="H5530" s="27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1:26" ht="12.75" x14ac:dyDescent="0.2"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1:26" ht="12.75" x14ac:dyDescent="0.2"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6" spans="1:26" ht="15.75" customHeight="1" x14ac:dyDescent="0.4">
      <c r="A5536" s="28" t="s">
        <v>0</v>
      </c>
      <c r="B5536" s="26"/>
      <c r="C5536" s="26"/>
      <c r="D5536" s="26"/>
      <c r="E5536" s="26"/>
      <c r="F5536" s="26"/>
      <c r="G5536" s="26"/>
      <c r="H5536" s="27"/>
    </row>
    <row r="5537" spans="1:26" ht="15.75" customHeight="1" x14ac:dyDescent="0.4">
      <c r="A5537" s="28" t="s">
        <v>1235</v>
      </c>
      <c r="B5537" s="26"/>
      <c r="C5537" s="26"/>
      <c r="D5537" s="26"/>
      <c r="E5537" s="26"/>
      <c r="F5537" s="26"/>
      <c r="G5537" s="26"/>
      <c r="H5537" s="27"/>
    </row>
    <row r="5538" spans="1:26" ht="29.25" customHeight="1" x14ac:dyDescent="0.3">
      <c r="A5538" s="3" t="s">
        <v>2</v>
      </c>
      <c r="B5538" s="3" t="s">
        <v>3</v>
      </c>
      <c r="C5538" s="3" t="s">
        <v>4</v>
      </c>
      <c r="D5538" s="3" t="s">
        <v>5</v>
      </c>
      <c r="E5538" s="3" t="s">
        <v>6</v>
      </c>
      <c r="F5538" s="4" t="s">
        <v>7</v>
      </c>
      <c r="G5538" s="3" t="s">
        <v>8</v>
      </c>
      <c r="H5538" s="5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1:26" ht="26.25" x14ac:dyDescent="0.4">
      <c r="A5539" s="6">
        <v>1</v>
      </c>
      <c r="B5539" s="20" t="s">
        <v>1236</v>
      </c>
      <c r="C5539" s="21" t="s">
        <v>1237</v>
      </c>
      <c r="D5539" s="8" t="s">
        <v>11</v>
      </c>
      <c r="E5539" s="20">
        <v>2.5</v>
      </c>
      <c r="F5539" s="9">
        <v>293000</v>
      </c>
      <c r="G5539" s="10">
        <f t="shared" ref="G5539:G5541" si="367">IFERROR(E5539*F5539,0)</f>
        <v>732500</v>
      </c>
      <c r="H5539" s="11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1:26" ht="26.25" x14ac:dyDescent="0.4">
      <c r="A5540" s="6">
        <v>2</v>
      </c>
      <c r="B5540" s="22" t="s">
        <v>597</v>
      </c>
      <c r="C5540" s="23" t="s">
        <v>1238</v>
      </c>
      <c r="D5540" s="13" t="s">
        <v>13</v>
      </c>
      <c r="E5540" s="22">
        <v>1</v>
      </c>
      <c r="F5540" s="14">
        <v>435000</v>
      </c>
      <c r="G5540" s="10">
        <f t="shared" si="367"/>
        <v>435000</v>
      </c>
      <c r="H5540" s="11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1:26" ht="26.25" x14ac:dyDescent="0.4">
      <c r="A5541" s="6">
        <v>3</v>
      </c>
      <c r="B5541" s="15" t="s">
        <v>14</v>
      </c>
      <c r="C5541" s="11"/>
      <c r="D5541" s="11"/>
      <c r="E5541" s="11"/>
      <c r="F5541" s="11"/>
      <c r="G5541" s="16">
        <f t="shared" si="367"/>
        <v>0</v>
      </c>
      <c r="H5541" s="11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1:26" ht="26.25" x14ac:dyDescent="0.4">
      <c r="A5542" s="29" t="s">
        <v>15</v>
      </c>
      <c r="B5542" s="26"/>
      <c r="C5542" s="26"/>
      <c r="D5542" s="26"/>
      <c r="E5542" s="26"/>
      <c r="F5542" s="26"/>
      <c r="G5542" s="27"/>
      <c r="H5542" s="17">
        <f>SUM(G5539:G5541)</f>
        <v>1167500</v>
      </c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1:26" ht="26.25" x14ac:dyDescent="0.4">
      <c r="A5543" s="29" t="s">
        <v>16</v>
      </c>
      <c r="B5543" s="26"/>
      <c r="C5543" s="26"/>
      <c r="D5543" s="26"/>
      <c r="E5543" s="26"/>
      <c r="F5543" s="26"/>
      <c r="G5543" s="27"/>
      <c r="H5543" s="17">
        <f>MAX(0,H5542-648000)</f>
        <v>519500</v>
      </c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1:26" ht="26.25" x14ac:dyDescent="0.4">
      <c r="A5544" s="25" t="s">
        <v>17</v>
      </c>
      <c r="B5544" s="26"/>
      <c r="C5544" s="26"/>
      <c r="D5544" s="26"/>
      <c r="E5544" s="26"/>
      <c r="F5544" s="26"/>
      <c r="G5544" s="27"/>
      <c r="H5544" s="18">
        <v>649000</v>
      </c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1:26" ht="26.25" x14ac:dyDescent="0.4">
      <c r="A5545" s="28" t="s">
        <v>18</v>
      </c>
      <c r="B5545" s="26"/>
      <c r="C5545" s="26"/>
      <c r="D5545" s="26"/>
      <c r="E5545" s="26"/>
      <c r="F5545" s="26"/>
      <c r="G5545" s="26"/>
      <c r="H5545" s="27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1:26" ht="12.75" x14ac:dyDescent="0.2"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1:26" ht="12.75" x14ac:dyDescent="0.2"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51" spans="1:26" ht="15.75" customHeight="1" x14ac:dyDescent="0.4">
      <c r="A5551" s="28" t="s">
        <v>0</v>
      </c>
      <c r="B5551" s="26"/>
      <c r="C5551" s="26"/>
      <c r="D5551" s="26"/>
      <c r="E5551" s="26"/>
      <c r="F5551" s="26"/>
      <c r="G5551" s="26"/>
      <c r="H5551" s="27"/>
    </row>
    <row r="5552" spans="1:26" ht="15.75" customHeight="1" x14ac:dyDescent="0.4">
      <c r="A5552" s="28" t="s">
        <v>1239</v>
      </c>
      <c r="B5552" s="26"/>
      <c r="C5552" s="26"/>
      <c r="D5552" s="26"/>
      <c r="E5552" s="26"/>
      <c r="F5552" s="26"/>
      <c r="G5552" s="26"/>
      <c r="H5552" s="27"/>
    </row>
    <row r="5553" spans="1:26" ht="15.75" customHeight="1" x14ac:dyDescent="0.3">
      <c r="A5553" s="3" t="s">
        <v>2</v>
      </c>
      <c r="B5553" s="3" t="s">
        <v>3</v>
      </c>
      <c r="C5553" s="3" t="s">
        <v>4</v>
      </c>
      <c r="D5553" s="3" t="s">
        <v>5</v>
      </c>
      <c r="E5553" s="3" t="s">
        <v>6</v>
      </c>
      <c r="F5553" s="4" t="s">
        <v>7</v>
      </c>
      <c r="G5553" s="3" t="s">
        <v>8</v>
      </c>
      <c r="H5553" s="5"/>
    </row>
    <row r="5554" spans="1:26" ht="29.25" customHeight="1" x14ac:dyDescent="0.4">
      <c r="A5554" s="6">
        <v>1</v>
      </c>
      <c r="B5554" s="20" t="s">
        <v>94</v>
      </c>
      <c r="C5554" s="21" t="s">
        <v>1240</v>
      </c>
      <c r="D5554" s="8" t="s">
        <v>11</v>
      </c>
      <c r="E5554" s="20">
        <v>2</v>
      </c>
      <c r="F5554" s="9">
        <v>293000</v>
      </c>
      <c r="G5554" s="10">
        <f t="shared" ref="G5554:G5556" si="368">IFERROR(E5554*F5554,0)</f>
        <v>586000</v>
      </c>
      <c r="H5554" s="11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1:26" ht="26.25" x14ac:dyDescent="0.4">
      <c r="A5555" s="6">
        <v>2</v>
      </c>
      <c r="B5555" s="22" t="s">
        <v>12</v>
      </c>
      <c r="C5555" s="23" t="s">
        <v>1241</v>
      </c>
      <c r="D5555" s="13" t="s">
        <v>13</v>
      </c>
      <c r="E5555" s="22">
        <v>1.45</v>
      </c>
      <c r="F5555" s="14">
        <v>435000</v>
      </c>
      <c r="G5555" s="10">
        <f t="shared" si="368"/>
        <v>630750</v>
      </c>
      <c r="H5555" s="11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1:26" ht="26.25" x14ac:dyDescent="0.4">
      <c r="A5556" s="6">
        <v>3</v>
      </c>
      <c r="B5556" s="15" t="s">
        <v>14</v>
      </c>
      <c r="C5556" s="11"/>
      <c r="D5556" s="11"/>
      <c r="E5556" s="11"/>
      <c r="F5556" s="11"/>
      <c r="G5556" s="16">
        <f t="shared" si="368"/>
        <v>0</v>
      </c>
      <c r="H5556" s="11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1:26" ht="26.25" x14ac:dyDescent="0.4">
      <c r="A5557" s="29" t="s">
        <v>15</v>
      </c>
      <c r="B5557" s="26"/>
      <c r="C5557" s="26"/>
      <c r="D5557" s="26"/>
      <c r="E5557" s="26"/>
      <c r="F5557" s="26"/>
      <c r="G5557" s="27"/>
      <c r="H5557" s="17">
        <f>SUM(G5554:G5556)</f>
        <v>1216750</v>
      </c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1:26" ht="26.25" x14ac:dyDescent="0.4">
      <c r="A5558" s="29" t="s">
        <v>16</v>
      </c>
      <c r="B5558" s="26"/>
      <c r="C5558" s="26"/>
      <c r="D5558" s="26"/>
      <c r="E5558" s="26"/>
      <c r="F5558" s="26"/>
      <c r="G5558" s="27"/>
      <c r="H5558" s="17">
        <f>MAX(0,H5557-648000)</f>
        <v>568750</v>
      </c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1:26" ht="26.25" x14ac:dyDescent="0.4">
      <c r="A5559" s="25" t="s">
        <v>17</v>
      </c>
      <c r="B5559" s="26"/>
      <c r="C5559" s="26"/>
      <c r="D5559" s="26"/>
      <c r="E5559" s="26"/>
      <c r="F5559" s="26"/>
      <c r="G5559" s="27"/>
      <c r="H5559" s="18">
        <v>649000</v>
      </c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1:26" ht="26.25" x14ac:dyDescent="0.4">
      <c r="A5560" s="28" t="s">
        <v>18</v>
      </c>
      <c r="B5560" s="26"/>
      <c r="C5560" s="26"/>
      <c r="D5560" s="26"/>
      <c r="E5560" s="26"/>
      <c r="F5560" s="26"/>
      <c r="G5560" s="26"/>
      <c r="H5560" s="27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1:26" ht="12.75" x14ac:dyDescent="0.2"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1:26" ht="12.75" x14ac:dyDescent="0.2"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1:26" ht="12.75" x14ac:dyDescent="0.2"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7" spans="1:26" ht="15.75" customHeight="1" x14ac:dyDescent="0.4">
      <c r="A5567" s="28" t="s">
        <v>0</v>
      </c>
      <c r="B5567" s="26"/>
      <c r="C5567" s="26"/>
      <c r="D5567" s="26"/>
      <c r="E5567" s="26"/>
      <c r="F5567" s="26"/>
      <c r="G5567" s="26"/>
      <c r="H5567" s="27"/>
    </row>
    <row r="5568" spans="1:26" ht="15.75" customHeight="1" x14ac:dyDescent="0.4">
      <c r="A5568" s="28" t="s">
        <v>1242</v>
      </c>
      <c r="B5568" s="26"/>
      <c r="C5568" s="26"/>
      <c r="D5568" s="26"/>
      <c r="E5568" s="26"/>
      <c r="F5568" s="26"/>
      <c r="G5568" s="26"/>
      <c r="H5568" s="27"/>
    </row>
    <row r="5569" spans="1:26" ht="29.25" customHeight="1" x14ac:dyDescent="0.3">
      <c r="A5569" s="3" t="s">
        <v>2</v>
      </c>
      <c r="B5569" s="3" t="s">
        <v>3</v>
      </c>
      <c r="C5569" s="3" t="s">
        <v>4</v>
      </c>
      <c r="D5569" s="3" t="s">
        <v>5</v>
      </c>
      <c r="E5569" s="3" t="s">
        <v>6</v>
      </c>
      <c r="F5569" s="4" t="s">
        <v>7</v>
      </c>
      <c r="G5569" s="3" t="s">
        <v>8</v>
      </c>
      <c r="H5569" s="5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1:26" ht="26.25" x14ac:dyDescent="0.4">
      <c r="A5570" s="6">
        <v>1</v>
      </c>
      <c r="B5570" s="20" t="s">
        <v>12</v>
      </c>
      <c r="C5570" s="21" t="s">
        <v>614</v>
      </c>
      <c r="D5570" s="8" t="s">
        <v>11</v>
      </c>
      <c r="E5570" s="20">
        <v>2</v>
      </c>
      <c r="F5570" s="9">
        <v>293000</v>
      </c>
      <c r="G5570" s="10">
        <f t="shared" ref="G5570:G5572" si="369">IFERROR(E5570*F5570,0)</f>
        <v>586000</v>
      </c>
      <c r="H5570" s="11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1:26" ht="26.25" x14ac:dyDescent="0.4">
      <c r="A5571" s="6">
        <v>2</v>
      </c>
      <c r="B5571" s="22" t="s">
        <v>1243</v>
      </c>
      <c r="C5571" s="23" t="s">
        <v>1244</v>
      </c>
      <c r="D5571" s="13" t="s">
        <v>13</v>
      </c>
      <c r="E5571" s="22">
        <v>1.48</v>
      </c>
      <c r="F5571" s="14">
        <v>435000</v>
      </c>
      <c r="G5571" s="10">
        <f t="shared" si="369"/>
        <v>643800</v>
      </c>
      <c r="H5571" s="11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1:26" ht="26.25" x14ac:dyDescent="0.4">
      <c r="A5572" s="6">
        <v>3</v>
      </c>
      <c r="B5572" s="15" t="s">
        <v>14</v>
      </c>
      <c r="C5572" s="11"/>
      <c r="D5572" s="11"/>
      <c r="E5572" s="11"/>
      <c r="F5572" s="11"/>
      <c r="G5572" s="16">
        <f t="shared" si="369"/>
        <v>0</v>
      </c>
      <c r="H5572" s="11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1:26" ht="26.25" x14ac:dyDescent="0.4">
      <c r="A5573" s="29" t="s">
        <v>15</v>
      </c>
      <c r="B5573" s="26"/>
      <c r="C5573" s="26"/>
      <c r="D5573" s="26"/>
      <c r="E5573" s="26"/>
      <c r="F5573" s="26"/>
      <c r="G5573" s="27"/>
      <c r="H5573" s="17">
        <f>SUM(G5570:G5572)</f>
        <v>1229800</v>
      </c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1:26" ht="26.25" x14ac:dyDescent="0.4">
      <c r="A5574" s="29" t="s">
        <v>16</v>
      </c>
      <c r="B5574" s="26"/>
      <c r="C5574" s="26"/>
      <c r="D5574" s="26"/>
      <c r="E5574" s="26"/>
      <c r="F5574" s="26"/>
      <c r="G5574" s="27"/>
      <c r="H5574" s="17">
        <f>MAX(0,H5573-648000)</f>
        <v>581800</v>
      </c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1:26" ht="26.25" x14ac:dyDescent="0.4">
      <c r="A5575" s="25" t="s">
        <v>17</v>
      </c>
      <c r="B5575" s="26"/>
      <c r="C5575" s="26"/>
      <c r="D5575" s="26"/>
      <c r="E5575" s="26"/>
      <c r="F5575" s="26"/>
      <c r="G5575" s="27"/>
      <c r="H5575" s="18">
        <v>649000</v>
      </c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1:26" ht="26.25" x14ac:dyDescent="0.4">
      <c r="A5576" s="28" t="s">
        <v>18</v>
      </c>
      <c r="B5576" s="26"/>
      <c r="C5576" s="26"/>
      <c r="D5576" s="26"/>
      <c r="E5576" s="26"/>
      <c r="F5576" s="26"/>
      <c r="G5576" s="26"/>
      <c r="H5576" s="27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1:26" ht="12.75" x14ac:dyDescent="0.2"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1:26" ht="12.75" x14ac:dyDescent="0.2"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82" spans="1:26" ht="15.75" customHeight="1" x14ac:dyDescent="0.4">
      <c r="A5582" s="28" t="s">
        <v>0</v>
      </c>
      <c r="B5582" s="26"/>
      <c r="C5582" s="26"/>
      <c r="D5582" s="26"/>
      <c r="E5582" s="26"/>
      <c r="F5582" s="26"/>
      <c r="G5582" s="26"/>
      <c r="H5582" s="27"/>
    </row>
    <row r="5583" spans="1:26" ht="29.25" customHeight="1" x14ac:dyDescent="0.4">
      <c r="A5583" s="28" t="s">
        <v>1245</v>
      </c>
      <c r="B5583" s="26"/>
      <c r="C5583" s="26"/>
      <c r="D5583" s="26"/>
      <c r="E5583" s="26"/>
      <c r="F5583" s="26"/>
      <c r="G5583" s="26"/>
      <c r="H5583" s="27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1:26" ht="18.75" x14ac:dyDescent="0.3">
      <c r="A5584" s="3" t="s">
        <v>2</v>
      </c>
      <c r="B5584" s="3" t="s">
        <v>3</v>
      </c>
      <c r="C5584" s="3" t="s">
        <v>4</v>
      </c>
      <c r="D5584" s="3" t="s">
        <v>5</v>
      </c>
      <c r="E5584" s="3" t="s">
        <v>6</v>
      </c>
      <c r="F5584" s="4" t="s">
        <v>7</v>
      </c>
      <c r="G5584" s="3" t="s">
        <v>8</v>
      </c>
      <c r="H5584" s="5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1:26" ht="26.25" x14ac:dyDescent="0.4">
      <c r="A5585" s="6">
        <v>1</v>
      </c>
      <c r="B5585" s="20" t="s">
        <v>94</v>
      </c>
      <c r="C5585" s="21" t="s">
        <v>1246</v>
      </c>
      <c r="D5585" s="8" t="s">
        <v>11</v>
      </c>
      <c r="E5585" s="20">
        <v>1.95</v>
      </c>
      <c r="F5585" s="9">
        <v>293000</v>
      </c>
      <c r="G5585" s="10">
        <f t="shared" ref="G5585:G5587" si="370">IFERROR(E5585*F5585,0)</f>
        <v>571350</v>
      </c>
      <c r="H5585" s="11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1:26" ht="26.25" x14ac:dyDescent="0.4">
      <c r="A5586" s="6">
        <v>2</v>
      </c>
      <c r="B5586" s="22" t="s">
        <v>22</v>
      </c>
      <c r="C5586" s="23" t="s">
        <v>1247</v>
      </c>
      <c r="D5586" s="13" t="s">
        <v>13</v>
      </c>
      <c r="E5586" s="22">
        <v>1.46</v>
      </c>
      <c r="F5586" s="14">
        <v>435000</v>
      </c>
      <c r="G5586" s="10">
        <f t="shared" si="370"/>
        <v>635100</v>
      </c>
      <c r="H5586" s="11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1:26" ht="26.25" x14ac:dyDescent="0.4">
      <c r="A5587" s="6">
        <v>3</v>
      </c>
      <c r="B5587" s="15" t="s">
        <v>14</v>
      </c>
      <c r="C5587" s="11"/>
      <c r="D5587" s="11"/>
      <c r="E5587" s="11"/>
      <c r="F5587" s="11"/>
      <c r="G5587" s="16">
        <f t="shared" si="370"/>
        <v>0</v>
      </c>
      <c r="H5587" s="11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1:26" ht="26.25" x14ac:dyDescent="0.4">
      <c r="A5588" s="29" t="s">
        <v>15</v>
      </c>
      <c r="B5588" s="26"/>
      <c r="C5588" s="26"/>
      <c r="D5588" s="26"/>
      <c r="E5588" s="26"/>
      <c r="F5588" s="26"/>
      <c r="G5588" s="27"/>
      <c r="H5588" s="17">
        <f>SUM(G5585:G5587)</f>
        <v>1206450</v>
      </c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1:26" ht="26.25" x14ac:dyDescent="0.4">
      <c r="A5589" s="29" t="s">
        <v>16</v>
      </c>
      <c r="B5589" s="26"/>
      <c r="C5589" s="26"/>
      <c r="D5589" s="26"/>
      <c r="E5589" s="26"/>
      <c r="F5589" s="26"/>
      <c r="G5589" s="27"/>
      <c r="H5589" s="17">
        <f>MAX(0,H5588-648000)</f>
        <v>558450</v>
      </c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1:26" ht="26.25" x14ac:dyDescent="0.4">
      <c r="A5590" s="25" t="s">
        <v>17</v>
      </c>
      <c r="B5590" s="26"/>
      <c r="C5590" s="26"/>
      <c r="D5590" s="26"/>
      <c r="E5590" s="26"/>
      <c r="F5590" s="26"/>
      <c r="G5590" s="27"/>
      <c r="H5590" s="18">
        <v>649000</v>
      </c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1:26" ht="26.25" x14ac:dyDescent="0.4">
      <c r="A5591" s="28" t="s">
        <v>18</v>
      </c>
      <c r="B5591" s="26"/>
      <c r="C5591" s="26"/>
      <c r="D5591" s="26"/>
      <c r="E5591" s="26"/>
      <c r="F5591" s="26"/>
      <c r="G5591" s="26"/>
      <c r="H5591" s="27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1:26" ht="12.75" x14ac:dyDescent="0.2"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6" spans="1:26" ht="15.75" customHeight="1" x14ac:dyDescent="0.4">
      <c r="A5596" s="28" t="s">
        <v>0</v>
      </c>
      <c r="B5596" s="26"/>
      <c r="C5596" s="26"/>
      <c r="D5596" s="26"/>
      <c r="E5596" s="26"/>
      <c r="F5596" s="26"/>
      <c r="G5596" s="26"/>
      <c r="H5596" s="27"/>
    </row>
    <row r="5597" spans="1:26" ht="15.75" customHeight="1" x14ac:dyDescent="0.4">
      <c r="A5597" s="28" t="s">
        <v>1248</v>
      </c>
      <c r="B5597" s="26"/>
      <c r="C5597" s="26"/>
      <c r="D5597" s="26"/>
      <c r="E5597" s="26"/>
      <c r="F5597" s="26"/>
      <c r="G5597" s="26"/>
      <c r="H5597" s="27"/>
    </row>
    <row r="5598" spans="1:26" ht="29.25" customHeight="1" x14ac:dyDescent="0.3">
      <c r="A5598" s="3" t="s">
        <v>2</v>
      </c>
      <c r="B5598" s="3" t="s">
        <v>3</v>
      </c>
      <c r="C5598" s="3" t="s">
        <v>4</v>
      </c>
      <c r="D5598" s="3" t="s">
        <v>5</v>
      </c>
      <c r="E5598" s="3" t="s">
        <v>6</v>
      </c>
      <c r="F5598" s="4" t="s">
        <v>7</v>
      </c>
      <c r="G5598" s="3" t="s">
        <v>8</v>
      </c>
      <c r="H5598" s="5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1:26" ht="26.25" x14ac:dyDescent="0.4">
      <c r="A5599" s="6">
        <v>1</v>
      </c>
      <c r="B5599" s="20" t="s">
        <v>621</v>
      </c>
      <c r="C5599" s="21" t="s">
        <v>1249</v>
      </c>
      <c r="D5599" s="8" t="s">
        <v>11</v>
      </c>
      <c r="E5599" s="20">
        <v>1.2</v>
      </c>
      <c r="F5599" s="9">
        <v>293000</v>
      </c>
      <c r="G5599" s="10">
        <f t="shared" ref="G5599:G5601" si="371">IFERROR(E5599*F5599,0)</f>
        <v>351600</v>
      </c>
      <c r="H5599" s="11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1:26" ht="26.25" x14ac:dyDescent="0.4">
      <c r="A5600" s="6">
        <v>2</v>
      </c>
      <c r="B5600" s="22" t="s">
        <v>254</v>
      </c>
      <c r="C5600" s="23" t="s">
        <v>1250</v>
      </c>
      <c r="D5600" s="13" t="s">
        <v>13</v>
      </c>
      <c r="E5600" s="22">
        <v>2.08</v>
      </c>
      <c r="F5600" s="14">
        <v>435000</v>
      </c>
      <c r="G5600" s="10">
        <f t="shared" si="371"/>
        <v>904800</v>
      </c>
      <c r="H5600" s="11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1:26" ht="26.25" x14ac:dyDescent="0.4">
      <c r="A5601" s="6">
        <v>3</v>
      </c>
      <c r="B5601" s="15" t="s">
        <v>14</v>
      </c>
      <c r="C5601" s="11"/>
      <c r="D5601" s="11"/>
      <c r="E5601" s="11"/>
      <c r="F5601" s="11"/>
      <c r="G5601" s="16">
        <f t="shared" si="371"/>
        <v>0</v>
      </c>
      <c r="H5601" s="11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1:26" ht="26.25" x14ac:dyDescent="0.4">
      <c r="A5602" s="29" t="s">
        <v>15</v>
      </c>
      <c r="B5602" s="26"/>
      <c r="C5602" s="26"/>
      <c r="D5602" s="26"/>
      <c r="E5602" s="26"/>
      <c r="F5602" s="26"/>
      <c r="G5602" s="27"/>
      <c r="H5602" s="17">
        <f>SUM(G5599:G5601)</f>
        <v>1256400</v>
      </c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1:26" ht="26.25" x14ac:dyDescent="0.4">
      <c r="A5603" s="29" t="s">
        <v>16</v>
      </c>
      <c r="B5603" s="26"/>
      <c r="C5603" s="26"/>
      <c r="D5603" s="26"/>
      <c r="E5603" s="26"/>
      <c r="F5603" s="26"/>
      <c r="G5603" s="27"/>
      <c r="H5603" s="17">
        <f>MAX(0,H5602-648000)</f>
        <v>608400</v>
      </c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1:26" ht="26.25" x14ac:dyDescent="0.4">
      <c r="A5604" s="25" t="s">
        <v>17</v>
      </c>
      <c r="B5604" s="26"/>
      <c r="C5604" s="26"/>
      <c r="D5604" s="26"/>
      <c r="E5604" s="26"/>
      <c r="F5604" s="26"/>
      <c r="G5604" s="27"/>
      <c r="H5604" s="18">
        <v>649000</v>
      </c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1:26" ht="26.25" x14ac:dyDescent="0.4">
      <c r="A5605" s="28" t="s">
        <v>18</v>
      </c>
      <c r="B5605" s="26"/>
      <c r="C5605" s="26"/>
      <c r="D5605" s="26"/>
      <c r="E5605" s="26"/>
      <c r="F5605" s="26"/>
      <c r="G5605" s="26"/>
      <c r="H5605" s="27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1:26" ht="12.75" x14ac:dyDescent="0.2"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1:26" ht="12.75" x14ac:dyDescent="0.2"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11" spans="1:26" ht="15.75" customHeight="1" x14ac:dyDescent="0.4">
      <c r="A5611" s="28" t="s">
        <v>0</v>
      </c>
      <c r="B5611" s="26"/>
      <c r="C5611" s="26"/>
      <c r="D5611" s="26"/>
      <c r="E5611" s="26"/>
      <c r="F5611" s="26"/>
      <c r="G5611" s="26"/>
      <c r="H5611" s="27"/>
    </row>
    <row r="5612" spans="1:26" ht="15.75" customHeight="1" x14ac:dyDescent="0.4">
      <c r="A5612" s="28" t="s">
        <v>1251</v>
      </c>
      <c r="B5612" s="26"/>
      <c r="C5612" s="26"/>
      <c r="D5612" s="26"/>
      <c r="E5612" s="26"/>
      <c r="F5612" s="26"/>
      <c r="G5612" s="26"/>
      <c r="H5612" s="27"/>
    </row>
    <row r="5613" spans="1:26" ht="29.25" customHeight="1" x14ac:dyDescent="0.3">
      <c r="A5613" s="3" t="s">
        <v>2</v>
      </c>
      <c r="B5613" s="3" t="s">
        <v>3</v>
      </c>
      <c r="C5613" s="3" t="s">
        <v>4</v>
      </c>
      <c r="D5613" s="3" t="s">
        <v>5</v>
      </c>
      <c r="E5613" s="3" t="s">
        <v>6</v>
      </c>
      <c r="F5613" s="4" t="s">
        <v>7</v>
      </c>
      <c r="G5613" s="3" t="s">
        <v>8</v>
      </c>
      <c r="H5613" s="5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1:26" ht="26.25" x14ac:dyDescent="0.4">
      <c r="A5614" s="6">
        <v>1</v>
      </c>
      <c r="B5614" s="20" t="s">
        <v>94</v>
      </c>
      <c r="C5614" s="21" t="s">
        <v>1147</v>
      </c>
      <c r="D5614" s="8" t="s">
        <v>11</v>
      </c>
      <c r="E5614" s="20">
        <v>2</v>
      </c>
      <c r="F5614" s="9">
        <v>293000</v>
      </c>
      <c r="G5614" s="10">
        <f t="shared" ref="G5614:G5616" si="372">IFERROR(E5614*F5614,0)</f>
        <v>586000</v>
      </c>
      <c r="H5614" s="11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1:26" ht="26.25" x14ac:dyDescent="0.4">
      <c r="A5615" s="6">
        <v>2</v>
      </c>
      <c r="B5615" s="22" t="s">
        <v>175</v>
      </c>
      <c r="C5615" s="23" t="s">
        <v>1252</v>
      </c>
      <c r="D5615" s="13" t="s">
        <v>13</v>
      </c>
      <c r="E5615" s="22">
        <v>1.25</v>
      </c>
      <c r="F5615" s="14">
        <v>435000</v>
      </c>
      <c r="G5615" s="10">
        <f t="shared" si="372"/>
        <v>543750</v>
      </c>
      <c r="H5615" s="11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1:26" ht="26.25" x14ac:dyDescent="0.4">
      <c r="A5616" s="6">
        <v>3</v>
      </c>
      <c r="B5616" s="15" t="s">
        <v>14</v>
      </c>
      <c r="C5616" s="11"/>
      <c r="D5616" s="11"/>
      <c r="E5616" s="11"/>
      <c r="F5616" s="11"/>
      <c r="G5616" s="16">
        <f t="shared" si="372"/>
        <v>0</v>
      </c>
      <c r="H5616" s="11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1:26" ht="26.25" x14ac:dyDescent="0.4">
      <c r="A5617" s="29" t="s">
        <v>15</v>
      </c>
      <c r="B5617" s="26"/>
      <c r="C5617" s="26"/>
      <c r="D5617" s="26"/>
      <c r="E5617" s="26"/>
      <c r="F5617" s="26"/>
      <c r="G5617" s="27"/>
      <c r="H5617" s="17">
        <f>SUM(G5614:G5616)</f>
        <v>1129750</v>
      </c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1:26" ht="26.25" x14ac:dyDescent="0.4">
      <c r="A5618" s="29" t="s">
        <v>16</v>
      </c>
      <c r="B5618" s="26"/>
      <c r="C5618" s="26"/>
      <c r="D5618" s="26"/>
      <c r="E5618" s="26"/>
      <c r="F5618" s="26"/>
      <c r="G5618" s="27"/>
      <c r="H5618" s="17">
        <f>MAX(0,H5617-648000)</f>
        <v>481750</v>
      </c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1:26" ht="26.25" x14ac:dyDescent="0.4">
      <c r="A5619" s="25" t="s">
        <v>17</v>
      </c>
      <c r="B5619" s="26"/>
      <c r="C5619" s="26"/>
      <c r="D5619" s="26"/>
      <c r="E5619" s="26"/>
      <c r="F5619" s="26"/>
      <c r="G5619" s="27"/>
      <c r="H5619" s="18">
        <v>649000</v>
      </c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1:26" ht="26.25" x14ac:dyDescent="0.4">
      <c r="A5620" s="28" t="s">
        <v>18</v>
      </c>
      <c r="B5620" s="26"/>
      <c r="C5620" s="26"/>
      <c r="D5620" s="26"/>
      <c r="E5620" s="26"/>
      <c r="F5620" s="26"/>
      <c r="G5620" s="26"/>
      <c r="H5620" s="27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1:26" ht="12.75" x14ac:dyDescent="0.2"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1:26" ht="12.75" x14ac:dyDescent="0.2"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6" spans="1:26" ht="15.75" customHeight="1" x14ac:dyDescent="0.4">
      <c r="A5626" s="28" t="s">
        <v>0</v>
      </c>
      <c r="B5626" s="26"/>
      <c r="C5626" s="26"/>
      <c r="D5626" s="26"/>
      <c r="E5626" s="26"/>
      <c r="F5626" s="26"/>
      <c r="G5626" s="26"/>
      <c r="H5626" s="27"/>
    </row>
    <row r="5627" spans="1:26" ht="15.75" customHeight="1" x14ac:dyDescent="0.4">
      <c r="A5627" s="28" t="s">
        <v>1253</v>
      </c>
      <c r="B5627" s="26"/>
      <c r="C5627" s="26"/>
      <c r="D5627" s="26"/>
      <c r="E5627" s="26"/>
      <c r="F5627" s="26"/>
      <c r="G5627" s="26"/>
      <c r="H5627" s="27"/>
    </row>
    <row r="5628" spans="1:26" ht="29.25" customHeight="1" x14ac:dyDescent="0.3">
      <c r="A5628" s="3" t="s">
        <v>2</v>
      </c>
      <c r="B5628" s="3" t="s">
        <v>3</v>
      </c>
      <c r="C5628" s="3" t="s">
        <v>4</v>
      </c>
      <c r="D5628" s="3" t="s">
        <v>5</v>
      </c>
      <c r="E5628" s="3" t="s">
        <v>6</v>
      </c>
      <c r="F5628" s="4" t="s">
        <v>7</v>
      </c>
      <c r="G5628" s="3" t="s">
        <v>8</v>
      </c>
      <c r="H5628" s="5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spans="1:26" ht="26.25" x14ac:dyDescent="0.4">
      <c r="A5629" s="6">
        <v>1</v>
      </c>
      <c r="B5629" s="20" t="s">
        <v>1254</v>
      </c>
      <c r="C5629" s="21" t="s">
        <v>1255</v>
      </c>
      <c r="D5629" s="8" t="s">
        <v>11</v>
      </c>
      <c r="E5629" s="20">
        <v>1.5</v>
      </c>
      <c r="F5629" s="9">
        <v>293000</v>
      </c>
      <c r="G5629" s="10">
        <f t="shared" ref="G5629:G5631" si="373">IFERROR(E5629*F5629,0)</f>
        <v>439500</v>
      </c>
      <c r="H5629" s="11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spans="1:26" ht="26.25" x14ac:dyDescent="0.4">
      <c r="A5630" s="6">
        <v>2</v>
      </c>
      <c r="B5630" s="22" t="s">
        <v>12</v>
      </c>
      <c r="C5630" s="23" t="s">
        <v>1256</v>
      </c>
      <c r="D5630" s="13" t="s">
        <v>13</v>
      </c>
      <c r="E5630" s="22">
        <v>2</v>
      </c>
      <c r="F5630" s="14">
        <v>435000</v>
      </c>
      <c r="G5630" s="10">
        <f t="shared" si="373"/>
        <v>870000</v>
      </c>
      <c r="H5630" s="11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spans="1:26" ht="26.25" x14ac:dyDescent="0.4">
      <c r="A5631" s="6">
        <v>3</v>
      </c>
      <c r="B5631" s="15" t="s">
        <v>14</v>
      </c>
      <c r="C5631" s="11"/>
      <c r="D5631" s="11"/>
      <c r="E5631" s="11"/>
      <c r="F5631" s="11"/>
      <c r="G5631" s="16">
        <f t="shared" si="373"/>
        <v>0</v>
      </c>
      <c r="H5631" s="11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spans="1:26" ht="26.25" x14ac:dyDescent="0.4">
      <c r="A5632" s="29" t="s">
        <v>15</v>
      </c>
      <c r="B5632" s="26"/>
      <c r="C5632" s="26"/>
      <c r="D5632" s="26"/>
      <c r="E5632" s="26"/>
      <c r="F5632" s="26"/>
      <c r="G5632" s="27"/>
      <c r="H5632" s="17">
        <f>SUM(G5629:G5631)</f>
        <v>1309500</v>
      </c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spans="1:26" ht="26.25" x14ac:dyDescent="0.4">
      <c r="A5633" s="29" t="s">
        <v>16</v>
      </c>
      <c r="B5633" s="26"/>
      <c r="C5633" s="26"/>
      <c r="D5633" s="26"/>
      <c r="E5633" s="26"/>
      <c r="F5633" s="26"/>
      <c r="G5633" s="27"/>
      <c r="H5633" s="17">
        <f>MAX(0,H5632-648000)</f>
        <v>661500</v>
      </c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spans="1:26" ht="26.25" x14ac:dyDescent="0.4">
      <c r="A5634" s="25" t="s">
        <v>17</v>
      </c>
      <c r="B5634" s="26"/>
      <c r="C5634" s="26"/>
      <c r="D5634" s="26"/>
      <c r="E5634" s="26"/>
      <c r="F5634" s="26"/>
      <c r="G5634" s="27"/>
      <c r="H5634" s="18">
        <v>649000</v>
      </c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spans="1:26" ht="26.25" x14ac:dyDescent="0.4">
      <c r="A5635" s="28" t="s">
        <v>18</v>
      </c>
      <c r="B5635" s="26"/>
      <c r="C5635" s="26"/>
      <c r="D5635" s="26"/>
      <c r="E5635" s="26"/>
      <c r="F5635" s="26"/>
      <c r="G5635" s="26"/>
      <c r="H5635" s="27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spans="1:26" ht="12.75" x14ac:dyDescent="0.2"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spans="1:26" ht="12.75" x14ac:dyDescent="0.2"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41" spans="1:26" ht="15.75" customHeight="1" x14ac:dyDescent="0.4">
      <c r="A5641" s="28" t="s">
        <v>0</v>
      </c>
      <c r="B5641" s="26"/>
      <c r="C5641" s="26"/>
      <c r="D5641" s="26"/>
      <c r="E5641" s="26"/>
      <c r="F5641" s="26"/>
      <c r="G5641" s="26"/>
      <c r="H5641" s="27"/>
    </row>
    <row r="5642" spans="1:26" ht="29.25" customHeight="1" x14ac:dyDescent="0.4">
      <c r="A5642" s="28" t="s">
        <v>1257</v>
      </c>
      <c r="B5642" s="26"/>
      <c r="C5642" s="26"/>
      <c r="D5642" s="26"/>
      <c r="E5642" s="26"/>
      <c r="F5642" s="26"/>
      <c r="G5642" s="26"/>
      <c r="H5642" s="27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spans="1:26" ht="18.75" x14ac:dyDescent="0.3">
      <c r="A5643" s="3" t="s">
        <v>2</v>
      </c>
      <c r="B5643" s="3" t="s">
        <v>3</v>
      </c>
      <c r="C5643" s="3" t="s">
        <v>4</v>
      </c>
      <c r="D5643" s="3" t="s">
        <v>5</v>
      </c>
      <c r="E5643" s="3" t="s">
        <v>6</v>
      </c>
      <c r="F5643" s="4" t="s">
        <v>7</v>
      </c>
      <c r="G5643" s="3" t="s">
        <v>8</v>
      </c>
      <c r="H5643" s="5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spans="1:26" ht="26.25" x14ac:dyDescent="0.4">
      <c r="A5644" s="6">
        <v>1</v>
      </c>
      <c r="B5644" s="20" t="s">
        <v>88</v>
      </c>
      <c r="C5644" s="21" t="s">
        <v>1258</v>
      </c>
      <c r="D5644" s="8" t="s">
        <v>11</v>
      </c>
      <c r="E5644" s="20">
        <v>1.5</v>
      </c>
      <c r="F5644" s="9">
        <v>293000</v>
      </c>
      <c r="G5644" s="10">
        <f t="shared" ref="G5644:G5646" si="374">IFERROR(E5644*F5644,0)</f>
        <v>439500</v>
      </c>
      <c r="H5644" s="11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spans="1:26" ht="26.25" x14ac:dyDescent="0.4">
      <c r="A5645" s="6">
        <v>2</v>
      </c>
      <c r="B5645" s="22" t="s">
        <v>1259</v>
      </c>
      <c r="C5645" s="23" t="s">
        <v>80</v>
      </c>
      <c r="D5645" s="13" t="s">
        <v>13</v>
      </c>
      <c r="E5645" s="22">
        <v>1.93</v>
      </c>
      <c r="F5645" s="14">
        <v>435000</v>
      </c>
      <c r="G5645" s="10">
        <f t="shared" si="374"/>
        <v>839550</v>
      </c>
      <c r="H5645" s="11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spans="1:26" ht="26.25" x14ac:dyDescent="0.4">
      <c r="A5646" s="6">
        <v>3</v>
      </c>
      <c r="B5646" s="15" t="s">
        <v>14</v>
      </c>
      <c r="C5646" s="11"/>
      <c r="D5646" s="11"/>
      <c r="E5646" s="11"/>
      <c r="F5646" s="11"/>
      <c r="G5646" s="16">
        <f t="shared" si="374"/>
        <v>0</v>
      </c>
      <c r="H5646" s="11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spans="1:26" ht="26.25" x14ac:dyDescent="0.4">
      <c r="A5647" s="29" t="s">
        <v>15</v>
      </c>
      <c r="B5647" s="26"/>
      <c r="C5647" s="26"/>
      <c r="D5647" s="26"/>
      <c r="E5647" s="26"/>
      <c r="F5647" s="26"/>
      <c r="G5647" s="27"/>
      <c r="H5647" s="17">
        <f>SUM(G5644:G5646)</f>
        <v>1279050</v>
      </c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spans="1:26" ht="26.25" x14ac:dyDescent="0.4">
      <c r="A5648" s="29" t="s">
        <v>16</v>
      </c>
      <c r="B5648" s="26"/>
      <c r="C5648" s="26"/>
      <c r="D5648" s="26"/>
      <c r="E5648" s="26"/>
      <c r="F5648" s="26"/>
      <c r="G5648" s="27"/>
      <c r="H5648" s="17">
        <f>MAX(0,H5647-648000)</f>
        <v>631050</v>
      </c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spans="1:26" ht="26.25" x14ac:dyDescent="0.4">
      <c r="A5649" s="25" t="s">
        <v>17</v>
      </c>
      <c r="B5649" s="26"/>
      <c r="C5649" s="26"/>
      <c r="D5649" s="26"/>
      <c r="E5649" s="26"/>
      <c r="F5649" s="26"/>
      <c r="G5649" s="27"/>
      <c r="H5649" s="18">
        <v>649000</v>
      </c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spans="1:26" ht="26.25" x14ac:dyDescent="0.4">
      <c r="A5650" s="28" t="s">
        <v>18</v>
      </c>
      <c r="B5650" s="26"/>
      <c r="C5650" s="26"/>
      <c r="D5650" s="26"/>
      <c r="E5650" s="26"/>
      <c r="F5650" s="26"/>
      <c r="G5650" s="26"/>
      <c r="H5650" s="27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spans="1:26" ht="12.75" x14ac:dyDescent="0.2"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5" spans="1:26" ht="15.75" customHeight="1" x14ac:dyDescent="0.4">
      <c r="A5655" s="28" t="s">
        <v>0</v>
      </c>
      <c r="B5655" s="26"/>
      <c r="C5655" s="26"/>
      <c r="D5655" s="26"/>
      <c r="E5655" s="26"/>
      <c r="F5655" s="26"/>
      <c r="G5655" s="26"/>
      <c r="H5655" s="27"/>
    </row>
    <row r="5656" spans="1:26" ht="29.25" customHeight="1" x14ac:dyDescent="0.4">
      <c r="A5656" s="28" t="s">
        <v>1260</v>
      </c>
      <c r="B5656" s="26"/>
      <c r="C5656" s="26"/>
      <c r="D5656" s="26"/>
      <c r="E5656" s="26"/>
      <c r="F5656" s="26"/>
      <c r="G5656" s="26"/>
      <c r="H5656" s="27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spans="1:26" ht="18.75" x14ac:dyDescent="0.3">
      <c r="A5657" s="3" t="s">
        <v>2</v>
      </c>
      <c r="B5657" s="3" t="s">
        <v>3</v>
      </c>
      <c r="C5657" s="3" t="s">
        <v>4</v>
      </c>
      <c r="D5657" s="3" t="s">
        <v>5</v>
      </c>
      <c r="E5657" s="3" t="s">
        <v>6</v>
      </c>
      <c r="F5657" s="4" t="s">
        <v>7</v>
      </c>
      <c r="G5657" s="3" t="s">
        <v>8</v>
      </c>
      <c r="H5657" s="5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spans="1:26" ht="26.25" x14ac:dyDescent="0.4">
      <c r="A5658" s="6">
        <v>1</v>
      </c>
      <c r="B5658" s="20" t="s">
        <v>101</v>
      </c>
      <c r="C5658" s="21" t="s">
        <v>104</v>
      </c>
      <c r="D5658" s="8" t="s">
        <v>11</v>
      </c>
      <c r="E5658" s="20">
        <v>1.47</v>
      </c>
      <c r="F5658" s="9">
        <v>293000</v>
      </c>
      <c r="G5658" s="10">
        <f t="shared" ref="G5658:G5660" si="375">IFERROR(E5658*F5658,0)</f>
        <v>430710</v>
      </c>
      <c r="H5658" s="11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spans="1:26" ht="26.25" x14ac:dyDescent="0.4">
      <c r="A5659" s="6">
        <v>2</v>
      </c>
      <c r="B5659" s="22" t="s">
        <v>484</v>
      </c>
      <c r="C5659" s="23" t="s">
        <v>485</v>
      </c>
      <c r="D5659" s="13" t="s">
        <v>13</v>
      </c>
      <c r="E5659" s="22">
        <v>2</v>
      </c>
      <c r="F5659" s="14">
        <v>435000</v>
      </c>
      <c r="G5659" s="10">
        <f t="shared" si="375"/>
        <v>870000</v>
      </c>
      <c r="H5659" s="11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spans="1:26" ht="26.25" x14ac:dyDescent="0.4">
      <c r="A5660" s="6">
        <v>3</v>
      </c>
      <c r="B5660" s="15" t="s">
        <v>14</v>
      </c>
      <c r="C5660" s="11"/>
      <c r="D5660" s="11"/>
      <c r="E5660" s="11"/>
      <c r="F5660" s="11"/>
      <c r="G5660" s="16">
        <f t="shared" si="375"/>
        <v>0</v>
      </c>
      <c r="H5660" s="11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spans="1:26" ht="26.25" x14ac:dyDescent="0.4">
      <c r="A5661" s="29" t="s">
        <v>15</v>
      </c>
      <c r="B5661" s="26"/>
      <c r="C5661" s="26"/>
      <c r="D5661" s="26"/>
      <c r="E5661" s="26"/>
      <c r="F5661" s="26"/>
      <c r="G5661" s="27"/>
      <c r="H5661" s="17">
        <f>SUM(G5658:G5660)</f>
        <v>1300710</v>
      </c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spans="1:26" ht="26.25" x14ac:dyDescent="0.4">
      <c r="A5662" s="29" t="s">
        <v>16</v>
      </c>
      <c r="B5662" s="26"/>
      <c r="C5662" s="26"/>
      <c r="D5662" s="26"/>
      <c r="E5662" s="26"/>
      <c r="F5662" s="26"/>
      <c r="G5662" s="27"/>
      <c r="H5662" s="17">
        <f>MAX(0,H5661-648000)</f>
        <v>652710</v>
      </c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spans="1:26" ht="26.25" x14ac:dyDescent="0.4">
      <c r="A5663" s="25" t="s">
        <v>17</v>
      </c>
      <c r="B5663" s="26"/>
      <c r="C5663" s="26"/>
      <c r="D5663" s="26"/>
      <c r="E5663" s="26"/>
      <c r="F5663" s="26"/>
      <c r="G5663" s="27"/>
      <c r="H5663" s="18">
        <v>649000</v>
      </c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spans="1:26" ht="26.25" x14ac:dyDescent="0.4">
      <c r="A5664" s="28" t="s">
        <v>18</v>
      </c>
      <c r="B5664" s="26"/>
      <c r="C5664" s="26"/>
      <c r="D5664" s="26"/>
      <c r="E5664" s="26"/>
      <c r="F5664" s="26"/>
      <c r="G5664" s="26"/>
      <c r="H5664" s="27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spans="1:26" ht="12.75" x14ac:dyDescent="0.2"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9" spans="1:26" ht="15.75" customHeight="1" x14ac:dyDescent="0.4">
      <c r="A5669" s="28" t="s">
        <v>0</v>
      </c>
      <c r="B5669" s="26"/>
      <c r="C5669" s="26"/>
      <c r="D5669" s="26"/>
      <c r="E5669" s="26"/>
      <c r="F5669" s="26"/>
      <c r="G5669" s="26"/>
      <c r="H5669" s="27"/>
    </row>
    <row r="5670" spans="1:26" ht="15.75" customHeight="1" x14ac:dyDescent="0.4">
      <c r="A5670" s="28" t="s">
        <v>1261</v>
      </c>
      <c r="B5670" s="26"/>
      <c r="C5670" s="26"/>
      <c r="D5670" s="26"/>
      <c r="E5670" s="26"/>
      <c r="F5670" s="26"/>
      <c r="G5670" s="26"/>
      <c r="H5670" s="27"/>
    </row>
    <row r="5671" spans="1:26" ht="29.25" customHeight="1" x14ac:dyDescent="0.3">
      <c r="A5671" s="3" t="s">
        <v>2</v>
      </c>
      <c r="B5671" s="3" t="s">
        <v>3</v>
      </c>
      <c r="C5671" s="3" t="s">
        <v>4</v>
      </c>
      <c r="D5671" s="3" t="s">
        <v>5</v>
      </c>
      <c r="E5671" s="3" t="s">
        <v>6</v>
      </c>
      <c r="F5671" s="4" t="s">
        <v>7</v>
      </c>
      <c r="G5671" s="3" t="s">
        <v>8</v>
      </c>
      <c r="H5671" s="5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spans="1:26" ht="26.25" x14ac:dyDescent="0.4">
      <c r="A5672" s="6">
        <v>1</v>
      </c>
      <c r="B5672" s="20" t="s">
        <v>1262</v>
      </c>
      <c r="C5672" s="21" t="s">
        <v>1263</v>
      </c>
      <c r="D5672" s="8" t="s">
        <v>11</v>
      </c>
      <c r="E5672" s="20">
        <v>2</v>
      </c>
      <c r="F5672" s="9">
        <v>293000</v>
      </c>
      <c r="G5672" s="10">
        <f t="shared" ref="G5672:G5674" si="376">IFERROR(E5672*F5672,0)</f>
        <v>586000</v>
      </c>
      <c r="H5672" s="11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spans="1:26" ht="26.25" x14ac:dyDescent="0.4">
      <c r="A5673" s="6">
        <v>2</v>
      </c>
      <c r="B5673" s="22" t="s">
        <v>22</v>
      </c>
      <c r="C5673" s="23" t="s">
        <v>1264</v>
      </c>
      <c r="D5673" s="13" t="s">
        <v>13</v>
      </c>
      <c r="E5673" s="22">
        <v>1.3</v>
      </c>
      <c r="F5673" s="14">
        <v>435000</v>
      </c>
      <c r="G5673" s="10">
        <f t="shared" si="376"/>
        <v>565500</v>
      </c>
      <c r="H5673" s="11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spans="1:26" ht="26.25" x14ac:dyDescent="0.4">
      <c r="A5674" s="6">
        <v>3</v>
      </c>
      <c r="B5674" s="15" t="s">
        <v>14</v>
      </c>
      <c r="C5674" s="11"/>
      <c r="D5674" s="11"/>
      <c r="E5674" s="11"/>
      <c r="F5674" s="11"/>
      <c r="G5674" s="16">
        <f t="shared" si="376"/>
        <v>0</v>
      </c>
      <c r="H5674" s="11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spans="1:26" ht="26.25" x14ac:dyDescent="0.4">
      <c r="A5675" s="29" t="s">
        <v>15</v>
      </c>
      <c r="B5675" s="26"/>
      <c r="C5675" s="26"/>
      <c r="D5675" s="26"/>
      <c r="E5675" s="26"/>
      <c r="F5675" s="26"/>
      <c r="G5675" s="27"/>
      <c r="H5675" s="17">
        <f>SUM(G5672:G5674)</f>
        <v>1151500</v>
      </c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spans="1:26" ht="26.25" x14ac:dyDescent="0.4">
      <c r="A5676" s="29" t="s">
        <v>16</v>
      </c>
      <c r="B5676" s="26"/>
      <c r="C5676" s="26"/>
      <c r="D5676" s="26"/>
      <c r="E5676" s="26"/>
      <c r="F5676" s="26"/>
      <c r="G5676" s="27"/>
      <c r="H5676" s="17">
        <f>MAX(0,H5675-648000)</f>
        <v>503500</v>
      </c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spans="1:26" ht="26.25" x14ac:dyDescent="0.4">
      <c r="A5677" s="25" t="s">
        <v>17</v>
      </c>
      <c r="B5677" s="26"/>
      <c r="C5677" s="26"/>
      <c r="D5677" s="26"/>
      <c r="E5677" s="26"/>
      <c r="F5677" s="26"/>
      <c r="G5677" s="27"/>
      <c r="H5677" s="18">
        <v>649000</v>
      </c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spans="1:26" ht="26.25" x14ac:dyDescent="0.4">
      <c r="A5678" s="28" t="s">
        <v>18</v>
      </c>
      <c r="B5678" s="26"/>
      <c r="C5678" s="26"/>
      <c r="D5678" s="26"/>
      <c r="E5678" s="26"/>
      <c r="F5678" s="26"/>
      <c r="G5678" s="26"/>
      <c r="H5678" s="27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spans="1:26" ht="12.75" x14ac:dyDescent="0.2"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spans="1:26" ht="12.75" x14ac:dyDescent="0.2"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4" spans="1:26" ht="15.75" customHeight="1" x14ac:dyDescent="0.4">
      <c r="A5684" s="28" t="s">
        <v>0</v>
      </c>
      <c r="B5684" s="26"/>
      <c r="C5684" s="26"/>
      <c r="D5684" s="26"/>
      <c r="E5684" s="26"/>
      <c r="F5684" s="26"/>
      <c r="G5684" s="26"/>
      <c r="H5684" s="27"/>
    </row>
    <row r="5685" spans="1:26" ht="15.75" customHeight="1" x14ac:dyDescent="0.4">
      <c r="A5685" s="28" t="s">
        <v>1265</v>
      </c>
      <c r="B5685" s="26"/>
      <c r="C5685" s="26"/>
      <c r="D5685" s="26"/>
      <c r="E5685" s="26"/>
      <c r="F5685" s="26"/>
      <c r="G5685" s="26"/>
      <c r="H5685" s="27"/>
    </row>
    <row r="5686" spans="1:26" ht="15.75" customHeight="1" x14ac:dyDescent="0.3">
      <c r="A5686" s="3" t="s">
        <v>2</v>
      </c>
      <c r="B5686" s="3" t="s">
        <v>3</v>
      </c>
      <c r="C5686" s="3" t="s">
        <v>4</v>
      </c>
      <c r="D5686" s="3" t="s">
        <v>5</v>
      </c>
      <c r="E5686" s="3" t="s">
        <v>6</v>
      </c>
      <c r="F5686" s="4" t="s">
        <v>7</v>
      </c>
      <c r="G5686" s="3" t="s">
        <v>8</v>
      </c>
      <c r="H5686" s="5"/>
    </row>
    <row r="5687" spans="1:26" ht="15.75" customHeight="1" x14ac:dyDescent="0.4">
      <c r="A5687" s="6">
        <v>1</v>
      </c>
      <c r="B5687" s="20" t="s">
        <v>1266</v>
      </c>
      <c r="C5687" s="21" t="s">
        <v>1267</v>
      </c>
      <c r="D5687" s="8" t="s">
        <v>11</v>
      </c>
      <c r="E5687" s="20">
        <v>1.47</v>
      </c>
      <c r="F5687" s="9">
        <v>293000</v>
      </c>
      <c r="G5687" s="10">
        <f t="shared" ref="G5687:G5689" si="377">IFERROR(E5687*F5687,0)</f>
        <v>430710</v>
      </c>
      <c r="H5687" s="11"/>
    </row>
    <row r="5688" spans="1:26" ht="29.25" customHeight="1" x14ac:dyDescent="0.4">
      <c r="A5688" s="6">
        <v>2</v>
      </c>
      <c r="B5688" s="22" t="s">
        <v>41</v>
      </c>
      <c r="C5688" s="23" t="s">
        <v>166</v>
      </c>
      <c r="D5688" s="13" t="s">
        <v>13</v>
      </c>
      <c r="E5688" s="22">
        <v>2</v>
      </c>
      <c r="F5688" s="14">
        <v>435000</v>
      </c>
      <c r="G5688" s="10">
        <f t="shared" si="377"/>
        <v>870000</v>
      </c>
      <c r="H5688" s="11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spans="1:26" ht="26.25" x14ac:dyDescent="0.4">
      <c r="A5689" s="6">
        <v>3</v>
      </c>
      <c r="B5689" s="15" t="s">
        <v>14</v>
      </c>
      <c r="C5689" s="11"/>
      <c r="D5689" s="11"/>
      <c r="E5689" s="11"/>
      <c r="F5689" s="11"/>
      <c r="G5689" s="16">
        <f t="shared" si="377"/>
        <v>0</v>
      </c>
      <c r="H5689" s="11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spans="1:26" ht="26.25" x14ac:dyDescent="0.4">
      <c r="A5690" s="29" t="s">
        <v>15</v>
      </c>
      <c r="B5690" s="26"/>
      <c r="C5690" s="26"/>
      <c r="D5690" s="26"/>
      <c r="E5690" s="26"/>
      <c r="F5690" s="26"/>
      <c r="G5690" s="27"/>
      <c r="H5690" s="17">
        <f>SUM(G5687:G5689)</f>
        <v>1300710</v>
      </c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spans="1:26" ht="26.25" x14ac:dyDescent="0.4">
      <c r="A5691" s="29" t="s">
        <v>16</v>
      </c>
      <c r="B5691" s="26"/>
      <c r="C5691" s="26"/>
      <c r="D5691" s="26"/>
      <c r="E5691" s="26"/>
      <c r="F5691" s="26"/>
      <c r="G5691" s="27"/>
      <c r="H5691" s="17">
        <f>MAX(0,H5690-648000)</f>
        <v>652710</v>
      </c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spans="1:26" ht="26.25" x14ac:dyDescent="0.4">
      <c r="A5692" s="25" t="s">
        <v>17</v>
      </c>
      <c r="B5692" s="26"/>
      <c r="C5692" s="26"/>
      <c r="D5692" s="26"/>
      <c r="E5692" s="26"/>
      <c r="F5692" s="26"/>
      <c r="G5692" s="27"/>
      <c r="H5692" s="18">
        <v>649000</v>
      </c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spans="1:26" ht="26.25" x14ac:dyDescent="0.4">
      <c r="A5693" s="28" t="s">
        <v>18</v>
      </c>
      <c r="B5693" s="26"/>
      <c r="C5693" s="26"/>
      <c r="D5693" s="26"/>
      <c r="E5693" s="26"/>
      <c r="F5693" s="26"/>
      <c r="G5693" s="26"/>
      <c r="H5693" s="27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spans="1:26" ht="12.75" x14ac:dyDescent="0.2"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spans="1:26" ht="12.75" x14ac:dyDescent="0.2"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spans="1:26" ht="12.75" x14ac:dyDescent="0.2"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spans="1:26" ht="12.75" x14ac:dyDescent="0.2"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701" spans="1:26" ht="15.75" customHeight="1" x14ac:dyDescent="0.4">
      <c r="A5701" s="28" t="s">
        <v>0</v>
      </c>
      <c r="B5701" s="26"/>
      <c r="C5701" s="26"/>
      <c r="D5701" s="26"/>
      <c r="E5701" s="26"/>
      <c r="F5701" s="26"/>
      <c r="G5701" s="26"/>
      <c r="H5701" s="27"/>
    </row>
    <row r="5702" spans="1:26" ht="15.75" customHeight="1" x14ac:dyDescent="0.4">
      <c r="A5702" s="28" t="s">
        <v>1268</v>
      </c>
      <c r="B5702" s="26"/>
      <c r="C5702" s="26"/>
      <c r="D5702" s="26"/>
      <c r="E5702" s="26"/>
      <c r="F5702" s="26"/>
      <c r="G5702" s="26"/>
      <c r="H5702" s="27"/>
    </row>
    <row r="5703" spans="1:26" ht="15.75" customHeight="1" x14ac:dyDescent="0.3">
      <c r="A5703" s="3" t="s">
        <v>2</v>
      </c>
      <c r="B5703" s="3" t="s">
        <v>3</v>
      </c>
      <c r="C5703" s="3" t="s">
        <v>4</v>
      </c>
      <c r="D5703" s="3" t="s">
        <v>5</v>
      </c>
      <c r="E5703" s="3" t="s">
        <v>6</v>
      </c>
      <c r="F5703" s="4" t="s">
        <v>7</v>
      </c>
      <c r="G5703" s="3" t="s">
        <v>8</v>
      </c>
      <c r="H5703" s="5"/>
    </row>
    <row r="5704" spans="1:26" ht="15.75" customHeight="1" x14ac:dyDescent="0.4">
      <c r="A5704" s="6">
        <v>1</v>
      </c>
      <c r="B5704" s="20" t="s">
        <v>383</v>
      </c>
      <c r="C5704" s="21" t="s">
        <v>439</v>
      </c>
      <c r="D5704" s="8" t="s">
        <v>11</v>
      </c>
      <c r="E5704" s="20">
        <v>2</v>
      </c>
      <c r="F5704" s="9">
        <v>293000</v>
      </c>
      <c r="G5704" s="10">
        <f t="shared" ref="G5704:G5706" si="378">IFERROR(E5704*F5704,0)</f>
        <v>586000</v>
      </c>
      <c r="H5704" s="11"/>
    </row>
    <row r="5705" spans="1:26" ht="29.25" customHeight="1" x14ac:dyDescent="0.4">
      <c r="A5705" s="6">
        <v>2</v>
      </c>
      <c r="B5705" s="22" t="s">
        <v>25</v>
      </c>
      <c r="C5705" s="23" t="s">
        <v>1269</v>
      </c>
      <c r="D5705" s="13" t="s">
        <v>13</v>
      </c>
      <c r="E5705" s="22">
        <v>1.3</v>
      </c>
      <c r="F5705" s="14">
        <v>435000</v>
      </c>
      <c r="G5705" s="10">
        <f t="shared" si="378"/>
        <v>565500</v>
      </c>
      <c r="H5705" s="11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spans="1:26" ht="26.25" x14ac:dyDescent="0.4">
      <c r="A5706" s="6">
        <v>3</v>
      </c>
      <c r="B5706" s="15" t="s">
        <v>14</v>
      </c>
      <c r="C5706" s="11"/>
      <c r="D5706" s="11"/>
      <c r="E5706" s="11"/>
      <c r="F5706" s="11"/>
      <c r="G5706" s="16">
        <f t="shared" si="378"/>
        <v>0</v>
      </c>
      <c r="H5706" s="11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spans="1:26" ht="26.25" x14ac:dyDescent="0.4">
      <c r="A5707" s="29" t="s">
        <v>15</v>
      </c>
      <c r="B5707" s="26"/>
      <c r="C5707" s="26"/>
      <c r="D5707" s="26"/>
      <c r="E5707" s="26"/>
      <c r="F5707" s="26"/>
      <c r="G5707" s="27"/>
      <c r="H5707" s="17">
        <f>SUM(G5704:G5706)</f>
        <v>1151500</v>
      </c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spans="1:26" ht="26.25" x14ac:dyDescent="0.4">
      <c r="A5708" s="29" t="s">
        <v>16</v>
      </c>
      <c r="B5708" s="26"/>
      <c r="C5708" s="26"/>
      <c r="D5708" s="26"/>
      <c r="E5708" s="26"/>
      <c r="F5708" s="26"/>
      <c r="G5708" s="27"/>
      <c r="H5708" s="17">
        <f>MAX(0,H5707-648000)</f>
        <v>503500</v>
      </c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spans="1:26" ht="26.25" x14ac:dyDescent="0.4">
      <c r="A5709" s="25" t="s">
        <v>17</v>
      </c>
      <c r="B5709" s="26"/>
      <c r="C5709" s="26"/>
      <c r="D5709" s="26"/>
      <c r="E5709" s="26"/>
      <c r="F5709" s="26"/>
      <c r="G5709" s="27"/>
      <c r="H5709" s="18">
        <v>649000</v>
      </c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spans="1:26" ht="26.25" x14ac:dyDescent="0.4">
      <c r="A5710" s="28" t="s">
        <v>18</v>
      </c>
      <c r="B5710" s="26"/>
      <c r="C5710" s="26"/>
      <c r="D5710" s="26"/>
      <c r="E5710" s="26"/>
      <c r="F5710" s="26"/>
      <c r="G5710" s="26"/>
      <c r="H5710" s="27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spans="1:26" ht="12.75" x14ac:dyDescent="0.2"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spans="1:26" ht="12.75" x14ac:dyDescent="0.2"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spans="1:26" ht="12.75" x14ac:dyDescent="0.2"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spans="1:26" ht="12.75" x14ac:dyDescent="0.2"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8" spans="1:26" ht="15.75" customHeight="1" x14ac:dyDescent="0.4">
      <c r="A5718" s="28" t="s">
        <v>0</v>
      </c>
      <c r="B5718" s="26"/>
      <c r="C5718" s="26"/>
      <c r="D5718" s="26"/>
      <c r="E5718" s="26"/>
      <c r="F5718" s="26"/>
      <c r="G5718" s="26"/>
      <c r="H5718" s="27"/>
    </row>
    <row r="5719" spans="1:26" ht="15.75" customHeight="1" x14ac:dyDescent="0.4">
      <c r="A5719" s="28" t="s">
        <v>1270</v>
      </c>
      <c r="B5719" s="26"/>
      <c r="C5719" s="26"/>
      <c r="D5719" s="26"/>
      <c r="E5719" s="26"/>
      <c r="F5719" s="26"/>
      <c r="G5719" s="26"/>
      <c r="H5719" s="27"/>
    </row>
    <row r="5720" spans="1:26" ht="15.75" customHeight="1" x14ac:dyDescent="0.3">
      <c r="A5720" s="3" t="s">
        <v>2</v>
      </c>
      <c r="B5720" s="3" t="s">
        <v>3</v>
      </c>
      <c r="C5720" s="3" t="s">
        <v>4</v>
      </c>
      <c r="D5720" s="3" t="s">
        <v>5</v>
      </c>
      <c r="E5720" s="3" t="s">
        <v>6</v>
      </c>
      <c r="F5720" s="4" t="s">
        <v>7</v>
      </c>
      <c r="G5720" s="3" t="s">
        <v>8</v>
      </c>
      <c r="H5720" s="5"/>
    </row>
    <row r="5721" spans="1:26" ht="29.25" customHeight="1" x14ac:dyDescent="0.4">
      <c r="A5721" s="6">
        <v>1</v>
      </c>
      <c r="B5721" s="20" t="s">
        <v>12</v>
      </c>
      <c r="C5721" s="21" t="s">
        <v>1271</v>
      </c>
      <c r="D5721" s="8" t="s">
        <v>11</v>
      </c>
      <c r="E5721" s="20">
        <v>1.07</v>
      </c>
      <c r="F5721" s="9">
        <v>293000</v>
      </c>
      <c r="G5721" s="10">
        <f t="shared" ref="G5721:G5723" si="379">IFERROR(E5721*F5721,0)</f>
        <v>313510</v>
      </c>
      <c r="H5721" s="11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spans="1:26" ht="26.25" x14ac:dyDescent="0.4">
      <c r="A5722" s="6">
        <v>2</v>
      </c>
      <c r="B5722" s="22" t="s">
        <v>157</v>
      </c>
      <c r="C5722" s="23" t="s">
        <v>1272</v>
      </c>
      <c r="D5722" s="13" t="s">
        <v>13</v>
      </c>
      <c r="E5722" s="22">
        <v>2.7</v>
      </c>
      <c r="F5722" s="14">
        <v>435000</v>
      </c>
      <c r="G5722" s="10">
        <f t="shared" si="379"/>
        <v>1174500</v>
      </c>
      <c r="H5722" s="11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spans="1:26" ht="26.25" x14ac:dyDescent="0.4">
      <c r="A5723" s="6">
        <v>3</v>
      </c>
      <c r="B5723" s="15" t="s">
        <v>14</v>
      </c>
      <c r="C5723" s="11"/>
      <c r="D5723" s="11"/>
      <c r="E5723" s="11"/>
      <c r="F5723" s="11"/>
      <c r="G5723" s="16">
        <f t="shared" si="379"/>
        <v>0</v>
      </c>
      <c r="H5723" s="11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spans="1:26" ht="26.25" x14ac:dyDescent="0.4">
      <c r="A5724" s="29" t="s">
        <v>15</v>
      </c>
      <c r="B5724" s="26"/>
      <c r="C5724" s="26"/>
      <c r="D5724" s="26"/>
      <c r="E5724" s="26"/>
      <c r="F5724" s="26"/>
      <c r="G5724" s="27"/>
      <c r="H5724" s="17">
        <f>SUM(G5721:G5723)</f>
        <v>1488010</v>
      </c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spans="1:26" ht="26.25" x14ac:dyDescent="0.4">
      <c r="A5725" s="29" t="s">
        <v>16</v>
      </c>
      <c r="B5725" s="26"/>
      <c r="C5725" s="26"/>
      <c r="D5725" s="26"/>
      <c r="E5725" s="26"/>
      <c r="F5725" s="26"/>
      <c r="G5725" s="27"/>
      <c r="H5725" s="17">
        <f>MAX(0,H5724-648000)</f>
        <v>840010</v>
      </c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spans="1:26" ht="26.25" x14ac:dyDescent="0.4">
      <c r="A5726" s="25" t="s">
        <v>17</v>
      </c>
      <c r="B5726" s="26"/>
      <c r="C5726" s="26"/>
      <c r="D5726" s="26"/>
      <c r="E5726" s="26"/>
      <c r="F5726" s="26"/>
      <c r="G5726" s="27"/>
      <c r="H5726" s="18">
        <v>649000</v>
      </c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spans="1:26" ht="26.25" x14ac:dyDescent="0.4">
      <c r="A5727" s="28" t="s">
        <v>18</v>
      </c>
      <c r="B5727" s="26"/>
      <c r="C5727" s="26"/>
      <c r="D5727" s="26"/>
      <c r="E5727" s="26"/>
      <c r="F5727" s="26"/>
      <c r="G5727" s="26"/>
      <c r="H5727" s="27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spans="1:26" ht="12.75" x14ac:dyDescent="0.2"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spans="1:26" ht="12.75" x14ac:dyDescent="0.2"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spans="1:26" ht="12.75" x14ac:dyDescent="0.2"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4" spans="1:26" ht="15.75" customHeight="1" x14ac:dyDescent="0.4">
      <c r="A5734" s="28" t="s">
        <v>0</v>
      </c>
      <c r="B5734" s="26"/>
      <c r="C5734" s="26"/>
      <c r="D5734" s="26"/>
      <c r="E5734" s="26"/>
      <c r="F5734" s="26"/>
      <c r="G5734" s="26"/>
      <c r="H5734" s="27"/>
    </row>
    <row r="5735" spans="1:26" ht="15.75" customHeight="1" x14ac:dyDescent="0.4">
      <c r="A5735" s="28" t="s">
        <v>1273</v>
      </c>
      <c r="B5735" s="26"/>
      <c r="C5735" s="26"/>
      <c r="D5735" s="26"/>
      <c r="E5735" s="26"/>
      <c r="F5735" s="26"/>
      <c r="G5735" s="26"/>
      <c r="H5735" s="27"/>
    </row>
    <row r="5736" spans="1:26" ht="29.25" customHeight="1" x14ac:dyDescent="0.3">
      <c r="A5736" s="3" t="s">
        <v>2</v>
      </c>
      <c r="B5736" s="3" t="s">
        <v>3</v>
      </c>
      <c r="C5736" s="3" t="s">
        <v>4</v>
      </c>
      <c r="D5736" s="3" t="s">
        <v>5</v>
      </c>
      <c r="E5736" s="3" t="s">
        <v>6</v>
      </c>
      <c r="F5736" s="4" t="s">
        <v>7</v>
      </c>
      <c r="G5736" s="3" t="s">
        <v>8</v>
      </c>
      <c r="H5736" s="5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spans="1:26" ht="26.25" x14ac:dyDescent="0.4">
      <c r="A5737" s="6">
        <v>1</v>
      </c>
      <c r="B5737" s="20" t="s">
        <v>383</v>
      </c>
      <c r="C5737" s="21" t="s">
        <v>1274</v>
      </c>
      <c r="D5737" s="8" t="s">
        <v>11</v>
      </c>
      <c r="E5737" s="20">
        <v>2</v>
      </c>
      <c r="F5737" s="9">
        <v>293000</v>
      </c>
      <c r="G5737" s="10">
        <f t="shared" ref="G5737:G5739" si="380">IFERROR(E5737*F5737,0)</f>
        <v>586000</v>
      </c>
      <c r="H5737" s="11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spans="1:26" ht="26.25" x14ac:dyDescent="0.4">
      <c r="A5738" s="6">
        <v>2</v>
      </c>
      <c r="B5738" s="22" t="s">
        <v>12</v>
      </c>
      <c r="C5738" s="23" t="s">
        <v>1275</v>
      </c>
      <c r="D5738" s="13" t="s">
        <v>13</v>
      </c>
      <c r="E5738" s="22">
        <v>1.26</v>
      </c>
      <c r="F5738" s="14">
        <v>435000</v>
      </c>
      <c r="G5738" s="10">
        <f t="shared" si="380"/>
        <v>548100</v>
      </c>
      <c r="H5738" s="11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spans="1:26" ht="26.25" x14ac:dyDescent="0.4">
      <c r="A5739" s="6">
        <v>3</v>
      </c>
      <c r="B5739" s="15" t="s">
        <v>14</v>
      </c>
      <c r="C5739" s="11"/>
      <c r="D5739" s="11"/>
      <c r="E5739" s="11"/>
      <c r="F5739" s="11"/>
      <c r="G5739" s="16">
        <f t="shared" si="380"/>
        <v>0</v>
      </c>
      <c r="H5739" s="11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spans="1:26" ht="26.25" x14ac:dyDescent="0.4">
      <c r="A5740" s="29" t="s">
        <v>15</v>
      </c>
      <c r="B5740" s="26"/>
      <c r="C5740" s="26"/>
      <c r="D5740" s="26"/>
      <c r="E5740" s="26"/>
      <c r="F5740" s="26"/>
      <c r="G5740" s="27"/>
      <c r="H5740" s="17">
        <f>SUM(G5737:G5739)</f>
        <v>1134100</v>
      </c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spans="1:26" ht="26.25" x14ac:dyDescent="0.4">
      <c r="A5741" s="29" t="s">
        <v>16</v>
      </c>
      <c r="B5741" s="26"/>
      <c r="C5741" s="26"/>
      <c r="D5741" s="26"/>
      <c r="E5741" s="26"/>
      <c r="F5741" s="26"/>
      <c r="G5741" s="27"/>
      <c r="H5741" s="17">
        <f>MAX(0,H5740-648000)</f>
        <v>486100</v>
      </c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spans="1:26" ht="26.25" x14ac:dyDescent="0.4">
      <c r="A5742" s="25" t="s">
        <v>17</v>
      </c>
      <c r="B5742" s="26"/>
      <c r="C5742" s="26"/>
      <c r="D5742" s="26"/>
      <c r="E5742" s="26"/>
      <c r="F5742" s="26"/>
      <c r="G5742" s="27"/>
      <c r="H5742" s="18">
        <v>649000</v>
      </c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spans="1:26" ht="26.25" x14ac:dyDescent="0.4">
      <c r="A5743" s="28" t="s">
        <v>18</v>
      </c>
      <c r="B5743" s="26"/>
      <c r="C5743" s="26"/>
      <c r="D5743" s="26"/>
      <c r="E5743" s="26"/>
      <c r="F5743" s="26"/>
      <c r="G5743" s="26"/>
      <c r="H5743" s="27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spans="1:26" ht="12.75" x14ac:dyDescent="0.2"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spans="1:26" ht="12.75" x14ac:dyDescent="0.2"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9" spans="1:26" ht="15.75" customHeight="1" x14ac:dyDescent="0.4">
      <c r="A5749" s="28" t="s">
        <v>0</v>
      </c>
      <c r="B5749" s="26"/>
      <c r="C5749" s="26"/>
      <c r="D5749" s="26"/>
      <c r="E5749" s="26"/>
      <c r="F5749" s="26"/>
      <c r="G5749" s="26"/>
      <c r="H5749" s="27"/>
    </row>
    <row r="5750" spans="1:26" ht="29.25" customHeight="1" x14ac:dyDescent="0.4">
      <c r="A5750" s="28" t="s">
        <v>1276</v>
      </c>
      <c r="B5750" s="26"/>
      <c r="C5750" s="26"/>
      <c r="D5750" s="26"/>
      <c r="E5750" s="26"/>
      <c r="F5750" s="26"/>
      <c r="G5750" s="26"/>
      <c r="H5750" s="27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spans="1:26" ht="18.75" x14ac:dyDescent="0.3">
      <c r="A5751" s="3" t="s">
        <v>2</v>
      </c>
      <c r="B5751" s="3" t="s">
        <v>3</v>
      </c>
      <c r="C5751" s="3" t="s">
        <v>4</v>
      </c>
      <c r="D5751" s="3" t="s">
        <v>5</v>
      </c>
      <c r="E5751" s="3" t="s">
        <v>6</v>
      </c>
      <c r="F5751" s="4" t="s">
        <v>7</v>
      </c>
      <c r="G5751" s="3" t="s">
        <v>8</v>
      </c>
      <c r="H5751" s="5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spans="1:26" ht="26.25" x14ac:dyDescent="0.4">
      <c r="A5752" s="6">
        <v>1</v>
      </c>
      <c r="B5752" s="20" t="s">
        <v>373</v>
      </c>
      <c r="C5752" s="21" t="s">
        <v>1277</v>
      </c>
      <c r="D5752" s="8" t="s">
        <v>11</v>
      </c>
      <c r="E5752" s="20">
        <v>2.09</v>
      </c>
      <c r="F5752" s="9">
        <v>293000</v>
      </c>
      <c r="G5752" s="10">
        <f t="shared" ref="G5752:G5754" si="381">IFERROR(E5752*F5752,0)</f>
        <v>612370</v>
      </c>
      <c r="H5752" s="11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spans="1:26" ht="26.25" x14ac:dyDescent="0.4">
      <c r="A5753" s="6">
        <v>2</v>
      </c>
      <c r="B5753" s="22" t="s">
        <v>94</v>
      </c>
      <c r="C5753" s="23" t="s">
        <v>1278</v>
      </c>
      <c r="D5753" s="13" t="s">
        <v>13</v>
      </c>
      <c r="E5753" s="22">
        <v>1.2</v>
      </c>
      <c r="F5753" s="14">
        <v>435000</v>
      </c>
      <c r="G5753" s="10">
        <f t="shared" si="381"/>
        <v>522000</v>
      </c>
      <c r="H5753" s="11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spans="1:26" ht="26.25" x14ac:dyDescent="0.4">
      <c r="A5754" s="6">
        <v>3</v>
      </c>
      <c r="B5754" s="15" t="s">
        <v>14</v>
      </c>
      <c r="C5754" s="11"/>
      <c r="D5754" s="11"/>
      <c r="E5754" s="11"/>
      <c r="F5754" s="11"/>
      <c r="G5754" s="16">
        <f t="shared" si="381"/>
        <v>0</v>
      </c>
      <c r="H5754" s="11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spans="1:26" ht="26.25" x14ac:dyDescent="0.4">
      <c r="A5755" s="29" t="s">
        <v>15</v>
      </c>
      <c r="B5755" s="26"/>
      <c r="C5755" s="26"/>
      <c r="D5755" s="26"/>
      <c r="E5755" s="26"/>
      <c r="F5755" s="26"/>
      <c r="G5755" s="27"/>
      <c r="H5755" s="17">
        <f>SUM(G5752:G5754)</f>
        <v>1134370</v>
      </c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spans="1:26" ht="26.25" x14ac:dyDescent="0.4">
      <c r="A5756" s="29" t="s">
        <v>16</v>
      </c>
      <c r="B5756" s="26"/>
      <c r="C5756" s="26"/>
      <c r="D5756" s="26"/>
      <c r="E5756" s="26"/>
      <c r="F5756" s="26"/>
      <c r="G5756" s="27"/>
      <c r="H5756" s="17">
        <f>MAX(0,H5755-648000)</f>
        <v>486370</v>
      </c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spans="1:26" ht="26.25" x14ac:dyDescent="0.4">
      <c r="A5757" s="25" t="s">
        <v>17</v>
      </c>
      <c r="B5757" s="26"/>
      <c r="C5757" s="26"/>
      <c r="D5757" s="26"/>
      <c r="E5757" s="26"/>
      <c r="F5757" s="26"/>
      <c r="G5757" s="27"/>
      <c r="H5757" s="18">
        <v>649000</v>
      </c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spans="1:26" ht="26.25" x14ac:dyDescent="0.4">
      <c r="A5758" s="28" t="s">
        <v>18</v>
      </c>
      <c r="B5758" s="26"/>
      <c r="C5758" s="26"/>
      <c r="D5758" s="26"/>
      <c r="E5758" s="26"/>
      <c r="F5758" s="26"/>
      <c r="G5758" s="26"/>
      <c r="H5758" s="27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spans="1:26" ht="12.75" x14ac:dyDescent="0.2"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3" spans="1:26" ht="15.75" customHeight="1" x14ac:dyDescent="0.4">
      <c r="A5763" s="28" t="s">
        <v>0</v>
      </c>
      <c r="B5763" s="26"/>
      <c r="C5763" s="26"/>
      <c r="D5763" s="26"/>
      <c r="E5763" s="26"/>
      <c r="F5763" s="26"/>
      <c r="G5763" s="26"/>
      <c r="H5763" s="27"/>
    </row>
    <row r="5764" spans="1:26" ht="15.75" customHeight="1" x14ac:dyDescent="0.4">
      <c r="A5764" s="28" t="s">
        <v>1279</v>
      </c>
      <c r="B5764" s="26"/>
      <c r="C5764" s="26"/>
      <c r="D5764" s="26"/>
      <c r="E5764" s="26"/>
      <c r="F5764" s="26"/>
      <c r="G5764" s="26"/>
      <c r="H5764" s="27"/>
    </row>
    <row r="5765" spans="1:26" ht="29.25" customHeight="1" x14ac:dyDescent="0.3">
      <c r="A5765" s="3" t="s">
        <v>2</v>
      </c>
      <c r="B5765" s="3" t="s">
        <v>3</v>
      </c>
      <c r="C5765" s="3" t="s">
        <v>4</v>
      </c>
      <c r="D5765" s="3" t="s">
        <v>5</v>
      </c>
      <c r="E5765" s="3" t="s">
        <v>6</v>
      </c>
      <c r="F5765" s="4" t="s">
        <v>7</v>
      </c>
      <c r="G5765" s="3" t="s">
        <v>8</v>
      </c>
      <c r="H5765" s="5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spans="1:26" ht="26.25" x14ac:dyDescent="0.4">
      <c r="A5766" s="6">
        <v>1</v>
      </c>
      <c r="B5766" s="20" t="s">
        <v>34</v>
      </c>
      <c r="C5766" s="21" t="s">
        <v>1280</v>
      </c>
      <c r="D5766" s="8" t="s">
        <v>11</v>
      </c>
      <c r="E5766" s="20">
        <v>1.4</v>
      </c>
      <c r="F5766" s="9">
        <v>293000</v>
      </c>
      <c r="G5766" s="10">
        <f t="shared" ref="G5766:G5768" si="382">IFERROR(E5766*F5766,0)</f>
        <v>410200</v>
      </c>
      <c r="H5766" s="11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spans="1:26" ht="26.25" x14ac:dyDescent="0.4">
      <c r="A5767" s="6">
        <v>2</v>
      </c>
      <c r="B5767" s="22" t="s">
        <v>41</v>
      </c>
      <c r="C5767" s="23" t="s">
        <v>114</v>
      </c>
      <c r="D5767" s="13" t="s">
        <v>13</v>
      </c>
      <c r="E5767" s="22">
        <v>2</v>
      </c>
      <c r="F5767" s="14">
        <v>435000</v>
      </c>
      <c r="G5767" s="10">
        <f t="shared" si="382"/>
        <v>870000</v>
      </c>
      <c r="H5767" s="11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spans="1:26" ht="26.25" x14ac:dyDescent="0.4">
      <c r="A5768" s="6">
        <v>3</v>
      </c>
      <c r="B5768" s="15" t="s">
        <v>14</v>
      </c>
      <c r="C5768" s="11"/>
      <c r="D5768" s="11"/>
      <c r="E5768" s="11"/>
      <c r="F5768" s="11"/>
      <c r="G5768" s="16">
        <f t="shared" si="382"/>
        <v>0</v>
      </c>
      <c r="H5768" s="11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spans="1:26" ht="26.25" x14ac:dyDescent="0.4">
      <c r="A5769" s="29" t="s">
        <v>15</v>
      </c>
      <c r="B5769" s="26"/>
      <c r="C5769" s="26"/>
      <c r="D5769" s="26"/>
      <c r="E5769" s="26"/>
      <c r="F5769" s="26"/>
      <c r="G5769" s="27"/>
      <c r="H5769" s="17">
        <f>SUM(G5766:G5768)</f>
        <v>1280200</v>
      </c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spans="1:26" ht="26.25" x14ac:dyDescent="0.4">
      <c r="A5770" s="29" t="s">
        <v>16</v>
      </c>
      <c r="B5770" s="26"/>
      <c r="C5770" s="26"/>
      <c r="D5770" s="26"/>
      <c r="E5770" s="26"/>
      <c r="F5770" s="26"/>
      <c r="G5770" s="27"/>
      <c r="H5770" s="17">
        <f>MAX(0,H5769-648000)</f>
        <v>632200</v>
      </c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spans="1:26" ht="26.25" x14ac:dyDescent="0.4">
      <c r="A5771" s="25" t="s">
        <v>17</v>
      </c>
      <c r="B5771" s="26"/>
      <c r="C5771" s="26"/>
      <c r="D5771" s="26"/>
      <c r="E5771" s="26"/>
      <c r="F5771" s="26"/>
      <c r="G5771" s="27"/>
      <c r="H5771" s="18">
        <v>649000</v>
      </c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spans="1:26" ht="26.25" x14ac:dyDescent="0.4">
      <c r="A5772" s="28" t="s">
        <v>18</v>
      </c>
      <c r="B5772" s="26"/>
      <c r="C5772" s="26"/>
      <c r="D5772" s="26"/>
      <c r="E5772" s="26"/>
      <c r="F5772" s="26"/>
      <c r="G5772" s="26"/>
      <c r="H5772" s="27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spans="1:26" ht="12.75" x14ac:dyDescent="0.2"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 spans="1:26" ht="12.75" x14ac:dyDescent="0.2"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8" spans="1:26" ht="15.75" customHeight="1" x14ac:dyDescent="0.4">
      <c r="A5778" s="28" t="s">
        <v>0</v>
      </c>
      <c r="B5778" s="26"/>
      <c r="C5778" s="26"/>
      <c r="D5778" s="26"/>
      <c r="E5778" s="26"/>
      <c r="F5778" s="26"/>
      <c r="G5778" s="26"/>
      <c r="H5778" s="27"/>
    </row>
    <row r="5779" spans="1:26" ht="15.75" customHeight="1" x14ac:dyDescent="0.4">
      <c r="A5779" s="28" t="s">
        <v>1281</v>
      </c>
      <c r="B5779" s="26"/>
      <c r="C5779" s="26"/>
      <c r="D5779" s="26"/>
      <c r="E5779" s="26"/>
      <c r="F5779" s="26"/>
      <c r="G5779" s="26"/>
      <c r="H5779" s="27"/>
    </row>
    <row r="5780" spans="1:26" ht="29.25" customHeight="1" x14ac:dyDescent="0.3">
      <c r="A5780" s="3" t="s">
        <v>2</v>
      </c>
      <c r="B5780" s="3" t="s">
        <v>3</v>
      </c>
      <c r="C5780" s="3" t="s">
        <v>4</v>
      </c>
      <c r="D5780" s="3" t="s">
        <v>5</v>
      </c>
      <c r="E5780" s="3" t="s">
        <v>6</v>
      </c>
      <c r="F5780" s="4" t="s">
        <v>7</v>
      </c>
      <c r="G5780" s="3" t="s">
        <v>8</v>
      </c>
      <c r="H5780" s="5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spans="1:26" ht="26.25" x14ac:dyDescent="0.4">
      <c r="A5781" s="6">
        <v>1</v>
      </c>
      <c r="B5781" s="20" t="s">
        <v>1181</v>
      </c>
      <c r="C5781" s="21" t="s">
        <v>1282</v>
      </c>
      <c r="D5781" s="8" t="s">
        <v>11</v>
      </c>
      <c r="E5781" s="20">
        <v>1.5</v>
      </c>
      <c r="F5781" s="9">
        <v>293000</v>
      </c>
      <c r="G5781" s="10">
        <f t="shared" ref="G5781:G5783" si="383">IFERROR(E5781*F5781,0)</f>
        <v>439500</v>
      </c>
      <c r="H5781" s="11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spans="1:26" ht="26.25" x14ac:dyDescent="0.4">
      <c r="A5782" s="6">
        <v>2</v>
      </c>
      <c r="B5782" s="22" t="s">
        <v>25</v>
      </c>
      <c r="C5782" s="23" t="s">
        <v>1283</v>
      </c>
      <c r="D5782" s="13" t="s">
        <v>13</v>
      </c>
      <c r="E5782" s="22">
        <v>1.87</v>
      </c>
      <c r="F5782" s="14">
        <v>435000</v>
      </c>
      <c r="G5782" s="10">
        <f t="shared" si="383"/>
        <v>813450</v>
      </c>
      <c r="H5782" s="11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spans="1:26" ht="26.25" x14ac:dyDescent="0.4">
      <c r="A5783" s="6">
        <v>3</v>
      </c>
      <c r="B5783" s="15" t="s">
        <v>14</v>
      </c>
      <c r="C5783" s="11"/>
      <c r="D5783" s="11"/>
      <c r="E5783" s="11"/>
      <c r="F5783" s="11"/>
      <c r="G5783" s="16">
        <f t="shared" si="383"/>
        <v>0</v>
      </c>
      <c r="H5783" s="11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spans="1:26" ht="26.25" x14ac:dyDescent="0.4">
      <c r="A5784" s="29" t="s">
        <v>15</v>
      </c>
      <c r="B5784" s="26"/>
      <c r="C5784" s="26"/>
      <c r="D5784" s="26"/>
      <c r="E5784" s="26"/>
      <c r="F5784" s="26"/>
      <c r="G5784" s="27"/>
      <c r="H5784" s="17">
        <f>SUM(G5781:G5783)</f>
        <v>1252950</v>
      </c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spans="1:26" ht="26.25" x14ac:dyDescent="0.4">
      <c r="A5785" s="29" t="s">
        <v>16</v>
      </c>
      <c r="B5785" s="26"/>
      <c r="C5785" s="26"/>
      <c r="D5785" s="26"/>
      <c r="E5785" s="26"/>
      <c r="F5785" s="26"/>
      <c r="G5785" s="27"/>
      <c r="H5785" s="17">
        <f>MAX(0,H5784-648000)</f>
        <v>604950</v>
      </c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spans="1:26" ht="26.25" x14ac:dyDescent="0.4">
      <c r="A5786" s="25" t="s">
        <v>17</v>
      </c>
      <c r="B5786" s="26"/>
      <c r="C5786" s="26"/>
      <c r="D5786" s="26"/>
      <c r="E5786" s="26"/>
      <c r="F5786" s="26"/>
      <c r="G5786" s="27"/>
      <c r="H5786" s="18">
        <v>649000</v>
      </c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spans="1:26" ht="26.25" x14ac:dyDescent="0.4">
      <c r="A5787" s="28" t="s">
        <v>18</v>
      </c>
      <c r="B5787" s="26"/>
      <c r="C5787" s="26"/>
      <c r="D5787" s="26"/>
      <c r="E5787" s="26"/>
      <c r="F5787" s="26"/>
      <c r="G5787" s="26"/>
      <c r="H5787" s="27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spans="1:26" ht="12.75" x14ac:dyDescent="0.2"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spans="1:26" ht="12.75" x14ac:dyDescent="0.2"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3" spans="1:26" ht="15.75" customHeight="1" x14ac:dyDescent="0.4">
      <c r="A5793" s="28" t="s">
        <v>0</v>
      </c>
      <c r="B5793" s="26"/>
      <c r="C5793" s="26"/>
      <c r="D5793" s="26"/>
      <c r="E5793" s="26"/>
      <c r="F5793" s="26"/>
      <c r="G5793" s="26"/>
      <c r="H5793" s="27"/>
    </row>
    <row r="5794" spans="1:26" ht="15.75" customHeight="1" x14ac:dyDescent="0.4">
      <c r="A5794" s="28" t="s">
        <v>1284</v>
      </c>
      <c r="B5794" s="26"/>
      <c r="C5794" s="26"/>
      <c r="D5794" s="26"/>
      <c r="E5794" s="26"/>
      <c r="F5794" s="26"/>
      <c r="G5794" s="26"/>
      <c r="H5794" s="27"/>
    </row>
    <row r="5795" spans="1:26" ht="15.75" customHeight="1" x14ac:dyDescent="0.3">
      <c r="A5795" s="3" t="s">
        <v>2</v>
      </c>
      <c r="B5795" s="3" t="s">
        <v>3</v>
      </c>
      <c r="C5795" s="3" t="s">
        <v>4</v>
      </c>
      <c r="D5795" s="3" t="s">
        <v>5</v>
      </c>
      <c r="E5795" s="3" t="s">
        <v>6</v>
      </c>
      <c r="F5795" s="4" t="s">
        <v>7</v>
      </c>
      <c r="G5795" s="3" t="s">
        <v>8</v>
      </c>
      <c r="H5795" s="5"/>
    </row>
    <row r="5796" spans="1:26" ht="29.25" customHeight="1" x14ac:dyDescent="0.4">
      <c r="A5796" s="6">
        <v>1</v>
      </c>
      <c r="B5796" s="20" t="s">
        <v>682</v>
      </c>
      <c r="C5796" s="21" t="s">
        <v>1285</v>
      </c>
      <c r="D5796" s="8" t="s">
        <v>11</v>
      </c>
      <c r="E5796" s="20">
        <v>1.48</v>
      </c>
      <c r="F5796" s="9">
        <v>293000</v>
      </c>
      <c r="G5796" s="10">
        <f t="shared" ref="G5796:G5798" si="384">IFERROR(E5796*F5796,0)</f>
        <v>433640</v>
      </c>
      <c r="H5796" s="11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spans="1:26" ht="26.25" x14ac:dyDescent="0.4">
      <c r="A5797" s="6">
        <v>2</v>
      </c>
      <c r="B5797" s="22" t="s">
        <v>22</v>
      </c>
      <c r="C5797" s="23" t="s">
        <v>1286</v>
      </c>
      <c r="D5797" s="13" t="s">
        <v>13</v>
      </c>
      <c r="E5797" s="22">
        <v>1.94</v>
      </c>
      <c r="F5797" s="14">
        <v>435000</v>
      </c>
      <c r="G5797" s="10">
        <f t="shared" si="384"/>
        <v>843900</v>
      </c>
      <c r="H5797" s="11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spans="1:26" ht="26.25" x14ac:dyDescent="0.4">
      <c r="A5798" s="6">
        <v>3</v>
      </c>
      <c r="B5798" s="15" t="s">
        <v>14</v>
      </c>
      <c r="C5798" s="11"/>
      <c r="D5798" s="11"/>
      <c r="E5798" s="11"/>
      <c r="F5798" s="11"/>
      <c r="G5798" s="16">
        <f t="shared" si="384"/>
        <v>0</v>
      </c>
      <c r="H5798" s="11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spans="1:26" ht="26.25" x14ac:dyDescent="0.4">
      <c r="A5799" s="29" t="s">
        <v>15</v>
      </c>
      <c r="B5799" s="26"/>
      <c r="C5799" s="26"/>
      <c r="D5799" s="26"/>
      <c r="E5799" s="26"/>
      <c r="F5799" s="26"/>
      <c r="G5799" s="27"/>
      <c r="H5799" s="17">
        <f>SUM(G5796:G5798)</f>
        <v>1277540</v>
      </c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spans="1:26" ht="26.25" x14ac:dyDescent="0.4">
      <c r="A5800" s="29" t="s">
        <v>16</v>
      </c>
      <c r="B5800" s="26"/>
      <c r="C5800" s="26"/>
      <c r="D5800" s="26"/>
      <c r="E5800" s="26"/>
      <c r="F5800" s="26"/>
      <c r="G5800" s="27"/>
      <c r="H5800" s="17">
        <f>MAX(0,H5799-648000)</f>
        <v>629540</v>
      </c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spans="1:26" ht="26.25" x14ac:dyDescent="0.4">
      <c r="A5801" s="25" t="s">
        <v>17</v>
      </c>
      <c r="B5801" s="26"/>
      <c r="C5801" s="26"/>
      <c r="D5801" s="26"/>
      <c r="E5801" s="26"/>
      <c r="F5801" s="26"/>
      <c r="G5801" s="27"/>
      <c r="H5801" s="18">
        <v>649000</v>
      </c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spans="1:26" ht="26.25" x14ac:dyDescent="0.4">
      <c r="A5802" s="28" t="s">
        <v>18</v>
      </c>
      <c r="B5802" s="26"/>
      <c r="C5802" s="26"/>
      <c r="D5802" s="26"/>
      <c r="E5802" s="26"/>
      <c r="F5802" s="26"/>
      <c r="G5802" s="26"/>
      <c r="H5802" s="27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spans="1:26" ht="12.75" x14ac:dyDescent="0.2"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spans="1:26" ht="12.75" x14ac:dyDescent="0.2"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spans="1:26" ht="12.75" x14ac:dyDescent="0.2"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9" spans="1:26" ht="15.75" customHeight="1" x14ac:dyDescent="0.4">
      <c r="A5809" s="28" t="s">
        <v>0</v>
      </c>
      <c r="B5809" s="26"/>
      <c r="C5809" s="26"/>
      <c r="D5809" s="26"/>
      <c r="E5809" s="26"/>
      <c r="F5809" s="26"/>
      <c r="G5809" s="26"/>
      <c r="H5809" s="27"/>
    </row>
    <row r="5810" spans="1:26" ht="15.75" customHeight="1" x14ac:dyDescent="0.4">
      <c r="A5810" s="28" t="s">
        <v>1287</v>
      </c>
      <c r="B5810" s="26"/>
      <c r="C5810" s="26"/>
      <c r="D5810" s="26"/>
      <c r="E5810" s="26"/>
      <c r="F5810" s="26"/>
      <c r="G5810" s="26"/>
      <c r="H5810" s="27"/>
    </row>
    <row r="5811" spans="1:26" ht="29.25" customHeight="1" x14ac:dyDescent="0.3">
      <c r="A5811" s="3" t="s">
        <v>2</v>
      </c>
      <c r="B5811" s="3" t="s">
        <v>3</v>
      </c>
      <c r="C5811" s="3" t="s">
        <v>4</v>
      </c>
      <c r="D5811" s="3" t="s">
        <v>5</v>
      </c>
      <c r="E5811" s="3" t="s">
        <v>6</v>
      </c>
      <c r="F5811" s="4" t="s">
        <v>7</v>
      </c>
      <c r="G5811" s="3" t="s">
        <v>8</v>
      </c>
      <c r="H5811" s="5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spans="1:26" ht="26.25" x14ac:dyDescent="0.4">
      <c r="A5812" s="6">
        <v>1</v>
      </c>
      <c r="B5812" s="7" t="s">
        <v>218</v>
      </c>
      <c r="C5812" s="21" t="s">
        <v>1288</v>
      </c>
      <c r="D5812" s="8" t="s">
        <v>11</v>
      </c>
      <c r="E5812" s="20">
        <v>1.66</v>
      </c>
      <c r="F5812" s="9">
        <v>293000</v>
      </c>
      <c r="G5812" s="10">
        <f t="shared" ref="G5812:G5814" si="385">IFERROR(E5812*F5812,0)</f>
        <v>486380</v>
      </c>
      <c r="H5812" s="11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spans="1:26" ht="26.25" x14ac:dyDescent="0.4">
      <c r="A5813" s="6">
        <v>2</v>
      </c>
      <c r="B5813" s="20" t="s">
        <v>1289</v>
      </c>
      <c r="C5813" s="23" t="s">
        <v>1290</v>
      </c>
      <c r="D5813" s="13" t="s">
        <v>13</v>
      </c>
      <c r="E5813" s="22">
        <v>1.75</v>
      </c>
      <c r="F5813" s="14">
        <v>435000</v>
      </c>
      <c r="G5813" s="10">
        <f t="shared" si="385"/>
        <v>761250</v>
      </c>
      <c r="H5813" s="11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spans="1:26" ht="26.25" x14ac:dyDescent="0.4">
      <c r="A5814" s="6">
        <v>3</v>
      </c>
      <c r="B5814" s="15" t="s">
        <v>14</v>
      </c>
      <c r="C5814" s="11"/>
      <c r="D5814" s="11"/>
      <c r="E5814" s="11"/>
      <c r="F5814" s="11"/>
      <c r="G5814" s="16">
        <f t="shared" si="385"/>
        <v>0</v>
      </c>
      <c r="H5814" s="11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spans="1:26" ht="26.25" x14ac:dyDescent="0.4">
      <c r="A5815" s="29" t="s">
        <v>15</v>
      </c>
      <c r="B5815" s="26"/>
      <c r="C5815" s="26"/>
      <c r="D5815" s="26"/>
      <c r="E5815" s="26"/>
      <c r="F5815" s="26"/>
      <c r="G5815" s="27"/>
      <c r="H5815" s="17">
        <f>SUM(G5812:G5814)</f>
        <v>1247630</v>
      </c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spans="1:26" ht="26.25" x14ac:dyDescent="0.4">
      <c r="A5816" s="29" t="s">
        <v>16</v>
      </c>
      <c r="B5816" s="26"/>
      <c r="C5816" s="26"/>
      <c r="D5816" s="26"/>
      <c r="E5816" s="26"/>
      <c r="F5816" s="26"/>
      <c r="G5816" s="27"/>
      <c r="H5816" s="17">
        <f>MAX(0,H5815-648000)</f>
        <v>599630</v>
      </c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spans="1:26" ht="26.25" x14ac:dyDescent="0.4">
      <c r="A5817" s="25" t="s">
        <v>17</v>
      </c>
      <c r="B5817" s="26"/>
      <c r="C5817" s="26"/>
      <c r="D5817" s="26"/>
      <c r="E5817" s="26"/>
      <c r="F5817" s="26"/>
      <c r="G5817" s="27"/>
      <c r="H5817" s="18">
        <v>649000</v>
      </c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spans="1:26" ht="26.25" x14ac:dyDescent="0.4">
      <c r="A5818" s="28" t="s">
        <v>18</v>
      </c>
      <c r="B5818" s="26"/>
      <c r="C5818" s="26"/>
      <c r="D5818" s="26"/>
      <c r="E5818" s="26"/>
      <c r="F5818" s="26"/>
      <c r="G5818" s="26"/>
      <c r="H5818" s="27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spans="1:26" ht="12.75" x14ac:dyDescent="0.2"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spans="1:26" ht="12.75" x14ac:dyDescent="0.2"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4" spans="1:26" ht="15.75" customHeight="1" x14ac:dyDescent="0.4">
      <c r="A5824" s="28" t="s">
        <v>0</v>
      </c>
      <c r="B5824" s="26"/>
      <c r="C5824" s="26"/>
      <c r="D5824" s="26"/>
      <c r="E5824" s="26"/>
      <c r="F5824" s="26"/>
      <c r="G5824" s="26"/>
      <c r="H5824" s="27"/>
    </row>
    <row r="5825" spans="1:26" ht="15.75" customHeight="1" x14ac:dyDescent="0.4">
      <c r="A5825" s="28" t="s">
        <v>1291</v>
      </c>
      <c r="B5825" s="26"/>
      <c r="C5825" s="26"/>
      <c r="D5825" s="26"/>
      <c r="E5825" s="26"/>
      <c r="F5825" s="26"/>
      <c r="G5825" s="26"/>
      <c r="H5825" s="27"/>
    </row>
    <row r="5826" spans="1:26" ht="29.25" customHeight="1" x14ac:dyDescent="0.3">
      <c r="A5826" s="3" t="s">
        <v>2</v>
      </c>
      <c r="B5826" s="3" t="s">
        <v>3</v>
      </c>
      <c r="C5826" s="3" t="s">
        <v>4</v>
      </c>
      <c r="D5826" s="3" t="s">
        <v>5</v>
      </c>
      <c r="E5826" s="3" t="s">
        <v>6</v>
      </c>
      <c r="F5826" s="4" t="s">
        <v>7</v>
      </c>
      <c r="G5826" s="3" t="s">
        <v>8</v>
      </c>
      <c r="H5826" s="5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spans="1:26" ht="26.25" x14ac:dyDescent="0.4">
      <c r="A5827" s="6">
        <v>1</v>
      </c>
      <c r="B5827" s="20" t="s">
        <v>234</v>
      </c>
      <c r="C5827" s="21" t="s">
        <v>815</v>
      </c>
      <c r="D5827" s="8" t="s">
        <v>11</v>
      </c>
      <c r="E5827" s="20">
        <v>2</v>
      </c>
      <c r="F5827" s="9">
        <v>293000</v>
      </c>
      <c r="G5827" s="10">
        <f t="shared" ref="G5827:G5829" si="386">IFERROR(E5827*F5827,0)</f>
        <v>586000</v>
      </c>
      <c r="H5827" s="11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spans="1:26" ht="26.25" x14ac:dyDescent="0.4">
      <c r="A5828" s="6">
        <v>2</v>
      </c>
      <c r="B5828" s="22" t="s">
        <v>94</v>
      </c>
      <c r="C5828" s="23" t="s">
        <v>1292</v>
      </c>
      <c r="D5828" s="13" t="s">
        <v>13</v>
      </c>
      <c r="E5828" s="22">
        <v>1.56</v>
      </c>
      <c r="F5828" s="14">
        <v>435000</v>
      </c>
      <c r="G5828" s="10">
        <f t="shared" si="386"/>
        <v>678600</v>
      </c>
      <c r="H5828" s="11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spans="1:26" ht="26.25" x14ac:dyDescent="0.4">
      <c r="A5829" s="6">
        <v>3</v>
      </c>
      <c r="B5829" s="15" t="s">
        <v>14</v>
      </c>
      <c r="C5829" s="11"/>
      <c r="D5829" s="11"/>
      <c r="E5829" s="11"/>
      <c r="F5829" s="11"/>
      <c r="G5829" s="16">
        <f t="shared" si="386"/>
        <v>0</v>
      </c>
      <c r="H5829" s="11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spans="1:26" ht="26.25" x14ac:dyDescent="0.4">
      <c r="A5830" s="29" t="s">
        <v>15</v>
      </c>
      <c r="B5830" s="26"/>
      <c r="C5830" s="26"/>
      <c r="D5830" s="26"/>
      <c r="E5830" s="26"/>
      <c r="F5830" s="26"/>
      <c r="G5830" s="27"/>
      <c r="H5830" s="17">
        <f>SUM(G5827:G5829)</f>
        <v>1264600</v>
      </c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spans="1:26" ht="26.25" x14ac:dyDescent="0.4">
      <c r="A5831" s="29" t="s">
        <v>16</v>
      </c>
      <c r="B5831" s="26"/>
      <c r="C5831" s="26"/>
      <c r="D5831" s="26"/>
      <c r="E5831" s="26"/>
      <c r="F5831" s="26"/>
      <c r="G5831" s="27"/>
      <c r="H5831" s="17">
        <f>MAX(0,H5830-648000)</f>
        <v>616600</v>
      </c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spans="1:26" ht="26.25" x14ac:dyDescent="0.4">
      <c r="A5832" s="25" t="s">
        <v>17</v>
      </c>
      <c r="B5832" s="26"/>
      <c r="C5832" s="26"/>
      <c r="D5832" s="26"/>
      <c r="E5832" s="26"/>
      <c r="F5832" s="26"/>
      <c r="G5832" s="27"/>
      <c r="H5832" s="18">
        <v>649000</v>
      </c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spans="1:26" ht="26.25" x14ac:dyDescent="0.4">
      <c r="A5833" s="28" t="s">
        <v>18</v>
      </c>
      <c r="B5833" s="26"/>
      <c r="C5833" s="26"/>
      <c r="D5833" s="26"/>
      <c r="E5833" s="26"/>
      <c r="F5833" s="26"/>
      <c r="G5833" s="26"/>
      <c r="H5833" s="27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spans="1:26" ht="12.75" x14ac:dyDescent="0.2"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spans="1:26" ht="12.75" x14ac:dyDescent="0.2"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9" spans="1:26" ht="15.75" customHeight="1" x14ac:dyDescent="0.4">
      <c r="A5839" s="28" t="s">
        <v>0</v>
      </c>
      <c r="B5839" s="26"/>
      <c r="C5839" s="26"/>
      <c r="D5839" s="26"/>
      <c r="E5839" s="26"/>
      <c r="F5839" s="26"/>
      <c r="G5839" s="26"/>
      <c r="H5839" s="27"/>
    </row>
    <row r="5840" spans="1:26" ht="15.75" customHeight="1" x14ac:dyDescent="0.4">
      <c r="A5840" s="28" t="s">
        <v>1293</v>
      </c>
      <c r="B5840" s="26"/>
      <c r="C5840" s="26"/>
      <c r="D5840" s="26"/>
      <c r="E5840" s="26"/>
      <c r="F5840" s="26"/>
      <c r="G5840" s="26"/>
      <c r="H5840" s="27"/>
    </row>
    <row r="5841" spans="1:26" ht="15.75" customHeight="1" x14ac:dyDescent="0.3">
      <c r="A5841" s="3" t="s">
        <v>2</v>
      </c>
      <c r="B5841" s="3" t="s">
        <v>3</v>
      </c>
      <c r="C5841" s="3" t="s">
        <v>4</v>
      </c>
      <c r="D5841" s="3" t="s">
        <v>5</v>
      </c>
      <c r="E5841" s="3" t="s">
        <v>6</v>
      </c>
      <c r="F5841" s="4" t="s">
        <v>7</v>
      </c>
      <c r="G5841" s="3" t="s">
        <v>8</v>
      </c>
      <c r="H5841" s="5"/>
    </row>
    <row r="5842" spans="1:26" ht="29.25" customHeight="1" x14ac:dyDescent="0.4">
      <c r="A5842" s="6">
        <v>1</v>
      </c>
      <c r="B5842" s="20" t="s">
        <v>34</v>
      </c>
      <c r="C5842" s="21" t="s">
        <v>1294</v>
      </c>
      <c r="D5842" s="8" t="s">
        <v>11</v>
      </c>
      <c r="E5842" s="20">
        <v>1.46</v>
      </c>
      <c r="F5842" s="9">
        <v>293000</v>
      </c>
      <c r="G5842" s="10">
        <f t="shared" ref="G5842:G5844" si="387">IFERROR(E5842*F5842,0)</f>
        <v>427780</v>
      </c>
      <c r="H5842" s="11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spans="1:26" ht="26.25" x14ac:dyDescent="0.4">
      <c r="A5843" s="6">
        <v>2</v>
      </c>
      <c r="B5843" s="22" t="s">
        <v>97</v>
      </c>
      <c r="C5843" s="23" t="s">
        <v>1295</v>
      </c>
      <c r="D5843" s="13" t="s">
        <v>13</v>
      </c>
      <c r="E5843" s="22">
        <v>1.95</v>
      </c>
      <c r="F5843" s="14">
        <v>435000</v>
      </c>
      <c r="G5843" s="10">
        <f t="shared" si="387"/>
        <v>848250</v>
      </c>
      <c r="H5843" s="11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spans="1:26" ht="26.25" x14ac:dyDescent="0.4">
      <c r="A5844" s="6">
        <v>3</v>
      </c>
      <c r="B5844" s="15" t="s">
        <v>14</v>
      </c>
      <c r="C5844" s="11"/>
      <c r="D5844" s="11"/>
      <c r="E5844" s="11"/>
      <c r="F5844" s="11"/>
      <c r="G5844" s="16">
        <f t="shared" si="387"/>
        <v>0</v>
      </c>
      <c r="H5844" s="11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spans="1:26" ht="26.25" x14ac:dyDescent="0.4">
      <c r="A5845" s="29" t="s">
        <v>15</v>
      </c>
      <c r="B5845" s="26"/>
      <c r="C5845" s="26"/>
      <c r="D5845" s="26"/>
      <c r="E5845" s="26"/>
      <c r="F5845" s="26"/>
      <c r="G5845" s="27"/>
      <c r="H5845" s="17">
        <f>SUM(G5842:G5844)</f>
        <v>1276030</v>
      </c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spans="1:26" ht="26.25" x14ac:dyDescent="0.4">
      <c r="A5846" s="29" t="s">
        <v>16</v>
      </c>
      <c r="B5846" s="26"/>
      <c r="C5846" s="26"/>
      <c r="D5846" s="26"/>
      <c r="E5846" s="26"/>
      <c r="F5846" s="26"/>
      <c r="G5846" s="27"/>
      <c r="H5846" s="17">
        <f>MAX(0,H5845-648000)</f>
        <v>628030</v>
      </c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spans="1:26" ht="26.25" x14ac:dyDescent="0.4">
      <c r="A5847" s="25" t="s">
        <v>17</v>
      </c>
      <c r="B5847" s="26"/>
      <c r="C5847" s="26"/>
      <c r="D5847" s="26"/>
      <c r="E5847" s="26"/>
      <c r="F5847" s="26"/>
      <c r="G5847" s="27"/>
      <c r="H5847" s="18">
        <v>649000</v>
      </c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spans="1:26" ht="26.25" x14ac:dyDescent="0.4">
      <c r="A5848" s="28" t="s">
        <v>18</v>
      </c>
      <c r="B5848" s="26"/>
      <c r="C5848" s="26"/>
      <c r="D5848" s="26"/>
      <c r="E5848" s="26"/>
      <c r="F5848" s="26"/>
      <c r="G5848" s="26"/>
      <c r="H5848" s="27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spans="1:26" ht="12.75" x14ac:dyDescent="0.2"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spans="1:26" ht="12.75" x14ac:dyDescent="0.2"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spans="1:26" ht="12.75" x14ac:dyDescent="0.2"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5" spans="1:26" ht="15.75" customHeight="1" x14ac:dyDescent="0.4">
      <c r="A5855" s="28" t="s">
        <v>0</v>
      </c>
      <c r="B5855" s="26"/>
      <c r="C5855" s="26"/>
      <c r="D5855" s="26"/>
      <c r="E5855" s="26"/>
      <c r="F5855" s="26"/>
      <c r="G5855" s="26"/>
      <c r="H5855" s="27"/>
    </row>
    <row r="5856" spans="1:26" ht="29.25" customHeight="1" x14ac:dyDescent="0.4">
      <c r="A5856" s="28" t="s">
        <v>1296</v>
      </c>
      <c r="B5856" s="26"/>
      <c r="C5856" s="26"/>
      <c r="D5856" s="26"/>
      <c r="E5856" s="26"/>
      <c r="F5856" s="26"/>
      <c r="G5856" s="26"/>
      <c r="H5856" s="27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spans="1:26" ht="18.75" x14ac:dyDescent="0.3">
      <c r="A5857" s="3" t="s">
        <v>2</v>
      </c>
      <c r="B5857" s="3" t="s">
        <v>3</v>
      </c>
      <c r="C5857" s="3" t="s">
        <v>4</v>
      </c>
      <c r="D5857" s="3" t="s">
        <v>5</v>
      </c>
      <c r="E5857" s="3" t="s">
        <v>6</v>
      </c>
      <c r="F5857" s="4" t="s">
        <v>7</v>
      </c>
      <c r="G5857" s="3" t="s">
        <v>8</v>
      </c>
      <c r="H5857" s="5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spans="1:26" ht="26.25" x14ac:dyDescent="0.4">
      <c r="A5858" s="6">
        <v>1</v>
      </c>
      <c r="B5858" s="20" t="s">
        <v>431</v>
      </c>
      <c r="C5858" s="21" t="s">
        <v>1297</v>
      </c>
      <c r="D5858" s="8" t="s">
        <v>11</v>
      </c>
      <c r="E5858" s="20">
        <v>2.2599999999999998</v>
      </c>
      <c r="F5858" s="9">
        <v>293000</v>
      </c>
      <c r="G5858" s="10">
        <f t="shared" ref="G5858:G5860" si="388">IFERROR(E5858*F5858,0)</f>
        <v>662179.99999999988</v>
      </c>
      <c r="H5858" s="11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spans="1:26" ht="26.25" x14ac:dyDescent="0.4">
      <c r="A5859" s="6">
        <v>2</v>
      </c>
      <c r="B5859" s="22" t="s">
        <v>379</v>
      </c>
      <c r="C5859" s="23" t="s">
        <v>1298</v>
      </c>
      <c r="D5859" s="13" t="s">
        <v>13</v>
      </c>
      <c r="E5859" s="22">
        <v>1</v>
      </c>
      <c r="F5859" s="14">
        <v>435000</v>
      </c>
      <c r="G5859" s="10">
        <f t="shared" si="388"/>
        <v>435000</v>
      </c>
      <c r="H5859" s="11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spans="1:26" ht="26.25" x14ac:dyDescent="0.4">
      <c r="A5860" s="6">
        <v>3</v>
      </c>
      <c r="B5860" s="15" t="s">
        <v>14</v>
      </c>
      <c r="C5860" s="11"/>
      <c r="D5860" s="11"/>
      <c r="E5860" s="11"/>
      <c r="F5860" s="11"/>
      <c r="G5860" s="16">
        <f t="shared" si="388"/>
        <v>0</v>
      </c>
      <c r="H5860" s="11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spans="1:26" ht="26.25" x14ac:dyDescent="0.4">
      <c r="A5861" s="29" t="s">
        <v>15</v>
      </c>
      <c r="B5861" s="26"/>
      <c r="C5861" s="26"/>
      <c r="D5861" s="26"/>
      <c r="E5861" s="26"/>
      <c r="F5861" s="26"/>
      <c r="G5861" s="27"/>
      <c r="H5861" s="17">
        <f>SUM(G5858:G5860)</f>
        <v>1097180</v>
      </c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spans="1:26" ht="26.25" x14ac:dyDescent="0.4">
      <c r="A5862" s="29" t="s">
        <v>16</v>
      </c>
      <c r="B5862" s="26"/>
      <c r="C5862" s="26"/>
      <c r="D5862" s="26"/>
      <c r="E5862" s="26"/>
      <c r="F5862" s="26"/>
      <c r="G5862" s="27"/>
      <c r="H5862" s="17">
        <f>MAX(0,H5861-648000)</f>
        <v>449180</v>
      </c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spans="1:26" ht="26.25" x14ac:dyDescent="0.4">
      <c r="A5863" s="25" t="s">
        <v>17</v>
      </c>
      <c r="B5863" s="26"/>
      <c r="C5863" s="26"/>
      <c r="D5863" s="26"/>
      <c r="E5863" s="26"/>
      <c r="F5863" s="26"/>
      <c r="G5863" s="27"/>
      <c r="H5863" s="18">
        <v>649000</v>
      </c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spans="1:26" ht="26.25" x14ac:dyDescent="0.4">
      <c r="A5864" s="28" t="s">
        <v>18</v>
      </c>
      <c r="B5864" s="26"/>
      <c r="C5864" s="26"/>
      <c r="D5864" s="26"/>
      <c r="E5864" s="26"/>
      <c r="F5864" s="26"/>
      <c r="G5864" s="26"/>
      <c r="H5864" s="27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spans="1:26" ht="12.75" x14ac:dyDescent="0.2"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9" spans="1:26" ht="15.75" customHeight="1" x14ac:dyDescent="0.4">
      <c r="A5869" s="28" t="s">
        <v>0</v>
      </c>
      <c r="B5869" s="26"/>
      <c r="C5869" s="26"/>
      <c r="D5869" s="26"/>
      <c r="E5869" s="26"/>
      <c r="F5869" s="26"/>
      <c r="G5869" s="26"/>
      <c r="H5869" s="27"/>
    </row>
    <row r="5870" spans="1:26" ht="29.25" customHeight="1" x14ac:dyDescent="0.4">
      <c r="A5870" s="28" t="s">
        <v>1299</v>
      </c>
      <c r="B5870" s="26"/>
      <c r="C5870" s="26"/>
      <c r="D5870" s="26"/>
      <c r="E5870" s="26"/>
      <c r="F5870" s="26"/>
      <c r="G5870" s="26"/>
      <c r="H5870" s="27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spans="1:26" ht="18.75" x14ac:dyDescent="0.3">
      <c r="A5871" s="3" t="s">
        <v>2</v>
      </c>
      <c r="B5871" s="3" t="s">
        <v>3</v>
      </c>
      <c r="C5871" s="3" t="s">
        <v>4</v>
      </c>
      <c r="D5871" s="3" t="s">
        <v>5</v>
      </c>
      <c r="E5871" s="3" t="s">
        <v>6</v>
      </c>
      <c r="F5871" s="4" t="s">
        <v>7</v>
      </c>
      <c r="G5871" s="3" t="s">
        <v>8</v>
      </c>
      <c r="H5871" s="5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spans="1:26" ht="26.25" x14ac:dyDescent="0.4">
      <c r="A5872" s="6">
        <v>1</v>
      </c>
      <c r="B5872" s="20" t="s">
        <v>1128</v>
      </c>
      <c r="C5872" s="21" t="s">
        <v>1300</v>
      </c>
      <c r="D5872" s="8" t="s">
        <v>11</v>
      </c>
      <c r="E5872" s="20">
        <v>2.4</v>
      </c>
      <c r="F5872" s="9">
        <v>293000</v>
      </c>
      <c r="G5872" s="10">
        <f t="shared" ref="G5872:G5874" si="389">IFERROR(E5872*F5872,0)</f>
        <v>703200</v>
      </c>
      <c r="H5872" s="11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spans="1:26" ht="26.25" x14ac:dyDescent="0.4">
      <c r="A5873" s="6">
        <v>2</v>
      </c>
      <c r="B5873" s="22" t="s">
        <v>12</v>
      </c>
      <c r="C5873" s="23" t="s">
        <v>1301</v>
      </c>
      <c r="D5873" s="13" t="s">
        <v>13</v>
      </c>
      <c r="E5873" s="22">
        <v>1</v>
      </c>
      <c r="F5873" s="14">
        <v>435000</v>
      </c>
      <c r="G5873" s="10">
        <f t="shared" si="389"/>
        <v>435000</v>
      </c>
      <c r="H5873" s="11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 spans="1:26" ht="26.25" x14ac:dyDescent="0.4">
      <c r="A5874" s="6">
        <v>3</v>
      </c>
      <c r="B5874" s="15" t="s">
        <v>14</v>
      </c>
      <c r="C5874" s="11"/>
      <c r="D5874" s="11"/>
      <c r="E5874" s="11"/>
      <c r="F5874" s="11"/>
      <c r="G5874" s="16">
        <f t="shared" si="389"/>
        <v>0</v>
      </c>
      <c r="H5874" s="11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 spans="1:26" ht="26.25" x14ac:dyDescent="0.4">
      <c r="A5875" s="29" t="s">
        <v>15</v>
      </c>
      <c r="B5875" s="26"/>
      <c r="C5875" s="26"/>
      <c r="D5875" s="26"/>
      <c r="E5875" s="26"/>
      <c r="F5875" s="26"/>
      <c r="G5875" s="27"/>
      <c r="H5875" s="17">
        <f>SUM(G5872:G5874)</f>
        <v>1138200</v>
      </c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 spans="1:26" ht="26.25" x14ac:dyDescent="0.4">
      <c r="A5876" s="29" t="s">
        <v>16</v>
      </c>
      <c r="B5876" s="26"/>
      <c r="C5876" s="26"/>
      <c r="D5876" s="26"/>
      <c r="E5876" s="26"/>
      <c r="F5876" s="26"/>
      <c r="G5876" s="27"/>
      <c r="H5876" s="17">
        <f>MAX(0,H5875-648000)</f>
        <v>490200</v>
      </c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 spans="1:26" ht="26.25" x14ac:dyDescent="0.4">
      <c r="A5877" s="25" t="s">
        <v>17</v>
      </c>
      <c r="B5877" s="26"/>
      <c r="C5877" s="26"/>
      <c r="D5877" s="26"/>
      <c r="E5877" s="26"/>
      <c r="F5877" s="26"/>
      <c r="G5877" s="27"/>
      <c r="H5877" s="18">
        <v>649000</v>
      </c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 spans="1:26" ht="26.25" x14ac:dyDescent="0.4">
      <c r="A5878" s="28" t="s">
        <v>18</v>
      </c>
      <c r="B5878" s="26"/>
      <c r="C5878" s="26"/>
      <c r="D5878" s="26"/>
      <c r="E5878" s="26"/>
      <c r="F5878" s="26"/>
      <c r="G5878" s="26"/>
      <c r="H5878" s="27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 spans="1:26" ht="12.75" x14ac:dyDescent="0.2"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3" spans="1:26" ht="15.75" customHeight="1" x14ac:dyDescent="0.4">
      <c r="A5883" s="28" t="s">
        <v>0</v>
      </c>
      <c r="B5883" s="26"/>
      <c r="C5883" s="26"/>
      <c r="D5883" s="26"/>
      <c r="E5883" s="26"/>
      <c r="F5883" s="26"/>
      <c r="G5883" s="26"/>
      <c r="H5883" s="27"/>
    </row>
    <row r="5884" spans="1:26" ht="15.75" customHeight="1" x14ac:dyDescent="0.4">
      <c r="A5884" s="28" t="s">
        <v>1302</v>
      </c>
      <c r="B5884" s="26"/>
      <c r="C5884" s="26"/>
      <c r="D5884" s="26"/>
      <c r="E5884" s="26"/>
      <c r="F5884" s="26"/>
      <c r="G5884" s="26"/>
      <c r="H5884" s="27"/>
    </row>
    <row r="5885" spans="1:26" ht="15.75" customHeight="1" x14ac:dyDescent="0.3">
      <c r="A5885" s="3" t="s">
        <v>2</v>
      </c>
      <c r="B5885" s="3" t="s">
        <v>3</v>
      </c>
      <c r="C5885" s="3" t="s">
        <v>4</v>
      </c>
      <c r="D5885" s="3" t="s">
        <v>5</v>
      </c>
      <c r="E5885" s="3" t="s">
        <v>6</v>
      </c>
      <c r="F5885" s="4" t="s">
        <v>7</v>
      </c>
      <c r="G5885" s="3" t="s">
        <v>8</v>
      </c>
      <c r="H5885" s="5"/>
    </row>
    <row r="5886" spans="1:26" ht="29.25" customHeight="1" x14ac:dyDescent="0.4">
      <c r="A5886" s="6">
        <v>1</v>
      </c>
      <c r="B5886" s="20" t="s">
        <v>1303</v>
      </c>
      <c r="C5886" s="21" t="s">
        <v>1304</v>
      </c>
      <c r="D5886" s="8" t="s">
        <v>11</v>
      </c>
      <c r="E5886" s="20">
        <v>1.44</v>
      </c>
      <c r="F5886" s="9">
        <v>293000</v>
      </c>
      <c r="G5886" s="10">
        <f t="shared" ref="G5886:G5888" si="390">IFERROR(E5886*F5886,0)</f>
        <v>421920</v>
      </c>
      <c r="H5886" s="11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 spans="1:26" ht="26.25" x14ac:dyDescent="0.4">
      <c r="A5887" s="6">
        <v>2</v>
      </c>
      <c r="B5887" s="22" t="s">
        <v>12</v>
      </c>
      <c r="C5887" s="23" t="s">
        <v>899</v>
      </c>
      <c r="D5887" s="13" t="s">
        <v>13</v>
      </c>
      <c r="E5887" s="22">
        <v>1.9</v>
      </c>
      <c r="F5887" s="14">
        <v>435000</v>
      </c>
      <c r="G5887" s="10">
        <f t="shared" si="390"/>
        <v>826500</v>
      </c>
      <c r="H5887" s="11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 spans="1:26" ht="26.25" x14ac:dyDescent="0.4">
      <c r="A5888" s="6">
        <v>3</v>
      </c>
      <c r="B5888" s="15" t="s">
        <v>14</v>
      </c>
      <c r="C5888" s="11"/>
      <c r="D5888" s="11"/>
      <c r="E5888" s="11"/>
      <c r="F5888" s="11"/>
      <c r="G5888" s="16">
        <f t="shared" si="390"/>
        <v>0</v>
      </c>
      <c r="H5888" s="11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 spans="1:26" ht="26.25" x14ac:dyDescent="0.4">
      <c r="A5889" s="29" t="s">
        <v>15</v>
      </c>
      <c r="B5889" s="26"/>
      <c r="C5889" s="26"/>
      <c r="D5889" s="26"/>
      <c r="E5889" s="26"/>
      <c r="F5889" s="26"/>
      <c r="G5889" s="27"/>
      <c r="H5889" s="17">
        <f>SUM(G5886:G5888)</f>
        <v>1248420</v>
      </c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 spans="1:26" ht="26.25" x14ac:dyDescent="0.4">
      <c r="A5890" s="29" t="s">
        <v>16</v>
      </c>
      <c r="B5890" s="26"/>
      <c r="C5890" s="26"/>
      <c r="D5890" s="26"/>
      <c r="E5890" s="26"/>
      <c r="F5890" s="26"/>
      <c r="G5890" s="27"/>
      <c r="H5890" s="17">
        <f>MAX(0,H5889-648000)</f>
        <v>600420</v>
      </c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 spans="1:26" ht="26.25" x14ac:dyDescent="0.4">
      <c r="A5891" s="25" t="s">
        <v>17</v>
      </c>
      <c r="B5891" s="26"/>
      <c r="C5891" s="26"/>
      <c r="D5891" s="26"/>
      <c r="E5891" s="26"/>
      <c r="F5891" s="26"/>
      <c r="G5891" s="27"/>
      <c r="H5891" s="18">
        <v>649000</v>
      </c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 spans="1:26" ht="26.25" x14ac:dyDescent="0.4">
      <c r="A5892" s="28" t="s">
        <v>18</v>
      </c>
      <c r="B5892" s="26"/>
      <c r="C5892" s="26"/>
      <c r="D5892" s="26"/>
      <c r="E5892" s="26"/>
      <c r="F5892" s="26"/>
      <c r="G5892" s="26"/>
      <c r="H5892" s="27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 spans="1:26" ht="12.75" x14ac:dyDescent="0.2"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 spans="1:26" ht="12.75" x14ac:dyDescent="0.2"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 spans="1:26" ht="12.75" x14ac:dyDescent="0.2"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9" spans="1:26" ht="15.75" customHeight="1" x14ac:dyDescent="0.4">
      <c r="A5899" s="28" t="s">
        <v>0</v>
      </c>
      <c r="B5899" s="26"/>
      <c r="C5899" s="26"/>
      <c r="D5899" s="26"/>
      <c r="E5899" s="26"/>
      <c r="F5899" s="26"/>
      <c r="G5899" s="26"/>
      <c r="H5899" s="27"/>
    </row>
    <row r="5900" spans="1:26" ht="15.75" customHeight="1" x14ac:dyDescent="0.4">
      <c r="A5900" s="28" t="s">
        <v>1305</v>
      </c>
      <c r="B5900" s="26"/>
      <c r="C5900" s="26"/>
      <c r="D5900" s="26"/>
      <c r="E5900" s="26"/>
      <c r="F5900" s="26"/>
      <c r="G5900" s="26"/>
      <c r="H5900" s="27"/>
    </row>
    <row r="5901" spans="1:26" ht="29.25" customHeight="1" x14ac:dyDescent="0.3">
      <c r="A5901" s="3" t="s">
        <v>2</v>
      </c>
      <c r="B5901" s="3" t="s">
        <v>3</v>
      </c>
      <c r="C5901" s="3" t="s">
        <v>4</v>
      </c>
      <c r="D5901" s="3" t="s">
        <v>5</v>
      </c>
      <c r="E5901" s="3" t="s">
        <v>6</v>
      </c>
      <c r="F5901" s="4" t="s">
        <v>7</v>
      </c>
      <c r="G5901" s="3" t="s">
        <v>8</v>
      </c>
      <c r="H5901" s="5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 spans="1:26" ht="26.25" x14ac:dyDescent="0.4">
      <c r="A5902" s="6">
        <v>1</v>
      </c>
      <c r="B5902" s="20" t="s">
        <v>1306</v>
      </c>
      <c r="C5902" s="21" t="s">
        <v>452</v>
      </c>
      <c r="D5902" s="8" t="s">
        <v>11</v>
      </c>
      <c r="E5902" s="20">
        <v>2</v>
      </c>
      <c r="F5902" s="9">
        <v>293000</v>
      </c>
      <c r="G5902" s="10">
        <f t="shared" ref="G5902:G5904" si="391">IFERROR(E5902*F5902,0)</f>
        <v>586000</v>
      </c>
      <c r="H5902" s="11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 spans="1:26" ht="26.25" x14ac:dyDescent="0.4">
      <c r="A5903" s="6">
        <v>2</v>
      </c>
      <c r="B5903" s="22" t="s">
        <v>88</v>
      </c>
      <c r="C5903" s="23" t="s">
        <v>1307</v>
      </c>
      <c r="D5903" s="13" t="s">
        <v>13</v>
      </c>
      <c r="E5903" s="22" t="s">
        <v>1308</v>
      </c>
      <c r="F5903" s="14">
        <v>435000</v>
      </c>
      <c r="G5903" s="10">
        <f t="shared" si="391"/>
        <v>0</v>
      </c>
      <c r="H5903" s="11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 spans="1:26" ht="26.25" x14ac:dyDescent="0.4">
      <c r="A5904" s="6">
        <v>3</v>
      </c>
      <c r="B5904" s="15" t="s">
        <v>14</v>
      </c>
      <c r="C5904" s="11"/>
      <c r="D5904" s="11"/>
      <c r="E5904" s="11"/>
      <c r="F5904" s="11"/>
      <c r="G5904" s="16">
        <f t="shared" si="391"/>
        <v>0</v>
      </c>
      <c r="H5904" s="11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 spans="1:26" ht="26.25" x14ac:dyDescent="0.4">
      <c r="A5905" s="29" t="s">
        <v>15</v>
      </c>
      <c r="B5905" s="26"/>
      <c r="C5905" s="26"/>
      <c r="D5905" s="26"/>
      <c r="E5905" s="26"/>
      <c r="F5905" s="26"/>
      <c r="G5905" s="27"/>
      <c r="H5905" s="17">
        <f>SUM(G5902:G5904)</f>
        <v>586000</v>
      </c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 spans="1:26" ht="26.25" x14ac:dyDescent="0.4">
      <c r="A5906" s="29" t="s">
        <v>16</v>
      </c>
      <c r="B5906" s="26"/>
      <c r="C5906" s="26"/>
      <c r="D5906" s="26"/>
      <c r="E5906" s="26"/>
      <c r="F5906" s="26"/>
      <c r="G5906" s="27"/>
      <c r="H5906" s="17">
        <f>MAX(0,H5905-648000)</f>
        <v>0</v>
      </c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 spans="1:26" ht="26.25" x14ac:dyDescent="0.4">
      <c r="A5907" s="25" t="s">
        <v>17</v>
      </c>
      <c r="B5907" s="26"/>
      <c r="C5907" s="26"/>
      <c r="D5907" s="26"/>
      <c r="E5907" s="26"/>
      <c r="F5907" s="26"/>
      <c r="G5907" s="27"/>
      <c r="H5907" s="18">
        <v>649000</v>
      </c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 spans="1:26" ht="26.25" x14ac:dyDescent="0.4">
      <c r="A5908" s="28" t="s">
        <v>18</v>
      </c>
      <c r="B5908" s="26"/>
      <c r="C5908" s="26"/>
      <c r="D5908" s="26"/>
      <c r="E5908" s="26"/>
      <c r="F5908" s="26"/>
      <c r="G5908" s="26"/>
      <c r="H5908" s="27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 spans="1:26" ht="12.75" x14ac:dyDescent="0.2"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 spans="1:26" ht="12.75" x14ac:dyDescent="0.2"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4" spans="1:26" ht="15.75" customHeight="1" x14ac:dyDescent="0.4">
      <c r="A5914" s="28" t="s">
        <v>0</v>
      </c>
      <c r="B5914" s="26"/>
      <c r="C5914" s="26"/>
      <c r="D5914" s="26"/>
      <c r="E5914" s="26"/>
      <c r="F5914" s="26"/>
      <c r="G5914" s="26"/>
      <c r="H5914" s="27"/>
    </row>
    <row r="5915" spans="1:26" ht="29.25" customHeight="1" x14ac:dyDescent="0.4">
      <c r="A5915" s="28" t="s">
        <v>1309</v>
      </c>
      <c r="B5915" s="26"/>
      <c r="C5915" s="26"/>
      <c r="D5915" s="26"/>
      <c r="E5915" s="26"/>
      <c r="F5915" s="26"/>
      <c r="G5915" s="26"/>
      <c r="H5915" s="27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 spans="1:26" ht="18.75" x14ac:dyDescent="0.3">
      <c r="A5916" s="3" t="s">
        <v>2</v>
      </c>
      <c r="B5916" s="3" t="s">
        <v>3</v>
      </c>
      <c r="C5916" s="3" t="s">
        <v>4</v>
      </c>
      <c r="D5916" s="3" t="s">
        <v>5</v>
      </c>
      <c r="E5916" s="3" t="s">
        <v>6</v>
      </c>
      <c r="F5916" s="4" t="s">
        <v>7</v>
      </c>
      <c r="G5916" s="3" t="s">
        <v>8</v>
      </c>
      <c r="H5916" s="5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 spans="1:26" ht="26.25" x14ac:dyDescent="0.4">
      <c r="A5917" s="6">
        <v>1</v>
      </c>
      <c r="B5917" s="20" t="s">
        <v>212</v>
      </c>
      <c r="C5917" s="21" t="s">
        <v>1310</v>
      </c>
      <c r="D5917" s="8" t="s">
        <v>11</v>
      </c>
      <c r="E5917" s="20">
        <v>1.6</v>
      </c>
      <c r="F5917" s="9">
        <v>293000</v>
      </c>
      <c r="G5917" s="10">
        <f t="shared" ref="G5917:G5919" si="392">IFERROR(E5917*F5917,0)</f>
        <v>468800</v>
      </c>
      <c r="H5917" s="11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 spans="1:26" ht="26.25" x14ac:dyDescent="0.4">
      <c r="A5918" s="6">
        <v>2</v>
      </c>
      <c r="B5918" s="22" t="s">
        <v>526</v>
      </c>
      <c r="C5918" s="23" t="s">
        <v>922</v>
      </c>
      <c r="D5918" s="13" t="s">
        <v>13</v>
      </c>
      <c r="E5918" s="22">
        <v>1.8</v>
      </c>
      <c r="F5918" s="14">
        <v>435000</v>
      </c>
      <c r="G5918" s="10">
        <f t="shared" si="392"/>
        <v>783000</v>
      </c>
      <c r="H5918" s="11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 spans="1:26" ht="26.25" x14ac:dyDescent="0.4">
      <c r="A5919" s="6">
        <v>3</v>
      </c>
      <c r="B5919" s="15" t="s">
        <v>14</v>
      </c>
      <c r="C5919" s="11"/>
      <c r="D5919" s="11"/>
      <c r="E5919" s="11"/>
      <c r="F5919" s="11"/>
      <c r="G5919" s="16">
        <f t="shared" si="392"/>
        <v>0</v>
      </c>
      <c r="H5919" s="11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 spans="1:26" ht="26.25" x14ac:dyDescent="0.4">
      <c r="A5920" s="29" t="s">
        <v>15</v>
      </c>
      <c r="B5920" s="26"/>
      <c r="C5920" s="26"/>
      <c r="D5920" s="26"/>
      <c r="E5920" s="26"/>
      <c r="F5920" s="26"/>
      <c r="G5920" s="27"/>
      <c r="H5920" s="17">
        <f>SUM(G5917:G5919)</f>
        <v>1251800</v>
      </c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 spans="1:26" ht="26.25" x14ac:dyDescent="0.4">
      <c r="A5921" s="29" t="s">
        <v>16</v>
      </c>
      <c r="B5921" s="26"/>
      <c r="C5921" s="26"/>
      <c r="D5921" s="26"/>
      <c r="E5921" s="26"/>
      <c r="F5921" s="26"/>
      <c r="G5921" s="27"/>
      <c r="H5921" s="17">
        <f>MAX(0,H5920-648000)</f>
        <v>603800</v>
      </c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 spans="1:26" ht="26.25" x14ac:dyDescent="0.4">
      <c r="A5922" s="25" t="s">
        <v>17</v>
      </c>
      <c r="B5922" s="26"/>
      <c r="C5922" s="26"/>
      <c r="D5922" s="26"/>
      <c r="E5922" s="26"/>
      <c r="F5922" s="26"/>
      <c r="G5922" s="27"/>
      <c r="H5922" s="18">
        <v>649000</v>
      </c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 spans="1:26" ht="26.25" x14ac:dyDescent="0.4">
      <c r="A5923" s="28" t="s">
        <v>18</v>
      </c>
      <c r="B5923" s="26"/>
      <c r="C5923" s="26"/>
      <c r="D5923" s="26"/>
      <c r="E5923" s="26"/>
      <c r="F5923" s="26"/>
      <c r="G5923" s="26"/>
      <c r="H5923" s="27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 spans="1:26" ht="12.75" x14ac:dyDescent="0.2"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8" spans="1:26" ht="29.25" customHeight="1" x14ac:dyDescent="0.4">
      <c r="A5928" s="28" t="s">
        <v>0</v>
      </c>
      <c r="B5928" s="26"/>
      <c r="C5928" s="26"/>
      <c r="D5928" s="26"/>
      <c r="E5928" s="26"/>
      <c r="F5928" s="26"/>
      <c r="G5928" s="26"/>
      <c r="H5928" s="27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 spans="1:26" ht="26.25" x14ac:dyDescent="0.4">
      <c r="A5929" s="28" t="s">
        <v>1311</v>
      </c>
      <c r="B5929" s="26"/>
      <c r="C5929" s="26"/>
      <c r="D5929" s="26"/>
      <c r="E5929" s="26"/>
      <c r="F5929" s="26"/>
      <c r="G5929" s="26"/>
      <c r="H5929" s="27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 spans="1:26" ht="18.75" x14ac:dyDescent="0.3">
      <c r="A5930" s="3" t="s">
        <v>2</v>
      </c>
      <c r="B5930" s="3" t="s">
        <v>3</v>
      </c>
      <c r="C5930" s="3" t="s">
        <v>4</v>
      </c>
      <c r="D5930" s="3" t="s">
        <v>5</v>
      </c>
      <c r="E5930" s="3" t="s">
        <v>6</v>
      </c>
      <c r="F5930" s="4" t="s">
        <v>7</v>
      </c>
      <c r="G5930" s="3" t="s">
        <v>8</v>
      </c>
      <c r="H5930" s="5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 spans="1:26" ht="26.25" x14ac:dyDescent="0.4">
      <c r="A5931" s="6">
        <v>1</v>
      </c>
      <c r="B5931" s="20" t="s">
        <v>218</v>
      </c>
      <c r="C5931" s="21" t="s">
        <v>1312</v>
      </c>
      <c r="D5931" s="8" t="s">
        <v>11</v>
      </c>
      <c r="E5931" s="20">
        <v>2</v>
      </c>
      <c r="F5931" s="9">
        <v>293000</v>
      </c>
      <c r="G5931" s="10">
        <f t="shared" ref="G5931:G5933" si="393">IFERROR(E5931*F5931,0)</f>
        <v>586000</v>
      </c>
      <c r="H5931" s="11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 spans="1:26" ht="26.25" x14ac:dyDescent="0.4">
      <c r="A5932" s="6">
        <v>2</v>
      </c>
      <c r="B5932" s="22" t="s">
        <v>137</v>
      </c>
      <c r="C5932" s="23" t="s">
        <v>1313</v>
      </c>
      <c r="D5932" s="13" t="s">
        <v>13</v>
      </c>
      <c r="E5932" s="22">
        <v>1.35</v>
      </c>
      <c r="F5932" s="14">
        <v>435000</v>
      </c>
      <c r="G5932" s="10">
        <f t="shared" si="393"/>
        <v>587250</v>
      </c>
      <c r="H5932" s="11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 spans="1:26" ht="26.25" x14ac:dyDescent="0.4">
      <c r="A5933" s="6">
        <v>3</v>
      </c>
      <c r="B5933" s="15" t="s">
        <v>14</v>
      </c>
      <c r="C5933" s="11"/>
      <c r="D5933" s="11"/>
      <c r="E5933" s="11"/>
      <c r="F5933" s="11"/>
      <c r="G5933" s="16">
        <f t="shared" si="393"/>
        <v>0</v>
      </c>
      <c r="H5933" s="11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 spans="1:26" ht="26.25" x14ac:dyDescent="0.4">
      <c r="A5934" s="29" t="s">
        <v>15</v>
      </c>
      <c r="B5934" s="26"/>
      <c r="C5934" s="26"/>
      <c r="D5934" s="26"/>
      <c r="E5934" s="26"/>
      <c r="F5934" s="26"/>
      <c r="G5934" s="27"/>
      <c r="H5934" s="17">
        <f>SUM(G5931:G5933)</f>
        <v>1173250</v>
      </c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 spans="1:26" ht="26.25" x14ac:dyDescent="0.4">
      <c r="A5935" s="29" t="s">
        <v>16</v>
      </c>
      <c r="B5935" s="26"/>
      <c r="C5935" s="26"/>
      <c r="D5935" s="26"/>
      <c r="E5935" s="26"/>
      <c r="F5935" s="26"/>
      <c r="G5935" s="27"/>
      <c r="H5935" s="17">
        <f>MAX(0,H5934-648000)</f>
        <v>525250</v>
      </c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 spans="1:26" ht="26.25" x14ac:dyDescent="0.4">
      <c r="A5936" s="25" t="s">
        <v>17</v>
      </c>
      <c r="B5936" s="26"/>
      <c r="C5936" s="26"/>
      <c r="D5936" s="26"/>
      <c r="E5936" s="26"/>
      <c r="F5936" s="26"/>
      <c r="G5936" s="27"/>
      <c r="H5936" s="18">
        <v>649000</v>
      </c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 spans="1:26" ht="26.25" x14ac:dyDescent="0.4">
      <c r="A5937" s="28" t="s">
        <v>18</v>
      </c>
      <c r="B5937" s="26"/>
      <c r="C5937" s="26"/>
      <c r="D5937" s="26"/>
      <c r="E5937" s="26"/>
      <c r="F5937" s="26"/>
      <c r="G5937" s="26"/>
      <c r="H5937" s="27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41" spans="1:26" ht="15.75" customHeight="1" x14ac:dyDescent="0.4">
      <c r="A5941" s="28" t="s">
        <v>0</v>
      </c>
      <c r="B5941" s="26"/>
      <c r="C5941" s="26"/>
      <c r="D5941" s="26"/>
      <c r="E5941" s="26"/>
      <c r="F5941" s="26"/>
      <c r="G5941" s="26"/>
      <c r="H5941" s="27"/>
    </row>
    <row r="5942" spans="1:26" ht="15.75" customHeight="1" x14ac:dyDescent="0.4">
      <c r="A5942" s="28" t="s">
        <v>1314</v>
      </c>
      <c r="B5942" s="26"/>
      <c r="C5942" s="26"/>
      <c r="D5942" s="26"/>
      <c r="E5942" s="26"/>
      <c r="F5942" s="26"/>
      <c r="G5942" s="26"/>
      <c r="H5942" s="27"/>
    </row>
    <row r="5943" spans="1:26" ht="29.25" customHeight="1" x14ac:dyDescent="0.3">
      <c r="A5943" s="3" t="s">
        <v>2</v>
      </c>
      <c r="B5943" s="3" t="s">
        <v>3</v>
      </c>
      <c r="C5943" s="3" t="s">
        <v>4</v>
      </c>
      <c r="D5943" s="3" t="s">
        <v>5</v>
      </c>
      <c r="E5943" s="3" t="s">
        <v>6</v>
      </c>
      <c r="F5943" s="4" t="s">
        <v>7</v>
      </c>
      <c r="G5943" s="3" t="s">
        <v>8</v>
      </c>
      <c r="H5943" s="5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 spans="1:26" ht="26.25" x14ac:dyDescent="0.4">
      <c r="A5944" s="6">
        <v>1</v>
      </c>
      <c r="B5944" s="20" t="s">
        <v>98</v>
      </c>
      <c r="C5944" s="21" t="s">
        <v>899</v>
      </c>
      <c r="D5944" s="8" t="s">
        <v>11</v>
      </c>
      <c r="E5944" s="20">
        <v>2</v>
      </c>
      <c r="F5944" s="9">
        <v>293000</v>
      </c>
      <c r="G5944" s="10">
        <f t="shared" ref="G5944:G5946" si="394">IFERROR(E5944*F5944,0)</f>
        <v>586000</v>
      </c>
      <c r="H5944" s="11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 spans="1:26" ht="26.25" x14ac:dyDescent="0.4">
      <c r="A5945" s="6">
        <v>2</v>
      </c>
      <c r="B5945" s="22" t="s">
        <v>12</v>
      </c>
      <c r="C5945" s="23" t="s">
        <v>1315</v>
      </c>
      <c r="D5945" s="13" t="s">
        <v>13</v>
      </c>
      <c r="E5945" s="22">
        <v>1.21</v>
      </c>
      <c r="F5945" s="14">
        <v>435000</v>
      </c>
      <c r="G5945" s="10">
        <f t="shared" si="394"/>
        <v>526350</v>
      </c>
      <c r="H5945" s="11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 spans="1:26" ht="26.25" x14ac:dyDescent="0.4">
      <c r="A5946" s="6">
        <v>3</v>
      </c>
      <c r="B5946" s="15" t="s">
        <v>14</v>
      </c>
      <c r="C5946" s="11"/>
      <c r="D5946" s="11"/>
      <c r="E5946" s="11"/>
      <c r="F5946" s="11"/>
      <c r="G5946" s="16">
        <f t="shared" si="394"/>
        <v>0</v>
      </c>
      <c r="H5946" s="11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 spans="1:26" ht="26.25" x14ac:dyDescent="0.4">
      <c r="A5947" s="29" t="s">
        <v>15</v>
      </c>
      <c r="B5947" s="26"/>
      <c r="C5947" s="26"/>
      <c r="D5947" s="26"/>
      <c r="E5947" s="26"/>
      <c r="F5947" s="26"/>
      <c r="G5947" s="27"/>
      <c r="H5947" s="17">
        <f>SUM(G5944:G5946)</f>
        <v>1112350</v>
      </c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 spans="1:26" ht="26.25" x14ac:dyDescent="0.4">
      <c r="A5948" s="29" t="s">
        <v>16</v>
      </c>
      <c r="B5948" s="26"/>
      <c r="C5948" s="26"/>
      <c r="D5948" s="26"/>
      <c r="E5948" s="26"/>
      <c r="F5948" s="26"/>
      <c r="G5948" s="27"/>
      <c r="H5948" s="17">
        <f>MAX(0,H5947-648000)</f>
        <v>464350</v>
      </c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 spans="1:26" ht="26.25" x14ac:dyDescent="0.4">
      <c r="A5949" s="25" t="s">
        <v>17</v>
      </c>
      <c r="B5949" s="26"/>
      <c r="C5949" s="26"/>
      <c r="D5949" s="26"/>
      <c r="E5949" s="26"/>
      <c r="F5949" s="26"/>
      <c r="G5949" s="27"/>
      <c r="H5949" s="18">
        <v>649000</v>
      </c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 spans="1:26" ht="26.25" x14ac:dyDescent="0.4">
      <c r="A5950" s="28" t="s">
        <v>18</v>
      </c>
      <c r="B5950" s="26"/>
      <c r="C5950" s="26"/>
      <c r="D5950" s="26"/>
      <c r="E5950" s="26"/>
      <c r="F5950" s="26"/>
      <c r="G5950" s="26"/>
      <c r="H5950" s="27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 spans="1:26" ht="12.75" x14ac:dyDescent="0.2"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 spans="1:26" ht="12.75" x14ac:dyDescent="0.2"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6" spans="1:26" ht="15.75" customHeight="1" x14ac:dyDescent="0.4">
      <c r="A5956" s="28" t="s">
        <v>0</v>
      </c>
      <c r="B5956" s="26"/>
      <c r="C5956" s="26"/>
      <c r="D5956" s="26"/>
      <c r="E5956" s="26"/>
      <c r="F5956" s="26"/>
      <c r="G5956" s="26"/>
      <c r="H5956" s="27"/>
    </row>
    <row r="5957" spans="1:26" ht="29.25" customHeight="1" x14ac:dyDescent="0.4">
      <c r="A5957" s="28" t="s">
        <v>1316</v>
      </c>
      <c r="B5957" s="26"/>
      <c r="C5957" s="26"/>
      <c r="D5957" s="26"/>
      <c r="E5957" s="26"/>
      <c r="F5957" s="26"/>
      <c r="G5957" s="26"/>
      <c r="H5957" s="27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 spans="1:26" ht="18.75" x14ac:dyDescent="0.3">
      <c r="A5958" s="3" t="s">
        <v>2</v>
      </c>
      <c r="B5958" s="3" t="s">
        <v>3</v>
      </c>
      <c r="C5958" s="3" t="s">
        <v>4</v>
      </c>
      <c r="D5958" s="3" t="s">
        <v>5</v>
      </c>
      <c r="E5958" s="3" t="s">
        <v>6</v>
      </c>
      <c r="F5958" s="4" t="s">
        <v>7</v>
      </c>
      <c r="G5958" s="3" t="s">
        <v>8</v>
      </c>
      <c r="H5958" s="5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 spans="1:26" ht="26.25" x14ac:dyDescent="0.4">
      <c r="A5959" s="6">
        <v>1</v>
      </c>
      <c r="B5959" s="20" t="s">
        <v>58</v>
      </c>
      <c r="C5959" s="21" t="s">
        <v>1317</v>
      </c>
      <c r="D5959" s="8" t="s">
        <v>11</v>
      </c>
      <c r="E5959" s="20">
        <v>3</v>
      </c>
      <c r="F5959" s="9">
        <v>293000</v>
      </c>
      <c r="G5959" s="10">
        <f t="shared" ref="G5959:G5961" si="395">IFERROR(E5959*F5959,0)</f>
        <v>879000</v>
      </c>
      <c r="H5959" s="11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 spans="1:26" ht="26.25" x14ac:dyDescent="0.4">
      <c r="A5960" s="6">
        <v>2</v>
      </c>
      <c r="B5960" s="22" t="s">
        <v>175</v>
      </c>
      <c r="C5960" s="23" t="s">
        <v>1318</v>
      </c>
      <c r="D5960" s="13" t="s">
        <v>13</v>
      </c>
      <c r="E5960" s="22">
        <v>0.72</v>
      </c>
      <c r="F5960" s="14">
        <v>435000</v>
      </c>
      <c r="G5960" s="10">
        <f t="shared" si="395"/>
        <v>313200</v>
      </c>
      <c r="H5960" s="11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 spans="1:26" ht="26.25" x14ac:dyDescent="0.4">
      <c r="A5961" s="6">
        <v>3</v>
      </c>
      <c r="B5961" s="15" t="s">
        <v>14</v>
      </c>
      <c r="C5961" s="11"/>
      <c r="D5961" s="11"/>
      <c r="E5961" s="11"/>
      <c r="F5961" s="11"/>
      <c r="G5961" s="16">
        <f t="shared" si="395"/>
        <v>0</v>
      </c>
      <c r="H5961" s="11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 spans="1:26" ht="26.25" x14ac:dyDescent="0.4">
      <c r="A5962" s="29" t="s">
        <v>15</v>
      </c>
      <c r="B5962" s="26"/>
      <c r="C5962" s="26"/>
      <c r="D5962" s="26"/>
      <c r="E5962" s="26"/>
      <c r="F5962" s="26"/>
      <c r="G5962" s="27"/>
      <c r="H5962" s="17">
        <f>SUM(G5959:G5961)</f>
        <v>1192200</v>
      </c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 spans="1:26" ht="26.25" x14ac:dyDescent="0.4">
      <c r="A5963" s="29" t="s">
        <v>16</v>
      </c>
      <c r="B5963" s="26"/>
      <c r="C5963" s="26"/>
      <c r="D5963" s="26"/>
      <c r="E5963" s="26"/>
      <c r="F5963" s="26"/>
      <c r="G5963" s="27"/>
      <c r="H5963" s="17">
        <f>MAX(0,H5962-648000)</f>
        <v>544200</v>
      </c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 spans="1:26" ht="26.25" x14ac:dyDescent="0.4">
      <c r="A5964" s="25" t="s">
        <v>17</v>
      </c>
      <c r="B5964" s="26"/>
      <c r="C5964" s="26"/>
      <c r="D5964" s="26"/>
      <c r="E5964" s="26"/>
      <c r="F5964" s="26"/>
      <c r="G5964" s="27"/>
      <c r="H5964" s="18">
        <v>649000</v>
      </c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 spans="1:26" ht="26.25" x14ac:dyDescent="0.4">
      <c r="A5965" s="28" t="s">
        <v>18</v>
      </c>
      <c r="B5965" s="26"/>
      <c r="C5965" s="26"/>
      <c r="D5965" s="26"/>
      <c r="E5965" s="26"/>
      <c r="F5965" s="26"/>
      <c r="G5965" s="26"/>
      <c r="H5965" s="27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 spans="1:26" ht="12.75" x14ac:dyDescent="0.2"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70" spans="1:26" ht="15.75" customHeight="1" x14ac:dyDescent="0.4">
      <c r="A5970" s="28" t="s">
        <v>0</v>
      </c>
      <c r="B5970" s="26"/>
      <c r="C5970" s="26"/>
      <c r="D5970" s="26"/>
      <c r="E5970" s="26"/>
      <c r="F5970" s="26"/>
      <c r="G5970" s="26"/>
      <c r="H5970" s="27"/>
    </row>
    <row r="5971" spans="1:26" ht="15.75" customHeight="1" x14ac:dyDescent="0.4">
      <c r="A5971" s="28" t="s">
        <v>1319</v>
      </c>
      <c r="B5971" s="26"/>
      <c r="C5971" s="26"/>
      <c r="D5971" s="26"/>
      <c r="E5971" s="26"/>
      <c r="F5971" s="26"/>
      <c r="G5971" s="26"/>
      <c r="H5971" s="27"/>
    </row>
    <row r="5972" spans="1:26" ht="15.75" customHeight="1" x14ac:dyDescent="0.3">
      <c r="A5972" s="3" t="s">
        <v>2</v>
      </c>
      <c r="B5972" s="3" t="s">
        <v>3</v>
      </c>
      <c r="C5972" s="3" t="s">
        <v>4</v>
      </c>
      <c r="D5972" s="3" t="s">
        <v>5</v>
      </c>
      <c r="E5972" s="3" t="s">
        <v>6</v>
      </c>
      <c r="F5972" s="4" t="s">
        <v>7</v>
      </c>
      <c r="G5972" s="3" t="s">
        <v>8</v>
      </c>
      <c r="H5972" s="5"/>
    </row>
    <row r="5973" spans="1:26" ht="29.25" customHeight="1" x14ac:dyDescent="0.4">
      <c r="A5973" s="6">
        <v>1</v>
      </c>
      <c r="B5973" s="20" t="s">
        <v>63</v>
      </c>
      <c r="C5973" s="21" t="s">
        <v>1320</v>
      </c>
      <c r="D5973" s="8" t="s">
        <v>11</v>
      </c>
      <c r="E5973" s="20">
        <v>3.08</v>
      </c>
      <c r="F5973" s="9">
        <v>293000</v>
      </c>
      <c r="G5973" s="10">
        <f t="shared" ref="G5973:G5975" si="396">IFERROR(E5973*F5973,0)</f>
        <v>902440</v>
      </c>
      <c r="H5973" s="11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 spans="1:26" ht="26.25" x14ac:dyDescent="0.4">
      <c r="A5974" s="6">
        <v>2</v>
      </c>
      <c r="B5974" s="22" t="s">
        <v>151</v>
      </c>
      <c r="C5974" s="23" t="s">
        <v>1321</v>
      </c>
      <c r="D5974" s="13" t="s">
        <v>13</v>
      </c>
      <c r="E5974" s="22">
        <v>0.71</v>
      </c>
      <c r="F5974" s="14">
        <v>435000</v>
      </c>
      <c r="G5974" s="10">
        <f t="shared" si="396"/>
        <v>308850</v>
      </c>
      <c r="H5974" s="11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 spans="1:26" ht="26.25" x14ac:dyDescent="0.4">
      <c r="A5975" s="6">
        <v>3</v>
      </c>
      <c r="B5975" s="15" t="s">
        <v>14</v>
      </c>
      <c r="C5975" s="11"/>
      <c r="D5975" s="11"/>
      <c r="E5975" s="11"/>
      <c r="F5975" s="11"/>
      <c r="G5975" s="16">
        <f t="shared" si="396"/>
        <v>0</v>
      </c>
      <c r="H5975" s="11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 spans="1:26" ht="26.25" x14ac:dyDescent="0.4">
      <c r="A5976" s="29" t="s">
        <v>15</v>
      </c>
      <c r="B5976" s="26"/>
      <c r="C5976" s="26"/>
      <c r="D5976" s="26"/>
      <c r="E5976" s="26"/>
      <c r="F5976" s="26"/>
      <c r="G5976" s="27"/>
      <c r="H5976" s="17">
        <f>SUM(G5973:G5975)</f>
        <v>1211290</v>
      </c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 spans="1:26" ht="26.25" x14ac:dyDescent="0.4">
      <c r="A5977" s="29" t="s">
        <v>16</v>
      </c>
      <c r="B5977" s="26"/>
      <c r="C5977" s="26"/>
      <c r="D5977" s="26"/>
      <c r="E5977" s="26"/>
      <c r="F5977" s="26"/>
      <c r="G5977" s="27"/>
      <c r="H5977" s="17">
        <f>MAX(0,H5976-648000)</f>
        <v>563290</v>
      </c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 spans="1:26" ht="26.25" x14ac:dyDescent="0.4">
      <c r="A5978" s="25" t="s">
        <v>17</v>
      </c>
      <c r="B5978" s="26"/>
      <c r="C5978" s="26"/>
      <c r="D5978" s="26"/>
      <c r="E5978" s="26"/>
      <c r="F5978" s="26"/>
      <c r="G5978" s="27"/>
      <c r="H5978" s="18">
        <v>649000</v>
      </c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 spans="1:26" ht="26.25" x14ac:dyDescent="0.4">
      <c r="A5979" s="28" t="s">
        <v>18</v>
      </c>
      <c r="B5979" s="26"/>
      <c r="C5979" s="26"/>
      <c r="D5979" s="26"/>
      <c r="E5979" s="26"/>
      <c r="F5979" s="26"/>
      <c r="G5979" s="26"/>
      <c r="H5979" s="27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 spans="1:26" ht="12.75" x14ac:dyDescent="0.2"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 spans="1:26" ht="12.75" x14ac:dyDescent="0.2"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 spans="1:26" ht="12.75" x14ac:dyDescent="0.2"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6" spans="1:26" ht="15.75" customHeight="1" x14ac:dyDescent="0.4">
      <c r="A5986" s="28" t="s">
        <v>0</v>
      </c>
      <c r="B5986" s="26"/>
      <c r="C5986" s="26"/>
      <c r="D5986" s="26"/>
      <c r="E5986" s="26"/>
      <c r="F5986" s="26"/>
      <c r="G5986" s="26"/>
      <c r="H5986" s="27"/>
    </row>
    <row r="5987" spans="1:26" ht="15.75" customHeight="1" x14ac:dyDescent="0.4">
      <c r="A5987" s="28" t="s">
        <v>1322</v>
      </c>
      <c r="B5987" s="26"/>
      <c r="C5987" s="26"/>
      <c r="D5987" s="26"/>
      <c r="E5987" s="26"/>
      <c r="F5987" s="26"/>
      <c r="G5987" s="26"/>
      <c r="H5987" s="27"/>
    </row>
    <row r="5988" spans="1:26" ht="29.25" customHeight="1" x14ac:dyDescent="0.3">
      <c r="A5988" s="3" t="s">
        <v>2</v>
      </c>
      <c r="B5988" s="3" t="s">
        <v>3</v>
      </c>
      <c r="C5988" s="3" t="s">
        <v>4</v>
      </c>
      <c r="D5988" s="3" t="s">
        <v>5</v>
      </c>
      <c r="E5988" s="3" t="s">
        <v>6</v>
      </c>
      <c r="F5988" s="4" t="s">
        <v>7</v>
      </c>
      <c r="G5988" s="3" t="s">
        <v>8</v>
      </c>
      <c r="H5988" s="5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 spans="1:26" ht="26.25" x14ac:dyDescent="0.4">
      <c r="A5989" s="6">
        <v>1</v>
      </c>
      <c r="B5989" s="20" t="s">
        <v>247</v>
      </c>
      <c r="C5989" s="21" t="s">
        <v>1323</v>
      </c>
      <c r="D5989" s="8" t="s">
        <v>11</v>
      </c>
      <c r="E5989" s="20">
        <v>2.95</v>
      </c>
      <c r="F5989" s="9">
        <v>293000</v>
      </c>
      <c r="G5989" s="10">
        <f t="shared" ref="G5989:G5991" si="397">IFERROR(E5989*F5989,0)</f>
        <v>864350</v>
      </c>
      <c r="H5989" s="11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 spans="1:26" ht="26.25" x14ac:dyDescent="0.4">
      <c r="A5990" s="6">
        <v>2</v>
      </c>
      <c r="B5990" s="22" t="s">
        <v>34</v>
      </c>
      <c r="C5990" s="23" t="s">
        <v>1324</v>
      </c>
      <c r="D5990" s="13" t="s">
        <v>13</v>
      </c>
      <c r="E5990" s="22">
        <v>0.8</v>
      </c>
      <c r="F5990" s="14">
        <v>435000</v>
      </c>
      <c r="G5990" s="10">
        <f t="shared" si="397"/>
        <v>348000</v>
      </c>
      <c r="H5990" s="11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 spans="1:26" ht="26.25" x14ac:dyDescent="0.4">
      <c r="A5991" s="6">
        <v>3</v>
      </c>
      <c r="B5991" s="15" t="s">
        <v>14</v>
      </c>
      <c r="C5991" s="11"/>
      <c r="D5991" s="11"/>
      <c r="E5991" s="11"/>
      <c r="F5991" s="11"/>
      <c r="G5991" s="16">
        <f t="shared" si="397"/>
        <v>0</v>
      </c>
      <c r="H5991" s="11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 spans="1:26" ht="26.25" x14ac:dyDescent="0.4">
      <c r="A5992" s="29" t="s">
        <v>15</v>
      </c>
      <c r="B5992" s="26"/>
      <c r="C5992" s="26"/>
      <c r="D5992" s="26"/>
      <c r="E5992" s="26"/>
      <c r="F5992" s="26"/>
      <c r="G5992" s="27"/>
      <c r="H5992" s="17">
        <f>SUM(G5989:G5991)</f>
        <v>1212350</v>
      </c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 spans="1:26" ht="26.25" x14ac:dyDescent="0.4">
      <c r="A5993" s="29" t="s">
        <v>16</v>
      </c>
      <c r="B5993" s="26"/>
      <c r="C5993" s="26"/>
      <c r="D5993" s="26"/>
      <c r="E5993" s="26"/>
      <c r="F5993" s="26"/>
      <c r="G5993" s="27"/>
      <c r="H5993" s="17">
        <f>MAX(0,H5992-648000)</f>
        <v>564350</v>
      </c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 spans="1:26" ht="26.25" x14ac:dyDescent="0.4">
      <c r="A5994" s="25" t="s">
        <v>17</v>
      </c>
      <c r="B5994" s="26"/>
      <c r="C5994" s="26"/>
      <c r="D5994" s="26"/>
      <c r="E5994" s="26"/>
      <c r="F5994" s="26"/>
      <c r="G5994" s="27"/>
      <c r="H5994" s="18">
        <v>649000</v>
      </c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 spans="1:26" ht="26.25" x14ac:dyDescent="0.4">
      <c r="A5995" s="28" t="s">
        <v>18</v>
      </c>
      <c r="B5995" s="26"/>
      <c r="C5995" s="26"/>
      <c r="D5995" s="26"/>
      <c r="E5995" s="26"/>
      <c r="F5995" s="26"/>
      <c r="G5995" s="26"/>
      <c r="H5995" s="27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 spans="1:26" ht="12.75" x14ac:dyDescent="0.2"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 spans="1:26" ht="12.75" x14ac:dyDescent="0.2"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6001" spans="1:26" ht="15.75" customHeight="1" x14ac:dyDescent="0.4">
      <c r="A6001" s="28" t="s">
        <v>0</v>
      </c>
      <c r="B6001" s="26"/>
      <c r="C6001" s="26"/>
      <c r="D6001" s="26"/>
      <c r="E6001" s="26"/>
      <c r="F6001" s="26"/>
      <c r="G6001" s="26"/>
      <c r="H6001" s="27"/>
    </row>
    <row r="6002" spans="1:26" ht="15.75" customHeight="1" x14ac:dyDescent="0.4">
      <c r="A6002" s="28" t="s">
        <v>1325</v>
      </c>
      <c r="B6002" s="26"/>
      <c r="C6002" s="26"/>
      <c r="D6002" s="26"/>
      <c r="E6002" s="26"/>
      <c r="F6002" s="26"/>
      <c r="G6002" s="26"/>
      <c r="H6002" s="27"/>
    </row>
    <row r="6003" spans="1:26" ht="29.25" customHeight="1" x14ac:dyDescent="0.3">
      <c r="A6003" s="3" t="s">
        <v>2</v>
      </c>
      <c r="B6003" s="3" t="s">
        <v>3</v>
      </c>
      <c r="C6003" s="3" t="s">
        <v>4</v>
      </c>
      <c r="D6003" s="3" t="s">
        <v>5</v>
      </c>
      <c r="E6003" s="3" t="s">
        <v>6</v>
      </c>
      <c r="F6003" s="4" t="s">
        <v>7</v>
      </c>
      <c r="G6003" s="3" t="s">
        <v>8</v>
      </c>
      <c r="H6003" s="5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 spans="1:26" ht="26.25" x14ac:dyDescent="0.4">
      <c r="A6004" s="6">
        <v>1</v>
      </c>
      <c r="B6004" s="20" t="s">
        <v>110</v>
      </c>
      <c r="C6004" s="21" t="s">
        <v>1326</v>
      </c>
      <c r="D6004" s="8" t="s">
        <v>11</v>
      </c>
      <c r="E6004" s="20">
        <v>2.89</v>
      </c>
      <c r="F6004" s="9">
        <v>293000</v>
      </c>
      <c r="G6004" s="10">
        <f t="shared" ref="G6004:G6006" si="398">IFERROR(E6004*F6004,0)</f>
        <v>846770</v>
      </c>
      <c r="H6004" s="11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 spans="1:26" ht="26.25" x14ac:dyDescent="0.4">
      <c r="A6005" s="6">
        <v>2</v>
      </c>
      <c r="B6005" s="22" t="s">
        <v>202</v>
      </c>
      <c r="C6005" s="23" t="s">
        <v>923</v>
      </c>
      <c r="D6005" s="13" t="s">
        <v>13</v>
      </c>
      <c r="E6005" s="22">
        <v>0.87</v>
      </c>
      <c r="F6005" s="14">
        <v>435000</v>
      </c>
      <c r="G6005" s="10">
        <f t="shared" si="398"/>
        <v>378450</v>
      </c>
      <c r="H6005" s="11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 spans="1:26" ht="26.25" x14ac:dyDescent="0.4">
      <c r="A6006" s="6">
        <v>3</v>
      </c>
      <c r="B6006" s="15" t="s">
        <v>14</v>
      </c>
      <c r="C6006" s="11"/>
      <c r="D6006" s="11"/>
      <c r="E6006" s="11"/>
      <c r="F6006" s="11"/>
      <c r="G6006" s="16">
        <f t="shared" si="398"/>
        <v>0</v>
      </c>
      <c r="H6006" s="11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 spans="1:26" ht="26.25" x14ac:dyDescent="0.4">
      <c r="A6007" s="29" t="s">
        <v>15</v>
      </c>
      <c r="B6007" s="26"/>
      <c r="C6007" s="26"/>
      <c r="D6007" s="26"/>
      <c r="E6007" s="26"/>
      <c r="F6007" s="26"/>
      <c r="G6007" s="27"/>
      <c r="H6007" s="17">
        <f>SUM(G6004:G6006)</f>
        <v>1225220</v>
      </c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 spans="1:26" ht="26.25" x14ac:dyDescent="0.4">
      <c r="A6008" s="29" t="s">
        <v>16</v>
      </c>
      <c r="B6008" s="26"/>
      <c r="C6008" s="26"/>
      <c r="D6008" s="26"/>
      <c r="E6008" s="26"/>
      <c r="F6008" s="26"/>
      <c r="G6008" s="27"/>
      <c r="H6008" s="17">
        <f>MAX(0,H6007-648000)</f>
        <v>577220</v>
      </c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 spans="1:26" ht="26.25" x14ac:dyDescent="0.4">
      <c r="A6009" s="25" t="s">
        <v>17</v>
      </c>
      <c r="B6009" s="26"/>
      <c r="C6009" s="26"/>
      <c r="D6009" s="26"/>
      <c r="E6009" s="26"/>
      <c r="F6009" s="26"/>
      <c r="G6009" s="27"/>
      <c r="H6009" s="18">
        <v>649000</v>
      </c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 spans="1:26" ht="26.25" x14ac:dyDescent="0.4">
      <c r="A6010" s="28" t="s">
        <v>18</v>
      </c>
      <c r="B6010" s="26"/>
      <c r="C6010" s="26"/>
      <c r="D6010" s="26"/>
      <c r="E6010" s="26"/>
      <c r="F6010" s="26"/>
      <c r="G6010" s="26"/>
      <c r="H6010" s="27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 spans="1:26" ht="12.75" x14ac:dyDescent="0.2"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 spans="1:26" ht="12.75" x14ac:dyDescent="0.2"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6" spans="1:26" ht="15.75" customHeight="1" x14ac:dyDescent="0.4">
      <c r="A6016" s="28" t="s">
        <v>0</v>
      </c>
      <c r="B6016" s="26"/>
      <c r="C6016" s="26"/>
      <c r="D6016" s="26"/>
      <c r="E6016" s="26"/>
      <c r="F6016" s="26"/>
      <c r="G6016" s="26"/>
      <c r="H6016" s="27"/>
    </row>
    <row r="6017" spans="1:26" ht="15.75" customHeight="1" x14ac:dyDescent="0.4">
      <c r="A6017" s="28" t="s">
        <v>1327</v>
      </c>
      <c r="B6017" s="26"/>
      <c r="C6017" s="26"/>
      <c r="D6017" s="26"/>
      <c r="E6017" s="26"/>
      <c r="F6017" s="26"/>
      <c r="G6017" s="26"/>
      <c r="H6017" s="27"/>
    </row>
    <row r="6018" spans="1:26" ht="15.75" customHeight="1" x14ac:dyDescent="0.3">
      <c r="A6018" s="3" t="s">
        <v>2</v>
      </c>
      <c r="B6018" s="3" t="s">
        <v>3</v>
      </c>
      <c r="C6018" s="3" t="s">
        <v>4</v>
      </c>
      <c r="D6018" s="3" t="s">
        <v>5</v>
      </c>
      <c r="E6018" s="3" t="s">
        <v>6</v>
      </c>
      <c r="F6018" s="4" t="s">
        <v>7</v>
      </c>
      <c r="G6018" s="3" t="s">
        <v>8</v>
      </c>
      <c r="H6018" s="5"/>
    </row>
    <row r="6019" spans="1:26" ht="15.75" customHeight="1" x14ac:dyDescent="0.4">
      <c r="A6019" s="6">
        <v>1</v>
      </c>
      <c r="B6019" s="20" t="s">
        <v>98</v>
      </c>
      <c r="C6019" s="21" t="s">
        <v>10</v>
      </c>
      <c r="D6019" s="8" t="s">
        <v>11</v>
      </c>
      <c r="E6019" s="20">
        <v>2</v>
      </c>
      <c r="F6019" s="9">
        <v>293000</v>
      </c>
      <c r="G6019" s="10">
        <f t="shared" ref="G6019:G6021" si="399">IFERROR(E6019*F6019,0)</f>
        <v>586000</v>
      </c>
      <c r="H6019" s="11"/>
    </row>
    <row r="6020" spans="1:26" ht="15.75" customHeight="1" x14ac:dyDescent="0.4">
      <c r="A6020" s="6">
        <v>2</v>
      </c>
      <c r="B6020" s="22" t="s">
        <v>903</v>
      </c>
      <c r="C6020" s="23" t="s">
        <v>1328</v>
      </c>
      <c r="D6020" s="13" t="s">
        <v>13</v>
      </c>
      <c r="E6020" s="22">
        <v>1.17</v>
      </c>
      <c r="F6020" s="14">
        <v>435000</v>
      </c>
      <c r="G6020" s="10">
        <f t="shared" si="399"/>
        <v>508949.99999999994</v>
      </c>
      <c r="H6020" s="11"/>
    </row>
    <row r="6021" spans="1:26" ht="29.25" customHeight="1" x14ac:dyDescent="0.4">
      <c r="A6021" s="6">
        <v>3</v>
      </c>
      <c r="B6021" s="15" t="s">
        <v>14</v>
      </c>
      <c r="C6021" s="11"/>
      <c r="D6021" s="11"/>
      <c r="E6021" s="11"/>
      <c r="F6021" s="11"/>
      <c r="G6021" s="16">
        <f t="shared" si="399"/>
        <v>0</v>
      </c>
      <c r="H6021" s="11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 spans="1:26" ht="26.25" x14ac:dyDescent="0.4">
      <c r="A6022" s="29" t="s">
        <v>15</v>
      </c>
      <c r="B6022" s="26"/>
      <c r="C6022" s="26"/>
      <c r="D6022" s="26"/>
      <c r="E6022" s="26"/>
      <c r="F6022" s="26"/>
      <c r="G6022" s="27"/>
      <c r="H6022" s="17">
        <f>SUM(G6019:G6021)</f>
        <v>1094950</v>
      </c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 spans="1:26" ht="26.25" x14ac:dyDescent="0.4">
      <c r="A6023" s="29" t="s">
        <v>16</v>
      </c>
      <c r="B6023" s="26"/>
      <c r="C6023" s="26"/>
      <c r="D6023" s="26"/>
      <c r="E6023" s="26"/>
      <c r="F6023" s="26"/>
      <c r="G6023" s="27"/>
      <c r="H6023" s="17">
        <f>MAX(0,H6022-648000)</f>
        <v>446950</v>
      </c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 spans="1:26" ht="26.25" x14ac:dyDescent="0.4">
      <c r="A6024" s="25" t="s">
        <v>17</v>
      </c>
      <c r="B6024" s="26"/>
      <c r="C6024" s="26"/>
      <c r="D6024" s="26"/>
      <c r="E6024" s="26"/>
      <c r="F6024" s="26"/>
      <c r="G6024" s="27"/>
      <c r="H6024" s="18">
        <v>649000</v>
      </c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 spans="1:26" ht="26.25" x14ac:dyDescent="0.4">
      <c r="A6025" s="28" t="s">
        <v>18</v>
      </c>
      <c r="B6025" s="26"/>
      <c r="C6025" s="26"/>
      <c r="D6025" s="26"/>
      <c r="E6025" s="26"/>
      <c r="F6025" s="26"/>
      <c r="G6025" s="26"/>
      <c r="H6025" s="27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 spans="1:26" ht="12.75" x14ac:dyDescent="0.2"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 spans="1:26" ht="12.75" x14ac:dyDescent="0.2"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 spans="1:26" ht="12.75" x14ac:dyDescent="0.2"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 spans="1:26" ht="12.75" x14ac:dyDescent="0.2"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 spans="1:26" ht="12.75" x14ac:dyDescent="0.2"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4" spans="1:8" ht="15.75" customHeight="1" x14ac:dyDescent="0.4">
      <c r="A6034" s="28" t="s">
        <v>0</v>
      </c>
      <c r="B6034" s="26"/>
      <c r="C6034" s="26"/>
      <c r="D6034" s="26"/>
      <c r="E6034" s="26"/>
      <c r="F6034" s="26"/>
      <c r="G6034" s="26"/>
      <c r="H6034" s="27"/>
    </row>
    <row r="6035" spans="1:8" ht="15.75" customHeight="1" x14ac:dyDescent="0.4">
      <c r="A6035" s="28" t="s">
        <v>1329</v>
      </c>
      <c r="B6035" s="26"/>
      <c r="C6035" s="26"/>
      <c r="D6035" s="26"/>
      <c r="E6035" s="26"/>
      <c r="F6035" s="26"/>
      <c r="G6035" s="26"/>
      <c r="H6035" s="27"/>
    </row>
    <row r="6036" spans="1:8" ht="15.75" customHeight="1" x14ac:dyDescent="0.3">
      <c r="A6036" s="3" t="s">
        <v>2</v>
      </c>
      <c r="B6036" s="3" t="s">
        <v>3</v>
      </c>
      <c r="C6036" s="3" t="s">
        <v>4</v>
      </c>
      <c r="D6036" s="3" t="s">
        <v>5</v>
      </c>
      <c r="E6036" s="3" t="s">
        <v>6</v>
      </c>
      <c r="F6036" s="4" t="s">
        <v>7</v>
      </c>
      <c r="G6036" s="3" t="s">
        <v>8</v>
      </c>
      <c r="H6036" s="5"/>
    </row>
    <row r="6037" spans="1:8" ht="15.75" customHeight="1" x14ac:dyDescent="0.4">
      <c r="A6037" s="6">
        <v>1</v>
      </c>
      <c r="B6037" s="20" t="s">
        <v>1330</v>
      </c>
      <c r="C6037" s="21" t="s">
        <v>1331</v>
      </c>
      <c r="D6037" s="8" t="s">
        <v>11</v>
      </c>
      <c r="E6037" s="20">
        <v>2</v>
      </c>
      <c r="F6037" s="9">
        <v>293000</v>
      </c>
      <c r="G6037" s="10">
        <f t="shared" ref="G6037:G6039" si="400">IFERROR(E6037*F6037,0)</f>
        <v>586000</v>
      </c>
      <c r="H6037" s="11"/>
    </row>
    <row r="6038" spans="1:8" ht="15.75" customHeight="1" x14ac:dyDescent="0.4">
      <c r="A6038" s="6">
        <v>2</v>
      </c>
      <c r="B6038" s="22" t="s">
        <v>1332</v>
      </c>
      <c r="C6038" s="23" t="s">
        <v>1333</v>
      </c>
      <c r="D6038" s="13" t="s">
        <v>13</v>
      </c>
      <c r="E6038" s="22">
        <v>1.3</v>
      </c>
      <c r="F6038" s="14">
        <v>435000</v>
      </c>
      <c r="G6038" s="10">
        <f t="shared" si="400"/>
        <v>565500</v>
      </c>
      <c r="H6038" s="11"/>
    </row>
    <row r="6039" spans="1:8" ht="15.75" customHeight="1" x14ac:dyDescent="0.4">
      <c r="A6039" s="6">
        <v>3</v>
      </c>
      <c r="B6039" s="15" t="s">
        <v>14</v>
      </c>
      <c r="C6039" s="11"/>
      <c r="D6039" s="11"/>
      <c r="E6039" s="11"/>
      <c r="F6039" s="11"/>
      <c r="G6039" s="16">
        <f t="shared" si="400"/>
        <v>0</v>
      </c>
      <c r="H6039" s="11"/>
    </row>
    <row r="6040" spans="1:8" ht="15.75" customHeight="1" x14ac:dyDescent="0.4">
      <c r="A6040" s="29" t="s">
        <v>15</v>
      </c>
      <c r="B6040" s="26"/>
      <c r="C6040" s="26"/>
      <c r="D6040" s="26"/>
      <c r="E6040" s="26"/>
      <c r="F6040" s="26"/>
      <c r="G6040" s="27"/>
      <c r="H6040" s="17">
        <f>SUM(G6037:G6039)</f>
        <v>1151500</v>
      </c>
    </row>
    <row r="6041" spans="1:8" ht="15.75" customHeight="1" x14ac:dyDescent="0.4">
      <c r="A6041" s="29" t="s">
        <v>16</v>
      </c>
      <c r="B6041" s="26"/>
      <c r="C6041" s="26"/>
      <c r="D6041" s="26"/>
      <c r="E6041" s="26"/>
      <c r="F6041" s="26"/>
      <c r="G6041" s="27"/>
      <c r="H6041" s="17">
        <f>MAX(0,H6040-648000)</f>
        <v>503500</v>
      </c>
    </row>
    <row r="6042" spans="1:8" ht="15.75" customHeight="1" x14ac:dyDescent="0.4">
      <c r="A6042" s="25" t="s">
        <v>17</v>
      </c>
      <c r="B6042" s="26"/>
      <c r="C6042" s="26"/>
      <c r="D6042" s="26"/>
      <c r="E6042" s="26"/>
      <c r="F6042" s="26"/>
      <c r="G6042" s="27"/>
      <c r="H6042" s="18">
        <v>649000</v>
      </c>
    </row>
    <row r="6043" spans="1:8" ht="15.75" customHeight="1" x14ac:dyDescent="0.4">
      <c r="A6043" s="28" t="s">
        <v>18</v>
      </c>
      <c r="B6043" s="26"/>
      <c r="C6043" s="26"/>
      <c r="D6043" s="26"/>
      <c r="E6043" s="26"/>
      <c r="F6043" s="26"/>
      <c r="G6043" s="26"/>
      <c r="H6043" s="27"/>
    </row>
  </sheetData>
  <mergeCells count="2406">
    <mergeCell ref="A1:H1"/>
    <mergeCell ref="A2:H2"/>
    <mergeCell ref="A7:G7"/>
    <mergeCell ref="A8:G8"/>
    <mergeCell ref="A9:G9"/>
    <mergeCell ref="A10:H10"/>
    <mergeCell ref="A3105:H3105"/>
    <mergeCell ref="A3111:H3111"/>
    <mergeCell ref="A3112:H3112"/>
    <mergeCell ref="A3117:G3117"/>
    <mergeCell ref="A3118:G3118"/>
    <mergeCell ref="A3119:G3119"/>
    <mergeCell ref="A3120:H3120"/>
    <mergeCell ref="A3129:H3129"/>
    <mergeCell ref="A3130:H3130"/>
    <mergeCell ref="A3135:G3135"/>
    <mergeCell ref="A3136:G3136"/>
    <mergeCell ref="A3137:G3137"/>
    <mergeCell ref="A3138:H3138"/>
    <mergeCell ref="A3143:H3143"/>
    <mergeCell ref="A3144:H3144"/>
    <mergeCell ref="A3149:G3149"/>
    <mergeCell ref="A3150:G3150"/>
    <mergeCell ref="A3065:H3065"/>
    <mergeCell ref="A3066:H3066"/>
    <mergeCell ref="A3071:G3071"/>
    <mergeCell ref="A3072:G3072"/>
    <mergeCell ref="A3073:G3073"/>
    <mergeCell ref="A3074:H3074"/>
    <mergeCell ref="A3081:H3081"/>
    <mergeCell ref="A3082:H3082"/>
    <mergeCell ref="A3087:G3087"/>
    <mergeCell ref="A3088:G3088"/>
    <mergeCell ref="A3089:G3089"/>
    <mergeCell ref="A3090:H3090"/>
    <mergeCell ref="A3096:H3096"/>
    <mergeCell ref="A3097:H3097"/>
    <mergeCell ref="A3102:G3102"/>
    <mergeCell ref="A3103:G3103"/>
    <mergeCell ref="A3104:G3104"/>
    <mergeCell ref="A2967:G2967"/>
    <mergeCell ref="A2968:H2968"/>
    <mergeCell ref="A3025:G3025"/>
    <mergeCell ref="A3026:G3026"/>
    <mergeCell ref="A3027:H3027"/>
    <mergeCell ref="A3034:H3034"/>
    <mergeCell ref="A3035:H3035"/>
    <mergeCell ref="A3040:G3040"/>
    <mergeCell ref="A3041:G3041"/>
    <mergeCell ref="A3042:G3042"/>
    <mergeCell ref="A3043:H3043"/>
    <mergeCell ref="A3051:H3051"/>
    <mergeCell ref="A3052:H3052"/>
    <mergeCell ref="A3057:G3057"/>
    <mergeCell ref="A3058:G3058"/>
    <mergeCell ref="A3059:G3059"/>
    <mergeCell ref="A3060:H3060"/>
    <mergeCell ref="A2818:H2818"/>
    <mergeCell ref="A2824:H2824"/>
    <mergeCell ref="A2825:H2825"/>
    <mergeCell ref="A2830:G2830"/>
    <mergeCell ref="A2831:G2831"/>
    <mergeCell ref="A2939:G2939"/>
    <mergeCell ref="A2940:H2940"/>
    <mergeCell ref="A2944:H2944"/>
    <mergeCell ref="A2945:H2945"/>
    <mergeCell ref="A2950:G2950"/>
    <mergeCell ref="A2951:G2951"/>
    <mergeCell ref="A2952:G2952"/>
    <mergeCell ref="A2953:H2953"/>
    <mergeCell ref="A2959:H2959"/>
    <mergeCell ref="A2960:H2960"/>
    <mergeCell ref="A2965:G2965"/>
    <mergeCell ref="A2966:G2966"/>
    <mergeCell ref="A2780:H2780"/>
    <mergeCell ref="A2781:H2781"/>
    <mergeCell ref="A2786:G2786"/>
    <mergeCell ref="A2787:G2787"/>
    <mergeCell ref="A2788:G2788"/>
    <mergeCell ref="A2789:H2789"/>
    <mergeCell ref="A2795:H2795"/>
    <mergeCell ref="A2796:H2796"/>
    <mergeCell ref="A2801:G2801"/>
    <mergeCell ref="A2802:G2802"/>
    <mergeCell ref="A2803:G2803"/>
    <mergeCell ref="A2804:H2804"/>
    <mergeCell ref="A2809:H2809"/>
    <mergeCell ref="A2810:H2810"/>
    <mergeCell ref="A2815:G2815"/>
    <mergeCell ref="A2816:G2816"/>
    <mergeCell ref="A2817:G2817"/>
    <mergeCell ref="A2736:H2736"/>
    <mergeCell ref="A2741:G2741"/>
    <mergeCell ref="A2742:G2742"/>
    <mergeCell ref="A2743:G2743"/>
    <mergeCell ref="A2744:H2744"/>
    <mergeCell ref="A2751:H2751"/>
    <mergeCell ref="A2752:H2752"/>
    <mergeCell ref="A2757:G2757"/>
    <mergeCell ref="A2758:G2758"/>
    <mergeCell ref="A2759:G2759"/>
    <mergeCell ref="A2760:H2760"/>
    <mergeCell ref="A2766:H2766"/>
    <mergeCell ref="A2767:H2767"/>
    <mergeCell ref="A2772:G2772"/>
    <mergeCell ref="A2773:G2773"/>
    <mergeCell ref="A2774:G2774"/>
    <mergeCell ref="A2775:H2775"/>
    <mergeCell ref="A2694:G2694"/>
    <mergeCell ref="A2695:G2695"/>
    <mergeCell ref="A2696:G2696"/>
    <mergeCell ref="A2697:H2697"/>
    <mergeCell ref="A2704:H2704"/>
    <mergeCell ref="A2705:H2705"/>
    <mergeCell ref="A2710:G2710"/>
    <mergeCell ref="A2711:G2711"/>
    <mergeCell ref="A2712:G2712"/>
    <mergeCell ref="A2713:H2713"/>
    <mergeCell ref="A2720:H2720"/>
    <mergeCell ref="A2721:H2721"/>
    <mergeCell ref="A2726:G2726"/>
    <mergeCell ref="A2727:G2727"/>
    <mergeCell ref="A2728:G2728"/>
    <mergeCell ref="A2729:H2729"/>
    <mergeCell ref="A2735:H2735"/>
    <mergeCell ref="A2681:G2681"/>
    <mergeCell ref="A2682:H2682"/>
    <mergeCell ref="A2688:H2688"/>
    <mergeCell ref="A2689:H2689"/>
    <mergeCell ref="A2519:G2519"/>
    <mergeCell ref="A2520:H2520"/>
    <mergeCell ref="A2525:H2525"/>
    <mergeCell ref="A2526:H2526"/>
    <mergeCell ref="A2531:G2531"/>
    <mergeCell ref="A2532:G2532"/>
    <mergeCell ref="A2533:G2533"/>
    <mergeCell ref="A2534:H2534"/>
    <mergeCell ref="A2540:H2540"/>
    <mergeCell ref="A2541:H2541"/>
    <mergeCell ref="A2546:G2546"/>
    <mergeCell ref="A2547:G2547"/>
    <mergeCell ref="A2548:G2548"/>
    <mergeCell ref="A2549:H2549"/>
    <mergeCell ref="A2556:H2556"/>
    <mergeCell ref="A2557:H2557"/>
    <mergeCell ref="A2562:G2562"/>
    <mergeCell ref="A2563:G2563"/>
    <mergeCell ref="A2564:G2564"/>
    <mergeCell ref="A2565:H2565"/>
    <mergeCell ref="A2570:H2570"/>
    <mergeCell ref="A2571:H2571"/>
    <mergeCell ref="A2576:G2576"/>
    <mergeCell ref="A2577:G2577"/>
    <mergeCell ref="A2578:G2578"/>
    <mergeCell ref="A2579:H2579"/>
    <mergeCell ref="A2585:H2585"/>
    <mergeCell ref="A2586:H2586"/>
    <mergeCell ref="A2639:H2639"/>
    <mergeCell ref="A2645:H2645"/>
    <mergeCell ref="A2646:H2646"/>
    <mergeCell ref="A2651:G2651"/>
    <mergeCell ref="A2652:G2652"/>
    <mergeCell ref="A2653:G2653"/>
    <mergeCell ref="A2654:H2654"/>
    <mergeCell ref="A2659:H2659"/>
    <mergeCell ref="A2660:H2660"/>
    <mergeCell ref="A2665:G2665"/>
    <mergeCell ref="A2666:G2666"/>
    <mergeCell ref="A2667:G2667"/>
    <mergeCell ref="A2668:H2668"/>
    <mergeCell ref="A2673:H2673"/>
    <mergeCell ref="A2674:H2674"/>
    <mergeCell ref="A2679:G2679"/>
    <mergeCell ref="A2680:G2680"/>
    <mergeCell ref="A2496:H2496"/>
    <mergeCell ref="A2497:H2497"/>
    <mergeCell ref="A2502:G2502"/>
    <mergeCell ref="A2503:G2503"/>
    <mergeCell ref="A2504:G2504"/>
    <mergeCell ref="A2505:H2505"/>
    <mergeCell ref="A2511:H2511"/>
    <mergeCell ref="A2512:H2512"/>
    <mergeCell ref="A2517:G2517"/>
    <mergeCell ref="A2518:G2518"/>
    <mergeCell ref="A2623:G2623"/>
    <mergeCell ref="A2624:H2624"/>
    <mergeCell ref="A2630:H2630"/>
    <mergeCell ref="A2631:H2631"/>
    <mergeCell ref="A2636:G2636"/>
    <mergeCell ref="A2637:G2637"/>
    <mergeCell ref="A2638:G2638"/>
    <mergeCell ref="A2591:G2591"/>
    <mergeCell ref="A2592:G2592"/>
    <mergeCell ref="A2593:G2593"/>
    <mergeCell ref="A2594:H2594"/>
    <mergeCell ref="A2600:H2600"/>
    <mergeCell ref="A2601:H2601"/>
    <mergeCell ref="A2606:G2606"/>
    <mergeCell ref="A2607:G2607"/>
    <mergeCell ref="A2608:G2608"/>
    <mergeCell ref="A2609:H2609"/>
    <mergeCell ref="A2615:H2615"/>
    <mergeCell ref="A2616:H2616"/>
    <mergeCell ref="A2621:G2621"/>
    <mergeCell ref="A2622:G2622"/>
    <mergeCell ref="A2452:H2452"/>
    <mergeCell ref="A2457:G2457"/>
    <mergeCell ref="A2458:G2458"/>
    <mergeCell ref="A2459:G2459"/>
    <mergeCell ref="A2460:H2460"/>
    <mergeCell ref="A2467:H2467"/>
    <mergeCell ref="A2468:H2468"/>
    <mergeCell ref="A2473:G2473"/>
    <mergeCell ref="A2474:G2474"/>
    <mergeCell ref="A2475:G2475"/>
    <mergeCell ref="A2476:H2476"/>
    <mergeCell ref="A2481:H2481"/>
    <mergeCell ref="A2482:H2482"/>
    <mergeCell ref="A2487:G2487"/>
    <mergeCell ref="A2488:G2488"/>
    <mergeCell ref="A2489:G2489"/>
    <mergeCell ref="A2490:H2490"/>
    <mergeCell ref="A2932:H2932"/>
    <mergeCell ref="A2937:G2937"/>
    <mergeCell ref="A2938:G2938"/>
    <mergeCell ref="A3008:G3008"/>
    <mergeCell ref="A3009:G3009"/>
    <mergeCell ref="A3010:G3010"/>
    <mergeCell ref="A3011:H3011"/>
    <mergeCell ref="A3018:H3018"/>
    <mergeCell ref="A3019:H3019"/>
    <mergeCell ref="A3024:G3024"/>
    <mergeCell ref="A2399:G2399"/>
    <mergeCell ref="A2400:G2400"/>
    <mergeCell ref="A2401:H2401"/>
    <mergeCell ref="A2407:H2407"/>
    <mergeCell ref="A2408:H2408"/>
    <mergeCell ref="A2413:G2413"/>
    <mergeCell ref="A2414:G2414"/>
    <mergeCell ref="A2415:G2415"/>
    <mergeCell ref="A2416:H2416"/>
    <mergeCell ref="A2422:H2422"/>
    <mergeCell ref="A2423:H2423"/>
    <mergeCell ref="A2428:G2428"/>
    <mergeCell ref="A2429:G2429"/>
    <mergeCell ref="A2430:G2430"/>
    <mergeCell ref="A2431:H2431"/>
    <mergeCell ref="A2437:H2437"/>
    <mergeCell ref="A2438:H2438"/>
    <mergeCell ref="A2443:G2443"/>
    <mergeCell ref="A2444:G2444"/>
    <mergeCell ref="A2445:G2445"/>
    <mergeCell ref="A2446:H2446"/>
    <mergeCell ref="A2451:H2451"/>
    <mergeCell ref="A2988:H2988"/>
    <mergeCell ref="A2989:H2989"/>
    <mergeCell ref="A2994:G2994"/>
    <mergeCell ref="A2995:G2995"/>
    <mergeCell ref="A2996:G2996"/>
    <mergeCell ref="A2997:H2997"/>
    <mergeCell ref="A3002:H3002"/>
    <mergeCell ref="A3003:H3003"/>
    <mergeCell ref="A2832:G2832"/>
    <mergeCell ref="A2833:H2833"/>
    <mergeCell ref="A2840:H2840"/>
    <mergeCell ref="A2841:H2841"/>
    <mergeCell ref="A2846:G2846"/>
    <mergeCell ref="A2847:G2847"/>
    <mergeCell ref="A2848:G2848"/>
    <mergeCell ref="A2849:H2849"/>
    <mergeCell ref="A2856:H2856"/>
    <mergeCell ref="A2857:H2857"/>
    <mergeCell ref="A2862:G2862"/>
    <mergeCell ref="A2863:G2863"/>
    <mergeCell ref="A2864:G2864"/>
    <mergeCell ref="A2865:H2865"/>
    <mergeCell ref="A2872:H2872"/>
    <mergeCell ref="A2873:H2873"/>
    <mergeCell ref="A2878:G2878"/>
    <mergeCell ref="A2879:G2879"/>
    <mergeCell ref="A2880:G2880"/>
    <mergeCell ref="A2881:H2881"/>
    <mergeCell ref="A2888:H2888"/>
    <mergeCell ref="A2889:H2889"/>
    <mergeCell ref="A2894:G2894"/>
    <mergeCell ref="A2895:G2895"/>
    <mergeCell ref="A2305:H2305"/>
    <mergeCell ref="A2306:H2306"/>
    <mergeCell ref="A2311:G2311"/>
    <mergeCell ref="A2312:G2312"/>
    <mergeCell ref="A2383:G2383"/>
    <mergeCell ref="A2384:G2384"/>
    <mergeCell ref="A2385:G2385"/>
    <mergeCell ref="A2386:H2386"/>
    <mergeCell ref="A2392:H2392"/>
    <mergeCell ref="A2393:H2393"/>
    <mergeCell ref="A2398:G2398"/>
    <mergeCell ref="A2973:H2973"/>
    <mergeCell ref="A2974:H2974"/>
    <mergeCell ref="A2979:G2979"/>
    <mergeCell ref="A2980:G2980"/>
    <mergeCell ref="A2981:G2981"/>
    <mergeCell ref="A2982:H2982"/>
    <mergeCell ref="A2896:G2896"/>
    <mergeCell ref="A2897:H2897"/>
    <mergeCell ref="A2902:H2902"/>
    <mergeCell ref="A2903:H2903"/>
    <mergeCell ref="A2908:G2908"/>
    <mergeCell ref="A2909:G2909"/>
    <mergeCell ref="A2910:G2910"/>
    <mergeCell ref="A2911:H2911"/>
    <mergeCell ref="A2917:H2917"/>
    <mergeCell ref="A2918:H2918"/>
    <mergeCell ref="A2923:G2923"/>
    <mergeCell ref="A2924:G2924"/>
    <mergeCell ref="A2925:G2925"/>
    <mergeCell ref="A2926:H2926"/>
    <mergeCell ref="A2931:H2931"/>
    <mergeCell ref="A2357:H2357"/>
    <mergeCell ref="A2362:H2362"/>
    <mergeCell ref="A2363:H2363"/>
    <mergeCell ref="A2368:G2368"/>
    <mergeCell ref="A2369:G2369"/>
    <mergeCell ref="A2370:G2370"/>
    <mergeCell ref="A2371:H2371"/>
    <mergeCell ref="A2377:H2377"/>
    <mergeCell ref="A2378:H2378"/>
    <mergeCell ref="A2202:G2202"/>
    <mergeCell ref="A2203:H2203"/>
    <mergeCell ref="A2213:H2213"/>
    <mergeCell ref="A2214:H2214"/>
    <mergeCell ref="A2219:G2219"/>
    <mergeCell ref="A2220:G2220"/>
    <mergeCell ref="A2221:G2221"/>
    <mergeCell ref="A2222:H2222"/>
    <mergeCell ref="A2228:H2228"/>
    <mergeCell ref="A2229:H2229"/>
    <mergeCell ref="A2234:G2234"/>
    <mergeCell ref="A2235:G2235"/>
    <mergeCell ref="A2236:G2236"/>
    <mergeCell ref="A2237:H2237"/>
    <mergeCell ref="A2245:H2245"/>
    <mergeCell ref="A2246:H2246"/>
    <mergeCell ref="A2251:G2251"/>
    <mergeCell ref="A2252:G2252"/>
    <mergeCell ref="A2253:G2253"/>
    <mergeCell ref="A2254:H2254"/>
    <mergeCell ref="A2262:H2262"/>
    <mergeCell ref="A2263:H2263"/>
    <mergeCell ref="A2268:G2268"/>
    <mergeCell ref="A2319:H2319"/>
    <mergeCell ref="A2320:H2320"/>
    <mergeCell ref="A2325:G2325"/>
    <mergeCell ref="A2326:G2326"/>
    <mergeCell ref="A2327:G2327"/>
    <mergeCell ref="A2328:H2328"/>
    <mergeCell ref="A2334:H2334"/>
    <mergeCell ref="A2335:H2335"/>
    <mergeCell ref="A2340:G2340"/>
    <mergeCell ref="A2341:G2341"/>
    <mergeCell ref="A2342:G2342"/>
    <mergeCell ref="A2343:H2343"/>
    <mergeCell ref="A2348:H2348"/>
    <mergeCell ref="A2349:H2349"/>
    <mergeCell ref="A2354:G2354"/>
    <mergeCell ref="A2355:G2355"/>
    <mergeCell ref="A2356:G2356"/>
    <mergeCell ref="A2166:H2166"/>
    <mergeCell ref="A2171:G2171"/>
    <mergeCell ref="A2172:G2172"/>
    <mergeCell ref="A2173:G2173"/>
    <mergeCell ref="A2174:H2174"/>
    <mergeCell ref="A2180:H2180"/>
    <mergeCell ref="A2181:H2181"/>
    <mergeCell ref="A2186:G2186"/>
    <mergeCell ref="A2187:G2187"/>
    <mergeCell ref="A2188:G2188"/>
    <mergeCell ref="A2189:H2189"/>
    <mergeCell ref="A2194:H2194"/>
    <mergeCell ref="A2195:H2195"/>
    <mergeCell ref="A2200:G2200"/>
    <mergeCell ref="A2201:G2201"/>
    <mergeCell ref="A2313:G2313"/>
    <mergeCell ref="A2314:H2314"/>
    <mergeCell ref="A2269:G2269"/>
    <mergeCell ref="A2270:G2270"/>
    <mergeCell ref="A2271:H2271"/>
    <mergeCell ref="A2278:H2278"/>
    <mergeCell ref="A2279:H2279"/>
    <mergeCell ref="A2284:G2284"/>
    <mergeCell ref="A2285:G2285"/>
    <mergeCell ref="A2286:G2286"/>
    <mergeCell ref="A2287:H2287"/>
    <mergeCell ref="A2292:H2292"/>
    <mergeCell ref="A2293:H2293"/>
    <mergeCell ref="A2298:G2298"/>
    <mergeCell ref="A2299:G2299"/>
    <mergeCell ref="A2300:G2300"/>
    <mergeCell ref="A2301:H2301"/>
    <mergeCell ref="A2127:G2127"/>
    <mergeCell ref="A2128:G2128"/>
    <mergeCell ref="A2129:G2129"/>
    <mergeCell ref="A2130:H2130"/>
    <mergeCell ref="A2136:H2136"/>
    <mergeCell ref="A2137:H2137"/>
    <mergeCell ref="A2142:G2142"/>
    <mergeCell ref="A2143:G2143"/>
    <mergeCell ref="A2144:G2144"/>
    <mergeCell ref="A2145:H2145"/>
    <mergeCell ref="A2151:H2151"/>
    <mergeCell ref="A2152:H2152"/>
    <mergeCell ref="A2157:G2157"/>
    <mergeCell ref="A2158:G2158"/>
    <mergeCell ref="A2159:G2159"/>
    <mergeCell ref="A2160:H2160"/>
    <mergeCell ref="A2165:H2165"/>
    <mergeCell ref="A2083:G2083"/>
    <mergeCell ref="A2084:G2084"/>
    <mergeCell ref="A2085:H2085"/>
    <mergeCell ref="A2091:H2091"/>
    <mergeCell ref="A2092:H2092"/>
    <mergeCell ref="A2097:G2097"/>
    <mergeCell ref="A2098:G2098"/>
    <mergeCell ref="A2099:G2099"/>
    <mergeCell ref="A2100:H2100"/>
    <mergeCell ref="A2106:H2106"/>
    <mergeCell ref="A2107:H2107"/>
    <mergeCell ref="A2112:G2112"/>
    <mergeCell ref="A2113:G2113"/>
    <mergeCell ref="A2114:G2114"/>
    <mergeCell ref="A2115:H2115"/>
    <mergeCell ref="A2121:H2121"/>
    <mergeCell ref="A2122:H2122"/>
    <mergeCell ref="A1973:H1973"/>
    <mergeCell ref="A1974:H1974"/>
    <mergeCell ref="A1979:G1979"/>
    <mergeCell ref="A1980:G1980"/>
    <mergeCell ref="A1981:G1981"/>
    <mergeCell ref="A1982:H1982"/>
    <mergeCell ref="A1987:H1987"/>
    <mergeCell ref="A1988:H1988"/>
    <mergeCell ref="A1993:G1993"/>
    <mergeCell ref="A1994:G1994"/>
    <mergeCell ref="A2067:G2067"/>
    <mergeCell ref="A2068:G2068"/>
    <mergeCell ref="A2069:G2069"/>
    <mergeCell ref="A2070:H2070"/>
    <mergeCell ref="A2076:H2076"/>
    <mergeCell ref="A2077:H2077"/>
    <mergeCell ref="A2082:G2082"/>
    <mergeCell ref="A2025:H2025"/>
    <mergeCell ref="A2030:H2030"/>
    <mergeCell ref="A2031:H2031"/>
    <mergeCell ref="A2036:G2036"/>
    <mergeCell ref="A2037:G2037"/>
    <mergeCell ref="A2038:G2038"/>
    <mergeCell ref="A2039:H2039"/>
    <mergeCell ref="A2045:H2045"/>
    <mergeCell ref="A2046:H2046"/>
    <mergeCell ref="A2051:G2051"/>
    <mergeCell ref="A2052:G2052"/>
    <mergeCell ref="A2053:G2053"/>
    <mergeCell ref="A2054:H2054"/>
    <mergeCell ref="A2061:H2061"/>
    <mergeCell ref="A2062:H2062"/>
    <mergeCell ref="A1890:G1890"/>
    <mergeCell ref="A1891:H1891"/>
    <mergeCell ref="A1897:H1897"/>
    <mergeCell ref="A1898:H1898"/>
    <mergeCell ref="A1903:G1903"/>
    <mergeCell ref="A1904:G1904"/>
    <mergeCell ref="A1905:G1905"/>
    <mergeCell ref="A1906:H1906"/>
    <mergeCell ref="A1913:H1913"/>
    <mergeCell ref="A1914:H1914"/>
    <mergeCell ref="A1919:G1919"/>
    <mergeCell ref="A1920:G1920"/>
    <mergeCell ref="A1921:G1921"/>
    <mergeCell ref="A1922:H1922"/>
    <mergeCell ref="A1929:H1929"/>
    <mergeCell ref="A1930:H1930"/>
    <mergeCell ref="A1935:G1935"/>
    <mergeCell ref="A1882:H1882"/>
    <mergeCell ref="A1883:H1883"/>
    <mergeCell ref="A1888:G1888"/>
    <mergeCell ref="A1889:G1889"/>
    <mergeCell ref="A1995:G1995"/>
    <mergeCell ref="A1996:H1996"/>
    <mergeCell ref="A2002:H2002"/>
    <mergeCell ref="A2003:H2003"/>
    <mergeCell ref="A2008:G2008"/>
    <mergeCell ref="A2009:G2009"/>
    <mergeCell ref="A2010:G2010"/>
    <mergeCell ref="A2011:H2011"/>
    <mergeCell ref="A2016:H2016"/>
    <mergeCell ref="A2017:H2017"/>
    <mergeCell ref="A2022:G2022"/>
    <mergeCell ref="A2023:G2023"/>
    <mergeCell ref="A2024:G2024"/>
    <mergeCell ref="A1936:G1936"/>
    <mergeCell ref="A1937:G1937"/>
    <mergeCell ref="A1938:H1938"/>
    <mergeCell ref="A1944:H1944"/>
    <mergeCell ref="A1945:H1945"/>
    <mergeCell ref="A1950:G1950"/>
    <mergeCell ref="A1951:G1951"/>
    <mergeCell ref="A1952:G1952"/>
    <mergeCell ref="A1953:H1953"/>
    <mergeCell ref="A1959:H1959"/>
    <mergeCell ref="A1960:H1960"/>
    <mergeCell ref="A1965:G1965"/>
    <mergeCell ref="A1966:G1966"/>
    <mergeCell ref="A1967:G1967"/>
    <mergeCell ref="A1968:H1968"/>
    <mergeCell ref="A1832:H1832"/>
    <mergeCell ref="A1837:G1837"/>
    <mergeCell ref="A1838:G1838"/>
    <mergeCell ref="A1839:G1839"/>
    <mergeCell ref="A1840:H1840"/>
    <mergeCell ref="A1847:H1847"/>
    <mergeCell ref="A1848:H1848"/>
    <mergeCell ref="A1853:G1853"/>
    <mergeCell ref="A1854:G1854"/>
    <mergeCell ref="A1855:G1855"/>
    <mergeCell ref="A1856:H1856"/>
    <mergeCell ref="A1865:H1865"/>
    <mergeCell ref="A1866:H1866"/>
    <mergeCell ref="A1871:G1871"/>
    <mergeCell ref="A1872:G1872"/>
    <mergeCell ref="A1873:G1873"/>
    <mergeCell ref="A1874:H1874"/>
    <mergeCell ref="A1788:G1788"/>
    <mergeCell ref="A1789:G1789"/>
    <mergeCell ref="A1790:G1790"/>
    <mergeCell ref="A1791:H1791"/>
    <mergeCell ref="A1797:H1797"/>
    <mergeCell ref="A1798:H1798"/>
    <mergeCell ref="A1803:G1803"/>
    <mergeCell ref="A1804:G1804"/>
    <mergeCell ref="A1805:G1805"/>
    <mergeCell ref="A1806:H1806"/>
    <mergeCell ref="A1812:H1812"/>
    <mergeCell ref="A1813:H1813"/>
    <mergeCell ref="A1818:G1818"/>
    <mergeCell ref="A1819:G1819"/>
    <mergeCell ref="A1820:G1820"/>
    <mergeCell ref="A1821:H1821"/>
    <mergeCell ref="A1831:H1831"/>
    <mergeCell ref="A1690:H1690"/>
    <mergeCell ref="A1691:H1691"/>
    <mergeCell ref="A1696:G1696"/>
    <mergeCell ref="A1697:G1697"/>
    <mergeCell ref="A1698:G1698"/>
    <mergeCell ref="A1699:H1699"/>
    <mergeCell ref="A1758:G1758"/>
    <mergeCell ref="A1759:G1759"/>
    <mergeCell ref="A1760:H1760"/>
    <mergeCell ref="A1766:H1766"/>
    <mergeCell ref="A1767:H1767"/>
    <mergeCell ref="A1772:G1772"/>
    <mergeCell ref="A1773:G1773"/>
    <mergeCell ref="A1774:G1774"/>
    <mergeCell ref="A1775:H1775"/>
    <mergeCell ref="A1782:H1782"/>
    <mergeCell ref="A1783:H1783"/>
    <mergeCell ref="A1536:H1536"/>
    <mergeCell ref="A1541:G1541"/>
    <mergeCell ref="A1542:G1542"/>
    <mergeCell ref="A1543:G1543"/>
    <mergeCell ref="A1544:H1544"/>
    <mergeCell ref="A1550:H1550"/>
    <mergeCell ref="A1551:H1551"/>
    <mergeCell ref="A1556:G1556"/>
    <mergeCell ref="A1557:G1557"/>
    <mergeCell ref="A1668:G1668"/>
    <mergeCell ref="A1669:H1669"/>
    <mergeCell ref="A1675:H1675"/>
    <mergeCell ref="A1676:H1676"/>
    <mergeCell ref="A1681:G1681"/>
    <mergeCell ref="A1682:G1682"/>
    <mergeCell ref="A1683:G1683"/>
    <mergeCell ref="A1684:H1684"/>
    <mergeCell ref="A1496:G1496"/>
    <mergeCell ref="A1497:G1497"/>
    <mergeCell ref="A1498:G1498"/>
    <mergeCell ref="A1499:H1499"/>
    <mergeCell ref="A1505:H1505"/>
    <mergeCell ref="A1506:H1506"/>
    <mergeCell ref="A1511:G1511"/>
    <mergeCell ref="A1512:G1512"/>
    <mergeCell ref="A1513:G1513"/>
    <mergeCell ref="A1514:H1514"/>
    <mergeCell ref="A1520:H1520"/>
    <mergeCell ref="A1521:H1521"/>
    <mergeCell ref="A1526:G1526"/>
    <mergeCell ref="A1527:G1527"/>
    <mergeCell ref="A1528:G1528"/>
    <mergeCell ref="A1529:H1529"/>
    <mergeCell ref="A1535:H1535"/>
    <mergeCell ref="A1454:G1454"/>
    <mergeCell ref="A1455:G1455"/>
    <mergeCell ref="A1456:H1456"/>
    <mergeCell ref="A1462:H1462"/>
    <mergeCell ref="A1463:H1463"/>
    <mergeCell ref="A1468:G1468"/>
    <mergeCell ref="A1469:G1469"/>
    <mergeCell ref="A1470:G1470"/>
    <mergeCell ref="A1471:H1471"/>
    <mergeCell ref="A1476:H1476"/>
    <mergeCell ref="A1477:H1477"/>
    <mergeCell ref="A1482:G1482"/>
    <mergeCell ref="A1483:G1483"/>
    <mergeCell ref="A1484:G1484"/>
    <mergeCell ref="A1485:H1485"/>
    <mergeCell ref="A1490:H1490"/>
    <mergeCell ref="A1491:H1491"/>
    <mergeCell ref="A1343:H1343"/>
    <mergeCell ref="A1344:H1344"/>
    <mergeCell ref="A1349:G1349"/>
    <mergeCell ref="A1350:G1350"/>
    <mergeCell ref="A1423:G1423"/>
    <mergeCell ref="A1424:G1424"/>
    <mergeCell ref="A1425:G1425"/>
    <mergeCell ref="A1426:H1426"/>
    <mergeCell ref="A1432:H1432"/>
    <mergeCell ref="A1433:H1433"/>
    <mergeCell ref="A1438:G1438"/>
    <mergeCell ref="A1439:G1439"/>
    <mergeCell ref="A1440:G1440"/>
    <mergeCell ref="A1441:H1441"/>
    <mergeCell ref="A1447:H1447"/>
    <mergeCell ref="A1448:H1448"/>
    <mergeCell ref="A1453:G1453"/>
    <mergeCell ref="A1396:H1396"/>
    <mergeCell ref="A1402:H1402"/>
    <mergeCell ref="A1403:H1403"/>
    <mergeCell ref="A1408:G1408"/>
    <mergeCell ref="A1409:G1409"/>
    <mergeCell ref="A1410:G1410"/>
    <mergeCell ref="A1411:H1411"/>
    <mergeCell ref="A1417:H1417"/>
    <mergeCell ref="A1418:H1418"/>
    <mergeCell ref="A1243:G1243"/>
    <mergeCell ref="A1244:H1244"/>
    <mergeCell ref="A1252:H1252"/>
    <mergeCell ref="A1253:H1253"/>
    <mergeCell ref="A1258:G1258"/>
    <mergeCell ref="A1259:G1259"/>
    <mergeCell ref="A1260:G1260"/>
    <mergeCell ref="A1261:H1261"/>
    <mergeCell ref="A1266:H1266"/>
    <mergeCell ref="A1267:H1267"/>
    <mergeCell ref="A1272:G1272"/>
    <mergeCell ref="A1273:G1273"/>
    <mergeCell ref="A1274:G1274"/>
    <mergeCell ref="A1275:H1275"/>
    <mergeCell ref="A1282:H1282"/>
    <mergeCell ref="A1283:H1283"/>
    <mergeCell ref="A1288:G1288"/>
    <mergeCell ref="A1289:G1289"/>
    <mergeCell ref="A1290:G1290"/>
    <mergeCell ref="A1291:H1291"/>
    <mergeCell ref="A1297:H1297"/>
    <mergeCell ref="A1298:H1298"/>
    <mergeCell ref="A1303:G1303"/>
    <mergeCell ref="A1357:H1357"/>
    <mergeCell ref="A1358:H1358"/>
    <mergeCell ref="A1363:G1363"/>
    <mergeCell ref="A1364:G1364"/>
    <mergeCell ref="A1365:G1365"/>
    <mergeCell ref="A1366:H1366"/>
    <mergeCell ref="A1373:H1373"/>
    <mergeCell ref="A1374:H1374"/>
    <mergeCell ref="A1379:G1379"/>
    <mergeCell ref="A1380:G1380"/>
    <mergeCell ref="A1381:G1381"/>
    <mergeCell ref="A1382:H1382"/>
    <mergeCell ref="A1387:H1387"/>
    <mergeCell ref="A1388:H1388"/>
    <mergeCell ref="A1393:G1393"/>
    <mergeCell ref="A1394:G1394"/>
    <mergeCell ref="A1395:G1395"/>
    <mergeCell ref="A1205:H1205"/>
    <mergeCell ref="A1210:G1210"/>
    <mergeCell ref="A1211:G1211"/>
    <mergeCell ref="A1212:G1212"/>
    <mergeCell ref="A1213:H1213"/>
    <mergeCell ref="A1219:H1219"/>
    <mergeCell ref="A1220:H1220"/>
    <mergeCell ref="A1225:G1225"/>
    <mergeCell ref="A1226:G1226"/>
    <mergeCell ref="A1227:G1227"/>
    <mergeCell ref="A1228:H1228"/>
    <mergeCell ref="A1235:H1235"/>
    <mergeCell ref="A1236:H1236"/>
    <mergeCell ref="A1241:G1241"/>
    <mergeCell ref="A1242:G1242"/>
    <mergeCell ref="A1351:G1351"/>
    <mergeCell ref="A1352:H1352"/>
    <mergeCell ref="A1304:G1304"/>
    <mergeCell ref="A1305:G1305"/>
    <mergeCell ref="A1306:H1306"/>
    <mergeCell ref="A1310:H1310"/>
    <mergeCell ref="A1311:H1311"/>
    <mergeCell ref="A1316:G1316"/>
    <mergeCell ref="A1317:G1317"/>
    <mergeCell ref="A1318:G1318"/>
    <mergeCell ref="A1319:H1319"/>
    <mergeCell ref="A1329:H1329"/>
    <mergeCell ref="A1330:H1330"/>
    <mergeCell ref="A1335:G1335"/>
    <mergeCell ref="A1336:G1336"/>
    <mergeCell ref="A1337:G1337"/>
    <mergeCell ref="A1338:H1338"/>
    <mergeCell ref="A1164:G1164"/>
    <mergeCell ref="A1165:G1165"/>
    <mergeCell ref="A1166:G1166"/>
    <mergeCell ref="A1167:H1167"/>
    <mergeCell ref="A1172:H1172"/>
    <mergeCell ref="A1173:H1173"/>
    <mergeCell ref="A1178:G1178"/>
    <mergeCell ref="A1179:G1179"/>
    <mergeCell ref="A1180:G1180"/>
    <mergeCell ref="A1181:H1181"/>
    <mergeCell ref="A1187:H1187"/>
    <mergeCell ref="A1188:H1188"/>
    <mergeCell ref="A1193:G1193"/>
    <mergeCell ref="A1194:G1194"/>
    <mergeCell ref="A1195:G1195"/>
    <mergeCell ref="A1196:H1196"/>
    <mergeCell ref="A1204:H1204"/>
    <mergeCell ref="A1652:G1652"/>
    <mergeCell ref="A1653:G1653"/>
    <mergeCell ref="A1654:G1654"/>
    <mergeCell ref="A1655:H1655"/>
    <mergeCell ref="A1660:H1660"/>
    <mergeCell ref="A1661:H1661"/>
    <mergeCell ref="A1666:G1666"/>
    <mergeCell ref="A1667:G1667"/>
    <mergeCell ref="A1741:G1741"/>
    <mergeCell ref="A1742:G1742"/>
    <mergeCell ref="A1743:G1743"/>
    <mergeCell ref="A1744:H1744"/>
    <mergeCell ref="A1751:H1751"/>
    <mergeCell ref="A1752:H1752"/>
    <mergeCell ref="A1757:G1757"/>
    <mergeCell ref="A1120:G1120"/>
    <mergeCell ref="A1121:G1121"/>
    <mergeCell ref="A1122:H1122"/>
    <mergeCell ref="A1127:H1127"/>
    <mergeCell ref="A1128:H1128"/>
    <mergeCell ref="A1133:G1133"/>
    <mergeCell ref="A1134:G1134"/>
    <mergeCell ref="A1135:G1135"/>
    <mergeCell ref="A1136:H1136"/>
    <mergeCell ref="A1142:H1142"/>
    <mergeCell ref="A1143:H1143"/>
    <mergeCell ref="A1148:G1148"/>
    <mergeCell ref="A1149:G1149"/>
    <mergeCell ref="A1150:G1150"/>
    <mergeCell ref="A1151:H1151"/>
    <mergeCell ref="A1158:H1158"/>
    <mergeCell ref="A1159:H1159"/>
    <mergeCell ref="A1606:G1606"/>
    <mergeCell ref="A1607:G1607"/>
    <mergeCell ref="A1608:H1608"/>
    <mergeCell ref="A1614:H1614"/>
    <mergeCell ref="A1615:H1615"/>
    <mergeCell ref="A1620:G1620"/>
    <mergeCell ref="A1621:G1621"/>
    <mergeCell ref="A1622:G1622"/>
    <mergeCell ref="A1623:H1623"/>
    <mergeCell ref="A1630:H1630"/>
    <mergeCell ref="A1631:H1631"/>
    <mergeCell ref="A1636:G1636"/>
    <mergeCell ref="A1637:G1637"/>
    <mergeCell ref="A1638:G1638"/>
    <mergeCell ref="A1639:H1639"/>
    <mergeCell ref="A1646:H1646"/>
    <mergeCell ref="A1647:H1647"/>
    <mergeCell ref="A1119:G1119"/>
    <mergeCell ref="A1705:H1705"/>
    <mergeCell ref="A1706:H1706"/>
    <mergeCell ref="A1711:G1711"/>
    <mergeCell ref="A1712:G1712"/>
    <mergeCell ref="A1713:G1713"/>
    <mergeCell ref="A1714:H1714"/>
    <mergeCell ref="A1720:H1720"/>
    <mergeCell ref="A1721:H1721"/>
    <mergeCell ref="A1726:G1726"/>
    <mergeCell ref="A1727:G1727"/>
    <mergeCell ref="A1728:G1728"/>
    <mergeCell ref="A1729:H1729"/>
    <mergeCell ref="A1735:H1735"/>
    <mergeCell ref="A1736:H1736"/>
    <mergeCell ref="A1558:G1558"/>
    <mergeCell ref="A1559:H1559"/>
    <mergeCell ref="A1566:H1566"/>
    <mergeCell ref="A1567:H1567"/>
    <mergeCell ref="A1572:G1572"/>
    <mergeCell ref="A1573:G1573"/>
    <mergeCell ref="A1574:G1574"/>
    <mergeCell ref="A1575:H1575"/>
    <mergeCell ref="A1583:H1583"/>
    <mergeCell ref="A1584:H1584"/>
    <mergeCell ref="A1589:G1589"/>
    <mergeCell ref="A1590:G1590"/>
    <mergeCell ref="A1591:G1591"/>
    <mergeCell ref="A1592:H1592"/>
    <mergeCell ref="A1599:H1599"/>
    <mergeCell ref="A1600:H1600"/>
    <mergeCell ref="A1605:G1605"/>
    <mergeCell ref="A998:H998"/>
    <mergeCell ref="A1005:H1005"/>
    <mergeCell ref="A1006:H1006"/>
    <mergeCell ref="A1011:G1011"/>
    <mergeCell ref="A1012:G1012"/>
    <mergeCell ref="A1013:G1013"/>
    <mergeCell ref="A1014:H1014"/>
    <mergeCell ref="A1022:H1022"/>
    <mergeCell ref="A1023:H1023"/>
    <mergeCell ref="A1028:G1028"/>
    <mergeCell ref="A1029:G1029"/>
    <mergeCell ref="A1104:G1104"/>
    <mergeCell ref="A1105:G1105"/>
    <mergeCell ref="A1106:G1106"/>
    <mergeCell ref="A1107:H1107"/>
    <mergeCell ref="A1113:H1113"/>
    <mergeCell ref="A1114:H1114"/>
    <mergeCell ref="A1062:G1062"/>
    <mergeCell ref="A1063:H1063"/>
    <mergeCell ref="A1069:H1069"/>
    <mergeCell ref="A1070:H1070"/>
    <mergeCell ref="A1075:G1075"/>
    <mergeCell ref="A1076:G1076"/>
    <mergeCell ref="A1077:G1077"/>
    <mergeCell ref="A1078:H1078"/>
    <mergeCell ref="A1083:H1083"/>
    <mergeCell ref="A1084:H1084"/>
    <mergeCell ref="A1089:G1089"/>
    <mergeCell ref="A1090:G1090"/>
    <mergeCell ref="A1091:G1091"/>
    <mergeCell ref="A1092:H1092"/>
    <mergeCell ref="A1098:H1098"/>
    <mergeCell ref="A1099:H1099"/>
    <mergeCell ref="A919:G919"/>
    <mergeCell ref="A920:H920"/>
    <mergeCell ref="A926:H926"/>
    <mergeCell ref="A927:H927"/>
    <mergeCell ref="A932:G932"/>
    <mergeCell ref="A933:G933"/>
    <mergeCell ref="A934:G934"/>
    <mergeCell ref="A935:H935"/>
    <mergeCell ref="A941:H941"/>
    <mergeCell ref="A942:H942"/>
    <mergeCell ref="A947:G947"/>
    <mergeCell ref="A948:G948"/>
    <mergeCell ref="A949:G949"/>
    <mergeCell ref="A950:H950"/>
    <mergeCell ref="A957:H957"/>
    <mergeCell ref="A958:H958"/>
    <mergeCell ref="A906:H906"/>
    <mergeCell ref="A911:H911"/>
    <mergeCell ref="A912:H912"/>
    <mergeCell ref="A917:G917"/>
    <mergeCell ref="A918:G918"/>
    <mergeCell ref="A1030:G1030"/>
    <mergeCell ref="A1031:H1031"/>
    <mergeCell ref="A1039:H1039"/>
    <mergeCell ref="A1040:H1040"/>
    <mergeCell ref="A1045:G1045"/>
    <mergeCell ref="A1046:G1046"/>
    <mergeCell ref="A1047:G1047"/>
    <mergeCell ref="A1048:H1048"/>
    <mergeCell ref="A1054:H1054"/>
    <mergeCell ref="A1055:H1055"/>
    <mergeCell ref="A1060:G1060"/>
    <mergeCell ref="A1061:G1061"/>
    <mergeCell ref="A963:G963"/>
    <mergeCell ref="A964:G964"/>
    <mergeCell ref="A965:G965"/>
    <mergeCell ref="A966:H966"/>
    <mergeCell ref="A974:H974"/>
    <mergeCell ref="A975:H975"/>
    <mergeCell ref="A980:G980"/>
    <mergeCell ref="A981:G981"/>
    <mergeCell ref="A982:G982"/>
    <mergeCell ref="A983:H983"/>
    <mergeCell ref="A989:H989"/>
    <mergeCell ref="A990:H990"/>
    <mergeCell ref="A995:G995"/>
    <mergeCell ref="A996:G996"/>
    <mergeCell ref="A997:G997"/>
    <mergeCell ref="A868:H868"/>
    <mergeCell ref="A869:H869"/>
    <mergeCell ref="A874:G874"/>
    <mergeCell ref="A875:G875"/>
    <mergeCell ref="A876:G876"/>
    <mergeCell ref="A877:H877"/>
    <mergeCell ref="A883:H883"/>
    <mergeCell ref="A884:H884"/>
    <mergeCell ref="A889:G889"/>
    <mergeCell ref="A890:G890"/>
    <mergeCell ref="A891:G891"/>
    <mergeCell ref="A892:H892"/>
    <mergeCell ref="A897:H897"/>
    <mergeCell ref="A898:H898"/>
    <mergeCell ref="A903:G903"/>
    <mergeCell ref="A904:G904"/>
    <mergeCell ref="A905:G905"/>
    <mergeCell ref="A824:H824"/>
    <mergeCell ref="A829:G829"/>
    <mergeCell ref="A830:G830"/>
    <mergeCell ref="A831:G831"/>
    <mergeCell ref="A832:H832"/>
    <mergeCell ref="A838:H838"/>
    <mergeCell ref="A839:H839"/>
    <mergeCell ref="A844:G844"/>
    <mergeCell ref="A845:G845"/>
    <mergeCell ref="A846:G846"/>
    <mergeCell ref="A847:H847"/>
    <mergeCell ref="A854:H854"/>
    <mergeCell ref="A855:H855"/>
    <mergeCell ref="A860:G860"/>
    <mergeCell ref="A861:G861"/>
    <mergeCell ref="A862:G862"/>
    <mergeCell ref="A863:H863"/>
    <mergeCell ref="A784:G784"/>
    <mergeCell ref="A785:G785"/>
    <mergeCell ref="A786:G786"/>
    <mergeCell ref="A787:H787"/>
    <mergeCell ref="A793:H793"/>
    <mergeCell ref="A794:H794"/>
    <mergeCell ref="A799:G799"/>
    <mergeCell ref="A800:G800"/>
    <mergeCell ref="A801:G801"/>
    <mergeCell ref="A802:H802"/>
    <mergeCell ref="A808:H808"/>
    <mergeCell ref="A809:H809"/>
    <mergeCell ref="A814:G814"/>
    <mergeCell ref="A815:G815"/>
    <mergeCell ref="A816:G816"/>
    <mergeCell ref="A817:H817"/>
    <mergeCell ref="A823:H823"/>
    <mergeCell ref="A772:H772"/>
    <mergeCell ref="A778:H778"/>
    <mergeCell ref="A779:H779"/>
    <mergeCell ref="A609:G609"/>
    <mergeCell ref="A610:H610"/>
    <mergeCell ref="A614:H614"/>
    <mergeCell ref="A615:H615"/>
    <mergeCell ref="A620:G620"/>
    <mergeCell ref="A621:G621"/>
    <mergeCell ref="A622:G622"/>
    <mergeCell ref="A623:H623"/>
    <mergeCell ref="A628:H628"/>
    <mergeCell ref="A629:H629"/>
    <mergeCell ref="A634:G634"/>
    <mergeCell ref="A635:G635"/>
    <mergeCell ref="A636:G636"/>
    <mergeCell ref="A637:H637"/>
    <mergeCell ref="A641:H641"/>
    <mergeCell ref="A642:H642"/>
    <mergeCell ref="A647:G647"/>
    <mergeCell ref="A648:G648"/>
    <mergeCell ref="A649:G649"/>
    <mergeCell ref="A650:H650"/>
    <mergeCell ref="A656:H656"/>
    <mergeCell ref="A657:H657"/>
    <mergeCell ref="A662:G662"/>
    <mergeCell ref="A663:G663"/>
    <mergeCell ref="A664:G664"/>
    <mergeCell ref="A665:H665"/>
    <mergeCell ref="A672:H672"/>
    <mergeCell ref="A673:H673"/>
    <mergeCell ref="A678:G678"/>
    <mergeCell ref="A733:H733"/>
    <mergeCell ref="A734:H734"/>
    <mergeCell ref="A739:G739"/>
    <mergeCell ref="A740:G740"/>
    <mergeCell ref="A741:G741"/>
    <mergeCell ref="A742:H742"/>
    <mergeCell ref="A747:H747"/>
    <mergeCell ref="A748:H748"/>
    <mergeCell ref="A753:G753"/>
    <mergeCell ref="A754:G754"/>
    <mergeCell ref="A755:G755"/>
    <mergeCell ref="A756:H756"/>
    <mergeCell ref="A763:H763"/>
    <mergeCell ref="A764:H764"/>
    <mergeCell ref="A769:G769"/>
    <mergeCell ref="A770:G770"/>
    <mergeCell ref="A771:G771"/>
    <mergeCell ref="A585:H585"/>
    <mergeCell ref="A590:G590"/>
    <mergeCell ref="A591:G591"/>
    <mergeCell ref="A592:G592"/>
    <mergeCell ref="A593:H593"/>
    <mergeCell ref="A601:H601"/>
    <mergeCell ref="A602:H602"/>
    <mergeCell ref="A607:G607"/>
    <mergeCell ref="A608:G608"/>
    <mergeCell ref="A712:G712"/>
    <mergeCell ref="A713:H713"/>
    <mergeCell ref="A719:H719"/>
    <mergeCell ref="A720:H720"/>
    <mergeCell ref="A725:G725"/>
    <mergeCell ref="A726:G726"/>
    <mergeCell ref="A727:G727"/>
    <mergeCell ref="A728:H728"/>
    <mergeCell ref="A679:G679"/>
    <mergeCell ref="A680:G680"/>
    <mergeCell ref="A681:H681"/>
    <mergeCell ref="A688:H688"/>
    <mergeCell ref="A689:H689"/>
    <mergeCell ref="A694:G694"/>
    <mergeCell ref="A695:G695"/>
    <mergeCell ref="A696:G696"/>
    <mergeCell ref="A697:H697"/>
    <mergeCell ref="A704:H704"/>
    <mergeCell ref="A705:H705"/>
    <mergeCell ref="A710:G710"/>
    <mergeCell ref="A711:G711"/>
    <mergeCell ref="A539:G539"/>
    <mergeCell ref="A540:G540"/>
    <mergeCell ref="A541:G541"/>
    <mergeCell ref="A542:H542"/>
    <mergeCell ref="A549:H549"/>
    <mergeCell ref="A550:H550"/>
    <mergeCell ref="A555:G555"/>
    <mergeCell ref="A556:G556"/>
    <mergeCell ref="A557:G557"/>
    <mergeCell ref="A558:H558"/>
    <mergeCell ref="A567:H567"/>
    <mergeCell ref="A568:H568"/>
    <mergeCell ref="A573:G573"/>
    <mergeCell ref="A574:G574"/>
    <mergeCell ref="A575:G575"/>
    <mergeCell ref="A576:H576"/>
    <mergeCell ref="A584:H584"/>
    <mergeCell ref="A491:G491"/>
    <mergeCell ref="A492:G492"/>
    <mergeCell ref="A493:H493"/>
    <mergeCell ref="A500:H500"/>
    <mergeCell ref="A501:H501"/>
    <mergeCell ref="A506:G506"/>
    <mergeCell ref="A507:G507"/>
    <mergeCell ref="A508:G508"/>
    <mergeCell ref="A509:H509"/>
    <mergeCell ref="A516:H516"/>
    <mergeCell ref="A517:H517"/>
    <mergeCell ref="A522:G522"/>
    <mergeCell ref="A523:G523"/>
    <mergeCell ref="A524:G524"/>
    <mergeCell ref="A525:H525"/>
    <mergeCell ref="A533:H533"/>
    <mergeCell ref="A534:H534"/>
    <mergeCell ref="A380:H380"/>
    <mergeCell ref="A381:H381"/>
    <mergeCell ref="A386:G386"/>
    <mergeCell ref="A387:G387"/>
    <mergeCell ref="A461:G461"/>
    <mergeCell ref="A462:G462"/>
    <mergeCell ref="A463:G463"/>
    <mergeCell ref="A464:H464"/>
    <mergeCell ref="A470:H470"/>
    <mergeCell ref="A471:H471"/>
    <mergeCell ref="A476:G476"/>
    <mergeCell ref="A477:G477"/>
    <mergeCell ref="A478:G478"/>
    <mergeCell ref="A479:H479"/>
    <mergeCell ref="A484:H484"/>
    <mergeCell ref="A485:H485"/>
    <mergeCell ref="A490:G490"/>
    <mergeCell ref="A334:H334"/>
    <mergeCell ref="A339:G339"/>
    <mergeCell ref="A340:G340"/>
    <mergeCell ref="A341:G341"/>
    <mergeCell ref="A342:H342"/>
    <mergeCell ref="A349:H349"/>
    <mergeCell ref="A350:H350"/>
    <mergeCell ref="A355:G355"/>
    <mergeCell ref="A356:G356"/>
    <mergeCell ref="A357:G357"/>
    <mergeCell ref="A358:H358"/>
    <mergeCell ref="A364:H364"/>
    <mergeCell ref="A365:H365"/>
    <mergeCell ref="A370:G370"/>
    <mergeCell ref="A371:G371"/>
    <mergeCell ref="A372:G372"/>
    <mergeCell ref="A373:H373"/>
    <mergeCell ref="A431:G431"/>
    <mergeCell ref="A432:G432"/>
    <mergeCell ref="A433:H433"/>
    <mergeCell ref="A440:H440"/>
    <mergeCell ref="A441:H441"/>
    <mergeCell ref="A446:G446"/>
    <mergeCell ref="A447:G447"/>
    <mergeCell ref="A448:G448"/>
    <mergeCell ref="A449:H449"/>
    <mergeCell ref="A455:H455"/>
    <mergeCell ref="A456:H456"/>
    <mergeCell ref="A281:G281"/>
    <mergeCell ref="A282:H282"/>
    <mergeCell ref="A288:H288"/>
    <mergeCell ref="A289:H289"/>
    <mergeCell ref="A294:G294"/>
    <mergeCell ref="A295:G295"/>
    <mergeCell ref="A296:G296"/>
    <mergeCell ref="A297:H297"/>
    <mergeCell ref="A304:H304"/>
    <mergeCell ref="A305:H305"/>
    <mergeCell ref="A310:G310"/>
    <mergeCell ref="A311:G311"/>
    <mergeCell ref="A312:G312"/>
    <mergeCell ref="A313:H313"/>
    <mergeCell ref="A318:H318"/>
    <mergeCell ref="A319:H319"/>
    <mergeCell ref="A324:G324"/>
    <mergeCell ref="A325:G325"/>
    <mergeCell ref="A326:G326"/>
    <mergeCell ref="A327:H327"/>
    <mergeCell ref="A333:H333"/>
    <mergeCell ref="A388:G388"/>
    <mergeCell ref="A389:H389"/>
    <mergeCell ref="A395:H395"/>
    <mergeCell ref="A396:H396"/>
    <mergeCell ref="A401:G401"/>
    <mergeCell ref="A402:G402"/>
    <mergeCell ref="A403:G403"/>
    <mergeCell ref="A404:H404"/>
    <mergeCell ref="A410:H410"/>
    <mergeCell ref="A411:H411"/>
    <mergeCell ref="A416:G416"/>
    <mergeCell ref="A417:G417"/>
    <mergeCell ref="A418:G418"/>
    <mergeCell ref="A419:H419"/>
    <mergeCell ref="A424:H424"/>
    <mergeCell ref="A425:H425"/>
    <mergeCell ref="A430:G430"/>
    <mergeCell ref="A237:H237"/>
    <mergeCell ref="A244:H244"/>
    <mergeCell ref="A245:H245"/>
    <mergeCell ref="A250:G250"/>
    <mergeCell ref="A251:G251"/>
    <mergeCell ref="A252:G252"/>
    <mergeCell ref="A253:H253"/>
    <mergeCell ref="A259:H259"/>
    <mergeCell ref="A260:H260"/>
    <mergeCell ref="A265:G265"/>
    <mergeCell ref="A266:G266"/>
    <mergeCell ref="A267:G267"/>
    <mergeCell ref="A268:H268"/>
    <mergeCell ref="A273:H273"/>
    <mergeCell ref="A274:H274"/>
    <mergeCell ref="A279:G279"/>
    <mergeCell ref="A280:G280"/>
    <mergeCell ref="A197:H197"/>
    <mergeCell ref="A198:H198"/>
    <mergeCell ref="A203:G203"/>
    <mergeCell ref="A204:G204"/>
    <mergeCell ref="A205:G205"/>
    <mergeCell ref="A206:H206"/>
    <mergeCell ref="A213:H213"/>
    <mergeCell ref="A214:H214"/>
    <mergeCell ref="A219:G219"/>
    <mergeCell ref="A220:G220"/>
    <mergeCell ref="A221:G221"/>
    <mergeCell ref="A222:H222"/>
    <mergeCell ref="A228:H228"/>
    <mergeCell ref="A229:H229"/>
    <mergeCell ref="A234:G234"/>
    <mergeCell ref="A235:G235"/>
    <mergeCell ref="A236:G236"/>
    <mergeCell ref="A93:G93"/>
    <mergeCell ref="A94:H94"/>
    <mergeCell ref="A99:H99"/>
    <mergeCell ref="A100:H100"/>
    <mergeCell ref="A105:G105"/>
    <mergeCell ref="A106:G106"/>
    <mergeCell ref="A107:G107"/>
    <mergeCell ref="A108:H108"/>
    <mergeCell ref="A147:G147"/>
    <mergeCell ref="A148:G148"/>
    <mergeCell ref="A149:G149"/>
    <mergeCell ref="A150:H150"/>
    <mergeCell ref="A155:H155"/>
    <mergeCell ref="A156:H156"/>
    <mergeCell ref="A161:G161"/>
    <mergeCell ref="A162:G162"/>
    <mergeCell ref="A163:G163"/>
    <mergeCell ref="A51:H51"/>
    <mergeCell ref="A56:H56"/>
    <mergeCell ref="A57:H57"/>
    <mergeCell ref="A62:G62"/>
    <mergeCell ref="A63:G63"/>
    <mergeCell ref="A64:G64"/>
    <mergeCell ref="A65:H65"/>
    <mergeCell ref="A70:H70"/>
    <mergeCell ref="A71:H71"/>
    <mergeCell ref="A76:G76"/>
    <mergeCell ref="A77:G77"/>
    <mergeCell ref="A78:G78"/>
    <mergeCell ref="A79:H79"/>
    <mergeCell ref="A85:H85"/>
    <mergeCell ref="A86:H86"/>
    <mergeCell ref="A91:G91"/>
    <mergeCell ref="A92:G92"/>
    <mergeCell ref="A14:H14"/>
    <mergeCell ref="A15:H15"/>
    <mergeCell ref="A20:G20"/>
    <mergeCell ref="A21:G21"/>
    <mergeCell ref="A22:G22"/>
    <mergeCell ref="A23:H23"/>
    <mergeCell ref="A28:H28"/>
    <mergeCell ref="A29:H29"/>
    <mergeCell ref="A34:G34"/>
    <mergeCell ref="A35:G35"/>
    <mergeCell ref="A36:G36"/>
    <mergeCell ref="A37:H37"/>
    <mergeCell ref="A42:H42"/>
    <mergeCell ref="A43:H43"/>
    <mergeCell ref="A48:G48"/>
    <mergeCell ref="A49:G49"/>
    <mergeCell ref="A50:G50"/>
    <mergeCell ref="A5664:H5664"/>
    <mergeCell ref="A5669:H5669"/>
    <mergeCell ref="A5670:H5670"/>
    <mergeCell ref="A5675:G5675"/>
    <mergeCell ref="A5676:G5676"/>
    <mergeCell ref="A114:H114"/>
    <mergeCell ref="A115:H115"/>
    <mergeCell ref="A120:G120"/>
    <mergeCell ref="A121:G121"/>
    <mergeCell ref="A122:G122"/>
    <mergeCell ref="A123:H123"/>
    <mergeCell ref="A127:H127"/>
    <mergeCell ref="A128:H128"/>
    <mergeCell ref="A133:G133"/>
    <mergeCell ref="A134:G134"/>
    <mergeCell ref="A135:G135"/>
    <mergeCell ref="A136:H136"/>
    <mergeCell ref="A141:H141"/>
    <mergeCell ref="A142:H142"/>
    <mergeCell ref="A164:H164"/>
    <mergeCell ref="A168:H168"/>
    <mergeCell ref="A169:H169"/>
    <mergeCell ref="A174:G174"/>
    <mergeCell ref="A175:G175"/>
    <mergeCell ref="A176:G176"/>
    <mergeCell ref="A177:H177"/>
    <mergeCell ref="A182:H182"/>
    <mergeCell ref="A183:H183"/>
    <mergeCell ref="A188:G188"/>
    <mergeCell ref="A189:G189"/>
    <mergeCell ref="A190:G190"/>
    <mergeCell ref="A191:H191"/>
    <mergeCell ref="A5626:H5626"/>
    <mergeCell ref="A5627:H5627"/>
    <mergeCell ref="A5632:G5632"/>
    <mergeCell ref="A5633:G5633"/>
    <mergeCell ref="A5634:G5634"/>
    <mergeCell ref="A5635:H5635"/>
    <mergeCell ref="A5641:H5641"/>
    <mergeCell ref="A5642:H5642"/>
    <mergeCell ref="A5647:G5647"/>
    <mergeCell ref="A5648:G5648"/>
    <mergeCell ref="A5649:G5649"/>
    <mergeCell ref="A5650:H5650"/>
    <mergeCell ref="A5655:H5655"/>
    <mergeCell ref="A5656:H5656"/>
    <mergeCell ref="A5661:G5661"/>
    <mergeCell ref="A5662:G5662"/>
    <mergeCell ref="A5663:G5663"/>
    <mergeCell ref="A5583:H5583"/>
    <mergeCell ref="A5588:G5588"/>
    <mergeCell ref="A5589:G5589"/>
    <mergeCell ref="A5590:G5590"/>
    <mergeCell ref="A5591:H5591"/>
    <mergeCell ref="A5596:H5596"/>
    <mergeCell ref="A5597:H5597"/>
    <mergeCell ref="A5602:G5602"/>
    <mergeCell ref="A5603:G5603"/>
    <mergeCell ref="A5604:G5604"/>
    <mergeCell ref="A5605:H5605"/>
    <mergeCell ref="A5611:H5611"/>
    <mergeCell ref="A5612:H5612"/>
    <mergeCell ref="A5617:G5617"/>
    <mergeCell ref="A5618:G5618"/>
    <mergeCell ref="A5619:G5619"/>
    <mergeCell ref="A5620:H5620"/>
    <mergeCell ref="A5485:H5485"/>
    <mergeCell ref="A5491:H5491"/>
    <mergeCell ref="A5492:H5492"/>
    <mergeCell ref="A5497:G5497"/>
    <mergeCell ref="A5498:G5498"/>
    <mergeCell ref="A5499:G5499"/>
    <mergeCell ref="A5500:H5500"/>
    <mergeCell ref="A5558:G5558"/>
    <mergeCell ref="A5559:G5559"/>
    <mergeCell ref="A5560:H5560"/>
    <mergeCell ref="A5567:H5567"/>
    <mergeCell ref="A5568:H5568"/>
    <mergeCell ref="A5573:G5573"/>
    <mergeCell ref="A5574:G5574"/>
    <mergeCell ref="A5575:G5575"/>
    <mergeCell ref="A5576:H5576"/>
    <mergeCell ref="A5582:H5582"/>
    <mergeCell ref="A5334:H5334"/>
    <mergeCell ref="A5335:H5335"/>
    <mergeCell ref="A5340:G5340"/>
    <mergeCell ref="A5341:G5341"/>
    <mergeCell ref="A5342:G5342"/>
    <mergeCell ref="A5343:H5343"/>
    <mergeCell ref="A5349:H5349"/>
    <mergeCell ref="A5350:H5350"/>
    <mergeCell ref="A5355:G5355"/>
    <mergeCell ref="A5356:G5356"/>
    <mergeCell ref="A5469:G5469"/>
    <mergeCell ref="A5470:H5470"/>
    <mergeCell ref="A5476:H5476"/>
    <mergeCell ref="A5477:H5477"/>
    <mergeCell ref="A5482:G5482"/>
    <mergeCell ref="A5483:G5483"/>
    <mergeCell ref="A5484:G5484"/>
    <mergeCell ref="A5288:H5288"/>
    <mergeCell ref="A5293:G5293"/>
    <mergeCell ref="A5294:G5294"/>
    <mergeCell ref="A5295:G5295"/>
    <mergeCell ref="A5296:H5296"/>
    <mergeCell ref="A5302:H5302"/>
    <mergeCell ref="A5303:H5303"/>
    <mergeCell ref="A5308:G5308"/>
    <mergeCell ref="A5309:G5309"/>
    <mergeCell ref="A5310:G5310"/>
    <mergeCell ref="A5311:H5311"/>
    <mergeCell ref="A5319:H5319"/>
    <mergeCell ref="A5320:H5320"/>
    <mergeCell ref="A5325:G5325"/>
    <mergeCell ref="A5326:G5326"/>
    <mergeCell ref="A5327:G5327"/>
    <mergeCell ref="A5328:H5328"/>
    <mergeCell ref="A5249:G5249"/>
    <mergeCell ref="A5250:G5250"/>
    <mergeCell ref="A5251:G5251"/>
    <mergeCell ref="A5252:H5252"/>
    <mergeCell ref="A5257:H5257"/>
    <mergeCell ref="A5258:H5258"/>
    <mergeCell ref="A5263:G5263"/>
    <mergeCell ref="A5264:G5264"/>
    <mergeCell ref="A5265:G5265"/>
    <mergeCell ref="A5266:H5266"/>
    <mergeCell ref="A5272:H5272"/>
    <mergeCell ref="A5273:H5273"/>
    <mergeCell ref="A5278:G5278"/>
    <mergeCell ref="A5279:G5279"/>
    <mergeCell ref="A5280:G5280"/>
    <mergeCell ref="A5281:H5281"/>
    <mergeCell ref="A5287:H5287"/>
    <mergeCell ref="A5133:H5133"/>
    <mergeCell ref="A5140:H5140"/>
    <mergeCell ref="A5141:H5141"/>
    <mergeCell ref="A5146:G5146"/>
    <mergeCell ref="A5147:G5147"/>
    <mergeCell ref="A5221:G5221"/>
    <mergeCell ref="A5222:G5222"/>
    <mergeCell ref="A5223:G5223"/>
    <mergeCell ref="A5224:H5224"/>
    <mergeCell ref="A5229:H5229"/>
    <mergeCell ref="A5230:H5230"/>
    <mergeCell ref="A5235:G5235"/>
    <mergeCell ref="A5236:G5236"/>
    <mergeCell ref="A5237:G5237"/>
    <mergeCell ref="A5238:H5238"/>
    <mergeCell ref="A5243:H5243"/>
    <mergeCell ref="A5244:H5244"/>
    <mergeCell ref="A5194:G5194"/>
    <mergeCell ref="A5195:H5195"/>
    <mergeCell ref="A5201:H5201"/>
    <mergeCell ref="A5202:H5202"/>
    <mergeCell ref="A5207:G5207"/>
    <mergeCell ref="A5208:G5208"/>
    <mergeCell ref="A5209:G5209"/>
    <mergeCell ref="A5210:H5210"/>
    <mergeCell ref="A5215:H5215"/>
    <mergeCell ref="A5216:H5216"/>
    <mergeCell ref="A5043:G5043"/>
    <mergeCell ref="A5044:H5044"/>
    <mergeCell ref="A5048:H5048"/>
    <mergeCell ref="A5049:H5049"/>
    <mergeCell ref="A5054:G5054"/>
    <mergeCell ref="A5055:G5055"/>
    <mergeCell ref="A5056:G5056"/>
    <mergeCell ref="A5057:H5057"/>
    <mergeCell ref="A5062:H5062"/>
    <mergeCell ref="A5063:H5063"/>
    <mergeCell ref="A5068:G5068"/>
    <mergeCell ref="A5069:G5069"/>
    <mergeCell ref="A5070:G5070"/>
    <mergeCell ref="A5071:H5071"/>
    <mergeCell ref="A5077:H5077"/>
    <mergeCell ref="A5078:H5078"/>
    <mergeCell ref="A5083:G5083"/>
    <mergeCell ref="A5084:G5084"/>
    <mergeCell ref="A5085:G5085"/>
    <mergeCell ref="A5086:H5086"/>
    <mergeCell ref="A5093:H5093"/>
    <mergeCell ref="A5094:H5094"/>
    <mergeCell ref="A5149:H5149"/>
    <mergeCell ref="A5156:H5156"/>
    <mergeCell ref="A5157:H5157"/>
    <mergeCell ref="A5162:G5162"/>
    <mergeCell ref="A5163:G5163"/>
    <mergeCell ref="A5164:G5164"/>
    <mergeCell ref="A5165:H5165"/>
    <mergeCell ref="A5171:H5171"/>
    <mergeCell ref="A5172:H5172"/>
    <mergeCell ref="A5177:G5177"/>
    <mergeCell ref="A5178:G5178"/>
    <mergeCell ref="A5179:G5179"/>
    <mergeCell ref="A5180:H5180"/>
    <mergeCell ref="A5186:H5186"/>
    <mergeCell ref="A5187:H5187"/>
    <mergeCell ref="A5192:G5192"/>
    <mergeCell ref="A5193:G5193"/>
    <mergeCell ref="A5004:H5004"/>
    <mergeCell ref="A5005:H5005"/>
    <mergeCell ref="A5010:G5010"/>
    <mergeCell ref="A5011:G5011"/>
    <mergeCell ref="A5012:G5012"/>
    <mergeCell ref="A5013:H5013"/>
    <mergeCell ref="A5019:H5019"/>
    <mergeCell ref="A5020:H5020"/>
    <mergeCell ref="A5025:G5025"/>
    <mergeCell ref="A5026:G5026"/>
    <mergeCell ref="A5027:G5027"/>
    <mergeCell ref="A5028:H5028"/>
    <mergeCell ref="A5035:H5035"/>
    <mergeCell ref="A5036:H5036"/>
    <mergeCell ref="A5041:G5041"/>
    <mergeCell ref="A5042:G5042"/>
    <mergeCell ref="A5148:G5148"/>
    <mergeCell ref="A5099:G5099"/>
    <mergeCell ref="A5100:G5100"/>
    <mergeCell ref="A5101:G5101"/>
    <mergeCell ref="A5102:H5102"/>
    <mergeCell ref="A5108:H5108"/>
    <mergeCell ref="A5109:H5109"/>
    <mergeCell ref="A5114:G5114"/>
    <mergeCell ref="A5115:G5115"/>
    <mergeCell ref="A5116:G5116"/>
    <mergeCell ref="A5117:H5117"/>
    <mergeCell ref="A5124:H5124"/>
    <mergeCell ref="A5125:H5125"/>
    <mergeCell ref="A5130:G5130"/>
    <mergeCell ref="A5131:G5131"/>
    <mergeCell ref="A5132:G5132"/>
    <mergeCell ref="A4960:H4960"/>
    <mergeCell ref="A4965:G4965"/>
    <mergeCell ref="A4966:G4966"/>
    <mergeCell ref="A4967:G4967"/>
    <mergeCell ref="A4968:H4968"/>
    <mergeCell ref="A4975:H4975"/>
    <mergeCell ref="A4976:H4976"/>
    <mergeCell ref="A4981:G4981"/>
    <mergeCell ref="A4982:G4982"/>
    <mergeCell ref="A4983:G4983"/>
    <mergeCell ref="A4984:H4984"/>
    <mergeCell ref="A4989:H4989"/>
    <mergeCell ref="A4990:H4990"/>
    <mergeCell ref="A4995:G4995"/>
    <mergeCell ref="A4996:G4996"/>
    <mergeCell ref="A4997:G4997"/>
    <mergeCell ref="A4998:H4998"/>
    <mergeCell ref="A5956:H5956"/>
    <mergeCell ref="A5957:H5957"/>
    <mergeCell ref="A5962:G5962"/>
    <mergeCell ref="A5963:G5963"/>
    <mergeCell ref="A5964:G5964"/>
    <mergeCell ref="A5965:H5965"/>
    <mergeCell ref="A5970:H5970"/>
    <mergeCell ref="A5971:H5971"/>
    <mergeCell ref="A5976:G5976"/>
    <mergeCell ref="A5977:G5977"/>
    <mergeCell ref="A5978:G5978"/>
    <mergeCell ref="A5979:H5979"/>
    <mergeCell ref="A5986:H5986"/>
    <mergeCell ref="A5987:H5987"/>
    <mergeCell ref="A5992:G5992"/>
    <mergeCell ref="A5993:G5993"/>
    <mergeCell ref="A4922:G4922"/>
    <mergeCell ref="A4923:G4923"/>
    <mergeCell ref="A4924:H4924"/>
    <mergeCell ref="A4931:H4931"/>
    <mergeCell ref="A4932:H4932"/>
    <mergeCell ref="A4937:G4937"/>
    <mergeCell ref="A4938:G4938"/>
    <mergeCell ref="A4939:G4939"/>
    <mergeCell ref="A4940:H4940"/>
    <mergeCell ref="A4944:H4944"/>
    <mergeCell ref="A4945:H4945"/>
    <mergeCell ref="A4950:G4950"/>
    <mergeCell ref="A4951:G4951"/>
    <mergeCell ref="A4952:G4952"/>
    <mergeCell ref="A4953:H4953"/>
    <mergeCell ref="A4959:H4959"/>
    <mergeCell ref="A6009:G6009"/>
    <mergeCell ref="A6034:H6034"/>
    <mergeCell ref="A6035:H6035"/>
    <mergeCell ref="A6040:G6040"/>
    <mergeCell ref="A6041:G6041"/>
    <mergeCell ref="A6042:G6042"/>
    <mergeCell ref="A6043:H6043"/>
    <mergeCell ref="A6010:H6010"/>
    <mergeCell ref="A6016:H6016"/>
    <mergeCell ref="A6017:H6017"/>
    <mergeCell ref="A6022:G6022"/>
    <mergeCell ref="A6023:G6023"/>
    <mergeCell ref="A6024:G6024"/>
    <mergeCell ref="A6025:H6025"/>
    <mergeCell ref="A5876:G5876"/>
    <mergeCell ref="A5877:G5877"/>
    <mergeCell ref="A5878:H5878"/>
    <mergeCell ref="A5883:H5883"/>
    <mergeCell ref="A5884:H5884"/>
    <mergeCell ref="A5889:G5889"/>
    <mergeCell ref="A5890:G5890"/>
    <mergeCell ref="A5891:G5891"/>
    <mergeCell ref="A5892:H5892"/>
    <mergeCell ref="A5899:H5899"/>
    <mergeCell ref="A5900:H5900"/>
    <mergeCell ref="A5905:G5905"/>
    <mergeCell ref="A5906:G5906"/>
    <mergeCell ref="A5907:G5907"/>
    <mergeCell ref="A5908:H5908"/>
    <mergeCell ref="A5914:H5914"/>
    <mergeCell ref="A5915:H5915"/>
    <mergeCell ref="A5920:G5920"/>
    <mergeCell ref="A5778:H5778"/>
    <mergeCell ref="A5779:H5779"/>
    <mergeCell ref="A5784:G5784"/>
    <mergeCell ref="A5785:G5785"/>
    <mergeCell ref="A5861:G5861"/>
    <mergeCell ref="A5862:G5862"/>
    <mergeCell ref="A5863:G5863"/>
    <mergeCell ref="A5864:H5864"/>
    <mergeCell ref="A5869:H5869"/>
    <mergeCell ref="A5870:H5870"/>
    <mergeCell ref="A5875:G5875"/>
    <mergeCell ref="A5994:G5994"/>
    <mergeCell ref="A5995:H5995"/>
    <mergeCell ref="A6001:H6001"/>
    <mergeCell ref="A6002:H6002"/>
    <mergeCell ref="A6007:G6007"/>
    <mergeCell ref="A6008:G6008"/>
    <mergeCell ref="A5921:G5921"/>
    <mergeCell ref="A5922:G5922"/>
    <mergeCell ref="A5923:H5923"/>
    <mergeCell ref="A5928:H5928"/>
    <mergeCell ref="A5929:H5929"/>
    <mergeCell ref="A5934:G5934"/>
    <mergeCell ref="A5935:G5935"/>
    <mergeCell ref="A5936:G5936"/>
    <mergeCell ref="A5937:H5937"/>
    <mergeCell ref="A5941:H5941"/>
    <mergeCell ref="A5942:H5942"/>
    <mergeCell ref="A5947:G5947"/>
    <mergeCell ref="A5948:G5948"/>
    <mergeCell ref="A5949:G5949"/>
    <mergeCell ref="A5950:H5950"/>
    <mergeCell ref="A5833:H5833"/>
    <mergeCell ref="A5839:H5839"/>
    <mergeCell ref="A5840:H5840"/>
    <mergeCell ref="A5845:G5845"/>
    <mergeCell ref="A5846:G5846"/>
    <mergeCell ref="A5847:G5847"/>
    <mergeCell ref="A5848:H5848"/>
    <mergeCell ref="A5855:H5855"/>
    <mergeCell ref="A5856:H5856"/>
    <mergeCell ref="A5677:G5677"/>
    <mergeCell ref="A5678:H5678"/>
    <mergeCell ref="A5684:H5684"/>
    <mergeCell ref="A5685:H5685"/>
    <mergeCell ref="A5690:G5690"/>
    <mergeCell ref="A5691:G5691"/>
    <mergeCell ref="A5692:G5692"/>
    <mergeCell ref="A5693:H5693"/>
    <mergeCell ref="A5701:H5701"/>
    <mergeCell ref="A5702:H5702"/>
    <mergeCell ref="A5707:G5707"/>
    <mergeCell ref="A5708:G5708"/>
    <mergeCell ref="A5709:G5709"/>
    <mergeCell ref="A5710:H5710"/>
    <mergeCell ref="A5718:H5718"/>
    <mergeCell ref="A5719:H5719"/>
    <mergeCell ref="A5724:G5724"/>
    <mergeCell ref="A5725:G5725"/>
    <mergeCell ref="A5726:G5726"/>
    <mergeCell ref="A5727:H5727"/>
    <mergeCell ref="A5734:H5734"/>
    <mergeCell ref="A5735:H5735"/>
    <mergeCell ref="A5740:G5740"/>
    <mergeCell ref="A5793:H5793"/>
    <mergeCell ref="A5794:H5794"/>
    <mergeCell ref="A5799:G5799"/>
    <mergeCell ref="A5800:G5800"/>
    <mergeCell ref="A5801:G5801"/>
    <mergeCell ref="A5802:H5802"/>
    <mergeCell ref="A5809:H5809"/>
    <mergeCell ref="A5810:H5810"/>
    <mergeCell ref="A5815:G5815"/>
    <mergeCell ref="A5816:G5816"/>
    <mergeCell ref="A5817:G5817"/>
    <mergeCell ref="A5818:H5818"/>
    <mergeCell ref="A5824:H5824"/>
    <mergeCell ref="A5825:H5825"/>
    <mergeCell ref="A5830:G5830"/>
    <mergeCell ref="A5831:G5831"/>
    <mergeCell ref="A5832:G5832"/>
    <mergeCell ref="A5452:G5452"/>
    <mergeCell ref="A5453:G5453"/>
    <mergeCell ref="A5454:G5454"/>
    <mergeCell ref="A5455:H5455"/>
    <mergeCell ref="A5461:H5461"/>
    <mergeCell ref="A5462:H5462"/>
    <mergeCell ref="A5467:G5467"/>
    <mergeCell ref="A5468:G5468"/>
    <mergeCell ref="A5542:G5542"/>
    <mergeCell ref="A5543:G5543"/>
    <mergeCell ref="A5544:G5544"/>
    <mergeCell ref="A5545:H5545"/>
    <mergeCell ref="A5551:H5551"/>
    <mergeCell ref="A5552:H5552"/>
    <mergeCell ref="A5557:G5557"/>
    <mergeCell ref="A5786:G5786"/>
    <mergeCell ref="A5787:H5787"/>
    <mergeCell ref="A5741:G5741"/>
    <mergeCell ref="A5742:G5742"/>
    <mergeCell ref="A5743:H5743"/>
    <mergeCell ref="A5749:H5749"/>
    <mergeCell ref="A5750:H5750"/>
    <mergeCell ref="A5755:G5755"/>
    <mergeCell ref="A5756:G5756"/>
    <mergeCell ref="A5757:G5757"/>
    <mergeCell ref="A5758:H5758"/>
    <mergeCell ref="A5763:H5763"/>
    <mergeCell ref="A5764:H5764"/>
    <mergeCell ref="A5769:G5769"/>
    <mergeCell ref="A5770:G5770"/>
    <mergeCell ref="A5771:G5771"/>
    <mergeCell ref="A5772:H5772"/>
    <mergeCell ref="A5405:G5405"/>
    <mergeCell ref="A5406:G5406"/>
    <mergeCell ref="A5407:H5407"/>
    <mergeCell ref="A5415:H5415"/>
    <mergeCell ref="A5416:H5416"/>
    <mergeCell ref="A5421:G5421"/>
    <mergeCell ref="A5422:G5422"/>
    <mergeCell ref="A5423:G5423"/>
    <mergeCell ref="A5424:H5424"/>
    <mergeCell ref="A5430:H5430"/>
    <mergeCell ref="A5431:H5431"/>
    <mergeCell ref="A5436:G5436"/>
    <mergeCell ref="A5437:G5437"/>
    <mergeCell ref="A5438:G5438"/>
    <mergeCell ref="A5439:H5439"/>
    <mergeCell ref="A5446:H5446"/>
    <mergeCell ref="A5447:H5447"/>
    <mergeCell ref="A4921:G4921"/>
    <mergeCell ref="A5506:H5506"/>
    <mergeCell ref="A5507:H5507"/>
    <mergeCell ref="A5512:G5512"/>
    <mergeCell ref="A5513:G5513"/>
    <mergeCell ref="A5514:G5514"/>
    <mergeCell ref="A5515:H5515"/>
    <mergeCell ref="A5521:H5521"/>
    <mergeCell ref="A5522:H5522"/>
    <mergeCell ref="A5527:G5527"/>
    <mergeCell ref="A5528:G5528"/>
    <mergeCell ref="A5529:G5529"/>
    <mergeCell ref="A5530:H5530"/>
    <mergeCell ref="A5536:H5536"/>
    <mergeCell ref="A5537:H5537"/>
    <mergeCell ref="A5357:G5357"/>
    <mergeCell ref="A5358:H5358"/>
    <mergeCell ref="A5365:H5365"/>
    <mergeCell ref="A5366:H5366"/>
    <mergeCell ref="A5371:G5371"/>
    <mergeCell ref="A5372:G5372"/>
    <mergeCell ref="A5373:G5373"/>
    <mergeCell ref="A5374:H5374"/>
    <mergeCell ref="A5381:H5381"/>
    <mergeCell ref="A5382:H5382"/>
    <mergeCell ref="A5387:G5387"/>
    <mergeCell ref="A5388:G5388"/>
    <mergeCell ref="A5389:G5389"/>
    <mergeCell ref="A5390:H5390"/>
    <mergeCell ref="A5398:H5398"/>
    <mergeCell ref="A5399:H5399"/>
    <mergeCell ref="A5404:G5404"/>
    <mergeCell ref="A4804:H4804"/>
    <mergeCell ref="A4811:H4811"/>
    <mergeCell ref="A4812:H4812"/>
    <mergeCell ref="A4817:G4817"/>
    <mergeCell ref="A4818:G4818"/>
    <mergeCell ref="A4819:G4819"/>
    <mergeCell ref="A4820:H4820"/>
    <mergeCell ref="A4827:H4827"/>
    <mergeCell ref="A4828:H4828"/>
    <mergeCell ref="A4833:G4833"/>
    <mergeCell ref="A4834:G4834"/>
    <mergeCell ref="A4907:G4907"/>
    <mergeCell ref="A4908:G4908"/>
    <mergeCell ref="A4909:G4909"/>
    <mergeCell ref="A4910:H4910"/>
    <mergeCell ref="A4915:H4915"/>
    <mergeCell ref="A4916:H4916"/>
    <mergeCell ref="A4864:G4864"/>
    <mergeCell ref="A4865:H4865"/>
    <mergeCell ref="A4872:H4872"/>
    <mergeCell ref="A4873:H4873"/>
    <mergeCell ref="A4878:G4878"/>
    <mergeCell ref="A4879:G4879"/>
    <mergeCell ref="A4880:G4880"/>
    <mergeCell ref="A4881:H4881"/>
    <mergeCell ref="A4886:H4886"/>
    <mergeCell ref="A4887:H4887"/>
    <mergeCell ref="A4892:G4892"/>
    <mergeCell ref="A4893:G4893"/>
    <mergeCell ref="A4894:G4894"/>
    <mergeCell ref="A4895:H4895"/>
    <mergeCell ref="A4901:H4901"/>
    <mergeCell ref="A4902:H4902"/>
    <mergeCell ref="A4723:G4723"/>
    <mergeCell ref="A4724:H4724"/>
    <mergeCell ref="A4731:H4731"/>
    <mergeCell ref="A4732:H4732"/>
    <mergeCell ref="A4737:G4737"/>
    <mergeCell ref="A4738:G4738"/>
    <mergeCell ref="A4739:G4739"/>
    <mergeCell ref="A4740:H4740"/>
    <mergeCell ref="A4747:H4747"/>
    <mergeCell ref="A4748:H4748"/>
    <mergeCell ref="A4753:G4753"/>
    <mergeCell ref="A4754:G4754"/>
    <mergeCell ref="A4755:G4755"/>
    <mergeCell ref="A4756:H4756"/>
    <mergeCell ref="A4764:H4764"/>
    <mergeCell ref="A4765:H4765"/>
    <mergeCell ref="A4709:H4709"/>
    <mergeCell ref="A4715:H4715"/>
    <mergeCell ref="A4716:H4716"/>
    <mergeCell ref="A4721:G4721"/>
    <mergeCell ref="A4722:G4722"/>
    <mergeCell ref="A4835:G4835"/>
    <mergeCell ref="A4836:H4836"/>
    <mergeCell ref="A4841:H4841"/>
    <mergeCell ref="A4842:H4842"/>
    <mergeCell ref="A4847:G4847"/>
    <mergeCell ref="A4848:G4848"/>
    <mergeCell ref="A4849:G4849"/>
    <mergeCell ref="A4850:H4850"/>
    <mergeCell ref="A4856:H4856"/>
    <mergeCell ref="A4857:H4857"/>
    <mergeCell ref="A4862:G4862"/>
    <mergeCell ref="A4863:G4863"/>
    <mergeCell ref="A4770:G4770"/>
    <mergeCell ref="A4771:G4771"/>
    <mergeCell ref="A4772:G4772"/>
    <mergeCell ref="A4773:H4773"/>
    <mergeCell ref="A4780:H4780"/>
    <mergeCell ref="A4781:H4781"/>
    <mergeCell ref="A4786:G4786"/>
    <mergeCell ref="A4787:G4787"/>
    <mergeCell ref="A4788:G4788"/>
    <mergeCell ref="A4789:H4789"/>
    <mergeCell ref="A4795:H4795"/>
    <mergeCell ref="A4796:H4796"/>
    <mergeCell ref="A4801:G4801"/>
    <mergeCell ref="A4802:G4802"/>
    <mergeCell ref="A4803:G4803"/>
    <mergeCell ref="A4672:H4672"/>
    <mergeCell ref="A4673:H4673"/>
    <mergeCell ref="A4678:G4678"/>
    <mergeCell ref="A4679:G4679"/>
    <mergeCell ref="A4680:G4680"/>
    <mergeCell ref="A4681:H4681"/>
    <mergeCell ref="A4686:H4686"/>
    <mergeCell ref="A4687:H4687"/>
    <mergeCell ref="A4692:G4692"/>
    <mergeCell ref="A4693:G4693"/>
    <mergeCell ref="A4694:G4694"/>
    <mergeCell ref="A4695:H4695"/>
    <mergeCell ref="A4700:H4700"/>
    <mergeCell ref="A4701:H4701"/>
    <mergeCell ref="A4706:G4706"/>
    <mergeCell ref="A4707:G4707"/>
    <mergeCell ref="A4708:G4708"/>
    <mergeCell ref="A4628:H4628"/>
    <mergeCell ref="A4633:G4633"/>
    <mergeCell ref="A4634:G4634"/>
    <mergeCell ref="A4635:G4635"/>
    <mergeCell ref="A4636:H4636"/>
    <mergeCell ref="A4642:H4642"/>
    <mergeCell ref="A4643:H4643"/>
    <mergeCell ref="A4648:G4648"/>
    <mergeCell ref="A4649:G4649"/>
    <mergeCell ref="A4650:G4650"/>
    <mergeCell ref="A4651:H4651"/>
    <mergeCell ref="A4657:H4657"/>
    <mergeCell ref="A4658:H4658"/>
    <mergeCell ref="A4663:G4663"/>
    <mergeCell ref="A4664:G4664"/>
    <mergeCell ref="A4665:G4665"/>
    <mergeCell ref="A4666:H4666"/>
    <mergeCell ref="A4588:G4588"/>
    <mergeCell ref="A4589:G4589"/>
    <mergeCell ref="A4590:G4590"/>
    <mergeCell ref="A4591:H4591"/>
    <mergeCell ref="A4596:H4596"/>
    <mergeCell ref="A4597:H4597"/>
    <mergeCell ref="A4602:G4602"/>
    <mergeCell ref="A4603:G4603"/>
    <mergeCell ref="A4604:G4604"/>
    <mergeCell ref="A4605:H4605"/>
    <mergeCell ref="A4611:H4611"/>
    <mergeCell ref="A4612:H4612"/>
    <mergeCell ref="A4617:G4617"/>
    <mergeCell ref="A4618:G4618"/>
    <mergeCell ref="A4619:G4619"/>
    <mergeCell ref="A4620:H4620"/>
    <mergeCell ref="A4627:H4627"/>
    <mergeCell ref="A4576:G4576"/>
    <mergeCell ref="A4577:H4577"/>
    <mergeCell ref="A4582:H4582"/>
    <mergeCell ref="A4583:H4583"/>
    <mergeCell ref="A4422:G4422"/>
    <mergeCell ref="A4423:H4423"/>
    <mergeCell ref="A4429:H4429"/>
    <mergeCell ref="A4430:H4430"/>
    <mergeCell ref="A4435:G4435"/>
    <mergeCell ref="A4436:G4436"/>
    <mergeCell ref="A4437:G4437"/>
    <mergeCell ref="A4438:H4438"/>
    <mergeCell ref="A4443:H4443"/>
    <mergeCell ref="A4444:H4444"/>
    <mergeCell ref="A4449:G4449"/>
    <mergeCell ref="A4450:G4450"/>
    <mergeCell ref="A4451:G4451"/>
    <mergeCell ref="A4452:H4452"/>
    <mergeCell ref="A4457:H4457"/>
    <mergeCell ref="A4458:H4458"/>
    <mergeCell ref="A4463:G4463"/>
    <mergeCell ref="A4464:G4464"/>
    <mergeCell ref="A4465:G4465"/>
    <mergeCell ref="A4466:H4466"/>
    <mergeCell ref="A4471:H4471"/>
    <mergeCell ref="A4472:H4472"/>
    <mergeCell ref="A4477:G4477"/>
    <mergeCell ref="A4478:G4478"/>
    <mergeCell ref="A4479:G4479"/>
    <mergeCell ref="A4480:H4480"/>
    <mergeCell ref="A4484:H4484"/>
    <mergeCell ref="A4485:H4485"/>
    <mergeCell ref="A4535:H4535"/>
    <mergeCell ref="A4540:H4540"/>
    <mergeCell ref="A4541:H4541"/>
    <mergeCell ref="A4546:G4546"/>
    <mergeCell ref="A4547:G4547"/>
    <mergeCell ref="A4548:G4548"/>
    <mergeCell ref="A4549:H4549"/>
    <mergeCell ref="A4554:H4554"/>
    <mergeCell ref="A4555:H4555"/>
    <mergeCell ref="A4560:G4560"/>
    <mergeCell ref="A4561:G4561"/>
    <mergeCell ref="A4562:G4562"/>
    <mergeCell ref="A4563:H4563"/>
    <mergeCell ref="A4568:H4568"/>
    <mergeCell ref="A4569:H4569"/>
    <mergeCell ref="A4574:G4574"/>
    <mergeCell ref="A4575:G4575"/>
    <mergeCell ref="A4399:H4399"/>
    <mergeCell ref="A4400:H4400"/>
    <mergeCell ref="A4405:G4405"/>
    <mergeCell ref="A4406:G4406"/>
    <mergeCell ref="A4407:G4407"/>
    <mergeCell ref="A4408:H4408"/>
    <mergeCell ref="A4414:H4414"/>
    <mergeCell ref="A4415:H4415"/>
    <mergeCell ref="A4420:G4420"/>
    <mergeCell ref="A4421:G4421"/>
    <mergeCell ref="A4520:G4520"/>
    <mergeCell ref="A4521:H4521"/>
    <mergeCell ref="A4526:H4526"/>
    <mergeCell ref="A4527:H4527"/>
    <mergeCell ref="A4532:G4532"/>
    <mergeCell ref="A4533:G4533"/>
    <mergeCell ref="A4534:G4534"/>
    <mergeCell ref="A4490:G4490"/>
    <mergeCell ref="A4491:G4491"/>
    <mergeCell ref="A4492:G4492"/>
    <mergeCell ref="A4493:H4493"/>
    <mergeCell ref="A4498:H4498"/>
    <mergeCell ref="A4499:H4499"/>
    <mergeCell ref="A4504:G4504"/>
    <mergeCell ref="A4505:G4505"/>
    <mergeCell ref="A4506:G4506"/>
    <mergeCell ref="A4507:H4507"/>
    <mergeCell ref="A4512:H4512"/>
    <mergeCell ref="A4513:H4513"/>
    <mergeCell ref="A4518:G4518"/>
    <mergeCell ref="A4519:G4519"/>
    <mergeCell ref="A4359:H4359"/>
    <mergeCell ref="A4364:G4364"/>
    <mergeCell ref="A4365:G4365"/>
    <mergeCell ref="A4366:G4366"/>
    <mergeCell ref="A4367:H4367"/>
    <mergeCell ref="A4371:H4371"/>
    <mergeCell ref="A4372:H4372"/>
    <mergeCell ref="A4377:G4377"/>
    <mergeCell ref="A4378:G4378"/>
    <mergeCell ref="A4379:G4379"/>
    <mergeCell ref="A4380:H4380"/>
    <mergeCell ref="A4385:H4385"/>
    <mergeCell ref="A4386:H4386"/>
    <mergeCell ref="A4391:G4391"/>
    <mergeCell ref="A4392:G4392"/>
    <mergeCell ref="A4393:G4393"/>
    <mergeCell ref="A4394:H4394"/>
    <mergeCell ref="A4321:G4321"/>
    <mergeCell ref="A4322:G4322"/>
    <mergeCell ref="A4323:G4323"/>
    <mergeCell ref="A4324:H4324"/>
    <mergeCell ref="A4329:H4329"/>
    <mergeCell ref="A4330:H4330"/>
    <mergeCell ref="A4335:G4335"/>
    <mergeCell ref="A4336:G4336"/>
    <mergeCell ref="A4337:G4337"/>
    <mergeCell ref="A4338:H4338"/>
    <mergeCell ref="A4343:H4343"/>
    <mergeCell ref="A4344:H4344"/>
    <mergeCell ref="A4349:G4349"/>
    <mergeCell ref="A4350:G4350"/>
    <mergeCell ref="A4351:G4351"/>
    <mergeCell ref="A4352:H4352"/>
    <mergeCell ref="A4358:H4358"/>
    <mergeCell ref="A4227:H4227"/>
    <mergeCell ref="A4228:H4228"/>
    <mergeCell ref="A4233:G4233"/>
    <mergeCell ref="A4234:G4234"/>
    <mergeCell ref="A4235:G4235"/>
    <mergeCell ref="A4236:H4236"/>
    <mergeCell ref="A4242:H4242"/>
    <mergeCell ref="A4243:H4243"/>
    <mergeCell ref="A4248:G4248"/>
    <mergeCell ref="A4249:G4249"/>
    <mergeCell ref="A4250:G4250"/>
    <mergeCell ref="A4251:H4251"/>
    <mergeCell ref="A4308:G4308"/>
    <mergeCell ref="A4309:G4309"/>
    <mergeCell ref="A4310:H4310"/>
    <mergeCell ref="A4315:H4315"/>
    <mergeCell ref="A4316:H4316"/>
    <mergeCell ref="A4075:H4075"/>
    <mergeCell ref="A4080:G4080"/>
    <mergeCell ref="A4081:G4081"/>
    <mergeCell ref="A4082:G4082"/>
    <mergeCell ref="A4083:H4083"/>
    <mergeCell ref="A4089:H4089"/>
    <mergeCell ref="A4090:H4090"/>
    <mergeCell ref="A4095:G4095"/>
    <mergeCell ref="A4096:G4096"/>
    <mergeCell ref="A4097:G4097"/>
    <mergeCell ref="A4098:H4098"/>
    <mergeCell ref="A4104:H4104"/>
    <mergeCell ref="A4105:H4105"/>
    <mergeCell ref="A4110:G4110"/>
    <mergeCell ref="A4111:G4111"/>
    <mergeCell ref="A4220:G4220"/>
    <mergeCell ref="A4221:H4221"/>
    <mergeCell ref="A4033:G4033"/>
    <mergeCell ref="A4034:G4034"/>
    <mergeCell ref="A4035:G4035"/>
    <mergeCell ref="A4036:H4036"/>
    <mergeCell ref="A4042:H4042"/>
    <mergeCell ref="A4043:H4043"/>
    <mergeCell ref="A4048:G4048"/>
    <mergeCell ref="A4049:G4049"/>
    <mergeCell ref="A4050:G4050"/>
    <mergeCell ref="A4051:H4051"/>
    <mergeCell ref="A4058:H4058"/>
    <mergeCell ref="A4059:H4059"/>
    <mergeCell ref="A4064:G4064"/>
    <mergeCell ref="A4065:G4065"/>
    <mergeCell ref="A4066:G4066"/>
    <mergeCell ref="A4067:H4067"/>
    <mergeCell ref="A4074:H4074"/>
    <mergeCell ref="A3993:G3993"/>
    <mergeCell ref="A3994:G3994"/>
    <mergeCell ref="A3995:H3995"/>
    <mergeCell ref="A3999:H3999"/>
    <mergeCell ref="A4000:H4000"/>
    <mergeCell ref="A4005:G4005"/>
    <mergeCell ref="A4006:G4006"/>
    <mergeCell ref="A4007:G4007"/>
    <mergeCell ref="A4008:H4008"/>
    <mergeCell ref="A4013:H4013"/>
    <mergeCell ref="A4014:H4014"/>
    <mergeCell ref="A4019:G4019"/>
    <mergeCell ref="A4020:G4020"/>
    <mergeCell ref="A4021:G4021"/>
    <mergeCell ref="A4022:H4022"/>
    <mergeCell ref="A4027:H4027"/>
    <mergeCell ref="A4028:H4028"/>
    <mergeCell ref="A3880:H3880"/>
    <mergeCell ref="A3881:H3881"/>
    <mergeCell ref="A3886:G3886"/>
    <mergeCell ref="A3887:G3887"/>
    <mergeCell ref="A3888:G3888"/>
    <mergeCell ref="A3889:H3889"/>
    <mergeCell ref="A3896:H3896"/>
    <mergeCell ref="A3897:H3897"/>
    <mergeCell ref="A3902:G3902"/>
    <mergeCell ref="A3903:G3903"/>
    <mergeCell ref="A3979:G3979"/>
    <mergeCell ref="A3980:G3980"/>
    <mergeCell ref="A3981:G3981"/>
    <mergeCell ref="A3982:H3982"/>
    <mergeCell ref="A3986:H3986"/>
    <mergeCell ref="A3987:H3987"/>
    <mergeCell ref="A3992:G3992"/>
    <mergeCell ref="A3833:H3833"/>
    <mergeCell ref="A3838:G3838"/>
    <mergeCell ref="A3839:G3839"/>
    <mergeCell ref="A3840:G3840"/>
    <mergeCell ref="A3841:H3841"/>
    <mergeCell ref="A3847:H3847"/>
    <mergeCell ref="A3848:H3848"/>
    <mergeCell ref="A3853:G3853"/>
    <mergeCell ref="A3854:G3854"/>
    <mergeCell ref="A3855:G3855"/>
    <mergeCell ref="A3856:H3856"/>
    <mergeCell ref="A3863:H3863"/>
    <mergeCell ref="A3864:H3864"/>
    <mergeCell ref="A3869:G3869"/>
    <mergeCell ref="A3870:G3870"/>
    <mergeCell ref="A3871:G3871"/>
    <mergeCell ref="A3872:H3872"/>
    <mergeCell ref="A3934:G3934"/>
    <mergeCell ref="A3935:G3935"/>
    <mergeCell ref="A3936:H3936"/>
    <mergeCell ref="A3942:H3942"/>
    <mergeCell ref="A3943:H3943"/>
    <mergeCell ref="A3948:G3948"/>
    <mergeCell ref="A3949:G3949"/>
    <mergeCell ref="A3950:G3950"/>
    <mergeCell ref="A3951:H3951"/>
    <mergeCell ref="A3958:H3958"/>
    <mergeCell ref="A3959:H3959"/>
    <mergeCell ref="A3964:G3964"/>
    <mergeCell ref="A3965:G3965"/>
    <mergeCell ref="A3966:G3966"/>
    <mergeCell ref="A3967:H3967"/>
    <mergeCell ref="A3973:H3973"/>
    <mergeCell ref="A3974:H3974"/>
    <mergeCell ref="A3781:G3781"/>
    <mergeCell ref="A3782:H3782"/>
    <mergeCell ref="A3789:H3789"/>
    <mergeCell ref="A3790:H3790"/>
    <mergeCell ref="A3795:G3795"/>
    <mergeCell ref="A3796:G3796"/>
    <mergeCell ref="A3904:G3904"/>
    <mergeCell ref="A3905:H3905"/>
    <mergeCell ref="A3912:H3912"/>
    <mergeCell ref="A3913:H3913"/>
    <mergeCell ref="A3918:G3918"/>
    <mergeCell ref="A3919:G3919"/>
    <mergeCell ref="A3920:G3920"/>
    <mergeCell ref="A3921:H3921"/>
    <mergeCell ref="A3927:H3927"/>
    <mergeCell ref="A3928:H3928"/>
    <mergeCell ref="A3933:G3933"/>
    <mergeCell ref="A3797:G3797"/>
    <mergeCell ref="A3798:H3798"/>
    <mergeCell ref="A3803:H3803"/>
    <mergeCell ref="A3804:H3804"/>
    <mergeCell ref="A3809:G3809"/>
    <mergeCell ref="A3810:G3810"/>
    <mergeCell ref="A3811:G3811"/>
    <mergeCell ref="A3812:H3812"/>
    <mergeCell ref="A3818:H3818"/>
    <mergeCell ref="A3819:H3819"/>
    <mergeCell ref="A3824:G3824"/>
    <mergeCell ref="A3825:G3825"/>
    <mergeCell ref="A3826:G3826"/>
    <mergeCell ref="A3827:H3827"/>
    <mergeCell ref="A3832:H3832"/>
    <mergeCell ref="A3737:H3737"/>
    <mergeCell ref="A3744:H3744"/>
    <mergeCell ref="A3745:H3745"/>
    <mergeCell ref="A3750:G3750"/>
    <mergeCell ref="A3751:G3751"/>
    <mergeCell ref="A3752:G3752"/>
    <mergeCell ref="A3753:H3753"/>
    <mergeCell ref="A3758:H3758"/>
    <mergeCell ref="A3759:H3759"/>
    <mergeCell ref="A3764:G3764"/>
    <mergeCell ref="A3765:G3765"/>
    <mergeCell ref="A3766:G3766"/>
    <mergeCell ref="A3767:H3767"/>
    <mergeCell ref="A3773:H3773"/>
    <mergeCell ref="A3774:H3774"/>
    <mergeCell ref="A3779:G3779"/>
    <mergeCell ref="A3780:G3780"/>
    <mergeCell ref="A4292:G4292"/>
    <mergeCell ref="A4293:G4293"/>
    <mergeCell ref="A4294:G4294"/>
    <mergeCell ref="A4295:H4295"/>
    <mergeCell ref="A4301:H4301"/>
    <mergeCell ref="A4302:H4302"/>
    <mergeCell ref="A4307:G4307"/>
    <mergeCell ref="A3678:G3678"/>
    <mergeCell ref="A3679:G3679"/>
    <mergeCell ref="A3680:H3680"/>
    <mergeCell ref="A3686:H3686"/>
    <mergeCell ref="A3687:H3687"/>
    <mergeCell ref="A3692:G3692"/>
    <mergeCell ref="A3693:G3693"/>
    <mergeCell ref="A3694:G3694"/>
    <mergeCell ref="A3695:H3695"/>
    <mergeCell ref="A3700:H3700"/>
    <mergeCell ref="A3701:H3701"/>
    <mergeCell ref="A3706:G3706"/>
    <mergeCell ref="A3707:G3707"/>
    <mergeCell ref="A3708:G3708"/>
    <mergeCell ref="A3709:H3709"/>
    <mergeCell ref="A3714:H3714"/>
    <mergeCell ref="A3715:H3715"/>
    <mergeCell ref="A3720:G3720"/>
    <mergeCell ref="A3721:G3721"/>
    <mergeCell ref="A3722:G3722"/>
    <mergeCell ref="A3723:H3723"/>
    <mergeCell ref="A3728:H3728"/>
    <mergeCell ref="A3729:H3729"/>
    <mergeCell ref="A3734:G3734"/>
    <mergeCell ref="A3735:G3735"/>
    <mergeCell ref="A4279:G4279"/>
    <mergeCell ref="A4280:H4280"/>
    <mergeCell ref="A4286:H4286"/>
    <mergeCell ref="A4287:H4287"/>
    <mergeCell ref="A4112:G4112"/>
    <mergeCell ref="A4113:H4113"/>
    <mergeCell ref="A4119:H4119"/>
    <mergeCell ref="A4120:H4120"/>
    <mergeCell ref="A4125:G4125"/>
    <mergeCell ref="A4126:G4126"/>
    <mergeCell ref="A4127:G4127"/>
    <mergeCell ref="A4128:H4128"/>
    <mergeCell ref="A4135:H4135"/>
    <mergeCell ref="A4136:H4136"/>
    <mergeCell ref="A4141:G4141"/>
    <mergeCell ref="A4142:G4142"/>
    <mergeCell ref="A4143:G4143"/>
    <mergeCell ref="A4144:H4144"/>
    <mergeCell ref="A4150:H4150"/>
    <mergeCell ref="A4151:H4151"/>
    <mergeCell ref="A4156:G4156"/>
    <mergeCell ref="A4157:G4157"/>
    <mergeCell ref="A4158:G4158"/>
    <mergeCell ref="A4159:H4159"/>
    <mergeCell ref="A4165:H4165"/>
    <mergeCell ref="A4166:H4166"/>
    <mergeCell ref="A4171:G4171"/>
    <mergeCell ref="A4172:G4172"/>
    <mergeCell ref="A4173:G4173"/>
    <mergeCell ref="A4174:H4174"/>
    <mergeCell ref="A4181:H4181"/>
    <mergeCell ref="A4182:H4182"/>
    <mergeCell ref="A3662:G3662"/>
    <mergeCell ref="A3663:G3663"/>
    <mergeCell ref="A3664:G3664"/>
    <mergeCell ref="A3665:H3665"/>
    <mergeCell ref="A3671:H3671"/>
    <mergeCell ref="A3672:H3672"/>
    <mergeCell ref="A3677:G3677"/>
    <mergeCell ref="A4256:H4256"/>
    <mergeCell ref="A4257:H4257"/>
    <mergeCell ref="A4262:G4262"/>
    <mergeCell ref="A4263:G4263"/>
    <mergeCell ref="A4264:G4264"/>
    <mergeCell ref="A4265:H4265"/>
    <mergeCell ref="A4271:H4271"/>
    <mergeCell ref="A4272:H4272"/>
    <mergeCell ref="A4277:G4277"/>
    <mergeCell ref="A4278:G4278"/>
    <mergeCell ref="A4187:G4187"/>
    <mergeCell ref="A4188:G4188"/>
    <mergeCell ref="A4189:G4189"/>
    <mergeCell ref="A4190:H4190"/>
    <mergeCell ref="A4197:H4197"/>
    <mergeCell ref="A4198:H4198"/>
    <mergeCell ref="A4203:G4203"/>
    <mergeCell ref="A4204:G4204"/>
    <mergeCell ref="A4205:G4205"/>
    <mergeCell ref="A4206:H4206"/>
    <mergeCell ref="A4212:H4212"/>
    <mergeCell ref="A4213:H4213"/>
    <mergeCell ref="A4218:G4218"/>
    <mergeCell ref="A4219:G4219"/>
    <mergeCell ref="A3736:G3736"/>
    <mergeCell ref="A3646:H3646"/>
    <mergeCell ref="A3656:H3656"/>
    <mergeCell ref="A3657:H3657"/>
    <mergeCell ref="A3472:G3472"/>
    <mergeCell ref="A3473:H3473"/>
    <mergeCell ref="A3481:H3481"/>
    <mergeCell ref="A3482:H3482"/>
    <mergeCell ref="A3487:G3487"/>
    <mergeCell ref="A3488:G3488"/>
    <mergeCell ref="A3489:G3489"/>
    <mergeCell ref="A3490:H3490"/>
    <mergeCell ref="A3498:H3498"/>
    <mergeCell ref="A3499:H3499"/>
    <mergeCell ref="A3504:G3504"/>
    <mergeCell ref="A3505:G3505"/>
    <mergeCell ref="A3506:G3506"/>
    <mergeCell ref="A3507:H3507"/>
    <mergeCell ref="A3514:H3514"/>
    <mergeCell ref="A3515:H3515"/>
    <mergeCell ref="A3520:G3520"/>
    <mergeCell ref="A3521:G3521"/>
    <mergeCell ref="A3522:G3522"/>
    <mergeCell ref="A3523:H3523"/>
    <mergeCell ref="A3530:H3530"/>
    <mergeCell ref="A3531:H3531"/>
    <mergeCell ref="A3536:G3536"/>
    <mergeCell ref="A3537:G3537"/>
    <mergeCell ref="A3538:G3538"/>
    <mergeCell ref="A3539:H3539"/>
    <mergeCell ref="A3545:H3545"/>
    <mergeCell ref="A3546:H3546"/>
    <mergeCell ref="A3551:G3551"/>
    <mergeCell ref="A3609:H3609"/>
    <mergeCell ref="A3610:H3610"/>
    <mergeCell ref="A3615:G3615"/>
    <mergeCell ref="A3616:G3616"/>
    <mergeCell ref="A3617:G3617"/>
    <mergeCell ref="A3618:H3618"/>
    <mergeCell ref="A3623:H3623"/>
    <mergeCell ref="A3624:H3624"/>
    <mergeCell ref="A3629:G3629"/>
    <mergeCell ref="A3630:G3630"/>
    <mergeCell ref="A3631:G3631"/>
    <mergeCell ref="A3632:H3632"/>
    <mergeCell ref="A3637:H3637"/>
    <mergeCell ref="A3638:H3638"/>
    <mergeCell ref="A3643:G3643"/>
    <mergeCell ref="A3644:G3644"/>
    <mergeCell ref="A3645:G3645"/>
    <mergeCell ref="A3448:H3448"/>
    <mergeCell ref="A3453:G3453"/>
    <mergeCell ref="A3454:G3454"/>
    <mergeCell ref="A3455:G3455"/>
    <mergeCell ref="A3456:H3456"/>
    <mergeCell ref="A3464:H3464"/>
    <mergeCell ref="A3465:H3465"/>
    <mergeCell ref="A3470:G3470"/>
    <mergeCell ref="A3471:G3471"/>
    <mergeCell ref="A3588:G3588"/>
    <mergeCell ref="A3589:H3589"/>
    <mergeCell ref="A3595:H3595"/>
    <mergeCell ref="A3596:H3596"/>
    <mergeCell ref="A3601:G3601"/>
    <mergeCell ref="A3602:G3602"/>
    <mergeCell ref="A3603:G3603"/>
    <mergeCell ref="A3604:H3604"/>
    <mergeCell ref="A3552:G3552"/>
    <mergeCell ref="A3553:G3553"/>
    <mergeCell ref="A3554:H3554"/>
    <mergeCell ref="A3562:H3562"/>
    <mergeCell ref="A3563:H3563"/>
    <mergeCell ref="A3568:G3568"/>
    <mergeCell ref="A3569:G3569"/>
    <mergeCell ref="A3570:G3570"/>
    <mergeCell ref="A3571:H3571"/>
    <mergeCell ref="A3580:H3580"/>
    <mergeCell ref="A3581:H3581"/>
    <mergeCell ref="A3586:G3586"/>
    <mergeCell ref="A3587:G3587"/>
    <mergeCell ref="A3409:G3409"/>
    <mergeCell ref="A3410:G3410"/>
    <mergeCell ref="A3411:G3411"/>
    <mergeCell ref="A3412:H3412"/>
    <mergeCell ref="A3418:H3418"/>
    <mergeCell ref="A3419:H3419"/>
    <mergeCell ref="A3424:G3424"/>
    <mergeCell ref="A3425:G3425"/>
    <mergeCell ref="A3426:G3426"/>
    <mergeCell ref="A3427:H3427"/>
    <mergeCell ref="A3433:H3433"/>
    <mergeCell ref="A3434:H3434"/>
    <mergeCell ref="A3439:G3439"/>
    <mergeCell ref="A3440:G3440"/>
    <mergeCell ref="A3441:G3441"/>
    <mergeCell ref="A3442:H3442"/>
    <mergeCell ref="A3447:H3447"/>
    <mergeCell ref="A3362:G3362"/>
    <mergeCell ref="A3363:G3363"/>
    <mergeCell ref="A3364:H3364"/>
    <mergeCell ref="A3373:H3373"/>
    <mergeCell ref="A3374:H3374"/>
    <mergeCell ref="A3379:G3379"/>
    <mergeCell ref="A3380:G3380"/>
    <mergeCell ref="A3381:G3381"/>
    <mergeCell ref="A3382:H3382"/>
    <mergeCell ref="A3388:H3388"/>
    <mergeCell ref="A3389:H3389"/>
    <mergeCell ref="A3394:G3394"/>
    <mergeCell ref="A3395:G3395"/>
    <mergeCell ref="A3396:G3396"/>
    <mergeCell ref="A3397:H3397"/>
    <mergeCell ref="A3403:H3403"/>
    <mergeCell ref="A3404:H3404"/>
    <mergeCell ref="A3252:H3252"/>
    <mergeCell ref="A3253:H3253"/>
    <mergeCell ref="A3258:G3258"/>
    <mergeCell ref="A3259:G3259"/>
    <mergeCell ref="A3331:G3331"/>
    <mergeCell ref="A3332:G3332"/>
    <mergeCell ref="A3333:G3333"/>
    <mergeCell ref="A3334:H3334"/>
    <mergeCell ref="A3340:H3340"/>
    <mergeCell ref="A3341:H3341"/>
    <mergeCell ref="A3346:G3346"/>
    <mergeCell ref="A3347:G3347"/>
    <mergeCell ref="A3348:G3348"/>
    <mergeCell ref="A3349:H3349"/>
    <mergeCell ref="A3355:H3355"/>
    <mergeCell ref="A3356:H3356"/>
    <mergeCell ref="A3361:G3361"/>
    <mergeCell ref="A3206:H3206"/>
    <mergeCell ref="A3211:G3211"/>
    <mergeCell ref="A3212:G3212"/>
    <mergeCell ref="A3213:G3213"/>
    <mergeCell ref="A3214:H3214"/>
    <mergeCell ref="A3221:H3221"/>
    <mergeCell ref="A3222:H3222"/>
    <mergeCell ref="A3227:G3227"/>
    <mergeCell ref="A3228:G3228"/>
    <mergeCell ref="A3229:G3229"/>
    <mergeCell ref="A3230:H3230"/>
    <mergeCell ref="A3237:H3237"/>
    <mergeCell ref="A3238:H3238"/>
    <mergeCell ref="A3243:G3243"/>
    <mergeCell ref="A3244:G3244"/>
    <mergeCell ref="A3245:G3245"/>
    <mergeCell ref="A3246:H3246"/>
    <mergeCell ref="A3304:G3304"/>
    <mergeCell ref="A3305:G3305"/>
    <mergeCell ref="A3306:H3306"/>
    <mergeCell ref="A3311:H3311"/>
    <mergeCell ref="A3312:H3312"/>
    <mergeCell ref="A3317:G3317"/>
    <mergeCell ref="A3318:G3318"/>
    <mergeCell ref="A3319:G3319"/>
    <mergeCell ref="A3320:H3320"/>
    <mergeCell ref="A3325:H3325"/>
    <mergeCell ref="A3326:H3326"/>
    <mergeCell ref="A3151:G3151"/>
    <mergeCell ref="A3152:H3152"/>
    <mergeCell ref="A3160:H3160"/>
    <mergeCell ref="A3161:H3161"/>
    <mergeCell ref="A3166:G3166"/>
    <mergeCell ref="A3167:G3167"/>
    <mergeCell ref="A3168:G3168"/>
    <mergeCell ref="A3169:H3169"/>
    <mergeCell ref="A3176:H3176"/>
    <mergeCell ref="A3177:H3177"/>
    <mergeCell ref="A3182:G3182"/>
    <mergeCell ref="A3183:G3183"/>
    <mergeCell ref="A3184:G3184"/>
    <mergeCell ref="A3185:H3185"/>
    <mergeCell ref="A3190:H3190"/>
    <mergeCell ref="A3191:H3191"/>
    <mergeCell ref="A3196:G3196"/>
    <mergeCell ref="A3197:G3197"/>
    <mergeCell ref="A3198:G3198"/>
    <mergeCell ref="A3199:H3199"/>
    <mergeCell ref="A3205:H3205"/>
    <mergeCell ref="A3260:G3260"/>
    <mergeCell ref="A3261:H3261"/>
    <mergeCell ref="A3267:H3267"/>
    <mergeCell ref="A3268:H3268"/>
    <mergeCell ref="A3273:G3273"/>
    <mergeCell ref="A3274:G3274"/>
    <mergeCell ref="A3275:G3275"/>
    <mergeCell ref="A3276:H3276"/>
    <mergeCell ref="A3282:H3282"/>
    <mergeCell ref="A3283:H3283"/>
    <mergeCell ref="A3288:G3288"/>
    <mergeCell ref="A3289:G3289"/>
    <mergeCell ref="A3290:G3290"/>
    <mergeCell ref="A3291:H3291"/>
    <mergeCell ref="A3297:H3297"/>
    <mergeCell ref="A3298:H3298"/>
    <mergeCell ref="A3303:G3303"/>
  </mergeCells>
  <pageMargins left="0.7" right="0.7" top="0.75" bottom="0.75" header="0.3" footer="0.3"/>
  <pageSetup orientation="portrait" horizontalDpi="0" verticalDpi="0" r:id="rId1"/>
  <tableParts count="40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  <tablePart r:id="rId271"/>
    <tablePart r:id="rId272"/>
    <tablePart r:id="rId273"/>
    <tablePart r:id="rId274"/>
    <tablePart r:id="rId275"/>
    <tablePart r:id="rId276"/>
    <tablePart r:id="rId277"/>
    <tablePart r:id="rId278"/>
    <tablePart r:id="rId279"/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  <tablePart r:id="rId301"/>
    <tablePart r:id="rId302"/>
    <tablePart r:id="rId303"/>
    <tablePart r:id="rId304"/>
    <tablePart r:id="rId305"/>
    <tablePart r:id="rId306"/>
    <tablePart r:id="rId307"/>
    <tablePart r:id="rId308"/>
    <tablePart r:id="rId309"/>
    <tablePart r:id="rId310"/>
    <tablePart r:id="rId311"/>
    <tablePart r:id="rId312"/>
    <tablePart r:id="rId313"/>
    <tablePart r:id="rId314"/>
    <tablePart r:id="rId315"/>
    <tablePart r:id="rId316"/>
    <tablePart r:id="rId317"/>
    <tablePart r:id="rId318"/>
    <tablePart r:id="rId319"/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  <tablePart r:id="rId344"/>
    <tablePart r:id="rId345"/>
    <tablePart r:id="rId346"/>
    <tablePart r:id="rId347"/>
    <tablePart r:id="rId348"/>
    <tablePart r:id="rId349"/>
    <tablePart r:id="rId350"/>
    <tablePart r:id="rId351"/>
    <tablePart r:id="rId352"/>
    <tablePart r:id="rId353"/>
    <tablePart r:id="rId354"/>
    <tablePart r:id="rId355"/>
    <tablePart r:id="rId356"/>
    <tablePart r:id="rId357"/>
    <tablePart r:id="rId358"/>
    <tablePart r:id="rId359"/>
    <tablePart r:id="rId360"/>
    <tablePart r:id="rId361"/>
    <tablePart r:id="rId362"/>
    <tablePart r:id="rId363"/>
    <tablePart r:id="rId364"/>
    <tablePart r:id="rId365"/>
    <tablePart r:id="rId366"/>
    <tablePart r:id="rId367"/>
    <tablePart r:id="rId368"/>
    <tablePart r:id="rId369"/>
    <tablePart r:id="rId370"/>
    <tablePart r:id="rId371"/>
    <tablePart r:id="rId372"/>
    <tablePart r:id="rId373"/>
    <tablePart r:id="rId374"/>
    <tablePart r:id="rId375"/>
    <tablePart r:id="rId376"/>
    <tablePart r:id="rId377"/>
    <tablePart r:id="rId378"/>
    <tablePart r:id="rId379"/>
    <tablePart r:id="rId380"/>
    <tablePart r:id="rId381"/>
    <tablePart r:id="rId382"/>
    <tablePart r:id="rId383"/>
    <tablePart r:id="rId384"/>
    <tablePart r:id="rId385"/>
    <tablePart r:id="rId386"/>
    <tablePart r:id="rId387"/>
    <tablePart r:id="rId388"/>
    <tablePart r:id="rId389"/>
    <tablePart r:id="rId390"/>
    <tablePart r:id="rId391"/>
    <tablePart r:id="rId392"/>
    <tablePart r:id="rId393"/>
    <tablePart r:id="rId394"/>
    <tablePart r:id="rId395"/>
    <tablePart r:id="rId396"/>
    <tablePart r:id="rId397"/>
    <tablePart r:id="rId398"/>
    <tablePart r:id="rId399"/>
    <tablePart r:id="rId400"/>
    <tablePart r:id="rId401"/>
    <tablePart r:id="rId4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Base</cp:lastModifiedBy>
  <dcterms:modified xsi:type="dcterms:W3CDTF">2025-11-20T07:50:47Z</dcterms:modified>
</cp:coreProperties>
</file>