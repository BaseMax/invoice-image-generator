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tables/table401.xml" ContentType="application/vnd.openxmlformats-officedocument.spreadsheetml.table+xml"/>
  <Override PartName="/xl/tables/table402.xml" ContentType="application/vnd.openxmlformats-officedocument.spreadsheetml.table+xml"/>
  <Override PartName="/xl/tables/table403.xml" ContentType="application/vnd.openxmlformats-officedocument.spreadsheetml.table+xml"/>
  <Override PartName="/xl/tables/table404.xml" ContentType="application/vnd.openxmlformats-officedocument.spreadsheetml.table+xml"/>
  <Override PartName="/xl/tables/table405.xml" ContentType="application/vnd.openxmlformats-officedocument.spreadsheetml.table+xml"/>
  <Override PartName="/xl/tables/table406.xml" ContentType="application/vnd.openxmlformats-officedocument.spreadsheetml.table+xml"/>
  <Override PartName="/xl/tables/table407.xml" ContentType="application/vnd.openxmlformats-officedocument.spreadsheetml.table+xml"/>
  <Override PartName="/xl/tables/table408.xml" ContentType="application/vnd.openxmlformats-officedocument.spreadsheetml.table+xml"/>
  <Override PartName="/xl/tables/table409.xml" ContentType="application/vnd.openxmlformats-officedocument.spreadsheetml.table+xml"/>
  <Override PartName="/xl/tables/table410.xml" ContentType="application/vnd.openxmlformats-officedocument.spreadsheetml.table+xml"/>
  <Override PartName="/xl/tables/table411.xml" ContentType="application/vnd.openxmlformats-officedocument.spreadsheetml.table+xml"/>
  <Override PartName="/xl/tables/table412.xml" ContentType="application/vnd.openxmlformats-officedocument.spreadsheetml.table+xml"/>
  <Override PartName="/xl/tables/table413.xml" ContentType="application/vnd.openxmlformats-officedocument.spreadsheetml.table+xml"/>
  <Override PartName="/xl/tables/table414.xml" ContentType="application/vnd.openxmlformats-officedocument.spreadsheetml.table+xml"/>
  <Override PartName="/xl/tables/table415.xml" ContentType="application/vnd.openxmlformats-officedocument.spreadsheetml.table+xml"/>
  <Override PartName="/xl/tables/table416.xml" ContentType="application/vnd.openxmlformats-officedocument.spreadsheetml.table+xml"/>
  <Override PartName="/xl/tables/table417.xml" ContentType="application/vnd.openxmlformats-officedocument.spreadsheetml.table+xml"/>
  <Override PartName="/xl/tables/table418.xml" ContentType="application/vnd.openxmlformats-officedocument.spreadsheetml.table+xml"/>
  <Override PartName="/xl/tables/table419.xml" ContentType="application/vnd.openxmlformats-officedocument.spreadsheetml.table+xml"/>
  <Override PartName="/xl/tables/table420.xml" ContentType="application/vnd.openxmlformats-officedocument.spreadsheetml.table+xml"/>
  <Override PartName="/xl/tables/table421.xml" ContentType="application/vnd.openxmlformats-officedocument.spreadsheetml.table+xml"/>
  <Override PartName="/xl/tables/table422.xml" ContentType="application/vnd.openxmlformats-officedocument.spreadsheetml.table+xml"/>
  <Override PartName="/xl/tables/table423.xml" ContentType="application/vnd.openxmlformats-officedocument.spreadsheetml.table+xml"/>
  <Override PartName="/xl/tables/table424.xml" ContentType="application/vnd.openxmlformats-officedocument.spreadsheetml.table+xml"/>
  <Override PartName="/xl/tables/table425.xml" ContentType="application/vnd.openxmlformats-officedocument.spreadsheetml.table+xml"/>
  <Override PartName="/xl/tables/table426.xml" ContentType="application/vnd.openxmlformats-officedocument.spreadsheetml.table+xml"/>
  <Override PartName="/xl/tables/table427.xml" ContentType="application/vnd.openxmlformats-officedocument.spreadsheetml.table+xml"/>
  <Override PartName="/xl/tables/table428.xml" ContentType="application/vnd.openxmlformats-officedocument.spreadsheetml.table+xml"/>
  <Override PartName="/xl/tables/table429.xml" ContentType="application/vnd.openxmlformats-officedocument.spreadsheetml.table+xml"/>
  <Override PartName="/xl/tables/table430.xml" ContentType="application/vnd.openxmlformats-officedocument.spreadsheetml.table+xml"/>
  <Override PartName="/xl/tables/table431.xml" ContentType="application/vnd.openxmlformats-officedocument.spreadsheetml.table+xml"/>
  <Override PartName="/xl/tables/table432.xml" ContentType="application/vnd.openxmlformats-officedocument.spreadsheetml.table+xml"/>
  <Override PartName="/xl/tables/table433.xml" ContentType="application/vnd.openxmlformats-officedocument.spreadsheetml.table+xml"/>
  <Override PartName="/xl/tables/table434.xml" ContentType="application/vnd.openxmlformats-officedocument.spreadsheetml.table+xml"/>
  <Override PartName="/xl/tables/table435.xml" ContentType="application/vnd.openxmlformats-officedocument.spreadsheetml.table+xml"/>
  <Override PartName="/xl/tables/table436.xml" ContentType="application/vnd.openxmlformats-officedocument.spreadsheetml.table+xml"/>
  <Override PartName="/xl/tables/table437.xml" ContentType="application/vnd.openxmlformats-officedocument.spreadsheetml.table+xml"/>
  <Override PartName="/xl/tables/table438.xml" ContentType="application/vnd.openxmlformats-officedocument.spreadsheetml.table+xml"/>
  <Override PartName="/xl/tables/table439.xml" ContentType="application/vnd.openxmlformats-officedocument.spreadsheetml.table+xml"/>
  <Override PartName="/xl/tables/table440.xml" ContentType="application/vnd.openxmlformats-officedocument.spreadsheetml.table+xml"/>
  <Override PartName="/xl/tables/table44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X\invoice-image-generator\"/>
    </mc:Choice>
  </mc:AlternateContent>
  <xr:revisionPtr revIDLastSave="0" documentId="13_ncr:1_{E43C4FE5-7146-48CA-B970-3AA3A486C6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msQ3RfUbfnf5zuGkeyMPpeOPpx2FEGPu3r2qiY7Flw="/>
    </ext>
  </extLst>
</workbook>
</file>

<file path=xl/calcChain.xml><?xml version="1.0" encoding="utf-8"?>
<calcChain xmlns="http://schemas.openxmlformats.org/spreadsheetml/2006/main">
  <c r="G7773" i="1" l="1"/>
  <c r="G7772" i="1"/>
  <c r="G7771" i="1"/>
  <c r="H7774" i="1" s="1"/>
  <c r="H7775" i="1" s="1"/>
  <c r="G7759" i="1"/>
  <c r="G7758" i="1"/>
  <c r="H7760" i="1" s="1"/>
  <c r="H7761" i="1" s="1"/>
  <c r="G7757" i="1"/>
  <c r="G7745" i="1"/>
  <c r="G7744" i="1"/>
  <c r="G7743" i="1"/>
  <c r="H7746" i="1" s="1"/>
  <c r="H7747" i="1" s="1"/>
  <c r="G7731" i="1"/>
  <c r="G7730" i="1"/>
  <c r="G7729" i="1"/>
  <c r="H7732" i="1" s="1"/>
  <c r="H7733" i="1" s="1"/>
  <c r="G7718" i="1"/>
  <c r="G7717" i="1"/>
  <c r="G7716" i="1"/>
  <c r="H7719" i="1" s="1"/>
  <c r="H7720" i="1" s="1"/>
  <c r="H7706" i="1"/>
  <c r="H7707" i="1" s="1"/>
  <c r="G7705" i="1"/>
  <c r="G7704" i="1"/>
  <c r="G7703" i="1"/>
  <c r="G7692" i="1"/>
  <c r="H7693" i="1" s="1"/>
  <c r="H7694" i="1" s="1"/>
  <c r="G7691" i="1"/>
  <c r="G7690" i="1"/>
  <c r="G7679" i="1"/>
  <c r="G7678" i="1"/>
  <c r="G7677" i="1"/>
  <c r="H7680" i="1" s="1"/>
  <c r="H7681" i="1" s="1"/>
  <c r="G7666" i="1"/>
  <c r="G7665" i="1"/>
  <c r="G7664" i="1"/>
  <c r="H7667" i="1" s="1"/>
  <c r="H7668" i="1" s="1"/>
  <c r="G7650" i="1"/>
  <c r="G7649" i="1"/>
  <c r="G7648" i="1"/>
  <c r="H7651" i="1" s="1"/>
  <c r="H7652" i="1" s="1"/>
  <c r="G7636" i="1"/>
  <c r="G7635" i="1"/>
  <c r="G7634" i="1"/>
  <c r="H7637" i="1" s="1"/>
  <c r="H7638" i="1" s="1"/>
  <c r="H7624" i="1"/>
  <c r="H7625" i="1" s="1"/>
  <c r="G7623" i="1"/>
  <c r="G7609" i="1"/>
  <c r="G7608" i="1"/>
  <c r="G7607" i="1"/>
  <c r="H7610" i="1" s="1"/>
  <c r="H7611" i="1" s="1"/>
  <c r="G7596" i="1"/>
  <c r="G7595" i="1"/>
  <c r="G7594" i="1"/>
  <c r="H7597" i="1" s="1"/>
  <c r="H7598" i="1" s="1"/>
  <c r="G7583" i="1"/>
  <c r="G7582" i="1"/>
  <c r="G7581" i="1"/>
  <c r="H7584" i="1" s="1"/>
  <c r="H7585" i="1" s="1"/>
  <c r="H7572" i="1"/>
  <c r="H7573" i="1" s="1"/>
  <c r="G7571" i="1"/>
  <c r="G7570" i="1"/>
  <c r="G7569" i="1"/>
  <c r="G7556" i="1"/>
  <c r="H7557" i="1" s="1"/>
  <c r="H7558" i="1" s="1"/>
  <c r="G7554" i="1"/>
  <c r="G7541" i="1"/>
  <c r="G7540" i="1"/>
  <c r="G7539" i="1"/>
  <c r="H7542" i="1" s="1"/>
  <c r="H7543" i="1" s="1"/>
  <c r="G7525" i="1"/>
  <c r="G7524" i="1"/>
  <c r="G7523" i="1"/>
  <c r="H7526" i="1" s="1"/>
  <c r="H7527" i="1" s="1"/>
  <c r="G7510" i="1"/>
  <c r="G7509" i="1"/>
  <c r="G7508" i="1"/>
  <c r="H7511" i="1" s="1"/>
  <c r="H7512" i="1" s="1"/>
  <c r="H7497" i="1"/>
  <c r="H7498" i="1" s="1"/>
  <c r="G7496" i="1"/>
  <c r="G7495" i="1"/>
  <c r="G7494" i="1"/>
  <c r="G7481" i="1"/>
  <c r="H7482" i="1" s="1"/>
  <c r="H7483" i="1" s="1"/>
  <c r="G7466" i="1"/>
  <c r="G7465" i="1"/>
  <c r="G7464" i="1"/>
  <c r="H7467" i="1" s="1"/>
  <c r="H7468" i="1" s="1"/>
  <c r="G7451" i="1"/>
  <c r="G7450" i="1"/>
  <c r="G7449" i="1"/>
  <c r="H7452" i="1" s="1"/>
  <c r="H7453" i="1" s="1"/>
  <c r="H7438" i="1"/>
  <c r="H7439" i="1" s="1"/>
  <c r="G7437" i="1"/>
  <c r="G7436" i="1"/>
  <c r="G7435" i="1"/>
  <c r="G7421" i="1"/>
  <c r="G7420" i="1"/>
  <c r="G7419" i="1"/>
  <c r="H7422" i="1" s="1"/>
  <c r="H7423" i="1" s="1"/>
  <c r="G7408" i="1"/>
  <c r="G7407" i="1"/>
  <c r="G7406" i="1"/>
  <c r="H7409" i="1" s="1"/>
  <c r="H7410" i="1" s="1"/>
  <c r="G7393" i="1"/>
  <c r="G7392" i="1"/>
  <c r="G7391" i="1"/>
  <c r="H7394" i="1" s="1"/>
  <c r="H7395" i="1" s="1"/>
  <c r="G7378" i="1"/>
  <c r="G7377" i="1"/>
  <c r="G7376" i="1"/>
  <c r="H7379" i="1" s="1"/>
  <c r="H7380" i="1" s="1"/>
  <c r="G7364" i="1"/>
  <c r="G7363" i="1"/>
  <c r="G7362" i="1"/>
  <c r="H7365" i="1" s="1"/>
  <c r="H7366" i="1" s="1"/>
  <c r="H7350" i="1"/>
  <c r="H7351" i="1" s="1"/>
  <c r="G7349" i="1"/>
  <c r="G7348" i="1"/>
  <c r="G7347" i="1"/>
  <c r="G7334" i="1"/>
  <c r="G7333" i="1"/>
  <c r="G7332" i="1"/>
  <c r="H7335" i="1" s="1"/>
  <c r="H7336" i="1" s="1"/>
  <c r="G7319" i="1"/>
  <c r="G7318" i="1"/>
  <c r="G7317" i="1"/>
  <c r="H7320" i="1" s="1"/>
  <c r="H7321" i="1" s="1"/>
  <c r="G7304" i="1"/>
  <c r="G7303" i="1"/>
  <c r="G7302" i="1"/>
  <c r="H7305" i="1" s="1"/>
  <c r="H7306" i="1" s="1"/>
  <c r="G7289" i="1"/>
  <c r="G7288" i="1"/>
  <c r="G7287" i="1"/>
  <c r="H7290" i="1" s="1"/>
  <c r="H7291" i="1" s="1"/>
  <c r="H7278" i="1"/>
  <c r="H7277" i="1"/>
  <c r="G7276" i="1"/>
  <c r="G7275" i="1"/>
  <c r="G7274" i="1"/>
  <c r="H7264" i="1"/>
  <c r="H7265" i="1" s="1"/>
  <c r="G7263" i="1"/>
  <c r="G7262" i="1"/>
  <c r="G7261" i="1"/>
  <c r="G7251" i="1"/>
  <c r="G7250" i="1"/>
  <c r="G7249" i="1"/>
  <c r="H7252" i="1" s="1"/>
  <c r="H7253" i="1" s="1"/>
  <c r="G7236" i="1"/>
  <c r="G7235" i="1"/>
  <c r="G7234" i="1"/>
  <c r="H7237" i="1" s="1"/>
  <c r="H7238" i="1" s="1"/>
  <c r="G7223" i="1"/>
  <c r="G7222" i="1"/>
  <c r="G7221" i="1"/>
  <c r="H7224" i="1" s="1"/>
  <c r="H7225" i="1" s="1"/>
  <c r="G7209" i="1"/>
  <c r="G7208" i="1"/>
  <c r="G7207" i="1"/>
  <c r="H7210" i="1" s="1"/>
  <c r="H7211" i="1" s="1"/>
  <c r="G7195" i="1"/>
  <c r="G7194" i="1"/>
  <c r="G7193" i="1"/>
  <c r="H7196" i="1" s="1"/>
  <c r="H7197" i="1" s="1"/>
  <c r="H7181" i="1"/>
  <c r="H7182" i="1" s="1"/>
  <c r="G7180" i="1"/>
  <c r="G7179" i="1"/>
  <c r="G7178" i="1"/>
  <c r="G7166" i="1"/>
  <c r="G7165" i="1"/>
  <c r="G7164" i="1"/>
  <c r="H7167" i="1" s="1"/>
  <c r="H7168" i="1" s="1"/>
  <c r="G7152" i="1"/>
  <c r="G7151" i="1"/>
  <c r="G7150" i="1"/>
  <c r="H7153" i="1" s="1"/>
  <c r="H7154" i="1" s="1"/>
  <c r="G7137" i="1"/>
  <c r="G7135" i="1"/>
  <c r="H7138" i="1" s="1"/>
  <c r="H7139" i="1" s="1"/>
  <c r="G7122" i="1"/>
  <c r="G7121" i="1"/>
  <c r="G7120" i="1"/>
  <c r="H7123" i="1" s="1"/>
  <c r="H7124" i="1" s="1"/>
  <c r="H7109" i="1"/>
  <c r="H7110" i="1" s="1"/>
  <c r="G7108" i="1"/>
  <c r="G7107" i="1"/>
  <c r="G7106" i="1"/>
  <c r="G7093" i="1"/>
  <c r="G7092" i="1"/>
  <c r="G7091" i="1"/>
  <c r="H7094" i="1" s="1"/>
  <c r="H7095" i="1" s="1"/>
  <c r="G7079" i="1"/>
  <c r="G7078" i="1"/>
  <c r="G7077" i="1"/>
  <c r="H7080" i="1" s="1"/>
  <c r="H7081" i="1" s="1"/>
  <c r="G7065" i="1"/>
  <c r="G7064" i="1"/>
  <c r="G7063" i="1"/>
  <c r="H7066" i="1" s="1"/>
  <c r="H7067" i="1" s="1"/>
  <c r="G7052" i="1"/>
  <c r="G7050" i="1"/>
  <c r="H7053" i="1" s="1"/>
  <c r="H7054" i="1" s="1"/>
  <c r="H7039" i="1"/>
  <c r="H7040" i="1" s="1"/>
  <c r="G7038" i="1"/>
  <c r="G7037" i="1"/>
  <c r="G7036" i="1"/>
  <c r="G7024" i="1"/>
  <c r="G7023" i="1"/>
  <c r="G7022" i="1"/>
  <c r="H7025" i="1" s="1"/>
  <c r="H7026" i="1" s="1"/>
  <c r="G7009" i="1"/>
  <c r="G7008" i="1"/>
  <c r="G7007" i="1"/>
  <c r="H7010" i="1" s="1"/>
  <c r="H7011" i="1" s="1"/>
  <c r="G6995" i="1"/>
  <c r="G6994" i="1"/>
  <c r="G6993" i="1"/>
  <c r="H6996" i="1" s="1"/>
  <c r="H6997" i="1" s="1"/>
  <c r="G6981" i="1"/>
  <c r="G6980" i="1"/>
  <c r="G6979" i="1"/>
  <c r="H6982" i="1" s="1"/>
  <c r="H6983" i="1" s="1"/>
  <c r="G6967" i="1"/>
  <c r="G6966" i="1"/>
  <c r="G6965" i="1"/>
  <c r="H6968" i="1" s="1"/>
  <c r="H6969" i="1" s="1"/>
  <c r="H6954" i="1"/>
  <c r="H6955" i="1" s="1"/>
  <c r="G6953" i="1"/>
  <c r="G6952" i="1"/>
  <c r="G6951" i="1"/>
  <c r="G6939" i="1"/>
  <c r="G6938" i="1"/>
  <c r="G6937" i="1"/>
  <c r="H6940" i="1" s="1"/>
  <c r="H6941" i="1" s="1"/>
  <c r="H6927" i="1"/>
  <c r="H6928" i="1" s="1"/>
  <c r="H6913" i="1"/>
  <c r="H6914" i="1" s="1"/>
  <c r="G6912" i="1"/>
  <c r="G6911" i="1"/>
  <c r="G6910" i="1"/>
  <c r="G6898" i="1"/>
  <c r="G6897" i="1"/>
  <c r="G6896" i="1"/>
  <c r="H6899" i="1" s="1"/>
  <c r="H6900" i="1" s="1"/>
  <c r="G6886" i="1"/>
  <c r="G6885" i="1"/>
  <c r="G6884" i="1"/>
  <c r="H6887" i="1" s="1"/>
  <c r="H6888" i="1" s="1"/>
  <c r="G6873" i="1"/>
  <c r="G6872" i="1"/>
  <c r="G6871" i="1"/>
  <c r="H6874" i="1" s="1"/>
  <c r="H6875" i="1" s="1"/>
  <c r="G6860" i="1"/>
  <c r="G6859" i="1"/>
  <c r="H6861" i="1" s="1"/>
  <c r="H6862" i="1" s="1"/>
  <c r="G6858" i="1"/>
  <c r="G6845" i="1"/>
  <c r="G6844" i="1"/>
  <c r="G6843" i="1"/>
  <c r="H6846" i="1" s="1"/>
  <c r="H6847" i="1" s="1"/>
  <c r="H6833" i="1"/>
  <c r="H6834" i="1" s="1"/>
  <c r="G6832" i="1"/>
  <c r="G6831" i="1"/>
  <c r="G6830" i="1"/>
  <c r="G6813" i="1"/>
  <c r="G6812" i="1"/>
  <c r="G6811" i="1"/>
  <c r="H6814" i="1" s="1"/>
  <c r="H6815" i="1" s="1"/>
  <c r="G6794" i="1"/>
  <c r="G6793" i="1"/>
  <c r="G6792" i="1"/>
  <c r="H6795" i="1" s="1"/>
  <c r="H6796" i="1" s="1"/>
  <c r="G6777" i="1"/>
  <c r="G6776" i="1"/>
  <c r="G6775" i="1"/>
  <c r="H6778" i="1" s="1"/>
  <c r="H6779" i="1" s="1"/>
  <c r="G6762" i="1"/>
  <c r="G6761" i="1"/>
  <c r="G6760" i="1"/>
  <c r="H6763" i="1" s="1"/>
  <c r="H6764" i="1" s="1"/>
  <c r="G6748" i="1"/>
  <c r="G6747" i="1"/>
  <c r="G6746" i="1"/>
  <c r="H6749" i="1" s="1"/>
  <c r="H6750" i="1" s="1"/>
  <c r="H6735" i="1"/>
  <c r="H6736" i="1" s="1"/>
  <c r="G6734" i="1"/>
  <c r="G6733" i="1"/>
  <c r="G6732" i="1"/>
  <c r="G6720" i="1"/>
  <c r="G6719" i="1"/>
  <c r="G6718" i="1"/>
  <c r="H6721" i="1" s="1"/>
  <c r="H6722" i="1" s="1"/>
  <c r="G6705" i="1"/>
  <c r="G6704" i="1"/>
  <c r="G6703" i="1"/>
  <c r="H6706" i="1" s="1"/>
  <c r="H6707" i="1" s="1"/>
  <c r="G6690" i="1"/>
  <c r="G6689" i="1"/>
  <c r="G6688" i="1"/>
  <c r="H6691" i="1" s="1"/>
  <c r="H6692" i="1" s="1"/>
  <c r="G6676" i="1"/>
  <c r="G6675" i="1"/>
  <c r="G6674" i="1"/>
  <c r="H6677" i="1" s="1"/>
  <c r="H6678" i="1" s="1"/>
  <c r="G6663" i="1"/>
  <c r="G6661" i="1"/>
  <c r="H6664" i="1" s="1"/>
  <c r="H6665" i="1" s="1"/>
  <c r="G6650" i="1"/>
  <c r="G6649" i="1"/>
  <c r="G6648" i="1"/>
  <c r="H6651" i="1" s="1"/>
  <c r="H6652" i="1" s="1"/>
  <c r="G6636" i="1"/>
  <c r="G6635" i="1"/>
  <c r="G6634" i="1"/>
  <c r="H6637" i="1" s="1"/>
  <c r="H6638" i="1" s="1"/>
  <c r="G6622" i="1"/>
  <c r="G6621" i="1"/>
  <c r="G6620" i="1"/>
  <c r="H6623" i="1" s="1"/>
  <c r="H6624" i="1" s="1"/>
  <c r="G6610" i="1"/>
  <c r="G6609" i="1"/>
  <c r="G6608" i="1"/>
  <c r="H6611" i="1" s="1"/>
  <c r="H6612" i="1" s="1"/>
  <c r="G6599" i="1"/>
  <c r="G6598" i="1"/>
  <c r="G6597" i="1"/>
  <c r="H6600" i="1" s="1"/>
  <c r="H6601" i="1" s="1"/>
  <c r="H6589" i="1"/>
  <c r="H6590" i="1" s="1"/>
  <c r="G6588" i="1"/>
  <c r="G6587" i="1"/>
  <c r="G6586" i="1"/>
  <c r="G6575" i="1"/>
  <c r="G6574" i="1"/>
  <c r="G6573" i="1"/>
  <c r="H6576" i="1" s="1"/>
  <c r="H6577" i="1" s="1"/>
  <c r="G6560" i="1"/>
  <c r="G6559" i="1"/>
  <c r="G6558" i="1"/>
  <c r="H6561" i="1" s="1"/>
  <c r="H6562" i="1" s="1"/>
  <c r="G6545" i="1"/>
  <c r="G6544" i="1"/>
  <c r="G6543" i="1"/>
  <c r="H6546" i="1" s="1"/>
  <c r="H6547" i="1" s="1"/>
  <c r="G6531" i="1"/>
  <c r="G6530" i="1"/>
  <c r="G6529" i="1"/>
  <c r="H6532" i="1" s="1"/>
  <c r="H6533" i="1" s="1"/>
  <c r="G6517" i="1"/>
  <c r="H6518" i="1" s="1"/>
  <c r="H6519" i="1" s="1"/>
  <c r="G6503" i="1"/>
  <c r="G6502" i="1"/>
  <c r="G6501" i="1"/>
  <c r="H6504" i="1" s="1"/>
  <c r="H6505" i="1" s="1"/>
  <c r="G6489" i="1"/>
  <c r="G6488" i="1"/>
  <c r="G6487" i="1"/>
  <c r="H6490" i="1" s="1"/>
  <c r="H6491" i="1" s="1"/>
  <c r="G6476" i="1"/>
  <c r="G6475" i="1"/>
  <c r="G6474" i="1"/>
  <c r="H6477" i="1" s="1"/>
  <c r="H6478" i="1" s="1"/>
  <c r="G6463" i="1"/>
  <c r="G6462" i="1"/>
  <c r="G6461" i="1"/>
  <c r="H6464" i="1" s="1"/>
  <c r="H6465" i="1" s="1"/>
  <c r="H6451" i="1"/>
  <c r="H6452" i="1" s="1"/>
  <c r="G6450" i="1"/>
  <c r="H6437" i="1"/>
  <c r="H6438" i="1" s="1"/>
  <c r="G6436" i="1"/>
  <c r="H6423" i="1"/>
  <c r="H6424" i="1" s="1"/>
  <c r="G6422" i="1"/>
  <c r="G6421" i="1"/>
  <c r="G6420" i="1"/>
  <c r="G6409" i="1"/>
  <c r="G6408" i="1"/>
  <c r="G6407" i="1"/>
  <c r="H6410" i="1" s="1"/>
  <c r="H6411" i="1" s="1"/>
  <c r="G6397" i="1"/>
  <c r="G6396" i="1"/>
  <c r="G6395" i="1"/>
  <c r="H6398" i="1" s="1"/>
  <c r="H6399" i="1" s="1"/>
  <c r="G6384" i="1"/>
  <c r="G6383" i="1"/>
  <c r="G6382" i="1"/>
  <c r="H6385" i="1" s="1"/>
  <c r="H6386" i="1" s="1"/>
  <c r="G6369" i="1"/>
  <c r="G6368" i="1"/>
  <c r="G6367" i="1"/>
  <c r="G6366" i="1"/>
  <c r="H6370" i="1" s="1"/>
  <c r="H6371" i="1" s="1"/>
  <c r="G6352" i="1"/>
  <c r="G6351" i="1"/>
  <c r="G6350" i="1"/>
  <c r="G6349" i="1"/>
  <c r="H6353" i="1" s="1"/>
  <c r="H6354" i="1" s="1"/>
  <c r="G6335" i="1"/>
  <c r="G6334" i="1"/>
  <c r="G6333" i="1"/>
  <c r="G6332" i="1"/>
  <c r="G6313" i="1"/>
  <c r="G6312" i="1"/>
  <c r="G6311" i="1"/>
  <c r="G6310" i="1"/>
  <c r="H6314" i="1" s="1"/>
  <c r="H6315" i="1" s="1"/>
  <c r="G6291" i="1"/>
  <c r="G6290" i="1"/>
  <c r="G6289" i="1"/>
  <c r="G6288" i="1"/>
  <c r="H6292" i="1" s="1"/>
  <c r="H6293" i="1" s="1"/>
  <c r="G6274" i="1"/>
  <c r="G6273" i="1"/>
  <c r="G6272" i="1"/>
  <c r="G6271" i="1"/>
  <c r="G6257" i="1"/>
  <c r="G6256" i="1"/>
  <c r="G6255" i="1"/>
  <c r="G6254" i="1"/>
  <c r="H6258" i="1" s="1"/>
  <c r="H6259" i="1" s="1"/>
  <c r="G6239" i="1"/>
  <c r="G6238" i="1"/>
  <c r="G6237" i="1"/>
  <c r="G6236" i="1"/>
  <c r="H6240" i="1" s="1"/>
  <c r="H6241" i="1" s="1"/>
  <c r="G6219" i="1"/>
  <c r="G6218" i="1"/>
  <c r="G6217" i="1"/>
  <c r="G6216" i="1"/>
  <c r="G6204" i="1"/>
  <c r="G6203" i="1"/>
  <c r="G6202" i="1"/>
  <c r="G6201" i="1"/>
  <c r="H6205" i="1" s="1"/>
  <c r="H6206" i="1" s="1"/>
  <c r="G6186" i="1"/>
  <c r="G6185" i="1"/>
  <c r="G6184" i="1"/>
  <c r="G6183" i="1"/>
  <c r="H6187" i="1" s="1"/>
  <c r="H6188" i="1" s="1"/>
  <c r="G6164" i="1"/>
  <c r="G6163" i="1"/>
  <c r="G6162" i="1"/>
  <c r="G6161" i="1"/>
  <c r="G6147" i="1"/>
  <c r="G6146" i="1"/>
  <c r="G6145" i="1"/>
  <c r="G6144" i="1"/>
  <c r="H6148" i="1" s="1"/>
  <c r="H6149" i="1" s="1"/>
  <c r="G6130" i="1"/>
  <c r="G6129" i="1"/>
  <c r="G6128" i="1"/>
  <c r="G6127" i="1"/>
  <c r="H6131" i="1" s="1"/>
  <c r="H6132" i="1" s="1"/>
  <c r="G6112" i="1"/>
  <c r="G6111" i="1"/>
  <c r="G6110" i="1"/>
  <c r="G6109" i="1"/>
  <c r="G6095" i="1"/>
  <c r="G6094" i="1"/>
  <c r="G6093" i="1"/>
  <c r="G6092" i="1"/>
  <c r="H6096" i="1" s="1"/>
  <c r="H6097" i="1" s="1"/>
  <c r="G6078" i="1"/>
  <c r="G6077" i="1"/>
  <c r="G6076" i="1"/>
  <c r="G6075" i="1"/>
  <c r="G6060" i="1"/>
  <c r="G6059" i="1"/>
  <c r="G6058" i="1"/>
  <c r="G6057" i="1"/>
  <c r="G6045" i="1"/>
  <c r="G6044" i="1"/>
  <c r="G6043" i="1"/>
  <c r="G6042" i="1"/>
  <c r="H6046" i="1" s="1"/>
  <c r="H6047" i="1" s="1"/>
  <c r="G6028" i="1"/>
  <c r="G6027" i="1"/>
  <c r="G6026" i="1"/>
  <c r="G6025" i="1"/>
  <c r="H6029" i="1" s="1"/>
  <c r="H6030" i="1" s="1"/>
  <c r="G6011" i="1"/>
  <c r="G6010" i="1"/>
  <c r="G6009" i="1"/>
  <c r="G6008" i="1"/>
  <c r="G5993" i="1"/>
  <c r="G5992" i="1"/>
  <c r="G5991" i="1"/>
  <c r="H5994" i="1" s="1"/>
  <c r="H5995" i="1" s="1"/>
  <c r="G5990" i="1"/>
  <c r="G5975" i="1"/>
  <c r="G5974" i="1"/>
  <c r="G5973" i="1"/>
  <c r="G5972" i="1"/>
  <c r="H5976" i="1" s="1"/>
  <c r="H5977" i="1" s="1"/>
  <c r="G5958" i="1"/>
  <c r="G5957" i="1"/>
  <c r="G5956" i="1"/>
  <c r="G5955" i="1"/>
  <c r="G5941" i="1"/>
  <c r="G5940" i="1"/>
  <c r="G5939" i="1"/>
  <c r="G5938" i="1"/>
  <c r="H5942" i="1" s="1"/>
  <c r="H5943" i="1" s="1"/>
  <c r="G5924" i="1"/>
  <c r="G5923" i="1"/>
  <c r="G5922" i="1"/>
  <c r="G5921" i="1"/>
  <c r="H5925" i="1" s="1"/>
  <c r="H5926" i="1" s="1"/>
  <c r="G5906" i="1"/>
  <c r="G5905" i="1"/>
  <c r="G5904" i="1"/>
  <c r="G5903" i="1"/>
  <c r="G5889" i="1"/>
  <c r="G5888" i="1"/>
  <c r="G5887" i="1"/>
  <c r="G5886" i="1"/>
  <c r="H5890" i="1" s="1"/>
  <c r="H5891" i="1" s="1"/>
  <c r="G5872" i="1"/>
  <c r="G5871" i="1"/>
  <c r="H5873" i="1" s="1"/>
  <c r="H5874" i="1" s="1"/>
  <c r="G5870" i="1"/>
  <c r="G5869" i="1"/>
  <c r="G5855" i="1"/>
  <c r="G5854" i="1"/>
  <c r="G5853" i="1"/>
  <c r="G5852" i="1"/>
  <c r="G5838" i="1"/>
  <c r="G5837" i="1"/>
  <c r="G5836" i="1"/>
  <c r="G5835" i="1"/>
  <c r="H5839" i="1" s="1"/>
  <c r="H5840" i="1" s="1"/>
  <c r="G5824" i="1"/>
  <c r="G5823" i="1"/>
  <c r="G5822" i="1"/>
  <c r="G5821" i="1"/>
  <c r="H5825" i="1" s="1"/>
  <c r="H5826" i="1" s="1"/>
  <c r="G5806" i="1"/>
  <c r="G5805" i="1"/>
  <c r="H5807" i="1" s="1"/>
  <c r="H5808" i="1" s="1"/>
  <c r="G5804" i="1"/>
  <c r="G5803" i="1"/>
  <c r="G5789" i="1"/>
  <c r="G5788" i="1"/>
  <c r="H5790" i="1" s="1"/>
  <c r="H5791" i="1" s="1"/>
  <c r="G5787" i="1"/>
  <c r="G5786" i="1"/>
  <c r="G5772" i="1"/>
  <c r="G5771" i="1"/>
  <c r="G5770" i="1"/>
  <c r="G5769" i="1"/>
  <c r="G5754" i="1"/>
  <c r="G5753" i="1"/>
  <c r="G5752" i="1"/>
  <c r="G5751" i="1"/>
  <c r="G5738" i="1"/>
  <c r="G5737" i="1"/>
  <c r="G5736" i="1"/>
  <c r="G5735" i="1"/>
  <c r="H5739" i="1" s="1"/>
  <c r="H5740" i="1" s="1"/>
  <c r="G5723" i="1"/>
  <c r="G5722" i="1"/>
  <c r="G5721" i="1"/>
  <c r="G5720" i="1"/>
  <c r="H5724" i="1" s="1"/>
  <c r="H5725" i="1" s="1"/>
  <c r="G5709" i="1"/>
  <c r="G5708" i="1"/>
  <c r="G5707" i="1"/>
  <c r="G5706" i="1"/>
  <c r="G5694" i="1"/>
  <c r="G5693" i="1"/>
  <c r="G5692" i="1"/>
  <c r="G5691" i="1"/>
  <c r="H5695" i="1" s="1"/>
  <c r="H5696" i="1" s="1"/>
  <c r="G5676" i="1"/>
  <c r="G5675" i="1"/>
  <c r="G5674" i="1"/>
  <c r="G5660" i="1"/>
  <c r="G5659" i="1"/>
  <c r="G5658" i="1"/>
  <c r="H5661" i="1" s="1"/>
  <c r="H5662" i="1" s="1"/>
  <c r="G5645" i="1"/>
  <c r="G5644" i="1"/>
  <c r="G5643" i="1"/>
  <c r="H5646" i="1" s="1"/>
  <c r="H5647" i="1" s="1"/>
  <c r="H5630" i="1"/>
  <c r="G5628" i="1"/>
  <c r="G5627" i="1"/>
  <c r="G5626" i="1"/>
  <c r="H5629" i="1" s="1"/>
  <c r="H5613" i="1"/>
  <c r="H5612" i="1"/>
  <c r="G5611" i="1"/>
  <c r="G5610" i="1"/>
  <c r="G5609" i="1"/>
  <c r="G5593" i="1"/>
  <c r="H5594" i="1" s="1"/>
  <c r="H5595" i="1" s="1"/>
  <c r="G5592" i="1"/>
  <c r="G5591" i="1"/>
  <c r="G5577" i="1"/>
  <c r="G5576" i="1"/>
  <c r="H5578" i="1" s="1"/>
  <c r="H5579" i="1" s="1"/>
  <c r="H5561" i="1"/>
  <c r="H5562" i="1" s="1"/>
  <c r="G5560" i="1"/>
  <c r="G5542" i="1"/>
  <c r="H5543" i="1" s="1"/>
  <c r="H5544" i="1" s="1"/>
  <c r="G5541" i="1"/>
  <c r="G5540" i="1"/>
  <c r="G5527" i="1"/>
  <c r="G5526" i="1"/>
  <c r="G5525" i="1"/>
  <c r="G5511" i="1"/>
  <c r="G5510" i="1"/>
  <c r="G5509" i="1"/>
  <c r="H5512" i="1" s="1"/>
  <c r="H5513" i="1" s="1"/>
  <c r="G5494" i="1"/>
  <c r="G5493" i="1"/>
  <c r="G5492" i="1"/>
  <c r="H5495" i="1" s="1"/>
  <c r="H5496" i="1" s="1"/>
  <c r="H5481" i="1"/>
  <c r="G5479" i="1"/>
  <c r="G5478" i="1"/>
  <c r="G5477" i="1"/>
  <c r="H5480" i="1" s="1"/>
  <c r="H5464" i="1"/>
  <c r="H5465" i="1" s="1"/>
  <c r="G5463" i="1"/>
  <c r="G5462" i="1"/>
  <c r="G5461" i="1"/>
  <c r="G5444" i="1"/>
  <c r="H5445" i="1" s="1"/>
  <c r="H5446" i="1" s="1"/>
  <c r="G5443" i="1"/>
  <c r="G5442" i="1"/>
  <c r="G5427" i="1"/>
  <c r="G5426" i="1"/>
  <c r="G5425" i="1"/>
  <c r="G5410" i="1"/>
  <c r="G5409" i="1"/>
  <c r="G5408" i="1"/>
  <c r="H5411" i="1" s="1"/>
  <c r="H5412" i="1" s="1"/>
  <c r="G5392" i="1"/>
  <c r="G5391" i="1"/>
  <c r="G5390" i="1"/>
  <c r="H5393" i="1" s="1"/>
  <c r="H5394" i="1" s="1"/>
  <c r="G5375" i="1"/>
  <c r="G5374" i="1"/>
  <c r="G5373" i="1"/>
  <c r="H5376" i="1" s="1"/>
  <c r="H5377" i="1" s="1"/>
  <c r="H5361" i="1"/>
  <c r="H5360" i="1"/>
  <c r="G5359" i="1"/>
  <c r="G5358" i="1"/>
  <c r="G5357" i="1"/>
  <c r="G5343" i="1"/>
  <c r="H5344" i="1" s="1"/>
  <c r="H5345" i="1" s="1"/>
  <c r="G5342" i="1"/>
  <c r="G5341" i="1"/>
  <c r="G5327" i="1"/>
  <c r="G5326" i="1"/>
  <c r="G5325" i="1"/>
  <c r="H5328" i="1" s="1"/>
  <c r="H5329" i="1" s="1"/>
  <c r="G5309" i="1"/>
  <c r="G5308" i="1"/>
  <c r="G5307" i="1"/>
  <c r="G5289" i="1"/>
  <c r="G5288" i="1"/>
  <c r="G5287" i="1"/>
  <c r="H5290" i="1" s="1"/>
  <c r="H5291" i="1" s="1"/>
  <c r="H5273" i="1"/>
  <c r="G5271" i="1"/>
  <c r="G5270" i="1"/>
  <c r="G5269" i="1"/>
  <c r="H5272" i="1" s="1"/>
  <c r="H5256" i="1"/>
  <c r="H5257" i="1" s="1"/>
  <c r="G5255" i="1"/>
  <c r="G5254" i="1"/>
  <c r="G5253" i="1"/>
  <c r="G5239" i="1"/>
  <c r="H5240" i="1" s="1"/>
  <c r="H5241" i="1" s="1"/>
  <c r="G5238" i="1"/>
  <c r="G5237" i="1"/>
  <c r="G5223" i="1"/>
  <c r="G5222" i="1"/>
  <c r="H5224" i="1" s="1"/>
  <c r="H5225" i="1" s="1"/>
  <c r="G5221" i="1"/>
  <c r="G5208" i="1"/>
  <c r="G5207" i="1"/>
  <c r="G5206" i="1"/>
  <c r="G5192" i="1"/>
  <c r="G5191" i="1"/>
  <c r="G5190" i="1"/>
  <c r="H5193" i="1" s="1"/>
  <c r="H5194" i="1" s="1"/>
  <c r="H5175" i="1"/>
  <c r="G5173" i="1"/>
  <c r="G5172" i="1"/>
  <c r="G5171" i="1"/>
  <c r="H5174" i="1" s="1"/>
  <c r="H5156" i="1"/>
  <c r="H5157" i="1" s="1"/>
  <c r="G5155" i="1"/>
  <c r="G5154" i="1"/>
  <c r="G5153" i="1"/>
  <c r="G5140" i="1"/>
  <c r="H5141" i="1" s="1"/>
  <c r="H5142" i="1" s="1"/>
  <c r="G5139" i="1"/>
  <c r="G5138" i="1"/>
  <c r="G5123" i="1"/>
  <c r="G5122" i="1"/>
  <c r="H5124" i="1" s="1"/>
  <c r="H5125" i="1" s="1"/>
  <c r="G5121" i="1"/>
  <c r="G5108" i="1"/>
  <c r="G5107" i="1"/>
  <c r="G5106" i="1"/>
  <c r="G5093" i="1"/>
  <c r="G5092" i="1"/>
  <c r="G5091" i="1"/>
  <c r="H5094" i="1" s="1"/>
  <c r="H5095" i="1" s="1"/>
  <c r="H5081" i="1"/>
  <c r="G5079" i="1"/>
  <c r="G5078" i="1"/>
  <c r="G5077" i="1"/>
  <c r="H5080" i="1" s="1"/>
  <c r="G5063" i="1"/>
  <c r="G5062" i="1"/>
  <c r="G5061" i="1"/>
  <c r="H5064" i="1" s="1"/>
  <c r="H5065" i="1" s="1"/>
  <c r="G5047" i="1"/>
  <c r="G5046" i="1"/>
  <c r="H5048" i="1" s="1"/>
  <c r="H5049" i="1" s="1"/>
  <c r="G5045" i="1"/>
  <c r="G5032" i="1"/>
  <c r="G5031" i="1"/>
  <c r="G5030" i="1"/>
  <c r="H5033" i="1" s="1"/>
  <c r="H5034" i="1" s="1"/>
  <c r="H5019" i="1"/>
  <c r="G5017" i="1"/>
  <c r="G5016" i="1"/>
  <c r="G5015" i="1"/>
  <c r="H5018" i="1" s="1"/>
  <c r="H5003" i="1"/>
  <c r="H5004" i="1" s="1"/>
  <c r="G5002" i="1"/>
  <c r="G5001" i="1"/>
  <c r="G5000" i="1"/>
  <c r="G4984" i="1"/>
  <c r="H4985" i="1" s="1"/>
  <c r="H4986" i="1" s="1"/>
  <c r="G4983" i="1"/>
  <c r="G4982" i="1"/>
  <c r="G4968" i="1"/>
  <c r="G4967" i="1"/>
  <c r="G4966" i="1"/>
  <c r="H4969" i="1" s="1"/>
  <c r="H4970" i="1" s="1"/>
  <c r="G4951" i="1"/>
  <c r="G4950" i="1"/>
  <c r="G4949" i="1"/>
  <c r="H4952" i="1" s="1"/>
  <c r="H4953" i="1" s="1"/>
  <c r="G4936" i="1"/>
  <c r="G4935" i="1"/>
  <c r="G4934" i="1"/>
  <c r="H4937" i="1" s="1"/>
  <c r="H4938" i="1" s="1"/>
  <c r="H4922" i="1"/>
  <c r="G4920" i="1"/>
  <c r="G4919" i="1"/>
  <c r="G4918" i="1"/>
  <c r="H4921" i="1" s="1"/>
  <c r="H4905" i="1"/>
  <c r="H4906" i="1" s="1"/>
  <c r="G4904" i="1"/>
  <c r="G4903" i="1"/>
  <c r="G4902" i="1"/>
  <c r="G4888" i="1"/>
  <c r="H4889" i="1" s="1"/>
  <c r="H4890" i="1" s="1"/>
  <c r="G4887" i="1"/>
  <c r="G4886" i="1"/>
  <c r="H4872" i="1"/>
  <c r="G4870" i="1"/>
  <c r="G4869" i="1"/>
  <c r="G4868" i="1"/>
  <c r="H4871" i="1" s="1"/>
  <c r="G4852" i="1"/>
  <c r="G4851" i="1"/>
  <c r="G4850" i="1"/>
  <c r="H4853" i="1" s="1"/>
  <c r="H4854" i="1" s="1"/>
  <c r="G4837" i="1"/>
  <c r="G4836" i="1"/>
  <c r="G4835" i="1"/>
  <c r="H4838" i="1" s="1"/>
  <c r="H4839" i="1" s="1"/>
  <c r="G4820" i="1"/>
  <c r="G4819" i="1"/>
  <c r="G4818" i="1"/>
  <c r="G4805" i="1"/>
  <c r="G4804" i="1"/>
  <c r="G4803" i="1"/>
  <c r="G4791" i="1"/>
  <c r="H4792" i="1" s="1"/>
  <c r="H4793" i="1" s="1"/>
  <c r="G4790" i="1"/>
  <c r="G4789" i="1"/>
  <c r="G4777" i="1"/>
  <c r="G4776" i="1"/>
  <c r="G4775" i="1"/>
  <c r="H4778" i="1" s="1"/>
  <c r="H4779" i="1" s="1"/>
  <c r="G4759" i="1"/>
  <c r="G4758" i="1"/>
  <c r="G4757" i="1"/>
  <c r="H4760" i="1" s="1"/>
  <c r="H4761" i="1" s="1"/>
  <c r="G4744" i="1"/>
  <c r="G4743" i="1"/>
  <c r="G4742" i="1"/>
  <c r="G4729" i="1"/>
  <c r="G4728" i="1"/>
  <c r="G4727" i="1"/>
  <c r="H4730" i="1" s="1"/>
  <c r="H4731" i="1" s="1"/>
  <c r="H4713" i="1"/>
  <c r="H4714" i="1" s="1"/>
  <c r="G4712" i="1"/>
  <c r="G4711" i="1"/>
  <c r="G4710" i="1"/>
  <c r="G4696" i="1"/>
  <c r="H4697" i="1" s="1"/>
  <c r="H4698" i="1" s="1"/>
  <c r="G4695" i="1"/>
  <c r="G4694" i="1"/>
  <c r="G4679" i="1"/>
  <c r="G4678" i="1"/>
  <c r="G4677" i="1"/>
  <c r="H4661" i="1"/>
  <c r="H4662" i="1" s="1"/>
  <c r="G4660" i="1"/>
  <c r="G4659" i="1"/>
  <c r="G4658" i="1"/>
  <c r="G4647" i="1"/>
  <c r="G4646" i="1"/>
  <c r="G4645" i="1"/>
  <c r="H4648" i="1" s="1"/>
  <c r="H4649" i="1" s="1"/>
  <c r="H4627" i="1"/>
  <c r="G4625" i="1"/>
  <c r="G4624" i="1"/>
  <c r="G4623" i="1"/>
  <c r="H4626" i="1" s="1"/>
  <c r="H4609" i="1"/>
  <c r="H4610" i="1" s="1"/>
  <c r="G4608" i="1"/>
  <c r="G4607" i="1"/>
  <c r="G4606" i="1"/>
  <c r="G4590" i="1"/>
  <c r="H4591" i="1" s="1"/>
  <c r="H4592" i="1" s="1"/>
  <c r="G4589" i="1"/>
  <c r="G4588" i="1"/>
  <c r="H4574" i="1"/>
  <c r="G4572" i="1"/>
  <c r="G4571" i="1"/>
  <c r="G4570" i="1"/>
  <c r="H4573" i="1" s="1"/>
  <c r="G4553" i="1"/>
  <c r="G4552" i="1"/>
  <c r="G4551" i="1"/>
  <c r="H4554" i="1" s="1"/>
  <c r="H4555" i="1" s="1"/>
  <c r="G4536" i="1"/>
  <c r="G4535" i="1"/>
  <c r="G4534" i="1"/>
  <c r="H4537" i="1" s="1"/>
  <c r="H4538" i="1" s="1"/>
  <c r="G4517" i="1"/>
  <c r="G4516" i="1"/>
  <c r="G4515" i="1"/>
  <c r="G4501" i="1"/>
  <c r="G4500" i="1"/>
  <c r="G4499" i="1"/>
  <c r="H4502" i="1" s="1"/>
  <c r="H4503" i="1" s="1"/>
  <c r="G4485" i="1"/>
  <c r="H4486" i="1" s="1"/>
  <c r="H4487" i="1" s="1"/>
  <c r="G4484" i="1"/>
  <c r="G4483" i="1"/>
  <c r="G4467" i="1"/>
  <c r="G4466" i="1"/>
  <c r="G4465" i="1"/>
  <c r="H4468" i="1" s="1"/>
  <c r="H4469" i="1" s="1"/>
  <c r="G4450" i="1"/>
  <c r="G4449" i="1"/>
  <c r="G4448" i="1"/>
  <c r="H4451" i="1" s="1"/>
  <c r="H4452" i="1" s="1"/>
  <c r="G4436" i="1"/>
  <c r="G4435" i="1"/>
  <c r="G4434" i="1"/>
  <c r="G4419" i="1"/>
  <c r="G4418" i="1"/>
  <c r="G4417" i="1"/>
  <c r="H4420" i="1" s="1"/>
  <c r="H4421" i="1" s="1"/>
  <c r="H4405" i="1"/>
  <c r="H4406" i="1" s="1"/>
  <c r="G4404" i="1"/>
  <c r="G4403" i="1"/>
  <c r="G4402" i="1"/>
  <c r="G4390" i="1"/>
  <c r="H4391" i="1" s="1"/>
  <c r="H4392" i="1" s="1"/>
  <c r="G4389" i="1"/>
  <c r="G4388" i="1"/>
  <c r="G4375" i="1"/>
  <c r="G4374" i="1"/>
  <c r="G4373" i="1"/>
  <c r="H4361" i="1"/>
  <c r="H4362" i="1" s="1"/>
  <c r="G4360" i="1"/>
  <c r="G4359" i="1"/>
  <c r="G4358" i="1"/>
  <c r="G4347" i="1"/>
  <c r="G4346" i="1"/>
  <c r="G4345" i="1"/>
  <c r="H4348" i="1" s="1"/>
  <c r="H4349" i="1" s="1"/>
  <c r="H4333" i="1"/>
  <c r="G4331" i="1"/>
  <c r="G4330" i="1"/>
  <c r="G4329" i="1"/>
  <c r="H4332" i="1" s="1"/>
  <c r="H4315" i="1"/>
  <c r="H4316" i="1" s="1"/>
  <c r="G4314" i="1"/>
  <c r="G4313" i="1"/>
  <c r="G4312" i="1"/>
  <c r="G4296" i="1"/>
  <c r="H4297" i="1" s="1"/>
  <c r="H4298" i="1" s="1"/>
  <c r="G4295" i="1"/>
  <c r="G4294" i="1"/>
  <c r="H4281" i="1"/>
  <c r="G4279" i="1"/>
  <c r="G4278" i="1"/>
  <c r="G4277" i="1"/>
  <c r="H4280" i="1" s="1"/>
  <c r="G4261" i="1"/>
  <c r="G4260" i="1"/>
  <c r="G4259" i="1"/>
  <c r="H4262" i="1" s="1"/>
  <c r="H4263" i="1" s="1"/>
  <c r="G4245" i="1"/>
  <c r="G4244" i="1"/>
  <c r="G4243" i="1"/>
  <c r="H4246" i="1" s="1"/>
  <c r="H4247" i="1" s="1"/>
  <c r="G4228" i="1"/>
  <c r="G4227" i="1"/>
  <c r="G4226" i="1"/>
  <c r="G4213" i="1"/>
  <c r="G4212" i="1"/>
  <c r="G4211" i="1"/>
  <c r="H4214" i="1" s="1"/>
  <c r="H4215" i="1" s="1"/>
  <c r="G4195" i="1"/>
  <c r="H4196" i="1" s="1"/>
  <c r="H4197" i="1" s="1"/>
  <c r="G4194" i="1"/>
  <c r="G4193" i="1"/>
  <c r="G4177" i="1"/>
  <c r="G4176" i="1"/>
  <c r="G4175" i="1"/>
  <c r="H4178" i="1" s="1"/>
  <c r="H4179" i="1" s="1"/>
  <c r="G4161" i="1"/>
  <c r="G4160" i="1"/>
  <c r="G4159" i="1"/>
  <c r="H4162" i="1" s="1"/>
  <c r="H4163" i="1" s="1"/>
  <c r="G4144" i="1"/>
  <c r="G4143" i="1"/>
  <c r="G4142" i="1"/>
  <c r="G4128" i="1"/>
  <c r="G4127" i="1"/>
  <c r="G4126" i="1"/>
  <c r="H4129" i="1" s="1"/>
  <c r="H4130" i="1" s="1"/>
  <c r="H4113" i="1"/>
  <c r="H4114" i="1" s="1"/>
  <c r="G4112" i="1"/>
  <c r="G4111" i="1"/>
  <c r="G4110" i="1"/>
  <c r="G4094" i="1"/>
  <c r="H4095" i="1" s="1"/>
  <c r="H4096" i="1" s="1"/>
  <c r="G4093" i="1"/>
  <c r="G4092" i="1"/>
  <c r="G4078" i="1"/>
  <c r="G4077" i="1"/>
  <c r="G4076" i="1"/>
  <c r="H4064" i="1"/>
  <c r="H4065" i="1" s="1"/>
  <c r="G4063" i="1"/>
  <c r="G4062" i="1"/>
  <c r="G4061" i="1"/>
  <c r="G4048" i="1"/>
  <c r="G4047" i="1"/>
  <c r="G4046" i="1"/>
  <c r="H4049" i="1" s="1"/>
  <c r="H4050" i="1" s="1"/>
  <c r="H4036" i="1"/>
  <c r="G4034" i="1"/>
  <c r="G4033" i="1"/>
  <c r="G4032" i="1"/>
  <c r="H4035" i="1" s="1"/>
  <c r="H4018" i="1"/>
  <c r="H4019" i="1" s="1"/>
  <c r="G4017" i="1"/>
  <c r="G4016" i="1"/>
  <c r="G4015" i="1"/>
  <c r="G4002" i="1"/>
  <c r="H4003" i="1" s="1"/>
  <c r="H4004" i="1" s="1"/>
  <c r="G4001" i="1"/>
  <c r="G4000" i="1"/>
  <c r="H3989" i="1"/>
  <c r="G3987" i="1"/>
  <c r="G3986" i="1"/>
  <c r="G3985" i="1"/>
  <c r="H3988" i="1" s="1"/>
  <c r="G3969" i="1"/>
  <c r="G3968" i="1"/>
  <c r="G3967" i="1"/>
  <c r="H3970" i="1" s="1"/>
  <c r="H3971" i="1" s="1"/>
  <c r="G3951" i="1"/>
  <c r="G3950" i="1"/>
  <c r="G3949" i="1"/>
  <c r="H3952" i="1" s="1"/>
  <c r="H3953" i="1" s="1"/>
  <c r="G3935" i="1"/>
  <c r="G3934" i="1"/>
  <c r="G3933" i="1"/>
  <c r="G3919" i="1"/>
  <c r="G3918" i="1"/>
  <c r="G3917" i="1"/>
  <c r="H3920" i="1" s="1"/>
  <c r="H3921" i="1" s="1"/>
  <c r="G3904" i="1"/>
  <c r="G3903" i="1"/>
  <c r="G3902" i="1"/>
  <c r="G3888" i="1"/>
  <c r="G3887" i="1"/>
  <c r="G3886" i="1"/>
  <c r="H3889" i="1" s="1"/>
  <c r="H3890" i="1" s="1"/>
  <c r="G3872" i="1"/>
  <c r="G3871" i="1"/>
  <c r="G3870" i="1"/>
  <c r="H3873" i="1" s="1"/>
  <c r="H3874" i="1" s="1"/>
  <c r="H3858" i="1"/>
  <c r="H3859" i="1" s="1"/>
  <c r="G3857" i="1"/>
  <c r="G3856" i="1"/>
  <c r="G3855" i="1"/>
  <c r="G3841" i="1"/>
  <c r="G3840" i="1"/>
  <c r="G3839" i="1"/>
  <c r="G3827" i="1"/>
  <c r="G3826" i="1"/>
  <c r="G3825" i="1"/>
  <c r="H3828" i="1" s="1"/>
  <c r="H3829" i="1" s="1"/>
  <c r="G3812" i="1"/>
  <c r="G3811" i="1"/>
  <c r="G3810" i="1"/>
  <c r="G3797" i="1"/>
  <c r="G3796" i="1"/>
  <c r="G3795" i="1"/>
  <c r="H3798" i="1" s="1"/>
  <c r="H3799" i="1" s="1"/>
  <c r="G3782" i="1"/>
  <c r="G3781" i="1"/>
  <c r="G3780" i="1"/>
  <c r="H3783" i="1" s="1"/>
  <c r="H3784" i="1" s="1"/>
  <c r="H3769" i="1"/>
  <c r="H3770" i="1" s="1"/>
  <c r="G3768" i="1"/>
  <c r="G3767" i="1"/>
  <c r="G3766" i="1"/>
  <c r="G3753" i="1"/>
  <c r="G3752" i="1"/>
  <c r="G3751" i="1"/>
  <c r="G3733" i="1"/>
  <c r="G3732" i="1"/>
  <c r="G3731" i="1"/>
  <c r="H3734" i="1" s="1"/>
  <c r="H3735" i="1" s="1"/>
  <c r="G3717" i="1"/>
  <c r="G3716" i="1"/>
  <c r="G3715" i="1"/>
  <c r="G3697" i="1"/>
  <c r="G3696" i="1"/>
  <c r="G3695" i="1"/>
  <c r="H3698" i="1" s="1"/>
  <c r="H3699" i="1" s="1"/>
  <c r="G3679" i="1"/>
  <c r="G3678" i="1"/>
  <c r="G3677" i="1"/>
  <c r="H3680" i="1" s="1"/>
  <c r="H3681" i="1" s="1"/>
  <c r="H3663" i="1"/>
  <c r="H3664" i="1" s="1"/>
  <c r="G3662" i="1"/>
  <c r="G3661" i="1"/>
  <c r="G3660" i="1"/>
  <c r="G3646" i="1"/>
  <c r="G3645" i="1"/>
  <c r="G3644" i="1"/>
  <c r="G3628" i="1"/>
  <c r="G3627" i="1"/>
  <c r="G3626" i="1"/>
  <c r="H3629" i="1" s="1"/>
  <c r="H3630" i="1" s="1"/>
  <c r="G3612" i="1"/>
  <c r="G3611" i="1"/>
  <c r="G3610" i="1"/>
  <c r="G3585" i="1"/>
  <c r="G3584" i="1"/>
  <c r="G3583" i="1"/>
  <c r="H3586" i="1" s="1"/>
  <c r="H3587" i="1" s="1"/>
  <c r="G3566" i="1"/>
  <c r="G3565" i="1"/>
  <c r="G3564" i="1"/>
  <c r="H3567" i="1" s="1"/>
  <c r="H3568" i="1" s="1"/>
  <c r="H3550" i="1"/>
  <c r="H3551" i="1" s="1"/>
  <c r="G3549" i="1"/>
  <c r="G3548" i="1"/>
  <c r="G3547" i="1"/>
  <c r="G3533" i="1"/>
  <c r="G3532" i="1"/>
  <c r="G3531" i="1"/>
  <c r="G3516" i="1"/>
  <c r="G3515" i="1"/>
  <c r="G3514" i="1"/>
  <c r="H3517" i="1" s="1"/>
  <c r="H3518" i="1" s="1"/>
  <c r="G3499" i="1"/>
  <c r="G3498" i="1"/>
  <c r="G3497" i="1"/>
  <c r="G3480" i="1"/>
  <c r="G3479" i="1"/>
  <c r="G3478" i="1"/>
  <c r="H3481" i="1" s="1"/>
  <c r="H3482" i="1" s="1"/>
  <c r="G3463" i="1"/>
  <c r="G3462" i="1"/>
  <c r="G3461" i="1"/>
  <c r="H3464" i="1" s="1"/>
  <c r="H3465" i="1" s="1"/>
  <c r="H3446" i="1"/>
  <c r="H3447" i="1" s="1"/>
  <c r="G3445" i="1"/>
  <c r="G3444" i="1"/>
  <c r="G3443" i="1"/>
  <c r="G3428" i="1"/>
  <c r="G3427" i="1"/>
  <c r="G3426" i="1"/>
  <c r="G3410" i="1"/>
  <c r="G3409" i="1"/>
  <c r="G3408" i="1"/>
  <c r="H3411" i="1" s="1"/>
  <c r="H3412" i="1" s="1"/>
  <c r="G3392" i="1"/>
  <c r="G3391" i="1"/>
  <c r="G3390" i="1"/>
  <c r="G3373" i="1"/>
  <c r="G3372" i="1"/>
  <c r="G3371" i="1"/>
  <c r="H3374" i="1" s="1"/>
  <c r="H3375" i="1" s="1"/>
  <c r="G3353" i="1"/>
  <c r="G3352" i="1"/>
  <c r="G3351" i="1"/>
  <c r="H3354" i="1" s="1"/>
  <c r="H3355" i="1" s="1"/>
  <c r="H3338" i="1"/>
  <c r="H3339" i="1" s="1"/>
  <c r="G3337" i="1"/>
  <c r="G3336" i="1"/>
  <c r="G3335" i="1"/>
  <c r="G3320" i="1"/>
  <c r="G3319" i="1"/>
  <c r="G3318" i="1"/>
  <c r="G3300" i="1"/>
  <c r="G3299" i="1"/>
  <c r="G3298" i="1"/>
  <c r="H3301" i="1" s="1"/>
  <c r="H3302" i="1" s="1"/>
  <c r="G3285" i="1"/>
  <c r="G3284" i="1"/>
  <c r="G3283" i="1"/>
  <c r="G3267" i="1"/>
  <c r="G3266" i="1"/>
  <c r="G3265" i="1"/>
  <c r="H3268" i="1" s="1"/>
  <c r="H3269" i="1" s="1"/>
  <c r="G3250" i="1"/>
  <c r="G3249" i="1"/>
  <c r="G3248" i="1"/>
  <c r="H3251" i="1" s="1"/>
  <c r="H3252" i="1" s="1"/>
  <c r="H3234" i="1"/>
  <c r="H3235" i="1" s="1"/>
  <c r="G3233" i="1"/>
  <c r="G3232" i="1"/>
  <c r="G3231" i="1"/>
  <c r="G3217" i="1"/>
  <c r="G3216" i="1"/>
  <c r="G3215" i="1"/>
  <c r="G3200" i="1"/>
  <c r="G3199" i="1"/>
  <c r="G3198" i="1"/>
  <c r="H3201" i="1" s="1"/>
  <c r="H3202" i="1" s="1"/>
  <c r="G3184" i="1"/>
  <c r="G3183" i="1"/>
  <c r="G3182" i="1"/>
  <c r="G3166" i="1"/>
  <c r="G3165" i="1"/>
  <c r="G3164" i="1"/>
  <c r="H3167" i="1" s="1"/>
  <c r="H3168" i="1" s="1"/>
  <c r="G3150" i="1"/>
  <c r="G3149" i="1"/>
  <c r="G3148" i="1"/>
  <c r="H3151" i="1" s="1"/>
  <c r="H3152" i="1" s="1"/>
  <c r="H3136" i="1"/>
  <c r="H3137" i="1" s="1"/>
  <c r="G3135" i="1"/>
  <c r="G3134" i="1"/>
  <c r="G3133" i="1"/>
  <c r="G3118" i="1"/>
  <c r="G3117" i="1"/>
  <c r="G3116" i="1"/>
  <c r="G3101" i="1"/>
  <c r="G3100" i="1"/>
  <c r="G3099" i="1"/>
  <c r="H3102" i="1" s="1"/>
  <c r="H3103" i="1" s="1"/>
  <c r="G3083" i="1"/>
  <c r="G3082" i="1"/>
  <c r="G3081" i="1"/>
  <c r="G3065" i="1"/>
  <c r="G3064" i="1"/>
  <c r="G3063" i="1"/>
  <c r="H3066" i="1" s="1"/>
  <c r="H3067" i="1" s="1"/>
  <c r="G3049" i="1"/>
  <c r="G3048" i="1"/>
  <c r="G3047" i="1"/>
  <c r="H3050" i="1" s="1"/>
  <c r="H3051" i="1" s="1"/>
  <c r="H3036" i="1"/>
  <c r="H3037" i="1" s="1"/>
  <c r="G3035" i="1"/>
  <c r="G3034" i="1"/>
  <c r="G3033" i="1"/>
  <c r="G3019" i="1"/>
  <c r="G3018" i="1"/>
  <c r="G3017" i="1"/>
  <c r="G3003" i="1"/>
  <c r="G3002" i="1"/>
  <c r="G3001" i="1"/>
  <c r="H3004" i="1" s="1"/>
  <c r="H3005" i="1" s="1"/>
  <c r="G2988" i="1"/>
  <c r="G2987" i="1"/>
  <c r="G2986" i="1"/>
  <c r="G2973" i="1"/>
  <c r="G2972" i="1"/>
  <c r="G2971" i="1"/>
  <c r="H2974" i="1" s="1"/>
  <c r="H2975" i="1" s="1"/>
  <c r="G2959" i="1"/>
  <c r="G2958" i="1"/>
  <c r="G2957" i="1"/>
  <c r="H2960" i="1" s="1"/>
  <c r="H2961" i="1" s="1"/>
  <c r="H2945" i="1"/>
  <c r="H2946" i="1" s="1"/>
  <c r="G2944" i="1"/>
  <c r="G2943" i="1"/>
  <c r="G2942" i="1"/>
  <c r="G2930" i="1"/>
  <c r="G2929" i="1"/>
  <c r="G2928" i="1"/>
  <c r="G2918" i="1"/>
  <c r="G2917" i="1"/>
  <c r="G2916" i="1"/>
  <c r="H2919" i="1" s="1"/>
  <c r="H2920" i="1" s="1"/>
  <c r="G2915" i="1"/>
  <c r="G2905" i="1"/>
  <c r="G2904" i="1"/>
  <c r="G2903" i="1"/>
  <c r="H2906" i="1" s="1"/>
  <c r="H2907" i="1" s="1"/>
  <c r="G2902" i="1"/>
  <c r="H2890" i="1"/>
  <c r="H2891" i="1" s="1"/>
  <c r="G2889" i="1"/>
  <c r="G2888" i="1"/>
  <c r="G2887" i="1"/>
  <c r="G2886" i="1"/>
  <c r="H2876" i="1"/>
  <c r="H2877" i="1" s="1"/>
  <c r="G2875" i="1"/>
  <c r="G2874" i="1"/>
  <c r="G2873" i="1"/>
  <c r="G2872" i="1"/>
  <c r="G2860" i="1"/>
  <c r="G2859" i="1"/>
  <c r="H2861" i="1" s="1"/>
  <c r="H2862" i="1" s="1"/>
  <c r="G2858" i="1"/>
  <c r="G2857" i="1"/>
  <c r="G2846" i="1"/>
  <c r="G2845" i="1"/>
  <c r="G2844" i="1"/>
  <c r="H2847" i="1" s="1"/>
  <c r="H2848" i="1" s="1"/>
  <c r="G2843" i="1"/>
  <c r="G2833" i="1"/>
  <c r="G2832" i="1"/>
  <c r="G2831" i="1"/>
  <c r="H2834" i="1" s="1"/>
  <c r="H2835" i="1" s="1"/>
  <c r="G2830" i="1"/>
  <c r="G2818" i="1"/>
  <c r="G2817" i="1"/>
  <c r="G2816" i="1"/>
  <c r="H2819" i="1" s="1"/>
  <c r="H2820" i="1" s="1"/>
  <c r="G2815" i="1"/>
  <c r="H2805" i="1"/>
  <c r="H2806" i="1" s="1"/>
  <c r="G2804" i="1"/>
  <c r="G2803" i="1"/>
  <c r="G2802" i="1"/>
  <c r="G2801" i="1"/>
  <c r="H2791" i="1"/>
  <c r="H2792" i="1" s="1"/>
  <c r="G2790" i="1"/>
  <c r="G2789" i="1"/>
  <c r="G2788" i="1"/>
  <c r="G2787" i="1"/>
  <c r="G2776" i="1"/>
  <c r="G2775" i="1"/>
  <c r="H2777" i="1" s="1"/>
  <c r="H2778" i="1" s="1"/>
  <c r="G2774" i="1"/>
  <c r="G2773" i="1"/>
  <c r="G2762" i="1"/>
  <c r="G2761" i="1"/>
  <c r="G2760" i="1"/>
  <c r="H2763" i="1" s="1"/>
  <c r="H2764" i="1" s="1"/>
  <c r="G2759" i="1"/>
  <c r="G2744" i="1"/>
  <c r="G2743" i="1"/>
  <c r="G2742" i="1"/>
  <c r="H2745" i="1" s="1"/>
  <c r="H2746" i="1" s="1"/>
  <c r="G2741" i="1"/>
  <c r="G2729" i="1"/>
  <c r="G2728" i="1"/>
  <c r="G2727" i="1"/>
  <c r="H2730" i="1" s="1"/>
  <c r="H2731" i="1" s="1"/>
  <c r="G2726" i="1"/>
  <c r="H2714" i="1"/>
  <c r="H2715" i="1" s="1"/>
  <c r="G2713" i="1"/>
  <c r="G2712" i="1"/>
  <c r="G2711" i="1"/>
  <c r="G2710" i="1"/>
  <c r="H2699" i="1"/>
  <c r="H2700" i="1" s="1"/>
  <c r="G2698" i="1"/>
  <c r="G2697" i="1"/>
  <c r="G2696" i="1"/>
  <c r="G2682" i="1"/>
  <c r="G2681" i="1"/>
  <c r="G2680" i="1"/>
  <c r="H2683" i="1" s="1"/>
  <c r="H2684" i="1" s="1"/>
  <c r="G2668" i="1"/>
  <c r="G2667" i="1"/>
  <c r="G2666" i="1"/>
  <c r="H2654" i="1"/>
  <c r="H2653" i="1"/>
  <c r="G2652" i="1"/>
  <c r="G2651" i="1"/>
  <c r="G2650" i="1"/>
  <c r="G2636" i="1"/>
  <c r="H2637" i="1" s="1"/>
  <c r="H2638" i="1" s="1"/>
  <c r="G2635" i="1"/>
  <c r="G2634" i="1"/>
  <c r="G2623" i="1"/>
  <c r="G2622" i="1"/>
  <c r="G2621" i="1"/>
  <c r="H2624" i="1" s="1"/>
  <c r="H2625" i="1" s="1"/>
  <c r="H2610" i="1"/>
  <c r="H2611" i="1" s="1"/>
  <c r="G2609" i="1"/>
  <c r="G2608" i="1"/>
  <c r="G2607" i="1"/>
  <c r="G2596" i="1"/>
  <c r="G2595" i="1"/>
  <c r="G2594" i="1"/>
  <c r="H2597" i="1" s="1"/>
  <c r="H2598" i="1" s="1"/>
  <c r="G2582" i="1"/>
  <c r="G2581" i="1"/>
  <c r="G2580" i="1"/>
  <c r="H2567" i="1"/>
  <c r="H2566" i="1"/>
  <c r="G2565" i="1"/>
  <c r="G2564" i="1"/>
  <c r="G2563" i="1"/>
  <c r="G2550" i="1"/>
  <c r="H2551" i="1" s="1"/>
  <c r="H2552" i="1" s="1"/>
  <c r="G2549" i="1"/>
  <c r="G2548" i="1"/>
  <c r="G2536" i="1"/>
  <c r="G2535" i="1"/>
  <c r="G2534" i="1"/>
  <c r="H2537" i="1" s="1"/>
  <c r="H2538" i="1" s="1"/>
  <c r="H2522" i="1"/>
  <c r="H2523" i="1" s="1"/>
  <c r="G2521" i="1"/>
  <c r="G2520" i="1"/>
  <c r="G2519" i="1"/>
  <c r="G2506" i="1"/>
  <c r="G2505" i="1"/>
  <c r="G2504" i="1"/>
  <c r="H2507" i="1" s="1"/>
  <c r="H2508" i="1" s="1"/>
  <c r="G2491" i="1"/>
  <c r="G2490" i="1"/>
  <c r="G2489" i="1"/>
  <c r="H2479" i="1"/>
  <c r="H2478" i="1"/>
  <c r="G2477" i="1"/>
  <c r="G2476" i="1"/>
  <c r="G2475" i="1"/>
  <c r="G2463" i="1"/>
  <c r="G2462" i="1"/>
  <c r="G2461" i="1"/>
  <c r="H2464" i="1" s="1"/>
  <c r="H2465" i="1" s="1"/>
  <c r="G2448" i="1"/>
  <c r="G2447" i="1"/>
  <c r="G2446" i="1"/>
  <c r="H2449" i="1" s="1"/>
  <c r="H2450" i="1" s="1"/>
  <c r="H2436" i="1"/>
  <c r="H2437" i="1" s="1"/>
  <c r="G2435" i="1"/>
  <c r="G2434" i="1"/>
  <c r="G2433" i="1"/>
  <c r="H2421" i="1"/>
  <c r="H2422" i="1" s="1"/>
  <c r="G2420" i="1"/>
  <c r="G2419" i="1"/>
  <c r="G2418" i="1"/>
  <c r="G2404" i="1"/>
  <c r="G2403" i="1"/>
  <c r="G2402" i="1"/>
  <c r="G2391" i="1"/>
  <c r="G2390" i="1"/>
  <c r="G2389" i="1"/>
  <c r="H2392" i="1" s="1"/>
  <c r="H2393" i="1" s="1"/>
  <c r="G2377" i="1"/>
  <c r="H2378" i="1" s="1"/>
  <c r="H2379" i="1" s="1"/>
  <c r="G2376" i="1"/>
  <c r="G2375" i="1"/>
  <c r="G2364" i="1"/>
  <c r="G2363" i="1"/>
  <c r="G2362" i="1"/>
  <c r="H2365" i="1" s="1"/>
  <c r="H2366" i="1" s="1"/>
  <c r="G2350" i="1"/>
  <c r="G2349" i="1"/>
  <c r="G2348" i="1"/>
  <c r="H2351" i="1" s="1"/>
  <c r="H2352" i="1" s="1"/>
  <c r="H2337" i="1"/>
  <c r="H2338" i="1" s="1"/>
  <c r="G2336" i="1"/>
  <c r="G2335" i="1"/>
  <c r="G2334" i="1"/>
  <c r="G2322" i="1"/>
  <c r="G2321" i="1"/>
  <c r="G2320" i="1"/>
  <c r="G2308" i="1"/>
  <c r="G2307" i="1"/>
  <c r="G2306" i="1"/>
  <c r="H2309" i="1" s="1"/>
  <c r="H2310" i="1" s="1"/>
  <c r="G2295" i="1"/>
  <c r="G2294" i="1"/>
  <c r="G2293" i="1"/>
  <c r="H2296" i="1" s="1"/>
  <c r="H2297" i="1" s="1"/>
  <c r="G2281" i="1"/>
  <c r="G2280" i="1"/>
  <c r="G2279" i="1"/>
  <c r="G2266" i="1"/>
  <c r="G2265" i="1"/>
  <c r="H2267" i="1" s="1"/>
  <c r="H2268" i="1" s="1"/>
  <c r="G2264" i="1"/>
  <c r="G2253" i="1"/>
  <c r="G2252" i="1"/>
  <c r="G2251" i="1"/>
  <c r="H2254" i="1" s="1"/>
  <c r="H2255" i="1" s="1"/>
  <c r="G2240" i="1"/>
  <c r="G2239" i="1"/>
  <c r="G2238" i="1"/>
  <c r="H2229" i="1"/>
  <c r="H2228" i="1"/>
  <c r="G2227" i="1"/>
  <c r="G2226" i="1"/>
  <c r="G2225" i="1"/>
  <c r="G2213" i="1"/>
  <c r="G2212" i="1"/>
  <c r="G2211" i="1"/>
  <c r="H2214" i="1" s="1"/>
  <c r="H2215" i="1" s="1"/>
  <c r="G2199" i="1"/>
  <c r="G2198" i="1"/>
  <c r="G2197" i="1"/>
  <c r="H2200" i="1" s="1"/>
  <c r="H2201" i="1" s="1"/>
  <c r="H2187" i="1"/>
  <c r="H2188" i="1" s="1"/>
  <c r="G2186" i="1"/>
  <c r="G2185" i="1"/>
  <c r="G2184" i="1"/>
  <c r="H2173" i="1"/>
  <c r="H2174" i="1" s="1"/>
  <c r="G2172" i="1"/>
  <c r="G2171" i="1"/>
  <c r="G2170" i="1"/>
  <c r="G2157" i="1"/>
  <c r="G2156" i="1"/>
  <c r="G2155" i="1"/>
  <c r="G2143" i="1"/>
  <c r="G2142" i="1"/>
  <c r="G2141" i="1"/>
  <c r="H2144" i="1" s="1"/>
  <c r="H2145" i="1" s="1"/>
  <c r="G2128" i="1"/>
  <c r="H2129" i="1" s="1"/>
  <c r="H2130" i="1" s="1"/>
  <c r="G2127" i="1"/>
  <c r="G2126" i="1"/>
  <c r="G2115" i="1"/>
  <c r="G2114" i="1"/>
  <c r="G2113" i="1"/>
  <c r="H2116" i="1" s="1"/>
  <c r="H2117" i="1" s="1"/>
  <c r="G2100" i="1"/>
  <c r="G2099" i="1"/>
  <c r="G2098" i="1"/>
  <c r="H2101" i="1" s="1"/>
  <c r="H2102" i="1" s="1"/>
  <c r="H2086" i="1"/>
  <c r="H2087" i="1" s="1"/>
  <c r="G2085" i="1"/>
  <c r="G2084" i="1"/>
  <c r="G2083" i="1"/>
  <c r="G2072" i="1"/>
  <c r="G2071" i="1"/>
  <c r="G2070" i="1"/>
  <c r="G2057" i="1"/>
  <c r="G2056" i="1"/>
  <c r="G2055" i="1"/>
  <c r="H2058" i="1" s="1"/>
  <c r="H2059" i="1" s="1"/>
  <c r="G2043" i="1"/>
  <c r="G2042" i="1"/>
  <c r="G2041" i="1"/>
  <c r="H2044" i="1" s="1"/>
  <c r="H2045" i="1" s="1"/>
  <c r="G2029" i="1"/>
  <c r="G2028" i="1"/>
  <c r="G2027" i="1"/>
  <c r="G2014" i="1"/>
  <c r="G2013" i="1"/>
  <c r="H2015" i="1" s="1"/>
  <c r="H2016" i="1" s="1"/>
  <c r="G2012" i="1"/>
  <c r="G1999" i="1"/>
  <c r="G1998" i="1"/>
  <c r="G1997" i="1"/>
  <c r="H2000" i="1" s="1"/>
  <c r="H2001" i="1" s="1"/>
  <c r="G1984" i="1"/>
  <c r="G1983" i="1"/>
  <c r="G1982" i="1"/>
  <c r="H1967" i="1"/>
  <c r="H1966" i="1"/>
  <c r="G1965" i="1"/>
  <c r="G1964" i="1"/>
  <c r="G1963" i="1"/>
  <c r="G1947" i="1"/>
  <c r="G1946" i="1"/>
  <c r="G1945" i="1"/>
  <c r="H1948" i="1" s="1"/>
  <c r="H1949" i="1" s="1"/>
  <c r="G1928" i="1"/>
  <c r="G1927" i="1"/>
  <c r="G1926" i="1"/>
  <c r="H1929" i="1" s="1"/>
  <c r="H1930" i="1" s="1"/>
  <c r="H1911" i="1"/>
  <c r="H1912" i="1" s="1"/>
  <c r="G1910" i="1"/>
  <c r="G1909" i="1"/>
  <c r="G1908" i="1"/>
  <c r="H1896" i="1"/>
  <c r="H1897" i="1" s="1"/>
  <c r="G1895" i="1"/>
  <c r="G1894" i="1"/>
  <c r="G1893" i="1"/>
  <c r="G1876" i="1"/>
  <c r="G1875" i="1"/>
  <c r="G1874" i="1"/>
  <c r="G1859" i="1"/>
  <c r="G1858" i="1"/>
  <c r="G1857" i="1"/>
  <c r="H1860" i="1" s="1"/>
  <c r="H1861" i="1" s="1"/>
  <c r="G1842" i="1"/>
  <c r="H1843" i="1" s="1"/>
  <c r="H1844" i="1" s="1"/>
  <c r="G1841" i="1"/>
  <c r="G1840" i="1"/>
  <c r="G1824" i="1"/>
  <c r="G1823" i="1"/>
  <c r="G1822" i="1"/>
  <c r="H1825" i="1" s="1"/>
  <c r="H1826" i="1" s="1"/>
  <c r="G1805" i="1"/>
  <c r="G1804" i="1"/>
  <c r="G1803" i="1"/>
  <c r="H1806" i="1" s="1"/>
  <c r="H1807" i="1" s="1"/>
  <c r="H1789" i="1"/>
  <c r="H1790" i="1" s="1"/>
  <c r="G1788" i="1"/>
  <c r="G1787" i="1"/>
  <c r="G1786" i="1"/>
  <c r="G1774" i="1"/>
  <c r="G1773" i="1"/>
  <c r="G1772" i="1"/>
  <c r="G1761" i="1"/>
  <c r="G1760" i="1"/>
  <c r="G1759" i="1"/>
  <c r="H1762" i="1" s="1"/>
  <c r="H1763" i="1" s="1"/>
  <c r="G1746" i="1"/>
  <c r="G1745" i="1"/>
  <c r="G1744" i="1"/>
  <c r="H1747" i="1" s="1"/>
  <c r="H1748" i="1" s="1"/>
  <c r="G1730" i="1"/>
  <c r="G1729" i="1"/>
  <c r="G1728" i="1"/>
  <c r="G1715" i="1"/>
  <c r="G1714" i="1"/>
  <c r="H1716" i="1" s="1"/>
  <c r="H1717" i="1" s="1"/>
  <c r="G1713" i="1"/>
  <c r="G1689" i="1"/>
  <c r="G1688" i="1"/>
  <c r="G1687" i="1"/>
  <c r="H1690" i="1" s="1"/>
  <c r="H1691" i="1" s="1"/>
  <c r="G1673" i="1"/>
  <c r="G1672" i="1"/>
  <c r="G1671" i="1"/>
  <c r="H1658" i="1"/>
  <c r="H1657" i="1"/>
  <c r="G1656" i="1"/>
  <c r="G1655" i="1"/>
  <c r="G1654" i="1"/>
  <c r="G1641" i="1"/>
  <c r="G1640" i="1"/>
  <c r="G1639" i="1"/>
  <c r="H1642" i="1" s="1"/>
  <c r="H1643" i="1" s="1"/>
  <c r="G1625" i="1"/>
  <c r="G1624" i="1"/>
  <c r="G1623" i="1"/>
  <c r="H1626" i="1" s="1"/>
  <c r="H1627" i="1" s="1"/>
  <c r="G1609" i="1"/>
  <c r="G1608" i="1"/>
  <c r="G1607" i="1"/>
  <c r="H1610" i="1" s="1"/>
  <c r="H1611" i="1" s="1"/>
  <c r="H1596" i="1"/>
  <c r="H1597" i="1" s="1"/>
  <c r="G1595" i="1"/>
  <c r="G1594" i="1"/>
  <c r="G1593" i="1"/>
  <c r="G1579" i="1"/>
  <c r="H1580" i="1" s="1"/>
  <c r="H1581" i="1" s="1"/>
  <c r="G1578" i="1"/>
  <c r="G1577" i="1"/>
  <c r="G1566" i="1"/>
  <c r="G1565" i="1"/>
  <c r="H1567" i="1" s="1"/>
  <c r="H1568" i="1" s="1"/>
  <c r="G1564" i="1"/>
  <c r="G1550" i="1"/>
  <c r="G1549" i="1"/>
  <c r="G1548" i="1"/>
  <c r="H1551" i="1" s="1"/>
  <c r="H1552" i="1" s="1"/>
  <c r="G1536" i="1"/>
  <c r="G1535" i="1"/>
  <c r="G1534" i="1"/>
  <c r="H1537" i="1" s="1"/>
  <c r="H1538" i="1" s="1"/>
  <c r="G1509" i="1"/>
  <c r="G1508" i="1"/>
  <c r="G1507" i="1"/>
  <c r="G1506" i="1"/>
  <c r="H1510" i="1" s="1"/>
  <c r="H1511" i="1" s="1"/>
  <c r="G1495" i="1"/>
  <c r="H1496" i="1" s="1"/>
  <c r="H1497" i="1" s="1"/>
  <c r="G1481" i="1"/>
  <c r="G1480" i="1"/>
  <c r="H1482" i="1" s="1"/>
  <c r="H1483" i="1" s="1"/>
  <c r="G1479" i="1"/>
  <c r="G1478" i="1"/>
  <c r="G1468" i="1"/>
  <c r="G1467" i="1"/>
  <c r="H1469" i="1" s="1"/>
  <c r="H1470" i="1" s="1"/>
  <c r="G1466" i="1"/>
  <c r="G1465" i="1"/>
  <c r="G1454" i="1"/>
  <c r="G1453" i="1"/>
  <c r="H1455" i="1" s="1"/>
  <c r="H1456" i="1" s="1"/>
  <c r="G1452" i="1"/>
  <c r="G1451" i="1"/>
  <c r="G1440" i="1"/>
  <c r="G1439" i="1"/>
  <c r="H1441" i="1" s="1"/>
  <c r="H1442" i="1" s="1"/>
  <c r="G1438" i="1"/>
  <c r="G1437" i="1"/>
  <c r="G1426" i="1"/>
  <c r="G1425" i="1"/>
  <c r="H1427" i="1" s="1"/>
  <c r="H1428" i="1" s="1"/>
  <c r="G1424" i="1"/>
  <c r="G1423" i="1"/>
  <c r="G1411" i="1"/>
  <c r="G1410" i="1"/>
  <c r="H1412" i="1" s="1"/>
  <c r="H1413" i="1" s="1"/>
  <c r="G1409" i="1"/>
  <c r="G1408" i="1"/>
  <c r="G1397" i="1"/>
  <c r="G1396" i="1"/>
  <c r="H1398" i="1" s="1"/>
  <c r="H1399" i="1" s="1"/>
  <c r="G1395" i="1"/>
  <c r="G1394" i="1"/>
  <c r="G1384" i="1"/>
  <c r="G1383" i="1"/>
  <c r="H1385" i="1" s="1"/>
  <c r="H1386" i="1" s="1"/>
  <c r="G1382" i="1"/>
  <c r="G1381" i="1"/>
  <c r="G1370" i="1"/>
  <c r="G1369" i="1"/>
  <c r="H1371" i="1" s="1"/>
  <c r="H1372" i="1" s="1"/>
  <c r="G1368" i="1"/>
  <c r="G1356" i="1"/>
  <c r="G1355" i="1"/>
  <c r="G1354" i="1"/>
  <c r="H1357" i="1" s="1"/>
  <c r="H1358" i="1" s="1"/>
  <c r="G1340" i="1"/>
  <c r="G1339" i="1"/>
  <c r="G1338" i="1"/>
  <c r="H1341" i="1" s="1"/>
  <c r="H1342" i="1" s="1"/>
  <c r="G1324" i="1"/>
  <c r="G1323" i="1"/>
  <c r="G1322" i="1"/>
  <c r="H1325" i="1" s="1"/>
  <c r="H1326" i="1" s="1"/>
  <c r="H1311" i="1"/>
  <c r="H1312" i="1" s="1"/>
  <c r="G1310" i="1"/>
  <c r="G1309" i="1"/>
  <c r="G1308" i="1"/>
  <c r="G1296" i="1"/>
  <c r="H1297" i="1" s="1"/>
  <c r="H1298" i="1" s="1"/>
  <c r="G1295" i="1"/>
  <c r="G1294" i="1"/>
  <c r="H1281" i="1"/>
  <c r="H1282" i="1" s="1"/>
  <c r="G1280" i="1"/>
  <c r="G1265" i="1"/>
  <c r="G1264" i="1"/>
  <c r="G1263" i="1"/>
  <c r="H1266" i="1" s="1"/>
  <c r="H1267" i="1" s="1"/>
  <c r="H1251" i="1"/>
  <c r="H1252" i="1" s="1"/>
  <c r="G1250" i="1"/>
  <c r="G1249" i="1"/>
  <c r="G1248" i="1"/>
  <c r="G1235" i="1"/>
  <c r="H1236" i="1" s="1"/>
  <c r="H1237" i="1" s="1"/>
  <c r="G1234" i="1"/>
  <c r="G1233" i="1"/>
  <c r="G1219" i="1"/>
  <c r="G1218" i="1"/>
  <c r="H1220" i="1" s="1"/>
  <c r="H1221" i="1" s="1"/>
  <c r="G1217" i="1"/>
  <c r="G1202" i="1"/>
  <c r="G1201" i="1"/>
  <c r="G1200" i="1"/>
  <c r="H1203" i="1" s="1"/>
  <c r="H1204" i="1" s="1"/>
  <c r="G1183" i="1"/>
  <c r="G1182" i="1"/>
  <c r="G1181" i="1"/>
  <c r="H1184" i="1" s="1"/>
  <c r="H1185" i="1" s="1"/>
  <c r="G1169" i="1"/>
  <c r="G1168" i="1"/>
  <c r="G1167" i="1"/>
  <c r="H1170" i="1" s="1"/>
  <c r="H1171" i="1" s="1"/>
  <c r="H1155" i="1"/>
  <c r="H1156" i="1" s="1"/>
  <c r="G1154" i="1"/>
  <c r="G1153" i="1"/>
  <c r="G1152" i="1"/>
  <c r="G1137" i="1"/>
  <c r="H1138" i="1" s="1"/>
  <c r="H1139" i="1" s="1"/>
  <c r="G1136" i="1"/>
  <c r="G1135" i="1"/>
  <c r="G1122" i="1"/>
  <c r="G1121" i="1"/>
  <c r="H1123" i="1" s="1"/>
  <c r="H1124" i="1" s="1"/>
  <c r="G1120" i="1"/>
  <c r="G1105" i="1"/>
  <c r="G1104" i="1"/>
  <c r="G1103" i="1"/>
  <c r="H1106" i="1" s="1"/>
  <c r="H1107" i="1" s="1"/>
  <c r="G1091" i="1"/>
  <c r="G1090" i="1"/>
  <c r="G1089" i="1"/>
  <c r="H1092" i="1" s="1"/>
  <c r="H1093" i="1" s="1"/>
  <c r="G1077" i="1"/>
  <c r="G1076" i="1"/>
  <c r="G1075" i="1"/>
  <c r="H1078" i="1" s="1"/>
  <c r="H1079" i="1" s="1"/>
  <c r="H1063" i="1"/>
  <c r="H1064" i="1" s="1"/>
  <c r="G1062" i="1"/>
  <c r="G1061" i="1"/>
  <c r="G1060" i="1"/>
  <c r="G1049" i="1"/>
  <c r="H1050" i="1" s="1"/>
  <c r="H1051" i="1" s="1"/>
  <c r="G1048" i="1"/>
  <c r="G1047" i="1"/>
  <c r="G1035" i="1"/>
  <c r="G1034" i="1"/>
  <c r="H1036" i="1" s="1"/>
  <c r="H1037" i="1" s="1"/>
  <c r="G1033" i="1"/>
  <c r="G1020" i="1"/>
  <c r="G1019" i="1"/>
  <c r="G1018" i="1"/>
  <c r="H1021" i="1" s="1"/>
  <c r="H1022" i="1" s="1"/>
  <c r="G1005" i="1"/>
  <c r="G1004" i="1"/>
  <c r="G1003" i="1"/>
  <c r="H1006" i="1" s="1"/>
  <c r="H1007" i="1" s="1"/>
  <c r="G992" i="1"/>
  <c r="G991" i="1"/>
  <c r="G990" i="1"/>
  <c r="H993" i="1" s="1"/>
  <c r="H994" i="1" s="1"/>
  <c r="H976" i="1"/>
  <c r="H977" i="1" s="1"/>
  <c r="G975" i="1"/>
  <c r="G974" i="1"/>
  <c r="G973" i="1"/>
  <c r="G961" i="1"/>
  <c r="H962" i="1" s="1"/>
  <c r="H963" i="1" s="1"/>
  <c r="G960" i="1"/>
  <c r="G959" i="1"/>
  <c r="G946" i="1"/>
  <c r="G945" i="1"/>
  <c r="H947" i="1" s="1"/>
  <c r="H948" i="1" s="1"/>
  <c r="G944" i="1"/>
  <c r="G931" i="1"/>
  <c r="G930" i="1"/>
  <c r="G929" i="1"/>
  <c r="H932" i="1" s="1"/>
  <c r="H933" i="1" s="1"/>
  <c r="G916" i="1"/>
  <c r="G915" i="1"/>
  <c r="G914" i="1"/>
  <c r="H917" i="1" s="1"/>
  <c r="H918" i="1" s="1"/>
  <c r="G902" i="1"/>
  <c r="G901" i="1"/>
  <c r="G900" i="1"/>
  <c r="H903" i="1" s="1"/>
  <c r="H904" i="1" s="1"/>
  <c r="H885" i="1"/>
  <c r="H886" i="1" s="1"/>
  <c r="G884" i="1"/>
  <c r="G883" i="1"/>
  <c r="G882" i="1"/>
  <c r="G869" i="1"/>
  <c r="H870" i="1" s="1"/>
  <c r="H871" i="1" s="1"/>
  <c r="G868" i="1"/>
  <c r="G867" i="1"/>
  <c r="G854" i="1"/>
  <c r="G853" i="1"/>
  <c r="H855" i="1" s="1"/>
  <c r="H856" i="1" s="1"/>
  <c r="G852" i="1"/>
  <c r="G838" i="1"/>
  <c r="G837" i="1"/>
  <c r="G836" i="1"/>
  <c r="H839" i="1" s="1"/>
  <c r="H840" i="1" s="1"/>
  <c r="G823" i="1"/>
  <c r="G822" i="1"/>
  <c r="G821" i="1"/>
  <c r="H824" i="1" s="1"/>
  <c r="H825" i="1" s="1"/>
  <c r="G809" i="1"/>
  <c r="G808" i="1"/>
  <c r="G807" i="1"/>
  <c r="H810" i="1" s="1"/>
  <c r="H811" i="1" s="1"/>
  <c r="H795" i="1"/>
  <c r="H796" i="1" s="1"/>
  <c r="G794" i="1"/>
  <c r="G793" i="1"/>
  <c r="G792" i="1"/>
  <c r="G781" i="1"/>
  <c r="H782" i="1" s="1"/>
  <c r="H783" i="1" s="1"/>
  <c r="G764" i="1"/>
  <c r="G763" i="1"/>
  <c r="G762" i="1"/>
  <c r="G761" i="1"/>
  <c r="H765" i="1" s="1"/>
  <c r="H766" i="1" s="1"/>
  <c r="G748" i="1"/>
  <c r="G747" i="1"/>
  <c r="G746" i="1"/>
  <c r="G745" i="1"/>
  <c r="H749" i="1" s="1"/>
  <c r="H750" i="1" s="1"/>
  <c r="G734" i="1"/>
  <c r="G733" i="1"/>
  <c r="G732" i="1"/>
  <c r="G731" i="1"/>
  <c r="H735" i="1" s="1"/>
  <c r="H736" i="1" s="1"/>
  <c r="G720" i="1"/>
  <c r="G719" i="1"/>
  <c r="G718" i="1"/>
  <c r="G717" i="1"/>
  <c r="H721" i="1" s="1"/>
  <c r="H722" i="1" s="1"/>
  <c r="G705" i="1"/>
  <c r="G704" i="1"/>
  <c r="G703" i="1"/>
  <c r="G702" i="1"/>
  <c r="H706" i="1" s="1"/>
  <c r="H707" i="1" s="1"/>
  <c r="G690" i="1"/>
  <c r="G689" i="1"/>
  <c r="G688" i="1"/>
  <c r="G687" i="1"/>
  <c r="H691" i="1" s="1"/>
  <c r="H692" i="1" s="1"/>
  <c r="G676" i="1"/>
  <c r="G675" i="1"/>
  <c r="G674" i="1"/>
  <c r="G673" i="1"/>
  <c r="H677" i="1" s="1"/>
  <c r="H678" i="1" s="1"/>
  <c r="G660" i="1"/>
  <c r="G659" i="1"/>
  <c r="G658" i="1"/>
  <c r="G657" i="1"/>
  <c r="H661" i="1" s="1"/>
  <c r="H662" i="1" s="1"/>
  <c r="G645" i="1"/>
  <c r="G644" i="1"/>
  <c r="G643" i="1"/>
  <c r="G642" i="1"/>
  <c r="H646" i="1" s="1"/>
  <c r="H647" i="1" s="1"/>
  <c r="G631" i="1"/>
  <c r="G630" i="1"/>
  <c r="G629" i="1"/>
  <c r="G628" i="1"/>
  <c r="H632" i="1" s="1"/>
  <c r="H633" i="1" s="1"/>
  <c r="G615" i="1"/>
  <c r="G614" i="1"/>
  <c r="G613" i="1"/>
  <c r="G612" i="1"/>
  <c r="H616" i="1" s="1"/>
  <c r="H617" i="1" s="1"/>
  <c r="G598" i="1"/>
  <c r="G597" i="1"/>
  <c r="G596" i="1"/>
  <c r="G595" i="1"/>
  <c r="H599" i="1" s="1"/>
  <c r="H600" i="1" s="1"/>
  <c r="G586" i="1"/>
  <c r="G585" i="1"/>
  <c r="G584" i="1"/>
  <c r="G583" i="1"/>
  <c r="H587" i="1" s="1"/>
  <c r="H588" i="1" s="1"/>
  <c r="G568" i="1"/>
  <c r="G567" i="1"/>
  <c r="G566" i="1"/>
  <c r="G565" i="1"/>
  <c r="H569" i="1" s="1"/>
  <c r="H570" i="1" s="1"/>
  <c r="G551" i="1"/>
  <c r="G550" i="1"/>
  <c r="G549" i="1"/>
  <c r="G548" i="1"/>
  <c r="H552" i="1" s="1"/>
  <c r="H553" i="1" s="1"/>
  <c r="G534" i="1"/>
  <c r="G533" i="1"/>
  <c r="G532" i="1"/>
  <c r="G531" i="1"/>
  <c r="H535" i="1" s="1"/>
  <c r="H536" i="1" s="1"/>
  <c r="G515" i="1"/>
  <c r="G514" i="1"/>
  <c r="G513" i="1"/>
  <c r="G512" i="1"/>
  <c r="H516" i="1" s="1"/>
  <c r="H517" i="1" s="1"/>
  <c r="G500" i="1"/>
  <c r="G499" i="1"/>
  <c r="G498" i="1"/>
  <c r="G497" i="1"/>
  <c r="H501" i="1" s="1"/>
  <c r="H502" i="1" s="1"/>
  <c r="G486" i="1"/>
  <c r="G485" i="1"/>
  <c r="G484" i="1"/>
  <c r="G483" i="1"/>
  <c r="H487" i="1" s="1"/>
  <c r="H488" i="1" s="1"/>
  <c r="G473" i="1"/>
  <c r="G472" i="1"/>
  <c r="G471" i="1"/>
  <c r="G470" i="1"/>
  <c r="H474" i="1" s="1"/>
  <c r="H475" i="1" s="1"/>
  <c r="G456" i="1"/>
  <c r="G455" i="1"/>
  <c r="G454" i="1"/>
  <c r="G453" i="1"/>
  <c r="H457" i="1" s="1"/>
  <c r="H458" i="1" s="1"/>
  <c r="G444" i="1"/>
  <c r="G443" i="1"/>
  <c r="G442" i="1"/>
  <c r="G441" i="1"/>
  <c r="H445" i="1" s="1"/>
  <c r="H446" i="1" s="1"/>
  <c r="G429" i="1"/>
  <c r="G428" i="1"/>
  <c r="G427" i="1"/>
  <c r="G426" i="1"/>
  <c r="H430" i="1" s="1"/>
  <c r="H431" i="1" s="1"/>
  <c r="G413" i="1"/>
  <c r="G412" i="1"/>
  <c r="G411" i="1"/>
  <c r="G410" i="1"/>
  <c r="H414" i="1" s="1"/>
  <c r="H415" i="1" s="1"/>
  <c r="G400" i="1"/>
  <c r="G399" i="1"/>
  <c r="G398" i="1"/>
  <c r="G397" i="1"/>
  <c r="H401" i="1" s="1"/>
  <c r="H402" i="1" s="1"/>
  <c r="G384" i="1"/>
  <c r="G383" i="1"/>
  <c r="G382" i="1"/>
  <c r="G381" i="1"/>
  <c r="H385" i="1" s="1"/>
  <c r="H386" i="1" s="1"/>
  <c r="G372" i="1"/>
  <c r="G371" i="1"/>
  <c r="G370" i="1"/>
  <c r="G369" i="1"/>
  <c r="H373" i="1" s="1"/>
  <c r="H374" i="1" s="1"/>
  <c r="G358" i="1"/>
  <c r="G357" i="1"/>
  <c r="G356" i="1"/>
  <c r="G355" i="1"/>
  <c r="H359" i="1" s="1"/>
  <c r="H360" i="1" s="1"/>
  <c r="G342" i="1"/>
  <c r="G341" i="1"/>
  <c r="G340" i="1"/>
  <c r="G339" i="1"/>
  <c r="H343" i="1" s="1"/>
  <c r="H344" i="1" s="1"/>
  <c r="G328" i="1"/>
  <c r="G327" i="1"/>
  <c r="G326" i="1"/>
  <c r="G325" i="1"/>
  <c r="H329" i="1" s="1"/>
  <c r="H330" i="1" s="1"/>
  <c r="G307" i="1"/>
  <c r="G306" i="1"/>
  <c r="G305" i="1"/>
  <c r="G304" i="1"/>
  <c r="H308" i="1" s="1"/>
  <c r="H309" i="1" s="1"/>
  <c r="G291" i="1"/>
  <c r="G290" i="1"/>
  <c r="G289" i="1"/>
  <c r="G288" i="1"/>
  <c r="H292" i="1" s="1"/>
  <c r="H293" i="1" s="1"/>
  <c r="G274" i="1"/>
  <c r="G273" i="1"/>
  <c r="G272" i="1"/>
  <c r="G271" i="1"/>
  <c r="H275" i="1" s="1"/>
  <c r="H276" i="1" s="1"/>
  <c r="G259" i="1"/>
  <c r="G258" i="1"/>
  <c r="G257" i="1"/>
  <c r="G256" i="1"/>
  <c r="H260" i="1" s="1"/>
  <c r="H261" i="1" s="1"/>
  <c r="G245" i="1"/>
  <c r="G244" i="1"/>
  <c r="G243" i="1"/>
  <c r="G242" i="1"/>
  <c r="H246" i="1" s="1"/>
  <c r="H247" i="1" s="1"/>
  <c r="G231" i="1"/>
  <c r="G230" i="1"/>
  <c r="G229" i="1"/>
  <c r="G228" i="1"/>
  <c r="H232" i="1" s="1"/>
  <c r="H233" i="1" s="1"/>
  <c r="G227" i="1"/>
  <c r="G215" i="1"/>
  <c r="G214" i="1"/>
  <c r="G213" i="1"/>
  <c r="G212" i="1"/>
  <c r="H216" i="1" s="1"/>
  <c r="H217" i="1" s="1"/>
  <c r="G199" i="1"/>
  <c r="G198" i="1"/>
  <c r="G197" i="1"/>
  <c r="G196" i="1"/>
  <c r="H200" i="1" s="1"/>
  <c r="H201" i="1" s="1"/>
  <c r="G186" i="1"/>
  <c r="G185" i="1"/>
  <c r="G184" i="1"/>
  <c r="G183" i="1"/>
  <c r="H187" i="1" s="1"/>
  <c r="H188" i="1" s="1"/>
  <c r="G170" i="1"/>
  <c r="G169" i="1"/>
  <c r="G168" i="1"/>
  <c r="G167" i="1"/>
  <c r="H171" i="1" s="1"/>
  <c r="H172" i="1" s="1"/>
  <c r="G153" i="1"/>
  <c r="G152" i="1"/>
  <c r="G151" i="1"/>
  <c r="G150" i="1"/>
  <c r="H154" i="1" s="1"/>
  <c r="H155" i="1" s="1"/>
  <c r="G136" i="1"/>
  <c r="G135" i="1"/>
  <c r="G134" i="1"/>
  <c r="G133" i="1"/>
  <c r="H137" i="1" s="1"/>
  <c r="H138" i="1" s="1"/>
  <c r="G118" i="1"/>
  <c r="G117" i="1"/>
  <c r="G116" i="1"/>
  <c r="G115" i="1"/>
  <c r="H119" i="1" s="1"/>
  <c r="H120" i="1" s="1"/>
  <c r="G102" i="1"/>
  <c r="G101" i="1"/>
  <c r="G100" i="1"/>
  <c r="G99" i="1"/>
  <c r="H103" i="1" s="1"/>
  <c r="H104" i="1" s="1"/>
  <c r="G88" i="1"/>
  <c r="G87" i="1"/>
  <c r="G86" i="1"/>
  <c r="G85" i="1"/>
  <c r="H89" i="1" s="1"/>
  <c r="H90" i="1" s="1"/>
  <c r="G69" i="1"/>
  <c r="G68" i="1"/>
  <c r="G67" i="1"/>
  <c r="G66" i="1"/>
  <c r="H70" i="1" s="1"/>
  <c r="H71" i="1" s="1"/>
  <c r="G53" i="1"/>
  <c r="G52" i="1"/>
  <c r="G51" i="1"/>
  <c r="G50" i="1"/>
  <c r="H54" i="1" s="1"/>
  <c r="H55" i="1" s="1"/>
  <c r="G37" i="1"/>
  <c r="G36" i="1"/>
  <c r="G35" i="1"/>
  <c r="G34" i="1"/>
  <c r="H38" i="1" s="1"/>
  <c r="H39" i="1" s="1"/>
  <c r="G21" i="1"/>
  <c r="G20" i="1"/>
  <c r="G19" i="1"/>
  <c r="G18" i="1"/>
  <c r="H22" i="1" s="1"/>
  <c r="H23" i="1" s="1"/>
  <c r="G7" i="1"/>
  <c r="G6" i="1"/>
  <c r="G5" i="1"/>
  <c r="G4" i="1"/>
  <c r="H8" i="1" s="1"/>
  <c r="H9" i="1" s="1"/>
  <c r="H1877" i="1" l="1"/>
  <c r="H1878" i="1" s="1"/>
  <c r="H2158" i="1"/>
  <c r="H2159" i="1" s="1"/>
  <c r="H2405" i="1"/>
  <c r="H2406" i="1" s="1"/>
  <c r="H4079" i="1"/>
  <c r="H4080" i="1" s="1"/>
  <c r="H4376" i="1"/>
  <c r="H4377" i="1" s="1"/>
  <c r="H4680" i="1"/>
  <c r="H4681" i="1" s="1"/>
  <c r="H1674" i="1"/>
  <c r="H1675" i="1" s="1"/>
  <c r="H1985" i="1"/>
  <c r="H1986" i="1" s="1"/>
  <c r="H2241" i="1"/>
  <c r="H2242" i="1" s="1"/>
  <c r="H2492" i="1"/>
  <c r="H2493" i="1" s="1"/>
  <c r="H2583" i="1"/>
  <c r="H2584" i="1" s="1"/>
  <c r="H2669" i="1"/>
  <c r="H2670" i="1" s="1"/>
  <c r="H1731" i="1"/>
  <c r="H1732" i="1" s="1"/>
  <c r="H2030" i="1"/>
  <c r="H2031" i="1" s="1"/>
  <c r="H2282" i="1"/>
  <c r="H2283" i="1" s="1"/>
  <c r="H2989" i="1"/>
  <c r="H2990" i="1" s="1"/>
  <c r="H3084" i="1"/>
  <c r="H3085" i="1" s="1"/>
  <c r="H3185" i="1"/>
  <c r="H3186" i="1" s="1"/>
  <c r="H3286" i="1"/>
  <c r="H3287" i="1" s="1"/>
  <c r="H3393" i="1"/>
  <c r="H3394" i="1" s="1"/>
  <c r="H3500" i="1"/>
  <c r="H3501" i="1" s="1"/>
  <c r="H3613" i="1"/>
  <c r="H3614" i="1" s="1"/>
  <c r="H3718" i="1"/>
  <c r="H3719" i="1" s="1"/>
  <c r="H3813" i="1"/>
  <c r="H3814" i="1" s="1"/>
  <c r="H3905" i="1"/>
  <c r="H3906" i="1" s="1"/>
  <c r="H4806" i="1"/>
  <c r="H4807" i="1" s="1"/>
  <c r="H1775" i="1"/>
  <c r="H1776" i="1" s="1"/>
  <c r="H2073" i="1"/>
  <c r="H2074" i="1" s="1"/>
  <c r="H2323" i="1"/>
  <c r="H2324" i="1" s="1"/>
  <c r="H2931" i="1"/>
  <c r="H2932" i="1" s="1"/>
  <c r="H3020" i="1"/>
  <c r="H3021" i="1" s="1"/>
  <c r="H3119" i="1"/>
  <c r="H3120" i="1" s="1"/>
  <c r="H3218" i="1"/>
  <c r="H3219" i="1" s="1"/>
  <c r="H3321" i="1"/>
  <c r="H3322" i="1" s="1"/>
  <c r="H3429" i="1"/>
  <c r="H3430" i="1" s="1"/>
  <c r="H3534" i="1"/>
  <c r="H3535" i="1" s="1"/>
  <c r="H3647" i="1"/>
  <c r="H3648" i="1" s="1"/>
  <c r="H3754" i="1"/>
  <c r="H3755" i="1" s="1"/>
  <c r="H3842" i="1"/>
  <c r="H3843" i="1" s="1"/>
  <c r="H3936" i="1"/>
  <c r="H3937" i="1" s="1"/>
  <c r="H4145" i="1"/>
  <c r="H4146" i="1" s="1"/>
  <c r="H4229" i="1"/>
  <c r="H4230" i="1" s="1"/>
  <c r="H4437" i="1"/>
  <c r="H4438" i="1" s="1"/>
  <c r="H4518" i="1"/>
  <c r="H4519" i="1" s="1"/>
  <c r="H4745" i="1"/>
  <c r="H4746" i="1" s="1"/>
  <c r="H4821" i="1"/>
  <c r="H4822" i="1" s="1"/>
  <c r="H5528" i="1"/>
  <c r="H5529" i="1" s="1"/>
  <c r="H5677" i="1"/>
  <c r="H5678" i="1" s="1"/>
  <c r="H5773" i="1"/>
  <c r="H5774" i="1" s="1"/>
  <c r="H6079" i="1"/>
  <c r="H6080" i="1" s="1"/>
  <c r="H5310" i="1"/>
  <c r="H5311" i="1" s="1"/>
  <c r="H5710" i="1"/>
  <c r="H5711" i="1" s="1"/>
  <c r="H5755" i="1"/>
  <c r="H5756" i="1" s="1"/>
  <c r="H5856" i="1"/>
  <c r="H5857" i="1" s="1"/>
  <c r="H5907" i="1"/>
  <c r="H5908" i="1" s="1"/>
  <c r="H5959" i="1"/>
  <c r="H5960" i="1" s="1"/>
  <c r="H6012" i="1"/>
  <c r="H6013" i="1" s="1"/>
  <c r="H6061" i="1"/>
  <c r="H6062" i="1" s="1"/>
  <c r="H6113" i="1"/>
  <c r="H6114" i="1" s="1"/>
  <c r="H6165" i="1"/>
  <c r="H6166" i="1" s="1"/>
  <c r="H6220" i="1"/>
  <c r="H6221" i="1" s="1"/>
  <c r="H6275" i="1"/>
  <c r="H6276" i="1" s="1"/>
  <c r="H6336" i="1"/>
  <c r="H6337" i="1" s="1"/>
  <c r="H5109" i="1"/>
  <c r="H5110" i="1" s="1"/>
  <c r="H5209" i="1"/>
  <c r="H5210" i="1" s="1"/>
  <c r="H5428" i="1"/>
  <c r="H5429" i="1" s="1"/>
</calcChain>
</file>

<file path=xl/sharedStrings.xml><?xml version="1.0" encoding="utf-8"?>
<sst xmlns="http://schemas.openxmlformats.org/spreadsheetml/2006/main" count="9714" uniqueCount="1804">
  <si>
    <t>فاکتور فروش پارچه اوت لت</t>
  </si>
  <si>
    <t>کد سبد 00101</t>
  </si>
  <si>
    <t>ردیف</t>
  </si>
  <si>
    <t>نام طرح‌ها</t>
  </si>
  <si>
    <t>کد اوت لت</t>
  </si>
  <si>
    <t>جنس پارچه</t>
  </si>
  <si>
    <t>متراژ (متر)</t>
  </si>
  <si>
    <t>قیمت واحد (تومان)</t>
  </si>
  <si>
    <t>جمع  (تومان)</t>
  </si>
  <si>
    <t>پاپیون رزی 6759</t>
  </si>
  <si>
    <t>07865/</t>
  </si>
  <si>
    <t xml:space="preserve">بوگاتی </t>
  </si>
  <si>
    <t>پاپیون خال خالی 6761</t>
  </si>
  <si>
    <t>04236/</t>
  </si>
  <si>
    <t xml:space="preserve">ژاکارد </t>
  </si>
  <si>
    <t>خال خال صورتی 6541</t>
  </si>
  <si>
    <t>03086/</t>
  </si>
  <si>
    <t>هزینه ارسال رایگان</t>
  </si>
  <si>
    <t>جمع کل بدون تخفیف (تومان):</t>
  </si>
  <si>
    <t>سود شما از این فاکتور (تومان):</t>
  </si>
  <si>
    <t>جمع کل با تخفیف (تومان):</t>
  </si>
  <si>
    <t>کد سبد 00102</t>
  </si>
  <si>
    <t>طرح پیتزا مخلوط 6182</t>
  </si>
  <si>
    <t>04245/</t>
  </si>
  <si>
    <t>اسپایدرمن 6831</t>
  </si>
  <si>
    <t>05078/</t>
  </si>
  <si>
    <t>هلو کیتی پاپیون گلبهی 6841</t>
  </si>
  <si>
    <t>06275/</t>
  </si>
  <si>
    <t>کد سبد 00103</t>
  </si>
  <si>
    <t>پینترسی سبز 6780</t>
  </si>
  <si>
    <t>04105/</t>
  </si>
  <si>
    <t>طرح بلبل 5011</t>
  </si>
  <si>
    <t>0581/</t>
  </si>
  <si>
    <t>باغ هزار گل 6811</t>
  </si>
  <si>
    <t>06501/</t>
  </si>
  <si>
    <t>کد سبد 00104</t>
  </si>
  <si>
    <t>پروانه لونا 6858</t>
  </si>
  <si>
    <t>06754/</t>
  </si>
  <si>
    <t>پرنده سبز یلدایی 6766</t>
  </si>
  <si>
    <t>06742/</t>
  </si>
  <si>
    <t>دیور ژاکارد 1533</t>
  </si>
  <si>
    <t>06292/</t>
  </si>
  <si>
    <t>کد سبد 00105</t>
  </si>
  <si>
    <t>بابونه بهشتی شکلاتی 6813</t>
  </si>
  <si>
    <t>04259/</t>
  </si>
  <si>
    <t>کرم تک رنگ 6837</t>
  </si>
  <si>
    <t>06273/</t>
  </si>
  <si>
    <t>باغ هزار گل سرمه ای 6836</t>
  </si>
  <si>
    <t>06277/</t>
  </si>
  <si>
    <t>کد سبد 00106</t>
  </si>
  <si>
    <t>بابونه خالدار ابی 6394</t>
  </si>
  <si>
    <t>04224/</t>
  </si>
  <si>
    <t>گل وپرند 7045</t>
  </si>
  <si>
    <t>02972/</t>
  </si>
  <si>
    <t>کاشی گل ابی 6825</t>
  </si>
  <si>
    <t>0340/</t>
  </si>
  <si>
    <t>کد سبد 00107</t>
  </si>
  <si>
    <t>بابونه شرابی 6750</t>
  </si>
  <si>
    <t>06248/</t>
  </si>
  <si>
    <t>طرح کتیبه ای 3065</t>
  </si>
  <si>
    <t>03879/</t>
  </si>
  <si>
    <t>گل گل صورتی 6847</t>
  </si>
  <si>
    <t>06239/</t>
  </si>
  <si>
    <t>کد سبد 00108</t>
  </si>
  <si>
    <t>04261/</t>
  </si>
  <si>
    <t>پاپیون دانتلی 6809</t>
  </si>
  <si>
    <t>06289/</t>
  </si>
  <si>
    <t>گل وپرنده قرمز یلدایی 6762</t>
  </si>
  <si>
    <t>07888/</t>
  </si>
  <si>
    <t>کد سبد 00109</t>
  </si>
  <si>
    <t>پروانه مورفو6743</t>
  </si>
  <si>
    <t>04247/</t>
  </si>
  <si>
    <t>05096/</t>
  </si>
  <si>
    <t>پاپیون زمینه مشکی 6713</t>
  </si>
  <si>
    <t>06512/</t>
  </si>
  <si>
    <t>کد سبد 00110</t>
  </si>
  <si>
    <t>گیلاس پاپیونی 6724</t>
  </si>
  <si>
    <t>07893/</t>
  </si>
  <si>
    <t>خرگوش صورتی 6667</t>
  </si>
  <si>
    <t>05089/</t>
  </si>
  <si>
    <t>05064/</t>
  </si>
  <si>
    <t>کد سبد 00111</t>
  </si>
  <si>
    <t>گل وپرنده 6329</t>
  </si>
  <si>
    <t>07873/</t>
  </si>
  <si>
    <t>طرح اب رنگی 5011</t>
  </si>
  <si>
    <t>063/</t>
  </si>
  <si>
    <t>06288/</t>
  </si>
  <si>
    <t>کد سبد 00112</t>
  </si>
  <si>
    <t>05120/</t>
  </si>
  <si>
    <t>شکوفه وگنجشک کرمی 6838</t>
  </si>
  <si>
    <t>01127/</t>
  </si>
  <si>
    <t>گل ریز شاخه ای 6789</t>
  </si>
  <si>
    <t>05124/</t>
  </si>
  <si>
    <t>کد سبد 00113</t>
  </si>
  <si>
    <t>06723/</t>
  </si>
  <si>
    <t>0882/</t>
  </si>
  <si>
    <t>01107/</t>
  </si>
  <si>
    <t>کد سبد 00114</t>
  </si>
  <si>
    <t>07903/</t>
  </si>
  <si>
    <t>هلو کیتی 6738</t>
  </si>
  <si>
    <t>04156/</t>
  </si>
  <si>
    <t>طرح انیمه 6523</t>
  </si>
  <si>
    <t>04198/</t>
  </si>
  <si>
    <t>کد سبد 00115</t>
  </si>
  <si>
    <t>بتمن 6830</t>
  </si>
  <si>
    <t>04242/</t>
  </si>
  <si>
    <t>طرح کیتی 6658</t>
  </si>
  <si>
    <t>04188/</t>
  </si>
  <si>
    <t>طرح موزی 6010</t>
  </si>
  <si>
    <t>07884/</t>
  </si>
  <si>
    <t>چهار خونه قرمز 6832</t>
  </si>
  <si>
    <t>05093/</t>
  </si>
  <si>
    <t>کد سبد 00116</t>
  </si>
  <si>
    <t>گل کریستال 6854</t>
  </si>
  <si>
    <t>06752/</t>
  </si>
  <si>
    <t>0244/</t>
  </si>
  <si>
    <t>چهل تیکه سرخ 6817</t>
  </si>
  <si>
    <t>01545/</t>
  </si>
  <si>
    <t>کد سبد 00117</t>
  </si>
  <si>
    <t>06272/</t>
  </si>
  <si>
    <t>06287/</t>
  </si>
  <si>
    <t>دسته گل کرمی 6781</t>
  </si>
  <si>
    <t>02515/</t>
  </si>
  <si>
    <t>کد سبد 00118</t>
  </si>
  <si>
    <t>0914/</t>
  </si>
  <si>
    <t>شکوفه صورتی پودری 6864</t>
  </si>
  <si>
    <t>06730/</t>
  </si>
  <si>
    <t>07905/</t>
  </si>
  <si>
    <t>کد سبد 00119</t>
  </si>
  <si>
    <t>06706/</t>
  </si>
  <si>
    <t>بابونه ابی ریز 6727</t>
  </si>
  <si>
    <t>03877/</t>
  </si>
  <si>
    <t>ابی تک رنگ 6887</t>
  </si>
  <si>
    <t>0198/</t>
  </si>
  <si>
    <t>کد سبد 00120</t>
  </si>
  <si>
    <t>06751/</t>
  </si>
  <si>
    <t>پاپیون درشت 6769</t>
  </si>
  <si>
    <t>05066/</t>
  </si>
  <si>
    <t>07871/</t>
  </si>
  <si>
    <t>کد سبد 00121</t>
  </si>
  <si>
    <t>پاپیون درشت مشکی 6861</t>
  </si>
  <si>
    <t>04253/</t>
  </si>
  <si>
    <t>شکوفه کاراملی 6835</t>
  </si>
  <si>
    <t>077/</t>
  </si>
  <si>
    <t>پروانه مونلا 6863</t>
  </si>
  <si>
    <t>06699/</t>
  </si>
  <si>
    <t>کد سبد 00122</t>
  </si>
  <si>
    <t>0919/</t>
  </si>
  <si>
    <t>036/</t>
  </si>
  <si>
    <t>بابونه بهشتی زرد 6739</t>
  </si>
  <si>
    <t>05116/</t>
  </si>
  <si>
    <t>کد سبد 00123</t>
  </si>
  <si>
    <t>پاپیون راه راه شکلاتی 6871</t>
  </si>
  <si>
    <t>06697/</t>
  </si>
  <si>
    <t>قلب شکلاتی 6826</t>
  </si>
  <si>
    <t>0968/</t>
  </si>
  <si>
    <t>04248/</t>
  </si>
  <si>
    <t>کد سبد 00124</t>
  </si>
  <si>
    <t>05076/</t>
  </si>
  <si>
    <t>گل زنبق 6790</t>
  </si>
  <si>
    <t>0246/</t>
  </si>
  <si>
    <t>06394/</t>
  </si>
  <si>
    <t>کد سبد 00125</t>
  </si>
  <si>
    <t>گیلاس مشکی 6715</t>
  </si>
  <si>
    <t>07902/</t>
  </si>
  <si>
    <t>075/</t>
  </si>
  <si>
    <t>پاپیون مشکی خالدار 6692</t>
  </si>
  <si>
    <t>01685/</t>
  </si>
  <si>
    <t>کد سبد 00126</t>
  </si>
  <si>
    <t>تک رنگ سبز ماچا 6867</t>
  </si>
  <si>
    <t>05121/</t>
  </si>
  <si>
    <t>026/</t>
  </si>
  <si>
    <t>مه گل 6850</t>
  </si>
  <si>
    <t>06286/</t>
  </si>
  <si>
    <t>کد سبد 00127</t>
  </si>
  <si>
    <t>شکوفه های رنگی 6814</t>
  </si>
  <si>
    <t>06794/</t>
  </si>
  <si>
    <t>پروانه بهاری 6701</t>
  </si>
  <si>
    <t>0320/</t>
  </si>
  <si>
    <t>بابونه راه راه 6702</t>
  </si>
  <si>
    <t>04262/</t>
  </si>
  <si>
    <t>کد سبد 00128</t>
  </si>
  <si>
    <t>06276/</t>
  </si>
  <si>
    <t>پروانه کهکشانی 6846</t>
  </si>
  <si>
    <t>0960/</t>
  </si>
  <si>
    <t>ونگوک 5096</t>
  </si>
  <si>
    <t>0950/</t>
  </si>
  <si>
    <t>کد سبد 00129</t>
  </si>
  <si>
    <t>طرح گل وگلی 6187</t>
  </si>
  <si>
    <t>04183/</t>
  </si>
  <si>
    <t>پاپیون خالدار ریز 6856</t>
  </si>
  <si>
    <t>04347/</t>
  </si>
  <si>
    <t>04177/</t>
  </si>
  <si>
    <t>کد سبد 00130</t>
  </si>
  <si>
    <t>طرح لیمو 2064</t>
  </si>
  <si>
    <t>04238/</t>
  </si>
  <si>
    <t>طرح زنان قاجار 3070</t>
  </si>
  <si>
    <t>0927/</t>
  </si>
  <si>
    <t>08342/</t>
  </si>
  <si>
    <t>کد سبد 00131</t>
  </si>
  <si>
    <t>بابونه کیوت 6736 یاسی</t>
  </si>
  <si>
    <t>04251/</t>
  </si>
  <si>
    <t>کد سبد 00132</t>
  </si>
  <si>
    <t>پروانه شاینی 6525</t>
  </si>
  <si>
    <t>06243/</t>
  </si>
  <si>
    <t>گوچی بافت دار 6313</t>
  </si>
  <si>
    <t>کد سبد 00133</t>
  </si>
  <si>
    <t>07885/</t>
  </si>
  <si>
    <t>گل وپرنده زمردی 6843</t>
  </si>
  <si>
    <t>03887/</t>
  </si>
  <si>
    <t>07376/</t>
  </si>
  <si>
    <t>کد سبد 00134</t>
  </si>
  <si>
    <t>0153/</t>
  </si>
  <si>
    <t>پروانه و گل مینیاتوری 6786</t>
  </si>
  <si>
    <t>کد سبد 00135</t>
  </si>
  <si>
    <t>بابونه زرشکی 6758</t>
  </si>
  <si>
    <t>04342/</t>
  </si>
  <si>
    <t>01460/</t>
  </si>
  <si>
    <t>طرح گل وپرنده 6329</t>
  </si>
  <si>
    <t>04228/</t>
  </si>
  <si>
    <t>کد سبد 00136</t>
  </si>
  <si>
    <t>06619/</t>
  </si>
  <si>
    <t>04213/</t>
  </si>
  <si>
    <t>030/</t>
  </si>
  <si>
    <t>کد سبد 00137</t>
  </si>
  <si>
    <t>گل ابی ملیح 6776</t>
  </si>
  <si>
    <t>بابونه بهشتی سبز 6732</t>
  </si>
  <si>
    <t>کد سبد 00138</t>
  </si>
  <si>
    <t>باندانا مشکی 5065</t>
  </si>
  <si>
    <t>07402/</t>
  </si>
  <si>
    <t>06735/</t>
  </si>
  <si>
    <t>کد سبد 00139</t>
  </si>
  <si>
    <t>04169/</t>
  </si>
  <si>
    <t>ژاکارد</t>
  </si>
  <si>
    <t>0329/</t>
  </si>
  <si>
    <t>کد سبد 00140</t>
  </si>
  <si>
    <t>06726/</t>
  </si>
  <si>
    <t>0608/</t>
  </si>
  <si>
    <t>08307/</t>
  </si>
  <si>
    <t>کد سبد 00141</t>
  </si>
  <si>
    <t>07854/</t>
  </si>
  <si>
    <t>06511/</t>
  </si>
  <si>
    <t>طرح گل 5039</t>
  </si>
  <si>
    <t>08333/</t>
  </si>
  <si>
    <t>کد سبد 00142</t>
  </si>
  <si>
    <t>لوگو باربی 3033</t>
  </si>
  <si>
    <t>04174/</t>
  </si>
  <si>
    <t>لبوبو ابی مه الود 6881</t>
  </si>
  <si>
    <t>05119/</t>
  </si>
  <si>
    <t>کیتی پاپیون 6172</t>
  </si>
  <si>
    <t>08350/</t>
  </si>
  <si>
    <t>کد سبد 00143</t>
  </si>
  <si>
    <t>بابونه زمینه مشکی 6719</t>
  </si>
  <si>
    <t>03871/</t>
  </si>
  <si>
    <t>05097/</t>
  </si>
  <si>
    <t>06740/</t>
  </si>
  <si>
    <t>کد سبد 00144</t>
  </si>
  <si>
    <t>طرح بابونه 3058</t>
  </si>
  <si>
    <t>07870/</t>
  </si>
  <si>
    <t>057/</t>
  </si>
  <si>
    <t>گل وبته 6810</t>
  </si>
  <si>
    <t>08344/</t>
  </si>
  <si>
    <t>کد سبد 00145</t>
  </si>
  <si>
    <t>06700/</t>
  </si>
  <si>
    <t>01121/</t>
  </si>
  <si>
    <t>06780/</t>
  </si>
  <si>
    <t>کد سبد 00146</t>
  </si>
  <si>
    <t>04349/</t>
  </si>
  <si>
    <t>فرش ایرانی 6804</t>
  </si>
  <si>
    <t>07484/</t>
  </si>
  <si>
    <t>پروانه الماسی 6690</t>
  </si>
  <si>
    <t>کد سبد 00147</t>
  </si>
  <si>
    <t>گل سرخ ریز 6745</t>
  </si>
  <si>
    <t>06389/</t>
  </si>
  <si>
    <t>زنانه قاجار 3070</t>
  </si>
  <si>
    <t>03874/</t>
  </si>
  <si>
    <t>بابونه ریز سرمه ای 6740</t>
  </si>
  <si>
    <t>کد سبد 00148</t>
  </si>
  <si>
    <t>گل و بته 6810</t>
  </si>
  <si>
    <t>پروانه مورفو 6743</t>
  </si>
  <si>
    <t>طرح گل ابی 5001</t>
  </si>
  <si>
    <t>04167/</t>
  </si>
  <si>
    <t>کد سبد 00149</t>
  </si>
  <si>
    <t>تدی کرمی 6771</t>
  </si>
  <si>
    <t>04201/</t>
  </si>
  <si>
    <t>06743/</t>
  </si>
  <si>
    <t>پاپیون شکلاتی 6833</t>
  </si>
  <si>
    <t>04292/</t>
  </si>
  <si>
    <t>کد سبد 00150</t>
  </si>
  <si>
    <t>باغ هزارگل 6811</t>
  </si>
  <si>
    <t>پروانه رویایی 6675 سبز</t>
  </si>
  <si>
    <t>کد سبد 00151</t>
  </si>
  <si>
    <t>لیمو طوطی 6859</t>
  </si>
  <si>
    <t>06707/</t>
  </si>
  <si>
    <t>01436/</t>
  </si>
  <si>
    <t>گیلاسی مشکی 6715</t>
  </si>
  <si>
    <t>06750/</t>
  </si>
  <si>
    <t>کد سبد 00152</t>
  </si>
  <si>
    <t xml:space="preserve"> پروانه طلایی 6768</t>
  </si>
  <si>
    <t>07869/</t>
  </si>
  <si>
    <t>01469/</t>
  </si>
  <si>
    <t>کد سبد 00153</t>
  </si>
  <si>
    <t>06266/</t>
  </si>
  <si>
    <t>01426/</t>
  </si>
  <si>
    <t>کد سبد 00154</t>
  </si>
  <si>
    <t>پروانه مرغ بهاری 6674</t>
  </si>
  <si>
    <t>06704/</t>
  </si>
  <si>
    <t>0964/</t>
  </si>
  <si>
    <t>کد سبد 00155</t>
  </si>
  <si>
    <t>پروانه رویایی بنفش 6675</t>
  </si>
  <si>
    <t>04267/</t>
  </si>
  <si>
    <t>090/</t>
  </si>
  <si>
    <t>کد سبد 00156</t>
  </si>
  <si>
    <t>06695/</t>
  </si>
  <si>
    <t>01238/</t>
  </si>
  <si>
    <t>کد سبد 00157</t>
  </si>
  <si>
    <t>06392/</t>
  </si>
  <si>
    <t>06505/</t>
  </si>
  <si>
    <t>کد سبد 00158</t>
  </si>
  <si>
    <t>پاپیون راه راه صورتی 6872</t>
  </si>
  <si>
    <t>06711/</t>
  </si>
  <si>
    <t>05079/</t>
  </si>
  <si>
    <t>کد سبد 00159</t>
  </si>
  <si>
    <t>05086/</t>
  </si>
  <si>
    <t>لبوبو ماچا 6880</t>
  </si>
  <si>
    <t>06702/</t>
  </si>
  <si>
    <t>کد سبد 00160</t>
  </si>
  <si>
    <t>06722/</t>
  </si>
  <si>
    <t>06732/</t>
  </si>
  <si>
    <t>کد سبد 00161</t>
  </si>
  <si>
    <t>شکوفه ریز سرمه ای 6748</t>
  </si>
  <si>
    <t>06399/</t>
  </si>
  <si>
    <t>0669/</t>
  </si>
  <si>
    <t>کد سبد 00162</t>
  </si>
  <si>
    <t>07875/</t>
  </si>
  <si>
    <t>06493/</t>
  </si>
  <si>
    <t>کد سبد 00163</t>
  </si>
  <si>
    <t>07867/</t>
  </si>
  <si>
    <t>01117/</t>
  </si>
  <si>
    <t>کد سبد 00164</t>
  </si>
  <si>
    <t>پاپیون راه راه ابی 6874</t>
  </si>
  <si>
    <t>06703/</t>
  </si>
  <si>
    <t>06503/</t>
  </si>
  <si>
    <t>کد سبد 00165</t>
  </si>
  <si>
    <t>06487/</t>
  </si>
  <si>
    <t>06513/</t>
  </si>
  <si>
    <t>کد سبد 00166</t>
  </si>
  <si>
    <t>تک رنگ صورتی پودری 6865</t>
  </si>
  <si>
    <t>06721/</t>
  </si>
  <si>
    <t>06496/</t>
  </si>
  <si>
    <t>کد سبد 00167</t>
  </si>
  <si>
    <t>گل رز صورتی 6774</t>
  </si>
  <si>
    <t>04250/</t>
  </si>
  <si>
    <t>05098/</t>
  </si>
  <si>
    <t>کد سبد 00168</t>
  </si>
  <si>
    <t>رز بزرگ سفید 6735</t>
  </si>
  <si>
    <t>04243/</t>
  </si>
  <si>
    <t>0955/</t>
  </si>
  <si>
    <t>کد سبد 00169</t>
  </si>
  <si>
    <t>طرح اناری ریز 5060</t>
  </si>
  <si>
    <t>07868/</t>
  </si>
  <si>
    <t>پاپیون گیپور مشکی 6870</t>
  </si>
  <si>
    <t>06727/</t>
  </si>
  <si>
    <t>کد سبد 00170</t>
  </si>
  <si>
    <t>طرح ابری 6550</t>
  </si>
  <si>
    <t>07852/</t>
  </si>
  <si>
    <t>05106/</t>
  </si>
  <si>
    <t>کد سبد 00171</t>
  </si>
  <si>
    <t>04254/</t>
  </si>
  <si>
    <t>01443/</t>
  </si>
  <si>
    <t>کد سبد 00172</t>
  </si>
  <si>
    <t>04257/</t>
  </si>
  <si>
    <t>06254/</t>
  </si>
  <si>
    <t>کد سبد 00173</t>
  </si>
  <si>
    <t>پاپیون مرواریدی 6860</t>
  </si>
  <si>
    <t>06258/</t>
  </si>
  <si>
    <t>پاپیون مشکی کیوت 6726</t>
  </si>
  <si>
    <t>04211/</t>
  </si>
  <si>
    <t>کد سبد 00174</t>
  </si>
  <si>
    <t>گل پرنده 7045</t>
  </si>
  <si>
    <t>05118/</t>
  </si>
  <si>
    <t>باغ هزار گل6811</t>
  </si>
  <si>
    <t>03880/</t>
  </si>
  <si>
    <t>کد سبد 00175</t>
  </si>
  <si>
    <t>قلبی ریز 6857</t>
  </si>
  <si>
    <t>06268/</t>
  </si>
  <si>
    <t>01687/</t>
  </si>
  <si>
    <t>کد سبد 00176</t>
  </si>
  <si>
    <t>06296/</t>
  </si>
  <si>
    <t>05101/</t>
  </si>
  <si>
    <t>کد سبد 00177</t>
  </si>
  <si>
    <t>05113/</t>
  </si>
  <si>
    <t>06259/</t>
  </si>
  <si>
    <t>کد سبد 00178</t>
  </si>
  <si>
    <t>06390/</t>
  </si>
  <si>
    <t>05099/</t>
  </si>
  <si>
    <t>کد سبد 00179</t>
  </si>
  <si>
    <t>06270/</t>
  </si>
  <si>
    <t>06285/</t>
  </si>
  <si>
    <t>کد سبد 00180</t>
  </si>
  <si>
    <t>06257/</t>
  </si>
  <si>
    <t>گل ترنج زرد 6824</t>
  </si>
  <si>
    <t>05088/</t>
  </si>
  <si>
    <t>کد سبد 00181</t>
  </si>
  <si>
    <t>گیلاس 2047</t>
  </si>
  <si>
    <t>04200/</t>
  </si>
  <si>
    <t>بلبل کرمی 6845</t>
  </si>
  <si>
    <t>کد سبد 00182</t>
  </si>
  <si>
    <t>لیمو 7038</t>
  </si>
  <si>
    <t>04168/</t>
  </si>
  <si>
    <t>کد سبد 00183</t>
  </si>
  <si>
    <t>گل و بلبل 6699</t>
  </si>
  <si>
    <t>04352/</t>
  </si>
  <si>
    <t>بوگاتی</t>
  </si>
  <si>
    <t>05077/</t>
  </si>
  <si>
    <t>کد سبد 00184</t>
  </si>
  <si>
    <t>گل 5005</t>
  </si>
  <si>
    <t>07815/</t>
  </si>
  <si>
    <t>گل ابی 5009</t>
  </si>
  <si>
    <t>کد سبد 00185</t>
  </si>
  <si>
    <t>رز بزرگ  مشکی 6731</t>
  </si>
  <si>
    <t>کد سبد 00186</t>
  </si>
  <si>
    <t>گل پینترستی سبز 6780</t>
  </si>
  <si>
    <t>08148/</t>
  </si>
  <si>
    <t>کد سبد 00187</t>
  </si>
  <si>
    <t>08144/</t>
  </si>
  <si>
    <t>ترنج زرد 6824</t>
  </si>
  <si>
    <t>08045/</t>
  </si>
  <si>
    <t>کد سبد 00188</t>
  </si>
  <si>
    <t>بابونه ریز ابی 6727</t>
  </si>
  <si>
    <t>07816/</t>
  </si>
  <si>
    <t>08072/</t>
  </si>
  <si>
    <t>کد سبد 00189</t>
  </si>
  <si>
    <t>07795/</t>
  </si>
  <si>
    <t>08171/</t>
  </si>
  <si>
    <t>کد سبد 00190</t>
  </si>
  <si>
    <t>بابونه گلبهی 6734</t>
  </si>
  <si>
    <t>07826/</t>
  </si>
  <si>
    <t>08179/</t>
  </si>
  <si>
    <t>کد سبد 00191</t>
  </si>
  <si>
    <t>07895/</t>
  </si>
  <si>
    <t>06280/</t>
  </si>
  <si>
    <t>پروانه طلایی 6768</t>
  </si>
  <si>
    <t>06398/</t>
  </si>
  <si>
    <t>کد سبد 00192</t>
  </si>
  <si>
    <t>06725/</t>
  </si>
  <si>
    <t>طرح گل 5006</t>
  </si>
  <si>
    <t>01453/</t>
  </si>
  <si>
    <t>07894/</t>
  </si>
  <si>
    <t>کد سبد 00193</t>
  </si>
  <si>
    <t>07892/</t>
  </si>
  <si>
    <t>01131/</t>
  </si>
  <si>
    <t>باغ هزارگل سرمه ای 6836</t>
  </si>
  <si>
    <t>06498/</t>
  </si>
  <si>
    <t>کد سبد 00194</t>
  </si>
  <si>
    <t>شکوفه پرنده یلدایی قرمز 6765</t>
  </si>
  <si>
    <t>05122/</t>
  </si>
  <si>
    <t>01538/</t>
  </si>
  <si>
    <t>01103/</t>
  </si>
  <si>
    <t>کد سبد 00195</t>
  </si>
  <si>
    <t>باغ پرنده 6840</t>
  </si>
  <si>
    <t>03873/</t>
  </si>
  <si>
    <t>0254/</t>
  </si>
  <si>
    <t>باغ گل صورتی 6742</t>
  </si>
  <si>
    <t>07857/</t>
  </si>
  <si>
    <t>کد سبد 00196</t>
  </si>
  <si>
    <t>06696/</t>
  </si>
  <si>
    <t>0100/</t>
  </si>
  <si>
    <t>01583/</t>
  </si>
  <si>
    <t>کد سبد 00197</t>
  </si>
  <si>
    <t>07897/</t>
  </si>
  <si>
    <t>06514/</t>
  </si>
  <si>
    <t>08336/</t>
  </si>
  <si>
    <t>کد سبد 00198</t>
  </si>
  <si>
    <t>06698/</t>
  </si>
  <si>
    <t>06734/</t>
  </si>
  <si>
    <t>04232/</t>
  </si>
  <si>
    <t>کد سبد 00199</t>
  </si>
  <si>
    <t>بابونه ریز سورمه ای 6740</t>
  </si>
  <si>
    <t>07811/</t>
  </si>
  <si>
    <t>کتیبه ا ی 3065</t>
  </si>
  <si>
    <t>08041/</t>
  </si>
  <si>
    <t>پینترستی سبز 6780</t>
  </si>
  <si>
    <t>07597/</t>
  </si>
  <si>
    <t>کد سبد 00200</t>
  </si>
  <si>
    <t>آدمک مشکی 6336</t>
  </si>
  <si>
    <t>07787/</t>
  </si>
  <si>
    <t>08054/</t>
  </si>
  <si>
    <t>پاپیون ترندی 6744</t>
  </si>
  <si>
    <t>08089/</t>
  </si>
  <si>
    <t>کد سبد 00201</t>
  </si>
  <si>
    <t>ابرنگی 5011</t>
  </si>
  <si>
    <t>کد سبد 00202</t>
  </si>
  <si>
    <t>طرح دایناسور 6194</t>
  </si>
  <si>
    <t>06588/</t>
  </si>
  <si>
    <t>کد سبد 00203</t>
  </si>
  <si>
    <t>04153/</t>
  </si>
  <si>
    <t>کد سبد 00204</t>
  </si>
  <si>
    <t>ماربل رنگی 6682</t>
  </si>
  <si>
    <t>کد سبد 00205</t>
  </si>
  <si>
    <t>کد سبد 00206</t>
  </si>
  <si>
    <t>کد سبد 00207</t>
  </si>
  <si>
    <t>لویی ویتون زمینه کرم 6195</t>
  </si>
  <si>
    <t>کد سبد 00208</t>
  </si>
  <si>
    <t>پروانه پاپیونی 6782</t>
  </si>
  <si>
    <t>کد سبد 00209</t>
  </si>
  <si>
    <t>کد سبد 00210</t>
  </si>
  <si>
    <t>کد سبد 00211</t>
  </si>
  <si>
    <t>چشم نظر 2024</t>
  </si>
  <si>
    <t>ژاکاردی</t>
  </si>
  <si>
    <t>کد سبد 00212</t>
  </si>
  <si>
    <t>زبرا شکلاتی 6808</t>
  </si>
  <si>
    <t>کد سبد 00213</t>
  </si>
  <si>
    <t>شکوفه و پرنده یلدایی 6765</t>
  </si>
  <si>
    <t>07796/</t>
  </si>
  <si>
    <t>گل وینتیج 6806</t>
  </si>
  <si>
    <t>08070/</t>
  </si>
  <si>
    <t>کد سبد 00214</t>
  </si>
  <si>
    <t>08183/</t>
  </si>
  <si>
    <t>07230/</t>
  </si>
  <si>
    <t>.</t>
  </si>
  <si>
    <t>کد سبد 00215</t>
  </si>
  <si>
    <t>06185/</t>
  </si>
  <si>
    <t>کد سبد 00216</t>
  </si>
  <si>
    <t>گل 5004</t>
  </si>
  <si>
    <t>06353/</t>
  </si>
  <si>
    <t>گکاشی گل ابی 6825</t>
  </si>
  <si>
    <t>06193/</t>
  </si>
  <si>
    <t>کد سبد 00217</t>
  </si>
  <si>
    <t>پاپیون گلی ریز 6862</t>
  </si>
  <si>
    <t>07916/</t>
  </si>
  <si>
    <t>03795/</t>
  </si>
  <si>
    <t>کد سبد 00218</t>
  </si>
  <si>
    <t>بابونه ابی ریز سورمه ای 6740</t>
  </si>
  <si>
    <t>08007/</t>
  </si>
  <si>
    <t>کد سبد 00219</t>
  </si>
  <si>
    <t>چهارخونه صورتی باربی 6539</t>
  </si>
  <si>
    <t>08161/</t>
  </si>
  <si>
    <t>07214/</t>
  </si>
  <si>
    <t>کد سبد 0220</t>
  </si>
  <si>
    <t>07945/</t>
  </si>
  <si>
    <t>چهارخونه قرمز 6832</t>
  </si>
  <si>
    <t>06159/</t>
  </si>
  <si>
    <t>کد سبد 0221</t>
  </si>
  <si>
    <t>07363/</t>
  </si>
  <si>
    <t>کاشی پرنده  6686</t>
  </si>
  <si>
    <t>03798/</t>
  </si>
  <si>
    <t>کد سبد 0222</t>
  </si>
  <si>
    <t>07939/</t>
  </si>
  <si>
    <t>باغ هزار گل سورمه ای 6836</t>
  </si>
  <si>
    <t>07289/</t>
  </si>
  <si>
    <t>کد سبد 00223</t>
  </si>
  <si>
    <t>گل پینترستی ابی 6775</t>
  </si>
  <si>
    <t>07913/</t>
  </si>
  <si>
    <t>08178/</t>
  </si>
  <si>
    <t>کد سبد 00224</t>
  </si>
  <si>
    <t>07366/</t>
  </si>
  <si>
    <t>03765/</t>
  </si>
  <si>
    <t>کد سبد 00225</t>
  </si>
  <si>
    <t>07909/</t>
  </si>
  <si>
    <t>بلبل 5011</t>
  </si>
  <si>
    <t>07719/</t>
  </si>
  <si>
    <t>کد سبد 00226</t>
  </si>
  <si>
    <t>پاپیون زمینه سفید 6712</t>
  </si>
  <si>
    <t>07314/</t>
  </si>
  <si>
    <t>08004/</t>
  </si>
  <si>
    <t>کد سبد 00227</t>
  </si>
  <si>
    <t>06142/</t>
  </si>
  <si>
    <t>08025/</t>
  </si>
  <si>
    <t>کد سبد 00228</t>
  </si>
  <si>
    <t>07931/</t>
  </si>
  <si>
    <t>گل رز صورتی 6714</t>
  </si>
  <si>
    <t>07212/</t>
  </si>
  <si>
    <t>کد سبد 00229</t>
  </si>
  <si>
    <t>06313/</t>
  </si>
  <si>
    <t>بلبل بهاری 6807</t>
  </si>
  <si>
    <t>07716/</t>
  </si>
  <si>
    <t>کد سبد 00230</t>
  </si>
  <si>
    <t>پروانه و مرغ بهاری 6674</t>
  </si>
  <si>
    <t>07205/</t>
  </si>
  <si>
    <t>03774/</t>
  </si>
  <si>
    <t>کد سبد 00231</t>
  </si>
  <si>
    <t>طاووس آبی 6842</t>
  </si>
  <si>
    <t>07201/</t>
  </si>
  <si>
    <t>06331/</t>
  </si>
  <si>
    <t>کد سبد 00232</t>
  </si>
  <si>
    <t>ابنباتی 3087</t>
  </si>
  <si>
    <t>07717/</t>
  </si>
  <si>
    <t>06310/</t>
  </si>
  <si>
    <t>کد سبد 00233</t>
  </si>
  <si>
    <t>چهارخونه 6358</t>
  </si>
  <si>
    <t>04246/</t>
  </si>
  <si>
    <t>08001/</t>
  </si>
  <si>
    <t>کد سبد 00234</t>
  </si>
  <si>
    <t>08003/</t>
  </si>
  <si>
    <t>کد سبد 00235</t>
  </si>
  <si>
    <t>06348/</t>
  </si>
  <si>
    <t>08000/</t>
  </si>
  <si>
    <t>زاکارد</t>
  </si>
  <si>
    <t>کد سبد 00236</t>
  </si>
  <si>
    <t>06333/</t>
  </si>
  <si>
    <t>گل 5039</t>
  </si>
  <si>
    <t>08023/</t>
  </si>
  <si>
    <t>کد سبد 00237</t>
  </si>
  <si>
    <t>0799/</t>
  </si>
  <si>
    <t>06373/</t>
  </si>
  <si>
    <t>کد سبد 00238</t>
  </si>
  <si>
    <t>مینی و موس و گوچی 6054</t>
  </si>
  <si>
    <t>07347/</t>
  </si>
  <si>
    <t>07912/</t>
  </si>
  <si>
    <t>کد سبد 00239</t>
  </si>
  <si>
    <t>08143/</t>
  </si>
  <si>
    <t>08165/</t>
  </si>
  <si>
    <t>کد سبد 00240</t>
  </si>
  <si>
    <t>06354/</t>
  </si>
  <si>
    <t>هرمس سرخابی 6685</t>
  </si>
  <si>
    <t>06375/</t>
  </si>
  <si>
    <t>کد سبد 00241</t>
  </si>
  <si>
    <t>06182/</t>
  </si>
  <si>
    <t>06139/</t>
  </si>
  <si>
    <t>کد سبد 00242</t>
  </si>
  <si>
    <t>گل و بلبل ابی 6012</t>
  </si>
  <si>
    <t>07933/</t>
  </si>
  <si>
    <t>06149/</t>
  </si>
  <si>
    <t>کد سبد 00243</t>
  </si>
  <si>
    <t>گل 5038</t>
  </si>
  <si>
    <t>06378/</t>
  </si>
  <si>
    <t>06147/</t>
  </si>
  <si>
    <t>کد سبد 00244</t>
  </si>
  <si>
    <t>پاپیون لند 6855</t>
  </si>
  <si>
    <t>06170/</t>
  </si>
  <si>
    <t>06135/</t>
  </si>
  <si>
    <t>کد سبد 00245</t>
  </si>
  <si>
    <t>06191/</t>
  </si>
  <si>
    <t>06148/</t>
  </si>
  <si>
    <t>کد سبد 00246</t>
  </si>
  <si>
    <t>06176/</t>
  </si>
  <si>
    <t>کد سبد 00247</t>
  </si>
  <si>
    <t>07547/</t>
  </si>
  <si>
    <t>06178/</t>
  </si>
  <si>
    <t>کد سبد 00248</t>
  </si>
  <si>
    <t>اناری ریز 5060</t>
  </si>
  <si>
    <t>07561/</t>
  </si>
  <si>
    <t>07947/</t>
  </si>
  <si>
    <t>کد سبد 00249</t>
  </si>
  <si>
    <t>06171/</t>
  </si>
  <si>
    <t>کد سبد 00250</t>
  </si>
  <si>
    <t>07319/</t>
  </si>
  <si>
    <t>دیپلمات مشکی سفید 6543</t>
  </si>
  <si>
    <t>07450/</t>
  </si>
  <si>
    <t>کد سبد 00251</t>
  </si>
  <si>
    <t>07552/</t>
  </si>
  <si>
    <t>گل و پرنده زمردی 6843</t>
  </si>
  <si>
    <t>08176/</t>
  </si>
  <si>
    <t>کد سبد 00252</t>
  </si>
  <si>
    <t>07342/</t>
  </si>
  <si>
    <t>06138/</t>
  </si>
  <si>
    <t>کد سبد 00253</t>
  </si>
  <si>
    <t>07946/</t>
  </si>
  <si>
    <t>شکوفه کارامل 6835</t>
  </si>
  <si>
    <t>کد سبد 00254</t>
  </si>
  <si>
    <t>07442/</t>
  </si>
  <si>
    <t>07224/</t>
  </si>
  <si>
    <t>کد سبد 00255</t>
  </si>
  <si>
    <t>07937/</t>
  </si>
  <si>
    <t>07222/</t>
  </si>
  <si>
    <t>کد سبد 00256</t>
  </si>
  <si>
    <t>07445/</t>
  </si>
  <si>
    <t>گل 5006</t>
  </si>
  <si>
    <t>07444/</t>
  </si>
  <si>
    <t>کد سبد 00257</t>
  </si>
  <si>
    <t>07413/</t>
  </si>
  <si>
    <t>08028/</t>
  </si>
  <si>
    <t>کد سبد 00258</t>
  </si>
  <si>
    <t>07408/</t>
  </si>
  <si>
    <t>06192/</t>
  </si>
  <si>
    <t>کد سبد 00259</t>
  </si>
  <si>
    <t>07320/</t>
  </si>
  <si>
    <t>06311/</t>
  </si>
  <si>
    <t>کد سبد 00260</t>
  </si>
  <si>
    <t>گل زرد نارنجی 6733</t>
  </si>
  <si>
    <t>08192/</t>
  </si>
  <si>
    <t>03816/</t>
  </si>
  <si>
    <t>کد سبد 00261</t>
  </si>
  <si>
    <t>گل سبز ریز 6785</t>
  </si>
  <si>
    <t>07449/</t>
  </si>
  <si>
    <t>کد سبد 00262</t>
  </si>
  <si>
    <t>06160/</t>
  </si>
  <si>
    <t>گوچی گلدار 6752</t>
  </si>
  <si>
    <t>06183/</t>
  </si>
  <si>
    <t>کد سبد 00263</t>
  </si>
  <si>
    <t>06317/</t>
  </si>
  <si>
    <t>07439/</t>
  </si>
  <si>
    <t>کد سبد 00264</t>
  </si>
  <si>
    <t>07209/</t>
  </si>
  <si>
    <t>07219/</t>
  </si>
  <si>
    <t>کد سبد 00265</t>
  </si>
  <si>
    <t>06154/</t>
  </si>
  <si>
    <t>07429/</t>
  </si>
  <si>
    <t>کد سبد 00266</t>
  </si>
  <si>
    <t>06143/</t>
  </si>
  <si>
    <t>07436/</t>
  </si>
  <si>
    <t>کد سبد 00267</t>
  </si>
  <si>
    <t>07914/</t>
  </si>
  <si>
    <t>08018/</t>
  </si>
  <si>
    <t>کد سبد 00268</t>
  </si>
  <si>
    <t>07910/</t>
  </si>
  <si>
    <t>08164/</t>
  </si>
  <si>
    <t>کد سبد 00269</t>
  </si>
  <si>
    <t>رز بزرگ مشکی 6731</t>
  </si>
  <si>
    <t>07406/</t>
  </si>
  <si>
    <t>08034/</t>
  </si>
  <si>
    <t>کد سبد 00270</t>
  </si>
  <si>
    <t>پاپیون خالدار ریز  6856</t>
  </si>
  <si>
    <t>04106/</t>
  </si>
  <si>
    <t>گوچی 6313</t>
  </si>
  <si>
    <t>08011/</t>
  </si>
  <si>
    <t>کد سبد 00271</t>
  </si>
  <si>
    <t>فرش قرمز ایرانی 6804</t>
  </si>
  <si>
    <t>07233/</t>
  </si>
  <si>
    <t>06379/</t>
  </si>
  <si>
    <t>کد سبد 00272</t>
  </si>
  <si>
    <t>07213/</t>
  </si>
  <si>
    <t>08029/</t>
  </si>
  <si>
    <t>کد سبد 00273</t>
  </si>
  <si>
    <t>03762/</t>
  </si>
  <si>
    <t>زبرا 5044</t>
  </si>
  <si>
    <t>08049/</t>
  </si>
  <si>
    <t>کد سبد 00274</t>
  </si>
  <si>
    <t>انار 6071</t>
  </si>
  <si>
    <t>07358/</t>
  </si>
  <si>
    <t>06376/</t>
  </si>
  <si>
    <t>کد سبد 00275</t>
  </si>
  <si>
    <t>بابونه سفید طرح جین 6393</t>
  </si>
  <si>
    <t>07350/</t>
  </si>
  <si>
    <t>کد سبد 00276</t>
  </si>
  <si>
    <t>باغ هزا ر گل سورمه ای 6836</t>
  </si>
  <si>
    <t>06836/</t>
  </si>
  <si>
    <t>07940/</t>
  </si>
  <si>
    <t>کد سبد 00277</t>
  </si>
  <si>
    <t>07304/</t>
  </si>
  <si>
    <t>قلب شکلاتی 6792</t>
  </si>
  <si>
    <t>07936/</t>
  </si>
  <si>
    <t>کد سبد 00278</t>
  </si>
  <si>
    <t>07336/</t>
  </si>
  <si>
    <t>پاپبون دانتلی 6809</t>
  </si>
  <si>
    <t>07923/</t>
  </si>
  <si>
    <t>کد سبد 00279</t>
  </si>
  <si>
    <t>07554/</t>
  </si>
  <si>
    <t>07943/</t>
  </si>
  <si>
    <t>08005/</t>
  </si>
  <si>
    <t>کد سبد 00280</t>
  </si>
  <si>
    <t>07447/</t>
  </si>
  <si>
    <t>شکوفه ریز سورمه ا ی6748</t>
  </si>
  <si>
    <t>06713/</t>
  </si>
  <si>
    <t>کد سبد 00281</t>
  </si>
  <si>
    <t>07305/</t>
  </si>
  <si>
    <t>07225/</t>
  </si>
  <si>
    <t>08033/</t>
  </si>
  <si>
    <t>کد سبد 00282</t>
  </si>
  <si>
    <t>07791/</t>
  </si>
  <si>
    <t>08151/</t>
  </si>
  <si>
    <t>08158/</t>
  </si>
  <si>
    <t>کد سبد 00283</t>
  </si>
  <si>
    <t>پروانه و شکوفه 6818</t>
  </si>
  <si>
    <t>07317/</t>
  </si>
  <si>
    <t>03817/</t>
  </si>
  <si>
    <t>03812/</t>
  </si>
  <si>
    <t>کد سبد 00284</t>
  </si>
  <si>
    <t>پاپیون و گل 6705</t>
  </si>
  <si>
    <t>06321/</t>
  </si>
  <si>
    <t>03796/</t>
  </si>
  <si>
    <t>06809/</t>
  </si>
  <si>
    <t>کد سبد 00285</t>
  </si>
  <si>
    <t>گل ریز ابی 6877</t>
  </si>
  <si>
    <t>06329/</t>
  </si>
  <si>
    <t>03800/</t>
  </si>
  <si>
    <t>06701/</t>
  </si>
  <si>
    <t>کد سبد 00286</t>
  </si>
  <si>
    <t>07404/</t>
  </si>
  <si>
    <t>پاپیون گل ریز 6862</t>
  </si>
  <si>
    <t>07715/</t>
  </si>
  <si>
    <t>08010/</t>
  </si>
  <si>
    <t>کد سبد 00287</t>
  </si>
  <si>
    <t>پروانه موکا 6829</t>
  </si>
  <si>
    <t>07221/</t>
  </si>
  <si>
    <t>گوچی بافت دار بالنسیگا 6754</t>
  </si>
  <si>
    <t>08002/</t>
  </si>
  <si>
    <t>03782/</t>
  </si>
  <si>
    <t>کد سبد 00288</t>
  </si>
  <si>
    <t>پلید پشمی 6178</t>
  </si>
  <si>
    <t>07368/</t>
  </si>
  <si>
    <t>08159/</t>
  </si>
  <si>
    <t>08014/</t>
  </si>
  <si>
    <t>کد سبد 00289</t>
  </si>
  <si>
    <t>07369/</t>
  </si>
  <si>
    <t>08186/</t>
  </si>
  <si>
    <t>06357/</t>
  </si>
  <si>
    <t>کد سبد 00290</t>
  </si>
  <si>
    <t>انار مرواریدی 6777</t>
  </si>
  <si>
    <t>06162/</t>
  </si>
  <si>
    <t>کد سبد 00291</t>
  </si>
  <si>
    <t>گل رز پینترستی 6730</t>
  </si>
  <si>
    <t>06347/</t>
  </si>
  <si>
    <t>07301/</t>
  </si>
  <si>
    <t>کد سبد 00292</t>
  </si>
  <si>
    <t>08200/</t>
  </si>
  <si>
    <t>08058/</t>
  </si>
  <si>
    <t>07807/</t>
  </si>
  <si>
    <t>کد سبد 00293</t>
  </si>
  <si>
    <t>07586/</t>
  </si>
  <si>
    <t>08052/</t>
  </si>
  <si>
    <t>07788/</t>
  </si>
  <si>
    <t>کد سبد 00294</t>
  </si>
  <si>
    <t>07344/</t>
  </si>
  <si>
    <t>04266/</t>
  </si>
  <si>
    <t>کد سبد 00295</t>
  </si>
  <si>
    <t>07348/</t>
  </si>
  <si>
    <t>06350/</t>
  </si>
  <si>
    <t>کد سبد 00296</t>
  </si>
  <si>
    <t>باغ هزار گل سورمه ا ی 6836</t>
  </si>
  <si>
    <t>06370/</t>
  </si>
  <si>
    <t>کد سبد 00297</t>
  </si>
  <si>
    <t>البالویی زمینه مشکی خالدار 6177</t>
  </si>
  <si>
    <t>07323/</t>
  </si>
  <si>
    <t>06352/</t>
  </si>
  <si>
    <t>کد سبد 00298</t>
  </si>
  <si>
    <t>0393/</t>
  </si>
  <si>
    <t>03103/</t>
  </si>
  <si>
    <t>کد سبد 00299</t>
  </si>
  <si>
    <t>01777/</t>
  </si>
  <si>
    <t>02133/</t>
  </si>
  <si>
    <t>کد سبد 00300</t>
  </si>
  <si>
    <t>02160/</t>
  </si>
  <si>
    <t>02144/</t>
  </si>
  <si>
    <t>کد سبد 00301</t>
  </si>
  <si>
    <t>07924/</t>
  </si>
  <si>
    <t>01055/</t>
  </si>
  <si>
    <t>کد سبد 00302</t>
  </si>
  <si>
    <t>02093/</t>
  </si>
  <si>
    <t>گل رز سرخ 6787</t>
  </si>
  <si>
    <t>02115/</t>
  </si>
  <si>
    <t>کد سبد 00303</t>
  </si>
  <si>
    <t>02471/</t>
  </si>
  <si>
    <t>فلامینگو 5018</t>
  </si>
  <si>
    <t>02466/</t>
  </si>
  <si>
    <t>کد سبد 00304</t>
  </si>
  <si>
    <t>02636/</t>
  </si>
  <si>
    <t>0894/</t>
  </si>
  <si>
    <t>کد سبد 00305</t>
  </si>
  <si>
    <t>02109/</t>
  </si>
  <si>
    <t>گل 7049</t>
  </si>
  <si>
    <t>02098/</t>
  </si>
  <si>
    <t>کد سبد 00306</t>
  </si>
  <si>
    <t>02146/</t>
  </si>
  <si>
    <t>گل و مرغ بهاری 6381</t>
  </si>
  <si>
    <t>02162/</t>
  </si>
  <si>
    <t>کد سبد 00307</t>
  </si>
  <si>
    <t>06318/</t>
  </si>
  <si>
    <t>01060/</t>
  </si>
  <si>
    <t>کد سبد 00308</t>
  </si>
  <si>
    <t>09147/</t>
  </si>
  <si>
    <t>0447/</t>
  </si>
  <si>
    <t>کد سبد 00309</t>
  </si>
  <si>
    <t>گل و پرنده قرمز یلدایی 6762</t>
  </si>
  <si>
    <t>04018/</t>
  </si>
  <si>
    <t>07607/</t>
  </si>
  <si>
    <t>کد سبد 00310</t>
  </si>
  <si>
    <t>06194/</t>
  </si>
  <si>
    <t>02723/</t>
  </si>
  <si>
    <t>کد سبد 00311</t>
  </si>
  <si>
    <t>چهارخونه صورتی 6374</t>
  </si>
  <si>
    <t>02339/</t>
  </si>
  <si>
    <t>دختر فرفری 6673</t>
  </si>
  <si>
    <t>07950/</t>
  </si>
  <si>
    <t>کد سبد 00312</t>
  </si>
  <si>
    <t xml:space="preserve">بابونه خالدار ابی 6394 </t>
  </si>
  <si>
    <t>07335/</t>
  </si>
  <si>
    <t>کد سبد 00313</t>
  </si>
  <si>
    <t>01516/</t>
  </si>
  <si>
    <t>07990/</t>
  </si>
  <si>
    <t>کد سبد 00314</t>
  </si>
  <si>
    <t>تدی لاین فرندز 5062</t>
  </si>
  <si>
    <t>01484/</t>
  </si>
  <si>
    <t>0434/</t>
  </si>
  <si>
    <t>کد سبد 00315</t>
  </si>
  <si>
    <t>بابونه ریز زرشکی 6758</t>
  </si>
  <si>
    <t>01794/</t>
  </si>
  <si>
    <t>کد سبد 00316</t>
  </si>
  <si>
    <t>پاپیون و گل کیوت 6770</t>
  </si>
  <si>
    <t>08012/</t>
  </si>
  <si>
    <t>07251/</t>
  </si>
  <si>
    <t>کد سبد 00317</t>
  </si>
  <si>
    <t>07207/</t>
  </si>
  <si>
    <t>07970/</t>
  </si>
  <si>
    <t>کد سبد 00318</t>
  </si>
  <si>
    <t>گل رنگی زرد نارنجی 6733</t>
  </si>
  <si>
    <t>07848/</t>
  </si>
  <si>
    <t>01052/</t>
  </si>
  <si>
    <t>کد سبد 00319</t>
  </si>
  <si>
    <t>شکوفه و گنجشک سبز 6839</t>
  </si>
  <si>
    <t>06169/</t>
  </si>
  <si>
    <t>01050/</t>
  </si>
  <si>
    <t>کد سبد 00320</t>
  </si>
  <si>
    <t>07414/</t>
  </si>
  <si>
    <t>شکوفه ماچا 6866</t>
  </si>
  <si>
    <t>08131/</t>
  </si>
  <si>
    <t>کد سبد 00321</t>
  </si>
  <si>
    <t>07821/</t>
  </si>
  <si>
    <t>07235/</t>
  </si>
  <si>
    <t>کد سبد 00322</t>
  </si>
  <si>
    <t>بابونه 3058</t>
  </si>
  <si>
    <t>07550/</t>
  </si>
  <si>
    <t>پلنگی قهوه ای 6834</t>
  </si>
  <si>
    <t>07211/</t>
  </si>
  <si>
    <t>کد سبد 00323</t>
  </si>
  <si>
    <t>شکوفه و پرنده یلدایی قرمز 6765</t>
  </si>
  <si>
    <t>07419/</t>
  </si>
  <si>
    <t>اسپایدر من 6831</t>
  </si>
  <si>
    <t>07227/</t>
  </si>
  <si>
    <t>کد سبد 00324</t>
  </si>
  <si>
    <t>07776/</t>
  </si>
  <si>
    <t>06738/</t>
  </si>
  <si>
    <t>کد سبد 00325</t>
  </si>
  <si>
    <t>06359/</t>
  </si>
  <si>
    <t>08224/</t>
  </si>
  <si>
    <t>کد سبد 00326</t>
  </si>
  <si>
    <t>07949/</t>
  </si>
  <si>
    <t>کد سبد 00327</t>
  </si>
  <si>
    <t>06319/</t>
  </si>
  <si>
    <t>07974/</t>
  </si>
  <si>
    <t>کد سبد 00328</t>
  </si>
  <si>
    <t>06156/</t>
  </si>
  <si>
    <t>07612/</t>
  </si>
  <si>
    <t>کد سبد 00329</t>
  </si>
  <si>
    <t>08145/</t>
  </si>
  <si>
    <t>07271/</t>
  </si>
  <si>
    <t>کد سبد 00330</t>
  </si>
  <si>
    <t>07255/</t>
  </si>
  <si>
    <t>06766/</t>
  </si>
  <si>
    <t>کد سبد 00331</t>
  </si>
  <si>
    <t>03125/</t>
  </si>
  <si>
    <t>06761/</t>
  </si>
  <si>
    <t>کد سبد 00332</t>
  </si>
  <si>
    <t>07633/</t>
  </si>
  <si>
    <t>06705/</t>
  </si>
  <si>
    <t>کد سبد 00333</t>
  </si>
  <si>
    <t>08837/</t>
  </si>
  <si>
    <t>06764/</t>
  </si>
  <si>
    <t>کد سبد 00334</t>
  </si>
  <si>
    <t>چهارخونه 4032</t>
  </si>
  <si>
    <t>07263/</t>
  </si>
  <si>
    <t>06765/</t>
  </si>
  <si>
    <t>کد سبد 00335</t>
  </si>
  <si>
    <t>07412/</t>
  </si>
  <si>
    <t>04311/</t>
  </si>
  <si>
    <t>کد سبد 00336</t>
  </si>
  <si>
    <t>06769/</t>
  </si>
  <si>
    <t>کد سبد 00337</t>
  </si>
  <si>
    <t>08146/</t>
  </si>
  <si>
    <t>06768/</t>
  </si>
  <si>
    <t>کد سبد 00338</t>
  </si>
  <si>
    <t>گل 4062</t>
  </si>
  <si>
    <t>08832/</t>
  </si>
  <si>
    <t>0904/</t>
  </si>
  <si>
    <t>کد سبد 00339</t>
  </si>
  <si>
    <t>01749/</t>
  </si>
  <si>
    <t>کد سبد 00340</t>
  </si>
  <si>
    <t>گل ترنم 6029</t>
  </si>
  <si>
    <t>01908/</t>
  </si>
  <si>
    <t>کد سبد 00341</t>
  </si>
  <si>
    <t>04095/</t>
  </si>
  <si>
    <t>لویی ویتون شکلاتی 6755</t>
  </si>
  <si>
    <t>08842/</t>
  </si>
  <si>
    <t>کد سبد 00342</t>
  </si>
  <si>
    <t>06153/</t>
  </si>
  <si>
    <t>01048/</t>
  </si>
  <si>
    <t>کد سبد 00343</t>
  </si>
  <si>
    <t>ابر انیمه ای 6354</t>
  </si>
  <si>
    <t>08816/</t>
  </si>
  <si>
    <t>08826/</t>
  </si>
  <si>
    <t>کد سبد 00344</t>
  </si>
  <si>
    <t>06141/</t>
  </si>
  <si>
    <t>کد سبد 00345</t>
  </si>
  <si>
    <t>پروانه اطلسی 6536</t>
  </si>
  <si>
    <t>0362/</t>
  </si>
  <si>
    <t>کد سبد 00346</t>
  </si>
  <si>
    <t>08892/</t>
  </si>
  <si>
    <t>بابونه گل نارنجی 6760</t>
  </si>
  <si>
    <t>02838/</t>
  </si>
  <si>
    <t>کد سبد 00347</t>
  </si>
  <si>
    <t>04332/</t>
  </si>
  <si>
    <t>شکوفه زار صورتی 6844</t>
  </si>
  <si>
    <t>02258/</t>
  </si>
  <si>
    <t>کد سبد 00348</t>
  </si>
  <si>
    <t>06451/</t>
  </si>
  <si>
    <t>02261/</t>
  </si>
  <si>
    <t>کد سبد 00349</t>
  </si>
  <si>
    <t>06303/</t>
  </si>
  <si>
    <t>01114/</t>
  </si>
  <si>
    <t>کد سبد 00350</t>
  </si>
  <si>
    <t>06470/</t>
  </si>
  <si>
    <t>0110/</t>
  </si>
  <si>
    <t>کد سبد 00351</t>
  </si>
  <si>
    <t>04314/</t>
  </si>
  <si>
    <t>06463/</t>
  </si>
  <si>
    <t>کد سبد 00352</t>
  </si>
  <si>
    <t>07656/</t>
  </si>
  <si>
    <t>06461/</t>
  </si>
  <si>
    <t>کد سبد 00353</t>
  </si>
  <si>
    <t>0384/</t>
  </si>
  <si>
    <t>06811/</t>
  </si>
  <si>
    <t>کد سبد 00354</t>
  </si>
  <si>
    <t>گل و بلبل 6012</t>
  </si>
  <si>
    <t>04114/</t>
  </si>
  <si>
    <t>06776/</t>
  </si>
  <si>
    <t>کد سبد 00355</t>
  </si>
  <si>
    <t>07964/</t>
  </si>
  <si>
    <t>پرنده رنگی زمینه مشکی 121</t>
  </si>
  <si>
    <t>07242/</t>
  </si>
  <si>
    <t>کد سبد 00356</t>
  </si>
  <si>
    <t>04306/</t>
  </si>
  <si>
    <t>06234/</t>
  </si>
  <si>
    <t>کد سبد 00357</t>
  </si>
  <si>
    <t>07433/</t>
  </si>
  <si>
    <t>دیور مشکی  6546</t>
  </si>
  <si>
    <t>07239/</t>
  </si>
  <si>
    <t>کد سبد 00358</t>
  </si>
  <si>
    <t>01007/</t>
  </si>
  <si>
    <t>کد سبد 00359</t>
  </si>
  <si>
    <t>07961/</t>
  </si>
  <si>
    <t>0646/</t>
  </si>
  <si>
    <t>کد سبد 00360</t>
  </si>
  <si>
    <t>07203/</t>
  </si>
  <si>
    <t>094/</t>
  </si>
  <si>
    <t>کد سبد 00361</t>
  </si>
  <si>
    <t>قلب زمینه مشکی 6314</t>
  </si>
  <si>
    <t>01429/</t>
  </si>
  <si>
    <t>02734/</t>
  </si>
  <si>
    <t>کد سبد 00362</t>
  </si>
  <si>
    <t>06457/</t>
  </si>
  <si>
    <t>0199/</t>
  </si>
  <si>
    <t>کد سبد 00363</t>
  </si>
  <si>
    <t>04339/</t>
  </si>
  <si>
    <t>03097/</t>
  </si>
  <si>
    <t>کد سبد 00364</t>
  </si>
  <si>
    <t>04297/</t>
  </si>
  <si>
    <t>کد سبد 00365</t>
  </si>
  <si>
    <t>میکی و موس 3072</t>
  </si>
  <si>
    <t>07602/</t>
  </si>
  <si>
    <t>پرنده لی لی 6693</t>
  </si>
  <si>
    <t>02089/</t>
  </si>
  <si>
    <t>کد سبد 00366</t>
  </si>
  <si>
    <t>بابونه منحنی یاسی 6388</t>
  </si>
  <si>
    <t>07240/</t>
  </si>
  <si>
    <t>06281/</t>
  </si>
  <si>
    <t>کد سبد 00367</t>
  </si>
  <si>
    <t>08865/</t>
  </si>
  <si>
    <t>0895/</t>
  </si>
  <si>
    <t>کد سبد 00368</t>
  </si>
  <si>
    <t>پیه دوپل کرم روشن 6023</t>
  </si>
  <si>
    <t>0851/</t>
  </si>
  <si>
    <t>0790/</t>
  </si>
  <si>
    <t>کد سبد 00369</t>
  </si>
  <si>
    <t>0413/</t>
  </si>
  <si>
    <t>کد سبد 00370</t>
  </si>
  <si>
    <t>لیمو 2064</t>
  </si>
  <si>
    <t>08828/</t>
  </si>
  <si>
    <t>04326/</t>
  </si>
  <si>
    <t>کد سبد 00371</t>
  </si>
  <si>
    <t>08819/</t>
  </si>
  <si>
    <t>02081/</t>
  </si>
  <si>
    <t>کد سبد 00372</t>
  </si>
  <si>
    <t>08780/</t>
  </si>
  <si>
    <t>02767/</t>
  </si>
  <si>
    <t>کد سبد 00373</t>
  </si>
  <si>
    <t>هاوایی 4030</t>
  </si>
  <si>
    <t>08803/</t>
  </si>
  <si>
    <t>01245/</t>
  </si>
  <si>
    <t>کد سبد 00374</t>
  </si>
  <si>
    <t>08874/</t>
  </si>
  <si>
    <t>01709/</t>
  </si>
  <si>
    <t>کد سبد 00375</t>
  </si>
  <si>
    <t>گل افسون 6815</t>
  </si>
  <si>
    <t>08875/</t>
  </si>
  <si>
    <t>گل رنگارنگ 6700</t>
  </si>
  <si>
    <t>09880/</t>
  </si>
  <si>
    <t>کد سبد 00376</t>
  </si>
  <si>
    <t>07962/</t>
  </si>
  <si>
    <t>06458/</t>
  </si>
  <si>
    <t>کد سبد 00377</t>
  </si>
  <si>
    <t>01351/</t>
  </si>
  <si>
    <t>0426/</t>
  </si>
  <si>
    <t>کد سبد 00378</t>
  </si>
  <si>
    <t>07630/</t>
  </si>
  <si>
    <t>کد سبد 00379</t>
  </si>
  <si>
    <t>07951/</t>
  </si>
  <si>
    <t>01895/</t>
  </si>
  <si>
    <t>کد سبد 00380</t>
  </si>
  <si>
    <t>07258/</t>
  </si>
  <si>
    <t>کد سبد 00381</t>
  </si>
  <si>
    <t>07660/</t>
  </si>
  <si>
    <t>کد سبد 00382</t>
  </si>
  <si>
    <t>پاندا زمینه سفید 6203</t>
  </si>
  <si>
    <t>07667/</t>
  </si>
  <si>
    <t>02463/</t>
  </si>
  <si>
    <t>کد سبد 00383</t>
  </si>
  <si>
    <t>01552/</t>
  </si>
  <si>
    <t>کد سبد 00384</t>
  </si>
  <si>
    <t>قلب توخالی 6725</t>
  </si>
  <si>
    <t>04322/</t>
  </si>
  <si>
    <t>07058/</t>
  </si>
  <si>
    <t>کد سبد 00385</t>
  </si>
  <si>
    <t>07618/</t>
  </si>
  <si>
    <t>شکوفه و پرنده قرمز یلدایی 6765</t>
  </si>
  <si>
    <t>04299/</t>
  </si>
  <si>
    <t>کد سبد 00386</t>
  </si>
  <si>
    <t>چهار خونه مشکی 6371</t>
  </si>
  <si>
    <t>07241/</t>
  </si>
  <si>
    <t>08093/</t>
  </si>
  <si>
    <t>کد سبد 00387</t>
  </si>
  <si>
    <t>07269/</t>
  </si>
  <si>
    <t>ابری سفید 6757</t>
  </si>
  <si>
    <t>01771/</t>
  </si>
  <si>
    <t>کد سبد 00388</t>
  </si>
  <si>
    <t>07981/</t>
  </si>
  <si>
    <t>0379/</t>
  </si>
  <si>
    <t>کد سبد 00389</t>
  </si>
  <si>
    <t>07256/</t>
  </si>
  <si>
    <t>08135/</t>
  </si>
  <si>
    <t>کد سبد 00390</t>
  </si>
  <si>
    <t>04374/</t>
  </si>
  <si>
    <t>08846/</t>
  </si>
  <si>
    <t>کد سبد 00391</t>
  </si>
  <si>
    <t>03870/</t>
  </si>
  <si>
    <t>هرمس هلویی 6683</t>
  </si>
  <si>
    <t>03846/</t>
  </si>
  <si>
    <t>کد سبد 00392</t>
  </si>
  <si>
    <t>0793/</t>
  </si>
  <si>
    <t>کد سبد 00393</t>
  </si>
  <si>
    <t>03857/</t>
  </si>
  <si>
    <t>کد سبد 00394</t>
  </si>
  <si>
    <t>03866/</t>
  </si>
  <si>
    <t>04364/</t>
  </si>
  <si>
    <t>کد سبد 00395</t>
  </si>
  <si>
    <t>08843/</t>
  </si>
  <si>
    <t>04397/</t>
  </si>
  <si>
    <t>کد سبد 00396</t>
  </si>
  <si>
    <t>07621/</t>
  </si>
  <si>
    <t>04386/</t>
  </si>
  <si>
    <t>کد سبد 00397</t>
  </si>
  <si>
    <t>03881/</t>
  </si>
  <si>
    <t>04365/</t>
  </si>
  <si>
    <t>کد سبد 00398</t>
  </si>
  <si>
    <t>07576/</t>
  </si>
  <si>
    <t>08048/</t>
  </si>
  <si>
    <t>کد سبد 00399</t>
  </si>
  <si>
    <t>کد سبد 00400</t>
  </si>
  <si>
    <t>پاپیون صورتی 6691</t>
  </si>
  <si>
    <t>06312/</t>
  </si>
  <si>
    <t>06759/</t>
  </si>
  <si>
    <t>کد سبد 00401</t>
  </si>
  <si>
    <t>06316/</t>
  </si>
  <si>
    <t>گل وینیج 6806</t>
  </si>
  <si>
    <t>07237/</t>
  </si>
  <si>
    <t>کد سبد 00402</t>
  </si>
  <si>
    <t>06327/</t>
  </si>
  <si>
    <t>کد سبد 00403</t>
  </si>
  <si>
    <t>کد سبد 00404</t>
  </si>
  <si>
    <t>04387/</t>
  </si>
  <si>
    <t>08015/</t>
  </si>
  <si>
    <t>کد سبد 00405</t>
  </si>
  <si>
    <t>07246/</t>
  </si>
  <si>
    <t>گوچی 6058</t>
  </si>
  <si>
    <t>07287/</t>
  </si>
  <si>
    <t>کد سبد 00406</t>
  </si>
  <si>
    <t>گل بابونه 3098</t>
  </si>
  <si>
    <t>07248/</t>
  </si>
  <si>
    <t>06452/</t>
  </si>
  <si>
    <t>کد سبد 00407</t>
  </si>
  <si>
    <t>0948/</t>
  </si>
  <si>
    <t>08841/</t>
  </si>
  <si>
    <t>کد سبد 00408</t>
  </si>
  <si>
    <t>07639/</t>
  </si>
  <si>
    <t>کد سبد 00409</t>
  </si>
  <si>
    <t>08871/</t>
  </si>
  <si>
    <t>گل 5001</t>
  </si>
  <si>
    <t>08844/</t>
  </si>
  <si>
    <t>کد سبد 00410</t>
  </si>
  <si>
    <t>03829/</t>
  </si>
  <si>
    <t>04384/</t>
  </si>
  <si>
    <t>کد سبد 00411</t>
  </si>
  <si>
    <t>04390/</t>
  </si>
  <si>
    <t>کد سبد 00412</t>
  </si>
  <si>
    <t>بابونه صورتی 6720</t>
  </si>
  <si>
    <t>01433/</t>
  </si>
  <si>
    <t>کد سبد 00413</t>
  </si>
  <si>
    <t>گوچی مشکی 6368</t>
  </si>
  <si>
    <t>گوچی تیره 6909</t>
  </si>
  <si>
    <t>08825/</t>
  </si>
  <si>
    <t>کد سبد 00414</t>
  </si>
  <si>
    <t>کد سبد 00415</t>
  </si>
  <si>
    <t>فندی 4034</t>
  </si>
  <si>
    <t>07232/</t>
  </si>
  <si>
    <t>کد سبد 00416</t>
  </si>
  <si>
    <t>08287/</t>
  </si>
  <si>
    <t>08127/</t>
  </si>
  <si>
    <t>کد سبد 00417</t>
  </si>
  <si>
    <t>صلح 6000</t>
  </si>
  <si>
    <t>07619/</t>
  </si>
  <si>
    <t>پاپ آرت 2028</t>
  </si>
  <si>
    <t>08834/</t>
  </si>
  <si>
    <t>کد سبد 00418</t>
  </si>
  <si>
    <t>06163/</t>
  </si>
  <si>
    <t>08836/</t>
  </si>
  <si>
    <t>کد سبد 00419</t>
  </si>
  <si>
    <t>07666/</t>
  </si>
  <si>
    <t>آفتاب گردان 3057</t>
  </si>
  <si>
    <t>کد سبد 00420</t>
  </si>
  <si>
    <t>07238/</t>
  </si>
  <si>
    <t>06464/</t>
  </si>
  <si>
    <t>کد سبد 00421</t>
  </si>
  <si>
    <t>کد سبد 00422</t>
  </si>
  <si>
    <t>01452/</t>
  </si>
  <si>
    <t>کد سبد 00423</t>
  </si>
  <si>
    <t>شکوفه سیب  3068</t>
  </si>
  <si>
    <t>06481/</t>
  </si>
  <si>
    <t>01539/</t>
  </si>
  <si>
    <t>کد سبد 00424</t>
  </si>
  <si>
    <t>01434/</t>
  </si>
  <si>
    <t>06301/</t>
  </si>
  <si>
    <t>کد سبد 00425</t>
  </si>
  <si>
    <t>06465/</t>
  </si>
  <si>
    <t>08223/</t>
  </si>
  <si>
    <t>کد سبد 00426</t>
  </si>
  <si>
    <t>07268/</t>
  </si>
  <si>
    <t>06242/</t>
  </si>
  <si>
    <t>کد سبد 00427</t>
  </si>
  <si>
    <t>06486/</t>
  </si>
  <si>
    <t>01462/</t>
  </si>
  <si>
    <t>کد سبد 00428</t>
  </si>
  <si>
    <t>08604/</t>
  </si>
  <si>
    <t>035/</t>
  </si>
  <si>
    <t>کد سبد 00429</t>
  </si>
  <si>
    <t>08290/</t>
  </si>
  <si>
    <t>08357/</t>
  </si>
  <si>
    <t>کد سبد 00430</t>
  </si>
  <si>
    <t>06173/</t>
  </si>
  <si>
    <t>دلار صورتی 6322</t>
  </si>
  <si>
    <t>06372/</t>
  </si>
  <si>
    <t>کد سبد 00431</t>
  </si>
  <si>
    <t>07417/</t>
  </si>
  <si>
    <t>01220/</t>
  </si>
  <si>
    <t>کد سبد 00432</t>
  </si>
  <si>
    <t>07229/</t>
  </si>
  <si>
    <t>کد سبد 00433</t>
  </si>
  <si>
    <t>پروانه رویایی 6675 سرخابی</t>
  </si>
  <si>
    <t>07574/</t>
  </si>
  <si>
    <t>کد سبد 00434</t>
  </si>
  <si>
    <t>دختر توت فرنگی 2037</t>
  </si>
  <si>
    <t>02551/</t>
  </si>
  <si>
    <t>کد سبد 00435</t>
  </si>
  <si>
    <t>07804/</t>
  </si>
  <si>
    <t>06772/</t>
  </si>
  <si>
    <t>کد سبد 00436</t>
  </si>
  <si>
    <t>گیلاس قلبی 6679</t>
  </si>
  <si>
    <t>کد سبد 00437</t>
  </si>
  <si>
    <t>شکوفه سبز 6879</t>
  </si>
  <si>
    <t>07244/</t>
  </si>
  <si>
    <t>دیور مشکی 6546</t>
  </si>
  <si>
    <t>کد سبد 00438</t>
  </si>
  <si>
    <t>شکوفه سیب 3068</t>
  </si>
  <si>
    <t>07259/</t>
  </si>
  <si>
    <t>گل 3041</t>
  </si>
  <si>
    <t>09881/</t>
  </si>
  <si>
    <t>کد سبد 00439</t>
  </si>
  <si>
    <t>07581/</t>
  </si>
  <si>
    <t>07291/</t>
  </si>
  <si>
    <t>کد سبد 00440</t>
  </si>
  <si>
    <t>06145/</t>
  </si>
  <si>
    <t>08154/</t>
  </si>
  <si>
    <t>کد سبد 00441</t>
  </si>
  <si>
    <t>07591/</t>
  </si>
  <si>
    <t>07598/</t>
  </si>
  <si>
    <t>کد سبد 00442</t>
  </si>
  <si>
    <t>07308/</t>
  </si>
  <si>
    <t>08073/</t>
  </si>
  <si>
    <t>کد سبد 00443</t>
  </si>
  <si>
    <t>پاپیون شکلانی 6813</t>
  </si>
  <si>
    <t>08855/</t>
  </si>
  <si>
    <t>کد سبد 00444</t>
  </si>
  <si>
    <t>07300/</t>
  </si>
  <si>
    <t>دیور صورتی 6819</t>
  </si>
  <si>
    <t>07986/</t>
  </si>
  <si>
    <t>کد سبد 00445</t>
  </si>
  <si>
    <t>رزگون ابی 6851</t>
  </si>
  <si>
    <t>08053/</t>
  </si>
  <si>
    <t>کد سبد 00446</t>
  </si>
  <si>
    <t>04388/</t>
  </si>
  <si>
    <t>06388/</t>
  </si>
  <si>
    <t>کد سبد 00447</t>
  </si>
  <si>
    <t>03836/</t>
  </si>
  <si>
    <t>پاپبون خال خالی 6761</t>
  </si>
  <si>
    <t>06523/</t>
  </si>
  <si>
    <t>کد سبد 00448</t>
  </si>
  <si>
    <t>03867/</t>
  </si>
  <si>
    <t>02833/</t>
  </si>
  <si>
    <t>کد سبد 00449</t>
  </si>
  <si>
    <t>03842/</t>
  </si>
  <si>
    <t>گوچی 6331</t>
  </si>
  <si>
    <t>03850/</t>
  </si>
  <si>
    <t>کد سبد 00450</t>
  </si>
  <si>
    <t>گل ابی ملیح  6776</t>
  </si>
  <si>
    <t>08886/</t>
  </si>
  <si>
    <t>کد سبد 00451</t>
  </si>
  <si>
    <t>گل نارنجی 6741</t>
  </si>
  <si>
    <t>06168/</t>
  </si>
  <si>
    <t>قلب کرم قهوه ای 6773</t>
  </si>
  <si>
    <t>01864/</t>
  </si>
  <si>
    <t>کد سبد 00452</t>
  </si>
  <si>
    <t>02136/</t>
  </si>
  <si>
    <t>پاپیون شکلانی 6833</t>
  </si>
  <si>
    <t>01863/</t>
  </si>
  <si>
    <t>کد سبد 00453</t>
  </si>
  <si>
    <t>باندانا ابی 6380</t>
  </si>
  <si>
    <t>06460/</t>
  </si>
  <si>
    <t>کد سبد 00454</t>
  </si>
  <si>
    <t>03869/</t>
  </si>
  <si>
    <t>01047/</t>
  </si>
  <si>
    <t>کد سبد 00455</t>
  </si>
  <si>
    <t>04320/</t>
  </si>
  <si>
    <t>03828/</t>
  </si>
  <si>
    <t>کد سبد 00456</t>
  </si>
  <si>
    <t>07908/</t>
  </si>
  <si>
    <t>07810/</t>
  </si>
  <si>
    <t>کد سبد 00457</t>
  </si>
  <si>
    <t>03833/</t>
  </si>
  <si>
    <t>01129/</t>
  </si>
  <si>
    <t>کد سبد 00458</t>
  </si>
  <si>
    <t>04396/</t>
  </si>
  <si>
    <t>کد سبد 00459</t>
  </si>
  <si>
    <t>02766/</t>
  </si>
  <si>
    <t>کد سبد 00460</t>
  </si>
  <si>
    <t>03843/</t>
  </si>
  <si>
    <t>03840/</t>
  </si>
  <si>
    <t>کد سبد 00461</t>
  </si>
  <si>
    <t>04353/</t>
  </si>
  <si>
    <t>پروانه موننلا 6863</t>
  </si>
  <si>
    <t>06456/</t>
  </si>
  <si>
    <t>کد سبد 00462</t>
  </si>
  <si>
    <t>06338/</t>
  </si>
  <si>
    <t>01600/</t>
  </si>
  <si>
    <t>07431/</t>
  </si>
  <si>
    <t>کد سبد 00463</t>
  </si>
  <si>
    <t>07603/</t>
  </si>
  <si>
    <t>08236/</t>
  </si>
  <si>
    <t>08853/</t>
  </si>
  <si>
    <t>کد سبد 00464</t>
  </si>
  <si>
    <t>07786/</t>
  </si>
  <si>
    <t>01381/</t>
  </si>
  <si>
    <t>پروانه 1030</t>
  </si>
  <si>
    <t>02815/</t>
  </si>
  <si>
    <t>کد سبد 00465</t>
  </si>
  <si>
    <t>06164/</t>
  </si>
  <si>
    <t>07601/</t>
  </si>
  <si>
    <t>کد سبد 00466</t>
  </si>
  <si>
    <t>01355/</t>
  </si>
  <si>
    <t>01327/</t>
  </si>
  <si>
    <t>0753/</t>
  </si>
  <si>
    <t>کد سبد 00467</t>
  </si>
  <si>
    <t>07423/</t>
  </si>
  <si>
    <t>06635/</t>
  </si>
  <si>
    <t>07407/</t>
  </si>
  <si>
    <t>کد سبد 00468</t>
  </si>
  <si>
    <t>02369/</t>
  </si>
  <si>
    <t>06297/</t>
  </si>
  <si>
    <t>08217/</t>
  </si>
  <si>
    <t>کد سبد 00469</t>
  </si>
  <si>
    <t>قلب تو خالی 6725</t>
  </si>
  <si>
    <t>04321/</t>
  </si>
  <si>
    <t>فرش چهل نگار 6812</t>
  </si>
  <si>
    <t>07954/</t>
  </si>
  <si>
    <t>07616/</t>
  </si>
  <si>
    <t>کد سبد 00470</t>
  </si>
  <si>
    <t>0621/</t>
  </si>
  <si>
    <t>07250/</t>
  </si>
  <si>
    <t>01501/</t>
  </si>
  <si>
    <t>کد سبد 00471</t>
  </si>
  <si>
    <t>01503/</t>
  </si>
  <si>
    <t>07973/</t>
  </si>
  <si>
    <t>01505/</t>
  </si>
  <si>
    <t>کد سبد 00472</t>
  </si>
  <si>
    <t>06195/</t>
  </si>
  <si>
    <t>02792/</t>
  </si>
  <si>
    <t>کد سبد 00473</t>
  </si>
  <si>
    <t>07427/</t>
  </si>
  <si>
    <t>07236/</t>
  </si>
  <si>
    <t>ببری سورمه 6517</t>
  </si>
  <si>
    <t>07418/</t>
  </si>
  <si>
    <t>کد سبد 00474</t>
  </si>
  <si>
    <t>08030/</t>
  </si>
  <si>
    <t>07965/</t>
  </si>
  <si>
    <t>قلب سرخ ابی زمینه مشکی 6315</t>
  </si>
  <si>
    <t>07341/</t>
  </si>
  <si>
    <t>کد سبد 00475</t>
  </si>
  <si>
    <t>06323/</t>
  </si>
  <si>
    <t>07955/</t>
  </si>
  <si>
    <t>08130/</t>
  </si>
  <si>
    <t>کد سبد 00476</t>
  </si>
  <si>
    <t>07428/</t>
  </si>
  <si>
    <t>08150/</t>
  </si>
  <si>
    <t>08225/</t>
  </si>
  <si>
    <t>کد سبد 00477</t>
  </si>
  <si>
    <t>04310/</t>
  </si>
  <si>
    <t>03855/</t>
  </si>
  <si>
    <t>08854/</t>
  </si>
  <si>
    <t>کد سبد 00478</t>
  </si>
  <si>
    <t>گل کریستالی 6854</t>
  </si>
  <si>
    <t>01322/</t>
  </si>
  <si>
    <t>گیلاسی پاپیونی 6724</t>
  </si>
  <si>
    <t>07254/</t>
  </si>
  <si>
    <t>07657/</t>
  </si>
  <si>
    <t>کد سبد 00479</t>
  </si>
  <si>
    <t>08888/</t>
  </si>
  <si>
    <t>06302/</t>
  </si>
  <si>
    <t>خرگوش 3030</t>
  </si>
  <si>
    <t>02810/</t>
  </si>
  <si>
    <t>کد سبد 00480</t>
  </si>
  <si>
    <t>شکوفه و گنجشک کرمی 6838</t>
  </si>
  <si>
    <t>07316/</t>
  </si>
  <si>
    <t>03859/</t>
  </si>
  <si>
    <t>08829/</t>
  </si>
  <si>
    <t>کد سبد 00481</t>
  </si>
  <si>
    <t>04325/</t>
  </si>
  <si>
    <t>عشق 1020</t>
  </si>
  <si>
    <t>04380/</t>
  </si>
  <si>
    <t>گیلاس پاپیونی قرمز 6763</t>
  </si>
  <si>
    <t>08857/</t>
  </si>
  <si>
    <t>کد سبد 00482</t>
  </si>
  <si>
    <t>گل سبز پینترستی 6780</t>
  </si>
  <si>
    <t>01233/</t>
  </si>
  <si>
    <t>03868/</t>
  </si>
  <si>
    <t>08891/</t>
  </si>
  <si>
    <t>کد سبد 00483</t>
  </si>
  <si>
    <t>06152/</t>
  </si>
  <si>
    <t>بابونه زمینه گلبهی 6392</t>
  </si>
  <si>
    <t>07562/</t>
  </si>
  <si>
    <t>کد سبد 00484</t>
  </si>
  <si>
    <t>01521/</t>
  </si>
  <si>
    <t>چریکی راه راه 3093</t>
  </si>
  <si>
    <t>06482/</t>
  </si>
  <si>
    <t>04394/</t>
  </si>
  <si>
    <t>کد سبد 00485</t>
  </si>
  <si>
    <t>01226/</t>
  </si>
  <si>
    <t>پترن چریکی 7001</t>
  </si>
  <si>
    <t>07997/</t>
  </si>
  <si>
    <t>06472/</t>
  </si>
  <si>
    <t>کد سبد 00486</t>
  </si>
  <si>
    <t>07573/</t>
  </si>
  <si>
    <t>02713/</t>
  </si>
  <si>
    <t>03847/</t>
  </si>
  <si>
    <t>کد سبد 00487</t>
  </si>
  <si>
    <t>07352/</t>
  </si>
  <si>
    <t>01049/</t>
  </si>
  <si>
    <t>01068/</t>
  </si>
  <si>
    <t>کد سبد 00488</t>
  </si>
  <si>
    <t>07405/</t>
  </si>
  <si>
    <t>01054/</t>
  </si>
  <si>
    <t>08137/</t>
  </si>
  <si>
    <t>کد سبد 00489</t>
  </si>
  <si>
    <t>هارتی سرخابی 6542</t>
  </si>
  <si>
    <t>0207/</t>
  </si>
  <si>
    <t>01070/</t>
  </si>
  <si>
    <t>07416/</t>
  </si>
  <si>
    <t>کد سبد 00490</t>
  </si>
  <si>
    <t>01061/</t>
  </si>
  <si>
    <t>06174/</t>
  </si>
  <si>
    <t>کد سبد 00491</t>
  </si>
  <si>
    <t>01463/</t>
  </si>
  <si>
    <t>گل اسلیمی سرخابی 6823</t>
  </si>
  <si>
    <t>03862/</t>
  </si>
  <si>
    <t>کریسمس 7052</t>
  </si>
  <si>
    <t>08885/</t>
  </si>
  <si>
    <t>کد سبد 00492</t>
  </si>
  <si>
    <t>شکوفه ریز شکلاتی 6827</t>
  </si>
  <si>
    <t>08818/</t>
  </si>
  <si>
    <t>01067/</t>
  </si>
  <si>
    <t>06369/</t>
  </si>
  <si>
    <t>کد سبد 00493</t>
  </si>
  <si>
    <t>توت فرنگی زمینه مشکی 1074</t>
  </si>
  <si>
    <t>08895/</t>
  </si>
  <si>
    <t>07435/</t>
  </si>
  <si>
    <t>03781/</t>
  </si>
  <si>
    <t>کد سبد 00494</t>
  </si>
  <si>
    <t>07218/</t>
  </si>
  <si>
    <t>02569/</t>
  </si>
  <si>
    <t>کد سبد 00495</t>
  </si>
  <si>
    <t>06189/</t>
  </si>
  <si>
    <t>03698/</t>
  </si>
  <si>
    <t>کد سبد 00496</t>
  </si>
  <si>
    <t>خالدار زمینه مشکی 6171</t>
  </si>
  <si>
    <t>08861/</t>
  </si>
  <si>
    <t>08077/</t>
  </si>
  <si>
    <t>07971/</t>
  </si>
  <si>
    <t>کد سبد 00497</t>
  </si>
  <si>
    <t>06462/</t>
  </si>
  <si>
    <t>06469/</t>
  </si>
  <si>
    <t>07249/</t>
  </si>
  <si>
    <t>کد سبد 00498</t>
  </si>
  <si>
    <t>06340/</t>
  </si>
  <si>
    <t>04379/</t>
  </si>
  <si>
    <t>074224/</t>
  </si>
  <si>
    <t>کد سبد 00499</t>
  </si>
  <si>
    <t>07615/</t>
  </si>
  <si>
    <t>شکوفه زار صورتی  6844</t>
  </si>
  <si>
    <t>01867/</t>
  </si>
  <si>
    <t>08289/</t>
  </si>
  <si>
    <t>کد سبد 00500</t>
  </si>
  <si>
    <t>02025/</t>
  </si>
  <si>
    <t>03849/</t>
  </si>
  <si>
    <t>02844/</t>
  </si>
  <si>
    <t>کد سبد 001</t>
  </si>
  <si>
    <t>06391/</t>
  </si>
  <si>
    <t>07478/</t>
  </si>
  <si>
    <t>کد سبد 002</t>
  </si>
  <si>
    <t>06384/</t>
  </si>
  <si>
    <t>07476/</t>
  </si>
  <si>
    <t>کد سبد 003</t>
  </si>
  <si>
    <t>04260/</t>
  </si>
  <si>
    <t>طرح کهکشانی 6050</t>
  </si>
  <si>
    <t>09795/</t>
  </si>
  <si>
    <t>کد سبد 004</t>
  </si>
  <si>
    <t>06397/</t>
  </si>
  <si>
    <t>03883/</t>
  </si>
  <si>
    <t>کد سبد 005</t>
  </si>
  <si>
    <t>05082/</t>
  </si>
  <si>
    <t>02516/</t>
  </si>
  <si>
    <t>کد سبد 006</t>
  </si>
  <si>
    <t>05085/</t>
  </si>
  <si>
    <t>0940/</t>
  </si>
  <si>
    <t>کد سبد 007</t>
  </si>
  <si>
    <t xml:space="preserve">پروانه رویایی 6675زرد </t>
  </si>
  <si>
    <t>06792/</t>
  </si>
  <si>
    <t>0885/</t>
  </si>
  <si>
    <t>کد سبد 008</t>
  </si>
  <si>
    <t>01945/</t>
  </si>
  <si>
    <t>02902/</t>
  </si>
  <si>
    <t>کد سبد 009</t>
  </si>
  <si>
    <t>پروانه رویایی 6675 صورتی</t>
  </si>
  <si>
    <t>کد سبد 0010</t>
  </si>
  <si>
    <t>البالویی زمینه مشکی خالدار قرمز 6177</t>
  </si>
  <si>
    <t>02264/</t>
  </si>
  <si>
    <t>03884/</t>
  </si>
  <si>
    <t>کد سبد 0011</t>
  </si>
  <si>
    <t>05091/</t>
  </si>
  <si>
    <t>01660/</t>
  </si>
  <si>
    <t>کد سبد 0012</t>
  </si>
  <si>
    <t>04210/</t>
  </si>
  <si>
    <t>کد سبد 0013</t>
  </si>
  <si>
    <t>06271/</t>
  </si>
  <si>
    <t>06290/</t>
  </si>
  <si>
    <t>کد سبد 0014</t>
  </si>
  <si>
    <t>06386/</t>
  </si>
  <si>
    <t>06245/</t>
  </si>
  <si>
    <t>کد سبد 0015</t>
  </si>
  <si>
    <t>طرح رز بزرگ مشکی 6731</t>
  </si>
  <si>
    <t>06393/</t>
  </si>
  <si>
    <t>06263/</t>
  </si>
  <si>
    <t>کد سبد 0016</t>
  </si>
  <si>
    <t>03875/</t>
  </si>
  <si>
    <t>06294/</t>
  </si>
  <si>
    <t>کد سبد 0017</t>
  </si>
  <si>
    <t>شکوفه سبز ماچا 6866</t>
  </si>
  <si>
    <t>06247/</t>
  </si>
  <si>
    <t>06293/</t>
  </si>
  <si>
    <t>کد سبد 0018</t>
  </si>
  <si>
    <t>طرح خرس وروباه 6672</t>
  </si>
  <si>
    <t>0388/</t>
  </si>
  <si>
    <t>06279/</t>
  </si>
  <si>
    <t>کد سبد 0019</t>
  </si>
  <si>
    <t>برون لاین فرندز شکلاتی 5093</t>
  </si>
  <si>
    <t>03872/</t>
  </si>
  <si>
    <t>05069/</t>
  </si>
  <si>
    <t>کد سبد 0020</t>
  </si>
  <si>
    <t>06282/</t>
  </si>
  <si>
    <t>06237/</t>
  </si>
  <si>
    <t>کد سبد 0021</t>
  </si>
  <si>
    <t>07858/</t>
  </si>
  <si>
    <t>0616/</t>
  </si>
  <si>
    <t>کد سبد 0022</t>
  </si>
  <si>
    <t>04249/</t>
  </si>
  <si>
    <t>04209/</t>
  </si>
  <si>
    <t>کد سبد 0023</t>
  </si>
  <si>
    <t>06250/</t>
  </si>
  <si>
    <t>02913/</t>
  </si>
  <si>
    <t>کد سبد 0024</t>
  </si>
  <si>
    <t>04219/</t>
  </si>
  <si>
    <t>04252/</t>
  </si>
  <si>
    <t>کد سبد 0025</t>
  </si>
  <si>
    <t>طرح انار 6071</t>
  </si>
  <si>
    <t>07901/</t>
  </si>
  <si>
    <t xml:space="preserve"> باغ هزار گل 6811</t>
  </si>
  <si>
    <t>05094/</t>
  </si>
  <si>
    <t>کد سبد 0026</t>
  </si>
  <si>
    <t>نوشته نستعلیق 1064</t>
  </si>
  <si>
    <t>07881/</t>
  </si>
  <si>
    <t>0611/</t>
  </si>
  <si>
    <t>کد سبد 0027</t>
  </si>
  <si>
    <t>05110/</t>
  </si>
  <si>
    <t>04235/</t>
  </si>
  <si>
    <t>کد سبد 0028</t>
  </si>
  <si>
    <t>06383/</t>
  </si>
  <si>
    <t>04215/</t>
  </si>
  <si>
    <t>کد سبد 0029</t>
  </si>
  <si>
    <t>07855/</t>
  </si>
  <si>
    <t>05095/</t>
  </si>
  <si>
    <t>کد سبد 0030</t>
  </si>
  <si>
    <t>طرح گل ابی 5006</t>
  </si>
  <si>
    <t>06299/</t>
  </si>
  <si>
    <t>04218/</t>
  </si>
  <si>
    <t>کد سبد 0031</t>
  </si>
  <si>
    <t>کد سبد 0032</t>
  </si>
  <si>
    <t>طرح گل 5004</t>
  </si>
  <si>
    <t>04190/</t>
  </si>
  <si>
    <t>کد سبد 0033</t>
  </si>
  <si>
    <t>04191/</t>
  </si>
  <si>
    <t>06737/</t>
  </si>
  <si>
    <t>کد سبد 0034</t>
  </si>
  <si>
    <t>طرح لیمو 7038</t>
  </si>
  <si>
    <t>04155/</t>
  </si>
  <si>
    <t>04344/</t>
  </si>
  <si>
    <t>کد سبد 0035</t>
  </si>
  <si>
    <t>04179/</t>
  </si>
  <si>
    <t>04341/</t>
  </si>
  <si>
    <t>کد سبد 0036</t>
  </si>
  <si>
    <t>04335/</t>
  </si>
  <si>
    <t>06506/</t>
  </si>
  <si>
    <t>کد سبد 0037</t>
  </si>
  <si>
    <t>جنگل دیور 6545</t>
  </si>
  <si>
    <t>04175/</t>
  </si>
  <si>
    <t>06739/</t>
  </si>
  <si>
    <t>کد سبد 0038</t>
  </si>
  <si>
    <t>04142/</t>
  </si>
  <si>
    <t>04337/</t>
  </si>
  <si>
    <t>کد سبد 0039</t>
  </si>
  <si>
    <t>04173/</t>
  </si>
  <si>
    <t>06253/</t>
  </si>
  <si>
    <t>کد سبد 0040</t>
  </si>
  <si>
    <t>07396/</t>
  </si>
  <si>
    <t>03092/</t>
  </si>
  <si>
    <t>کد سبد 0041</t>
  </si>
  <si>
    <t>04159/</t>
  </si>
  <si>
    <t>06495/</t>
  </si>
  <si>
    <t>کد سبد 0042</t>
  </si>
  <si>
    <t>گیلاس 2071</t>
  </si>
  <si>
    <t>04143/</t>
  </si>
  <si>
    <t>01573/</t>
  </si>
  <si>
    <t>کد سبد 0043</t>
  </si>
  <si>
    <t>06708/</t>
  </si>
  <si>
    <t>کد سبد 0044</t>
  </si>
  <si>
    <t>شکوفه وگنجشک سبز 6839</t>
  </si>
  <si>
    <t>گوچی صورتی 6821</t>
  </si>
  <si>
    <t>06489/</t>
  </si>
  <si>
    <t>کد سبد 0045</t>
  </si>
  <si>
    <t>07397/</t>
  </si>
  <si>
    <t>06601/</t>
  </si>
  <si>
    <t>کد سبد 0046</t>
  </si>
  <si>
    <t>قلب قلبی 6749</t>
  </si>
  <si>
    <t>08315/</t>
  </si>
  <si>
    <t>کد سبد 0047</t>
  </si>
  <si>
    <t xml:space="preserve">پروانه رویایی 6675 نارنجی </t>
  </si>
  <si>
    <t>کد سبد 0048</t>
  </si>
  <si>
    <t>06509/</t>
  </si>
  <si>
    <t>کد سبد 0049</t>
  </si>
  <si>
    <t>034/</t>
  </si>
  <si>
    <t>کد سبد 0050</t>
  </si>
  <si>
    <t>پروانه رویایی 6675</t>
  </si>
  <si>
    <t>07384/</t>
  </si>
  <si>
    <t>02938/</t>
  </si>
  <si>
    <t>کد سبد 0051</t>
  </si>
  <si>
    <t>06381/</t>
  </si>
  <si>
    <t>کد سبد 0052</t>
  </si>
  <si>
    <t>07877/</t>
  </si>
  <si>
    <t>04334/</t>
  </si>
  <si>
    <t>کد سبد 0053</t>
  </si>
  <si>
    <t>افتاب گردان 2056</t>
  </si>
  <si>
    <t>کد سبد 0054</t>
  </si>
  <si>
    <t>01576/</t>
  </si>
  <si>
    <t>کد سبد 0055</t>
  </si>
  <si>
    <t>01104/</t>
  </si>
  <si>
    <t>کد سبد 0056</t>
  </si>
  <si>
    <t>کد سبد 0057</t>
  </si>
  <si>
    <t>04233/</t>
  </si>
  <si>
    <t>کد سبد 0058</t>
  </si>
  <si>
    <t>06736/</t>
  </si>
  <si>
    <t>06741/</t>
  </si>
  <si>
    <t>کد سبد 0059</t>
  </si>
  <si>
    <t>کد سبد 0060</t>
  </si>
  <si>
    <t>کد سبد 0061</t>
  </si>
  <si>
    <t>شکوفه وپرنده یلدایی قرمز 6765</t>
  </si>
  <si>
    <t>04154/</t>
  </si>
  <si>
    <t>کد سبد 0062</t>
  </si>
  <si>
    <t>07393/</t>
  </si>
  <si>
    <t>06720/</t>
  </si>
  <si>
    <t>کد سبد 0063</t>
  </si>
  <si>
    <t>کد سبد 0064</t>
  </si>
  <si>
    <t>بابونه گل گلی 6747</t>
  </si>
  <si>
    <t>هزار گل سرمه ای 6836</t>
  </si>
  <si>
    <t>کد سبد 0065</t>
  </si>
  <si>
    <t>طرح چیریکی صورتی 1029</t>
  </si>
  <si>
    <t>06799/</t>
  </si>
  <si>
    <t>کد سبد 00566</t>
  </si>
  <si>
    <t>راه راه بابونه 6345</t>
  </si>
  <si>
    <t>04193/</t>
  </si>
  <si>
    <t>کد سبد 0067</t>
  </si>
  <si>
    <t>گل و پرنده 3011</t>
  </si>
  <si>
    <t>06499/</t>
  </si>
  <si>
    <t>کد سبد 0068</t>
  </si>
  <si>
    <t>06719/</t>
  </si>
  <si>
    <t>پرنده کرمی یلدایی 6886</t>
  </si>
  <si>
    <t>کد سبد 0069</t>
  </si>
  <si>
    <t xml:space="preserve">الیزه </t>
  </si>
  <si>
    <t>06517/</t>
  </si>
  <si>
    <t>کد سبد 0070</t>
  </si>
  <si>
    <t>06606/</t>
  </si>
  <si>
    <t>کد سبد 0071</t>
  </si>
  <si>
    <t>04158/</t>
  </si>
  <si>
    <t>04230/</t>
  </si>
  <si>
    <t>کد سبد 0072</t>
  </si>
  <si>
    <t>04203/</t>
  </si>
  <si>
    <t>گل لاله 6676</t>
  </si>
  <si>
    <t>کد سبد 0073</t>
  </si>
  <si>
    <t>06775/</t>
  </si>
  <si>
    <t>کد سبد 0074</t>
  </si>
  <si>
    <t>کد سبد 0075</t>
  </si>
  <si>
    <t>04150/</t>
  </si>
  <si>
    <t>06777/</t>
  </si>
  <si>
    <t>ِِ</t>
  </si>
  <si>
    <t>کد سبد 0076</t>
  </si>
  <si>
    <t>گوچی بافت دار 6058</t>
  </si>
  <si>
    <t>کد سبد 0077</t>
  </si>
  <si>
    <t>کد سبد 0078</t>
  </si>
  <si>
    <t>هرمس ابی 6684</t>
  </si>
  <si>
    <t>کد سبد 0079</t>
  </si>
  <si>
    <t>کد سبد 0080</t>
  </si>
  <si>
    <t>04355/</t>
  </si>
  <si>
    <t>کد سبد 0081</t>
  </si>
  <si>
    <t>السا وانا 2026</t>
  </si>
  <si>
    <t>06747/</t>
  </si>
  <si>
    <t>کد سبد 0082</t>
  </si>
  <si>
    <t>طرح گل 5038</t>
  </si>
  <si>
    <t>06644/</t>
  </si>
  <si>
    <t>06581/</t>
  </si>
  <si>
    <t>کد سبد 0083</t>
  </si>
  <si>
    <t>بابونه خالدار ابی 6364</t>
  </si>
  <si>
    <t>07389/</t>
  </si>
  <si>
    <t>06385/</t>
  </si>
  <si>
    <t>کد سبد 0084</t>
  </si>
  <si>
    <t>01455/</t>
  </si>
  <si>
    <t>کد سبد 0085</t>
  </si>
  <si>
    <t>05092/</t>
  </si>
  <si>
    <t>06507/</t>
  </si>
  <si>
    <t>کد سبد 0086</t>
  </si>
  <si>
    <t>01801/</t>
  </si>
  <si>
    <t>08316/</t>
  </si>
  <si>
    <t>کد سبد 0087</t>
  </si>
  <si>
    <t>قلب قرمز 6783</t>
  </si>
  <si>
    <t>04180/</t>
  </si>
  <si>
    <t>کد سبد 0088</t>
  </si>
  <si>
    <t>پروانه ومرغ بهاری 6674</t>
  </si>
  <si>
    <t>06647/</t>
  </si>
  <si>
    <t>کد سبد 0089</t>
  </si>
  <si>
    <t>07863/</t>
  </si>
  <si>
    <t>08340/</t>
  </si>
  <si>
    <t>کد سبد 0090</t>
  </si>
  <si>
    <t>گل وپرنده 7045</t>
  </si>
  <si>
    <t>06755/</t>
  </si>
  <si>
    <t>08326/</t>
  </si>
  <si>
    <t>کد سبد 0091</t>
  </si>
  <si>
    <t>07896/</t>
  </si>
  <si>
    <t>044/</t>
  </si>
  <si>
    <t>کد سبد 0092</t>
  </si>
  <si>
    <t>07390/</t>
  </si>
  <si>
    <t>04333/</t>
  </si>
  <si>
    <t>کد سبد 0093</t>
  </si>
  <si>
    <t>04144/</t>
  </si>
  <si>
    <t>کد سبد 0094</t>
  </si>
  <si>
    <t>طرح قلب 4041</t>
  </si>
  <si>
    <t>04170/</t>
  </si>
  <si>
    <t>کهکشان (گلگسی) 6050</t>
  </si>
  <si>
    <t>کد سبد 0095</t>
  </si>
  <si>
    <t>کد سبد 0096</t>
  </si>
  <si>
    <t>لویی ویتون زمینه سرمه ای 6198</t>
  </si>
  <si>
    <t>کد سبد 0097</t>
  </si>
  <si>
    <t>پرنده طلایی 6888</t>
  </si>
  <si>
    <t>کد سبد 0098</t>
  </si>
  <si>
    <t>07889/</t>
  </si>
  <si>
    <t>کد سبد 0099</t>
  </si>
  <si>
    <t>04336/</t>
  </si>
  <si>
    <t>کد سبد 00100</t>
  </si>
  <si>
    <t>پرنده سبزیلدایی 6766</t>
  </si>
  <si>
    <t>07392/</t>
  </si>
  <si>
    <t>گل 5041 - 6329</t>
  </si>
  <si>
    <t>کاشی پرنده 6686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</si>
</sst>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00"/>
    <numFmt numFmtId="165" formatCode="_(* #,##0_);_(* \(#,##0\);_(* &quot;-&quot;??_);_(@_)"/>
    <numFmt numFmtId="166" formatCode="0000"/>
  </numFmts>
  <fonts count="11">
    <font>
      <sz val="11"/>
      <color theme="1"/>
      <name val="Calibri"/>
      <scheme val="minor"/>
    </font>
    <font>
      <sz val="20"/>
      <color theme="1"/>
      <name val="Calibri"/>
    </font>
    <font>
      <sz val="11"/>
      <name val="Calibri"/>
    </font>
    <font>
      <sz val="14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2"/>
      <color rgb="FF000000"/>
      <name val="Arial"/>
    </font>
    <font>
      <sz val="11"/>
      <color rgb="FF070707"/>
      <name val="Inherit"/>
    </font>
    <font>
      <sz val="11"/>
      <color rgb="FF333333"/>
      <name val="Pinar"/>
    </font>
    <font>
      <sz val="14"/>
      <color rgb="FF000000"/>
      <name val="Vazirmatn"/>
    </font>
  </fonts>
  <fills count="10">
    <fill>
      <patternFill patternType="none"/>
    </fill>
    <fill>
      <patternFill patternType="gray125"/>
    </fill>
    <fill>
      <patternFill patternType="solid">
        <fgColor rgb="FFF3D6D6"/>
        <bgColor rgb="FFF3D6D6"/>
      </patternFill>
    </fill>
    <fill>
      <patternFill patternType="solid">
        <fgColor rgb="FFCFE0F4"/>
        <bgColor rgb="FFCFE0F4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D9E7F6"/>
        <bgColor rgb="FFD9E7F6"/>
      </patternFill>
    </fill>
    <fill>
      <patternFill patternType="solid">
        <fgColor rgb="FFB7E1A1"/>
        <bgColor rgb="FFB7E1A1"/>
      </patternFill>
    </fill>
    <fill>
      <patternFill patternType="solid">
        <fgColor rgb="FFDBE5F1"/>
        <bgColor rgb="FFDBE5F1"/>
      </patternFill>
    </fill>
    <fill>
      <patternFill patternType="solid">
        <fgColor rgb="FFF7F7F7"/>
        <bgColor rgb="FFF7F7F7"/>
      </patternFill>
    </fill>
  </fills>
  <borders count="9">
    <border>
      <left/>
      <right/>
      <top/>
      <bottom/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4" borderId="0" xfId="0" applyFont="1" applyFill="1" applyAlignment="1">
      <alignment horizontal="right"/>
    </xf>
    <xf numFmtId="164" fontId="5" fillId="4" borderId="0" xfId="0" applyNumberFormat="1" applyFont="1" applyFill="1"/>
    <xf numFmtId="165" fontId="3" fillId="0" borderId="5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5" fillId="5" borderId="0" xfId="0" applyFont="1" applyFill="1" applyAlignment="1">
      <alignment horizontal="right"/>
    </xf>
    <xf numFmtId="164" fontId="5" fillId="5" borderId="0" xfId="0" applyNumberFormat="1" applyFont="1" applyFill="1"/>
    <xf numFmtId="165" fontId="3" fillId="0" borderId="4" xfId="0" applyNumberFormat="1" applyFont="1" applyBorder="1" applyAlignment="1">
      <alignment horizontal="right" vertical="center"/>
    </xf>
    <xf numFmtId="0" fontId="5" fillId="5" borderId="0" xfId="0" applyFont="1" applyFill="1"/>
    <xf numFmtId="0" fontId="3" fillId="0" borderId="4" xfId="0" applyFont="1" applyBorder="1" applyAlignment="1">
      <alignment horizontal="center" vertical="center"/>
    </xf>
    <xf numFmtId="3" fontId="1" fillId="6" borderId="4" xfId="0" applyNumberFormat="1" applyFont="1" applyFill="1" applyBorder="1" applyAlignment="1">
      <alignment horizontal="center" vertical="center"/>
    </xf>
    <xf numFmtId="3" fontId="1" fillId="7" borderId="4" xfId="0" applyNumberFormat="1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 applyAlignment="1">
      <alignment horizontal="center" vertical="center"/>
    </xf>
    <xf numFmtId="0" fontId="5" fillId="4" borderId="0" xfId="0" applyFont="1" applyFill="1"/>
    <xf numFmtId="164" fontId="5" fillId="4" borderId="0" xfId="0" applyNumberFormat="1" applyFont="1" applyFill="1" applyAlignment="1">
      <alignment horizontal="right"/>
    </xf>
    <xf numFmtId="164" fontId="5" fillId="5" borderId="0" xfId="0" applyNumberFormat="1" applyFont="1" applyFill="1" applyAlignment="1">
      <alignment horizontal="right"/>
    </xf>
    <xf numFmtId="0" fontId="5" fillId="4" borderId="6" xfId="0" applyFont="1" applyFill="1" applyBorder="1" applyAlignment="1">
      <alignment horizontal="right"/>
    </xf>
    <xf numFmtId="164" fontId="5" fillId="4" borderId="5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right"/>
    </xf>
    <xf numFmtId="0" fontId="5" fillId="5" borderId="6" xfId="0" applyFont="1" applyFill="1" applyBorder="1" applyAlignment="1">
      <alignment horizontal="right"/>
    </xf>
    <xf numFmtId="164" fontId="5" fillId="5" borderId="5" xfId="0" applyNumberFormat="1" applyFont="1" applyFill="1" applyBorder="1" applyAlignment="1">
      <alignment horizontal="center"/>
    </xf>
    <xf numFmtId="0" fontId="5" fillId="5" borderId="5" xfId="0" applyFont="1" applyFill="1" applyBorder="1" applyAlignment="1">
      <alignment horizontal="right"/>
    </xf>
    <xf numFmtId="166" fontId="5" fillId="5" borderId="0" xfId="0" applyNumberFormat="1" applyFont="1" applyFill="1" applyAlignment="1">
      <alignment horizontal="right"/>
    </xf>
    <xf numFmtId="0" fontId="5" fillId="4" borderId="4" xfId="0" applyFont="1" applyFill="1" applyBorder="1" applyAlignment="1">
      <alignment horizontal="right"/>
    </xf>
    <xf numFmtId="166" fontId="5" fillId="4" borderId="0" xfId="0" applyNumberFormat="1" applyFont="1" applyFill="1" applyAlignment="1">
      <alignment horizontal="right"/>
    </xf>
    <xf numFmtId="0" fontId="3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0" borderId="0" xfId="0" applyFont="1"/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3" borderId="4" xfId="0" applyFont="1" applyFill="1" applyBorder="1"/>
    <xf numFmtId="0" fontId="1" fillId="0" borderId="4" xfId="0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0" fontId="5" fillId="0" borderId="4" xfId="0" applyFont="1" applyBorder="1"/>
    <xf numFmtId="0" fontId="3" fillId="0" borderId="4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3" fontId="1" fillId="6" borderId="4" xfId="0" applyNumberFormat="1" applyFont="1" applyFill="1" applyBorder="1" applyAlignment="1">
      <alignment horizontal="center"/>
    </xf>
    <xf numFmtId="3" fontId="1" fillId="7" borderId="4" xfId="0" applyNumberFormat="1" applyFont="1" applyFill="1" applyBorder="1" applyAlignment="1">
      <alignment horizontal="center"/>
    </xf>
    <xf numFmtId="165" fontId="3" fillId="0" borderId="4" xfId="0" applyNumberFormat="1" applyFont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164" fontId="5" fillId="4" borderId="8" xfId="0" applyNumberFormat="1" applyFont="1" applyFill="1" applyBorder="1"/>
    <xf numFmtId="0" fontId="5" fillId="4" borderId="8" xfId="0" applyFont="1" applyFill="1" applyBorder="1" applyAlignment="1">
      <alignment horizontal="right"/>
    </xf>
    <xf numFmtId="0" fontId="7" fillId="0" borderId="0" xfId="0" applyFont="1"/>
    <xf numFmtId="0" fontId="5" fillId="0" borderId="6" xfId="0" applyFont="1" applyBorder="1"/>
    <xf numFmtId="164" fontId="5" fillId="0" borderId="5" xfId="0" applyNumberFormat="1" applyFont="1" applyBorder="1"/>
    <xf numFmtId="0" fontId="5" fillId="0" borderId="5" xfId="0" applyFont="1" applyBorder="1"/>
    <xf numFmtId="0" fontId="6" fillId="0" borderId="0" xfId="0" applyFont="1"/>
    <xf numFmtId="0" fontId="5" fillId="8" borderId="7" xfId="0" applyFont="1" applyFill="1" applyBorder="1"/>
    <xf numFmtId="164" fontId="5" fillId="8" borderId="8" xfId="0" applyNumberFormat="1" applyFont="1" applyFill="1" applyBorder="1"/>
    <xf numFmtId="0" fontId="5" fillId="8" borderId="8" xfId="0" applyFont="1" applyFill="1" applyBorder="1"/>
    <xf numFmtId="0" fontId="5" fillId="0" borderId="6" xfId="0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right" vertical="center"/>
    </xf>
    <xf numFmtId="165" fontId="5" fillId="0" borderId="4" xfId="0" applyNumberFormat="1" applyFont="1" applyBorder="1"/>
    <xf numFmtId="0" fontId="8" fillId="9" borderId="0" xfId="0" applyFont="1" applyFill="1" applyAlignment="1">
      <alignment horizontal="right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4" xfId="0" applyFont="1" applyBorder="1" applyAlignment="1">
      <alignment horizontal="right" vertical="center"/>
    </xf>
    <xf numFmtId="0" fontId="9" fillId="4" borderId="0" xfId="0" applyFont="1" applyFill="1" applyAlignment="1">
      <alignment horizontal="center" wrapText="1"/>
    </xf>
    <xf numFmtId="165" fontId="4" fillId="0" borderId="4" xfId="0" applyNumberFormat="1" applyFont="1" applyBorder="1" applyAlignment="1">
      <alignment horizontal="right" vertical="center"/>
    </xf>
    <xf numFmtId="0" fontId="1" fillId="0" borderId="0" xfId="0" applyFont="1"/>
    <xf numFmtId="0" fontId="1" fillId="2" borderId="4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right"/>
    </xf>
    <xf numFmtId="164" fontId="5" fillId="5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>
      <alignment horizontal="right"/>
    </xf>
    <xf numFmtId="164" fontId="5" fillId="8" borderId="8" xfId="0" applyNumberFormat="1" applyFont="1" applyFill="1" applyBorder="1" applyAlignment="1">
      <alignment horizontal="center"/>
    </xf>
    <xf numFmtId="166" fontId="5" fillId="4" borderId="0" xfId="0" applyNumberFormat="1" applyFont="1" applyFill="1"/>
    <xf numFmtId="166" fontId="5" fillId="5" borderId="0" xfId="0" applyNumberFormat="1" applyFont="1" applyFill="1"/>
    <xf numFmtId="165" fontId="4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5" fillId="8" borderId="7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6" borderId="1" xfId="0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886"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</dxfs>
  <tableStyles count="443">
    <tableStyle name="فلاح و علی-style" pivot="0" count="2" xr9:uid="{00000000-0011-0000-FFFF-FFFF00000000}">
      <tableStyleElement type="firstRowStripe" dxfId="885"/>
      <tableStyleElement type="secondRowStripe" dxfId="884"/>
    </tableStyle>
    <tableStyle name="فلاح و علی-style 2" pivot="0" count="2" xr9:uid="{00000000-0011-0000-FFFF-FFFF01000000}">
      <tableStyleElement type="firstRowStripe" dxfId="883"/>
      <tableStyleElement type="secondRowStripe" dxfId="882"/>
    </tableStyle>
    <tableStyle name="فلاح و علی-style 3" pivot="0" count="2" xr9:uid="{00000000-0011-0000-FFFF-FFFF02000000}">
      <tableStyleElement type="firstRowStripe" dxfId="881"/>
      <tableStyleElement type="secondRowStripe" dxfId="880"/>
    </tableStyle>
    <tableStyle name="فلاح و علی-style 4" pivot="0" count="2" xr9:uid="{00000000-0011-0000-FFFF-FFFF03000000}">
      <tableStyleElement type="firstRowStripe" dxfId="879"/>
      <tableStyleElement type="secondRowStripe" dxfId="878"/>
    </tableStyle>
    <tableStyle name="فلاح و علی-style 5" pivot="0" count="2" xr9:uid="{00000000-0011-0000-FFFF-FFFF04000000}">
      <tableStyleElement type="firstRowStripe" dxfId="877"/>
      <tableStyleElement type="secondRowStripe" dxfId="876"/>
    </tableStyle>
    <tableStyle name="فلاح و علی-style 6" pivot="0" count="2" xr9:uid="{00000000-0011-0000-FFFF-FFFF05000000}">
      <tableStyleElement type="firstRowStripe" dxfId="875"/>
      <tableStyleElement type="secondRowStripe" dxfId="874"/>
    </tableStyle>
    <tableStyle name="فلاح و علی-style 7" pivot="0" count="2" xr9:uid="{00000000-0011-0000-FFFF-FFFF06000000}">
      <tableStyleElement type="firstRowStripe" dxfId="873"/>
      <tableStyleElement type="secondRowStripe" dxfId="872"/>
    </tableStyle>
    <tableStyle name="فلاح و علی-style 8" pivot="0" count="2" xr9:uid="{00000000-0011-0000-FFFF-FFFF07000000}">
      <tableStyleElement type="firstRowStripe" dxfId="871"/>
      <tableStyleElement type="secondRowStripe" dxfId="870"/>
    </tableStyle>
    <tableStyle name="فلاح و علی-style 9" pivot="0" count="2" xr9:uid="{00000000-0011-0000-FFFF-FFFF08000000}">
      <tableStyleElement type="firstRowStripe" dxfId="869"/>
      <tableStyleElement type="secondRowStripe" dxfId="868"/>
    </tableStyle>
    <tableStyle name="فلاح و علی-style 10" pivot="0" count="2" xr9:uid="{00000000-0011-0000-FFFF-FFFF09000000}">
      <tableStyleElement type="firstRowStripe" dxfId="867"/>
      <tableStyleElement type="secondRowStripe" dxfId="866"/>
    </tableStyle>
    <tableStyle name="فلاح و علی-style 11" pivot="0" count="2" xr9:uid="{00000000-0011-0000-FFFF-FFFF0A000000}">
      <tableStyleElement type="firstRowStripe" dxfId="865"/>
      <tableStyleElement type="secondRowStripe" dxfId="864"/>
    </tableStyle>
    <tableStyle name="فلاح و علی-style 12" pivot="0" count="2" xr9:uid="{00000000-0011-0000-FFFF-FFFF0B000000}">
      <tableStyleElement type="firstRowStripe" dxfId="863"/>
      <tableStyleElement type="secondRowStripe" dxfId="862"/>
    </tableStyle>
    <tableStyle name="فلاح و علی-style 13" pivot="0" count="2" xr9:uid="{00000000-0011-0000-FFFF-FFFF0C000000}">
      <tableStyleElement type="firstRowStripe" dxfId="861"/>
      <tableStyleElement type="secondRowStripe" dxfId="860"/>
    </tableStyle>
    <tableStyle name="فلاح و علی-style 14" pivot="0" count="2" xr9:uid="{00000000-0011-0000-FFFF-FFFF0D000000}">
      <tableStyleElement type="firstRowStripe" dxfId="859"/>
      <tableStyleElement type="secondRowStripe" dxfId="858"/>
    </tableStyle>
    <tableStyle name="فلاح و علی-style 15" pivot="0" count="2" xr9:uid="{00000000-0011-0000-FFFF-FFFF0E000000}">
      <tableStyleElement type="firstRowStripe" dxfId="857"/>
      <tableStyleElement type="secondRowStripe" dxfId="856"/>
    </tableStyle>
    <tableStyle name="فلاح و علی-style 16" pivot="0" count="2" xr9:uid="{00000000-0011-0000-FFFF-FFFF0F000000}">
      <tableStyleElement type="firstRowStripe" dxfId="855"/>
      <tableStyleElement type="secondRowStripe" dxfId="854"/>
    </tableStyle>
    <tableStyle name="فلاح و علی-style 17" pivot="0" count="2" xr9:uid="{00000000-0011-0000-FFFF-FFFF10000000}">
      <tableStyleElement type="firstRowStripe" dxfId="853"/>
      <tableStyleElement type="secondRowStripe" dxfId="852"/>
    </tableStyle>
    <tableStyle name="فلاح و علی-style 18" pivot="0" count="2" xr9:uid="{00000000-0011-0000-FFFF-FFFF11000000}">
      <tableStyleElement type="firstRowStripe" dxfId="851"/>
      <tableStyleElement type="secondRowStripe" dxfId="850"/>
    </tableStyle>
    <tableStyle name="فلاح و علی-style 19" pivot="0" count="2" xr9:uid="{00000000-0011-0000-FFFF-FFFF12000000}">
      <tableStyleElement type="firstRowStripe" dxfId="849"/>
      <tableStyleElement type="secondRowStripe" dxfId="848"/>
    </tableStyle>
    <tableStyle name="فلاح و علی-style 20" pivot="0" count="2" xr9:uid="{00000000-0011-0000-FFFF-FFFF13000000}">
      <tableStyleElement type="firstRowStripe" dxfId="847"/>
      <tableStyleElement type="secondRowStripe" dxfId="846"/>
    </tableStyle>
    <tableStyle name="فلاح و علی-style 21" pivot="0" count="2" xr9:uid="{00000000-0011-0000-FFFF-FFFF14000000}">
      <tableStyleElement type="firstRowStripe" dxfId="845"/>
      <tableStyleElement type="secondRowStripe" dxfId="844"/>
    </tableStyle>
    <tableStyle name="فلاح و علی-style 22" pivot="0" count="2" xr9:uid="{00000000-0011-0000-FFFF-FFFF15000000}">
      <tableStyleElement type="firstRowStripe" dxfId="843"/>
      <tableStyleElement type="secondRowStripe" dxfId="842"/>
    </tableStyle>
    <tableStyle name="فلاح و علی-style 23" pivot="0" count="2" xr9:uid="{00000000-0011-0000-FFFF-FFFF16000000}">
      <tableStyleElement type="firstRowStripe" dxfId="841"/>
      <tableStyleElement type="secondRowStripe" dxfId="840"/>
    </tableStyle>
    <tableStyle name="فلاح و علی-style 24" pivot="0" count="2" xr9:uid="{00000000-0011-0000-FFFF-FFFF17000000}">
      <tableStyleElement type="firstRowStripe" dxfId="839"/>
      <tableStyleElement type="secondRowStripe" dxfId="838"/>
    </tableStyle>
    <tableStyle name="فلاح و علی-style 25" pivot="0" count="2" xr9:uid="{00000000-0011-0000-FFFF-FFFF18000000}">
      <tableStyleElement type="firstRowStripe" dxfId="837"/>
      <tableStyleElement type="secondRowStripe" dxfId="836"/>
    </tableStyle>
    <tableStyle name="فلاح و علی-style 26" pivot="0" count="2" xr9:uid="{00000000-0011-0000-FFFF-FFFF19000000}">
      <tableStyleElement type="firstRowStripe" dxfId="835"/>
      <tableStyleElement type="secondRowStripe" dxfId="834"/>
    </tableStyle>
    <tableStyle name="فلاح و علی-style 27" pivot="0" count="2" xr9:uid="{00000000-0011-0000-FFFF-FFFF1A000000}">
      <tableStyleElement type="firstRowStripe" dxfId="833"/>
      <tableStyleElement type="secondRowStripe" dxfId="832"/>
    </tableStyle>
    <tableStyle name="فلاح و علی-style 28" pivot="0" count="2" xr9:uid="{00000000-0011-0000-FFFF-FFFF1B000000}">
      <tableStyleElement type="firstRowStripe" dxfId="831"/>
      <tableStyleElement type="secondRowStripe" dxfId="830"/>
    </tableStyle>
    <tableStyle name="فلاح و علی-style 29" pivot="0" count="2" xr9:uid="{00000000-0011-0000-FFFF-FFFF1C000000}">
      <tableStyleElement type="firstRowStripe" dxfId="829"/>
      <tableStyleElement type="secondRowStripe" dxfId="828"/>
    </tableStyle>
    <tableStyle name="فلاح و علی-style 30" pivot="0" count="2" xr9:uid="{00000000-0011-0000-FFFF-FFFF1D000000}">
      <tableStyleElement type="firstRowStripe" dxfId="827"/>
      <tableStyleElement type="secondRowStripe" dxfId="826"/>
    </tableStyle>
    <tableStyle name="فلاح و علی-style 31" pivot="0" count="2" xr9:uid="{00000000-0011-0000-FFFF-FFFF1E000000}">
      <tableStyleElement type="firstRowStripe" dxfId="825"/>
      <tableStyleElement type="secondRowStripe" dxfId="824"/>
    </tableStyle>
    <tableStyle name="فلاح و علی-style 32" pivot="0" count="2" xr9:uid="{00000000-0011-0000-FFFF-FFFF1F000000}">
      <tableStyleElement type="firstRowStripe" dxfId="823"/>
      <tableStyleElement type="secondRowStripe" dxfId="822"/>
    </tableStyle>
    <tableStyle name="فلاح و علی-style 33" pivot="0" count="2" xr9:uid="{00000000-0011-0000-FFFF-FFFF20000000}">
      <tableStyleElement type="firstRowStripe" dxfId="821"/>
      <tableStyleElement type="secondRowStripe" dxfId="820"/>
    </tableStyle>
    <tableStyle name="فلاح و علی-style 34" pivot="0" count="2" xr9:uid="{00000000-0011-0000-FFFF-FFFF21000000}">
      <tableStyleElement type="firstRowStripe" dxfId="819"/>
      <tableStyleElement type="secondRowStripe" dxfId="818"/>
    </tableStyle>
    <tableStyle name="فلاح و علی-style 35" pivot="0" count="2" xr9:uid="{00000000-0011-0000-FFFF-FFFF22000000}">
      <tableStyleElement type="firstRowStripe" dxfId="817"/>
      <tableStyleElement type="secondRowStripe" dxfId="816"/>
    </tableStyle>
    <tableStyle name="فلاح و علی-style 36" pivot="0" count="2" xr9:uid="{00000000-0011-0000-FFFF-FFFF23000000}">
      <tableStyleElement type="firstRowStripe" dxfId="815"/>
      <tableStyleElement type="secondRowStripe" dxfId="814"/>
    </tableStyle>
    <tableStyle name="فلاح و علی-style 37" pivot="0" count="2" xr9:uid="{00000000-0011-0000-FFFF-FFFF24000000}">
      <tableStyleElement type="firstRowStripe" dxfId="813"/>
      <tableStyleElement type="secondRowStripe" dxfId="812"/>
    </tableStyle>
    <tableStyle name="فلاح و علی-style 38" pivot="0" count="2" xr9:uid="{00000000-0011-0000-FFFF-FFFF25000000}">
      <tableStyleElement type="firstRowStripe" dxfId="811"/>
      <tableStyleElement type="secondRowStripe" dxfId="810"/>
    </tableStyle>
    <tableStyle name="فلاح و علی-style 39" pivot="0" count="2" xr9:uid="{00000000-0011-0000-FFFF-FFFF26000000}">
      <tableStyleElement type="firstRowStripe" dxfId="809"/>
      <tableStyleElement type="secondRowStripe" dxfId="808"/>
    </tableStyle>
    <tableStyle name="فلاح و علی-style 40" pivot="0" count="2" xr9:uid="{00000000-0011-0000-FFFF-FFFF27000000}">
      <tableStyleElement type="firstRowStripe" dxfId="807"/>
      <tableStyleElement type="secondRowStripe" dxfId="806"/>
    </tableStyle>
    <tableStyle name="فلاح و علی-style 41" pivot="0" count="2" xr9:uid="{00000000-0011-0000-FFFF-FFFF28000000}">
      <tableStyleElement type="firstRowStripe" dxfId="805"/>
      <tableStyleElement type="secondRowStripe" dxfId="804"/>
    </tableStyle>
    <tableStyle name="فلاح و علی-style 42" pivot="0" count="2" xr9:uid="{00000000-0011-0000-FFFF-FFFF29000000}">
      <tableStyleElement type="firstRowStripe" dxfId="803"/>
      <tableStyleElement type="secondRowStripe" dxfId="802"/>
    </tableStyle>
    <tableStyle name="فلاح و علی-style 43" pivot="0" count="2" xr9:uid="{00000000-0011-0000-FFFF-FFFF2A000000}">
      <tableStyleElement type="firstRowStripe" dxfId="801"/>
      <tableStyleElement type="secondRowStripe" dxfId="800"/>
    </tableStyle>
    <tableStyle name="فلاح و علی-style 44" pivot="0" count="2" xr9:uid="{00000000-0011-0000-FFFF-FFFF2B000000}">
      <tableStyleElement type="firstRowStripe" dxfId="799"/>
      <tableStyleElement type="secondRowStripe" dxfId="798"/>
    </tableStyle>
    <tableStyle name="فلاح و علی-style 45" pivot="0" count="2" xr9:uid="{00000000-0011-0000-FFFF-FFFF2C000000}">
      <tableStyleElement type="firstRowStripe" dxfId="797"/>
      <tableStyleElement type="secondRowStripe" dxfId="796"/>
    </tableStyle>
    <tableStyle name="فلاح و علی-style 46" pivot="0" count="2" xr9:uid="{00000000-0011-0000-FFFF-FFFF2D000000}">
      <tableStyleElement type="firstRowStripe" dxfId="795"/>
      <tableStyleElement type="secondRowStripe" dxfId="794"/>
    </tableStyle>
    <tableStyle name="فلاح و علی-style 47" pivot="0" count="2" xr9:uid="{00000000-0011-0000-FFFF-FFFF2E000000}">
      <tableStyleElement type="firstRowStripe" dxfId="793"/>
      <tableStyleElement type="secondRowStripe" dxfId="792"/>
    </tableStyle>
    <tableStyle name="فلاح و علی-style 48" pivot="0" count="2" xr9:uid="{00000000-0011-0000-FFFF-FFFF2F000000}">
      <tableStyleElement type="firstRowStripe" dxfId="791"/>
      <tableStyleElement type="secondRowStripe" dxfId="790"/>
    </tableStyle>
    <tableStyle name="فلاح و علی-style 49" pivot="0" count="2" xr9:uid="{00000000-0011-0000-FFFF-FFFF30000000}">
      <tableStyleElement type="firstRowStripe" dxfId="789"/>
      <tableStyleElement type="secondRowStripe" dxfId="788"/>
    </tableStyle>
    <tableStyle name="فلاح و علی-style 50" pivot="0" count="2" xr9:uid="{00000000-0011-0000-FFFF-FFFF31000000}">
      <tableStyleElement type="firstRowStripe" dxfId="787"/>
      <tableStyleElement type="secondRowStripe" dxfId="786"/>
    </tableStyle>
    <tableStyle name="فلاح و علی-style 51" pivot="0" count="2" xr9:uid="{00000000-0011-0000-FFFF-FFFF32000000}">
      <tableStyleElement type="firstRowStripe" dxfId="785"/>
      <tableStyleElement type="secondRowStripe" dxfId="784"/>
    </tableStyle>
    <tableStyle name="فلاح و علی-style 52" pivot="0" count="2" xr9:uid="{00000000-0011-0000-FFFF-FFFF33000000}">
      <tableStyleElement type="firstRowStripe" dxfId="783"/>
      <tableStyleElement type="secondRowStripe" dxfId="782"/>
    </tableStyle>
    <tableStyle name="فلاح و علی-style 53" pivot="0" count="2" xr9:uid="{00000000-0011-0000-FFFF-FFFF34000000}">
      <tableStyleElement type="firstRowStripe" dxfId="781"/>
      <tableStyleElement type="secondRowStripe" dxfId="780"/>
    </tableStyle>
    <tableStyle name="فلاح و علی-style 54" pivot="0" count="2" xr9:uid="{00000000-0011-0000-FFFF-FFFF35000000}">
      <tableStyleElement type="firstRowStripe" dxfId="779"/>
      <tableStyleElement type="secondRowStripe" dxfId="778"/>
    </tableStyle>
    <tableStyle name="فلاح و علی-style 55" pivot="0" count="2" xr9:uid="{00000000-0011-0000-FFFF-FFFF36000000}">
      <tableStyleElement type="firstRowStripe" dxfId="777"/>
      <tableStyleElement type="secondRowStripe" dxfId="776"/>
    </tableStyle>
    <tableStyle name="فلاح و علی-style 56" pivot="0" count="2" xr9:uid="{00000000-0011-0000-FFFF-FFFF37000000}">
      <tableStyleElement type="firstRowStripe" dxfId="775"/>
      <tableStyleElement type="secondRowStripe" dxfId="774"/>
    </tableStyle>
    <tableStyle name="فلاح و علی-style 57" pivot="0" count="2" xr9:uid="{00000000-0011-0000-FFFF-FFFF38000000}">
      <tableStyleElement type="firstRowStripe" dxfId="773"/>
      <tableStyleElement type="secondRowStripe" dxfId="772"/>
    </tableStyle>
    <tableStyle name="فلاح و علی-style 58" pivot="0" count="2" xr9:uid="{00000000-0011-0000-FFFF-FFFF39000000}">
      <tableStyleElement type="firstRowStripe" dxfId="771"/>
      <tableStyleElement type="secondRowStripe" dxfId="770"/>
    </tableStyle>
    <tableStyle name="فلاح و علی-style 59" pivot="0" count="2" xr9:uid="{00000000-0011-0000-FFFF-FFFF3A000000}">
      <tableStyleElement type="firstRowStripe" dxfId="769"/>
      <tableStyleElement type="secondRowStripe" dxfId="768"/>
    </tableStyle>
    <tableStyle name="فلاح و علی-style 60" pivot="0" count="2" xr9:uid="{00000000-0011-0000-FFFF-FFFF3B000000}">
      <tableStyleElement type="firstRowStripe" dxfId="767"/>
      <tableStyleElement type="secondRowStripe" dxfId="766"/>
    </tableStyle>
    <tableStyle name="فلاح و علی-style 61" pivot="0" count="2" xr9:uid="{00000000-0011-0000-FFFF-FFFF3C000000}">
      <tableStyleElement type="firstRowStripe" dxfId="765"/>
      <tableStyleElement type="secondRowStripe" dxfId="764"/>
    </tableStyle>
    <tableStyle name="فلاح و علی-style 62" pivot="0" count="2" xr9:uid="{00000000-0011-0000-FFFF-FFFF3D000000}">
      <tableStyleElement type="firstRowStripe" dxfId="763"/>
      <tableStyleElement type="secondRowStripe" dxfId="762"/>
    </tableStyle>
    <tableStyle name="فلاح و علی-style 63" pivot="0" count="2" xr9:uid="{00000000-0011-0000-FFFF-FFFF3E000000}">
      <tableStyleElement type="firstRowStripe" dxfId="761"/>
      <tableStyleElement type="secondRowStripe" dxfId="760"/>
    </tableStyle>
    <tableStyle name="فلاح و علی-style 64" pivot="0" count="2" xr9:uid="{00000000-0011-0000-FFFF-FFFF3F000000}">
      <tableStyleElement type="firstRowStripe" dxfId="759"/>
      <tableStyleElement type="secondRowStripe" dxfId="758"/>
    </tableStyle>
    <tableStyle name="فلاح و علی-style 65" pivot="0" count="2" xr9:uid="{00000000-0011-0000-FFFF-FFFF40000000}">
      <tableStyleElement type="firstRowStripe" dxfId="757"/>
      <tableStyleElement type="secondRowStripe" dxfId="756"/>
    </tableStyle>
    <tableStyle name="فلاح و علی-style 66" pivot="0" count="2" xr9:uid="{00000000-0011-0000-FFFF-FFFF41000000}">
      <tableStyleElement type="firstRowStripe" dxfId="755"/>
      <tableStyleElement type="secondRowStripe" dxfId="754"/>
    </tableStyle>
    <tableStyle name="فلاح و علی-style 67" pivot="0" count="2" xr9:uid="{00000000-0011-0000-FFFF-FFFF42000000}">
      <tableStyleElement type="firstRowStripe" dxfId="753"/>
      <tableStyleElement type="secondRowStripe" dxfId="752"/>
    </tableStyle>
    <tableStyle name="فلاح و علی-style 68" pivot="0" count="2" xr9:uid="{00000000-0011-0000-FFFF-FFFF43000000}">
      <tableStyleElement type="firstRowStripe" dxfId="751"/>
      <tableStyleElement type="secondRowStripe" dxfId="750"/>
    </tableStyle>
    <tableStyle name="فلاح و علی-style 69" pivot="0" count="2" xr9:uid="{00000000-0011-0000-FFFF-FFFF44000000}">
      <tableStyleElement type="firstRowStripe" dxfId="749"/>
      <tableStyleElement type="secondRowStripe" dxfId="748"/>
    </tableStyle>
    <tableStyle name="فلاح و علی-style 70" pivot="0" count="2" xr9:uid="{00000000-0011-0000-FFFF-FFFF45000000}">
      <tableStyleElement type="firstRowStripe" dxfId="747"/>
      <tableStyleElement type="secondRowStripe" dxfId="746"/>
    </tableStyle>
    <tableStyle name="فلاح و علی-style 71" pivot="0" count="2" xr9:uid="{00000000-0011-0000-FFFF-FFFF46000000}">
      <tableStyleElement type="firstRowStripe" dxfId="745"/>
      <tableStyleElement type="secondRowStripe" dxfId="744"/>
    </tableStyle>
    <tableStyle name="فلاح و علی-style 72" pivot="0" count="2" xr9:uid="{00000000-0011-0000-FFFF-FFFF47000000}">
      <tableStyleElement type="firstRowStripe" dxfId="743"/>
      <tableStyleElement type="secondRowStripe" dxfId="742"/>
    </tableStyle>
    <tableStyle name="فلاح و علی-style 73" pivot="0" count="2" xr9:uid="{00000000-0011-0000-FFFF-FFFF48000000}">
      <tableStyleElement type="firstRowStripe" dxfId="741"/>
      <tableStyleElement type="secondRowStripe" dxfId="740"/>
    </tableStyle>
    <tableStyle name="فلاح و علی-style 74" pivot="0" count="2" xr9:uid="{00000000-0011-0000-FFFF-FFFF49000000}">
      <tableStyleElement type="firstRowStripe" dxfId="739"/>
      <tableStyleElement type="secondRowStripe" dxfId="738"/>
    </tableStyle>
    <tableStyle name="فلاح و علی-style 75" pivot="0" count="2" xr9:uid="{00000000-0011-0000-FFFF-FFFF4A000000}">
      <tableStyleElement type="firstRowStripe" dxfId="737"/>
      <tableStyleElement type="secondRowStripe" dxfId="736"/>
    </tableStyle>
    <tableStyle name="فلاح و علی-style 76" pivot="0" count="2" xr9:uid="{00000000-0011-0000-FFFF-FFFF4B000000}">
      <tableStyleElement type="firstRowStripe" dxfId="735"/>
      <tableStyleElement type="secondRowStripe" dxfId="734"/>
    </tableStyle>
    <tableStyle name="فلاح و علی-style 77" pivot="0" count="2" xr9:uid="{00000000-0011-0000-FFFF-FFFF4C000000}">
      <tableStyleElement type="firstRowStripe" dxfId="733"/>
      <tableStyleElement type="secondRowStripe" dxfId="732"/>
    </tableStyle>
    <tableStyle name="فلاح و علی-style 78" pivot="0" count="2" xr9:uid="{00000000-0011-0000-FFFF-FFFF4D000000}">
      <tableStyleElement type="firstRowStripe" dxfId="731"/>
      <tableStyleElement type="secondRowStripe" dxfId="730"/>
    </tableStyle>
    <tableStyle name="فلاح و علی-style 79" pivot="0" count="2" xr9:uid="{00000000-0011-0000-FFFF-FFFF4E000000}">
      <tableStyleElement type="firstRowStripe" dxfId="729"/>
      <tableStyleElement type="secondRowStripe" dxfId="728"/>
    </tableStyle>
    <tableStyle name="فلاح و علی-style 80" pivot="0" count="2" xr9:uid="{00000000-0011-0000-FFFF-FFFF4F000000}">
      <tableStyleElement type="firstRowStripe" dxfId="727"/>
      <tableStyleElement type="secondRowStripe" dxfId="726"/>
    </tableStyle>
    <tableStyle name="فلاح و علی-style 81" pivot="0" count="2" xr9:uid="{00000000-0011-0000-FFFF-FFFF50000000}">
      <tableStyleElement type="firstRowStripe" dxfId="725"/>
      <tableStyleElement type="secondRowStripe" dxfId="724"/>
    </tableStyle>
    <tableStyle name="فلاح و علی-style 82" pivot="0" count="2" xr9:uid="{00000000-0011-0000-FFFF-FFFF51000000}">
      <tableStyleElement type="firstRowStripe" dxfId="723"/>
      <tableStyleElement type="secondRowStripe" dxfId="722"/>
    </tableStyle>
    <tableStyle name="فلاح و علی-style 83" pivot="0" count="2" xr9:uid="{00000000-0011-0000-FFFF-FFFF52000000}">
      <tableStyleElement type="firstRowStripe" dxfId="721"/>
      <tableStyleElement type="secondRowStripe" dxfId="720"/>
    </tableStyle>
    <tableStyle name="فلاح و علی-style 84" pivot="0" count="2" xr9:uid="{00000000-0011-0000-FFFF-FFFF53000000}">
      <tableStyleElement type="firstRowStripe" dxfId="719"/>
      <tableStyleElement type="secondRowStripe" dxfId="718"/>
    </tableStyle>
    <tableStyle name="فلاح و علی-style 85" pivot="0" count="2" xr9:uid="{00000000-0011-0000-FFFF-FFFF54000000}">
      <tableStyleElement type="firstRowStripe" dxfId="717"/>
      <tableStyleElement type="secondRowStripe" dxfId="716"/>
    </tableStyle>
    <tableStyle name="فلاح و علی-style 86" pivot="0" count="2" xr9:uid="{00000000-0011-0000-FFFF-FFFF55000000}">
      <tableStyleElement type="firstRowStripe" dxfId="715"/>
      <tableStyleElement type="secondRowStripe" dxfId="714"/>
    </tableStyle>
    <tableStyle name="فلاح و علی-style 87" pivot="0" count="2" xr9:uid="{00000000-0011-0000-FFFF-FFFF56000000}">
      <tableStyleElement type="firstRowStripe" dxfId="713"/>
      <tableStyleElement type="secondRowStripe" dxfId="712"/>
    </tableStyle>
    <tableStyle name="فلاح و علی-style 88" pivot="0" count="2" xr9:uid="{00000000-0011-0000-FFFF-FFFF57000000}">
      <tableStyleElement type="firstRowStripe" dxfId="711"/>
      <tableStyleElement type="secondRowStripe" dxfId="710"/>
    </tableStyle>
    <tableStyle name="فلاح و علی-style 89" pivot="0" count="2" xr9:uid="{00000000-0011-0000-FFFF-FFFF58000000}">
      <tableStyleElement type="firstRowStripe" dxfId="709"/>
      <tableStyleElement type="secondRowStripe" dxfId="708"/>
    </tableStyle>
    <tableStyle name="فلاح و علی-style 90" pivot="0" count="2" xr9:uid="{00000000-0011-0000-FFFF-FFFF59000000}">
      <tableStyleElement type="firstRowStripe" dxfId="707"/>
      <tableStyleElement type="secondRowStripe" dxfId="706"/>
    </tableStyle>
    <tableStyle name="فلاح و علی-style 91" pivot="0" count="2" xr9:uid="{00000000-0011-0000-FFFF-FFFF5A000000}">
      <tableStyleElement type="firstRowStripe" dxfId="705"/>
      <tableStyleElement type="secondRowStripe" dxfId="704"/>
    </tableStyle>
    <tableStyle name="فلاح و علی-style 92" pivot="0" count="2" xr9:uid="{00000000-0011-0000-FFFF-FFFF5B000000}">
      <tableStyleElement type="firstRowStripe" dxfId="703"/>
      <tableStyleElement type="secondRowStripe" dxfId="702"/>
    </tableStyle>
    <tableStyle name="فلاح و علی-style 93" pivot="0" count="2" xr9:uid="{00000000-0011-0000-FFFF-FFFF5C000000}">
      <tableStyleElement type="firstRowStripe" dxfId="701"/>
      <tableStyleElement type="secondRowStripe" dxfId="700"/>
    </tableStyle>
    <tableStyle name="فلاح و علی-style 94" pivot="0" count="2" xr9:uid="{00000000-0011-0000-FFFF-FFFF5D000000}">
      <tableStyleElement type="firstRowStripe" dxfId="699"/>
      <tableStyleElement type="secondRowStripe" dxfId="698"/>
    </tableStyle>
    <tableStyle name="فلاح و علی-style 95" pivot="0" count="2" xr9:uid="{00000000-0011-0000-FFFF-FFFF5E000000}">
      <tableStyleElement type="firstRowStripe" dxfId="697"/>
      <tableStyleElement type="secondRowStripe" dxfId="696"/>
    </tableStyle>
    <tableStyle name="فلاح و علی-style 96" pivot="0" count="2" xr9:uid="{00000000-0011-0000-FFFF-FFFF5F000000}">
      <tableStyleElement type="firstRowStripe" dxfId="695"/>
      <tableStyleElement type="secondRowStripe" dxfId="694"/>
    </tableStyle>
    <tableStyle name="فلاح و علی-style 97" pivot="0" count="2" xr9:uid="{00000000-0011-0000-FFFF-FFFF60000000}">
      <tableStyleElement type="firstRowStripe" dxfId="693"/>
      <tableStyleElement type="secondRowStripe" dxfId="692"/>
    </tableStyle>
    <tableStyle name="فلاح و علی-style 98" pivot="0" count="2" xr9:uid="{00000000-0011-0000-FFFF-FFFF61000000}">
      <tableStyleElement type="firstRowStripe" dxfId="691"/>
      <tableStyleElement type="secondRowStripe" dxfId="690"/>
    </tableStyle>
    <tableStyle name="فلاح و علی-style 99" pivot="0" count="2" xr9:uid="{00000000-0011-0000-FFFF-FFFF62000000}">
      <tableStyleElement type="firstRowStripe" dxfId="689"/>
      <tableStyleElement type="secondRowStripe" dxfId="688"/>
    </tableStyle>
    <tableStyle name="فلاح و علی-style 100" pivot="0" count="2" xr9:uid="{00000000-0011-0000-FFFF-FFFF63000000}">
      <tableStyleElement type="firstRowStripe" dxfId="687"/>
      <tableStyleElement type="secondRowStripe" dxfId="686"/>
    </tableStyle>
    <tableStyle name="فلاح و علی-style 101" pivot="0" count="2" xr9:uid="{00000000-0011-0000-FFFF-FFFF64000000}">
      <tableStyleElement type="firstRowStripe" dxfId="685"/>
      <tableStyleElement type="secondRowStripe" dxfId="684"/>
    </tableStyle>
    <tableStyle name="فلاح و علی-style 102" pivot="0" count="2" xr9:uid="{00000000-0011-0000-FFFF-FFFF65000000}">
      <tableStyleElement type="firstRowStripe" dxfId="683"/>
      <tableStyleElement type="secondRowStripe" dxfId="682"/>
    </tableStyle>
    <tableStyle name="فلاح و علی-style 103" pivot="0" count="2" xr9:uid="{00000000-0011-0000-FFFF-FFFF66000000}">
      <tableStyleElement type="firstRowStripe" dxfId="681"/>
      <tableStyleElement type="secondRowStripe" dxfId="680"/>
    </tableStyle>
    <tableStyle name="فلاح و علی-style 104" pivot="0" count="2" xr9:uid="{00000000-0011-0000-FFFF-FFFF67000000}">
      <tableStyleElement type="firstRowStripe" dxfId="679"/>
      <tableStyleElement type="secondRowStripe" dxfId="678"/>
    </tableStyle>
    <tableStyle name="فلاح و علی-style 105" pivot="0" count="2" xr9:uid="{00000000-0011-0000-FFFF-FFFF68000000}">
      <tableStyleElement type="firstRowStripe" dxfId="677"/>
      <tableStyleElement type="secondRowStripe" dxfId="676"/>
    </tableStyle>
    <tableStyle name="فلاح و علی-style 106" pivot="0" count="2" xr9:uid="{00000000-0011-0000-FFFF-FFFF69000000}">
      <tableStyleElement type="firstRowStripe" dxfId="675"/>
      <tableStyleElement type="secondRowStripe" dxfId="674"/>
    </tableStyle>
    <tableStyle name="فلاح و علی-style 107" pivot="0" count="2" xr9:uid="{00000000-0011-0000-FFFF-FFFF6A000000}">
      <tableStyleElement type="firstRowStripe" dxfId="673"/>
      <tableStyleElement type="secondRowStripe" dxfId="672"/>
    </tableStyle>
    <tableStyle name="فلاح و علی-style 108" pivot="0" count="2" xr9:uid="{00000000-0011-0000-FFFF-FFFF6B000000}">
      <tableStyleElement type="firstRowStripe" dxfId="671"/>
      <tableStyleElement type="secondRowStripe" dxfId="670"/>
    </tableStyle>
    <tableStyle name="فلاح و علی-style 109" pivot="0" count="2" xr9:uid="{00000000-0011-0000-FFFF-FFFF6C000000}">
      <tableStyleElement type="firstRowStripe" dxfId="669"/>
      <tableStyleElement type="secondRowStripe" dxfId="668"/>
    </tableStyle>
    <tableStyle name="فلاح و علی-style 110" pivot="0" count="2" xr9:uid="{00000000-0011-0000-FFFF-FFFF6D000000}">
      <tableStyleElement type="firstRowStripe" dxfId="667"/>
      <tableStyleElement type="secondRowStripe" dxfId="666"/>
    </tableStyle>
    <tableStyle name="فلاح و علی-style 111" pivot="0" count="2" xr9:uid="{00000000-0011-0000-FFFF-FFFF6E000000}">
      <tableStyleElement type="firstRowStripe" dxfId="665"/>
      <tableStyleElement type="secondRowStripe" dxfId="664"/>
    </tableStyle>
    <tableStyle name="فلاح و علی-style 112" pivot="0" count="2" xr9:uid="{00000000-0011-0000-FFFF-FFFF6F000000}">
      <tableStyleElement type="firstRowStripe" dxfId="663"/>
      <tableStyleElement type="secondRowStripe" dxfId="662"/>
    </tableStyle>
    <tableStyle name="فلاح و علی-style 113" pivot="0" count="2" xr9:uid="{00000000-0011-0000-FFFF-FFFF70000000}">
      <tableStyleElement type="firstRowStripe" dxfId="661"/>
      <tableStyleElement type="secondRowStripe" dxfId="660"/>
    </tableStyle>
    <tableStyle name="فلاح و علی-style 114" pivot="0" count="2" xr9:uid="{00000000-0011-0000-FFFF-FFFF71000000}">
      <tableStyleElement type="firstRowStripe" dxfId="659"/>
      <tableStyleElement type="secondRowStripe" dxfId="658"/>
    </tableStyle>
    <tableStyle name="فلاح و علی-style 115" pivot="0" count="2" xr9:uid="{00000000-0011-0000-FFFF-FFFF72000000}">
      <tableStyleElement type="firstRowStripe" dxfId="657"/>
      <tableStyleElement type="secondRowStripe" dxfId="656"/>
    </tableStyle>
    <tableStyle name="فلاح و علی-style 116" pivot="0" count="2" xr9:uid="{00000000-0011-0000-FFFF-FFFF73000000}">
      <tableStyleElement type="firstRowStripe" dxfId="655"/>
      <tableStyleElement type="secondRowStripe" dxfId="654"/>
    </tableStyle>
    <tableStyle name="فلاح و علی-style 117" pivot="0" count="2" xr9:uid="{00000000-0011-0000-FFFF-FFFF74000000}">
      <tableStyleElement type="firstRowStripe" dxfId="653"/>
      <tableStyleElement type="secondRowStripe" dxfId="652"/>
    </tableStyle>
    <tableStyle name="فلاح و علی-style 118" pivot="0" count="2" xr9:uid="{00000000-0011-0000-FFFF-FFFF75000000}">
      <tableStyleElement type="firstRowStripe" dxfId="651"/>
      <tableStyleElement type="secondRowStripe" dxfId="650"/>
    </tableStyle>
    <tableStyle name="فلاح و علی-style 119" pivot="0" count="2" xr9:uid="{00000000-0011-0000-FFFF-FFFF76000000}">
      <tableStyleElement type="firstRowStripe" dxfId="649"/>
      <tableStyleElement type="secondRowStripe" dxfId="648"/>
    </tableStyle>
    <tableStyle name="فلاح و علی-style 120" pivot="0" count="2" xr9:uid="{00000000-0011-0000-FFFF-FFFF77000000}">
      <tableStyleElement type="firstRowStripe" dxfId="647"/>
      <tableStyleElement type="secondRowStripe" dxfId="646"/>
    </tableStyle>
    <tableStyle name="فلاح و علی-style 121" pivot="0" count="2" xr9:uid="{00000000-0011-0000-FFFF-FFFF78000000}">
      <tableStyleElement type="firstRowStripe" dxfId="645"/>
      <tableStyleElement type="secondRowStripe" dxfId="644"/>
    </tableStyle>
    <tableStyle name="فلاح و علی-style 122" pivot="0" count="2" xr9:uid="{00000000-0011-0000-FFFF-FFFF79000000}">
      <tableStyleElement type="firstRowStripe" dxfId="643"/>
      <tableStyleElement type="secondRowStripe" dxfId="642"/>
    </tableStyle>
    <tableStyle name="فلاح و علی-style 123" pivot="0" count="2" xr9:uid="{00000000-0011-0000-FFFF-FFFF7A000000}">
      <tableStyleElement type="firstRowStripe" dxfId="641"/>
      <tableStyleElement type="secondRowStripe" dxfId="640"/>
    </tableStyle>
    <tableStyle name="فلاح و علی-style 124" pivot="0" count="2" xr9:uid="{00000000-0011-0000-FFFF-FFFF7B000000}">
      <tableStyleElement type="firstRowStripe" dxfId="639"/>
      <tableStyleElement type="secondRowStripe" dxfId="638"/>
    </tableStyle>
    <tableStyle name="فلاح و علی-style 125" pivot="0" count="2" xr9:uid="{00000000-0011-0000-FFFF-FFFF7C000000}">
      <tableStyleElement type="firstRowStripe" dxfId="637"/>
      <tableStyleElement type="secondRowStripe" dxfId="636"/>
    </tableStyle>
    <tableStyle name="فلاح و علی-style 126" pivot="0" count="2" xr9:uid="{00000000-0011-0000-FFFF-FFFF7D000000}">
      <tableStyleElement type="firstRowStripe" dxfId="635"/>
      <tableStyleElement type="secondRowStripe" dxfId="634"/>
    </tableStyle>
    <tableStyle name="فلاح و علی-style 127" pivot="0" count="2" xr9:uid="{00000000-0011-0000-FFFF-FFFF7E000000}">
      <tableStyleElement type="firstRowStripe" dxfId="633"/>
      <tableStyleElement type="secondRowStripe" dxfId="632"/>
    </tableStyle>
    <tableStyle name="فلاح و علی-style 128" pivot="0" count="2" xr9:uid="{00000000-0011-0000-FFFF-FFFF7F000000}">
      <tableStyleElement type="firstRowStripe" dxfId="631"/>
      <tableStyleElement type="secondRowStripe" dxfId="630"/>
    </tableStyle>
    <tableStyle name="فلاح و علی-style 129" pivot="0" count="2" xr9:uid="{00000000-0011-0000-FFFF-FFFF80000000}">
      <tableStyleElement type="firstRowStripe" dxfId="629"/>
      <tableStyleElement type="secondRowStripe" dxfId="628"/>
    </tableStyle>
    <tableStyle name="فلاح و علی-style 130" pivot="0" count="2" xr9:uid="{00000000-0011-0000-FFFF-FFFF81000000}">
      <tableStyleElement type="firstRowStripe" dxfId="627"/>
      <tableStyleElement type="secondRowStripe" dxfId="626"/>
    </tableStyle>
    <tableStyle name="فلاح و علی-style 131" pivot="0" count="2" xr9:uid="{00000000-0011-0000-FFFF-FFFF82000000}">
      <tableStyleElement type="firstRowStripe" dxfId="625"/>
      <tableStyleElement type="secondRowStripe" dxfId="624"/>
    </tableStyle>
    <tableStyle name="فلاح و علی-style 132" pivot="0" count="2" xr9:uid="{00000000-0011-0000-FFFF-FFFF83000000}">
      <tableStyleElement type="firstRowStripe" dxfId="623"/>
      <tableStyleElement type="secondRowStripe" dxfId="622"/>
    </tableStyle>
    <tableStyle name="فلاح و علی-style 133" pivot="0" count="2" xr9:uid="{00000000-0011-0000-FFFF-FFFF84000000}">
      <tableStyleElement type="firstRowStripe" dxfId="621"/>
      <tableStyleElement type="secondRowStripe" dxfId="620"/>
    </tableStyle>
    <tableStyle name="فلاح و علی-style 134" pivot="0" count="2" xr9:uid="{00000000-0011-0000-FFFF-FFFF85000000}">
      <tableStyleElement type="firstRowStripe" dxfId="619"/>
      <tableStyleElement type="secondRowStripe" dxfId="618"/>
    </tableStyle>
    <tableStyle name="فلاح و علی-style 135" pivot="0" count="2" xr9:uid="{00000000-0011-0000-FFFF-FFFF86000000}">
      <tableStyleElement type="firstRowStripe" dxfId="617"/>
      <tableStyleElement type="secondRowStripe" dxfId="616"/>
    </tableStyle>
    <tableStyle name="فلاح و علی-style 136" pivot="0" count="2" xr9:uid="{00000000-0011-0000-FFFF-FFFF87000000}">
      <tableStyleElement type="firstRowStripe" dxfId="615"/>
      <tableStyleElement type="secondRowStripe" dxfId="614"/>
    </tableStyle>
    <tableStyle name="فلاح و علی-style 137" pivot="0" count="2" xr9:uid="{00000000-0011-0000-FFFF-FFFF88000000}">
      <tableStyleElement type="firstRowStripe" dxfId="613"/>
      <tableStyleElement type="secondRowStripe" dxfId="612"/>
    </tableStyle>
    <tableStyle name="فلاح و علی-style 138" pivot="0" count="2" xr9:uid="{00000000-0011-0000-FFFF-FFFF89000000}">
      <tableStyleElement type="firstRowStripe" dxfId="611"/>
      <tableStyleElement type="secondRowStripe" dxfId="610"/>
    </tableStyle>
    <tableStyle name="فلاح و علی-style 139" pivot="0" count="2" xr9:uid="{00000000-0011-0000-FFFF-FFFF8A000000}">
      <tableStyleElement type="firstRowStripe" dxfId="609"/>
      <tableStyleElement type="secondRowStripe" dxfId="608"/>
    </tableStyle>
    <tableStyle name="فلاح و علی-style 140" pivot="0" count="2" xr9:uid="{00000000-0011-0000-FFFF-FFFF8B000000}">
      <tableStyleElement type="firstRowStripe" dxfId="607"/>
      <tableStyleElement type="secondRowStripe" dxfId="606"/>
    </tableStyle>
    <tableStyle name="فلاح و علی-style 141" pivot="0" count="2" xr9:uid="{00000000-0011-0000-FFFF-FFFF8C000000}">
      <tableStyleElement type="firstRowStripe" dxfId="605"/>
      <tableStyleElement type="secondRowStripe" dxfId="604"/>
    </tableStyle>
    <tableStyle name="فلاح و علی-style 142" pivot="0" count="2" xr9:uid="{00000000-0011-0000-FFFF-FFFF8D000000}">
      <tableStyleElement type="firstRowStripe" dxfId="603"/>
      <tableStyleElement type="secondRowStripe" dxfId="602"/>
    </tableStyle>
    <tableStyle name="فلاح و علی-style 143" pivot="0" count="2" xr9:uid="{00000000-0011-0000-FFFF-FFFF8E000000}">
      <tableStyleElement type="firstRowStripe" dxfId="601"/>
      <tableStyleElement type="secondRowStripe" dxfId="600"/>
    </tableStyle>
    <tableStyle name="فلاح و علی-style 144" pivot="0" count="2" xr9:uid="{00000000-0011-0000-FFFF-FFFF8F000000}">
      <tableStyleElement type="firstRowStripe" dxfId="599"/>
      <tableStyleElement type="secondRowStripe" dxfId="598"/>
    </tableStyle>
    <tableStyle name="فلاح و علی-style 145" pivot="0" count="2" xr9:uid="{00000000-0011-0000-FFFF-FFFF90000000}">
      <tableStyleElement type="firstRowStripe" dxfId="597"/>
      <tableStyleElement type="secondRowStripe" dxfId="596"/>
    </tableStyle>
    <tableStyle name="فلاح و علی-style 146" pivot="0" count="2" xr9:uid="{00000000-0011-0000-FFFF-FFFF91000000}">
      <tableStyleElement type="firstRowStripe" dxfId="595"/>
      <tableStyleElement type="secondRowStripe" dxfId="594"/>
    </tableStyle>
    <tableStyle name="فلاح و علی-style 147" pivot="0" count="2" xr9:uid="{00000000-0011-0000-FFFF-FFFF92000000}">
      <tableStyleElement type="firstRowStripe" dxfId="593"/>
      <tableStyleElement type="secondRowStripe" dxfId="592"/>
    </tableStyle>
    <tableStyle name="فلاح و علی-style 148" pivot="0" count="2" xr9:uid="{00000000-0011-0000-FFFF-FFFF93000000}">
      <tableStyleElement type="firstRowStripe" dxfId="591"/>
      <tableStyleElement type="secondRowStripe" dxfId="590"/>
    </tableStyle>
    <tableStyle name="فلاح و علی-style 149" pivot="0" count="2" xr9:uid="{00000000-0011-0000-FFFF-FFFF94000000}">
      <tableStyleElement type="firstRowStripe" dxfId="589"/>
      <tableStyleElement type="secondRowStripe" dxfId="588"/>
    </tableStyle>
    <tableStyle name="فلاح و علی-style 150" pivot="0" count="2" xr9:uid="{00000000-0011-0000-FFFF-FFFF95000000}">
      <tableStyleElement type="firstRowStripe" dxfId="587"/>
      <tableStyleElement type="secondRowStripe" dxfId="586"/>
    </tableStyle>
    <tableStyle name="فلاح و علی-style 151" pivot="0" count="2" xr9:uid="{00000000-0011-0000-FFFF-FFFF96000000}">
      <tableStyleElement type="firstRowStripe" dxfId="585"/>
      <tableStyleElement type="secondRowStripe" dxfId="584"/>
    </tableStyle>
    <tableStyle name="فلاح و علی-style 152" pivot="0" count="2" xr9:uid="{00000000-0011-0000-FFFF-FFFF97000000}">
      <tableStyleElement type="firstRowStripe" dxfId="583"/>
      <tableStyleElement type="secondRowStripe" dxfId="582"/>
    </tableStyle>
    <tableStyle name="فلاح و علی-style 153" pivot="0" count="2" xr9:uid="{00000000-0011-0000-FFFF-FFFF98000000}">
      <tableStyleElement type="firstRowStripe" dxfId="581"/>
      <tableStyleElement type="secondRowStripe" dxfId="580"/>
    </tableStyle>
    <tableStyle name="فلاح و علی-style 154" pivot="0" count="2" xr9:uid="{00000000-0011-0000-FFFF-FFFF99000000}">
      <tableStyleElement type="firstRowStripe" dxfId="579"/>
      <tableStyleElement type="secondRowStripe" dxfId="578"/>
    </tableStyle>
    <tableStyle name="فلاح و علی-style 155" pivot="0" count="2" xr9:uid="{00000000-0011-0000-FFFF-FFFF9A000000}">
      <tableStyleElement type="firstRowStripe" dxfId="577"/>
      <tableStyleElement type="secondRowStripe" dxfId="576"/>
    </tableStyle>
    <tableStyle name="فلاح و علی-style 156" pivot="0" count="2" xr9:uid="{00000000-0011-0000-FFFF-FFFF9B000000}">
      <tableStyleElement type="firstRowStripe" dxfId="575"/>
      <tableStyleElement type="secondRowStripe" dxfId="574"/>
    </tableStyle>
    <tableStyle name="فلاح و علی-style 157" pivot="0" count="2" xr9:uid="{00000000-0011-0000-FFFF-FFFF9C000000}">
      <tableStyleElement type="firstRowStripe" dxfId="573"/>
      <tableStyleElement type="secondRowStripe" dxfId="572"/>
    </tableStyle>
    <tableStyle name="فلاح و علی-style 158" pivot="0" count="2" xr9:uid="{00000000-0011-0000-FFFF-FFFF9D000000}">
      <tableStyleElement type="firstRowStripe" dxfId="571"/>
      <tableStyleElement type="secondRowStripe" dxfId="570"/>
    </tableStyle>
    <tableStyle name="فلاح و علی-style 159" pivot="0" count="2" xr9:uid="{00000000-0011-0000-FFFF-FFFF9E000000}">
      <tableStyleElement type="firstRowStripe" dxfId="569"/>
      <tableStyleElement type="secondRowStripe" dxfId="568"/>
    </tableStyle>
    <tableStyle name="فلاح و علی-style 160" pivot="0" count="2" xr9:uid="{00000000-0011-0000-FFFF-FFFF9F000000}">
      <tableStyleElement type="firstRowStripe" dxfId="567"/>
      <tableStyleElement type="secondRowStripe" dxfId="566"/>
    </tableStyle>
    <tableStyle name="فلاح و علی-style 161" pivot="0" count="2" xr9:uid="{00000000-0011-0000-FFFF-FFFFA0000000}">
      <tableStyleElement type="firstRowStripe" dxfId="565"/>
      <tableStyleElement type="secondRowStripe" dxfId="564"/>
    </tableStyle>
    <tableStyle name="فلاح و علی-style 162" pivot="0" count="2" xr9:uid="{00000000-0011-0000-FFFF-FFFFA1000000}">
      <tableStyleElement type="firstRowStripe" dxfId="563"/>
      <tableStyleElement type="secondRowStripe" dxfId="562"/>
    </tableStyle>
    <tableStyle name="فلاح و علی-style 163" pivot="0" count="2" xr9:uid="{00000000-0011-0000-FFFF-FFFFA2000000}">
      <tableStyleElement type="firstRowStripe" dxfId="561"/>
      <tableStyleElement type="secondRowStripe" dxfId="560"/>
    </tableStyle>
    <tableStyle name="فلاح و علی-style 164" pivot="0" count="2" xr9:uid="{00000000-0011-0000-FFFF-FFFFA3000000}">
      <tableStyleElement type="firstRowStripe" dxfId="559"/>
      <tableStyleElement type="secondRowStripe" dxfId="558"/>
    </tableStyle>
    <tableStyle name="فلاح و علی-style 165" pivot="0" count="2" xr9:uid="{00000000-0011-0000-FFFF-FFFFA4000000}">
      <tableStyleElement type="firstRowStripe" dxfId="557"/>
      <tableStyleElement type="secondRowStripe" dxfId="556"/>
    </tableStyle>
    <tableStyle name="فلاح و علی-style 166" pivot="0" count="2" xr9:uid="{00000000-0011-0000-FFFF-FFFFA5000000}">
      <tableStyleElement type="firstRowStripe" dxfId="555"/>
      <tableStyleElement type="secondRowStripe" dxfId="554"/>
    </tableStyle>
    <tableStyle name="فلاح و علی-style 167" pivot="0" count="2" xr9:uid="{00000000-0011-0000-FFFF-FFFFA6000000}">
      <tableStyleElement type="firstRowStripe" dxfId="553"/>
      <tableStyleElement type="secondRowStripe" dxfId="552"/>
    </tableStyle>
    <tableStyle name="فلاح و علی-style 168" pivot="0" count="2" xr9:uid="{00000000-0011-0000-FFFF-FFFFA7000000}">
      <tableStyleElement type="firstRowStripe" dxfId="551"/>
      <tableStyleElement type="secondRowStripe" dxfId="550"/>
    </tableStyle>
    <tableStyle name="فلاح و علی-style 169" pivot="0" count="2" xr9:uid="{00000000-0011-0000-FFFF-FFFFA8000000}">
      <tableStyleElement type="firstRowStripe" dxfId="549"/>
      <tableStyleElement type="secondRowStripe" dxfId="548"/>
    </tableStyle>
    <tableStyle name="فلاح و علی-style 170" pivot="0" count="2" xr9:uid="{00000000-0011-0000-FFFF-FFFFA9000000}">
      <tableStyleElement type="firstRowStripe" dxfId="547"/>
      <tableStyleElement type="secondRowStripe" dxfId="546"/>
    </tableStyle>
    <tableStyle name="فلاح و علی-style 171" pivot="0" count="2" xr9:uid="{00000000-0011-0000-FFFF-FFFFAA000000}">
      <tableStyleElement type="firstRowStripe" dxfId="545"/>
      <tableStyleElement type="secondRowStripe" dxfId="544"/>
    </tableStyle>
    <tableStyle name="فلاح و علی-style 172" pivot="0" count="2" xr9:uid="{00000000-0011-0000-FFFF-FFFFAB000000}">
      <tableStyleElement type="firstRowStripe" dxfId="543"/>
      <tableStyleElement type="secondRowStripe" dxfId="542"/>
    </tableStyle>
    <tableStyle name="فلاح و علی-style 173" pivot="0" count="2" xr9:uid="{00000000-0011-0000-FFFF-FFFFAC000000}">
      <tableStyleElement type="firstRowStripe" dxfId="541"/>
      <tableStyleElement type="secondRowStripe" dxfId="540"/>
    </tableStyle>
    <tableStyle name="فلاح و علی-style 174" pivot="0" count="2" xr9:uid="{00000000-0011-0000-FFFF-FFFFAD000000}">
      <tableStyleElement type="firstRowStripe" dxfId="539"/>
      <tableStyleElement type="secondRowStripe" dxfId="538"/>
    </tableStyle>
    <tableStyle name="فلاح و علی-style 175" pivot="0" count="2" xr9:uid="{00000000-0011-0000-FFFF-FFFFAE000000}">
      <tableStyleElement type="firstRowStripe" dxfId="537"/>
      <tableStyleElement type="secondRowStripe" dxfId="536"/>
    </tableStyle>
    <tableStyle name="فلاح و علی-style 176" pivot="0" count="2" xr9:uid="{00000000-0011-0000-FFFF-FFFFAF000000}">
      <tableStyleElement type="firstRowStripe" dxfId="535"/>
      <tableStyleElement type="secondRowStripe" dxfId="534"/>
    </tableStyle>
    <tableStyle name="فلاح و علی-style 177" pivot="0" count="2" xr9:uid="{00000000-0011-0000-FFFF-FFFFB0000000}">
      <tableStyleElement type="firstRowStripe" dxfId="533"/>
      <tableStyleElement type="secondRowStripe" dxfId="532"/>
    </tableStyle>
    <tableStyle name="فلاح و علی-style 178" pivot="0" count="2" xr9:uid="{00000000-0011-0000-FFFF-FFFFB1000000}">
      <tableStyleElement type="firstRowStripe" dxfId="531"/>
      <tableStyleElement type="secondRowStripe" dxfId="530"/>
    </tableStyle>
    <tableStyle name="فلاح و علی-style 179" pivot="0" count="2" xr9:uid="{00000000-0011-0000-FFFF-FFFFB2000000}">
      <tableStyleElement type="firstRowStripe" dxfId="529"/>
      <tableStyleElement type="secondRowStripe" dxfId="528"/>
    </tableStyle>
    <tableStyle name="فلاح و علی-style 180" pivot="0" count="2" xr9:uid="{00000000-0011-0000-FFFF-FFFFB3000000}">
      <tableStyleElement type="firstRowStripe" dxfId="527"/>
      <tableStyleElement type="secondRowStripe" dxfId="526"/>
    </tableStyle>
    <tableStyle name="فلاح و علی-style 181" pivot="0" count="2" xr9:uid="{00000000-0011-0000-FFFF-FFFFB4000000}">
      <tableStyleElement type="firstRowStripe" dxfId="525"/>
      <tableStyleElement type="secondRowStripe" dxfId="524"/>
    </tableStyle>
    <tableStyle name="فلاح و علی-style 182" pivot="0" count="2" xr9:uid="{00000000-0011-0000-FFFF-FFFFB5000000}">
      <tableStyleElement type="firstRowStripe" dxfId="523"/>
      <tableStyleElement type="secondRowStripe" dxfId="522"/>
    </tableStyle>
    <tableStyle name="فلاح و علی-style 183" pivot="0" count="2" xr9:uid="{00000000-0011-0000-FFFF-FFFFB6000000}">
      <tableStyleElement type="firstRowStripe" dxfId="521"/>
      <tableStyleElement type="secondRowStripe" dxfId="520"/>
    </tableStyle>
    <tableStyle name="فلاح و علی-style 184" pivot="0" count="2" xr9:uid="{00000000-0011-0000-FFFF-FFFFB7000000}">
      <tableStyleElement type="firstRowStripe" dxfId="519"/>
      <tableStyleElement type="secondRowStripe" dxfId="518"/>
    </tableStyle>
    <tableStyle name="فلاح و علی-style 185" pivot="0" count="2" xr9:uid="{00000000-0011-0000-FFFF-FFFFB8000000}">
      <tableStyleElement type="firstRowStripe" dxfId="517"/>
      <tableStyleElement type="secondRowStripe" dxfId="516"/>
    </tableStyle>
    <tableStyle name="فلاح و علی-style 186" pivot="0" count="2" xr9:uid="{00000000-0011-0000-FFFF-FFFFB9000000}">
      <tableStyleElement type="firstRowStripe" dxfId="515"/>
      <tableStyleElement type="secondRowStripe" dxfId="514"/>
    </tableStyle>
    <tableStyle name="فلاح و علی-style 187" pivot="0" count="2" xr9:uid="{00000000-0011-0000-FFFF-FFFFBA000000}">
      <tableStyleElement type="firstRowStripe" dxfId="513"/>
      <tableStyleElement type="secondRowStripe" dxfId="512"/>
    </tableStyle>
    <tableStyle name="فلاح و علی-style 188" pivot="0" count="2" xr9:uid="{00000000-0011-0000-FFFF-FFFFBB000000}">
      <tableStyleElement type="firstRowStripe" dxfId="511"/>
      <tableStyleElement type="secondRowStripe" dxfId="510"/>
    </tableStyle>
    <tableStyle name="فلاح و علی-style 189" pivot="0" count="2" xr9:uid="{00000000-0011-0000-FFFF-FFFFBC000000}">
      <tableStyleElement type="firstRowStripe" dxfId="509"/>
      <tableStyleElement type="secondRowStripe" dxfId="508"/>
    </tableStyle>
    <tableStyle name="فلاح و علی-style 190" pivot="0" count="2" xr9:uid="{00000000-0011-0000-FFFF-FFFFBD000000}">
      <tableStyleElement type="firstRowStripe" dxfId="507"/>
      <tableStyleElement type="secondRowStripe" dxfId="506"/>
    </tableStyle>
    <tableStyle name="فلاح و علی-style 191" pivot="0" count="2" xr9:uid="{00000000-0011-0000-FFFF-FFFFBE000000}">
      <tableStyleElement type="firstRowStripe" dxfId="505"/>
      <tableStyleElement type="secondRowStripe" dxfId="504"/>
    </tableStyle>
    <tableStyle name="فلاح و علی-style 192" pivot="0" count="2" xr9:uid="{00000000-0011-0000-FFFF-FFFFBF000000}">
      <tableStyleElement type="firstRowStripe" dxfId="503"/>
      <tableStyleElement type="secondRowStripe" dxfId="502"/>
    </tableStyle>
    <tableStyle name="فلاح و علی-style 193" pivot="0" count="2" xr9:uid="{00000000-0011-0000-FFFF-FFFFC0000000}">
      <tableStyleElement type="firstRowStripe" dxfId="501"/>
      <tableStyleElement type="secondRowStripe" dxfId="500"/>
    </tableStyle>
    <tableStyle name="فلاح و علی-style 194" pivot="0" count="2" xr9:uid="{00000000-0011-0000-FFFF-FFFFC1000000}">
      <tableStyleElement type="firstRowStripe" dxfId="499"/>
      <tableStyleElement type="secondRowStripe" dxfId="498"/>
    </tableStyle>
    <tableStyle name="فلاح و علی-style 195" pivot="0" count="2" xr9:uid="{00000000-0011-0000-FFFF-FFFFC2000000}">
      <tableStyleElement type="firstRowStripe" dxfId="497"/>
      <tableStyleElement type="secondRowStripe" dxfId="496"/>
    </tableStyle>
    <tableStyle name="فلاح و علی-style 196" pivot="0" count="2" xr9:uid="{00000000-0011-0000-FFFF-FFFFC3000000}">
      <tableStyleElement type="firstRowStripe" dxfId="495"/>
      <tableStyleElement type="secondRowStripe" dxfId="494"/>
    </tableStyle>
    <tableStyle name="فلاح و علی-style 197" pivot="0" count="2" xr9:uid="{00000000-0011-0000-FFFF-FFFFC4000000}">
      <tableStyleElement type="firstRowStripe" dxfId="493"/>
      <tableStyleElement type="secondRowStripe" dxfId="492"/>
    </tableStyle>
    <tableStyle name="فلاح و علی-style 198" pivot="0" count="2" xr9:uid="{00000000-0011-0000-FFFF-FFFFC5000000}">
      <tableStyleElement type="firstRowStripe" dxfId="491"/>
      <tableStyleElement type="secondRowStripe" dxfId="490"/>
    </tableStyle>
    <tableStyle name="فلاح و علی-style 199" pivot="0" count="2" xr9:uid="{00000000-0011-0000-FFFF-FFFFC6000000}">
      <tableStyleElement type="firstRowStripe" dxfId="489"/>
      <tableStyleElement type="secondRowStripe" dxfId="488"/>
    </tableStyle>
    <tableStyle name="فلاح و علی-style 200" pivot="0" count="2" xr9:uid="{00000000-0011-0000-FFFF-FFFFC7000000}">
      <tableStyleElement type="firstRowStripe" dxfId="487"/>
      <tableStyleElement type="secondRowStripe" dxfId="486"/>
    </tableStyle>
    <tableStyle name="فلاح و علی-style 201" pivot="0" count="2" xr9:uid="{00000000-0011-0000-FFFF-FFFFC8000000}">
      <tableStyleElement type="firstRowStripe" dxfId="485"/>
      <tableStyleElement type="secondRowStripe" dxfId="484"/>
    </tableStyle>
    <tableStyle name="فلاح و علی-style 202" pivot="0" count="2" xr9:uid="{00000000-0011-0000-FFFF-FFFFC9000000}">
      <tableStyleElement type="firstRowStripe" dxfId="483"/>
      <tableStyleElement type="secondRowStripe" dxfId="482"/>
    </tableStyle>
    <tableStyle name="فلاح و علی-style 203" pivot="0" count="2" xr9:uid="{00000000-0011-0000-FFFF-FFFFCA000000}">
      <tableStyleElement type="firstRowStripe" dxfId="481"/>
      <tableStyleElement type="secondRowStripe" dxfId="480"/>
    </tableStyle>
    <tableStyle name="فلاح و علی-style 204" pivot="0" count="2" xr9:uid="{00000000-0011-0000-FFFF-FFFFCB000000}">
      <tableStyleElement type="firstRowStripe" dxfId="479"/>
      <tableStyleElement type="secondRowStripe" dxfId="478"/>
    </tableStyle>
    <tableStyle name="فلاح و علی-style 205" pivot="0" count="2" xr9:uid="{00000000-0011-0000-FFFF-FFFFCC000000}">
      <tableStyleElement type="firstRowStripe" dxfId="477"/>
      <tableStyleElement type="secondRowStripe" dxfId="476"/>
    </tableStyle>
    <tableStyle name="فلاح و علی-style 206" pivot="0" count="2" xr9:uid="{00000000-0011-0000-FFFF-FFFFCD000000}">
      <tableStyleElement type="firstRowStripe" dxfId="475"/>
      <tableStyleElement type="secondRowStripe" dxfId="474"/>
    </tableStyle>
    <tableStyle name="فلاح و علی-style 207" pivot="0" count="2" xr9:uid="{00000000-0011-0000-FFFF-FFFFCE000000}">
      <tableStyleElement type="firstRowStripe" dxfId="473"/>
      <tableStyleElement type="secondRowStripe" dxfId="472"/>
    </tableStyle>
    <tableStyle name="فلاح و علی-style 208" pivot="0" count="2" xr9:uid="{00000000-0011-0000-FFFF-FFFFCF000000}">
      <tableStyleElement type="firstRowStripe" dxfId="471"/>
      <tableStyleElement type="secondRowStripe" dxfId="470"/>
    </tableStyle>
    <tableStyle name="فلاح و علی-style 209" pivot="0" count="2" xr9:uid="{00000000-0011-0000-FFFF-FFFFD0000000}">
      <tableStyleElement type="firstRowStripe" dxfId="469"/>
      <tableStyleElement type="secondRowStripe" dxfId="468"/>
    </tableStyle>
    <tableStyle name="فلاح و علی-style 210" pivot="0" count="2" xr9:uid="{00000000-0011-0000-FFFF-FFFFD1000000}">
      <tableStyleElement type="firstRowStripe" dxfId="467"/>
      <tableStyleElement type="secondRowStripe" dxfId="466"/>
    </tableStyle>
    <tableStyle name="فلاح و علی-style 211" pivot="0" count="2" xr9:uid="{00000000-0011-0000-FFFF-FFFFD2000000}">
      <tableStyleElement type="firstRowStripe" dxfId="465"/>
      <tableStyleElement type="secondRowStripe" dxfId="464"/>
    </tableStyle>
    <tableStyle name="فلاح و علی-style 212" pivot="0" count="2" xr9:uid="{00000000-0011-0000-FFFF-FFFFD3000000}">
      <tableStyleElement type="firstRowStripe" dxfId="463"/>
      <tableStyleElement type="secondRowStripe" dxfId="462"/>
    </tableStyle>
    <tableStyle name="فلاح و علی-style 213" pivot="0" count="2" xr9:uid="{00000000-0011-0000-FFFF-FFFFD4000000}">
      <tableStyleElement type="firstRowStripe" dxfId="461"/>
      <tableStyleElement type="secondRowStripe" dxfId="460"/>
    </tableStyle>
    <tableStyle name="فلاح و علی-style 214" pivot="0" count="2" xr9:uid="{00000000-0011-0000-FFFF-FFFFD5000000}">
      <tableStyleElement type="firstRowStripe" dxfId="459"/>
      <tableStyleElement type="secondRowStripe" dxfId="458"/>
    </tableStyle>
    <tableStyle name="فلاح و علی-style 215" pivot="0" count="2" xr9:uid="{00000000-0011-0000-FFFF-FFFFD6000000}">
      <tableStyleElement type="firstRowStripe" dxfId="457"/>
      <tableStyleElement type="secondRowStripe" dxfId="456"/>
    </tableStyle>
    <tableStyle name="فلاح و علی-style 216" pivot="0" count="2" xr9:uid="{00000000-0011-0000-FFFF-FFFFD7000000}">
      <tableStyleElement type="firstRowStripe" dxfId="455"/>
      <tableStyleElement type="secondRowStripe" dxfId="454"/>
    </tableStyle>
    <tableStyle name="فلاح و علی-style 217" pivot="0" count="2" xr9:uid="{00000000-0011-0000-FFFF-FFFFD8000000}">
      <tableStyleElement type="firstRowStripe" dxfId="453"/>
      <tableStyleElement type="secondRowStripe" dxfId="452"/>
    </tableStyle>
    <tableStyle name="فلاح و علی-style 218" pivot="0" count="2" xr9:uid="{00000000-0011-0000-FFFF-FFFFD9000000}">
      <tableStyleElement type="firstRowStripe" dxfId="451"/>
      <tableStyleElement type="secondRowStripe" dxfId="450"/>
    </tableStyle>
    <tableStyle name="فلاح و علی-style 219" pivot="0" count="2" xr9:uid="{00000000-0011-0000-FFFF-FFFFDA000000}">
      <tableStyleElement type="firstRowStripe" dxfId="449"/>
      <tableStyleElement type="secondRowStripe" dxfId="448"/>
    </tableStyle>
    <tableStyle name="فلاح و علی-style 220" pivot="0" count="2" xr9:uid="{00000000-0011-0000-FFFF-FFFFDB000000}">
      <tableStyleElement type="firstRowStripe" dxfId="447"/>
      <tableStyleElement type="secondRowStripe" dxfId="446"/>
    </tableStyle>
    <tableStyle name="فلاح و علی-style 221" pivot="0" count="2" xr9:uid="{00000000-0011-0000-FFFF-FFFFDC000000}">
      <tableStyleElement type="firstRowStripe" dxfId="445"/>
      <tableStyleElement type="secondRowStripe" dxfId="444"/>
    </tableStyle>
    <tableStyle name="فلاح و علی-style 222" pivot="0" count="2" xr9:uid="{00000000-0011-0000-FFFF-FFFFDD000000}">
      <tableStyleElement type="firstRowStripe" dxfId="443"/>
      <tableStyleElement type="secondRowStripe" dxfId="442"/>
    </tableStyle>
    <tableStyle name="فلاح و علی-style 223" pivot="0" count="2" xr9:uid="{00000000-0011-0000-FFFF-FFFFDE000000}">
      <tableStyleElement type="firstRowStripe" dxfId="441"/>
      <tableStyleElement type="secondRowStripe" dxfId="440"/>
    </tableStyle>
    <tableStyle name="فلاح و علی-style 224" pivot="0" count="2" xr9:uid="{00000000-0011-0000-FFFF-FFFFDF000000}">
      <tableStyleElement type="firstRowStripe" dxfId="439"/>
      <tableStyleElement type="secondRowStripe" dxfId="438"/>
    </tableStyle>
    <tableStyle name="فلاح و علی-style 225" pivot="0" count="2" xr9:uid="{00000000-0011-0000-FFFF-FFFFE0000000}">
      <tableStyleElement type="firstRowStripe" dxfId="437"/>
      <tableStyleElement type="secondRowStripe" dxfId="436"/>
    </tableStyle>
    <tableStyle name="فلاح و علی-style 226" pivot="0" count="2" xr9:uid="{00000000-0011-0000-FFFF-FFFFE1000000}">
      <tableStyleElement type="firstRowStripe" dxfId="435"/>
      <tableStyleElement type="secondRowStripe" dxfId="434"/>
    </tableStyle>
    <tableStyle name="فلاح و علی-style 227" pivot="0" count="2" xr9:uid="{00000000-0011-0000-FFFF-FFFFE2000000}">
      <tableStyleElement type="firstRowStripe" dxfId="433"/>
      <tableStyleElement type="secondRowStripe" dxfId="432"/>
    </tableStyle>
    <tableStyle name="فلاح و علی-style 228" pivot="0" count="2" xr9:uid="{00000000-0011-0000-FFFF-FFFFE3000000}">
      <tableStyleElement type="firstRowStripe" dxfId="431"/>
      <tableStyleElement type="secondRowStripe" dxfId="430"/>
    </tableStyle>
    <tableStyle name="فلاح و علی-style 229" pivot="0" count="2" xr9:uid="{00000000-0011-0000-FFFF-FFFFE4000000}">
      <tableStyleElement type="firstRowStripe" dxfId="429"/>
      <tableStyleElement type="secondRowStripe" dxfId="428"/>
    </tableStyle>
    <tableStyle name="فلاح و علی-style 230" pivot="0" count="2" xr9:uid="{00000000-0011-0000-FFFF-FFFFE5000000}">
      <tableStyleElement type="firstRowStripe" dxfId="427"/>
      <tableStyleElement type="secondRowStripe" dxfId="426"/>
    </tableStyle>
    <tableStyle name="فلاح و علی-style 231" pivot="0" count="2" xr9:uid="{00000000-0011-0000-FFFF-FFFFE6000000}">
      <tableStyleElement type="firstRowStripe" dxfId="425"/>
      <tableStyleElement type="secondRowStripe" dxfId="424"/>
    </tableStyle>
    <tableStyle name="فلاح و علی-style 232" pivot="0" count="2" xr9:uid="{00000000-0011-0000-FFFF-FFFFE7000000}">
      <tableStyleElement type="firstRowStripe" dxfId="423"/>
      <tableStyleElement type="secondRowStripe" dxfId="422"/>
    </tableStyle>
    <tableStyle name="فلاح و علی-style 233" pivot="0" count="2" xr9:uid="{00000000-0011-0000-FFFF-FFFFE8000000}">
      <tableStyleElement type="firstRowStripe" dxfId="421"/>
      <tableStyleElement type="secondRowStripe" dxfId="420"/>
    </tableStyle>
    <tableStyle name="فلاح و علی-style 234" pivot="0" count="2" xr9:uid="{00000000-0011-0000-FFFF-FFFFE9000000}">
      <tableStyleElement type="firstRowStripe" dxfId="419"/>
      <tableStyleElement type="secondRowStripe" dxfId="418"/>
    </tableStyle>
    <tableStyle name="فلاح و علی-style 235" pivot="0" count="2" xr9:uid="{00000000-0011-0000-FFFF-FFFFEA000000}">
      <tableStyleElement type="firstRowStripe" dxfId="417"/>
      <tableStyleElement type="secondRowStripe" dxfId="416"/>
    </tableStyle>
    <tableStyle name="فلاح و علی-style 236" pivot="0" count="2" xr9:uid="{00000000-0011-0000-FFFF-FFFFEB000000}">
      <tableStyleElement type="firstRowStripe" dxfId="415"/>
      <tableStyleElement type="secondRowStripe" dxfId="414"/>
    </tableStyle>
    <tableStyle name="فلاح و علی-style 237" pivot="0" count="2" xr9:uid="{00000000-0011-0000-FFFF-FFFFEC000000}">
      <tableStyleElement type="firstRowStripe" dxfId="413"/>
      <tableStyleElement type="secondRowStripe" dxfId="412"/>
    </tableStyle>
    <tableStyle name="فلاح و علی-style 238" pivot="0" count="2" xr9:uid="{00000000-0011-0000-FFFF-FFFFED000000}">
      <tableStyleElement type="firstRowStripe" dxfId="411"/>
      <tableStyleElement type="secondRowStripe" dxfId="410"/>
    </tableStyle>
    <tableStyle name="فلاح و علی-style 239" pivot="0" count="2" xr9:uid="{00000000-0011-0000-FFFF-FFFFEE000000}">
      <tableStyleElement type="firstRowStripe" dxfId="409"/>
      <tableStyleElement type="secondRowStripe" dxfId="408"/>
    </tableStyle>
    <tableStyle name="فلاح و علی-style 240" pivot="0" count="2" xr9:uid="{00000000-0011-0000-FFFF-FFFFEF000000}">
      <tableStyleElement type="firstRowStripe" dxfId="407"/>
      <tableStyleElement type="secondRowStripe" dxfId="406"/>
    </tableStyle>
    <tableStyle name="فلاح و علی-style 241" pivot="0" count="2" xr9:uid="{00000000-0011-0000-FFFF-FFFFF0000000}">
      <tableStyleElement type="firstRowStripe" dxfId="405"/>
      <tableStyleElement type="secondRowStripe" dxfId="404"/>
    </tableStyle>
    <tableStyle name="فلاح و علی-style 242" pivot="0" count="2" xr9:uid="{00000000-0011-0000-FFFF-FFFFF1000000}">
      <tableStyleElement type="firstRowStripe" dxfId="403"/>
      <tableStyleElement type="secondRowStripe" dxfId="402"/>
    </tableStyle>
    <tableStyle name="فلاح و علی-style 243" pivot="0" count="2" xr9:uid="{00000000-0011-0000-FFFF-FFFFF2000000}">
      <tableStyleElement type="firstRowStripe" dxfId="401"/>
      <tableStyleElement type="secondRowStripe" dxfId="400"/>
    </tableStyle>
    <tableStyle name="فلاح و علی-style 244" pivot="0" count="2" xr9:uid="{00000000-0011-0000-FFFF-FFFFF3000000}">
      <tableStyleElement type="firstRowStripe" dxfId="399"/>
      <tableStyleElement type="secondRowStripe" dxfId="398"/>
    </tableStyle>
    <tableStyle name="فلاح و علی-style 245" pivot="0" count="2" xr9:uid="{00000000-0011-0000-FFFF-FFFFF4000000}">
      <tableStyleElement type="firstRowStripe" dxfId="397"/>
      <tableStyleElement type="secondRowStripe" dxfId="396"/>
    </tableStyle>
    <tableStyle name="فلاح و علی-style 246" pivot="0" count="2" xr9:uid="{00000000-0011-0000-FFFF-FFFFF5000000}">
      <tableStyleElement type="firstRowStripe" dxfId="395"/>
      <tableStyleElement type="secondRowStripe" dxfId="394"/>
    </tableStyle>
    <tableStyle name="فلاح و علی-style 247" pivot="0" count="2" xr9:uid="{00000000-0011-0000-FFFF-FFFFF6000000}">
      <tableStyleElement type="firstRowStripe" dxfId="393"/>
      <tableStyleElement type="secondRowStripe" dxfId="392"/>
    </tableStyle>
    <tableStyle name="فلاح و علی-style 248" pivot="0" count="2" xr9:uid="{00000000-0011-0000-FFFF-FFFFF7000000}">
      <tableStyleElement type="firstRowStripe" dxfId="391"/>
      <tableStyleElement type="secondRowStripe" dxfId="390"/>
    </tableStyle>
    <tableStyle name="فلاح و علی-style 249" pivot="0" count="2" xr9:uid="{00000000-0011-0000-FFFF-FFFFF8000000}">
      <tableStyleElement type="firstRowStripe" dxfId="389"/>
      <tableStyleElement type="secondRowStripe" dxfId="388"/>
    </tableStyle>
    <tableStyle name="فلاح و علی-style 250" pivot="0" count="2" xr9:uid="{00000000-0011-0000-FFFF-FFFFF9000000}">
      <tableStyleElement type="firstRowStripe" dxfId="387"/>
      <tableStyleElement type="secondRowStripe" dxfId="386"/>
    </tableStyle>
    <tableStyle name="فلاح و علی-style 251" pivot="0" count="2" xr9:uid="{00000000-0011-0000-FFFF-FFFFFA000000}">
      <tableStyleElement type="firstRowStripe" dxfId="385"/>
      <tableStyleElement type="secondRowStripe" dxfId="384"/>
    </tableStyle>
    <tableStyle name="فلاح و علی-style 252" pivot="0" count="2" xr9:uid="{00000000-0011-0000-FFFF-FFFFFB000000}">
      <tableStyleElement type="firstRowStripe" dxfId="383"/>
      <tableStyleElement type="secondRowStripe" dxfId="382"/>
    </tableStyle>
    <tableStyle name="فلاح و علی-style 253" pivot="0" count="2" xr9:uid="{00000000-0011-0000-FFFF-FFFFFC000000}">
      <tableStyleElement type="firstRowStripe" dxfId="381"/>
      <tableStyleElement type="secondRowStripe" dxfId="380"/>
    </tableStyle>
    <tableStyle name="فلاح و علی-style 254" pivot="0" count="2" xr9:uid="{00000000-0011-0000-FFFF-FFFFFD000000}">
      <tableStyleElement type="firstRowStripe" dxfId="379"/>
      <tableStyleElement type="secondRowStripe" dxfId="378"/>
    </tableStyle>
    <tableStyle name="فلاح و علی-style 255" pivot="0" count="2" xr9:uid="{00000000-0011-0000-FFFF-FFFFFE000000}">
      <tableStyleElement type="firstRowStripe" dxfId="377"/>
      <tableStyleElement type="secondRowStripe" dxfId="376"/>
    </tableStyle>
    <tableStyle name="فلاح و علی-style 256" pivot="0" count="2" xr9:uid="{00000000-0011-0000-FFFF-FFFFFF000000}">
      <tableStyleElement type="firstRowStripe" dxfId="375"/>
      <tableStyleElement type="secondRowStripe" dxfId="374"/>
    </tableStyle>
    <tableStyle name="فلاح و علی-style 257" pivot="0" count="2" xr9:uid="{00000000-0011-0000-FFFF-FFFF00010000}">
      <tableStyleElement type="firstRowStripe" dxfId="373"/>
      <tableStyleElement type="secondRowStripe" dxfId="372"/>
    </tableStyle>
    <tableStyle name="فلاح و علی-style 258" pivot="0" count="2" xr9:uid="{00000000-0011-0000-FFFF-FFFF01010000}">
      <tableStyleElement type="firstRowStripe" dxfId="371"/>
      <tableStyleElement type="secondRowStripe" dxfId="370"/>
    </tableStyle>
    <tableStyle name="فلاح و علی-style 259" pivot="0" count="2" xr9:uid="{00000000-0011-0000-FFFF-FFFF02010000}">
      <tableStyleElement type="firstRowStripe" dxfId="369"/>
      <tableStyleElement type="secondRowStripe" dxfId="368"/>
    </tableStyle>
    <tableStyle name="فلاح و علی-style 260" pivot="0" count="2" xr9:uid="{00000000-0011-0000-FFFF-FFFF03010000}">
      <tableStyleElement type="firstRowStripe" dxfId="367"/>
      <tableStyleElement type="secondRowStripe" dxfId="366"/>
    </tableStyle>
    <tableStyle name="فلاح و علی-style 261" pivot="0" count="2" xr9:uid="{00000000-0011-0000-FFFF-FFFF04010000}">
      <tableStyleElement type="firstRowStripe" dxfId="365"/>
      <tableStyleElement type="secondRowStripe" dxfId="364"/>
    </tableStyle>
    <tableStyle name="فلاح و علی-style 262" pivot="0" count="2" xr9:uid="{00000000-0011-0000-FFFF-FFFF05010000}">
      <tableStyleElement type="firstRowStripe" dxfId="363"/>
      <tableStyleElement type="secondRowStripe" dxfId="362"/>
    </tableStyle>
    <tableStyle name="فلاح و علی-style 263" pivot="0" count="2" xr9:uid="{00000000-0011-0000-FFFF-FFFF06010000}">
      <tableStyleElement type="firstRowStripe" dxfId="361"/>
      <tableStyleElement type="secondRowStripe" dxfId="360"/>
    </tableStyle>
    <tableStyle name="فلاح و علی-style 264" pivot="0" count="2" xr9:uid="{00000000-0011-0000-FFFF-FFFF07010000}">
      <tableStyleElement type="firstRowStripe" dxfId="359"/>
      <tableStyleElement type="secondRowStripe" dxfId="358"/>
    </tableStyle>
    <tableStyle name="فلاح و علی-style 265" pivot="0" count="2" xr9:uid="{00000000-0011-0000-FFFF-FFFF08010000}">
      <tableStyleElement type="firstRowStripe" dxfId="357"/>
      <tableStyleElement type="secondRowStripe" dxfId="356"/>
    </tableStyle>
    <tableStyle name="فلاح و علی-style 266" pivot="0" count="2" xr9:uid="{00000000-0011-0000-FFFF-FFFF09010000}">
      <tableStyleElement type="firstRowStripe" dxfId="355"/>
      <tableStyleElement type="secondRowStripe" dxfId="354"/>
    </tableStyle>
    <tableStyle name="فلاح و علی-style 267" pivot="0" count="2" xr9:uid="{00000000-0011-0000-FFFF-FFFF0A010000}">
      <tableStyleElement type="firstRowStripe" dxfId="353"/>
      <tableStyleElement type="secondRowStripe" dxfId="352"/>
    </tableStyle>
    <tableStyle name="فلاح و علی-style 268" pivot="0" count="2" xr9:uid="{00000000-0011-0000-FFFF-FFFF0B010000}">
      <tableStyleElement type="firstRowStripe" dxfId="351"/>
      <tableStyleElement type="secondRowStripe" dxfId="350"/>
    </tableStyle>
    <tableStyle name="فلاح و علی-style 269" pivot="0" count="2" xr9:uid="{00000000-0011-0000-FFFF-FFFF0C010000}">
      <tableStyleElement type="firstRowStripe" dxfId="349"/>
      <tableStyleElement type="secondRowStripe" dxfId="348"/>
    </tableStyle>
    <tableStyle name="فلاح و علی-style 270" pivot="0" count="2" xr9:uid="{00000000-0011-0000-FFFF-FFFF0D010000}">
      <tableStyleElement type="firstRowStripe" dxfId="347"/>
      <tableStyleElement type="secondRowStripe" dxfId="346"/>
    </tableStyle>
    <tableStyle name="فلاح و علی-style 271" pivot="0" count="2" xr9:uid="{00000000-0011-0000-FFFF-FFFF0E010000}">
      <tableStyleElement type="firstRowStripe" dxfId="345"/>
      <tableStyleElement type="secondRowStripe" dxfId="344"/>
    </tableStyle>
    <tableStyle name="فلاح و علی-style 272" pivot="0" count="2" xr9:uid="{00000000-0011-0000-FFFF-FFFF0F010000}">
      <tableStyleElement type="firstRowStripe" dxfId="343"/>
      <tableStyleElement type="secondRowStripe" dxfId="342"/>
    </tableStyle>
    <tableStyle name="فلاح و علی-style 273" pivot="0" count="2" xr9:uid="{00000000-0011-0000-FFFF-FFFF10010000}">
      <tableStyleElement type="firstRowStripe" dxfId="341"/>
      <tableStyleElement type="secondRowStripe" dxfId="340"/>
    </tableStyle>
    <tableStyle name="فلاح و علی-style 274" pivot="0" count="2" xr9:uid="{00000000-0011-0000-FFFF-FFFF11010000}">
      <tableStyleElement type="firstRowStripe" dxfId="339"/>
      <tableStyleElement type="secondRowStripe" dxfId="338"/>
    </tableStyle>
    <tableStyle name="فلاح و علی-style 275" pivot="0" count="2" xr9:uid="{00000000-0011-0000-FFFF-FFFF12010000}">
      <tableStyleElement type="firstRowStripe" dxfId="337"/>
      <tableStyleElement type="secondRowStripe" dxfId="336"/>
    </tableStyle>
    <tableStyle name="فلاح و علی-style 276" pivot="0" count="2" xr9:uid="{00000000-0011-0000-FFFF-FFFF13010000}">
      <tableStyleElement type="firstRowStripe" dxfId="335"/>
      <tableStyleElement type="secondRowStripe" dxfId="334"/>
    </tableStyle>
    <tableStyle name="فلاح و علی-style 277" pivot="0" count="2" xr9:uid="{00000000-0011-0000-FFFF-FFFF14010000}">
      <tableStyleElement type="firstRowStripe" dxfId="333"/>
      <tableStyleElement type="secondRowStripe" dxfId="332"/>
    </tableStyle>
    <tableStyle name="فلاح و علی-style 278" pivot="0" count="2" xr9:uid="{00000000-0011-0000-FFFF-FFFF15010000}">
      <tableStyleElement type="firstRowStripe" dxfId="331"/>
      <tableStyleElement type="secondRowStripe" dxfId="330"/>
    </tableStyle>
    <tableStyle name="فلاح و علی-style 279" pivot="0" count="2" xr9:uid="{00000000-0011-0000-FFFF-FFFF16010000}">
      <tableStyleElement type="firstRowStripe" dxfId="329"/>
      <tableStyleElement type="secondRowStripe" dxfId="328"/>
    </tableStyle>
    <tableStyle name="فلاح و علی-style 280" pivot="0" count="2" xr9:uid="{00000000-0011-0000-FFFF-FFFF17010000}">
      <tableStyleElement type="firstRowStripe" dxfId="327"/>
      <tableStyleElement type="secondRowStripe" dxfId="326"/>
    </tableStyle>
    <tableStyle name="فلاح و علی-style 281" pivot="0" count="2" xr9:uid="{00000000-0011-0000-FFFF-FFFF18010000}">
      <tableStyleElement type="firstRowStripe" dxfId="325"/>
      <tableStyleElement type="secondRowStripe" dxfId="324"/>
    </tableStyle>
    <tableStyle name="فلاح و علی-style 282" pivot="0" count="2" xr9:uid="{00000000-0011-0000-FFFF-FFFF19010000}">
      <tableStyleElement type="firstRowStripe" dxfId="323"/>
      <tableStyleElement type="secondRowStripe" dxfId="322"/>
    </tableStyle>
    <tableStyle name="فلاح و علی-style 283" pivot="0" count="2" xr9:uid="{00000000-0011-0000-FFFF-FFFF1A010000}">
      <tableStyleElement type="firstRowStripe" dxfId="321"/>
      <tableStyleElement type="secondRowStripe" dxfId="320"/>
    </tableStyle>
    <tableStyle name="فلاح و علی-style 284" pivot="0" count="2" xr9:uid="{00000000-0011-0000-FFFF-FFFF1B010000}">
      <tableStyleElement type="firstRowStripe" dxfId="319"/>
      <tableStyleElement type="secondRowStripe" dxfId="318"/>
    </tableStyle>
    <tableStyle name="فلاح و علی-style 285" pivot="0" count="2" xr9:uid="{00000000-0011-0000-FFFF-FFFF1C010000}">
      <tableStyleElement type="firstRowStripe" dxfId="317"/>
      <tableStyleElement type="secondRowStripe" dxfId="316"/>
    </tableStyle>
    <tableStyle name="فلاح و علی-style 286" pivot="0" count="2" xr9:uid="{00000000-0011-0000-FFFF-FFFF1D010000}">
      <tableStyleElement type="firstRowStripe" dxfId="315"/>
      <tableStyleElement type="secondRowStripe" dxfId="314"/>
    </tableStyle>
    <tableStyle name="فلاح و علی-style 287" pivot="0" count="2" xr9:uid="{00000000-0011-0000-FFFF-FFFF1E010000}">
      <tableStyleElement type="firstRowStripe" dxfId="313"/>
      <tableStyleElement type="secondRowStripe" dxfId="312"/>
    </tableStyle>
    <tableStyle name="فلاح و علی-style 288" pivot="0" count="2" xr9:uid="{00000000-0011-0000-FFFF-FFFF1F010000}">
      <tableStyleElement type="firstRowStripe" dxfId="311"/>
      <tableStyleElement type="secondRowStripe" dxfId="310"/>
    </tableStyle>
    <tableStyle name="فلاح و علی-style 289" pivot="0" count="2" xr9:uid="{00000000-0011-0000-FFFF-FFFF20010000}">
      <tableStyleElement type="firstRowStripe" dxfId="309"/>
      <tableStyleElement type="secondRowStripe" dxfId="308"/>
    </tableStyle>
    <tableStyle name="فلاح و علی-style 290" pivot="0" count="2" xr9:uid="{00000000-0011-0000-FFFF-FFFF21010000}">
      <tableStyleElement type="firstRowStripe" dxfId="307"/>
      <tableStyleElement type="secondRowStripe" dxfId="306"/>
    </tableStyle>
    <tableStyle name="فلاح و علی-style 291" pivot="0" count="2" xr9:uid="{00000000-0011-0000-FFFF-FFFF22010000}">
      <tableStyleElement type="firstRowStripe" dxfId="305"/>
      <tableStyleElement type="secondRowStripe" dxfId="304"/>
    </tableStyle>
    <tableStyle name="فلاح و علی-style 292" pivot="0" count="2" xr9:uid="{00000000-0011-0000-FFFF-FFFF23010000}">
      <tableStyleElement type="firstRowStripe" dxfId="303"/>
      <tableStyleElement type="secondRowStripe" dxfId="302"/>
    </tableStyle>
    <tableStyle name="فلاح و علی-style 293" pivot="0" count="2" xr9:uid="{00000000-0011-0000-FFFF-FFFF24010000}">
      <tableStyleElement type="firstRowStripe" dxfId="301"/>
      <tableStyleElement type="secondRowStripe" dxfId="300"/>
    </tableStyle>
    <tableStyle name="فلاح و علی-style 294" pivot="0" count="2" xr9:uid="{00000000-0011-0000-FFFF-FFFF25010000}">
      <tableStyleElement type="firstRowStripe" dxfId="299"/>
      <tableStyleElement type="secondRowStripe" dxfId="298"/>
    </tableStyle>
    <tableStyle name="فلاح و علی-style 295" pivot="0" count="2" xr9:uid="{00000000-0011-0000-FFFF-FFFF26010000}">
      <tableStyleElement type="firstRowStripe" dxfId="297"/>
      <tableStyleElement type="secondRowStripe" dxfId="296"/>
    </tableStyle>
    <tableStyle name="فلاح و علی-style 296" pivot="0" count="2" xr9:uid="{00000000-0011-0000-FFFF-FFFF27010000}">
      <tableStyleElement type="firstRowStripe" dxfId="295"/>
      <tableStyleElement type="secondRowStripe" dxfId="294"/>
    </tableStyle>
    <tableStyle name="فلاح و علی-style 297" pivot="0" count="2" xr9:uid="{00000000-0011-0000-FFFF-FFFF28010000}">
      <tableStyleElement type="firstRowStripe" dxfId="293"/>
      <tableStyleElement type="secondRowStripe" dxfId="292"/>
    </tableStyle>
    <tableStyle name="فلاح و علی-style 298" pivot="0" count="2" xr9:uid="{00000000-0011-0000-FFFF-FFFF29010000}">
      <tableStyleElement type="firstRowStripe" dxfId="291"/>
      <tableStyleElement type="secondRowStripe" dxfId="290"/>
    </tableStyle>
    <tableStyle name="فلاح و علی-style 299" pivot="0" count="2" xr9:uid="{00000000-0011-0000-FFFF-FFFF2A010000}">
      <tableStyleElement type="firstRowStripe" dxfId="289"/>
      <tableStyleElement type="secondRowStripe" dxfId="288"/>
    </tableStyle>
    <tableStyle name="فلاح و علی-style 300" pivot="0" count="2" xr9:uid="{00000000-0011-0000-FFFF-FFFF2B010000}">
      <tableStyleElement type="firstRowStripe" dxfId="287"/>
      <tableStyleElement type="secondRowStripe" dxfId="286"/>
    </tableStyle>
    <tableStyle name="فلاح و علی-style 301" pivot="0" count="2" xr9:uid="{00000000-0011-0000-FFFF-FFFF2C010000}">
      <tableStyleElement type="firstRowStripe" dxfId="285"/>
      <tableStyleElement type="secondRowStripe" dxfId="284"/>
    </tableStyle>
    <tableStyle name="فلاح و علی-style 302" pivot="0" count="2" xr9:uid="{00000000-0011-0000-FFFF-FFFF2D010000}">
      <tableStyleElement type="firstRowStripe" dxfId="283"/>
      <tableStyleElement type="secondRowStripe" dxfId="282"/>
    </tableStyle>
    <tableStyle name="فلاح و علی-style 303" pivot="0" count="2" xr9:uid="{00000000-0011-0000-FFFF-FFFF2E010000}">
      <tableStyleElement type="firstRowStripe" dxfId="281"/>
      <tableStyleElement type="secondRowStripe" dxfId="280"/>
    </tableStyle>
    <tableStyle name="فلاح و علی-style 304" pivot="0" count="2" xr9:uid="{00000000-0011-0000-FFFF-FFFF2F010000}">
      <tableStyleElement type="firstRowStripe" dxfId="279"/>
      <tableStyleElement type="secondRowStripe" dxfId="278"/>
    </tableStyle>
    <tableStyle name="فلاح و علی-style 305" pivot="0" count="2" xr9:uid="{00000000-0011-0000-FFFF-FFFF30010000}">
      <tableStyleElement type="firstRowStripe" dxfId="277"/>
      <tableStyleElement type="secondRowStripe" dxfId="276"/>
    </tableStyle>
    <tableStyle name="فلاح و علی-style 306" pivot="0" count="2" xr9:uid="{00000000-0011-0000-FFFF-FFFF31010000}">
      <tableStyleElement type="firstRowStripe" dxfId="275"/>
      <tableStyleElement type="secondRowStripe" dxfId="274"/>
    </tableStyle>
    <tableStyle name="فلاح و علی-style 307" pivot="0" count="2" xr9:uid="{00000000-0011-0000-FFFF-FFFF32010000}">
      <tableStyleElement type="firstRowStripe" dxfId="273"/>
      <tableStyleElement type="secondRowStripe" dxfId="272"/>
    </tableStyle>
    <tableStyle name="فلاح و علی-style 308" pivot="0" count="2" xr9:uid="{00000000-0011-0000-FFFF-FFFF33010000}">
      <tableStyleElement type="firstRowStripe" dxfId="271"/>
      <tableStyleElement type="secondRowStripe" dxfId="270"/>
    </tableStyle>
    <tableStyle name="فلاح و علی-style 309" pivot="0" count="2" xr9:uid="{00000000-0011-0000-FFFF-FFFF34010000}">
      <tableStyleElement type="firstRowStripe" dxfId="269"/>
      <tableStyleElement type="secondRowStripe" dxfId="268"/>
    </tableStyle>
    <tableStyle name="فلاح و علی-style 310" pivot="0" count="2" xr9:uid="{00000000-0011-0000-FFFF-FFFF35010000}">
      <tableStyleElement type="firstRowStripe" dxfId="267"/>
      <tableStyleElement type="secondRowStripe" dxfId="266"/>
    </tableStyle>
    <tableStyle name="فلاح و علی-style 311" pivot="0" count="2" xr9:uid="{00000000-0011-0000-FFFF-FFFF36010000}">
      <tableStyleElement type="firstRowStripe" dxfId="265"/>
      <tableStyleElement type="secondRowStripe" dxfId="264"/>
    </tableStyle>
    <tableStyle name="فلاح و علی-style 312" pivot="0" count="2" xr9:uid="{00000000-0011-0000-FFFF-FFFF37010000}">
      <tableStyleElement type="firstRowStripe" dxfId="263"/>
      <tableStyleElement type="secondRowStripe" dxfId="262"/>
    </tableStyle>
    <tableStyle name="فلاح و علی-style 313" pivot="0" count="2" xr9:uid="{00000000-0011-0000-FFFF-FFFF38010000}">
      <tableStyleElement type="firstRowStripe" dxfId="261"/>
      <tableStyleElement type="secondRowStripe" dxfId="260"/>
    </tableStyle>
    <tableStyle name="فلاح و علی-style 314" pivot="0" count="2" xr9:uid="{00000000-0011-0000-FFFF-FFFF39010000}">
      <tableStyleElement type="firstRowStripe" dxfId="259"/>
      <tableStyleElement type="secondRowStripe" dxfId="258"/>
    </tableStyle>
    <tableStyle name="فلاح و علی-style 315" pivot="0" count="2" xr9:uid="{00000000-0011-0000-FFFF-FFFF3A010000}">
      <tableStyleElement type="firstRowStripe" dxfId="257"/>
      <tableStyleElement type="secondRowStripe" dxfId="256"/>
    </tableStyle>
    <tableStyle name="فلاح و علی-style 316" pivot="0" count="2" xr9:uid="{00000000-0011-0000-FFFF-FFFF3B010000}">
      <tableStyleElement type="firstRowStripe" dxfId="255"/>
      <tableStyleElement type="secondRowStripe" dxfId="254"/>
    </tableStyle>
    <tableStyle name="فلاح و علی-style 317" pivot="0" count="2" xr9:uid="{00000000-0011-0000-FFFF-FFFF3C010000}">
      <tableStyleElement type="firstRowStripe" dxfId="253"/>
      <tableStyleElement type="secondRowStripe" dxfId="252"/>
    </tableStyle>
    <tableStyle name="فلاح و علی-style 318" pivot="0" count="2" xr9:uid="{00000000-0011-0000-FFFF-FFFF3D010000}">
      <tableStyleElement type="firstRowStripe" dxfId="251"/>
      <tableStyleElement type="secondRowStripe" dxfId="250"/>
    </tableStyle>
    <tableStyle name="فلاح و علی-style 319" pivot="0" count="2" xr9:uid="{00000000-0011-0000-FFFF-FFFF3E010000}">
      <tableStyleElement type="firstRowStripe" dxfId="249"/>
      <tableStyleElement type="secondRowStripe" dxfId="248"/>
    </tableStyle>
    <tableStyle name="فلاح و علی-style 320" pivot="0" count="2" xr9:uid="{00000000-0011-0000-FFFF-FFFF3F010000}">
      <tableStyleElement type="firstRowStripe" dxfId="247"/>
      <tableStyleElement type="secondRowStripe" dxfId="246"/>
    </tableStyle>
    <tableStyle name="فلاح و علی-style 321" pivot="0" count="2" xr9:uid="{00000000-0011-0000-FFFF-FFFF40010000}">
      <tableStyleElement type="firstRowStripe" dxfId="245"/>
      <tableStyleElement type="secondRowStripe" dxfId="244"/>
    </tableStyle>
    <tableStyle name="فلاح و علی-style 322" pivot="0" count="2" xr9:uid="{00000000-0011-0000-FFFF-FFFF41010000}">
      <tableStyleElement type="firstRowStripe" dxfId="243"/>
      <tableStyleElement type="secondRowStripe" dxfId="242"/>
    </tableStyle>
    <tableStyle name="فلاح و علی-style 323" pivot="0" count="2" xr9:uid="{00000000-0011-0000-FFFF-FFFF42010000}">
      <tableStyleElement type="firstRowStripe" dxfId="241"/>
      <tableStyleElement type="secondRowStripe" dxfId="240"/>
    </tableStyle>
    <tableStyle name="فلاح و علی-style 324" pivot="0" count="2" xr9:uid="{00000000-0011-0000-FFFF-FFFF43010000}">
      <tableStyleElement type="firstRowStripe" dxfId="239"/>
      <tableStyleElement type="secondRowStripe" dxfId="238"/>
    </tableStyle>
    <tableStyle name="فلاح و علی-style 325" pivot="0" count="2" xr9:uid="{00000000-0011-0000-FFFF-FFFF44010000}">
      <tableStyleElement type="firstRowStripe" dxfId="237"/>
      <tableStyleElement type="secondRowStripe" dxfId="236"/>
    </tableStyle>
    <tableStyle name="فلاح و علی-style 326" pivot="0" count="2" xr9:uid="{00000000-0011-0000-FFFF-FFFF45010000}">
      <tableStyleElement type="firstRowStripe" dxfId="235"/>
      <tableStyleElement type="secondRowStripe" dxfId="234"/>
    </tableStyle>
    <tableStyle name="فلاح و علی-style 327" pivot="0" count="2" xr9:uid="{00000000-0011-0000-FFFF-FFFF46010000}">
      <tableStyleElement type="firstRowStripe" dxfId="233"/>
      <tableStyleElement type="secondRowStripe" dxfId="232"/>
    </tableStyle>
    <tableStyle name="فلاح و علی-style 328" pivot="0" count="2" xr9:uid="{00000000-0011-0000-FFFF-FFFF47010000}">
      <tableStyleElement type="firstRowStripe" dxfId="231"/>
      <tableStyleElement type="secondRowStripe" dxfId="230"/>
    </tableStyle>
    <tableStyle name="فلاح و علی-style 329" pivot="0" count="2" xr9:uid="{00000000-0011-0000-FFFF-FFFF48010000}">
      <tableStyleElement type="firstRowStripe" dxfId="229"/>
      <tableStyleElement type="secondRowStripe" dxfId="228"/>
    </tableStyle>
    <tableStyle name="فلاح و علی-style 330" pivot="0" count="2" xr9:uid="{00000000-0011-0000-FFFF-FFFF49010000}">
      <tableStyleElement type="firstRowStripe" dxfId="227"/>
      <tableStyleElement type="secondRowStripe" dxfId="226"/>
    </tableStyle>
    <tableStyle name="فلاح و علی-style 331" pivot="0" count="2" xr9:uid="{00000000-0011-0000-FFFF-FFFF4A010000}">
      <tableStyleElement type="firstRowStripe" dxfId="225"/>
      <tableStyleElement type="secondRowStripe" dxfId="224"/>
    </tableStyle>
    <tableStyle name="فلاح و علی-style 332" pivot="0" count="2" xr9:uid="{00000000-0011-0000-FFFF-FFFF4B010000}">
      <tableStyleElement type="firstRowStripe" dxfId="223"/>
      <tableStyleElement type="secondRowStripe" dxfId="222"/>
    </tableStyle>
    <tableStyle name="فلاح و علی-style 333" pivot="0" count="2" xr9:uid="{00000000-0011-0000-FFFF-FFFF4C010000}">
      <tableStyleElement type="firstRowStripe" dxfId="221"/>
      <tableStyleElement type="secondRowStripe" dxfId="220"/>
    </tableStyle>
    <tableStyle name="فلاح و علی-style 334" pivot="0" count="2" xr9:uid="{00000000-0011-0000-FFFF-FFFF4D010000}">
      <tableStyleElement type="firstRowStripe" dxfId="219"/>
      <tableStyleElement type="secondRowStripe" dxfId="218"/>
    </tableStyle>
    <tableStyle name="فلاح و علی-style 335" pivot="0" count="2" xr9:uid="{00000000-0011-0000-FFFF-FFFF4E010000}">
      <tableStyleElement type="firstRowStripe" dxfId="217"/>
      <tableStyleElement type="secondRowStripe" dxfId="216"/>
    </tableStyle>
    <tableStyle name="فلاح و علی-style 336" pivot="0" count="2" xr9:uid="{00000000-0011-0000-FFFF-FFFF4F010000}">
      <tableStyleElement type="firstRowStripe" dxfId="215"/>
      <tableStyleElement type="secondRowStripe" dxfId="214"/>
    </tableStyle>
    <tableStyle name="فلاح و علی-style 337" pivot="0" count="2" xr9:uid="{00000000-0011-0000-FFFF-FFFF50010000}">
      <tableStyleElement type="firstRowStripe" dxfId="213"/>
      <tableStyleElement type="secondRowStripe" dxfId="212"/>
    </tableStyle>
    <tableStyle name="فلاح و علی-style 338" pivot="0" count="2" xr9:uid="{00000000-0011-0000-FFFF-FFFF51010000}">
      <tableStyleElement type="firstRowStripe" dxfId="211"/>
      <tableStyleElement type="secondRowStripe" dxfId="210"/>
    </tableStyle>
    <tableStyle name="فلاح و علی-style 339" pivot="0" count="2" xr9:uid="{00000000-0011-0000-FFFF-FFFF52010000}">
      <tableStyleElement type="firstRowStripe" dxfId="209"/>
      <tableStyleElement type="secondRowStripe" dxfId="208"/>
    </tableStyle>
    <tableStyle name="فلاح و علی-style 340" pivot="0" count="2" xr9:uid="{00000000-0011-0000-FFFF-FFFF53010000}">
      <tableStyleElement type="firstRowStripe" dxfId="207"/>
      <tableStyleElement type="secondRowStripe" dxfId="206"/>
    </tableStyle>
    <tableStyle name="فلاح و علی-style 341" pivot="0" count="2" xr9:uid="{00000000-0011-0000-FFFF-FFFF54010000}">
      <tableStyleElement type="firstRowStripe" dxfId="205"/>
      <tableStyleElement type="secondRowStripe" dxfId="204"/>
    </tableStyle>
    <tableStyle name="ذوقی و مهدی-style" pivot="0" count="2" xr9:uid="{00000000-0011-0000-FFFF-FFFF55010000}">
      <tableStyleElement type="firstRowStripe" dxfId="203"/>
      <tableStyleElement type="secondRowStripe" dxfId="202"/>
    </tableStyle>
    <tableStyle name="ذوقی و مهدی-style 2" pivot="0" count="2" xr9:uid="{00000000-0011-0000-FFFF-FFFF56010000}">
      <tableStyleElement type="firstRowStripe" dxfId="201"/>
      <tableStyleElement type="secondRowStripe" dxfId="200"/>
    </tableStyle>
    <tableStyle name="ذوقی و مهدی-style 3" pivot="0" count="2" xr9:uid="{00000000-0011-0000-FFFF-FFFF57010000}">
      <tableStyleElement type="firstRowStripe" dxfId="199"/>
      <tableStyleElement type="secondRowStripe" dxfId="198"/>
    </tableStyle>
    <tableStyle name="ذوقی و مهدی-style 4" pivot="0" count="2" xr9:uid="{00000000-0011-0000-FFFF-FFFF58010000}">
      <tableStyleElement type="firstRowStripe" dxfId="197"/>
      <tableStyleElement type="secondRowStripe" dxfId="196"/>
    </tableStyle>
    <tableStyle name="ذوقی و مهدی-style 5" pivot="0" count="2" xr9:uid="{00000000-0011-0000-FFFF-FFFF59010000}">
      <tableStyleElement type="firstRowStripe" dxfId="195"/>
      <tableStyleElement type="secondRowStripe" dxfId="194"/>
    </tableStyle>
    <tableStyle name="ذوقی و مهدی-style 6" pivot="0" count="2" xr9:uid="{00000000-0011-0000-FFFF-FFFF5A010000}">
      <tableStyleElement type="firstRowStripe" dxfId="193"/>
      <tableStyleElement type="secondRowStripe" dxfId="192"/>
    </tableStyle>
    <tableStyle name="ذوقی و مهدی-style 7" pivot="0" count="2" xr9:uid="{00000000-0011-0000-FFFF-FFFF5B010000}">
      <tableStyleElement type="firstRowStripe" dxfId="191"/>
      <tableStyleElement type="secondRowStripe" dxfId="190"/>
    </tableStyle>
    <tableStyle name="ذوقی و مهدی-style 8" pivot="0" count="2" xr9:uid="{00000000-0011-0000-FFFF-FFFF5C010000}">
      <tableStyleElement type="firstRowStripe" dxfId="189"/>
      <tableStyleElement type="secondRowStripe" dxfId="188"/>
    </tableStyle>
    <tableStyle name="ذوقی و مهدی-style 9" pivot="0" count="2" xr9:uid="{00000000-0011-0000-FFFF-FFFF5D010000}">
      <tableStyleElement type="firstRowStripe" dxfId="187"/>
      <tableStyleElement type="secondRowStripe" dxfId="186"/>
    </tableStyle>
    <tableStyle name="ذوقی و مهدی-style 10" pivot="0" count="2" xr9:uid="{00000000-0011-0000-FFFF-FFFF5E010000}">
      <tableStyleElement type="firstRowStripe" dxfId="185"/>
      <tableStyleElement type="secondRowStripe" dxfId="184"/>
    </tableStyle>
    <tableStyle name="ذوقی و مهدی-style 11" pivot="0" count="2" xr9:uid="{00000000-0011-0000-FFFF-FFFF5F010000}">
      <tableStyleElement type="firstRowStripe" dxfId="183"/>
      <tableStyleElement type="secondRowStripe" dxfId="182"/>
    </tableStyle>
    <tableStyle name="ذوقی و مهدی-style 12" pivot="0" count="2" xr9:uid="{00000000-0011-0000-FFFF-FFFF60010000}">
      <tableStyleElement type="firstRowStripe" dxfId="181"/>
      <tableStyleElement type="secondRowStripe" dxfId="180"/>
    </tableStyle>
    <tableStyle name="ذوقی و مهدی-style 13" pivot="0" count="2" xr9:uid="{00000000-0011-0000-FFFF-FFFF61010000}">
      <tableStyleElement type="firstRowStripe" dxfId="179"/>
      <tableStyleElement type="secondRowStripe" dxfId="178"/>
    </tableStyle>
    <tableStyle name="ذوقی و مهدی-style 14" pivot="0" count="2" xr9:uid="{00000000-0011-0000-FFFF-FFFF62010000}">
      <tableStyleElement type="firstRowStripe" dxfId="177"/>
      <tableStyleElement type="secondRowStripe" dxfId="176"/>
    </tableStyle>
    <tableStyle name="ذوقی و مهدی-style 15" pivot="0" count="2" xr9:uid="{00000000-0011-0000-FFFF-FFFF63010000}">
      <tableStyleElement type="firstRowStripe" dxfId="175"/>
      <tableStyleElement type="secondRowStripe" dxfId="174"/>
    </tableStyle>
    <tableStyle name="ذوقی و مهدی-style 16" pivot="0" count="2" xr9:uid="{00000000-0011-0000-FFFF-FFFF64010000}">
      <tableStyleElement type="firstRowStripe" dxfId="173"/>
      <tableStyleElement type="secondRowStripe" dxfId="172"/>
    </tableStyle>
    <tableStyle name="ذوقی و مهدی-style 17" pivot="0" count="2" xr9:uid="{00000000-0011-0000-FFFF-FFFF65010000}">
      <tableStyleElement type="firstRowStripe" dxfId="171"/>
      <tableStyleElement type="secondRowStripe" dxfId="170"/>
    </tableStyle>
    <tableStyle name="ذوقی و مهدی-style 18" pivot="0" count="2" xr9:uid="{00000000-0011-0000-FFFF-FFFF66010000}">
      <tableStyleElement type="firstRowStripe" dxfId="169"/>
      <tableStyleElement type="secondRowStripe" dxfId="168"/>
    </tableStyle>
    <tableStyle name="ذوقی و مهدی-style 19" pivot="0" count="2" xr9:uid="{00000000-0011-0000-FFFF-FFFF67010000}">
      <tableStyleElement type="firstRowStripe" dxfId="167"/>
      <tableStyleElement type="secondRowStripe" dxfId="166"/>
    </tableStyle>
    <tableStyle name="ذوقی و مهدی-style 20" pivot="0" count="2" xr9:uid="{00000000-0011-0000-FFFF-FFFF68010000}">
      <tableStyleElement type="firstRowStripe" dxfId="165"/>
      <tableStyleElement type="secondRowStripe" dxfId="164"/>
    </tableStyle>
    <tableStyle name="ذوقی و مهدی-style 21" pivot="0" count="2" xr9:uid="{00000000-0011-0000-FFFF-FFFF69010000}">
      <tableStyleElement type="firstRowStripe" dxfId="163"/>
      <tableStyleElement type="secondRowStripe" dxfId="162"/>
    </tableStyle>
    <tableStyle name="ذوقی و مهدی-style 22" pivot="0" count="2" xr9:uid="{00000000-0011-0000-FFFF-FFFF6A010000}">
      <tableStyleElement type="firstRowStripe" dxfId="161"/>
      <tableStyleElement type="secondRowStripe" dxfId="160"/>
    </tableStyle>
    <tableStyle name="ذوقی و مهدی-style 23" pivot="0" count="2" xr9:uid="{00000000-0011-0000-FFFF-FFFF6B010000}">
      <tableStyleElement type="firstRowStripe" dxfId="159"/>
      <tableStyleElement type="secondRowStripe" dxfId="158"/>
    </tableStyle>
    <tableStyle name="ذوقی و مهدی-style 24" pivot="0" count="2" xr9:uid="{00000000-0011-0000-FFFF-FFFF6C010000}">
      <tableStyleElement type="firstRowStripe" dxfId="157"/>
      <tableStyleElement type="secondRowStripe" dxfId="156"/>
    </tableStyle>
    <tableStyle name="ذوقی و مهدی-style 25" pivot="0" count="2" xr9:uid="{00000000-0011-0000-FFFF-FFFF6D010000}">
      <tableStyleElement type="firstRowStripe" dxfId="155"/>
      <tableStyleElement type="secondRowStripe" dxfId="154"/>
    </tableStyle>
    <tableStyle name="ذوقی و مهدی-style 26" pivot="0" count="2" xr9:uid="{00000000-0011-0000-FFFF-FFFF6E010000}">
      <tableStyleElement type="firstRowStripe" dxfId="153"/>
      <tableStyleElement type="secondRowStripe" dxfId="152"/>
    </tableStyle>
    <tableStyle name="ذوقی و مهدی-style 27" pivot="0" count="2" xr9:uid="{00000000-0011-0000-FFFF-FFFF6F010000}">
      <tableStyleElement type="firstRowStripe" dxfId="151"/>
      <tableStyleElement type="secondRowStripe" dxfId="150"/>
    </tableStyle>
    <tableStyle name="ذوقی و مهدی-style 28" pivot="0" count="2" xr9:uid="{00000000-0011-0000-FFFF-FFFF70010000}">
      <tableStyleElement type="firstRowStripe" dxfId="149"/>
      <tableStyleElement type="secondRowStripe" dxfId="148"/>
    </tableStyle>
    <tableStyle name="ذوقی و مهدی-style 29" pivot="0" count="2" xr9:uid="{00000000-0011-0000-FFFF-FFFF71010000}">
      <tableStyleElement type="firstRowStripe" dxfId="147"/>
      <tableStyleElement type="secondRowStripe" dxfId="146"/>
    </tableStyle>
    <tableStyle name="ذوقی و مهدی-style 30" pivot="0" count="2" xr9:uid="{00000000-0011-0000-FFFF-FFFF72010000}">
      <tableStyleElement type="firstRowStripe" dxfId="145"/>
      <tableStyleElement type="secondRowStripe" dxfId="144"/>
    </tableStyle>
    <tableStyle name="ذوقی و مهدی-style 31" pivot="0" count="2" xr9:uid="{00000000-0011-0000-FFFF-FFFF73010000}">
      <tableStyleElement type="firstRowStripe" dxfId="143"/>
      <tableStyleElement type="secondRowStripe" dxfId="142"/>
    </tableStyle>
    <tableStyle name="ذوقی و مهدی-style 32" pivot="0" count="2" xr9:uid="{00000000-0011-0000-FFFF-FFFF74010000}">
      <tableStyleElement type="firstRowStripe" dxfId="141"/>
      <tableStyleElement type="secondRowStripe" dxfId="140"/>
    </tableStyle>
    <tableStyle name="ذوقی و مهدی-style 33" pivot="0" count="2" xr9:uid="{00000000-0011-0000-FFFF-FFFF75010000}">
      <tableStyleElement type="firstRowStripe" dxfId="139"/>
      <tableStyleElement type="secondRowStripe" dxfId="138"/>
    </tableStyle>
    <tableStyle name="ذوقی و مهدی-style 34" pivot="0" count="2" xr9:uid="{00000000-0011-0000-FFFF-FFFF76010000}">
      <tableStyleElement type="firstRowStripe" dxfId="137"/>
      <tableStyleElement type="secondRowStripe" dxfId="136"/>
    </tableStyle>
    <tableStyle name="ذوقی و مهدی-style 35" pivot="0" count="2" xr9:uid="{00000000-0011-0000-FFFF-FFFF77010000}">
      <tableStyleElement type="firstRowStripe" dxfId="135"/>
      <tableStyleElement type="secondRowStripe" dxfId="134"/>
    </tableStyle>
    <tableStyle name="ذوقی و مهدی-style 36" pivot="0" count="2" xr9:uid="{00000000-0011-0000-FFFF-FFFF78010000}">
      <tableStyleElement type="firstRowStripe" dxfId="133"/>
      <tableStyleElement type="secondRowStripe" dxfId="132"/>
    </tableStyle>
    <tableStyle name="ذوقی و مهدی-style 37" pivot="0" count="2" xr9:uid="{00000000-0011-0000-FFFF-FFFF79010000}">
      <tableStyleElement type="firstRowStripe" dxfId="131"/>
      <tableStyleElement type="secondRowStripe" dxfId="130"/>
    </tableStyle>
    <tableStyle name="ذوقی و مهدی-style 38" pivot="0" count="2" xr9:uid="{00000000-0011-0000-FFFF-FFFF7A010000}">
      <tableStyleElement type="firstRowStripe" dxfId="129"/>
      <tableStyleElement type="secondRowStripe" dxfId="128"/>
    </tableStyle>
    <tableStyle name="ذوقی و مهدی-style 39" pivot="0" count="2" xr9:uid="{00000000-0011-0000-FFFF-FFFF7B010000}">
      <tableStyleElement type="firstRowStripe" dxfId="127"/>
      <tableStyleElement type="secondRowStripe" dxfId="126"/>
    </tableStyle>
    <tableStyle name="ذوقی و مهدی-style 40" pivot="0" count="2" xr9:uid="{00000000-0011-0000-FFFF-FFFF7C010000}">
      <tableStyleElement type="firstRowStripe" dxfId="125"/>
      <tableStyleElement type="secondRowStripe" dxfId="124"/>
    </tableStyle>
    <tableStyle name="ذوقی و مهدی-style 41" pivot="0" count="2" xr9:uid="{00000000-0011-0000-FFFF-FFFF7D010000}">
      <tableStyleElement type="firstRowStripe" dxfId="123"/>
      <tableStyleElement type="secondRowStripe" dxfId="122"/>
    </tableStyle>
    <tableStyle name="ذوقی و مهدی-style 42" pivot="0" count="2" xr9:uid="{00000000-0011-0000-FFFF-FFFF7E010000}">
      <tableStyleElement type="firstRowStripe" dxfId="121"/>
      <tableStyleElement type="secondRowStripe" dxfId="120"/>
    </tableStyle>
    <tableStyle name="ذوقی و مهدی-style 43" pivot="0" count="2" xr9:uid="{00000000-0011-0000-FFFF-FFFF7F010000}">
      <tableStyleElement type="firstRowStripe" dxfId="119"/>
      <tableStyleElement type="secondRowStripe" dxfId="118"/>
    </tableStyle>
    <tableStyle name="ذوقی و مهدی-style 44" pivot="0" count="2" xr9:uid="{00000000-0011-0000-FFFF-FFFF80010000}">
      <tableStyleElement type="firstRowStripe" dxfId="117"/>
      <tableStyleElement type="secondRowStripe" dxfId="116"/>
    </tableStyle>
    <tableStyle name="ذوقی و مهدی-style 45" pivot="0" count="2" xr9:uid="{00000000-0011-0000-FFFF-FFFF81010000}">
      <tableStyleElement type="firstRowStripe" dxfId="115"/>
      <tableStyleElement type="secondRowStripe" dxfId="114"/>
    </tableStyle>
    <tableStyle name="ذوقی و مهدی-style 46" pivot="0" count="2" xr9:uid="{00000000-0011-0000-FFFF-FFFF82010000}">
      <tableStyleElement type="firstRowStripe" dxfId="113"/>
      <tableStyleElement type="secondRowStripe" dxfId="112"/>
    </tableStyle>
    <tableStyle name="ذوقی و مهدی-style 47" pivot="0" count="2" xr9:uid="{00000000-0011-0000-FFFF-FFFF83010000}">
      <tableStyleElement type="firstRowStripe" dxfId="111"/>
      <tableStyleElement type="secondRowStripe" dxfId="110"/>
    </tableStyle>
    <tableStyle name="ذوقی و مهدی-style 48" pivot="0" count="2" xr9:uid="{00000000-0011-0000-FFFF-FFFF84010000}">
      <tableStyleElement type="firstRowStripe" dxfId="109"/>
      <tableStyleElement type="secondRowStripe" dxfId="108"/>
    </tableStyle>
    <tableStyle name="ذوقی و مهدی-style 49" pivot="0" count="2" xr9:uid="{00000000-0011-0000-FFFF-FFFF85010000}">
      <tableStyleElement type="firstRowStripe" dxfId="107"/>
      <tableStyleElement type="secondRowStripe" dxfId="106"/>
    </tableStyle>
    <tableStyle name="ذوقی و مهدی-style 50" pivot="0" count="2" xr9:uid="{00000000-0011-0000-FFFF-FFFF86010000}">
      <tableStyleElement type="firstRowStripe" dxfId="105"/>
      <tableStyleElement type="secondRowStripe" dxfId="104"/>
    </tableStyle>
    <tableStyle name="ذوقی و مهدی-style 51" pivot="0" count="2" xr9:uid="{00000000-0011-0000-FFFF-FFFF87010000}">
      <tableStyleElement type="firstRowStripe" dxfId="103"/>
      <tableStyleElement type="secondRowStripe" dxfId="102"/>
    </tableStyle>
    <tableStyle name="ذوقی و مهدی-style 52" pivot="0" count="2" xr9:uid="{00000000-0011-0000-FFFF-FFFF88010000}">
      <tableStyleElement type="firstRowStripe" dxfId="101"/>
      <tableStyleElement type="secondRowStripe" dxfId="100"/>
    </tableStyle>
    <tableStyle name="ذوقی و مهدی-style 53" pivot="0" count="2" xr9:uid="{00000000-0011-0000-FFFF-FFFF89010000}">
      <tableStyleElement type="firstRowStripe" dxfId="99"/>
      <tableStyleElement type="secondRowStripe" dxfId="98"/>
    </tableStyle>
    <tableStyle name="ذوقی و مهدی-style 54" pivot="0" count="2" xr9:uid="{00000000-0011-0000-FFFF-FFFF8A010000}">
      <tableStyleElement type="firstRowStripe" dxfId="97"/>
      <tableStyleElement type="secondRowStripe" dxfId="96"/>
    </tableStyle>
    <tableStyle name="ذوقی و مهدی-style 55" pivot="0" count="2" xr9:uid="{00000000-0011-0000-FFFF-FFFF8B010000}">
      <tableStyleElement type="firstRowStripe" dxfId="95"/>
      <tableStyleElement type="secondRowStripe" dxfId="94"/>
    </tableStyle>
    <tableStyle name="ذوقی و مهدی-style 56" pivot="0" count="2" xr9:uid="{00000000-0011-0000-FFFF-FFFF8C010000}">
      <tableStyleElement type="firstRowStripe" dxfId="93"/>
      <tableStyleElement type="secondRowStripe" dxfId="92"/>
    </tableStyle>
    <tableStyle name="ذوقی و مهدی-style 57" pivot="0" count="2" xr9:uid="{00000000-0011-0000-FFFF-FFFF8D010000}">
      <tableStyleElement type="firstRowStripe" dxfId="91"/>
      <tableStyleElement type="secondRowStripe" dxfId="90"/>
    </tableStyle>
    <tableStyle name="ذوقی و مهدی-style 58" pivot="0" count="2" xr9:uid="{00000000-0011-0000-FFFF-FFFF8E010000}">
      <tableStyleElement type="firstRowStripe" dxfId="89"/>
      <tableStyleElement type="secondRowStripe" dxfId="88"/>
    </tableStyle>
    <tableStyle name="ذوقی و مهدی-style 59" pivot="0" count="2" xr9:uid="{00000000-0011-0000-FFFF-FFFF8F010000}">
      <tableStyleElement type="firstRowStripe" dxfId="87"/>
      <tableStyleElement type="secondRowStripe" dxfId="86"/>
    </tableStyle>
    <tableStyle name="ذوقی و مهدی-style 60" pivot="0" count="2" xr9:uid="{00000000-0011-0000-FFFF-FFFF90010000}">
      <tableStyleElement type="firstRowStripe" dxfId="85"/>
      <tableStyleElement type="secondRowStripe" dxfId="84"/>
    </tableStyle>
    <tableStyle name="ذوقی و مهدی-style 61" pivot="0" count="2" xr9:uid="{00000000-0011-0000-FFFF-FFFF91010000}">
      <tableStyleElement type="firstRowStripe" dxfId="83"/>
      <tableStyleElement type="secondRowStripe" dxfId="82"/>
    </tableStyle>
    <tableStyle name="ذوقی و مهدی-style 62" pivot="0" count="2" xr9:uid="{00000000-0011-0000-FFFF-FFFF92010000}">
      <tableStyleElement type="firstRowStripe" dxfId="81"/>
      <tableStyleElement type="secondRowStripe" dxfId="80"/>
    </tableStyle>
    <tableStyle name="ذوقی و مهدی-style 63" pivot="0" count="2" xr9:uid="{00000000-0011-0000-FFFF-FFFF93010000}">
      <tableStyleElement type="firstRowStripe" dxfId="79"/>
      <tableStyleElement type="secondRowStripe" dxfId="78"/>
    </tableStyle>
    <tableStyle name="ذوقی و مهدی-style 64" pivot="0" count="2" xr9:uid="{00000000-0011-0000-FFFF-FFFF94010000}">
      <tableStyleElement type="firstRowStripe" dxfId="77"/>
      <tableStyleElement type="secondRowStripe" dxfId="76"/>
    </tableStyle>
    <tableStyle name="ذوقی و مهدی-style 65" pivot="0" count="2" xr9:uid="{00000000-0011-0000-FFFF-FFFF95010000}">
      <tableStyleElement type="firstRowStripe" dxfId="75"/>
      <tableStyleElement type="secondRowStripe" dxfId="74"/>
    </tableStyle>
    <tableStyle name="ذوقی و مهدی-style 66" pivot="0" count="2" xr9:uid="{00000000-0011-0000-FFFF-FFFF96010000}">
      <tableStyleElement type="firstRowStripe" dxfId="73"/>
      <tableStyleElement type="secondRowStripe" dxfId="72"/>
    </tableStyle>
    <tableStyle name="ذوقی و مهدی-style 67" pivot="0" count="2" xr9:uid="{00000000-0011-0000-FFFF-FFFF97010000}">
      <tableStyleElement type="firstRowStripe" dxfId="71"/>
      <tableStyleElement type="secondRowStripe" dxfId="70"/>
    </tableStyle>
    <tableStyle name="ذوقی و مهدی-style 68" pivot="0" count="2" xr9:uid="{00000000-0011-0000-FFFF-FFFF98010000}">
      <tableStyleElement type="firstRowStripe" dxfId="69"/>
      <tableStyleElement type="secondRowStripe" dxfId="68"/>
    </tableStyle>
    <tableStyle name="ذوقی و مهدی-style 69" pivot="0" count="2" xr9:uid="{00000000-0011-0000-FFFF-FFFF99010000}">
      <tableStyleElement type="firstRowStripe" dxfId="67"/>
      <tableStyleElement type="secondRowStripe" dxfId="66"/>
    </tableStyle>
    <tableStyle name="ذوقی و مهدی-style 70" pivot="0" count="2" xr9:uid="{00000000-0011-0000-FFFF-FFFF9A010000}">
      <tableStyleElement type="firstRowStripe" dxfId="65"/>
      <tableStyleElement type="secondRowStripe" dxfId="64"/>
    </tableStyle>
    <tableStyle name="ذوقی و مهدی-style 71" pivot="0" count="2" xr9:uid="{00000000-0011-0000-FFFF-FFFF9B010000}">
      <tableStyleElement type="firstRowStripe" dxfId="63"/>
      <tableStyleElement type="secondRowStripe" dxfId="62"/>
    </tableStyle>
    <tableStyle name="ذوقی و مهدی-style 72" pivot="0" count="2" xr9:uid="{00000000-0011-0000-FFFF-FFFF9C010000}">
      <tableStyleElement type="firstRowStripe" dxfId="61"/>
      <tableStyleElement type="secondRowStripe" dxfId="60"/>
    </tableStyle>
    <tableStyle name="ذوقی و مهدی-style 73" pivot="0" count="2" xr9:uid="{00000000-0011-0000-FFFF-FFFF9D010000}">
      <tableStyleElement type="firstRowStripe" dxfId="59"/>
      <tableStyleElement type="secondRowStripe" dxfId="58"/>
    </tableStyle>
    <tableStyle name="ذوقی و مهدی-style 74" pivot="0" count="2" xr9:uid="{00000000-0011-0000-FFFF-FFFF9E010000}">
      <tableStyleElement type="firstRowStripe" dxfId="57"/>
      <tableStyleElement type="secondRowStripe" dxfId="56"/>
    </tableStyle>
    <tableStyle name="ذوقی و مهدی-style 75" pivot="0" count="2" xr9:uid="{00000000-0011-0000-FFFF-FFFF9F010000}">
      <tableStyleElement type="firstRowStripe" dxfId="55"/>
      <tableStyleElement type="secondRowStripe" dxfId="54"/>
    </tableStyle>
    <tableStyle name="ذوقی و مهدی-style 76" pivot="0" count="2" xr9:uid="{00000000-0011-0000-FFFF-FFFFA0010000}">
      <tableStyleElement type="firstRowStripe" dxfId="53"/>
      <tableStyleElement type="secondRowStripe" dxfId="52"/>
    </tableStyle>
    <tableStyle name="ذوقی و مهدی-style 77" pivot="0" count="2" xr9:uid="{00000000-0011-0000-FFFF-FFFFA1010000}">
      <tableStyleElement type="firstRowStripe" dxfId="51"/>
      <tableStyleElement type="secondRowStripe" dxfId="50"/>
    </tableStyle>
    <tableStyle name="ذوقی و مهدی-style 78" pivot="0" count="2" xr9:uid="{00000000-0011-0000-FFFF-FFFFA2010000}">
      <tableStyleElement type="firstRowStripe" dxfId="49"/>
      <tableStyleElement type="secondRowStripe" dxfId="48"/>
    </tableStyle>
    <tableStyle name="ذوقی و مهدی-style 79" pivot="0" count="2" xr9:uid="{00000000-0011-0000-FFFF-FFFFA3010000}">
      <tableStyleElement type="firstRowStripe" dxfId="47"/>
      <tableStyleElement type="secondRowStripe" dxfId="46"/>
    </tableStyle>
    <tableStyle name="ذوقی و مهدی-style 80" pivot="0" count="2" xr9:uid="{00000000-0011-0000-FFFF-FFFFA4010000}">
      <tableStyleElement type="firstRowStripe" dxfId="45"/>
      <tableStyleElement type="secondRowStripe" dxfId="44"/>
    </tableStyle>
    <tableStyle name="ذوقی و مهدی-style 81" pivot="0" count="2" xr9:uid="{00000000-0011-0000-FFFF-FFFFA5010000}">
      <tableStyleElement type="firstRowStripe" dxfId="43"/>
      <tableStyleElement type="secondRowStripe" dxfId="42"/>
    </tableStyle>
    <tableStyle name="ذوقی و مهدی-style 82" pivot="0" count="2" xr9:uid="{00000000-0011-0000-FFFF-FFFFA6010000}">
      <tableStyleElement type="firstRowStripe" dxfId="41"/>
      <tableStyleElement type="secondRowStripe" dxfId="40"/>
    </tableStyle>
    <tableStyle name="ذوقی و مهدی-style 83" pivot="0" count="2" xr9:uid="{00000000-0011-0000-FFFF-FFFFA7010000}">
      <tableStyleElement type="firstRowStripe" dxfId="39"/>
      <tableStyleElement type="secondRowStripe" dxfId="38"/>
    </tableStyle>
    <tableStyle name="ذوقی و مهدی-style 84" pivot="0" count="2" xr9:uid="{00000000-0011-0000-FFFF-FFFFA8010000}">
      <tableStyleElement type="firstRowStripe" dxfId="37"/>
      <tableStyleElement type="secondRowStripe" dxfId="36"/>
    </tableStyle>
    <tableStyle name="ذوقی و مهدی-style 85" pivot="0" count="2" xr9:uid="{00000000-0011-0000-FFFF-FFFFA9010000}">
      <tableStyleElement type="firstRowStripe" dxfId="35"/>
      <tableStyleElement type="secondRowStripe" dxfId="34"/>
    </tableStyle>
    <tableStyle name="ذوقی و مهدی-style 86" pivot="0" count="2" xr9:uid="{00000000-0011-0000-FFFF-FFFFAA010000}">
      <tableStyleElement type="firstRowStripe" dxfId="33"/>
      <tableStyleElement type="secondRowStripe" dxfId="32"/>
    </tableStyle>
    <tableStyle name="ذوقی و مهدی-style 87" pivot="0" count="2" xr9:uid="{00000000-0011-0000-FFFF-FFFFAB010000}">
      <tableStyleElement type="firstRowStripe" dxfId="31"/>
      <tableStyleElement type="secondRowStripe" dxfId="30"/>
    </tableStyle>
    <tableStyle name="ذوقی و مهدی-style 88" pivot="0" count="2" xr9:uid="{00000000-0011-0000-FFFF-FFFFAC010000}">
      <tableStyleElement type="firstRowStripe" dxfId="29"/>
      <tableStyleElement type="secondRowStripe" dxfId="28"/>
    </tableStyle>
    <tableStyle name="ذوقی و مهدی-style 89" pivot="0" count="2" xr9:uid="{00000000-0011-0000-FFFF-FFFFAD010000}">
      <tableStyleElement type="firstRowStripe" dxfId="27"/>
      <tableStyleElement type="secondRowStripe" dxfId="26"/>
    </tableStyle>
    <tableStyle name="ذوقی و مهدی-style 90" pivot="0" count="2" xr9:uid="{00000000-0011-0000-FFFF-FFFFAE010000}">
      <tableStyleElement type="firstRowStripe" dxfId="25"/>
      <tableStyleElement type="secondRowStripe" dxfId="24"/>
    </tableStyle>
    <tableStyle name="ذوقی و مهدی-style 91" pivot="0" count="2" xr9:uid="{00000000-0011-0000-FFFF-FFFFAF010000}">
      <tableStyleElement type="firstRowStripe" dxfId="23"/>
      <tableStyleElement type="secondRowStripe" dxfId="22"/>
    </tableStyle>
    <tableStyle name="ذوقی و مهدی-style 92" pivot="0" count="2" xr9:uid="{00000000-0011-0000-FFFF-FFFFB0010000}">
      <tableStyleElement type="firstRowStripe" dxfId="21"/>
      <tableStyleElement type="secondRowStripe" dxfId="20"/>
    </tableStyle>
    <tableStyle name="ذوقی و مهدی-style 93" pivot="0" count="2" xr9:uid="{00000000-0011-0000-FFFF-FFFFB1010000}">
      <tableStyleElement type="firstRowStripe" dxfId="19"/>
      <tableStyleElement type="secondRowStripe" dxfId="18"/>
    </tableStyle>
    <tableStyle name="ذوقی و مهدی-style 94" pivot="0" count="2" xr9:uid="{00000000-0011-0000-FFFF-FFFFB2010000}">
      <tableStyleElement type="firstRowStripe" dxfId="17"/>
      <tableStyleElement type="secondRowStripe" dxfId="16"/>
    </tableStyle>
    <tableStyle name="ذوقی و مهدی-style 95" pivot="0" count="2" xr9:uid="{00000000-0011-0000-FFFF-FFFFB3010000}">
      <tableStyleElement type="firstRowStripe" dxfId="15"/>
      <tableStyleElement type="secondRowStripe" dxfId="14"/>
    </tableStyle>
    <tableStyle name="ذوقی و مهدی-style 96" pivot="0" count="2" xr9:uid="{00000000-0011-0000-FFFF-FFFFB4010000}">
      <tableStyleElement type="firstRowStripe" dxfId="13"/>
      <tableStyleElement type="secondRowStripe" dxfId="12"/>
    </tableStyle>
    <tableStyle name="ذوقی و مهدی-style 97" pivot="0" count="2" xr9:uid="{00000000-0011-0000-FFFF-FFFFB5010000}">
      <tableStyleElement type="firstRowStripe" dxfId="11"/>
      <tableStyleElement type="secondRowStripe" dxfId="10"/>
    </tableStyle>
    <tableStyle name="ذوقی و مهدی-style 98" pivot="0" count="2" xr9:uid="{00000000-0011-0000-FFFF-FFFFB6010000}">
      <tableStyleElement type="firstRowStripe" dxfId="9"/>
      <tableStyleElement type="secondRowStripe" dxfId="8"/>
    </tableStyle>
    <tableStyle name="ذوقی و مهدی-style 99" pivot="0" count="2" xr9:uid="{00000000-0011-0000-FFFF-FFFFB7010000}">
      <tableStyleElement type="firstRowStripe" dxfId="7"/>
      <tableStyleElement type="secondRowStripe" dxfId="6"/>
    </tableStyle>
    <tableStyle name="ذوقی و مهدی-style 100" pivot="0" count="2" xr9:uid="{00000000-0011-0000-FFFF-FFFFB8010000}">
      <tableStyleElement type="firstRowStripe" dxfId="5"/>
      <tableStyleElement type="secondRowStripe" dxfId="4"/>
    </tableStyle>
    <tableStyle name="ذوقی و مهدی-style 101" pivot="0" count="2" xr9:uid="{00000000-0011-0000-FFFF-FFFFB9010000}">
      <tableStyleElement type="firstRowStripe" dxfId="3"/>
      <tableStyleElement type="secondRowStripe" dxfId="2"/>
    </tableStyle>
    <tableStyle name="ذوقی و مهدی-style 102" pivot="0" count="2" xr9:uid="{00000000-0011-0000-FFFF-FFFFBA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:E6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فلاح و علی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8:E20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فلاح و علی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4:E36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فلاح و علی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50:E52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فلاح و علی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66:E68" headerRowCount="0">
  <tableColumns count="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</tableColumns>
  <tableStyleInfo name="فلاح و علی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85:E87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فلاح و علی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99:E101" headerRowCount="0">
  <tableColumns count="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</tableColumns>
  <tableStyleInfo name="فلاح و علی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115:E117" headerRowCount="0">
  <tableColumns count="4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</tableColumns>
  <tableStyleInfo name="فلاح و علی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133:E135" headerRowCount="0">
  <tableColumns count="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</tableColumns>
  <tableStyleInfo name="فلاح و علی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150:E152" headerRowCount="0">
  <tableColumns count="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</tableColumns>
  <tableStyleInfo name="فلاح و علی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167:E169" headerRowCount="0">
  <tableColumns count="4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</tableColumns>
  <tableStyleInfo name="فلاح و علی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183:E185" headerRowCount="0">
  <tableColumns count="4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</tableColumns>
  <tableStyleInfo name="فلاح و علی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196:E198" headerRowCount="0">
  <tableColumns count="4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</tableColumns>
  <tableStyleInfo name="فلاح و علی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212:E214" headerRowCount="0">
  <tableColumns count="4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</tableColumns>
  <tableStyleInfo name="فلاح و علی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227:E230" headerRowCount="0">
  <tableColumns count="4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</tableColumns>
  <tableStyleInfo name="فلاح و علی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242:E244" headerRowCount="0">
  <tableColumns count="4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</tableColumns>
  <tableStyleInfo name="فلاح و علی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256:E258" headerRowCount="0">
  <tableColumns count="4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</tableColumns>
  <tableStyleInfo name="فلاح و علی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271:E273" headerRowCount="0">
  <tableColumns count="4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</tableColumns>
  <tableStyleInfo name="فلاح و علی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288:E290" headerRowCount="0">
  <tableColumns count="4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</tableColumns>
  <tableStyleInfo name="فلاح و علی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304:E306" headerRowCount="0">
  <tableColumns count="4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</tableColumns>
  <tableStyleInfo name="فلاح و علی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B325:E327" headerRowCount="0">
  <tableColumns count="4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</tableColumns>
  <tableStyleInfo name="فلاح و علی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339:E341" headerRowCount="0">
  <tableColumns count="4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</tableColumns>
  <tableStyleInfo name="فلاح و علی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B355:E357" headerRowCount="0">
  <tableColumns count="4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</tableColumns>
  <tableStyleInfo name="فلاح و علی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B369:E371" headerRowCount="0">
  <tableColumns count="4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</tableColumns>
  <tableStyleInfo name="فلاح و علی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381:E383" headerRowCount="0">
  <tableColumns count="4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</tableColumns>
  <tableStyleInfo name="فلاح و علی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397:E399" headerRowCount="0">
  <tableColumns count="4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</tableColumns>
  <tableStyleInfo name="فلاح و علی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410:E412" headerRowCount="0">
  <tableColumns count="4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</tableColumns>
  <tableStyleInfo name="فلاح و علی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B426:E428" headerRowCount="0">
  <tableColumns count="4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</tableColumns>
  <tableStyleInfo name="فلاح و علی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441:E443" headerRowCount="0">
  <tableColumns count="4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</tableColumns>
  <tableStyleInfo name="فلاح و علی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B453:E455" headerRowCount="0">
  <tableColumns count="4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</tableColumns>
  <tableStyleInfo name="فلاح و علی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B470:E472" headerRowCount="0">
  <tableColumns count="4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</tableColumns>
  <tableStyleInfo name="فلاح و علی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483:E485" headerRowCount="0">
  <tableColumns count="4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</tableColumns>
  <tableStyleInfo name="فلاح و علی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497:E499" headerRowCount="0">
  <tableColumns count="4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</tableColumns>
  <tableStyleInfo name="فلاح و علی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512:E514" headerRowCount="0">
  <tableColumns count="4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</tableColumns>
  <tableStyleInfo name="فلاح و علی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B531:E533" headerRowCount="0">
  <tableColumns count="4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</tableColumns>
  <tableStyleInfo name="فلاح و علی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548:E550" headerRowCount="0">
  <tableColumns count="4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</tableColumns>
  <tableStyleInfo name="فلاح و علی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B565:E567" headerRowCount="0">
  <tableColumns count="4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</tableColumns>
  <tableStyleInfo name="فلاح و علی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B583:E585" headerRowCount="0">
  <tableColumns count="4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</tableColumns>
  <tableStyleInfo name="فلاح و علی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595:E597" headerRowCount="0">
  <tableColumns count="4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</tableColumns>
  <tableStyleInfo name="فلاح و علی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B612:E614" headerRowCount="0">
  <tableColumns count="4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</tableColumns>
  <tableStyleInfo name="فلاح و علی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B628:E630" headerRowCount="0">
  <tableColumns count="4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</tableColumns>
  <tableStyleInfo name="فلاح و علی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B642:E644" headerRowCount="0">
  <tableColumns count="4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</tableColumns>
  <tableStyleInfo name="فلاح و علی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B657:E659" headerRowCount="0">
  <tableColumns count="4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</tableColumns>
  <tableStyleInfo name="فلاح و علی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B673:E675" headerRowCount="0">
  <tableColumns count="4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</tableColumns>
  <tableStyleInfo name="فلاح و علی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B687:E689" headerRowCount="0">
  <tableColumns count="4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</tableColumns>
  <tableStyleInfo name="فلاح و علی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702:E704" headerRowCount="0">
  <tableColumns count="4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</tableColumns>
  <tableStyleInfo name="فلاح و علی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B717:E718" headerRowCount="0">
  <tableColumns count="4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</tableColumns>
  <tableStyleInfo name="فلاح و علی-style 47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B719:E719" headerRowCount="0">
  <tableColumns count="4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</tableColumns>
  <tableStyleInfo name="فلاح و علی-style 48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B731:E733" headerRowCount="0">
  <tableColumns count="4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</tableColumns>
  <tableStyleInfo name="فلاح و علی-style 49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B745:E747" headerRowCount="0">
  <tableColumns count="4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</tableColumns>
  <tableStyleInfo name="فلاح و علی-style 50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B761:E762" headerRowCount="0">
  <tableColumns count="4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</tableColumns>
  <tableStyleInfo name="فلاح و علی-style 51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B763:E763" headerRowCount="0">
  <tableColumns count="4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</tableColumns>
  <tableStyleInfo name="فلاح و علی-style 5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B778:E780" headerRowCount="0">
  <tableColumns count="4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</tableColumns>
  <tableStyleInfo name="فلاح و علی-style 53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B792:E793" headerRowCount="0">
  <tableColumns count="4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</tableColumns>
  <tableStyleInfo name="فلاح و علی-style 54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B807:E808" headerRowCount="0">
  <tableColumns count="4">
    <tableColumn id="1" xr3:uid="{00000000-0010-0000-3600-000001000000}" name="Column1"/>
    <tableColumn id="2" xr3:uid="{00000000-0010-0000-3600-000002000000}" name="Column2"/>
    <tableColumn id="3" xr3:uid="{00000000-0010-0000-3600-000003000000}" name="Column3"/>
    <tableColumn id="4" xr3:uid="{00000000-0010-0000-3600-000004000000}" name="Column4"/>
  </tableColumns>
  <tableStyleInfo name="فلاح و علی-style 55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B821:E822" headerRowCount="0">
  <tableColumns count="4">
    <tableColumn id="1" xr3:uid="{00000000-0010-0000-3700-000001000000}" name="Column1"/>
    <tableColumn id="2" xr3:uid="{00000000-0010-0000-3700-000002000000}" name="Column2"/>
    <tableColumn id="3" xr3:uid="{00000000-0010-0000-3700-000003000000}" name="Column3"/>
    <tableColumn id="4" xr3:uid="{00000000-0010-0000-3700-000004000000}" name="Column4"/>
  </tableColumns>
  <tableStyleInfo name="فلاح و علی-style 56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B836:E837" headerRowCount="0">
  <tableColumns count="4">
    <tableColumn id="1" xr3:uid="{00000000-0010-0000-3800-000001000000}" name="Column1"/>
    <tableColumn id="2" xr3:uid="{00000000-0010-0000-3800-000002000000}" name="Column2"/>
    <tableColumn id="3" xr3:uid="{00000000-0010-0000-3800-000003000000}" name="Column3"/>
    <tableColumn id="4" xr3:uid="{00000000-0010-0000-3800-000004000000}" name="Column4"/>
  </tableColumns>
  <tableStyleInfo name="فلاح و علی-style 57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B852:E853" headerRowCount="0">
  <tableColumns count="4">
    <tableColumn id="1" xr3:uid="{00000000-0010-0000-3900-000001000000}" name="Column1"/>
    <tableColumn id="2" xr3:uid="{00000000-0010-0000-3900-000002000000}" name="Column2"/>
    <tableColumn id="3" xr3:uid="{00000000-0010-0000-3900-000003000000}" name="Column3"/>
    <tableColumn id="4" xr3:uid="{00000000-0010-0000-3900-000004000000}" name="Column4"/>
  </tableColumns>
  <tableStyleInfo name="فلاح و علی-style 58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B867:E868" headerRowCount="0">
  <tableColumns count="4">
    <tableColumn id="1" xr3:uid="{00000000-0010-0000-3A00-000001000000}" name="Column1"/>
    <tableColumn id="2" xr3:uid="{00000000-0010-0000-3A00-000002000000}" name="Column2"/>
    <tableColumn id="3" xr3:uid="{00000000-0010-0000-3A00-000003000000}" name="Column3"/>
    <tableColumn id="4" xr3:uid="{00000000-0010-0000-3A00-000004000000}" name="Column4"/>
  </tableColumns>
  <tableStyleInfo name="فلاح و علی-style 59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B882:E883" headerRowCount="0">
  <tableColumns count="4">
    <tableColumn id="1" xr3:uid="{00000000-0010-0000-3B00-000001000000}" name="Column1"/>
    <tableColumn id="2" xr3:uid="{00000000-0010-0000-3B00-000002000000}" name="Column2"/>
    <tableColumn id="3" xr3:uid="{00000000-0010-0000-3B00-000003000000}" name="Column3"/>
    <tableColumn id="4" xr3:uid="{00000000-0010-0000-3B00-000004000000}" name="Column4"/>
  </tableColumns>
  <tableStyleInfo name="فلاح و علی-style 60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B900:E901" headerRowCount="0">
  <tableColumns count="4">
    <tableColumn id="1" xr3:uid="{00000000-0010-0000-3C00-000001000000}" name="Column1"/>
    <tableColumn id="2" xr3:uid="{00000000-0010-0000-3C00-000002000000}" name="Column2"/>
    <tableColumn id="3" xr3:uid="{00000000-0010-0000-3C00-000003000000}" name="Column3"/>
    <tableColumn id="4" xr3:uid="{00000000-0010-0000-3C00-000004000000}" name="Column4"/>
  </tableColumns>
  <tableStyleInfo name="فلاح و علی-style 61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B914:E915" headerRowCount="0">
  <tableColumns count="4">
    <tableColumn id="1" xr3:uid="{00000000-0010-0000-3D00-000001000000}" name="Column1"/>
    <tableColumn id="2" xr3:uid="{00000000-0010-0000-3D00-000002000000}" name="Column2"/>
    <tableColumn id="3" xr3:uid="{00000000-0010-0000-3D00-000003000000}" name="Column3"/>
    <tableColumn id="4" xr3:uid="{00000000-0010-0000-3D00-000004000000}" name="Column4"/>
  </tableColumns>
  <tableStyleInfo name="فلاح و علی-style 62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B929:E930" headerRowCount="0">
  <tableColumns count="4">
    <tableColumn id="1" xr3:uid="{00000000-0010-0000-3E00-000001000000}" name="Column1"/>
    <tableColumn id="2" xr3:uid="{00000000-0010-0000-3E00-000002000000}" name="Column2"/>
    <tableColumn id="3" xr3:uid="{00000000-0010-0000-3E00-000003000000}" name="Column3"/>
    <tableColumn id="4" xr3:uid="{00000000-0010-0000-3E00-000004000000}" name="Column4"/>
  </tableColumns>
  <tableStyleInfo name="فلاح و علی-style 63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B944:E945" headerRowCount="0">
  <tableColumns count="4">
    <tableColumn id="1" xr3:uid="{00000000-0010-0000-3F00-000001000000}" name="Column1"/>
    <tableColumn id="2" xr3:uid="{00000000-0010-0000-3F00-000002000000}" name="Column2"/>
    <tableColumn id="3" xr3:uid="{00000000-0010-0000-3F00-000003000000}" name="Column3"/>
    <tableColumn id="4" xr3:uid="{00000000-0010-0000-3F00-000004000000}" name="Column4"/>
  </tableColumns>
  <tableStyleInfo name="فلاح و علی-style 64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B959:E960" headerRowCount="0">
  <tableColumns count="4">
    <tableColumn id="1" xr3:uid="{00000000-0010-0000-4000-000001000000}" name="Column1"/>
    <tableColumn id="2" xr3:uid="{00000000-0010-0000-4000-000002000000}" name="Column2"/>
    <tableColumn id="3" xr3:uid="{00000000-0010-0000-4000-000003000000}" name="Column3"/>
    <tableColumn id="4" xr3:uid="{00000000-0010-0000-4000-000004000000}" name="Column4"/>
  </tableColumns>
  <tableStyleInfo name="فلاح و علی-style 65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B973:E974" headerRowCount="0">
  <tableColumns count="4">
    <tableColumn id="1" xr3:uid="{00000000-0010-0000-4100-000001000000}" name="Column1"/>
    <tableColumn id="2" xr3:uid="{00000000-0010-0000-4100-000002000000}" name="Column2"/>
    <tableColumn id="3" xr3:uid="{00000000-0010-0000-4100-000003000000}" name="Column3"/>
    <tableColumn id="4" xr3:uid="{00000000-0010-0000-4100-000004000000}" name="Column4"/>
  </tableColumns>
  <tableStyleInfo name="فلاح و علی-style 66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B990:E991" headerRowCount="0">
  <tableColumns count="4">
    <tableColumn id="1" xr3:uid="{00000000-0010-0000-4200-000001000000}" name="Column1"/>
    <tableColumn id="2" xr3:uid="{00000000-0010-0000-4200-000002000000}" name="Column2"/>
    <tableColumn id="3" xr3:uid="{00000000-0010-0000-4200-000003000000}" name="Column3"/>
    <tableColumn id="4" xr3:uid="{00000000-0010-0000-4200-000004000000}" name="Column4"/>
  </tableColumns>
  <tableStyleInfo name="فلاح و علی-style 67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8" displayName="Table_68" ref="B1003:E1004" headerRowCount="0">
  <tableColumns count="4">
    <tableColumn id="1" xr3:uid="{00000000-0010-0000-4300-000001000000}" name="Column1"/>
    <tableColumn id="2" xr3:uid="{00000000-0010-0000-4300-000002000000}" name="Column2"/>
    <tableColumn id="3" xr3:uid="{00000000-0010-0000-4300-000003000000}" name="Column3"/>
    <tableColumn id="4" xr3:uid="{00000000-0010-0000-4300-000004000000}" name="Column4"/>
  </tableColumns>
  <tableStyleInfo name="فلاح و علی-style 68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B1018:E1019" headerRowCount="0">
  <tableColumns count="4">
    <tableColumn id="1" xr3:uid="{00000000-0010-0000-4400-000001000000}" name="Column1"/>
    <tableColumn id="2" xr3:uid="{00000000-0010-0000-4400-000002000000}" name="Column2"/>
    <tableColumn id="3" xr3:uid="{00000000-0010-0000-4400-000003000000}" name="Column3"/>
    <tableColumn id="4" xr3:uid="{00000000-0010-0000-4400-000004000000}" name="Column4"/>
  </tableColumns>
  <tableStyleInfo name="فلاح و علی-style 69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B1033:E1034" headerRowCount="0">
  <tableColumns count="4">
    <tableColumn id="1" xr3:uid="{00000000-0010-0000-4500-000001000000}" name="Column1"/>
    <tableColumn id="2" xr3:uid="{00000000-0010-0000-4500-000002000000}" name="Column2"/>
    <tableColumn id="3" xr3:uid="{00000000-0010-0000-4500-000003000000}" name="Column3"/>
    <tableColumn id="4" xr3:uid="{00000000-0010-0000-4500-000004000000}" name="Column4"/>
  </tableColumns>
  <tableStyleInfo name="فلاح و علی-style 70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71" displayName="Table_71" ref="B1047:E1048" headerRowCount="0">
  <tableColumns count="4">
    <tableColumn id="1" xr3:uid="{00000000-0010-0000-4600-000001000000}" name="Column1"/>
    <tableColumn id="2" xr3:uid="{00000000-0010-0000-4600-000002000000}" name="Column2"/>
    <tableColumn id="3" xr3:uid="{00000000-0010-0000-4600-000003000000}" name="Column3"/>
    <tableColumn id="4" xr3:uid="{00000000-0010-0000-4600-000004000000}" name="Column4"/>
  </tableColumns>
  <tableStyleInfo name="فلاح و علی-style 71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2" displayName="Table_72" ref="B1060:E1061" headerRowCount="0">
  <tableColumns count="4">
    <tableColumn id="1" xr3:uid="{00000000-0010-0000-4700-000001000000}" name="Column1"/>
    <tableColumn id="2" xr3:uid="{00000000-0010-0000-4700-000002000000}" name="Column2"/>
    <tableColumn id="3" xr3:uid="{00000000-0010-0000-4700-000003000000}" name="Column3"/>
    <tableColumn id="4" xr3:uid="{00000000-0010-0000-4700-000004000000}" name="Column4"/>
  </tableColumns>
  <tableStyleInfo name="فلاح و علی-style 72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3" displayName="Table_73" ref="B1075:E1076" headerRowCount="0">
  <tableColumns count="4">
    <tableColumn id="1" xr3:uid="{00000000-0010-0000-4800-000001000000}" name="Column1"/>
    <tableColumn id="2" xr3:uid="{00000000-0010-0000-4800-000002000000}" name="Column2"/>
    <tableColumn id="3" xr3:uid="{00000000-0010-0000-4800-000003000000}" name="Column3"/>
    <tableColumn id="4" xr3:uid="{00000000-0010-0000-4800-000004000000}" name="Column4"/>
  </tableColumns>
  <tableStyleInfo name="فلاح و علی-style 73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4" displayName="Table_74" ref="B1089:E1090" headerRowCount="0">
  <tableColumns count="4">
    <tableColumn id="1" xr3:uid="{00000000-0010-0000-4900-000001000000}" name="Column1"/>
    <tableColumn id="2" xr3:uid="{00000000-0010-0000-4900-000002000000}" name="Column2"/>
    <tableColumn id="3" xr3:uid="{00000000-0010-0000-4900-000003000000}" name="Column3"/>
    <tableColumn id="4" xr3:uid="{00000000-0010-0000-4900-000004000000}" name="Column4"/>
  </tableColumns>
  <tableStyleInfo name="فلاح و علی-style 74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5" displayName="Table_75" ref="B1103:E1104" headerRowCount="0">
  <tableColumns count="4">
    <tableColumn id="1" xr3:uid="{00000000-0010-0000-4A00-000001000000}" name="Column1"/>
    <tableColumn id="2" xr3:uid="{00000000-0010-0000-4A00-000002000000}" name="Column2"/>
    <tableColumn id="3" xr3:uid="{00000000-0010-0000-4A00-000003000000}" name="Column3"/>
    <tableColumn id="4" xr3:uid="{00000000-0010-0000-4A00-000004000000}" name="Column4"/>
  </tableColumns>
  <tableStyleInfo name="فلاح و علی-style 75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6" displayName="Table_76" ref="B1120:E1121" headerRowCount="0">
  <tableColumns count="4">
    <tableColumn id="1" xr3:uid="{00000000-0010-0000-4B00-000001000000}" name="Column1"/>
    <tableColumn id="2" xr3:uid="{00000000-0010-0000-4B00-000002000000}" name="Column2"/>
    <tableColumn id="3" xr3:uid="{00000000-0010-0000-4B00-000003000000}" name="Column3"/>
    <tableColumn id="4" xr3:uid="{00000000-0010-0000-4B00-000004000000}" name="Column4"/>
  </tableColumns>
  <tableStyleInfo name="فلاح و علی-style 76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B1135:E1136" headerRowCount="0">
  <tableColumns count="4">
    <tableColumn id="1" xr3:uid="{00000000-0010-0000-4C00-000001000000}" name="Column1"/>
    <tableColumn id="2" xr3:uid="{00000000-0010-0000-4C00-000002000000}" name="Column2"/>
    <tableColumn id="3" xr3:uid="{00000000-0010-0000-4C00-000003000000}" name="Column3"/>
    <tableColumn id="4" xr3:uid="{00000000-0010-0000-4C00-000004000000}" name="Column4"/>
  </tableColumns>
  <tableStyleInfo name="فلاح و علی-style 77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B1152:E1153" headerRowCount="0">
  <tableColumns count="4">
    <tableColumn id="1" xr3:uid="{00000000-0010-0000-4D00-000001000000}" name="Column1"/>
    <tableColumn id="2" xr3:uid="{00000000-0010-0000-4D00-000002000000}" name="Column2"/>
    <tableColumn id="3" xr3:uid="{00000000-0010-0000-4D00-000003000000}" name="Column3"/>
    <tableColumn id="4" xr3:uid="{00000000-0010-0000-4D00-000004000000}" name="Column4"/>
  </tableColumns>
  <tableStyleInfo name="فلاح و علی-style 78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9" displayName="Table_79" ref="B1167:E1168" headerRowCount="0">
  <tableColumns count="4">
    <tableColumn id="1" xr3:uid="{00000000-0010-0000-4E00-000001000000}" name="Column1"/>
    <tableColumn id="2" xr3:uid="{00000000-0010-0000-4E00-000002000000}" name="Column2"/>
    <tableColumn id="3" xr3:uid="{00000000-0010-0000-4E00-000003000000}" name="Column3"/>
    <tableColumn id="4" xr3:uid="{00000000-0010-0000-4E00-000004000000}" name="Column4"/>
  </tableColumns>
  <tableStyleInfo name="فلاح و علی-style 79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80" displayName="Table_80" ref="B1181:E1182" headerRowCount="0">
  <tableColumns count="4">
    <tableColumn id="1" xr3:uid="{00000000-0010-0000-4F00-000001000000}" name="Column1"/>
    <tableColumn id="2" xr3:uid="{00000000-0010-0000-4F00-000002000000}" name="Column2"/>
    <tableColumn id="3" xr3:uid="{00000000-0010-0000-4F00-000003000000}" name="Column3"/>
    <tableColumn id="4" xr3:uid="{00000000-0010-0000-4F00-000004000000}" name="Column4"/>
  </tableColumns>
  <tableStyleInfo name="فلاح و علی-style 80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81" displayName="Table_81" ref="B1200:E1201" headerRowCount="0">
  <tableColumns count="4">
    <tableColumn id="1" xr3:uid="{00000000-0010-0000-5000-000001000000}" name="Column1"/>
    <tableColumn id="2" xr3:uid="{00000000-0010-0000-5000-000002000000}" name="Column2"/>
    <tableColumn id="3" xr3:uid="{00000000-0010-0000-5000-000003000000}" name="Column3"/>
    <tableColumn id="4" xr3:uid="{00000000-0010-0000-5000-000004000000}" name="Column4"/>
  </tableColumns>
  <tableStyleInfo name="فلاح و علی-style 81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82" displayName="Table_82" ref="B1217:E1218" headerRowCount="0">
  <tableColumns count="4">
    <tableColumn id="1" xr3:uid="{00000000-0010-0000-5100-000001000000}" name="Column1"/>
    <tableColumn id="2" xr3:uid="{00000000-0010-0000-5100-000002000000}" name="Column2"/>
    <tableColumn id="3" xr3:uid="{00000000-0010-0000-5100-000003000000}" name="Column3"/>
    <tableColumn id="4" xr3:uid="{00000000-0010-0000-5100-000004000000}" name="Column4"/>
  </tableColumns>
  <tableStyleInfo name="فلاح و علی-style 82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83" displayName="Table_83" ref="B1233:E1234" headerRowCount="0">
  <tableColumns count="4">
    <tableColumn id="1" xr3:uid="{00000000-0010-0000-5200-000001000000}" name="Column1"/>
    <tableColumn id="2" xr3:uid="{00000000-0010-0000-5200-000002000000}" name="Column2"/>
    <tableColumn id="3" xr3:uid="{00000000-0010-0000-5200-000003000000}" name="Column3"/>
    <tableColumn id="4" xr3:uid="{00000000-0010-0000-5200-000004000000}" name="Column4"/>
  </tableColumns>
  <tableStyleInfo name="فلاح و علی-style 83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4" displayName="Table_84" ref="B1248:E1249" headerRowCount="0">
  <tableColumns count="4">
    <tableColumn id="1" xr3:uid="{00000000-0010-0000-5300-000001000000}" name="Column1"/>
    <tableColumn id="2" xr3:uid="{00000000-0010-0000-5300-000002000000}" name="Column2"/>
    <tableColumn id="3" xr3:uid="{00000000-0010-0000-5300-000003000000}" name="Column3"/>
    <tableColumn id="4" xr3:uid="{00000000-0010-0000-5300-000004000000}" name="Column4"/>
  </tableColumns>
  <tableStyleInfo name="فلاح و علی-style 84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5" displayName="Table_85" ref="B1264:E1264" headerRowCount="0">
  <tableColumns count="4">
    <tableColumn id="1" xr3:uid="{00000000-0010-0000-5400-000001000000}" name="Column1"/>
    <tableColumn id="2" xr3:uid="{00000000-0010-0000-5400-000002000000}" name="Column2"/>
    <tableColumn id="3" xr3:uid="{00000000-0010-0000-5400-000003000000}" name="Column3"/>
    <tableColumn id="4" xr3:uid="{00000000-0010-0000-5400-000004000000}" name="Column4"/>
  </tableColumns>
  <tableStyleInfo name="فلاح و علی-style 85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6" displayName="Table_86" ref="B1294:E1295" headerRowCount="0">
  <tableColumns count="4">
    <tableColumn id="1" xr3:uid="{00000000-0010-0000-5500-000001000000}" name="Column1"/>
    <tableColumn id="2" xr3:uid="{00000000-0010-0000-5500-000002000000}" name="Column2"/>
    <tableColumn id="3" xr3:uid="{00000000-0010-0000-5500-000003000000}" name="Column3"/>
    <tableColumn id="4" xr3:uid="{00000000-0010-0000-5500-000004000000}" name="Column4"/>
  </tableColumns>
  <tableStyleInfo name="فلاح و علی-style 86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7" displayName="Table_87" ref="B1381:E1383" headerRowCount="0">
  <tableColumns count="4">
    <tableColumn id="1" xr3:uid="{00000000-0010-0000-5600-000001000000}" name="Column1"/>
    <tableColumn id="2" xr3:uid="{00000000-0010-0000-5600-000002000000}" name="Column2"/>
    <tableColumn id="3" xr3:uid="{00000000-0010-0000-5600-000003000000}" name="Column3"/>
    <tableColumn id="4" xr3:uid="{00000000-0010-0000-5600-000004000000}" name="Column4"/>
  </tableColumns>
  <tableStyleInfo name="فلاح و علی-style 87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8" displayName="Table_88" ref="B1394:E1396" headerRowCount="0">
  <tableColumns count="4">
    <tableColumn id="1" xr3:uid="{00000000-0010-0000-5700-000001000000}" name="Column1"/>
    <tableColumn id="2" xr3:uid="{00000000-0010-0000-5700-000002000000}" name="Column2"/>
    <tableColumn id="3" xr3:uid="{00000000-0010-0000-5700-000003000000}" name="Column3"/>
    <tableColumn id="4" xr3:uid="{00000000-0010-0000-5700-000004000000}" name="Column4"/>
  </tableColumns>
  <tableStyleInfo name="فلاح و علی-style 88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9" displayName="Table_89" ref="B1408:E1410" headerRowCount="0">
  <tableColumns count="4">
    <tableColumn id="1" xr3:uid="{00000000-0010-0000-5800-000001000000}" name="Column1"/>
    <tableColumn id="2" xr3:uid="{00000000-0010-0000-5800-000002000000}" name="Column2"/>
    <tableColumn id="3" xr3:uid="{00000000-0010-0000-5800-000003000000}" name="Column3"/>
    <tableColumn id="4" xr3:uid="{00000000-0010-0000-5800-000004000000}" name="Column4"/>
  </tableColumns>
  <tableStyleInfo name="فلاح و علی-style 89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90" displayName="Table_90" ref="B1423:E1425" headerRowCount="0">
  <tableColumns count="4">
    <tableColumn id="1" xr3:uid="{00000000-0010-0000-5900-000001000000}" name="Column1"/>
    <tableColumn id="2" xr3:uid="{00000000-0010-0000-5900-000002000000}" name="Column2"/>
    <tableColumn id="3" xr3:uid="{00000000-0010-0000-5900-000003000000}" name="Column3"/>
    <tableColumn id="4" xr3:uid="{00000000-0010-0000-5900-000004000000}" name="Column4"/>
  </tableColumns>
  <tableStyleInfo name="فلاح و علی-style 90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91" displayName="Table_91" ref="B1437:E1439" headerRowCount="0">
  <tableColumns count="4">
    <tableColumn id="1" xr3:uid="{00000000-0010-0000-5A00-000001000000}" name="Column1"/>
    <tableColumn id="2" xr3:uid="{00000000-0010-0000-5A00-000002000000}" name="Column2"/>
    <tableColumn id="3" xr3:uid="{00000000-0010-0000-5A00-000003000000}" name="Column3"/>
    <tableColumn id="4" xr3:uid="{00000000-0010-0000-5A00-000004000000}" name="Column4"/>
  </tableColumns>
  <tableStyleInfo name="فلاح و علی-style 91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92" displayName="Table_92" ref="B1451:E1453" headerRowCount="0">
  <tableColumns count="4">
    <tableColumn id="1" xr3:uid="{00000000-0010-0000-5B00-000001000000}" name="Column1"/>
    <tableColumn id="2" xr3:uid="{00000000-0010-0000-5B00-000002000000}" name="Column2"/>
    <tableColumn id="3" xr3:uid="{00000000-0010-0000-5B00-000003000000}" name="Column3"/>
    <tableColumn id="4" xr3:uid="{00000000-0010-0000-5B00-000004000000}" name="Column4"/>
  </tableColumns>
  <tableStyleInfo name="فلاح و علی-style 92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93" displayName="Table_93" ref="B1465:E1467" headerRowCount="0">
  <tableColumns count="4">
    <tableColumn id="1" xr3:uid="{00000000-0010-0000-5C00-000001000000}" name="Column1"/>
    <tableColumn id="2" xr3:uid="{00000000-0010-0000-5C00-000002000000}" name="Column2"/>
    <tableColumn id="3" xr3:uid="{00000000-0010-0000-5C00-000003000000}" name="Column3"/>
    <tableColumn id="4" xr3:uid="{00000000-0010-0000-5C00-000004000000}" name="Column4"/>
  </tableColumns>
  <tableStyleInfo name="فلاح و علی-style 93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94" displayName="Table_94" ref="B1478:E1480" headerRowCount="0">
  <tableColumns count="4">
    <tableColumn id="1" xr3:uid="{00000000-0010-0000-5D00-000001000000}" name="Column1"/>
    <tableColumn id="2" xr3:uid="{00000000-0010-0000-5D00-000002000000}" name="Column2"/>
    <tableColumn id="3" xr3:uid="{00000000-0010-0000-5D00-000003000000}" name="Column3"/>
    <tableColumn id="4" xr3:uid="{00000000-0010-0000-5D00-000004000000}" name="Column4"/>
  </tableColumns>
  <tableStyleInfo name="فلاح و علی-style 94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5" displayName="Table_95" ref="B1534:E1535" headerRowCount="0">
  <tableColumns count="4">
    <tableColumn id="1" xr3:uid="{00000000-0010-0000-5E00-000001000000}" name="Column1"/>
    <tableColumn id="2" xr3:uid="{00000000-0010-0000-5E00-000002000000}" name="Column2"/>
    <tableColumn id="3" xr3:uid="{00000000-0010-0000-5E00-000003000000}" name="Column3"/>
    <tableColumn id="4" xr3:uid="{00000000-0010-0000-5E00-000004000000}" name="Column4"/>
  </tableColumns>
  <tableStyleInfo name="فلاح و علی-style 95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6" displayName="Table_96" ref="B1548:E1549" headerRowCount="0">
  <tableColumns count="4">
    <tableColumn id="1" xr3:uid="{00000000-0010-0000-5F00-000001000000}" name="Column1"/>
    <tableColumn id="2" xr3:uid="{00000000-0010-0000-5F00-000002000000}" name="Column2"/>
    <tableColumn id="3" xr3:uid="{00000000-0010-0000-5F00-000003000000}" name="Column3"/>
    <tableColumn id="4" xr3:uid="{00000000-0010-0000-5F00-000004000000}" name="Column4"/>
  </tableColumns>
  <tableStyleInfo name="فلاح و علی-style 96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7" displayName="Table_97" ref="B1564:E1565" headerRowCount="0">
  <tableColumns count="4">
    <tableColumn id="1" xr3:uid="{00000000-0010-0000-6000-000001000000}" name="Column1"/>
    <tableColumn id="2" xr3:uid="{00000000-0010-0000-6000-000002000000}" name="Column2"/>
    <tableColumn id="3" xr3:uid="{00000000-0010-0000-6000-000003000000}" name="Column3"/>
    <tableColumn id="4" xr3:uid="{00000000-0010-0000-6000-000004000000}" name="Column4"/>
  </tableColumns>
  <tableStyleInfo name="فلاح و علی-style 97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8" displayName="Table_98" ref="B1577:E1578" headerRowCount="0">
  <tableColumns count="4">
    <tableColumn id="1" xr3:uid="{00000000-0010-0000-6100-000001000000}" name="Column1"/>
    <tableColumn id="2" xr3:uid="{00000000-0010-0000-6100-000002000000}" name="Column2"/>
    <tableColumn id="3" xr3:uid="{00000000-0010-0000-6100-000003000000}" name="Column3"/>
    <tableColumn id="4" xr3:uid="{00000000-0010-0000-6100-000004000000}" name="Column4"/>
  </tableColumns>
  <tableStyleInfo name="فلاح و علی-style 98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9" displayName="Table_99" ref="B1593:E1594" headerRowCount="0">
  <tableColumns count="4">
    <tableColumn id="1" xr3:uid="{00000000-0010-0000-6200-000001000000}" name="Column1"/>
    <tableColumn id="2" xr3:uid="{00000000-0010-0000-6200-000002000000}" name="Column2"/>
    <tableColumn id="3" xr3:uid="{00000000-0010-0000-6200-000003000000}" name="Column3"/>
    <tableColumn id="4" xr3:uid="{00000000-0010-0000-6200-000004000000}" name="Column4"/>
  </tableColumns>
  <tableStyleInfo name="فلاح و علی-style 99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_100" displayName="Table_100" ref="B1607:E1608" headerRowCount="0">
  <tableColumns count="4">
    <tableColumn id="1" xr3:uid="{00000000-0010-0000-6300-000001000000}" name="Column1"/>
    <tableColumn id="2" xr3:uid="{00000000-0010-0000-6300-000002000000}" name="Column2"/>
    <tableColumn id="3" xr3:uid="{00000000-0010-0000-6300-000003000000}" name="Column3"/>
    <tableColumn id="4" xr3:uid="{00000000-0010-0000-6300-000004000000}" name="Column4"/>
  </tableColumns>
  <tableStyleInfo name="فلاح و علی-style 100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Table_101" displayName="Table_101" ref="B1623:E1624" headerRowCount="0">
  <tableColumns count="4">
    <tableColumn id="1" xr3:uid="{00000000-0010-0000-6400-000001000000}" name="Column1"/>
    <tableColumn id="2" xr3:uid="{00000000-0010-0000-6400-000002000000}" name="Column2"/>
    <tableColumn id="3" xr3:uid="{00000000-0010-0000-6400-000003000000}" name="Column3"/>
    <tableColumn id="4" xr3:uid="{00000000-0010-0000-6400-000004000000}" name="Column4"/>
  </tableColumns>
  <tableStyleInfo name="فلاح و علی-style 101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Table_102" displayName="Table_102" ref="B1639:E1640" headerRowCount="0">
  <tableColumns count="4">
    <tableColumn id="1" xr3:uid="{00000000-0010-0000-6500-000001000000}" name="Column1"/>
    <tableColumn id="2" xr3:uid="{00000000-0010-0000-6500-000002000000}" name="Column2"/>
    <tableColumn id="3" xr3:uid="{00000000-0010-0000-6500-000003000000}" name="Column3"/>
    <tableColumn id="4" xr3:uid="{00000000-0010-0000-6500-000004000000}" name="Column4"/>
  </tableColumns>
  <tableStyleInfo name="فلاح و علی-style 102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Table_103" displayName="Table_103" ref="B1654:E1655" headerRowCount="0">
  <tableColumns count="4">
    <tableColumn id="1" xr3:uid="{00000000-0010-0000-6600-000001000000}" name="Column1"/>
    <tableColumn id="2" xr3:uid="{00000000-0010-0000-6600-000002000000}" name="Column2"/>
    <tableColumn id="3" xr3:uid="{00000000-0010-0000-6600-000003000000}" name="Column3"/>
    <tableColumn id="4" xr3:uid="{00000000-0010-0000-6600-000004000000}" name="Column4"/>
  </tableColumns>
  <tableStyleInfo name="فلاح و علی-style 103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Table_104" displayName="Table_104" ref="B1671:E1672" headerRowCount="0">
  <tableColumns count="4">
    <tableColumn id="1" xr3:uid="{00000000-0010-0000-6700-000001000000}" name="Column1"/>
    <tableColumn id="2" xr3:uid="{00000000-0010-0000-6700-000002000000}" name="Column2"/>
    <tableColumn id="3" xr3:uid="{00000000-0010-0000-6700-000003000000}" name="Column3"/>
    <tableColumn id="4" xr3:uid="{00000000-0010-0000-6700-000004000000}" name="Column4"/>
  </tableColumns>
  <tableStyleInfo name="فلاح و علی-style 104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Table_105" displayName="Table_105" ref="B1687:E1688" headerRowCount="0">
  <tableColumns count="4">
    <tableColumn id="1" xr3:uid="{00000000-0010-0000-6800-000001000000}" name="Column1"/>
    <tableColumn id="2" xr3:uid="{00000000-0010-0000-6800-000002000000}" name="Column2"/>
    <tableColumn id="3" xr3:uid="{00000000-0010-0000-6800-000003000000}" name="Column3"/>
    <tableColumn id="4" xr3:uid="{00000000-0010-0000-6800-000004000000}" name="Column4"/>
  </tableColumns>
  <tableStyleInfo name="فلاح و علی-style 105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Table_106" displayName="Table_106" ref="B1713:E1714" headerRowCount="0">
  <tableColumns count="4">
    <tableColumn id="1" xr3:uid="{00000000-0010-0000-6900-000001000000}" name="Column1"/>
    <tableColumn id="2" xr3:uid="{00000000-0010-0000-6900-000002000000}" name="Column2"/>
    <tableColumn id="3" xr3:uid="{00000000-0010-0000-6900-000003000000}" name="Column3"/>
    <tableColumn id="4" xr3:uid="{00000000-0010-0000-6900-000004000000}" name="Column4"/>
  </tableColumns>
  <tableStyleInfo name="فلاح و علی-style 106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Table_107" displayName="Table_107" ref="B1728:E1729" headerRowCount="0">
  <tableColumns count="4">
    <tableColumn id="1" xr3:uid="{00000000-0010-0000-6A00-000001000000}" name="Column1"/>
    <tableColumn id="2" xr3:uid="{00000000-0010-0000-6A00-000002000000}" name="Column2"/>
    <tableColumn id="3" xr3:uid="{00000000-0010-0000-6A00-000003000000}" name="Column3"/>
    <tableColumn id="4" xr3:uid="{00000000-0010-0000-6A00-000004000000}" name="Column4"/>
  </tableColumns>
  <tableStyleInfo name="فلاح و علی-style 107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Table_108" displayName="Table_108" ref="B1744:E1745" headerRowCount="0">
  <tableColumns count="4">
    <tableColumn id="1" xr3:uid="{00000000-0010-0000-6B00-000001000000}" name="Column1"/>
    <tableColumn id="2" xr3:uid="{00000000-0010-0000-6B00-000002000000}" name="Column2"/>
    <tableColumn id="3" xr3:uid="{00000000-0010-0000-6B00-000003000000}" name="Column3"/>
    <tableColumn id="4" xr3:uid="{00000000-0010-0000-6B00-000004000000}" name="Column4"/>
  </tableColumns>
  <tableStyleInfo name="فلاح و علی-style 108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Table_109" displayName="Table_109" ref="B1759:E1760" headerRowCount="0">
  <tableColumns count="4">
    <tableColumn id="1" xr3:uid="{00000000-0010-0000-6C00-000001000000}" name="Column1"/>
    <tableColumn id="2" xr3:uid="{00000000-0010-0000-6C00-000002000000}" name="Column2"/>
    <tableColumn id="3" xr3:uid="{00000000-0010-0000-6C00-000003000000}" name="Column3"/>
    <tableColumn id="4" xr3:uid="{00000000-0010-0000-6C00-000004000000}" name="Column4"/>
  </tableColumns>
  <tableStyleInfo name="فلاح و علی-style 109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Table_110" displayName="Table_110" ref="B1772:E1773" headerRowCount="0">
  <tableColumns count="4">
    <tableColumn id="1" xr3:uid="{00000000-0010-0000-6D00-000001000000}" name="Column1"/>
    <tableColumn id="2" xr3:uid="{00000000-0010-0000-6D00-000002000000}" name="Column2"/>
    <tableColumn id="3" xr3:uid="{00000000-0010-0000-6D00-000003000000}" name="Column3"/>
    <tableColumn id="4" xr3:uid="{00000000-0010-0000-6D00-000004000000}" name="Column4"/>
  </tableColumns>
  <tableStyleInfo name="فلاح و علی-style 110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Table_111" displayName="Table_111" ref="B1786:E1787" headerRowCount="0">
  <tableColumns count="4">
    <tableColumn id="1" xr3:uid="{00000000-0010-0000-6E00-000001000000}" name="Column1"/>
    <tableColumn id="2" xr3:uid="{00000000-0010-0000-6E00-000002000000}" name="Column2"/>
    <tableColumn id="3" xr3:uid="{00000000-0010-0000-6E00-000003000000}" name="Column3"/>
    <tableColumn id="4" xr3:uid="{00000000-0010-0000-6E00-000004000000}" name="Column4"/>
  </tableColumns>
  <tableStyleInfo name="فلاح و علی-style 111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Table_112" displayName="Table_112" ref="B1803:E1804" headerRowCount="0">
  <tableColumns count="4">
    <tableColumn id="1" xr3:uid="{00000000-0010-0000-6F00-000001000000}" name="Column1"/>
    <tableColumn id="2" xr3:uid="{00000000-0010-0000-6F00-000002000000}" name="Column2"/>
    <tableColumn id="3" xr3:uid="{00000000-0010-0000-6F00-000003000000}" name="Column3"/>
    <tableColumn id="4" xr3:uid="{00000000-0010-0000-6F00-000004000000}" name="Column4"/>
  </tableColumns>
  <tableStyleInfo name="فلاح و علی-style 112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Table_113" displayName="Table_113" ref="B1822:E1823" headerRowCount="0">
  <tableColumns count="4">
    <tableColumn id="1" xr3:uid="{00000000-0010-0000-7000-000001000000}" name="Column1"/>
    <tableColumn id="2" xr3:uid="{00000000-0010-0000-7000-000002000000}" name="Column2"/>
    <tableColumn id="3" xr3:uid="{00000000-0010-0000-7000-000003000000}" name="Column3"/>
    <tableColumn id="4" xr3:uid="{00000000-0010-0000-7000-000004000000}" name="Column4"/>
  </tableColumns>
  <tableStyleInfo name="فلاح و علی-style 113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Table_114" displayName="Table_114" ref="B1840:E1841" headerRowCount="0">
  <tableColumns count="4">
    <tableColumn id="1" xr3:uid="{00000000-0010-0000-7100-000001000000}" name="Column1"/>
    <tableColumn id="2" xr3:uid="{00000000-0010-0000-7100-000002000000}" name="Column2"/>
    <tableColumn id="3" xr3:uid="{00000000-0010-0000-7100-000003000000}" name="Column3"/>
    <tableColumn id="4" xr3:uid="{00000000-0010-0000-7100-000004000000}" name="Column4"/>
  </tableColumns>
  <tableStyleInfo name="فلاح و علی-style 114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Table_115" displayName="Table_115" ref="B1857:E1858" headerRowCount="0">
  <tableColumns count="4">
    <tableColumn id="1" xr3:uid="{00000000-0010-0000-7200-000001000000}" name="Column1"/>
    <tableColumn id="2" xr3:uid="{00000000-0010-0000-7200-000002000000}" name="Column2"/>
    <tableColumn id="3" xr3:uid="{00000000-0010-0000-7200-000003000000}" name="Column3"/>
    <tableColumn id="4" xr3:uid="{00000000-0010-0000-7200-000004000000}" name="Column4"/>
  </tableColumns>
  <tableStyleInfo name="فلاح و علی-style 115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_116" displayName="Table_116" ref="B1874:E1875" headerRowCount="0">
  <tableColumns count="4">
    <tableColumn id="1" xr3:uid="{00000000-0010-0000-7300-000001000000}" name="Column1"/>
    <tableColumn id="2" xr3:uid="{00000000-0010-0000-7300-000002000000}" name="Column2"/>
    <tableColumn id="3" xr3:uid="{00000000-0010-0000-7300-000003000000}" name="Column3"/>
    <tableColumn id="4" xr3:uid="{00000000-0010-0000-7300-000004000000}" name="Column4"/>
  </tableColumns>
  <tableStyleInfo name="فلاح و علی-style 116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_117" displayName="Table_117" ref="B1893:E1894" headerRowCount="0">
  <tableColumns count="4">
    <tableColumn id="1" xr3:uid="{00000000-0010-0000-7400-000001000000}" name="Column1"/>
    <tableColumn id="2" xr3:uid="{00000000-0010-0000-7400-000002000000}" name="Column2"/>
    <tableColumn id="3" xr3:uid="{00000000-0010-0000-7400-000003000000}" name="Column3"/>
    <tableColumn id="4" xr3:uid="{00000000-0010-0000-7400-000004000000}" name="Column4"/>
  </tableColumns>
  <tableStyleInfo name="فلاح و علی-style 117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_118" displayName="Table_118" ref="B1908:E1909" headerRowCount="0">
  <tableColumns count="4">
    <tableColumn id="1" xr3:uid="{00000000-0010-0000-7500-000001000000}" name="Column1"/>
    <tableColumn id="2" xr3:uid="{00000000-0010-0000-7500-000002000000}" name="Column2"/>
    <tableColumn id="3" xr3:uid="{00000000-0010-0000-7500-000003000000}" name="Column3"/>
    <tableColumn id="4" xr3:uid="{00000000-0010-0000-7500-000004000000}" name="Column4"/>
  </tableColumns>
  <tableStyleInfo name="فلاح و علی-style 118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_119" displayName="Table_119" ref="B1926:E1927" headerRowCount="0">
  <tableColumns count="4">
    <tableColumn id="1" xr3:uid="{00000000-0010-0000-7600-000001000000}" name="Column1"/>
    <tableColumn id="2" xr3:uid="{00000000-0010-0000-7600-000002000000}" name="Column2"/>
    <tableColumn id="3" xr3:uid="{00000000-0010-0000-7600-000003000000}" name="Column3"/>
    <tableColumn id="4" xr3:uid="{00000000-0010-0000-7600-000004000000}" name="Column4"/>
  </tableColumns>
  <tableStyleInfo name="فلاح و علی-style 119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_120" displayName="Table_120" ref="B1945:E1946" headerRowCount="0">
  <tableColumns count="4">
    <tableColumn id="1" xr3:uid="{00000000-0010-0000-7700-000001000000}" name="Column1"/>
    <tableColumn id="2" xr3:uid="{00000000-0010-0000-7700-000002000000}" name="Column2"/>
    <tableColumn id="3" xr3:uid="{00000000-0010-0000-7700-000003000000}" name="Column3"/>
    <tableColumn id="4" xr3:uid="{00000000-0010-0000-7700-000004000000}" name="Column4"/>
  </tableColumns>
  <tableStyleInfo name="فلاح و علی-style 120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_121" displayName="Table_121" ref="B1963:E1964" headerRowCount="0">
  <tableColumns count="4">
    <tableColumn id="1" xr3:uid="{00000000-0010-0000-7800-000001000000}" name="Column1"/>
    <tableColumn id="2" xr3:uid="{00000000-0010-0000-7800-000002000000}" name="Column2"/>
    <tableColumn id="3" xr3:uid="{00000000-0010-0000-7800-000003000000}" name="Column3"/>
    <tableColumn id="4" xr3:uid="{00000000-0010-0000-7800-000004000000}" name="Column4"/>
  </tableColumns>
  <tableStyleInfo name="فلاح و علی-style 121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Table_122" displayName="Table_122" ref="B1982:E1983" headerRowCount="0">
  <tableColumns count="4">
    <tableColumn id="1" xr3:uid="{00000000-0010-0000-7900-000001000000}" name="Column1"/>
    <tableColumn id="2" xr3:uid="{00000000-0010-0000-7900-000002000000}" name="Column2"/>
    <tableColumn id="3" xr3:uid="{00000000-0010-0000-7900-000003000000}" name="Column3"/>
    <tableColumn id="4" xr3:uid="{00000000-0010-0000-7900-000004000000}" name="Column4"/>
  </tableColumns>
  <tableStyleInfo name="فلاح و علی-style 122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Table_123" displayName="Table_123" ref="B1997:E1998" headerRowCount="0">
  <tableColumns count="4">
    <tableColumn id="1" xr3:uid="{00000000-0010-0000-7A00-000001000000}" name="Column1"/>
    <tableColumn id="2" xr3:uid="{00000000-0010-0000-7A00-000002000000}" name="Column2"/>
    <tableColumn id="3" xr3:uid="{00000000-0010-0000-7A00-000003000000}" name="Column3"/>
    <tableColumn id="4" xr3:uid="{00000000-0010-0000-7A00-000004000000}" name="Column4"/>
  </tableColumns>
  <tableStyleInfo name="فلاح و علی-style 123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Table_124" displayName="Table_124" ref="B2012:E2013" headerRowCount="0">
  <tableColumns count="4">
    <tableColumn id="1" xr3:uid="{00000000-0010-0000-7B00-000001000000}" name="Column1"/>
    <tableColumn id="2" xr3:uid="{00000000-0010-0000-7B00-000002000000}" name="Column2"/>
    <tableColumn id="3" xr3:uid="{00000000-0010-0000-7B00-000003000000}" name="Column3"/>
    <tableColumn id="4" xr3:uid="{00000000-0010-0000-7B00-000004000000}" name="Column4"/>
  </tableColumns>
  <tableStyleInfo name="فلاح و علی-style 124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Table_125" displayName="Table_125" ref="B2027:E2028" headerRowCount="0">
  <tableColumns count="4">
    <tableColumn id="1" xr3:uid="{00000000-0010-0000-7C00-000001000000}" name="Column1"/>
    <tableColumn id="2" xr3:uid="{00000000-0010-0000-7C00-000002000000}" name="Column2"/>
    <tableColumn id="3" xr3:uid="{00000000-0010-0000-7C00-000003000000}" name="Column3"/>
    <tableColumn id="4" xr3:uid="{00000000-0010-0000-7C00-000004000000}" name="Column4"/>
  </tableColumns>
  <tableStyleInfo name="فلاح و علی-style 125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Table_126" displayName="Table_126" ref="B2041:E2042" headerRowCount="0">
  <tableColumns count="4">
    <tableColumn id="1" xr3:uid="{00000000-0010-0000-7D00-000001000000}" name="Column1"/>
    <tableColumn id="2" xr3:uid="{00000000-0010-0000-7D00-000002000000}" name="Column2"/>
    <tableColumn id="3" xr3:uid="{00000000-0010-0000-7D00-000003000000}" name="Column3"/>
    <tableColumn id="4" xr3:uid="{00000000-0010-0000-7D00-000004000000}" name="Column4"/>
  </tableColumns>
  <tableStyleInfo name="فلاح و علی-style 126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Table_127" displayName="Table_127" ref="B2055:E2056" headerRowCount="0">
  <tableColumns count="4">
    <tableColumn id="1" xr3:uid="{00000000-0010-0000-7E00-000001000000}" name="Column1"/>
    <tableColumn id="2" xr3:uid="{00000000-0010-0000-7E00-000002000000}" name="Column2"/>
    <tableColumn id="3" xr3:uid="{00000000-0010-0000-7E00-000003000000}" name="Column3"/>
    <tableColumn id="4" xr3:uid="{00000000-0010-0000-7E00-000004000000}" name="Column4"/>
  </tableColumns>
  <tableStyleInfo name="فلاح و علی-style 127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Table_128" displayName="Table_128" ref="B2070:E2071" headerRowCount="0">
  <tableColumns count="4">
    <tableColumn id="1" xr3:uid="{00000000-0010-0000-7F00-000001000000}" name="Column1"/>
    <tableColumn id="2" xr3:uid="{00000000-0010-0000-7F00-000002000000}" name="Column2"/>
    <tableColumn id="3" xr3:uid="{00000000-0010-0000-7F00-000003000000}" name="Column3"/>
    <tableColumn id="4" xr3:uid="{00000000-0010-0000-7F00-000004000000}" name="Column4"/>
  </tableColumns>
  <tableStyleInfo name="فلاح و علی-style 128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Table_129" displayName="Table_129" ref="B2083:E2084" headerRowCount="0">
  <tableColumns count="4">
    <tableColumn id="1" xr3:uid="{00000000-0010-0000-8000-000001000000}" name="Column1"/>
    <tableColumn id="2" xr3:uid="{00000000-0010-0000-8000-000002000000}" name="Column2"/>
    <tableColumn id="3" xr3:uid="{00000000-0010-0000-8000-000003000000}" name="Column3"/>
    <tableColumn id="4" xr3:uid="{00000000-0010-0000-8000-000004000000}" name="Column4"/>
  </tableColumns>
  <tableStyleInfo name="فلاح و علی-style 129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Table_130" displayName="Table_130" ref="B2098:E2099" headerRowCount="0">
  <tableColumns count="4">
    <tableColumn id="1" xr3:uid="{00000000-0010-0000-8100-000001000000}" name="Column1"/>
    <tableColumn id="2" xr3:uid="{00000000-0010-0000-8100-000002000000}" name="Column2"/>
    <tableColumn id="3" xr3:uid="{00000000-0010-0000-8100-000003000000}" name="Column3"/>
    <tableColumn id="4" xr3:uid="{00000000-0010-0000-8100-000004000000}" name="Column4"/>
  </tableColumns>
  <tableStyleInfo name="فلاح و علی-style 130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Table_131" displayName="Table_131" ref="B2113:E2114" headerRowCount="0">
  <tableColumns count="4">
    <tableColumn id="1" xr3:uid="{00000000-0010-0000-8200-000001000000}" name="Column1"/>
    <tableColumn id="2" xr3:uid="{00000000-0010-0000-8200-000002000000}" name="Column2"/>
    <tableColumn id="3" xr3:uid="{00000000-0010-0000-8200-000003000000}" name="Column3"/>
    <tableColumn id="4" xr3:uid="{00000000-0010-0000-8200-000004000000}" name="Column4"/>
  </tableColumns>
  <tableStyleInfo name="فلاح و علی-style 131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Table_132" displayName="Table_132" ref="B2126:E2127" headerRowCount="0">
  <tableColumns count="4">
    <tableColumn id="1" xr3:uid="{00000000-0010-0000-8300-000001000000}" name="Column1"/>
    <tableColumn id="2" xr3:uid="{00000000-0010-0000-8300-000002000000}" name="Column2"/>
    <tableColumn id="3" xr3:uid="{00000000-0010-0000-8300-000003000000}" name="Column3"/>
    <tableColumn id="4" xr3:uid="{00000000-0010-0000-8300-000004000000}" name="Column4"/>
  </tableColumns>
  <tableStyleInfo name="فلاح و علی-style 132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Table_133" displayName="Table_133" ref="B2141:E2142" headerRowCount="0">
  <tableColumns count="4">
    <tableColumn id="1" xr3:uid="{00000000-0010-0000-8400-000001000000}" name="Column1"/>
    <tableColumn id="2" xr3:uid="{00000000-0010-0000-8400-000002000000}" name="Column2"/>
    <tableColumn id="3" xr3:uid="{00000000-0010-0000-8400-000003000000}" name="Column3"/>
    <tableColumn id="4" xr3:uid="{00000000-0010-0000-8400-000004000000}" name="Column4"/>
  </tableColumns>
  <tableStyleInfo name="فلاح و علی-style 133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Table_134" displayName="Table_134" ref="B2155:E2156" headerRowCount="0">
  <tableColumns count="4">
    <tableColumn id="1" xr3:uid="{00000000-0010-0000-8500-000001000000}" name="Column1"/>
    <tableColumn id="2" xr3:uid="{00000000-0010-0000-8500-000002000000}" name="Column2"/>
    <tableColumn id="3" xr3:uid="{00000000-0010-0000-8500-000003000000}" name="Column3"/>
    <tableColumn id="4" xr3:uid="{00000000-0010-0000-8500-000004000000}" name="Column4"/>
  </tableColumns>
  <tableStyleInfo name="فلاح و علی-style 134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Table_135" displayName="Table_135" ref="B2170:E2171" headerRowCount="0">
  <tableColumns count="4">
    <tableColumn id="1" xr3:uid="{00000000-0010-0000-8600-000001000000}" name="Column1"/>
    <tableColumn id="2" xr3:uid="{00000000-0010-0000-8600-000002000000}" name="Column2"/>
    <tableColumn id="3" xr3:uid="{00000000-0010-0000-8600-000003000000}" name="Column3"/>
    <tableColumn id="4" xr3:uid="{00000000-0010-0000-8600-000004000000}" name="Column4"/>
  </tableColumns>
  <tableStyleInfo name="فلاح و علی-style 135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Table_136" displayName="Table_136" ref="B2184:E2185" headerRowCount="0">
  <tableColumns count="4">
    <tableColumn id="1" xr3:uid="{00000000-0010-0000-8700-000001000000}" name="Column1"/>
    <tableColumn id="2" xr3:uid="{00000000-0010-0000-8700-000002000000}" name="Column2"/>
    <tableColumn id="3" xr3:uid="{00000000-0010-0000-8700-000003000000}" name="Column3"/>
    <tableColumn id="4" xr3:uid="{00000000-0010-0000-8700-000004000000}" name="Column4"/>
  </tableColumns>
  <tableStyleInfo name="فلاح و علی-style 136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Table_137" displayName="Table_137" ref="B2197:E2198" headerRowCount="0">
  <tableColumns count="4">
    <tableColumn id="1" xr3:uid="{00000000-0010-0000-8800-000001000000}" name="Column1"/>
    <tableColumn id="2" xr3:uid="{00000000-0010-0000-8800-000002000000}" name="Column2"/>
    <tableColumn id="3" xr3:uid="{00000000-0010-0000-8800-000003000000}" name="Column3"/>
    <tableColumn id="4" xr3:uid="{00000000-0010-0000-8800-000004000000}" name="Column4"/>
  </tableColumns>
  <tableStyleInfo name="فلاح و علی-style 137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Table_138" displayName="Table_138" ref="B2211:E2212" headerRowCount="0">
  <tableColumns count="4">
    <tableColumn id="1" xr3:uid="{00000000-0010-0000-8900-000001000000}" name="Column1"/>
    <tableColumn id="2" xr3:uid="{00000000-0010-0000-8900-000002000000}" name="Column2"/>
    <tableColumn id="3" xr3:uid="{00000000-0010-0000-8900-000003000000}" name="Column3"/>
    <tableColumn id="4" xr3:uid="{00000000-0010-0000-8900-000004000000}" name="Column4"/>
  </tableColumns>
  <tableStyleInfo name="فلاح و علی-style 138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Table_139" displayName="Table_139" ref="B2225:E2226" headerRowCount="0">
  <tableColumns count="4">
    <tableColumn id="1" xr3:uid="{00000000-0010-0000-8A00-000001000000}" name="Column1"/>
    <tableColumn id="2" xr3:uid="{00000000-0010-0000-8A00-000002000000}" name="Column2"/>
    <tableColumn id="3" xr3:uid="{00000000-0010-0000-8A00-000003000000}" name="Column3"/>
    <tableColumn id="4" xr3:uid="{00000000-0010-0000-8A00-000004000000}" name="Column4"/>
  </tableColumns>
  <tableStyleInfo name="فلاح و علی-style 139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Table_140" displayName="Table_140" ref="B2238:E2239" headerRowCount="0">
  <tableColumns count="4">
    <tableColumn id="1" xr3:uid="{00000000-0010-0000-8B00-000001000000}" name="Column1"/>
    <tableColumn id="2" xr3:uid="{00000000-0010-0000-8B00-000002000000}" name="Column2"/>
    <tableColumn id="3" xr3:uid="{00000000-0010-0000-8B00-000003000000}" name="Column3"/>
    <tableColumn id="4" xr3:uid="{00000000-0010-0000-8B00-000004000000}" name="Column4"/>
  </tableColumns>
  <tableStyleInfo name="فلاح و علی-style 140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Table_141" displayName="Table_141" ref="B2251:E2252" headerRowCount="0">
  <tableColumns count="4">
    <tableColumn id="1" xr3:uid="{00000000-0010-0000-8C00-000001000000}" name="Column1"/>
    <tableColumn id="2" xr3:uid="{00000000-0010-0000-8C00-000002000000}" name="Column2"/>
    <tableColumn id="3" xr3:uid="{00000000-0010-0000-8C00-000003000000}" name="Column3"/>
    <tableColumn id="4" xr3:uid="{00000000-0010-0000-8C00-000004000000}" name="Column4"/>
  </tableColumns>
  <tableStyleInfo name="فلاح و علی-style 141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Table_142" displayName="Table_142" ref="B2264:E2265" headerRowCount="0">
  <tableColumns count="4">
    <tableColumn id="1" xr3:uid="{00000000-0010-0000-8D00-000001000000}" name="Column1"/>
    <tableColumn id="2" xr3:uid="{00000000-0010-0000-8D00-000002000000}" name="Column2"/>
    <tableColumn id="3" xr3:uid="{00000000-0010-0000-8D00-000003000000}" name="Column3"/>
    <tableColumn id="4" xr3:uid="{00000000-0010-0000-8D00-000004000000}" name="Column4"/>
  </tableColumns>
  <tableStyleInfo name="فلاح و علی-style 142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able_143" displayName="Table_143" ref="B2279:E2280" headerRowCount="0">
  <tableColumns count="4">
    <tableColumn id="1" xr3:uid="{00000000-0010-0000-8E00-000001000000}" name="Column1"/>
    <tableColumn id="2" xr3:uid="{00000000-0010-0000-8E00-000002000000}" name="Column2"/>
    <tableColumn id="3" xr3:uid="{00000000-0010-0000-8E00-000003000000}" name="Column3"/>
    <tableColumn id="4" xr3:uid="{00000000-0010-0000-8E00-000004000000}" name="Column4"/>
  </tableColumns>
  <tableStyleInfo name="فلاح و علی-style 143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Table_144" displayName="Table_144" ref="B2293:E2294" headerRowCount="0">
  <tableColumns count="4">
    <tableColumn id="1" xr3:uid="{00000000-0010-0000-8F00-000001000000}" name="Column1"/>
    <tableColumn id="2" xr3:uid="{00000000-0010-0000-8F00-000002000000}" name="Column2"/>
    <tableColumn id="3" xr3:uid="{00000000-0010-0000-8F00-000003000000}" name="Column3"/>
    <tableColumn id="4" xr3:uid="{00000000-0010-0000-8F00-000004000000}" name="Column4"/>
  </tableColumns>
  <tableStyleInfo name="فلاح و علی-style 144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Table_145" displayName="Table_145" ref="B2306:E2307" headerRowCount="0">
  <tableColumns count="4">
    <tableColumn id="1" xr3:uid="{00000000-0010-0000-9000-000001000000}" name="Column1"/>
    <tableColumn id="2" xr3:uid="{00000000-0010-0000-9000-000002000000}" name="Column2"/>
    <tableColumn id="3" xr3:uid="{00000000-0010-0000-9000-000003000000}" name="Column3"/>
    <tableColumn id="4" xr3:uid="{00000000-0010-0000-9000-000004000000}" name="Column4"/>
  </tableColumns>
  <tableStyleInfo name="فلاح و علی-style 145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Table_146" displayName="Table_146" ref="B2320:E2321" headerRowCount="0">
  <tableColumns count="4">
    <tableColumn id="1" xr3:uid="{00000000-0010-0000-9100-000001000000}" name="Column1"/>
    <tableColumn id="2" xr3:uid="{00000000-0010-0000-9100-000002000000}" name="Column2"/>
    <tableColumn id="3" xr3:uid="{00000000-0010-0000-9100-000003000000}" name="Column3"/>
    <tableColumn id="4" xr3:uid="{00000000-0010-0000-9100-000004000000}" name="Column4"/>
  </tableColumns>
  <tableStyleInfo name="فلاح و علی-style 146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Table_147" displayName="Table_147" ref="B2334:E2335" headerRowCount="0">
  <tableColumns count="4">
    <tableColumn id="1" xr3:uid="{00000000-0010-0000-9200-000001000000}" name="Column1"/>
    <tableColumn id="2" xr3:uid="{00000000-0010-0000-9200-000002000000}" name="Column2"/>
    <tableColumn id="3" xr3:uid="{00000000-0010-0000-9200-000003000000}" name="Column3"/>
    <tableColumn id="4" xr3:uid="{00000000-0010-0000-9200-000004000000}" name="Column4"/>
  </tableColumns>
  <tableStyleInfo name="فلاح و علی-style 147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Table_148" displayName="Table_148" ref="B2348:E2349" headerRowCount="0">
  <tableColumns count="4">
    <tableColumn id="1" xr3:uid="{00000000-0010-0000-9300-000001000000}" name="Column1"/>
    <tableColumn id="2" xr3:uid="{00000000-0010-0000-9300-000002000000}" name="Column2"/>
    <tableColumn id="3" xr3:uid="{00000000-0010-0000-9300-000003000000}" name="Column3"/>
    <tableColumn id="4" xr3:uid="{00000000-0010-0000-9300-000004000000}" name="Column4"/>
  </tableColumns>
  <tableStyleInfo name="فلاح و علی-style 148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Table_149" displayName="Table_149" ref="B2362:E2363" headerRowCount="0">
  <tableColumns count="4">
    <tableColumn id="1" xr3:uid="{00000000-0010-0000-9400-000001000000}" name="Column1"/>
    <tableColumn id="2" xr3:uid="{00000000-0010-0000-9400-000002000000}" name="Column2"/>
    <tableColumn id="3" xr3:uid="{00000000-0010-0000-9400-000003000000}" name="Column3"/>
    <tableColumn id="4" xr3:uid="{00000000-0010-0000-9400-000004000000}" name="Column4"/>
  </tableColumns>
  <tableStyleInfo name="فلاح و علی-style 149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Table_150" displayName="Table_150" ref="B2375:E2376" headerRowCount="0">
  <tableColumns count="4">
    <tableColumn id="1" xr3:uid="{00000000-0010-0000-9500-000001000000}" name="Column1"/>
    <tableColumn id="2" xr3:uid="{00000000-0010-0000-9500-000002000000}" name="Column2"/>
    <tableColumn id="3" xr3:uid="{00000000-0010-0000-9500-000003000000}" name="Column3"/>
    <tableColumn id="4" xr3:uid="{00000000-0010-0000-9500-000004000000}" name="Column4"/>
  </tableColumns>
  <tableStyleInfo name="فلاح و علی-style 150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Table_151" displayName="Table_151" ref="B2389:E2390" headerRowCount="0">
  <tableColumns count="4">
    <tableColumn id="1" xr3:uid="{00000000-0010-0000-9600-000001000000}" name="Column1"/>
    <tableColumn id="2" xr3:uid="{00000000-0010-0000-9600-000002000000}" name="Column2"/>
    <tableColumn id="3" xr3:uid="{00000000-0010-0000-9600-000003000000}" name="Column3"/>
    <tableColumn id="4" xr3:uid="{00000000-0010-0000-9600-000004000000}" name="Column4"/>
  </tableColumns>
  <tableStyleInfo name="فلاح و علی-style 151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Table_152" displayName="Table_152" ref="B2402:E2403" headerRowCount="0">
  <tableColumns count="4">
    <tableColumn id="1" xr3:uid="{00000000-0010-0000-9700-000001000000}" name="Column1"/>
    <tableColumn id="2" xr3:uid="{00000000-0010-0000-9700-000002000000}" name="Column2"/>
    <tableColumn id="3" xr3:uid="{00000000-0010-0000-9700-000003000000}" name="Column3"/>
    <tableColumn id="4" xr3:uid="{00000000-0010-0000-9700-000004000000}" name="Column4"/>
  </tableColumns>
  <tableStyleInfo name="فلاح و علی-style 152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Table_153" displayName="Table_153" ref="B2418:E2419" headerRowCount="0">
  <tableColumns count="4">
    <tableColumn id="1" xr3:uid="{00000000-0010-0000-9800-000001000000}" name="Column1"/>
    <tableColumn id="2" xr3:uid="{00000000-0010-0000-9800-000002000000}" name="Column2"/>
    <tableColumn id="3" xr3:uid="{00000000-0010-0000-9800-000003000000}" name="Column3"/>
    <tableColumn id="4" xr3:uid="{00000000-0010-0000-9800-000004000000}" name="Column4"/>
  </tableColumns>
  <tableStyleInfo name="فلاح و علی-style 153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Table_154" displayName="Table_154" ref="B2433:E2434" headerRowCount="0">
  <tableColumns count="4">
    <tableColumn id="1" xr3:uid="{00000000-0010-0000-9900-000001000000}" name="Column1"/>
    <tableColumn id="2" xr3:uid="{00000000-0010-0000-9900-000002000000}" name="Column2"/>
    <tableColumn id="3" xr3:uid="{00000000-0010-0000-9900-000003000000}" name="Column3"/>
    <tableColumn id="4" xr3:uid="{00000000-0010-0000-9900-000004000000}" name="Column4"/>
  </tableColumns>
  <tableStyleInfo name="فلاح و علی-style 154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Table_155" displayName="Table_155" ref="B2446:E2447" headerRowCount="0">
  <tableColumns count="4">
    <tableColumn id="1" xr3:uid="{00000000-0010-0000-9A00-000001000000}" name="Column1"/>
    <tableColumn id="2" xr3:uid="{00000000-0010-0000-9A00-000002000000}" name="Column2"/>
    <tableColumn id="3" xr3:uid="{00000000-0010-0000-9A00-000003000000}" name="Column3"/>
    <tableColumn id="4" xr3:uid="{00000000-0010-0000-9A00-000004000000}" name="Column4"/>
  </tableColumns>
  <tableStyleInfo name="فلاح و علی-style 155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Table_156" displayName="Table_156" ref="B2461:E2462" headerRowCount="0">
  <tableColumns count="4">
    <tableColumn id="1" xr3:uid="{00000000-0010-0000-9B00-000001000000}" name="Column1"/>
    <tableColumn id="2" xr3:uid="{00000000-0010-0000-9B00-000002000000}" name="Column2"/>
    <tableColumn id="3" xr3:uid="{00000000-0010-0000-9B00-000003000000}" name="Column3"/>
    <tableColumn id="4" xr3:uid="{00000000-0010-0000-9B00-000004000000}" name="Column4"/>
  </tableColumns>
  <tableStyleInfo name="فلاح و علی-style 156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able_157" displayName="Table_157" ref="B2475:E2476" headerRowCount="0">
  <tableColumns count="4">
    <tableColumn id="1" xr3:uid="{00000000-0010-0000-9C00-000001000000}" name="Column1"/>
    <tableColumn id="2" xr3:uid="{00000000-0010-0000-9C00-000002000000}" name="Column2"/>
    <tableColumn id="3" xr3:uid="{00000000-0010-0000-9C00-000003000000}" name="Column3"/>
    <tableColumn id="4" xr3:uid="{00000000-0010-0000-9C00-000004000000}" name="Column4"/>
  </tableColumns>
  <tableStyleInfo name="فلاح و علی-style 157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Table_158" displayName="Table_158" ref="B2489:E2490" headerRowCount="0">
  <tableColumns count="4">
    <tableColumn id="1" xr3:uid="{00000000-0010-0000-9D00-000001000000}" name="Column1"/>
    <tableColumn id="2" xr3:uid="{00000000-0010-0000-9D00-000002000000}" name="Column2"/>
    <tableColumn id="3" xr3:uid="{00000000-0010-0000-9D00-000003000000}" name="Column3"/>
    <tableColumn id="4" xr3:uid="{00000000-0010-0000-9D00-000004000000}" name="Column4"/>
  </tableColumns>
  <tableStyleInfo name="فلاح و علی-style 158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Table_159" displayName="Table_159" ref="B2504:E2505" headerRowCount="0">
  <tableColumns count="4">
    <tableColumn id="1" xr3:uid="{00000000-0010-0000-9E00-000001000000}" name="Column1"/>
    <tableColumn id="2" xr3:uid="{00000000-0010-0000-9E00-000002000000}" name="Column2"/>
    <tableColumn id="3" xr3:uid="{00000000-0010-0000-9E00-000003000000}" name="Column3"/>
    <tableColumn id="4" xr3:uid="{00000000-0010-0000-9E00-000004000000}" name="Column4"/>
  </tableColumns>
  <tableStyleInfo name="فلاح و علی-style 159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Table_160" displayName="Table_160" ref="B2519:E2520" headerRowCount="0">
  <tableColumns count="4">
    <tableColumn id="1" xr3:uid="{00000000-0010-0000-9F00-000001000000}" name="Column1"/>
    <tableColumn id="2" xr3:uid="{00000000-0010-0000-9F00-000002000000}" name="Column2"/>
    <tableColumn id="3" xr3:uid="{00000000-0010-0000-9F00-000003000000}" name="Column3"/>
    <tableColumn id="4" xr3:uid="{00000000-0010-0000-9F00-000004000000}" name="Column4"/>
  </tableColumns>
  <tableStyleInfo name="فلاح و علی-style 160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Table_161" displayName="Table_161" ref="B2534:E2535" headerRowCount="0">
  <tableColumns count="4">
    <tableColumn id="1" xr3:uid="{00000000-0010-0000-A000-000001000000}" name="Column1"/>
    <tableColumn id="2" xr3:uid="{00000000-0010-0000-A000-000002000000}" name="Column2"/>
    <tableColumn id="3" xr3:uid="{00000000-0010-0000-A000-000003000000}" name="Column3"/>
    <tableColumn id="4" xr3:uid="{00000000-0010-0000-A000-000004000000}" name="Column4"/>
  </tableColumns>
  <tableStyleInfo name="فلاح و علی-style 161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Table_162" displayName="Table_162" ref="B2548:E2549" headerRowCount="0">
  <tableColumns count="4">
    <tableColumn id="1" xr3:uid="{00000000-0010-0000-A100-000001000000}" name="Column1"/>
    <tableColumn id="2" xr3:uid="{00000000-0010-0000-A100-000002000000}" name="Column2"/>
    <tableColumn id="3" xr3:uid="{00000000-0010-0000-A100-000003000000}" name="Column3"/>
    <tableColumn id="4" xr3:uid="{00000000-0010-0000-A100-000004000000}" name="Column4"/>
  </tableColumns>
  <tableStyleInfo name="فلاح و علی-style 162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Table_163" displayName="Table_163" ref="B2563:E2564" headerRowCount="0">
  <tableColumns count="4">
    <tableColumn id="1" xr3:uid="{00000000-0010-0000-A200-000001000000}" name="Column1"/>
    <tableColumn id="2" xr3:uid="{00000000-0010-0000-A200-000002000000}" name="Column2"/>
    <tableColumn id="3" xr3:uid="{00000000-0010-0000-A200-000003000000}" name="Column3"/>
    <tableColumn id="4" xr3:uid="{00000000-0010-0000-A200-000004000000}" name="Column4"/>
  </tableColumns>
  <tableStyleInfo name="فلاح و علی-style 163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Table_164" displayName="Table_164" ref="B2580:E2581" headerRowCount="0">
  <tableColumns count="4">
    <tableColumn id="1" xr3:uid="{00000000-0010-0000-A300-000001000000}" name="Column1"/>
    <tableColumn id="2" xr3:uid="{00000000-0010-0000-A300-000002000000}" name="Column2"/>
    <tableColumn id="3" xr3:uid="{00000000-0010-0000-A300-000003000000}" name="Column3"/>
    <tableColumn id="4" xr3:uid="{00000000-0010-0000-A300-000004000000}" name="Column4"/>
  </tableColumns>
  <tableStyleInfo name="فلاح و علی-style 164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Table_165" displayName="Table_165" ref="B2594:E2595" headerRowCount="0">
  <tableColumns count="4">
    <tableColumn id="1" xr3:uid="{00000000-0010-0000-A400-000001000000}" name="Column1"/>
    <tableColumn id="2" xr3:uid="{00000000-0010-0000-A400-000002000000}" name="Column2"/>
    <tableColumn id="3" xr3:uid="{00000000-0010-0000-A400-000003000000}" name="Column3"/>
    <tableColumn id="4" xr3:uid="{00000000-0010-0000-A400-000004000000}" name="Column4"/>
  </tableColumns>
  <tableStyleInfo name="فلاح و علی-style 165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Table_166" displayName="Table_166" ref="B2607:E2608" headerRowCount="0">
  <tableColumns count="4">
    <tableColumn id="1" xr3:uid="{00000000-0010-0000-A500-000001000000}" name="Column1"/>
    <tableColumn id="2" xr3:uid="{00000000-0010-0000-A500-000002000000}" name="Column2"/>
    <tableColumn id="3" xr3:uid="{00000000-0010-0000-A500-000003000000}" name="Column3"/>
    <tableColumn id="4" xr3:uid="{00000000-0010-0000-A500-000004000000}" name="Column4"/>
  </tableColumns>
  <tableStyleInfo name="فلاح و علی-style 166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Table_167" displayName="Table_167" ref="B2621:E2622" headerRowCount="0">
  <tableColumns count="4">
    <tableColumn id="1" xr3:uid="{00000000-0010-0000-A600-000001000000}" name="Column1"/>
    <tableColumn id="2" xr3:uid="{00000000-0010-0000-A600-000002000000}" name="Column2"/>
    <tableColumn id="3" xr3:uid="{00000000-0010-0000-A600-000003000000}" name="Column3"/>
    <tableColumn id="4" xr3:uid="{00000000-0010-0000-A600-000004000000}" name="Column4"/>
  </tableColumns>
  <tableStyleInfo name="فلاح و علی-style 167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Table_168" displayName="Table_168" ref="B2634:E2635" headerRowCount="0">
  <tableColumns count="4">
    <tableColumn id="1" xr3:uid="{00000000-0010-0000-A700-000001000000}" name="Column1"/>
    <tableColumn id="2" xr3:uid="{00000000-0010-0000-A700-000002000000}" name="Column2"/>
    <tableColumn id="3" xr3:uid="{00000000-0010-0000-A700-000003000000}" name="Column3"/>
    <tableColumn id="4" xr3:uid="{00000000-0010-0000-A700-000004000000}" name="Column4"/>
  </tableColumns>
  <tableStyleInfo name="فلاح و علی-style 168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ble_169" displayName="Table_169" ref="B2650:E2651" headerRowCount="0">
  <tableColumns count="4">
    <tableColumn id="1" xr3:uid="{00000000-0010-0000-A800-000001000000}" name="Column1"/>
    <tableColumn id="2" xr3:uid="{00000000-0010-0000-A800-000002000000}" name="Column2"/>
    <tableColumn id="3" xr3:uid="{00000000-0010-0000-A800-000003000000}" name="Column3"/>
    <tableColumn id="4" xr3:uid="{00000000-0010-0000-A800-000004000000}" name="Column4"/>
  </tableColumns>
  <tableStyleInfo name="فلاح و علی-style 169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ble_170" displayName="Table_170" ref="B2666:E2667" headerRowCount="0">
  <tableColumns count="4">
    <tableColumn id="1" xr3:uid="{00000000-0010-0000-A900-000001000000}" name="Column1"/>
    <tableColumn id="2" xr3:uid="{00000000-0010-0000-A900-000002000000}" name="Column2"/>
    <tableColumn id="3" xr3:uid="{00000000-0010-0000-A900-000003000000}" name="Column3"/>
    <tableColumn id="4" xr3:uid="{00000000-0010-0000-A900-000004000000}" name="Column4"/>
  </tableColumns>
  <tableStyleInfo name="فلاح و علی-style 170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ble_171" displayName="Table_171" ref="B2680:E2681" headerRowCount="0">
  <tableColumns count="4">
    <tableColumn id="1" xr3:uid="{00000000-0010-0000-AA00-000001000000}" name="Column1"/>
    <tableColumn id="2" xr3:uid="{00000000-0010-0000-AA00-000002000000}" name="Column2"/>
    <tableColumn id="3" xr3:uid="{00000000-0010-0000-AA00-000003000000}" name="Column3"/>
    <tableColumn id="4" xr3:uid="{00000000-0010-0000-AA00-000004000000}" name="Column4"/>
  </tableColumns>
  <tableStyleInfo name="فلاح و علی-style 171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ble_172" displayName="Table_172" ref="B2696:E2697" headerRowCount="0">
  <tableColumns count="4">
    <tableColumn id="1" xr3:uid="{00000000-0010-0000-AB00-000001000000}" name="Column1"/>
    <tableColumn id="2" xr3:uid="{00000000-0010-0000-AB00-000002000000}" name="Column2"/>
    <tableColumn id="3" xr3:uid="{00000000-0010-0000-AB00-000003000000}" name="Column3"/>
    <tableColumn id="4" xr3:uid="{00000000-0010-0000-AB00-000004000000}" name="Column4"/>
  </tableColumns>
  <tableStyleInfo name="فلاح و علی-style 172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able_173" displayName="Table_173" ref="B2710:E2712" headerRowCount="0">
  <tableColumns count="4">
    <tableColumn id="1" xr3:uid="{00000000-0010-0000-AC00-000001000000}" name="Column1"/>
    <tableColumn id="2" xr3:uid="{00000000-0010-0000-AC00-000002000000}" name="Column2"/>
    <tableColumn id="3" xr3:uid="{00000000-0010-0000-AC00-000003000000}" name="Column3"/>
    <tableColumn id="4" xr3:uid="{00000000-0010-0000-AC00-000004000000}" name="Column4"/>
  </tableColumns>
  <tableStyleInfo name="فلاح و علی-style 173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able_174" displayName="Table_174" ref="B2726:E2728" headerRowCount="0">
  <tableColumns count="4">
    <tableColumn id="1" xr3:uid="{00000000-0010-0000-AD00-000001000000}" name="Column1"/>
    <tableColumn id="2" xr3:uid="{00000000-0010-0000-AD00-000002000000}" name="Column2"/>
    <tableColumn id="3" xr3:uid="{00000000-0010-0000-AD00-000003000000}" name="Column3"/>
    <tableColumn id="4" xr3:uid="{00000000-0010-0000-AD00-000004000000}" name="Column4"/>
  </tableColumns>
  <tableStyleInfo name="فلاح و علی-style 174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able_175" displayName="Table_175" ref="B2928:E2929" headerRowCount="0">
  <tableColumns count="4">
    <tableColumn id="1" xr3:uid="{00000000-0010-0000-AE00-000001000000}" name="Column1"/>
    <tableColumn id="2" xr3:uid="{00000000-0010-0000-AE00-000002000000}" name="Column2"/>
    <tableColumn id="3" xr3:uid="{00000000-0010-0000-AE00-000003000000}" name="Column3"/>
    <tableColumn id="4" xr3:uid="{00000000-0010-0000-AE00-000004000000}" name="Column4"/>
  </tableColumns>
  <tableStyleInfo name="فلاح و علی-style 175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able_176" displayName="Table_176" ref="B2942:E2943" headerRowCount="0">
  <tableColumns count="4">
    <tableColumn id="1" xr3:uid="{00000000-0010-0000-AF00-000001000000}" name="Column1"/>
    <tableColumn id="2" xr3:uid="{00000000-0010-0000-AF00-000002000000}" name="Column2"/>
    <tableColumn id="3" xr3:uid="{00000000-0010-0000-AF00-000003000000}" name="Column3"/>
    <tableColumn id="4" xr3:uid="{00000000-0010-0000-AF00-000004000000}" name="Column4"/>
  </tableColumns>
  <tableStyleInfo name="فلاح و علی-style 176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able_177" displayName="Table_177" ref="B2957:E2958" headerRowCount="0">
  <tableColumns count="4">
    <tableColumn id="1" xr3:uid="{00000000-0010-0000-B000-000001000000}" name="Column1"/>
    <tableColumn id="2" xr3:uid="{00000000-0010-0000-B000-000002000000}" name="Column2"/>
    <tableColumn id="3" xr3:uid="{00000000-0010-0000-B000-000003000000}" name="Column3"/>
    <tableColumn id="4" xr3:uid="{00000000-0010-0000-B000-000004000000}" name="Column4"/>
  </tableColumns>
  <tableStyleInfo name="فلاح و علی-style 177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able_178" displayName="Table_178" ref="B2971:E2972" headerRowCount="0">
  <tableColumns count="4">
    <tableColumn id="1" xr3:uid="{00000000-0010-0000-B100-000001000000}" name="Column1"/>
    <tableColumn id="2" xr3:uid="{00000000-0010-0000-B100-000002000000}" name="Column2"/>
    <tableColumn id="3" xr3:uid="{00000000-0010-0000-B100-000003000000}" name="Column3"/>
    <tableColumn id="4" xr3:uid="{00000000-0010-0000-B100-000004000000}" name="Column4"/>
  </tableColumns>
  <tableStyleInfo name="فلاح و علی-style 178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Table_179" displayName="Table_179" ref="B2986:E2987" headerRowCount="0">
  <tableColumns count="4">
    <tableColumn id="1" xr3:uid="{00000000-0010-0000-B200-000001000000}" name="Column1"/>
    <tableColumn id="2" xr3:uid="{00000000-0010-0000-B200-000002000000}" name="Column2"/>
    <tableColumn id="3" xr3:uid="{00000000-0010-0000-B200-000003000000}" name="Column3"/>
    <tableColumn id="4" xr3:uid="{00000000-0010-0000-B200-000004000000}" name="Column4"/>
  </tableColumns>
  <tableStyleInfo name="فلاح و علی-style 179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Table_180" displayName="Table_180" ref="B3001:E3002" headerRowCount="0">
  <tableColumns count="4">
    <tableColumn id="1" xr3:uid="{00000000-0010-0000-B300-000001000000}" name="Column1"/>
    <tableColumn id="2" xr3:uid="{00000000-0010-0000-B300-000002000000}" name="Column2"/>
    <tableColumn id="3" xr3:uid="{00000000-0010-0000-B300-000003000000}" name="Column3"/>
    <tableColumn id="4" xr3:uid="{00000000-0010-0000-B300-000004000000}" name="Column4"/>
  </tableColumns>
  <tableStyleInfo name="فلاح و علی-style 180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Table_181" displayName="Table_181" ref="B3017:E3018" headerRowCount="0">
  <tableColumns count="4">
    <tableColumn id="1" xr3:uid="{00000000-0010-0000-B400-000001000000}" name="Column1"/>
    <tableColumn id="2" xr3:uid="{00000000-0010-0000-B400-000002000000}" name="Column2"/>
    <tableColumn id="3" xr3:uid="{00000000-0010-0000-B400-000003000000}" name="Column3"/>
    <tableColumn id="4" xr3:uid="{00000000-0010-0000-B400-000004000000}" name="Column4"/>
  </tableColumns>
  <tableStyleInfo name="فلاح و علی-style 181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Table_182" displayName="Table_182" ref="B3033:E3034" headerRowCount="0">
  <tableColumns count="4">
    <tableColumn id="1" xr3:uid="{00000000-0010-0000-B500-000001000000}" name="Column1"/>
    <tableColumn id="2" xr3:uid="{00000000-0010-0000-B500-000002000000}" name="Column2"/>
    <tableColumn id="3" xr3:uid="{00000000-0010-0000-B500-000003000000}" name="Column3"/>
    <tableColumn id="4" xr3:uid="{00000000-0010-0000-B500-000004000000}" name="Column4"/>
  </tableColumns>
  <tableStyleInfo name="فلاح و علی-style 182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Table_183" displayName="Table_183" ref="B3047:E3048" headerRowCount="0">
  <tableColumns count="4">
    <tableColumn id="1" xr3:uid="{00000000-0010-0000-B600-000001000000}" name="Column1"/>
    <tableColumn id="2" xr3:uid="{00000000-0010-0000-B600-000002000000}" name="Column2"/>
    <tableColumn id="3" xr3:uid="{00000000-0010-0000-B600-000003000000}" name="Column3"/>
    <tableColumn id="4" xr3:uid="{00000000-0010-0000-B600-000004000000}" name="Column4"/>
  </tableColumns>
  <tableStyleInfo name="فلاح و علی-style 183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Table_184" displayName="Table_184" ref="B3063:E3064" headerRowCount="0">
  <tableColumns count="4">
    <tableColumn id="1" xr3:uid="{00000000-0010-0000-B700-000001000000}" name="Column1"/>
    <tableColumn id="2" xr3:uid="{00000000-0010-0000-B700-000002000000}" name="Column2"/>
    <tableColumn id="3" xr3:uid="{00000000-0010-0000-B700-000003000000}" name="Column3"/>
    <tableColumn id="4" xr3:uid="{00000000-0010-0000-B700-000004000000}" name="Column4"/>
  </tableColumns>
  <tableStyleInfo name="فلاح و علی-style 184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Table_185" displayName="Table_185" ref="B3081:E3082" headerRowCount="0">
  <tableColumns count="4">
    <tableColumn id="1" xr3:uid="{00000000-0010-0000-B800-000001000000}" name="Column1"/>
    <tableColumn id="2" xr3:uid="{00000000-0010-0000-B800-000002000000}" name="Column2"/>
    <tableColumn id="3" xr3:uid="{00000000-0010-0000-B800-000003000000}" name="Column3"/>
    <tableColumn id="4" xr3:uid="{00000000-0010-0000-B800-000004000000}" name="Column4"/>
  </tableColumns>
  <tableStyleInfo name="فلاح و علی-style 185" showFirstColumn="1" showLastColumn="1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Table_186" displayName="Table_186" ref="B3099:E3100" headerRowCount="0">
  <tableColumns count="4">
    <tableColumn id="1" xr3:uid="{00000000-0010-0000-B900-000001000000}" name="Column1"/>
    <tableColumn id="2" xr3:uid="{00000000-0010-0000-B900-000002000000}" name="Column2"/>
    <tableColumn id="3" xr3:uid="{00000000-0010-0000-B900-000003000000}" name="Column3"/>
    <tableColumn id="4" xr3:uid="{00000000-0010-0000-B900-000004000000}" name="Column4"/>
  </tableColumns>
  <tableStyleInfo name="فلاح و علی-style 186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Table_187" displayName="Table_187" ref="B3116:E3117" headerRowCount="0">
  <tableColumns count="4">
    <tableColumn id="1" xr3:uid="{00000000-0010-0000-BA00-000001000000}" name="Column1"/>
    <tableColumn id="2" xr3:uid="{00000000-0010-0000-BA00-000002000000}" name="Column2"/>
    <tableColumn id="3" xr3:uid="{00000000-0010-0000-BA00-000003000000}" name="Column3"/>
    <tableColumn id="4" xr3:uid="{00000000-0010-0000-BA00-000004000000}" name="Column4"/>
  </tableColumns>
  <tableStyleInfo name="فلاح و علی-style 187" showFirstColumn="1" showLastColumn="1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le_188" displayName="Table_188" ref="B3133:E3134" headerRowCount="0">
  <tableColumns count="4">
    <tableColumn id="1" xr3:uid="{00000000-0010-0000-BB00-000001000000}" name="Column1"/>
    <tableColumn id="2" xr3:uid="{00000000-0010-0000-BB00-000002000000}" name="Column2"/>
    <tableColumn id="3" xr3:uid="{00000000-0010-0000-BB00-000003000000}" name="Column3"/>
    <tableColumn id="4" xr3:uid="{00000000-0010-0000-BB00-000004000000}" name="Column4"/>
  </tableColumns>
  <tableStyleInfo name="فلاح و علی-style 188" showFirstColumn="1" showLastColumn="1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Table_189" displayName="Table_189" ref="B3148:E3149" headerRowCount="0">
  <tableColumns count="4">
    <tableColumn id="1" xr3:uid="{00000000-0010-0000-BC00-000001000000}" name="Column1"/>
    <tableColumn id="2" xr3:uid="{00000000-0010-0000-BC00-000002000000}" name="Column2"/>
    <tableColumn id="3" xr3:uid="{00000000-0010-0000-BC00-000003000000}" name="Column3"/>
    <tableColumn id="4" xr3:uid="{00000000-0010-0000-BC00-000004000000}" name="Column4"/>
  </tableColumns>
  <tableStyleInfo name="فلاح و علی-style 189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Table_190" displayName="Table_190" ref="B3164:E3165" headerRowCount="0">
  <tableColumns count="4">
    <tableColumn id="1" xr3:uid="{00000000-0010-0000-BD00-000001000000}" name="Column1"/>
    <tableColumn id="2" xr3:uid="{00000000-0010-0000-BD00-000002000000}" name="Column2"/>
    <tableColumn id="3" xr3:uid="{00000000-0010-0000-BD00-000003000000}" name="Column3"/>
    <tableColumn id="4" xr3:uid="{00000000-0010-0000-BD00-000004000000}" name="Column4"/>
  </tableColumns>
  <tableStyleInfo name="فلاح و علی-style 190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Table_191" displayName="Table_191" ref="B3182:E3183" headerRowCount="0">
  <tableColumns count="4">
    <tableColumn id="1" xr3:uid="{00000000-0010-0000-BE00-000001000000}" name="Column1"/>
    <tableColumn id="2" xr3:uid="{00000000-0010-0000-BE00-000002000000}" name="Column2"/>
    <tableColumn id="3" xr3:uid="{00000000-0010-0000-BE00-000003000000}" name="Column3"/>
    <tableColumn id="4" xr3:uid="{00000000-0010-0000-BE00-000004000000}" name="Column4"/>
  </tableColumns>
  <tableStyleInfo name="فلاح و علی-style 191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Table_192" displayName="Table_192" ref="B3198:E3199" headerRowCount="0">
  <tableColumns count="4">
    <tableColumn id="1" xr3:uid="{00000000-0010-0000-BF00-000001000000}" name="Column1"/>
    <tableColumn id="2" xr3:uid="{00000000-0010-0000-BF00-000002000000}" name="Column2"/>
    <tableColumn id="3" xr3:uid="{00000000-0010-0000-BF00-000003000000}" name="Column3"/>
    <tableColumn id="4" xr3:uid="{00000000-0010-0000-BF00-000004000000}" name="Column4"/>
  </tableColumns>
  <tableStyleInfo name="فلاح و علی-style 192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Table_193" displayName="Table_193" ref="B3215:E3216" headerRowCount="0">
  <tableColumns count="4">
    <tableColumn id="1" xr3:uid="{00000000-0010-0000-C000-000001000000}" name="Column1"/>
    <tableColumn id="2" xr3:uid="{00000000-0010-0000-C000-000002000000}" name="Column2"/>
    <tableColumn id="3" xr3:uid="{00000000-0010-0000-C000-000003000000}" name="Column3"/>
    <tableColumn id="4" xr3:uid="{00000000-0010-0000-C000-000004000000}" name="Column4"/>
  </tableColumns>
  <tableStyleInfo name="فلاح و علی-style 193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Table_194" displayName="Table_194" ref="B3231:E3232" headerRowCount="0">
  <tableColumns count="4">
    <tableColumn id="1" xr3:uid="{00000000-0010-0000-C100-000001000000}" name="Column1"/>
    <tableColumn id="2" xr3:uid="{00000000-0010-0000-C100-000002000000}" name="Column2"/>
    <tableColumn id="3" xr3:uid="{00000000-0010-0000-C100-000003000000}" name="Column3"/>
    <tableColumn id="4" xr3:uid="{00000000-0010-0000-C100-000004000000}" name="Column4"/>
  </tableColumns>
  <tableStyleInfo name="فلاح و علی-style 194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Table_195" displayName="Table_195" ref="B3248:E3249" headerRowCount="0">
  <tableColumns count="4">
    <tableColumn id="1" xr3:uid="{00000000-0010-0000-C200-000001000000}" name="Column1"/>
    <tableColumn id="2" xr3:uid="{00000000-0010-0000-C200-000002000000}" name="Column2"/>
    <tableColumn id="3" xr3:uid="{00000000-0010-0000-C200-000003000000}" name="Column3"/>
    <tableColumn id="4" xr3:uid="{00000000-0010-0000-C200-000004000000}" name="Column4"/>
  </tableColumns>
  <tableStyleInfo name="فلاح و علی-style 195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Table_196" displayName="Table_196" ref="B3265:E3266" headerRowCount="0">
  <tableColumns count="4">
    <tableColumn id="1" xr3:uid="{00000000-0010-0000-C300-000001000000}" name="Column1"/>
    <tableColumn id="2" xr3:uid="{00000000-0010-0000-C300-000002000000}" name="Column2"/>
    <tableColumn id="3" xr3:uid="{00000000-0010-0000-C300-000003000000}" name="Column3"/>
    <tableColumn id="4" xr3:uid="{00000000-0010-0000-C300-000004000000}" name="Column4"/>
  </tableColumns>
  <tableStyleInfo name="فلاح و علی-style 196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Table_197" displayName="Table_197" ref="B3283:E3284" headerRowCount="0">
  <tableColumns count="4">
    <tableColumn id="1" xr3:uid="{00000000-0010-0000-C400-000001000000}" name="Column1"/>
    <tableColumn id="2" xr3:uid="{00000000-0010-0000-C400-000002000000}" name="Column2"/>
    <tableColumn id="3" xr3:uid="{00000000-0010-0000-C400-000003000000}" name="Column3"/>
    <tableColumn id="4" xr3:uid="{00000000-0010-0000-C400-000004000000}" name="Column4"/>
  </tableColumns>
  <tableStyleInfo name="فلاح و علی-style 197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Table_198" displayName="Table_198" ref="B3298:E3299" headerRowCount="0">
  <tableColumns count="4">
    <tableColumn id="1" xr3:uid="{00000000-0010-0000-C500-000001000000}" name="Column1"/>
    <tableColumn id="2" xr3:uid="{00000000-0010-0000-C500-000002000000}" name="Column2"/>
    <tableColumn id="3" xr3:uid="{00000000-0010-0000-C500-000003000000}" name="Column3"/>
    <tableColumn id="4" xr3:uid="{00000000-0010-0000-C500-000004000000}" name="Column4"/>
  </tableColumns>
  <tableStyleInfo name="فلاح و علی-style 198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Table_199" displayName="Table_199" ref="B3318:E3319" headerRowCount="0">
  <tableColumns count="4">
    <tableColumn id="1" xr3:uid="{00000000-0010-0000-C600-000001000000}" name="Column1"/>
    <tableColumn id="2" xr3:uid="{00000000-0010-0000-C600-000002000000}" name="Column2"/>
    <tableColumn id="3" xr3:uid="{00000000-0010-0000-C600-000003000000}" name="Column3"/>
    <tableColumn id="4" xr3:uid="{00000000-0010-0000-C600-000004000000}" name="Column4"/>
  </tableColumns>
  <tableStyleInfo name="فلاح و علی-style 199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Table_200" displayName="Table_200" ref="B3335:E3336" headerRowCount="0">
  <tableColumns count="4">
    <tableColumn id="1" xr3:uid="{00000000-0010-0000-C700-000001000000}" name="Column1"/>
    <tableColumn id="2" xr3:uid="{00000000-0010-0000-C700-000002000000}" name="Column2"/>
    <tableColumn id="3" xr3:uid="{00000000-0010-0000-C700-000003000000}" name="Column3"/>
    <tableColumn id="4" xr3:uid="{00000000-0010-0000-C700-000004000000}" name="Column4"/>
  </tableColumns>
  <tableStyleInfo name="فلاح و علی-style 200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Table_201" displayName="Table_201" ref="B3351:E3352" headerRowCount="0">
  <tableColumns count="4">
    <tableColumn id="1" xr3:uid="{00000000-0010-0000-C800-000001000000}" name="Column1"/>
    <tableColumn id="2" xr3:uid="{00000000-0010-0000-C800-000002000000}" name="Column2"/>
    <tableColumn id="3" xr3:uid="{00000000-0010-0000-C800-000003000000}" name="Column3"/>
    <tableColumn id="4" xr3:uid="{00000000-0010-0000-C800-000004000000}" name="Column4"/>
  </tableColumns>
  <tableStyleInfo name="فلاح و علی-style 201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Table_202" displayName="Table_202" ref="B3371:E3372" headerRowCount="0">
  <tableColumns count="4">
    <tableColumn id="1" xr3:uid="{00000000-0010-0000-C900-000001000000}" name="Column1"/>
    <tableColumn id="2" xr3:uid="{00000000-0010-0000-C900-000002000000}" name="Column2"/>
    <tableColumn id="3" xr3:uid="{00000000-0010-0000-C900-000003000000}" name="Column3"/>
    <tableColumn id="4" xr3:uid="{00000000-0010-0000-C900-000004000000}" name="Column4"/>
  </tableColumns>
  <tableStyleInfo name="فلاح و علی-style 202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Table_203" displayName="Table_203" ref="B3390:E3391" headerRowCount="0">
  <tableColumns count="4">
    <tableColumn id="1" xr3:uid="{00000000-0010-0000-CA00-000001000000}" name="Column1"/>
    <tableColumn id="2" xr3:uid="{00000000-0010-0000-CA00-000002000000}" name="Column2"/>
    <tableColumn id="3" xr3:uid="{00000000-0010-0000-CA00-000003000000}" name="Column3"/>
    <tableColumn id="4" xr3:uid="{00000000-0010-0000-CA00-000004000000}" name="Column4"/>
  </tableColumns>
  <tableStyleInfo name="فلاح و علی-style 203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Table_204" displayName="Table_204" ref="B3408:E3409" headerRowCount="0">
  <tableColumns count="4">
    <tableColumn id="1" xr3:uid="{00000000-0010-0000-CB00-000001000000}" name="Column1"/>
    <tableColumn id="2" xr3:uid="{00000000-0010-0000-CB00-000002000000}" name="Column2"/>
    <tableColumn id="3" xr3:uid="{00000000-0010-0000-CB00-000003000000}" name="Column3"/>
    <tableColumn id="4" xr3:uid="{00000000-0010-0000-CB00-000004000000}" name="Column4"/>
  </tableColumns>
  <tableStyleInfo name="فلاح و علی-style 204" showFirstColumn="1" showLastColumn="1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C000000}" name="Table_205" displayName="Table_205" ref="B3426:E3427" headerRowCount="0">
  <tableColumns count="4">
    <tableColumn id="1" xr3:uid="{00000000-0010-0000-CC00-000001000000}" name="Column1"/>
    <tableColumn id="2" xr3:uid="{00000000-0010-0000-CC00-000002000000}" name="Column2"/>
    <tableColumn id="3" xr3:uid="{00000000-0010-0000-CC00-000003000000}" name="Column3"/>
    <tableColumn id="4" xr3:uid="{00000000-0010-0000-CC00-000004000000}" name="Column4"/>
  </tableColumns>
  <tableStyleInfo name="فلاح و علی-style 205" showFirstColumn="1" showLastColumn="1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D000000}" name="Table_206" displayName="Table_206" ref="B3443:E3444" headerRowCount="0">
  <tableColumns count="4">
    <tableColumn id="1" xr3:uid="{00000000-0010-0000-CD00-000001000000}" name="Column1"/>
    <tableColumn id="2" xr3:uid="{00000000-0010-0000-CD00-000002000000}" name="Column2"/>
    <tableColumn id="3" xr3:uid="{00000000-0010-0000-CD00-000003000000}" name="Column3"/>
    <tableColumn id="4" xr3:uid="{00000000-0010-0000-CD00-000004000000}" name="Column4"/>
  </tableColumns>
  <tableStyleInfo name="فلاح و علی-style 206" showFirstColumn="1" showLastColumn="1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E000000}" name="Table_207" displayName="Table_207" ref="B3461:E3462" headerRowCount="0">
  <tableColumns count="4">
    <tableColumn id="1" xr3:uid="{00000000-0010-0000-CE00-000001000000}" name="Column1"/>
    <tableColumn id="2" xr3:uid="{00000000-0010-0000-CE00-000002000000}" name="Column2"/>
    <tableColumn id="3" xr3:uid="{00000000-0010-0000-CE00-000003000000}" name="Column3"/>
    <tableColumn id="4" xr3:uid="{00000000-0010-0000-CE00-000004000000}" name="Column4"/>
  </tableColumns>
  <tableStyleInfo name="فلاح و علی-style 207" showFirstColumn="1" showLastColumn="1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F000000}" name="Table_208" displayName="Table_208" ref="B3478:E3479" headerRowCount="0">
  <tableColumns count="4">
    <tableColumn id="1" xr3:uid="{00000000-0010-0000-CF00-000001000000}" name="Column1"/>
    <tableColumn id="2" xr3:uid="{00000000-0010-0000-CF00-000002000000}" name="Column2"/>
    <tableColumn id="3" xr3:uid="{00000000-0010-0000-CF00-000003000000}" name="Column3"/>
    <tableColumn id="4" xr3:uid="{00000000-0010-0000-CF00-000004000000}" name="Column4"/>
  </tableColumns>
  <tableStyleInfo name="فلاح و علی-style 208" showFirstColumn="1" showLastColumn="1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D0000000}" name="Table_209" displayName="Table_209" ref="B3497:E3498" headerRowCount="0">
  <tableColumns count="4">
    <tableColumn id="1" xr3:uid="{00000000-0010-0000-D000-000001000000}" name="Column1"/>
    <tableColumn id="2" xr3:uid="{00000000-0010-0000-D000-000002000000}" name="Column2"/>
    <tableColumn id="3" xr3:uid="{00000000-0010-0000-D000-000003000000}" name="Column3"/>
    <tableColumn id="4" xr3:uid="{00000000-0010-0000-D000-000004000000}" name="Column4"/>
  </tableColumns>
  <tableStyleInfo name="فلاح و علی-style 209" showFirstColumn="1" showLastColumn="1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D1000000}" name="Table_210" displayName="Table_210" ref="B3514:E3515" headerRowCount="0">
  <tableColumns count="4">
    <tableColumn id="1" xr3:uid="{00000000-0010-0000-D100-000001000000}" name="Column1"/>
    <tableColumn id="2" xr3:uid="{00000000-0010-0000-D100-000002000000}" name="Column2"/>
    <tableColumn id="3" xr3:uid="{00000000-0010-0000-D100-000003000000}" name="Column3"/>
    <tableColumn id="4" xr3:uid="{00000000-0010-0000-D100-000004000000}" name="Column4"/>
  </tableColumns>
  <tableStyleInfo name="فلاح و علی-style 210" showFirstColumn="1" showLastColumn="1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D2000000}" name="Table_211" displayName="Table_211" ref="B3531:E3532" headerRowCount="0">
  <tableColumns count="4">
    <tableColumn id="1" xr3:uid="{00000000-0010-0000-D200-000001000000}" name="Column1"/>
    <tableColumn id="2" xr3:uid="{00000000-0010-0000-D200-000002000000}" name="Column2"/>
    <tableColumn id="3" xr3:uid="{00000000-0010-0000-D200-000003000000}" name="Column3"/>
    <tableColumn id="4" xr3:uid="{00000000-0010-0000-D200-000004000000}" name="Column4"/>
  </tableColumns>
  <tableStyleInfo name="فلاح و علی-style 211" showFirstColumn="1" showLastColumn="1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D3000000}" name="Table_212" displayName="Table_212" ref="B3547:E3548" headerRowCount="0">
  <tableColumns count="4">
    <tableColumn id="1" xr3:uid="{00000000-0010-0000-D300-000001000000}" name="Column1"/>
    <tableColumn id="2" xr3:uid="{00000000-0010-0000-D300-000002000000}" name="Column2"/>
    <tableColumn id="3" xr3:uid="{00000000-0010-0000-D300-000003000000}" name="Column3"/>
    <tableColumn id="4" xr3:uid="{00000000-0010-0000-D300-000004000000}" name="Column4"/>
  </tableColumns>
  <tableStyleInfo name="فلاح و علی-style 212" showFirstColumn="1" showLastColumn="1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D4000000}" name="Table_213" displayName="Table_213" ref="B3564:E3565" headerRowCount="0">
  <tableColumns count="4">
    <tableColumn id="1" xr3:uid="{00000000-0010-0000-D400-000001000000}" name="Column1"/>
    <tableColumn id="2" xr3:uid="{00000000-0010-0000-D400-000002000000}" name="Column2"/>
    <tableColumn id="3" xr3:uid="{00000000-0010-0000-D400-000003000000}" name="Column3"/>
    <tableColumn id="4" xr3:uid="{00000000-0010-0000-D400-000004000000}" name="Column4"/>
  </tableColumns>
  <tableStyleInfo name="فلاح و علی-style 213" showFirstColumn="1" showLastColumn="1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5000000}" name="Table_214" displayName="Table_214" ref="B3583:E3584" headerRowCount="0">
  <tableColumns count="4">
    <tableColumn id="1" xr3:uid="{00000000-0010-0000-D500-000001000000}" name="Column1"/>
    <tableColumn id="2" xr3:uid="{00000000-0010-0000-D500-000002000000}" name="Column2"/>
    <tableColumn id="3" xr3:uid="{00000000-0010-0000-D500-000003000000}" name="Column3"/>
    <tableColumn id="4" xr3:uid="{00000000-0010-0000-D500-000004000000}" name="Column4"/>
  </tableColumns>
  <tableStyleInfo name="فلاح و علی-style 214" showFirstColumn="1" showLastColumn="1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6000000}" name="Table_215" displayName="Table_215" ref="B3610:E3611" headerRowCount="0">
  <tableColumns count="4">
    <tableColumn id="1" xr3:uid="{00000000-0010-0000-D600-000001000000}" name="Column1"/>
    <tableColumn id="2" xr3:uid="{00000000-0010-0000-D600-000002000000}" name="Column2"/>
    <tableColumn id="3" xr3:uid="{00000000-0010-0000-D600-000003000000}" name="Column3"/>
    <tableColumn id="4" xr3:uid="{00000000-0010-0000-D600-000004000000}" name="Column4"/>
  </tableColumns>
  <tableStyleInfo name="فلاح و علی-style 215" showFirstColumn="1" showLastColumn="1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7000000}" name="Table_216" displayName="Table_216" ref="B3626:E3627" headerRowCount="0">
  <tableColumns count="4">
    <tableColumn id="1" xr3:uid="{00000000-0010-0000-D700-000001000000}" name="Column1"/>
    <tableColumn id="2" xr3:uid="{00000000-0010-0000-D700-000002000000}" name="Column2"/>
    <tableColumn id="3" xr3:uid="{00000000-0010-0000-D700-000003000000}" name="Column3"/>
    <tableColumn id="4" xr3:uid="{00000000-0010-0000-D700-000004000000}" name="Column4"/>
  </tableColumns>
  <tableStyleInfo name="فلاح و علی-style 216" showFirstColumn="1" showLastColumn="1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8000000}" name="Table_217" displayName="Table_217" ref="B3644:E3645" headerRowCount="0">
  <tableColumns count="4">
    <tableColumn id="1" xr3:uid="{00000000-0010-0000-D800-000001000000}" name="Column1"/>
    <tableColumn id="2" xr3:uid="{00000000-0010-0000-D800-000002000000}" name="Column2"/>
    <tableColumn id="3" xr3:uid="{00000000-0010-0000-D800-000003000000}" name="Column3"/>
    <tableColumn id="4" xr3:uid="{00000000-0010-0000-D800-000004000000}" name="Column4"/>
  </tableColumns>
  <tableStyleInfo name="فلاح و علی-style 217" showFirstColumn="1" showLastColumn="1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9000000}" name="Table_218" displayName="Table_218" ref="B3660:E3661" headerRowCount="0">
  <tableColumns count="4">
    <tableColumn id="1" xr3:uid="{00000000-0010-0000-D900-000001000000}" name="Column1"/>
    <tableColumn id="2" xr3:uid="{00000000-0010-0000-D900-000002000000}" name="Column2"/>
    <tableColumn id="3" xr3:uid="{00000000-0010-0000-D900-000003000000}" name="Column3"/>
    <tableColumn id="4" xr3:uid="{00000000-0010-0000-D900-000004000000}" name="Column4"/>
  </tableColumns>
  <tableStyleInfo name="فلاح و علی-style 218" showFirstColumn="1" showLastColumn="1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A000000}" name="Table_219" displayName="Table_219" ref="B3677:E3678" headerRowCount="0">
  <tableColumns count="4">
    <tableColumn id="1" xr3:uid="{00000000-0010-0000-DA00-000001000000}" name="Column1"/>
    <tableColumn id="2" xr3:uid="{00000000-0010-0000-DA00-000002000000}" name="Column2"/>
    <tableColumn id="3" xr3:uid="{00000000-0010-0000-DA00-000003000000}" name="Column3"/>
    <tableColumn id="4" xr3:uid="{00000000-0010-0000-DA00-000004000000}" name="Column4"/>
  </tableColumns>
  <tableStyleInfo name="فلاح و علی-style 219" showFirstColumn="1" showLastColumn="1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B000000}" name="Table_220" displayName="Table_220" ref="B3695:E3696" headerRowCount="0">
  <tableColumns count="4">
    <tableColumn id="1" xr3:uid="{00000000-0010-0000-DB00-000001000000}" name="Column1"/>
    <tableColumn id="2" xr3:uid="{00000000-0010-0000-DB00-000002000000}" name="Column2"/>
    <tableColumn id="3" xr3:uid="{00000000-0010-0000-DB00-000003000000}" name="Column3"/>
    <tableColumn id="4" xr3:uid="{00000000-0010-0000-DB00-000004000000}" name="Column4"/>
  </tableColumns>
  <tableStyleInfo name="فلاح و علی-style 220" showFirstColumn="1" showLastColumn="1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C000000}" name="Table_221" displayName="Table_221" ref="B3715:E3716" headerRowCount="0">
  <tableColumns count="4">
    <tableColumn id="1" xr3:uid="{00000000-0010-0000-DC00-000001000000}" name="Column1"/>
    <tableColumn id="2" xr3:uid="{00000000-0010-0000-DC00-000002000000}" name="Column2"/>
    <tableColumn id="3" xr3:uid="{00000000-0010-0000-DC00-000003000000}" name="Column3"/>
    <tableColumn id="4" xr3:uid="{00000000-0010-0000-DC00-000004000000}" name="Column4"/>
  </tableColumns>
  <tableStyleInfo name="فلاح و علی-style 221" showFirstColumn="1" showLastColumn="1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D000000}" name="Table_222" displayName="Table_222" ref="B3731:E3732" headerRowCount="0">
  <tableColumns count="4">
    <tableColumn id="1" xr3:uid="{00000000-0010-0000-DD00-000001000000}" name="Column1"/>
    <tableColumn id="2" xr3:uid="{00000000-0010-0000-DD00-000002000000}" name="Column2"/>
    <tableColumn id="3" xr3:uid="{00000000-0010-0000-DD00-000003000000}" name="Column3"/>
    <tableColumn id="4" xr3:uid="{00000000-0010-0000-DD00-000004000000}" name="Column4"/>
  </tableColumns>
  <tableStyleInfo name="فلاح و علی-style 222" showFirstColumn="1" showLastColumn="1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E000000}" name="Table_223" displayName="Table_223" ref="B3751:E3752" headerRowCount="0">
  <tableColumns count="4">
    <tableColumn id="1" xr3:uid="{00000000-0010-0000-DE00-000001000000}" name="Column1"/>
    <tableColumn id="2" xr3:uid="{00000000-0010-0000-DE00-000002000000}" name="Column2"/>
    <tableColumn id="3" xr3:uid="{00000000-0010-0000-DE00-000003000000}" name="Column3"/>
    <tableColumn id="4" xr3:uid="{00000000-0010-0000-DE00-000004000000}" name="Column4"/>
  </tableColumns>
  <tableStyleInfo name="فلاح و علی-style 223" showFirstColumn="1" showLastColumn="1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F000000}" name="Table_224" displayName="Table_224" ref="B3766:E3767" headerRowCount="0">
  <tableColumns count="4">
    <tableColumn id="1" xr3:uid="{00000000-0010-0000-DF00-000001000000}" name="Column1"/>
    <tableColumn id="2" xr3:uid="{00000000-0010-0000-DF00-000002000000}" name="Column2"/>
    <tableColumn id="3" xr3:uid="{00000000-0010-0000-DF00-000003000000}" name="Column3"/>
    <tableColumn id="4" xr3:uid="{00000000-0010-0000-DF00-000004000000}" name="Column4"/>
  </tableColumns>
  <tableStyleInfo name="فلاح و علی-style 224" showFirstColumn="1" showLastColumn="1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E0000000}" name="Table_225" displayName="Table_225" ref="B3780:E3781" headerRowCount="0">
  <tableColumns count="4">
    <tableColumn id="1" xr3:uid="{00000000-0010-0000-E000-000001000000}" name="Column1"/>
    <tableColumn id="2" xr3:uid="{00000000-0010-0000-E000-000002000000}" name="Column2"/>
    <tableColumn id="3" xr3:uid="{00000000-0010-0000-E000-000003000000}" name="Column3"/>
    <tableColumn id="4" xr3:uid="{00000000-0010-0000-E000-000004000000}" name="Column4"/>
  </tableColumns>
  <tableStyleInfo name="فلاح و علی-style 225" showFirstColumn="1" showLastColumn="1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E1000000}" name="Table_226" displayName="Table_226" ref="B3795:E3796" headerRowCount="0">
  <tableColumns count="4">
    <tableColumn id="1" xr3:uid="{00000000-0010-0000-E100-000001000000}" name="Column1"/>
    <tableColumn id="2" xr3:uid="{00000000-0010-0000-E100-000002000000}" name="Column2"/>
    <tableColumn id="3" xr3:uid="{00000000-0010-0000-E100-000003000000}" name="Column3"/>
    <tableColumn id="4" xr3:uid="{00000000-0010-0000-E100-000004000000}" name="Column4"/>
  </tableColumns>
  <tableStyleInfo name="فلاح و علی-style 226" showFirstColumn="1" showLastColumn="1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E2000000}" name="Table_227" displayName="Table_227" ref="B3810:E3811" headerRowCount="0">
  <tableColumns count="4">
    <tableColumn id="1" xr3:uid="{00000000-0010-0000-E200-000001000000}" name="Column1"/>
    <tableColumn id="2" xr3:uid="{00000000-0010-0000-E200-000002000000}" name="Column2"/>
    <tableColumn id="3" xr3:uid="{00000000-0010-0000-E200-000003000000}" name="Column3"/>
    <tableColumn id="4" xr3:uid="{00000000-0010-0000-E200-000004000000}" name="Column4"/>
  </tableColumns>
  <tableStyleInfo name="فلاح و علی-style 227" showFirstColumn="1" showLastColumn="1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E3000000}" name="Table_228" displayName="Table_228" ref="B3825:E3826" headerRowCount="0">
  <tableColumns count="4">
    <tableColumn id="1" xr3:uid="{00000000-0010-0000-E300-000001000000}" name="Column1"/>
    <tableColumn id="2" xr3:uid="{00000000-0010-0000-E300-000002000000}" name="Column2"/>
    <tableColumn id="3" xr3:uid="{00000000-0010-0000-E300-000003000000}" name="Column3"/>
    <tableColumn id="4" xr3:uid="{00000000-0010-0000-E300-000004000000}" name="Column4"/>
  </tableColumns>
  <tableStyleInfo name="فلاح و علی-style 228" showFirstColumn="1" showLastColumn="1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E4000000}" name="Table_229" displayName="Table_229" ref="B3839:E3840" headerRowCount="0">
  <tableColumns count="4">
    <tableColumn id="1" xr3:uid="{00000000-0010-0000-E400-000001000000}" name="Column1"/>
    <tableColumn id="2" xr3:uid="{00000000-0010-0000-E400-000002000000}" name="Column2"/>
    <tableColumn id="3" xr3:uid="{00000000-0010-0000-E400-000003000000}" name="Column3"/>
    <tableColumn id="4" xr3:uid="{00000000-0010-0000-E400-000004000000}" name="Column4"/>
  </tableColumns>
  <tableStyleInfo name="فلاح و علی-style 229" showFirstColumn="1" showLastColumn="1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5000000}" name="Table_230" displayName="Table_230" ref="B3855:E3856" headerRowCount="0">
  <tableColumns count="4">
    <tableColumn id="1" xr3:uid="{00000000-0010-0000-E500-000001000000}" name="Column1"/>
    <tableColumn id="2" xr3:uid="{00000000-0010-0000-E500-000002000000}" name="Column2"/>
    <tableColumn id="3" xr3:uid="{00000000-0010-0000-E500-000003000000}" name="Column3"/>
    <tableColumn id="4" xr3:uid="{00000000-0010-0000-E500-000004000000}" name="Column4"/>
  </tableColumns>
  <tableStyleInfo name="فلاح و علی-style 230" showFirstColumn="1" showLastColumn="1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6000000}" name="Table_231" displayName="Table_231" ref="B3870:E3871" headerRowCount="0">
  <tableColumns count="4">
    <tableColumn id="1" xr3:uid="{00000000-0010-0000-E600-000001000000}" name="Column1"/>
    <tableColumn id="2" xr3:uid="{00000000-0010-0000-E600-000002000000}" name="Column2"/>
    <tableColumn id="3" xr3:uid="{00000000-0010-0000-E600-000003000000}" name="Column3"/>
    <tableColumn id="4" xr3:uid="{00000000-0010-0000-E600-000004000000}" name="Column4"/>
  </tableColumns>
  <tableStyleInfo name="فلاح و علی-style 231" showFirstColumn="1" showLastColumn="1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00000000-000C-0000-FFFF-FFFFE7000000}" name="Table_232" displayName="Table_232" ref="B3886:E3887" headerRowCount="0">
  <tableColumns count="4">
    <tableColumn id="1" xr3:uid="{00000000-0010-0000-E700-000001000000}" name="Column1"/>
    <tableColumn id="2" xr3:uid="{00000000-0010-0000-E700-000002000000}" name="Column2"/>
    <tableColumn id="3" xr3:uid="{00000000-0010-0000-E700-000003000000}" name="Column3"/>
    <tableColumn id="4" xr3:uid="{00000000-0010-0000-E700-000004000000}" name="Column4"/>
  </tableColumns>
  <tableStyleInfo name="فلاح و علی-style 232" showFirstColumn="1" showLastColumn="1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0000000-000C-0000-FFFF-FFFFE8000000}" name="Table_233" displayName="Table_233" ref="B3902:E3903" headerRowCount="0">
  <tableColumns count="4">
    <tableColumn id="1" xr3:uid="{00000000-0010-0000-E800-000001000000}" name="Column1"/>
    <tableColumn id="2" xr3:uid="{00000000-0010-0000-E800-000002000000}" name="Column2"/>
    <tableColumn id="3" xr3:uid="{00000000-0010-0000-E800-000003000000}" name="Column3"/>
    <tableColumn id="4" xr3:uid="{00000000-0010-0000-E800-000004000000}" name="Column4"/>
  </tableColumns>
  <tableStyleInfo name="فلاح و علی-style 233" showFirstColumn="1" showLastColumn="1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00000000-000C-0000-FFFF-FFFFE9000000}" name="Table_234" displayName="Table_234" ref="B3917:E3918" headerRowCount="0">
  <tableColumns count="4">
    <tableColumn id="1" xr3:uid="{00000000-0010-0000-E900-000001000000}" name="Column1"/>
    <tableColumn id="2" xr3:uid="{00000000-0010-0000-E900-000002000000}" name="Column2"/>
    <tableColumn id="3" xr3:uid="{00000000-0010-0000-E900-000003000000}" name="Column3"/>
    <tableColumn id="4" xr3:uid="{00000000-0010-0000-E900-000004000000}" name="Column4"/>
  </tableColumns>
  <tableStyleInfo name="فلاح و علی-style 234" showFirstColumn="1" showLastColumn="1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00000000-000C-0000-FFFF-FFFFEA000000}" name="Table_235" displayName="Table_235" ref="B3933:E3934" headerRowCount="0">
  <tableColumns count="4">
    <tableColumn id="1" xr3:uid="{00000000-0010-0000-EA00-000001000000}" name="Column1"/>
    <tableColumn id="2" xr3:uid="{00000000-0010-0000-EA00-000002000000}" name="Column2"/>
    <tableColumn id="3" xr3:uid="{00000000-0010-0000-EA00-000003000000}" name="Column3"/>
    <tableColumn id="4" xr3:uid="{00000000-0010-0000-EA00-000004000000}" name="Column4"/>
  </tableColumns>
  <tableStyleInfo name="فلاح و علی-style 235" showFirstColumn="1" showLastColumn="1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00000000-000C-0000-FFFF-FFFFEB000000}" name="Table_236" displayName="Table_236" ref="B3949:E3950" headerRowCount="0">
  <tableColumns count="4">
    <tableColumn id="1" xr3:uid="{00000000-0010-0000-EB00-000001000000}" name="Column1"/>
    <tableColumn id="2" xr3:uid="{00000000-0010-0000-EB00-000002000000}" name="Column2"/>
    <tableColumn id="3" xr3:uid="{00000000-0010-0000-EB00-000003000000}" name="Column3"/>
    <tableColumn id="4" xr3:uid="{00000000-0010-0000-EB00-000004000000}" name="Column4"/>
  </tableColumns>
  <tableStyleInfo name="فلاح و علی-style 236" showFirstColumn="1" showLastColumn="1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00000000-000C-0000-FFFF-FFFFEC000000}" name="Table_237" displayName="Table_237" ref="B3967:E3968" headerRowCount="0">
  <tableColumns count="4">
    <tableColumn id="1" xr3:uid="{00000000-0010-0000-EC00-000001000000}" name="Column1"/>
    <tableColumn id="2" xr3:uid="{00000000-0010-0000-EC00-000002000000}" name="Column2"/>
    <tableColumn id="3" xr3:uid="{00000000-0010-0000-EC00-000003000000}" name="Column3"/>
    <tableColumn id="4" xr3:uid="{00000000-0010-0000-EC00-000004000000}" name="Column4"/>
  </tableColumns>
  <tableStyleInfo name="فلاح و علی-style 237" showFirstColumn="1" showLastColumn="1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00000000-000C-0000-FFFF-FFFFED000000}" name="Table_238" displayName="Table_238" ref="B3985:E3986" headerRowCount="0">
  <tableColumns count="4">
    <tableColumn id="1" xr3:uid="{00000000-0010-0000-ED00-000001000000}" name="Column1"/>
    <tableColumn id="2" xr3:uid="{00000000-0010-0000-ED00-000002000000}" name="Column2"/>
    <tableColumn id="3" xr3:uid="{00000000-0010-0000-ED00-000003000000}" name="Column3"/>
    <tableColumn id="4" xr3:uid="{00000000-0010-0000-ED00-000004000000}" name="Column4"/>
  </tableColumns>
  <tableStyleInfo name="فلاح و علی-style 238" showFirstColumn="1" showLastColumn="1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00000000-000C-0000-FFFF-FFFFEE000000}" name="Table_239" displayName="Table_239" ref="B4000:E4001" headerRowCount="0">
  <tableColumns count="4">
    <tableColumn id="1" xr3:uid="{00000000-0010-0000-EE00-000001000000}" name="Column1"/>
    <tableColumn id="2" xr3:uid="{00000000-0010-0000-EE00-000002000000}" name="Column2"/>
    <tableColumn id="3" xr3:uid="{00000000-0010-0000-EE00-000003000000}" name="Column3"/>
    <tableColumn id="4" xr3:uid="{00000000-0010-0000-EE00-000004000000}" name="Column4"/>
  </tableColumns>
  <tableStyleInfo name="فلاح و علی-style 239" showFirstColumn="1" showLastColumn="1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00000000-000C-0000-FFFF-FFFFEF000000}" name="Table_240" displayName="Table_240" ref="B4015:E4016" headerRowCount="0">
  <tableColumns count="4">
    <tableColumn id="1" xr3:uid="{00000000-0010-0000-EF00-000001000000}" name="Column1"/>
    <tableColumn id="2" xr3:uid="{00000000-0010-0000-EF00-000002000000}" name="Column2"/>
    <tableColumn id="3" xr3:uid="{00000000-0010-0000-EF00-000003000000}" name="Column3"/>
    <tableColumn id="4" xr3:uid="{00000000-0010-0000-EF00-000004000000}" name="Column4"/>
  </tableColumns>
  <tableStyleInfo name="فلاح و علی-style 240" showFirstColumn="1" showLastColumn="1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00000000-000C-0000-FFFF-FFFFF0000000}" name="Table_241" displayName="Table_241" ref="B4032:E4033" headerRowCount="0">
  <tableColumns count="4">
    <tableColumn id="1" xr3:uid="{00000000-0010-0000-F000-000001000000}" name="Column1"/>
    <tableColumn id="2" xr3:uid="{00000000-0010-0000-F000-000002000000}" name="Column2"/>
    <tableColumn id="3" xr3:uid="{00000000-0010-0000-F000-000003000000}" name="Column3"/>
    <tableColumn id="4" xr3:uid="{00000000-0010-0000-F000-000004000000}" name="Column4"/>
  </tableColumns>
  <tableStyleInfo name="فلاح و علی-style 241" showFirstColumn="1" showLastColumn="1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00000000-000C-0000-FFFF-FFFFF1000000}" name="Table_242" displayName="Table_242" ref="B4046:E4047" headerRowCount="0">
  <tableColumns count="4">
    <tableColumn id="1" xr3:uid="{00000000-0010-0000-F100-000001000000}" name="Column1"/>
    <tableColumn id="2" xr3:uid="{00000000-0010-0000-F100-000002000000}" name="Column2"/>
    <tableColumn id="3" xr3:uid="{00000000-0010-0000-F100-000003000000}" name="Column3"/>
    <tableColumn id="4" xr3:uid="{00000000-0010-0000-F100-000004000000}" name="Column4"/>
  </tableColumns>
  <tableStyleInfo name="فلاح و علی-style 242" showFirstColumn="1" showLastColumn="1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00000000-000C-0000-FFFF-FFFFF2000000}" name="Table_243" displayName="Table_243" ref="B4061:E4062" headerRowCount="0">
  <tableColumns count="4">
    <tableColumn id="1" xr3:uid="{00000000-0010-0000-F200-000001000000}" name="Column1"/>
    <tableColumn id="2" xr3:uid="{00000000-0010-0000-F200-000002000000}" name="Column2"/>
    <tableColumn id="3" xr3:uid="{00000000-0010-0000-F200-000003000000}" name="Column3"/>
    <tableColumn id="4" xr3:uid="{00000000-0010-0000-F200-000004000000}" name="Column4"/>
  </tableColumns>
  <tableStyleInfo name="فلاح و علی-style 243" showFirstColumn="1" showLastColumn="1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00000000-000C-0000-FFFF-FFFFF3000000}" name="Table_244" displayName="Table_244" ref="B4076:E4077" headerRowCount="0">
  <tableColumns count="4">
    <tableColumn id="1" xr3:uid="{00000000-0010-0000-F300-000001000000}" name="Column1"/>
    <tableColumn id="2" xr3:uid="{00000000-0010-0000-F300-000002000000}" name="Column2"/>
    <tableColumn id="3" xr3:uid="{00000000-0010-0000-F300-000003000000}" name="Column3"/>
    <tableColumn id="4" xr3:uid="{00000000-0010-0000-F300-000004000000}" name="Column4"/>
  </tableColumns>
  <tableStyleInfo name="فلاح و علی-style 244" showFirstColumn="1" showLastColumn="1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00000000-000C-0000-FFFF-FFFFF4000000}" name="Table_245" displayName="Table_245" ref="B4092:E4093" headerRowCount="0">
  <tableColumns count="4">
    <tableColumn id="1" xr3:uid="{00000000-0010-0000-F400-000001000000}" name="Column1"/>
    <tableColumn id="2" xr3:uid="{00000000-0010-0000-F400-000002000000}" name="Column2"/>
    <tableColumn id="3" xr3:uid="{00000000-0010-0000-F400-000003000000}" name="Column3"/>
    <tableColumn id="4" xr3:uid="{00000000-0010-0000-F400-000004000000}" name="Column4"/>
  </tableColumns>
  <tableStyleInfo name="فلاح و علی-style 245" showFirstColumn="1" showLastColumn="1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00000000-000C-0000-FFFF-FFFFF5000000}" name="Table_246" displayName="Table_246" ref="B4110:E4111" headerRowCount="0">
  <tableColumns count="4">
    <tableColumn id="1" xr3:uid="{00000000-0010-0000-F500-000001000000}" name="Column1"/>
    <tableColumn id="2" xr3:uid="{00000000-0010-0000-F500-000002000000}" name="Column2"/>
    <tableColumn id="3" xr3:uid="{00000000-0010-0000-F500-000003000000}" name="Column3"/>
    <tableColumn id="4" xr3:uid="{00000000-0010-0000-F500-000004000000}" name="Column4"/>
  </tableColumns>
  <tableStyleInfo name="فلاح و علی-style 246" showFirstColumn="1" showLastColumn="1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00000000-000C-0000-FFFF-FFFFF6000000}" name="Table_247" displayName="Table_247" ref="B4126:E4127" headerRowCount="0">
  <tableColumns count="4">
    <tableColumn id="1" xr3:uid="{00000000-0010-0000-F600-000001000000}" name="Column1"/>
    <tableColumn id="2" xr3:uid="{00000000-0010-0000-F600-000002000000}" name="Column2"/>
    <tableColumn id="3" xr3:uid="{00000000-0010-0000-F600-000003000000}" name="Column3"/>
    <tableColumn id="4" xr3:uid="{00000000-0010-0000-F600-000004000000}" name="Column4"/>
  </tableColumns>
  <tableStyleInfo name="فلاح و علی-style 247" showFirstColumn="1" showLastColumn="1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00000000-000C-0000-FFFF-FFFFF7000000}" name="Table_248" displayName="Table_248" ref="B4142:E4143" headerRowCount="0">
  <tableColumns count="4">
    <tableColumn id="1" xr3:uid="{00000000-0010-0000-F700-000001000000}" name="Column1"/>
    <tableColumn id="2" xr3:uid="{00000000-0010-0000-F700-000002000000}" name="Column2"/>
    <tableColumn id="3" xr3:uid="{00000000-0010-0000-F700-000003000000}" name="Column3"/>
    <tableColumn id="4" xr3:uid="{00000000-0010-0000-F700-000004000000}" name="Column4"/>
  </tableColumns>
  <tableStyleInfo name="فلاح و علی-style 248" showFirstColumn="1" showLastColumn="1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00000000-000C-0000-FFFF-FFFFF8000000}" name="Table_249" displayName="Table_249" ref="B4159:E4160" headerRowCount="0">
  <tableColumns count="4">
    <tableColumn id="1" xr3:uid="{00000000-0010-0000-F800-000001000000}" name="Column1"/>
    <tableColumn id="2" xr3:uid="{00000000-0010-0000-F800-000002000000}" name="Column2"/>
    <tableColumn id="3" xr3:uid="{00000000-0010-0000-F800-000003000000}" name="Column3"/>
    <tableColumn id="4" xr3:uid="{00000000-0010-0000-F800-000004000000}" name="Column4"/>
  </tableColumns>
  <tableStyleInfo name="فلاح و علی-style 249" showFirstColumn="1" showLastColumn="1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00000000-000C-0000-FFFF-FFFFF9000000}" name="Table_250" displayName="Table_250" ref="B4175:E4176" headerRowCount="0">
  <tableColumns count="4">
    <tableColumn id="1" xr3:uid="{00000000-0010-0000-F900-000001000000}" name="Column1"/>
    <tableColumn id="2" xr3:uid="{00000000-0010-0000-F900-000002000000}" name="Column2"/>
    <tableColumn id="3" xr3:uid="{00000000-0010-0000-F900-000003000000}" name="Column3"/>
    <tableColumn id="4" xr3:uid="{00000000-0010-0000-F900-000004000000}" name="Column4"/>
  </tableColumns>
  <tableStyleInfo name="فلاح و علی-style 250" showFirstColumn="1" showLastColumn="1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00000000-000C-0000-FFFF-FFFFFA000000}" name="Table_251" displayName="Table_251" ref="B4193:E4194" headerRowCount="0">
  <tableColumns count="4">
    <tableColumn id="1" xr3:uid="{00000000-0010-0000-FA00-000001000000}" name="Column1"/>
    <tableColumn id="2" xr3:uid="{00000000-0010-0000-FA00-000002000000}" name="Column2"/>
    <tableColumn id="3" xr3:uid="{00000000-0010-0000-FA00-000003000000}" name="Column3"/>
    <tableColumn id="4" xr3:uid="{00000000-0010-0000-FA00-000004000000}" name="Column4"/>
  </tableColumns>
  <tableStyleInfo name="فلاح و علی-style 251" showFirstColumn="1" showLastColumn="1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00000000-000C-0000-FFFF-FFFFFB000000}" name="Table_252" displayName="Table_252" ref="B4211:E4212" headerRowCount="0">
  <tableColumns count="4">
    <tableColumn id="1" xr3:uid="{00000000-0010-0000-FB00-000001000000}" name="Column1"/>
    <tableColumn id="2" xr3:uid="{00000000-0010-0000-FB00-000002000000}" name="Column2"/>
    <tableColumn id="3" xr3:uid="{00000000-0010-0000-FB00-000003000000}" name="Column3"/>
    <tableColumn id="4" xr3:uid="{00000000-0010-0000-FB00-000004000000}" name="Column4"/>
  </tableColumns>
  <tableStyleInfo name="فلاح و علی-style 252" showFirstColumn="1" showLastColumn="1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00000000-000C-0000-FFFF-FFFFFC000000}" name="Table_253" displayName="Table_253" ref="B4226:E4227" headerRowCount="0">
  <tableColumns count="4">
    <tableColumn id="1" xr3:uid="{00000000-0010-0000-FC00-000001000000}" name="Column1"/>
    <tableColumn id="2" xr3:uid="{00000000-0010-0000-FC00-000002000000}" name="Column2"/>
    <tableColumn id="3" xr3:uid="{00000000-0010-0000-FC00-000003000000}" name="Column3"/>
    <tableColumn id="4" xr3:uid="{00000000-0010-0000-FC00-000004000000}" name="Column4"/>
  </tableColumns>
  <tableStyleInfo name="فلاح و علی-style 253" showFirstColumn="1" showLastColumn="1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00000000-000C-0000-FFFF-FFFFFD000000}" name="Table_254" displayName="Table_254" ref="B4243:E4244" headerRowCount="0">
  <tableColumns count="4">
    <tableColumn id="1" xr3:uid="{00000000-0010-0000-FD00-000001000000}" name="Column1"/>
    <tableColumn id="2" xr3:uid="{00000000-0010-0000-FD00-000002000000}" name="Column2"/>
    <tableColumn id="3" xr3:uid="{00000000-0010-0000-FD00-000003000000}" name="Column3"/>
    <tableColumn id="4" xr3:uid="{00000000-0010-0000-FD00-000004000000}" name="Column4"/>
  </tableColumns>
  <tableStyleInfo name="فلاح و علی-style 254" showFirstColumn="1" showLastColumn="1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00000000-000C-0000-FFFF-FFFFFE000000}" name="Table_255" displayName="Table_255" ref="B4259:E4260" headerRowCount="0">
  <tableColumns count="4">
    <tableColumn id="1" xr3:uid="{00000000-0010-0000-FE00-000001000000}" name="Column1"/>
    <tableColumn id="2" xr3:uid="{00000000-0010-0000-FE00-000002000000}" name="Column2"/>
    <tableColumn id="3" xr3:uid="{00000000-0010-0000-FE00-000003000000}" name="Column3"/>
    <tableColumn id="4" xr3:uid="{00000000-0010-0000-FE00-000004000000}" name="Column4"/>
  </tableColumns>
  <tableStyleInfo name="فلاح و علی-style 255" showFirstColumn="1" showLastColumn="1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00000000-000C-0000-FFFF-FFFFFF000000}" name="Table_256" displayName="Table_256" ref="B4277:E4278" headerRowCount="0">
  <tableColumns count="4">
    <tableColumn id="1" xr3:uid="{00000000-0010-0000-FF00-000001000000}" name="Column1"/>
    <tableColumn id="2" xr3:uid="{00000000-0010-0000-FF00-000002000000}" name="Column2"/>
    <tableColumn id="3" xr3:uid="{00000000-0010-0000-FF00-000003000000}" name="Column3"/>
    <tableColumn id="4" xr3:uid="{00000000-0010-0000-FF00-000004000000}" name="Column4"/>
  </tableColumns>
  <tableStyleInfo name="فلاح و علی-style 256" showFirstColumn="1" showLastColumn="1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00000000-000C-0000-FFFF-FFFF00010000}" name="Table_257" displayName="Table_257" ref="B4294:E4295" headerRowCount="0">
  <tableColumns count="4">
    <tableColumn id="1" xr3:uid="{00000000-0010-0000-0001-000001000000}" name="Column1"/>
    <tableColumn id="2" xr3:uid="{00000000-0010-0000-0001-000002000000}" name="Column2"/>
    <tableColumn id="3" xr3:uid="{00000000-0010-0000-0001-000003000000}" name="Column3"/>
    <tableColumn id="4" xr3:uid="{00000000-0010-0000-0001-000004000000}" name="Column4"/>
  </tableColumns>
  <tableStyleInfo name="فلاح و علی-style 257" showFirstColumn="1" showLastColumn="1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00000000-000C-0000-FFFF-FFFF01010000}" name="Table_258" displayName="Table_258" ref="B4312:E4313" headerRowCount="0">
  <tableColumns count="4">
    <tableColumn id="1" xr3:uid="{00000000-0010-0000-0101-000001000000}" name="Column1"/>
    <tableColumn id="2" xr3:uid="{00000000-0010-0000-0101-000002000000}" name="Column2"/>
    <tableColumn id="3" xr3:uid="{00000000-0010-0000-0101-000003000000}" name="Column3"/>
    <tableColumn id="4" xr3:uid="{00000000-0010-0000-0101-000004000000}" name="Column4"/>
  </tableColumns>
  <tableStyleInfo name="فلاح و علی-style 258" showFirstColumn="1" showLastColumn="1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00000000-000C-0000-FFFF-FFFF02010000}" name="Table_259" displayName="Table_259" ref="B4329:E4330" headerRowCount="0">
  <tableColumns count="4">
    <tableColumn id="1" xr3:uid="{00000000-0010-0000-0201-000001000000}" name="Column1"/>
    <tableColumn id="2" xr3:uid="{00000000-0010-0000-0201-000002000000}" name="Column2"/>
    <tableColumn id="3" xr3:uid="{00000000-0010-0000-0201-000003000000}" name="Column3"/>
    <tableColumn id="4" xr3:uid="{00000000-0010-0000-0201-000004000000}" name="Column4"/>
  </tableColumns>
  <tableStyleInfo name="فلاح و علی-style 259" showFirstColumn="1" showLastColumn="1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00000000-000C-0000-FFFF-FFFF03010000}" name="Table_260" displayName="Table_260" ref="B4345:E4346" headerRowCount="0">
  <tableColumns count="4">
    <tableColumn id="1" xr3:uid="{00000000-0010-0000-0301-000001000000}" name="Column1"/>
    <tableColumn id="2" xr3:uid="{00000000-0010-0000-0301-000002000000}" name="Column2"/>
    <tableColumn id="3" xr3:uid="{00000000-0010-0000-0301-000003000000}" name="Column3"/>
    <tableColumn id="4" xr3:uid="{00000000-0010-0000-0301-000004000000}" name="Column4"/>
  </tableColumns>
  <tableStyleInfo name="فلاح و علی-style 260" showFirstColumn="1" showLastColumn="1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00000000-000C-0000-FFFF-FFFF04010000}" name="Table_261" displayName="Table_261" ref="B4358:E4359" headerRowCount="0">
  <tableColumns count="4">
    <tableColumn id="1" xr3:uid="{00000000-0010-0000-0401-000001000000}" name="Column1"/>
    <tableColumn id="2" xr3:uid="{00000000-0010-0000-0401-000002000000}" name="Column2"/>
    <tableColumn id="3" xr3:uid="{00000000-0010-0000-0401-000003000000}" name="Column3"/>
    <tableColumn id="4" xr3:uid="{00000000-0010-0000-0401-000004000000}" name="Column4"/>
  </tableColumns>
  <tableStyleInfo name="فلاح و علی-style 261" showFirstColumn="1" showLastColumn="1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00000000-000C-0000-FFFF-FFFF05010000}" name="Table_262" displayName="Table_262" ref="B4373:E4374" headerRowCount="0">
  <tableColumns count="4">
    <tableColumn id="1" xr3:uid="{00000000-0010-0000-0501-000001000000}" name="Column1"/>
    <tableColumn id="2" xr3:uid="{00000000-0010-0000-0501-000002000000}" name="Column2"/>
    <tableColumn id="3" xr3:uid="{00000000-0010-0000-0501-000003000000}" name="Column3"/>
    <tableColumn id="4" xr3:uid="{00000000-0010-0000-0501-000004000000}" name="Column4"/>
  </tableColumns>
  <tableStyleInfo name="فلاح و علی-style 262" showFirstColumn="1" showLastColumn="1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00000000-000C-0000-FFFF-FFFF06010000}" name="Table_263" displayName="Table_263" ref="B4388:E4389" headerRowCount="0">
  <tableColumns count="4">
    <tableColumn id="1" xr3:uid="{00000000-0010-0000-0601-000001000000}" name="Column1"/>
    <tableColumn id="2" xr3:uid="{00000000-0010-0000-0601-000002000000}" name="Column2"/>
    <tableColumn id="3" xr3:uid="{00000000-0010-0000-0601-000003000000}" name="Column3"/>
    <tableColumn id="4" xr3:uid="{00000000-0010-0000-0601-000004000000}" name="Column4"/>
  </tableColumns>
  <tableStyleInfo name="فلاح و علی-style 263" showFirstColumn="1" showLastColumn="1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00000000-000C-0000-FFFF-FFFF07010000}" name="Table_264" displayName="Table_264" ref="B4402:E4403" headerRowCount="0">
  <tableColumns count="4">
    <tableColumn id="1" xr3:uid="{00000000-0010-0000-0701-000001000000}" name="Column1"/>
    <tableColumn id="2" xr3:uid="{00000000-0010-0000-0701-000002000000}" name="Column2"/>
    <tableColumn id="3" xr3:uid="{00000000-0010-0000-0701-000003000000}" name="Column3"/>
    <tableColumn id="4" xr3:uid="{00000000-0010-0000-0701-000004000000}" name="Column4"/>
  </tableColumns>
  <tableStyleInfo name="فلاح و علی-style 264" showFirstColumn="1" showLastColumn="1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00000000-000C-0000-FFFF-FFFF08010000}" name="Table_265" displayName="Table_265" ref="B4417:E4418" headerRowCount="0">
  <tableColumns count="4">
    <tableColumn id="1" xr3:uid="{00000000-0010-0000-0801-000001000000}" name="Column1"/>
    <tableColumn id="2" xr3:uid="{00000000-0010-0000-0801-000002000000}" name="Column2"/>
    <tableColumn id="3" xr3:uid="{00000000-0010-0000-0801-000003000000}" name="Column3"/>
    <tableColumn id="4" xr3:uid="{00000000-0010-0000-0801-000004000000}" name="Column4"/>
  </tableColumns>
  <tableStyleInfo name="فلاح و علی-style 265" showFirstColumn="1" showLastColumn="1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00000000-000C-0000-FFFF-FFFF09010000}" name="Table_266" displayName="Table_266" ref="B4434:E4435" headerRowCount="0">
  <tableColumns count="4">
    <tableColumn id="1" xr3:uid="{00000000-0010-0000-0901-000001000000}" name="Column1"/>
    <tableColumn id="2" xr3:uid="{00000000-0010-0000-0901-000002000000}" name="Column2"/>
    <tableColumn id="3" xr3:uid="{00000000-0010-0000-0901-000003000000}" name="Column3"/>
    <tableColumn id="4" xr3:uid="{00000000-0010-0000-0901-000004000000}" name="Column4"/>
  </tableColumns>
  <tableStyleInfo name="فلاح و علی-style 266" showFirstColumn="1" showLastColumn="1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00000000-000C-0000-FFFF-FFFF0A010000}" name="Table_267" displayName="Table_267" ref="B4448:E4449" headerRowCount="0">
  <tableColumns count="4">
    <tableColumn id="1" xr3:uid="{00000000-0010-0000-0A01-000001000000}" name="Column1"/>
    <tableColumn id="2" xr3:uid="{00000000-0010-0000-0A01-000002000000}" name="Column2"/>
    <tableColumn id="3" xr3:uid="{00000000-0010-0000-0A01-000003000000}" name="Column3"/>
    <tableColumn id="4" xr3:uid="{00000000-0010-0000-0A01-000004000000}" name="Column4"/>
  </tableColumns>
  <tableStyleInfo name="فلاح و علی-style 267" showFirstColumn="1" showLastColumn="1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00000000-000C-0000-FFFF-FFFF0B010000}" name="Table_268" displayName="Table_268" ref="B4465:E4466" headerRowCount="0">
  <tableColumns count="4">
    <tableColumn id="1" xr3:uid="{00000000-0010-0000-0B01-000001000000}" name="Column1"/>
    <tableColumn id="2" xr3:uid="{00000000-0010-0000-0B01-000002000000}" name="Column2"/>
    <tableColumn id="3" xr3:uid="{00000000-0010-0000-0B01-000003000000}" name="Column3"/>
    <tableColumn id="4" xr3:uid="{00000000-0010-0000-0B01-000004000000}" name="Column4"/>
  </tableColumns>
  <tableStyleInfo name="فلاح و علی-style 268" showFirstColumn="1" showLastColumn="1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00000000-000C-0000-FFFF-FFFF0C010000}" name="Table_269" displayName="Table_269" ref="B4483:E4484" headerRowCount="0">
  <tableColumns count="4">
    <tableColumn id="1" xr3:uid="{00000000-0010-0000-0C01-000001000000}" name="Column1"/>
    <tableColumn id="2" xr3:uid="{00000000-0010-0000-0C01-000002000000}" name="Column2"/>
    <tableColumn id="3" xr3:uid="{00000000-0010-0000-0C01-000003000000}" name="Column3"/>
    <tableColumn id="4" xr3:uid="{00000000-0010-0000-0C01-000004000000}" name="Column4"/>
  </tableColumns>
  <tableStyleInfo name="فلاح و علی-style 269" showFirstColumn="1" showLastColumn="1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00000000-000C-0000-FFFF-FFFF0D010000}" name="Table_270" displayName="Table_270" ref="B4499:E4500" headerRowCount="0">
  <tableColumns count="4">
    <tableColumn id="1" xr3:uid="{00000000-0010-0000-0D01-000001000000}" name="Column1"/>
    <tableColumn id="2" xr3:uid="{00000000-0010-0000-0D01-000002000000}" name="Column2"/>
    <tableColumn id="3" xr3:uid="{00000000-0010-0000-0D01-000003000000}" name="Column3"/>
    <tableColumn id="4" xr3:uid="{00000000-0010-0000-0D01-000004000000}" name="Column4"/>
  </tableColumns>
  <tableStyleInfo name="فلاح و علی-style 270" showFirstColumn="1" showLastColumn="1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00000000-000C-0000-FFFF-FFFF0E010000}" name="Table_271" displayName="Table_271" ref="B4515:E4516" headerRowCount="0">
  <tableColumns count="4">
    <tableColumn id="1" xr3:uid="{00000000-0010-0000-0E01-000001000000}" name="Column1"/>
    <tableColumn id="2" xr3:uid="{00000000-0010-0000-0E01-000002000000}" name="Column2"/>
    <tableColumn id="3" xr3:uid="{00000000-0010-0000-0E01-000003000000}" name="Column3"/>
    <tableColumn id="4" xr3:uid="{00000000-0010-0000-0E01-000004000000}" name="Column4"/>
  </tableColumns>
  <tableStyleInfo name="فلاح و علی-style 271" showFirstColumn="1" showLastColumn="1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00000000-000C-0000-FFFF-FFFF0F010000}" name="Table_272" displayName="Table_272" ref="B4534:E4535" headerRowCount="0">
  <tableColumns count="4">
    <tableColumn id="1" xr3:uid="{00000000-0010-0000-0F01-000001000000}" name="Column1"/>
    <tableColumn id="2" xr3:uid="{00000000-0010-0000-0F01-000002000000}" name="Column2"/>
    <tableColumn id="3" xr3:uid="{00000000-0010-0000-0F01-000003000000}" name="Column3"/>
    <tableColumn id="4" xr3:uid="{00000000-0010-0000-0F01-000004000000}" name="Column4"/>
  </tableColumns>
  <tableStyleInfo name="فلاح و علی-style 272" showFirstColumn="1" showLastColumn="1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00000000-000C-0000-FFFF-FFFF10010000}" name="Table_273" displayName="Table_273" ref="B4551:E4552" headerRowCount="0">
  <tableColumns count="4">
    <tableColumn id="1" xr3:uid="{00000000-0010-0000-1001-000001000000}" name="Column1"/>
    <tableColumn id="2" xr3:uid="{00000000-0010-0000-1001-000002000000}" name="Column2"/>
    <tableColumn id="3" xr3:uid="{00000000-0010-0000-1001-000003000000}" name="Column3"/>
    <tableColumn id="4" xr3:uid="{00000000-0010-0000-1001-000004000000}" name="Column4"/>
  </tableColumns>
  <tableStyleInfo name="فلاح و علی-style 273" showFirstColumn="1" showLastColumn="1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00000000-000C-0000-FFFF-FFFF11010000}" name="Table_274" displayName="Table_274" ref="B4570:E4571" headerRowCount="0">
  <tableColumns count="4">
    <tableColumn id="1" xr3:uid="{00000000-0010-0000-1101-000001000000}" name="Column1"/>
    <tableColumn id="2" xr3:uid="{00000000-0010-0000-1101-000002000000}" name="Column2"/>
    <tableColumn id="3" xr3:uid="{00000000-0010-0000-1101-000003000000}" name="Column3"/>
    <tableColumn id="4" xr3:uid="{00000000-0010-0000-1101-000004000000}" name="Column4"/>
  </tableColumns>
  <tableStyleInfo name="فلاح و علی-style 274" showFirstColumn="1" showLastColumn="1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00000000-000C-0000-FFFF-FFFF12010000}" name="Table_275" displayName="Table_275" ref="B4588:E4589" headerRowCount="0">
  <tableColumns count="4">
    <tableColumn id="1" xr3:uid="{00000000-0010-0000-1201-000001000000}" name="Column1"/>
    <tableColumn id="2" xr3:uid="{00000000-0010-0000-1201-000002000000}" name="Column2"/>
    <tableColumn id="3" xr3:uid="{00000000-0010-0000-1201-000003000000}" name="Column3"/>
    <tableColumn id="4" xr3:uid="{00000000-0010-0000-1201-000004000000}" name="Column4"/>
  </tableColumns>
  <tableStyleInfo name="فلاح و علی-style 275" showFirstColumn="1" showLastColumn="1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00000000-000C-0000-FFFF-FFFF13010000}" name="Table_276" displayName="Table_276" ref="B4606:E4607" headerRowCount="0">
  <tableColumns count="4">
    <tableColumn id="1" xr3:uid="{00000000-0010-0000-1301-000001000000}" name="Column1"/>
    <tableColumn id="2" xr3:uid="{00000000-0010-0000-1301-000002000000}" name="Column2"/>
    <tableColumn id="3" xr3:uid="{00000000-0010-0000-1301-000003000000}" name="Column3"/>
    <tableColumn id="4" xr3:uid="{00000000-0010-0000-1301-000004000000}" name="Column4"/>
  </tableColumns>
  <tableStyleInfo name="فلاح و علی-style 276" showFirstColumn="1" showLastColumn="1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xr:uid="{00000000-000C-0000-FFFF-FFFF14010000}" name="Table_277" displayName="Table_277" ref="B4623:E4624" headerRowCount="0">
  <tableColumns count="4">
    <tableColumn id="1" xr3:uid="{00000000-0010-0000-1401-000001000000}" name="Column1"/>
    <tableColumn id="2" xr3:uid="{00000000-0010-0000-1401-000002000000}" name="Column2"/>
    <tableColumn id="3" xr3:uid="{00000000-0010-0000-1401-000003000000}" name="Column3"/>
    <tableColumn id="4" xr3:uid="{00000000-0010-0000-1401-000004000000}" name="Column4"/>
  </tableColumns>
  <tableStyleInfo name="فلاح و علی-style 277" showFirstColumn="1" showLastColumn="1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xr:uid="{00000000-000C-0000-FFFF-FFFF15010000}" name="Table_278" displayName="Table_278" ref="B4645:E4646" headerRowCount="0">
  <tableColumns count="4">
    <tableColumn id="1" xr3:uid="{00000000-0010-0000-1501-000001000000}" name="Column1"/>
    <tableColumn id="2" xr3:uid="{00000000-0010-0000-1501-000002000000}" name="Column2"/>
    <tableColumn id="3" xr3:uid="{00000000-0010-0000-1501-000003000000}" name="Column3"/>
    <tableColumn id="4" xr3:uid="{00000000-0010-0000-1501-000004000000}" name="Column4"/>
  </tableColumns>
  <tableStyleInfo name="فلاح و علی-style 278" showFirstColumn="1" showLastColumn="1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00000000-000C-0000-FFFF-FFFF16010000}" name="Table_279" displayName="Table_279" ref="B4658:E4659" headerRowCount="0">
  <tableColumns count="4">
    <tableColumn id="1" xr3:uid="{00000000-0010-0000-1601-000001000000}" name="Column1"/>
    <tableColumn id="2" xr3:uid="{00000000-0010-0000-1601-000002000000}" name="Column2"/>
    <tableColumn id="3" xr3:uid="{00000000-0010-0000-1601-000003000000}" name="Column3"/>
    <tableColumn id="4" xr3:uid="{00000000-0010-0000-1601-000004000000}" name="Column4"/>
  </tableColumns>
  <tableStyleInfo name="فلاح و علی-style 279" showFirstColumn="1" showLastColumn="1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00000000-000C-0000-FFFF-FFFF17010000}" name="Table_280" displayName="Table_280" ref="B4677:E4678" headerRowCount="0">
  <tableColumns count="4">
    <tableColumn id="1" xr3:uid="{00000000-0010-0000-1701-000001000000}" name="Column1"/>
    <tableColumn id="2" xr3:uid="{00000000-0010-0000-1701-000002000000}" name="Column2"/>
    <tableColumn id="3" xr3:uid="{00000000-0010-0000-1701-000003000000}" name="Column3"/>
    <tableColumn id="4" xr3:uid="{00000000-0010-0000-1701-000004000000}" name="Column4"/>
  </tableColumns>
  <tableStyleInfo name="فلاح و علی-style 280" showFirstColumn="1" showLastColumn="1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00000000-000C-0000-FFFF-FFFF18010000}" name="Table_281" displayName="Table_281" ref="B4694:E4695" headerRowCount="0">
  <tableColumns count="4">
    <tableColumn id="1" xr3:uid="{00000000-0010-0000-1801-000001000000}" name="Column1"/>
    <tableColumn id="2" xr3:uid="{00000000-0010-0000-1801-000002000000}" name="Column2"/>
    <tableColumn id="3" xr3:uid="{00000000-0010-0000-1801-000003000000}" name="Column3"/>
    <tableColumn id="4" xr3:uid="{00000000-0010-0000-1801-000004000000}" name="Column4"/>
  </tableColumns>
  <tableStyleInfo name="فلاح و علی-style 281" showFirstColumn="1" showLastColumn="1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00000000-000C-0000-FFFF-FFFF19010000}" name="Table_282" displayName="Table_282" ref="B4710:E4711" headerRowCount="0">
  <tableColumns count="4">
    <tableColumn id="1" xr3:uid="{00000000-0010-0000-1901-000001000000}" name="Column1"/>
    <tableColumn id="2" xr3:uid="{00000000-0010-0000-1901-000002000000}" name="Column2"/>
    <tableColumn id="3" xr3:uid="{00000000-0010-0000-1901-000003000000}" name="Column3"/>
    <tableColumn id="4" xr3:uid="{00000000-0010-0000-1901-000004000000}" name="Column4"/>
  </tableColumns>
  <tableStyleInfo name="فلاح و علی-style 282" showFirstColumn="1" showLastColumn="1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00000000-000C-0000-FFFF-FFFF1A010000}" name="Table_283" displayName="Table_283" ref="B4727:E4728" headerRowCount="0">
  <tableColumns count="4">
    <tableColumn id="1" xr3:uid="{00000000-0010-0000-1A01-000001000000}" name="Column1"/>
    <tableColumn id="2" xr3:uid="{00000000-0010-0000-1A01-000002000000}" name="Column2"/>
    <tableColumn id="3" xr3:uid="{00000000-0010-0000-1A01-000003000000}" name="Column3"/>
    <tableColumn id="4" xr3:uid="{00000000-0010-0000-1A01-000004000000}" name="Column4"/>
  </tableColumns>
  <tableStyleInfo name="فلاح و علی-style 283" showFirstColumn="1" showLastColumn="1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00000000-000C-0000-FFFF-FFFF1B010000}" name="Table_284" displayName="Table_284" ref="B4742:E4743" headerRowCount="0">
  <tableColumns count="4">
    <tableColumn id="1" xr3:uid="{00000000-0010-0000-1B01-000001000000}" name="Column1"/>
    <tableColumn id="2" xr3:uid="{00000000-0010-0000-1B01-000002000000}" name="Column2"/>
    <tableColumn id="3" xr3:uid="{00000000-0010-0000-1B01-000003000000}" name="Column3"/>
    <tableColumn id="4" xr3:uid="{00000000-0010-0000-1B01-000004000000}" name="Column4"/>
  </tableColumns>
  <tableStyleInfo name="فلاح و علی-style 284" showFirstColumn="1" showLastColumn="1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00000000-000C-0000-FFFF-FFFF1C010000}" name="Table_285" displayName="Table_285" ref="B4757:E4758" headerRowCount="0">
  <tableColumns count="4">
    <tableColumn id="1" xr3:uid="{00000000-0010-0000-1C01-000001000000}" name="Column1"/>
    <tableColumn id="2" xr3:uid="{00000000-0010-0000-1C01-000002000000}" name="Column2"/>
    <tableColumn id="3" xr3:uid="{00000000-0010-0000-1C01-000003000000}" name="Column3"/>
    <tableColumn id="4" xr3:uid="{00000000-0010-0000-1C01-000004000000}" name="Column4"/>
  </tableColumns>
  <tableStyleInfo name="فلاح و علی-style 285" showFirstColumn="1" showLastColumn="1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00000000-000C-0000-FFFF-FFFF1D010000}" name="Table_286" displayName="Table_286" ref="B4775:E4776" headerRowCount="0">
  <tableColumns count="4">
    <tableColumn id="1" xr3:uid="{00000000-0010-0000-1D01-000001000000}" name="Column1"/>
    <tableColumn id="2" xr3:uid="{00000000-0010-0000-1D01-000002000000}" name="Column2"/>
    <tableColumn id="3" xr3:uid="{00000000-0010-0000-1D01-000003000000}" name="Column3"/>
    <tableColumn id="4" xr3:uid="{00000000-0010-0000-1D01-000004000000}" name="Column4"/>
  </tableColumns>
  <tableStyleInfo name="فلاح و علی-style 286" showFirstColumn="1" showLastColumn="1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xr:uid="{00000000-000C-0000-FFFF-FFFF1E010000}" name="Table_287" displayName="Table_287" ref="B4789:E4790" headerRowCount="0">
  <tableColumns count="4">
    <tableColumn id="1" xr3:uid="{00000000-0010-0000-1E01-000001000000}" name="Column1"/>
    <tableColumn id="2" xr3:uid="{00000000-0010-0000-1E01-000002000000}" name="Column2"/>
    <tableColumn id="3" xr3:uid="{00000000-0010-0000-1E01-000003000000}" name="Column3"/>
    <tableColumn id="4" xr3:uid="{00000000-0010-0000-1E01-000004000000}" name="Column4"/>
  </tableColumns>
  <tableStyleInfo name="فلاح و علی-style 287" showFirstColumn="1" showLastColumn="1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00000000-000C-0000-FFFF-FFFF1F010000}" name="Table_288" displayName="Table_288" ref="D4803:E4804" headerRowCount="0">
  <tableColumns count="2">
    <tableColumn id="1" xr3:uid="{00000000-0010-0000-1F01-000001000000}" name="Column1"/>
    <tableColumn id="2" xr3:uid="{00000000-0010-0000-1F01-000002000000}" name="Column2"/>
  </tableColumns>
  <tableStyleInfo name="فلاح و علی-style 288" showFirstColumn="1" showLastColumn="1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00000000-000C-0000-FFFF-FFFF20010000}" name="Table_289" displayName="Table_289" ref="B4818:E4819" headerRowCount="0">
  <tableColumns count="4">
    <tableColumn id="1" xr3:uid="{00000000-0010-0000-2001-000001000000}" name="Column1"/>
    <tableColumn id="2" xr3:uid="{00000000-0010-0000-2001-000002000000}" name="Column2"/>
    <tableColumn id="3" xr3:uid="{00000000-0010-0000-2001-000003000000}" name="Column3"/>
    <tableColumn id="4" xr3:uid="{00000000-0010-0000-2001-000004000000}" name="Column4"/>
  </tableColumns>
  <tableStyleInfo name="فلاح و علی-style 289" showFirstColumn="1" showLastColumn="1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00000000-000C-0000-FFFF-FFFF21010000}" name="Table_290" displayName="Table_290" ref="B4835:E4836" headerRowCount="0">
  <tableColumns count="4">
    <tableColumn id="1" xr3:uid="{00000000-0010-0000-2101-000001000000}" name="Column1"/>
    <tableColumn id="2" xr3:uid="{00000000-0010-0000-2101-000002000000}" name="Column2"/>
    <tableColumn id="3" xr3:uid="{00000000-0010-0000-2101-000003000000}" name="Column3"/>
    <tableColumn id="4" xr3:uid="{00000000-0010-0000-2101-000004000000}" name="Column4"/>
  </tableColumns>
  <tableStyleInfo name="فلاح و علی-style 290" showFirstColumn="1" showLastColumn="1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00000000-000C-0000-FFFF-FFFF22010000}" name="Table_291" displayName="Table_291" ref="B4850:E4851" headerRowCount="0">
  <tableColumns count="4">
    <tableColumn id="1" xr3:uid="{00000000-0010-0000-2201-000001000000}" name="Column1"/>
    <tableColumn id="2" xr3:uid="{00000000-0010-0000-2201-000002000000}" name="Column2"/>
    <tableColumn id="3" xr3:uid="{00000000-0010-0000-2201-000003000000}" name="Column3"/>
    <tableColumn id="4" xr3:uid="{00000000-0010-0000-2201-000004000000}" name="Column4"/>
  </tableColumns>
  <tableStyleInfo name="فلاح و علی-style 291" showFirstColumn="1" showLastColumn="1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00000000-000C-0000-FFFF-FFFF23010000}" name="Table_292" displayName="Table_292" ref="B4868:E4869" headerRowCount="0">
  <tableColumns count="4">
    <tableColumn id="1" xr3:uid="{00000000-0010-0000-2301-000001000000}" name="Column1"/>
    <tableColumn id="2" xr3:uid="{00000000-0010-0000-2301-000002000000}" name="Column2"/>
    <tableColumn id="3" xr3:uid="{00000000-0010-0000-2301-000003000000}" name="Column3"/>
    <tableColumn id="4" xr3:uid="{00000000-0010-0000-2301-000004000000}" name="Column4"/>
  </tableColumns>
  <tableStyleInfo name="فلاح و علی-style 292" showFirstColumn="1" showLastColumn="1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00000000-000C-0000-FFFF-FFFF24010000}" name="Table_293" displayName="Table_293" ref="B4886:E4887" headerRowCount="0">
  <tableColumns count="4">
    <tableColumn id="1" xr3:uid="{00000000-0010-0000-2401-000001000000}" name="Column1"/>
    <tableColumn id="2" xr3:uid="{00000000-0010-0000-2401-000002000000}" name="Column2"/>
    <tableColumn id="3" xr3:uid="{00000000-0010-0000-2401-000003000000}" name="Column3"/>
    <tableColumn id="4" xr3:uid="{00000000-0010-0000-2401-000004000000}" name="Column4"/>
  </tableColumns>
  <tableStyleInfo name="فلاح و علی-style 293" showFirstColumn="1" showLastColumn="1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00000000-000C-0000-FFFF-FFFF25010000}" name="Table_294" displayName="Table_294" ref="B4902:E4903" headerRowCount="0">
  <tableColumns count="4">
    <tableColumn id="1" xr3:uid="{00000000-0010-0000-2501-000001000000}" name="Column1"/>
    <tableColumn id="2" xr3:uid="{00000000-0010-0000-2501-000002000000}" name="Column2"/>
    <tableColumn id="3" xr3:uid="{00000000-0010-0000-2501-000003000000}" name="Column3"/>
    <tableColumn id="4" xr3:uid="{00000000-0010-0000-2501-000004000000}" name="Column4"/>
  </tableColumns>
  <tableStyleInfo name="فلاح و علی-style 294" showFirstColumn="1" showLastColumn="1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00000000-000C-0000-FFFF-FFFF26010000}" name="Table_295" displayName="Table_295" ref="B4918:E4919" headerRowCount="0">
  <tableColumns count="4">
    <tableColumn id="1" xr3:uid="{00000000-0010-0000-2601-000001000000}" name="Column1"/>
    <tableColumn id="2" xr3:uid="{00000000-0010-0000-2601-000002000000}" name="Column2"/>
    <tableColumn id="3" xr3:uid="{00000000-0010-0000-2601-000003000000}" name="Column3"/>
    <tableColumn id="4" xr3:uid="{00000000-0010-0000-2601-000004000000}" name="Column4"/>
  </tableColumns>
  <tableStyleInfo name="فلاح و علی-style 295" showFirstColumn="1" showLastColumn="1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00000000-000C-0000-FFFF-FFFF27010000}" name="Table_296" displayName="Table_296" ref="B4934:E4935" headerRowCount="0">
  <tableColumns count="4">
    <tableColumn id="1" xr3:uid="{00000000-0010-0000-2701-000001000000}" name="Column1"/>
    <tableColumn id="2" xr3:uid="{00000000-0010-0000-2701-000002000000}" name="Column2"/>
    <tableColumn id="3" xr3:uid="{00000000-0010-0000-2701-000003000000}" name="Column3"/>
    <tableColumn id="4" xr3:uid="{00000000-0010-0000-2701-000004000000}" name="Column4"/>
  </tableColumns>
  <tableStyleInfo name="فلاح و علی-style 296" showFirstColumn="1" showLastColumn="1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00000000-000C-0000-FFFF-FFFF28010000}" name="Table_297" displayName="Table_297" ref="B4949:E4950" headerRowCount="0">
  <tableColumns count="4">
    <tableColumn id="1" xr3:uid="{00000000-0010-0000-2801-000001000000}" name="Column1"/>
    <tableColumn id="2" xr3:uid="{00000000-0010-0000-2801-000002000000}" name="Column2"/>
    <tableColumn id="3" xr3:uid="{00000000-0010-0000-2801-000003000000}" name="Column3"/>
    <tableColumn id="4" xr3:uid="{00000000-0010-0000-2801-000004000000}" name="Column4"/>
  </tableColumns>
  <tableStyleInfo name="فلاح و علی-style 297" showFirstColumn="1" showLastColumn="1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xr:uid="{00000000-000C-0000-FFFF-FFFF29010000}" name="Table_298" displayName="Table_298" ref="B4966:E4967" headerRowCount="0">
  <tableColumns count="4">
    <tableColumn id="1" xr3:uid="{00000000-0010-0000-2901-000001000000}" name="Column1"/>
    <tableColumn id="2" xr3:uid="{00000000-0010-0000-2901-000002000000}" name="Column2"/>
    <tableColumn id="3" xr3:uid="{00000000-0010-0000-2901-000003000000}" name="Column3"/>
    <tableColumn id="4" xr3:uid="{00000000-0010-0000-2901-000004000000}" name="Column4"/>
  </tableColumns>
  <tableStyleInfo name="فلاح و علی-style 298" showFirstColumn="1" showLastColumn="1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xr:uid="{00000000-000C-0000-FFFF-FFFF2A010000}" name="Table_299" displayName="Table_299" ref="B4982:E4983" headerRowCount="0">
  <tableColumns count="4">
    <tableColumn id="1" xr3:uid="{00000000-0010-0000-2A01-000001000000}" name="Column1"/>
    <tableColumn id="2" xr3:uid="{00000000-0010-0000-2A01-000002000000}" name="Column2"/>
    <tableColumn id="3" xr3:uid="{00000000-0010-0000-2A01-000003000000}" name="Column3"/>
    <tableColumn id="4" xr3:uid="{00000000-0010-0000-2A01-000004000000}" name="Column4"/>
  </tableColumns>
  <tableStyleInfo name="فلاح و علی-style 299" showFirstColumn="1" showLastColumn="1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00000000-000C-0000-FFFF-FFFF2B010000}" name="Table_300" displayName="Table_300" ref="B5000:E5001" headerRowCount="0">
  <tableColumns count="4">
    <tableColumn id="1" xr3:uid="{00000000-0010-0000-2B01-000001000000}" name="Column1"/>
    <tableColumn id="2" xr3:uid="{00000000-0010-0000-2B01-000002000000}" name="Column2"/>
    <tableColumn id="3" xr3:uid="{00000000-0010-0000-2B01-000003000000}" name="Column3"/>
    <tableColumn id="4" xr3:uid="{00000000-0010-0000-2B01-000004000000}" name="Column4"/>
  </tableColumns>
  <tableStyleInfo name="فلاح و علی-style 300" showFirstColumn="1" showLastColumn="1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00000000-000C-0000-FFFF-FFFF2C010000}" name="Table_301" displayName="Table_301" ref="B5015:E5016" headerRowCount="0">
  <tableColumns count="4">
    <tableColumn id="1" xr3:uid="{00000000-0010-0000-2C01-000001000000}" name="Column1"/>
    <tableColumn id="2" xr3:uid="{00000000-0010-0000-2C01-000002000000}" name="Column2"/>
    <tableColumn id="3" xr3:uid="{00000000-0010-0000-2C01-000003000000}" name="Column3"/>
    <tableColumn id="4" xr3:uid="{00000000-0010-0000-2C01-000004000000}" name="Column4"/>
  </tableColumns>
  <tableStyleInfo name="فلاح و علی-style 301" showFirstColumn="1" showLastColumn="1" showRowStripes="1" showColumnStripes="0"/>
</table>
</file>

<file path=xl/tables/table3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xr:uid="{00000000-000C-0000-FFFF-FFFF2D010000}" name="Table_302" displayName="Table_302" ref="B5030:E5031" headerRowCount="0">
  <tableColumns count="4">
    <tableColumn id="1" xr3:uid="{00000000-0010-0000-2D01-000001000000}" name="Column1"/>
    <tableColumn id="2" xr3:uid="{00000000-0010-0000-2D01-000002000000}" name="Column2"/>
    <tableColumn id="3" xr3:uid="{00000000-0010-0000-2D01-000003000000}" name="Column3"/>
    <tableColumn id="4" xr3:uid="{00000000-0010-0000-2D01-000004000000}" name="Column4"/>
  </tableColumns>
  <tableStyleInfo name="فلاح و علی-style 302" showFirstColumn="1" showLastColumn="1" showRowStripes="1" showColumnStripes="0"/>
</table>
</file>

<file path=xl/tables/table3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3" xr:uid="{00000000-000C-0000-FFFF-FFFF2E010000}" name="Table_303" displayName="Table_303" ref="B5045:E5046" headerRowCount="0">
  <tableColumns count="4">
    <tableColumn id="1" xr3:uid="{00000000-0010-0000-2E01-000001000000}" name="Column1"/>
    <tableColumn id="2" xr3:uid="{00000000-0010-0000-2E01-000002000000}" name="Column2"/>
    <tableColumn id="3" xr3:uid="{00000000-0010-0000-2E01-000003000000}" name="Column3"/>
    <tableColumn id="4" xr3:uid="{00000000-0010-0000-2E01-000004000000}" name="Column4"/>
  </tableColumns>
  <tableStyleInfo name="فلاح و علی-style 303" showFirstColumn="1" showLastColumn="1" showRowStripes="1" showColumnStripes="0"/>
</table>
</file>

<file path=xl/tables/table3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4" xr:uid="{00000000-000C-0000-FFFF-FFFF2F010000}" name="Table_304" displayName="Table_304" ref="B5061:E5062" headerRowCount="0">
  <tableColumns count="4">
    <tableColumn id="1" xr3:uid="{00000000-0010-0000-2F01-000001000000}" name="Column1"/>
    <tableColumn id="2" xr3:uid="{00000000-0010-0000-2F01-000002000000}" name="Column2"/>
    <tableColumn id="3" xr3:uid="{00000000-0010-0000-2F01-000003000000}" name="Column3"/>
    <tableColumn id="4" xr3:uid="{00000000-0010-0000-2F01-000004000000}" name="Column4"/>
  </tableColumns>
  <tableStyleInfo name="فلاح و علی-style 304" showFirstColumn="1" showLastColumn="1" showRowStripes="1" showColumnStripes="0"/>
</table>
</file>

<file path=xl/tables/table3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xr:uid="{00000000-000C-0000-FFFF-FFFF30010000}" name="Table_305" displayName="Table_305" ref="B5077:E5078" headerRowCount="0">
  <tableColumns count="4">
    <tableColumn id="1" xr3:uid="{00000000-0010-0000-3001-000001000000}" name="Column1"/>
    <tableColumn id="2" xr3:uid="{00000000-0010-0000-3001-000002000000}" name="Column2"/>
    <tableColumn id="3" xr3:uid="{00000000-0010-0000-3001-000003000000}" name="Column3"/>
    <tableColumn id="4" xr3:uid="{00000000-0010-0000-3001-000004000000}" name="Column4"/>
  </tableColumns>
  <tableStyleInfo name="فلاح و علی-style 305" showFirstColumn="1" showLastColumn="1" showRowStripes="1" showColumnStripes="0"/>
</table>
</file>

<file path=xl/tables/table3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6" xr:uid="{00000000-000C-0000-FFFF-FFFF31010000}" name="Table_306" displayName="Table_306" ref="B5091:E5092" headerRowCount="0">
  <tableColumns count="4">
    <tableColumn id="1" xr3:uid="{00000000-0010-0000-3101-000001000000}" name="Column1"/>
    <tableColumn id="2" xr3:uid="{00000000-0010-0000-3101-000002000000}" name="Column2"/>
    <tableColumn id="3" xr3:uid="{00000000-0010-0000-3101-000003000000}" name="Column3"/>
    <tableColumn id="4" xr3:uid="{00000000-0010-0000-3101-000004000000}" name="Column4"/>
  </tableColumns>
  <tableStyleInfo name="فلاح و علی-style 306" showFirstColumn="1" showLastColumn="1" showRowStripes="1" showColumnStripes="0"/>
</table>
</file>

<file path=xl/tables/table3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xr:uid="{00000000-000C-0000-FFFF-FFFF32010000}" name="Table_307" displayName="Table_307" ref="B5106:E5107" headerRowCount="0">
  <tableColumns count="4">
    <tableColumn id="1" xr3:uid="{00000000-0010-0000-3201-000001000000}" name="Column1"/>
    <tableColumn id="2" xr3:uid="{00000000-0010-0000-3201-000002000000}" name="Column2"/>
    <tableColumn id="3" xr3:uid="{00000000-0010-0000-3201-000003000000}" name="Column3"/>
    <tableColumn id="4" xr3:uid="{00000000-0010-0000-3201-000004000000}" name="Column4"/>
  </tableColumns>
  <tableStyleInfo name="فلاح و علی-style 307" showFirstColumn="1" showLastColumn="1" showRowStripes="1" showColumnStripes="0"/>
</table>
</file>

<file path=xl/tables/table3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8" xr:uid="{00000000-000C-0000-FFFF-FFFF33010000}" name="Table_308" displayName="Table_308" ref="B5121:E5122" headerRowCount="0">
  <tableColumns count="4">
    <tableColumn id="1" xr3:uid="{00000000-0010-0000-3301-000001000000}" name="Column1"/>
    <tableColumn id="2" xr3:uid="{00000000-0010-0000-3301-000002000000}" name="Column2"/>
    <tableColumn id="3" xr3:uid="{00000000-0010-0000-3301-000003000000}" name="Column3"/>
    <tableColumn id="4" xr3:uid="{00000000-0010-0000-3301-000004000000}" name="Column4"/>
  </tableColumns>
  <tableStyleInfo name="فلاح و علی-style 308" showFirstColumn="1" showLastColumn="1" showRowStripes="1" showColumnStripes="0"/>
</table>
</file>

<file path=xl/tables/table3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xr:uid="{00000000-000C-0000-FFFF-FFFF34010000}" name="Table_309" displayName="Table_309" ref="B5138:E5139" headerRowCount="0">
  <tableColumns count="4">
    <tableColumn id="1" xr3:uid="{00000000-0010-0000-3401-000001000000}" name="Column1"/>
    <tableColumn id="2" xr3:uid="{00000000-0010-0000-3401-000002000000}" name="Column2"/>
    <tableColumn id="3" xr3:uid="{00000000-0010-0000-3401-000003000000}" name="Column3"/>
    <tableColumn id="4" xr3:uid="{00000000-0010-0000-3401-000004000000}" name="Column4"/>
  </tableColumns>
  <tableStyleInfo name="فلاح و علی-style 309" showFirstColumn="1" showLastColumn="1" showRowStripes="1" showColumnStripes="0"/>
</table>
</file>

<file path=xl/tables/table3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xr:uid="{00000000-000C-0000-FFFF-FFFF35010000}" name="Table_310" displayName="Table_310" ref="B5153:E5154" headerRowCount="0">
  <tableColumns count="4">
    <tableColumn id="1" xr3:uid="{00000000-0010-0000-3501-000001000000}" name="Column1"/>
    <tableColumn id="2" xr3:uid="{00000000-0010-0000-3501-000002000000}" name="Column2"/>
    <tableColumn id="3" xr3:uid="{00000000-0010-0000-3501-000003000000}" name="Column3"/>
    <tableColumn id="4" xr3:uid="{00000000-0010-0000-3501-000004000000}" name="Column4"/>
  </tableColumns>
  <tableStyleInfo name="فلاح و علی-style 310" showFirstColumn="1" showLastColumn="1" showRowStripes="1" showColumnStripes="0"/>
</table>
</file>

<file path=xl/tables/table3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1" xr:uid="{00000000-000C-0000-FFFF-FFFF36010000}" name="Table_311" displayName="Table_311" ref="B5171:E5172" headerRowCount="0">
  <tableColumns count="4">
    <tableColumn id="1" xr3:uid="{00000000-0010-0000-3601-000001000000}" name="Column1"/>
    <tableColumn id="2" xr3:uid="{00000000-0010-0000-3601-000002000000}" name="Column2"/>
    <tableColumn id="3" xr3:uid="{00000000-0010-0000-3601-000003000000}" name="Column3"/>
    <tableColumn id="4" xr3:uid="{00000000-0010-0000-3601-000004000000}" name="Column4"/>
  </tableColumns>
  <tableStyleInfo name="فلاح و علی-style 311" showFirstColumn="1" showLastColumn="1" showRowStripes="1" showColumnStripes="0"/>
</table>
</file>

<file path=xl/tables/table3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2" xr:uid="{00000000-000C-0000-FFFF-FFFF37010000}" name="Table_312" displayName="Table_312" ref="B5190:E5191" headerRowCount="0">
  <tableColumns count="4">
    <tableColumn id="1" xr3:uid="{00000000-0010-0000-3701-000001000000}" name="Column1"/>
    <tableColumn id="2" xr3:uid="{00000000-0010-0000-3701-000002000000}" name="Column2"/>
    <tableColumn id="3" xr3:uid="{00000000-0010-0000-3701-000003000000}" name="Column3"/>
    <tableColumn id="4" xr3:uid="{00000000-0010-0000-3701-000004000000}" name="Column4"/>
  </tableColumns>
  <tableStyleInfo name="فلاح و علی-style 312" showFirstColumn="1" showLastColumn="1" showRowStripes="1" showColumnStripes="0"/>
</table>
</file>

<file path=xl/tables/table3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3" xr:uid="{00000000-000C-0000-FFFF-FFFF38010000}" name="Table_313" displayName="Table_313" ref="B5206:E5207" headerRowCount="0">
  <tableColumns count="4">
    <tableColumn id="1" xr3:uid="{00000000-0010-0000-3801-000001000000}" name="Column1"/>
    <tableColumn id="2" xr3:uid="{00000000-0010-0000-3801-000002000000}" name="Column2"/>
    <tableColumn id="3" xr3:uid="{00000000-0010-0000-3801-000003000000}" name="Column3"/>
    <tableColumn id="4" xr3:uid="{00000000-0010-0000-3801-000004000000}" name="Column4"/>
  </tableColumns>
  <tableStyleInfo name="فلاح و علی-style 313" showFirstColumn="1" showLastColumn="1" showRowStripes="1" showColumnStripes="0"/>
</table>
</file>

<file path=xl/tables/table3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4" xr:uid="{00000000-000C-0000-FFFF-FFFF39010000}" name="Table_314" displayName="Table_314" ref="B5221:E5222" headerRowCount="0">
  <tableColumns count="4">
    <tableColumn id="1" xr3:uid="{00000000-0010-0000-3901-000001000000}" name="Column1"/>
    <tableColumn id="2" xr3:uid="{00000000-0010-0000-3901-000002000000}" name="Column2"/>
    <tableColumn id="3" xr3:uid="{00000000-0010-0000-3901-000003000000}" name="Column3"/>
    <tableColumn id="4" xr3:uid="{00000000-0010-0000-3901-000004000000}" name="Column4"/>
  </tableColumns>
  <tableStyleInfo name="فلاح و علی-style 314" showFirstColumn="1" showLastColumn="1" showRowStripes="1" showColumnStripes="0"/>
</table>
</file>

<file path=xl/tables/table3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5" xr:uid="{00000000-000C-0000-FFFF-FFFF3A010000}" name="Table_315" displayName="Table_315" ref="B5237:E5238" headerRowCount="0">
  <tableColumns count="4">
    <tableColumn id="1" xr3:uid="{00000000-0010-0000-3A01-000001000000}" name="Column1"/>
    <tableColumn id="2" xr3:uid="{00000000-0010-0000-3A01-000002000000}" name="Column2"/>
    <tableColumn id="3" xr3:uid="{00000000-0010-0000-3A01-000003000000}" name="Column3"/>
    <tableColumn id="4" xr3:uid="{00000000-0010-0000-3A01-000004000000}" name="Column4"/>
  </tableColumns>
  <tableStyleInfo name="فلاح و علی-style 315" showFirstColumn="1" showLastColumn="1" showRowStripes="1" showColumnStripes="0"/>
</table>
</file>

<file path=xl/tables/table3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6" xr:uid="{00000000-000C-0000-FFFF-FFFF3B010000}" name="Table_316" displayName="Table_316" ref="B5253:E5254" headerRowCount="0">
  <tableColumns count="4">
    <tableColumn id="1" xr3:uid="{00000000-0010-0000-3B01-000001000000}" name="Column1"/>
    <tableColumn id="2" xr3:uid="{00000000-0010-0000-3B01-000002000000}" name="Column2"/>
    <tableColumn id="3" xr3:uid="{00000000-0010-0000-3B01-000003000000}" name="Column3"/>
    <tableColumn id="4" xr3:uid="{00000000-0010-0000-3B01-000004000000}" name="Column4"/>
  </tableColumns>
  <tableStyleInfo name="فلاح و علی-style 316" showFirstColumn="1" showLastColumn="1" showRowStripes="1" showColumnStripes="0"/>
</table>
</file>

<file path=xl/tables/table3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7" xr:uid="{00000000-000C-0000-FFFF-FFFF3C010000}" name="Table_317" displayName="Table_317" ref="B5269:E5270" headerRowCount="0">
  <tableColumns count="4">
    <tableColumn id="1" xr3:uid="{00000000-0010-0000-3C01-000001000000}" name="Column1"/>
    <tableColumn id="2" xr3:uid="{00000000-0010-0000-3C01-000002000000}" name="Column2"/>
    <tableColumn id="3" xr3:uid="{00000000-0010-0000-3C01-000003000000}" name="Column3"/>
    <tableColumn id="4" xr3:uid="{00000000-0010-0000-3C01-000004000000}" name="Column4"/>
  </tableColumns>
  <tableStyleInfo name="فلاح و علی-style 317" showFirstColumn="1" showLastColumn="1" showRowStripes="1" showColumnStripes="0"/>
</table>
</file>

<file path=xl/tables/table3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8" xr:uid="{00000000-000C-0000-FFFF-FFFF3D010000}" name="Table_318" displayName="Table_318" ref="B5287:E5288" headerRowCount="0">
  <tableColumns count="4">
    <tableColumn id="1" xr3:uid="{00000000-0010-0000-3D01-000001000000}" name="Column1"/>
    <tableColumn id="2" xr3:uid="{00000000-0010-0000-3D01-000002000000}" name="Column2"/>
    <tableColumn id="3" xr3:uid="{00000000-0010-0000-3D01-000003000000}" name="Column3"/>
    <tableColumn id="4" xr3:uid="{00000000-0010-0000-3D01-000004000000}" name="Column4"/>
  </tableColumns>
  <tableStyleInfo name="فلاح و علی-style 318" showFirstColumn="1" showLastColumn="1" showRowStripes="1" showColumnStripes="0"/>
</table>
</file>

<file path=xl/tables/table3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9" xr:uid="{00000000-000C-0000-FFFF-FFFF3E010000}" name="Table_319" displayName="Table_319" ref="B5307:E5308" headerRowCount="0">
  <tableColumns count="4">
    <tableColumn id="1" xr3:uid="{00000000-0010-0000-3E01-000001000000}" name="Column1"/>
    <tableColumn id="2" xr3:uid="{00000000-0010-0000-3E01-000002000000}" name="Column2"/>
    <tableColumn id="3" xr3:uid="{00000000-0010-0000-3E01-000003000000}" name="Column3"/>
    <tableColumn id="4" xr3:uid="{00000000-0010-0000-3E01-000004000000}" name="Column4"/>
  </tableColumns>
  <tableStyleInfo name="فلاح و علی-style 319" showFirstColumn="1" showLastColumn="1" showRowStripes="1" showColumnStripes="0"/>
</table>
</file>

<file path=xl/tables/table3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xr:uid="{00000000-000C-0000-FFFF-FFFF3F010000}" name="Table_320" displayName="Table_320" ref="B5325:E5326" headerRowCount="0">
  <tableColumns count="4">
    <tableColumn id="1" xr3:uid="{00000000-0010-0000-3F01-000001000000}" name="Column1"/>
    <tableColumn id="2" xr3:uid="{00000000-0010-0000-3F01-000002000000}" name="Column2"/>
    <tableColumn id="3" xr3:uid="{00000000-0010-0000-3F01-000003000000}" name="Column3"/>
    <tableColumn id="4" xr3:uid="{00000000-0010-0000-3F01-000004000000}" name="Column4"/>
  </tableColumns>
  <tableStyleInfo name="فلاح و علی-style 320" showFirstColumn="1" showLastColumn="1" showRowStripes="1" showColumnStripes="0"/>
</table>
</file>

<file path=xl/tables/table3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1" xr:uid="{00000000-000C-0000-FFFF-FFFF40010000}" name="Table_321" displayName="Table_321" ref="B5341:E5342" headerRowCount="0">
  <tableColumns count="4">
    <tableColumn id="1" xr3:uid="{00000000-0010-0000-4001-000001000000}" name="Column1"/>
    <tableColumn id="2" xr3:uid="{00000000-0010-0000-4001-000002000000}" name="Column2"/>
    <tableColumn id="3" xr3:uid="{00000000-0010-0000-4001-000003000000}" name="Column3"/>
    <tableColumn id="4" xr3:uid="{00000000-0010-0000-4001-000004000000}" name="Column4"/>
  </tableColumns>
  <tableStyleInfo name="فلاح و علی-style 321" showFirstColumn="1" showLastColumn="1" showRowStripes="1" showColumnStripes="0"/>
</table>
</file>

<file path=xl/tables/table3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2" xr:uid="{00000000-000C-0000-FFFF-FFFF41010000}" name="Table_322" displayName="Table_322" ref="B5357:E5358" headerRowCount="0">
  <tableColumns count="4">
    <tableColumn id="1" xr3:uid="{00000000-0010-0000-4101-000001000000}" name="Column1"/>
    <tableColumn id="2" xr3:uid="{00000000-0010-0000-4101-000002000000}" name="Column2"/>
    <tableColumn id="3" xr3:uid="{00000000-0010-0000-4101-000003000000}" name="Column3"/>
    <tableColumn id="4" xr3:uid="{00000000-0010-0000-4101-000004000000}" name="Column4"/>
  </tableColumns>
  <tableStyleInfo name="فلاح و علی-style 322" showFirstColumn="1" showLastColumn="1" showRowStripes="1" showColumnStripes="0"/>
</table>
</file>

<file path=xl/tables/table3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3" xr:uid="{00000000-000C-0000-FFFF-FFFF42010000}" name="Table_323" displayName="Table_323" ref="B5373:E5374" headerRowCount="0">
  <tableColumns count="4">
    <tableColumn id="1" xr3:uid="{00000000-0010-0000-4201-000001000000}" name="Column1"/>
    <tableColumn id="2" xr3:uid="{00000000-0010-0000-4201-000002000000}" name="Column2"/>
    <tableColumn id="3" xr3:uid="{00000000-0010-0000-4201-000003000000}" name="Column3"/>
    <tableColumn id="4" xr3:uid="{00000000-0010-0000-4201-000004000000}" name="Column4"/>
  </tableColumns>
  <tableStyleInfo name="فلاح و علی-style 323" showFirstColumn="1" showLastColumn="1" showRowStripes="1" showColumnStripes="0"/>
</table>
</file>

<file path=xl/tables/table3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4" xr:uid="{00000000-000C-0000-FFFF-FFFF43010000}" name="Table_324" displayName="Table_324" ref="B5390:E5391" headerRowCount="0">
  <tableColumns count="4">
    <tableColumn id="1" xr3:uid="{00000000-0010-0000-4301-000001000000}" name="Column1"/>
    <tableColumn id="2" xr3:uid="{00000000-0010-0000-4301-000002000000}" name="Column2"/>
    <tableColumn id="3" xr3:uid="{00000000-0010-0000-4301-000003000000}" name="Column3"/>
    <tableColumn id="4" xr3:uid="{00000000-0010-0000-4301-000004000000}" name="Column4"/>
  </tableColumns>
  <tableStyleInfo name="فلاح و علی-style 324" showFirstColumn="1" showLastColumn="1" showRowStripes="1" showColumnStripes="0"/>
</table>
</file>

<file path=xl/tables/table3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5" xr:uid="{00000000-000C-0000-FFFF-FFFF44010000}" name="Table_325" displayName="Table_325" ref="B5408:E5409" headerRowCount="0">
  <tableColumns count="4">
    <tableColumn id="1" xr3:uid="{00000000-0010-0000-4401-000001000000}" name="Column1"/>
    <tableColumn id="2" xr3:uid="{00000000-0010-0000-4401-000002000000}" name="Column2"/>
    <tableColumn id="3" xr3:uid="{00000000-0010-0000-4401-000003000000}" name="Column3"/>
    <tableColumn id="4" xr3:uid="{00000000-0010-0000-4401-000004000000}" name="Column4"/>
  </tableColumns>
  <tableStyleInfo name="فلاح و علی-style 325" showFirstColumn="1" showLastColumn="1" showRowStripes="1" showColumnStripes="0"/>
</table>
</file>

<file path=xl/tables/table3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6" xr:uid="{00000000-000C-0000-FFFF-FFFF45010000}" name="Table_326" displayName="Table_326" ref="B5425:E5426" headerRowCount="0">
  <tableColumns count="4">
    <tableColumn id="1" xr3:uid="{00000000-0010-0000-4501-000001000000}" name="Column1"/>
    <tableColumn id="2" xr3:uid="{00000000-0010-0000-4501-000002000000}" name="Column2"/>
    <tableColumn id="3" xr3:uid="{00000000-0010-0000-4501-000003000000}" name="Column3"/>
    <tableColumn id="4" xr3:uid="{00000000-0010-0000-4501-000004000000}" name="Column4"/>
  </tableColumns>
  <tableStyleInfo name="فلاح و علی-style 326" showFirstColumn="1" showLastColumn="1" showRowStripes="1" showColumnStripes="0"/>
</table>
</file>

<file path=xl/tables/table3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7" xr:uid="{00000000-000C-0000-FFFF-FFFF46010000}" name="Table_327" displayName="Table_327" ref="B5442:E5443" headerRowCount="0">
  <tableColumns count="4">
    <tableColumn id="1" xr3:uid="{00000000-0010-0000-4601-000001000000}" name="Column1"/>
    <tableColumn id="2" xr3:uid="{00000000-0010-0000-4601-000002000000}" name="Column2"/>
    <tableColumn id="3" xr3:uid="{00000000-0010-0000-4601-000003000000}" name="Column3"/>
    <tableColumn id="4" xr3:uid="{00000000-0010-0000-4601-000004000000}" name="Column4"/>
  </tableColumns>
  <tableStyleInfo name="فلاح و علی-style 327" showFirstColumn="1" showLastColumn="1" showRowStripes="1" showColumnStripes="0"/>
</table>
</file>

<file path=xl/tables/table3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8" xr:uid="{00000000-000C-0000-FFFF-FFFF47010000}" name="Table_328" displayName="Table_328" ref="B5461:E5462" headerRowCount="0">
  <tableColumns count="4">
    <tableColumn id="1" xr3:uid="{00000000-0010-0000-4701-000001000000}" name="Column1"/>
    <tableColumn id="2" xr3:uid="{00000000-0010-0000-4701-000002000000}" name="Column2"/>
    <tableColumn id="3" xr3:uid="{00000000-0010-0000-4701-000003000000}" name="Column3"/>
    <tableColumn id="4" xr3:uid="{00000000-0010-0000-4701-000004000000}" name="Column4"/>
  </tableColumns>
  <tableStyleInfo name="فلاح و علی-style 328" showFirstColumn="1" showLastColumn="1" showRowStripes="1" showColumnStripes="0"/>
</table>
</file>

<file path=xl/tables/table3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9" xr:uid="{00000000-000C-0000-FFFF-FFFF48010000}" name="Table_329" displayName="Table_329" ref="B5477:E5478" headerRowCount="0">
  <tableColumns count="4">
    <tableColumn id="1" xr3:uid="{00000000-0010-0000-4801-000001000000}" name="Column1"/>
    <tableColumn id="2" xr3:uid="{00000000-0010-0000-4801-000002000000}" name="Column2"/>
    <tableColumn id="3" xr3:uid="{00000000-0010-0000-4801-000003000000}" name="Column3"/>
    <tableColumn id="4" xr3:uid="{00000000-0010-0000-4801-000004000000}" name="Column4"/>
  </tableColumns>
  <tableStyleInfo name="فلاح و علی-style 329" showFirstColumn="1" showLastColumn="1" showRowStripes="1" showColumnStripes="0"/>
</table>
</file>

<file path=xl/tables/table3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0" xr:uid="{00000000-000C-0000-FFFF-FFFF49010000}" name="Table_330" displayName="Table_330" ref="B5492:E5493" headerRowCount="0">
  <tableColumns count="4">
    <tableColumn id="1" xr3:uid="{00000000-0010-0000-4901-000001000000}" name="Column1"/>
    <tableColumn id="2" xr3:uid="{00000000-0010-0000-4901-000002000000}" name="Column2"/>
    <tableColumn id="3" xr3:uid="{00000000-0010-0000-4901-000003000000}" name="Column3"/>
    <tableColumn id="4" xr3:uid="{00000000-0010-0000-4901-000004000000}" name="Column4"/>
  </tableColumns>
  <tableStyleInfo name="فلاح و علی-style 330" showFirstColumn="1" showLastColumn="1" showRowStripes="1" showColumnStripes="0"/>
</table>
</file>

<file path=xl/tables/table3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1" xr:uid="{00000000-000C-0000-FFFF-FFFF4A010000}" name="Table_331" displayName="Table_331" ref="B5509:E5510" headerRowCount="0">
  <tableColumns count="4">
    <tableColumn id="1" xr3:uid="{00000000-0010-0000-4A01-000001000000}" name="Column1"/>
    <tableColumn id="2" xr3:uid="{00000000-0010-0000-4A01-000002000000}" name="Column2"/>
    <tableColumn id="3" xr3:uid="{00000000-0010-0000-4A01-000003000000}" name="Column3"/>
    <tableColumn id="4" xr3:uid="{00000000-0010-0000-4A01-000004000000}" name="Column4"/>
  </tableColumns>
  <tableStyleInfo name="فلاح و علی-style 331" showFirstColumn="1" showLastColumn="1" showRowStripes="1" showColumnStripes="0"/>
</table>
</file>

<file path=xl/tables/table3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2" xr:uid="{00000000-000C-0000-FFFF-FFFF4B010000}" name="Table_332" displayName="Table_332" ref="B5525:E5526" headerRowCount="0">
  <tableColumns count="4">
    <tableColumn id="1" xr3:uid="{00000000-0010-0000-4B01-000001000000}" name="Column1"/>
    <tableColumn id="2" xr3:uid="{00000000-0010-0000-4B01-000002000000}" name="Column2"/>
    <tableColumn id="3" xr3:uid="{00000000-0010-0000-4B01-000003000000}" name="Column3"/>
    <tableColumn id="4" xr3:uid="{00000000-0010-0000-4B01-000004000000}" name="Column4"/>
  </tableColumns>
  <tableStyleInfo name="فلاح و علی-style 332" showFirstColumn="1" showLastColumn="1" showRowStripes="1" showColumnStripes="0"/>
</table>
</file>

<file path=xl/tables/table3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3" xr:uid="{00000000-000C-0000-FFFF-FFFF4C010000}" name="Table_333" displayName="Table_333" ref="B5540:E5541" headerRowCount="0">
  <tableColumns count="4">
    <tableColumn id="1" xr3:uid="{00000000-0010-0000-4C01-000001000000}" name="Column1"/>
    <tableColumn id="2" xr3:uid="{00000000-0010-0000-4C01-000002000000}" name="Column2"/>
    <tableColumn id="3" xr3:uid="{00000000-0010-0000-4C01-000003000000}" name="Column3"/>
    <tableColumn id="4" xr3:uid="{00000000-0010-0000-4C01-000004000000}" name="Column4"/>
  </tableColumns>
  <tableStyleInfo name="فلاح و علی-style 333" showFirstColumn="1" showLastColumn="1" showRowStripes="1" showColumnStripes="0"/>
</table>
</file>

<file path=xl/tables/table3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4" xr:uid="{00000000-000C-0000-FFFF-FFFF4D010000}" name="Table_334" displayName="Table_334" ref="B5558:E5559" headerRowCount="0">
  <tableColumns count="4">
    <tableColumn id="1" xr3:uid="{00000000-0010-0000-4D01-000001000000}" name="Column1"/>
    <tableColumn id="2" xr3:uid="{00000000-0010-0000-4D01-000002000000}" name="Column2"/>
    <tableColumn id="3" xr3:uid="{00000000-0010-0000-4D01-000003000000}" name="Column3"/>
    <tableColumn id="4" xr3:uid="{00000000-0010-0000-4D01-000004000000}" name="Column4"/>
  </tableColumns>
  <tableStyleInfo name="فلاح و علی-style 334" showFirstColumn="1" showLastColumn="1" showRowStripes="1" showColumnStripes="0"/>
</table>
</file>

<file path=xl/tables/table3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5" xr:uid="{00000000-000C-0000-FFFF-FFFF4E010000}" name="Table_335" displayName="Table_335" ref="B5591:E5592" headerRowCount="0">
  <tableColumns count="4">
    <tableColumn id="1" xr3:uid="{00000000-0010-0000-4E01-000001000000}" name="Column1"/>
    <tableColumn id="2" xr3:uid="{00000000-0010-0000-4E01-000002000000}" name="Column2"/>
    <tableColumn id="3" xr3:uid="{00000000-0010-0000-4E01-000003000000}" name="Column3"/>
    <tableColumn id="4" xr3:uid="{00000000-0010-0000-4E01-000004000000}" name="Column4"/>
  </tableColumns>
  <tableStyleInfo name="فلاح و علی-style 335" showFirstColumn="1" showLastColumn="1" showRowStripes="1" showColumnStripes="0"/>
</table>
</file>

<file path=xl/tables/table3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6" xr:uid="{00000000-000C-0000-FFFF-FFFF4F010000}" name="Table_336" displayName="Table_336" ref="B5609:E5610" headerRowCount="0">
  <tableColumns count="4">
    <tableColumn id="1" xr3:uid="{00000000-0010-0000-4F01-000001000000}" name="Column1"/>
    <tableColumn id="2" xr3:uid="{00000000-0010-0000-4F01-000002000000}" name="Column2"/>
    <tableColumn id="3" xr3:uid="{00000000-0010-0000-4F01-000003000000}" name="Column3"/>
    <tableColumn id="4" xr3:uid="{00000000-0010-0000-4F01-000004000000}" name="Column4"/>
  </tableColumns>
  <tableStyleInfo name="فلاح و علی-style 336" showFirstColumn="1" showLastColumn="1" showRowStripes="1" showColumnStripes="0"/>
</table>
</file>

<file path=xl/tables/table3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7" xr:uid="{00000000-000C-0000-FFFF-FFFF50010000}" name="Table_337" displayName="Table_337" ref="B5626:E5627" headerRowCount="0">
  <tableColumns count="4">
    <tableColumn id="1" xr3:uid="{00000000-0010-0000-5001-000001000000}" name="Column1"/>
    <tableColumn id="2" xr3:uid="{00000000-0010-0000-5001-000002000000}" name="Column2"/>
    <tableColumn id="3" xr3:uid="{00000000-0010-0000-5001-000003000000}" name="Column3"/>
    <tableColumn id="4" xr3:uid="{00000000-0010-0000-5001-000004000000}" name="Column4"/>
  </tableColumns>
  <tableStyleInfo name="فلاح و علی-style 337" showFirstColumn="1" showLastColumn="1" showRowStripes="1" showColumnStripes="0"/>
</table>
</file>

<file path=xl/tables/table3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8" xr:uid="{00000000-000C-0000-FFFF-FFFF51010000}" name="Table_338" displayName="Table_338" ref="B5643:E5644" headerRowCount="0">
  <tableColumns count="4">
    <tableColumn id="1" xr3:uid="{00000000-0010-0000-5101-000001000000}" name="Column1"/>
    <tableColumn id="2" xr3:uid="{00000000-0010-0000-5101-000002000000}" name="Column2"/>
    <tableColumn id="3" xr3:uid="{00000000-0010-0000-5101-000003000000}" name="Column3"/>
    <tableColumn id="4" xr3:uid="{00000000-0010-0000-5101-000004000000}" name="Column4"/>
  </tableColumns>
  <tableStyleInfo name="فلاح و علی-style 338" showFirstColumn="1" showLastColumn="1" showRowStripes="1" showColumnStripes="0"/>
</table>
</file>

<file path=xl/tables/table3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9" xr:uid="{00000000-000C-0000-FFFF-FFFF52010000}" name="Table_339" displayName="Table_339" ref="B5658:E5659" headerRowCount="0">
  <tableColumns count="4">
    <tableColumn id="1" xr3:uid="{00000000-0010-0000-5201-000001000000}" name="Column1"/>
    <tableColumn id="2" xr3:uid="{00000000-0010-0000-5201-000002000000}" name="Column2"/>
    <tableColumn id="3" xr3:uid="{00000000-0010-0000-5201-000003000000}" name="Column3"/>
    <tableColumn id="4" xr3:uid="{00000000-0010-0000-5201-000004000000}" name="Column4"/>
  </tableColumns>
  <tableStyleInfo name="فلاح و علی-style 339" showFirstColumn="1" showLastColumn="1" showRowStripes="1" showColumnStripes="0"/>
</table>
</file>

<file path=xl/tables/table3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0" xr:uid="{00000000-000C-0000-FFFF-FFFF53010000}" name="Table_340" displayName="Table_340" ref="B5674:E5675" headerRowCount="0">
  <tableColumns count="4">
    <tableColumn id="1" xr3:uid="{00000000-0010-0000-5301-000001000000}" name="Column1"/>
    <tableColumn id="2" xr3:uid="{00000000-0010-0000-5301-000002000000}" name="Column2"/>
    <tableColumn id="3" xr3:uid="{00000000-0010-0000-5301-000003000000}" name="Column3"/>
    <tableColumn id="4" xr3:uid="{00000000-0010-0000-5301-000004000000}" name="Column4"/>
  </tableColumns>
  <tableStyleInfo name="فلاح و علی-style 340" showFirstColumn="1" showLastColumn="1" showRowStripes="1" showColumnStripes="0"/>
</table>
</file>

<file path=xl/tables/table3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1" xr:uid="{00000000-000C-0000-FFFF-FFFF54010000}" name="Table_341" displayName="Table_341" ref="B5691:E5693" headerRowCount="0">
  <tableColumns count="4">
    <tableColumn id="1" xr3:uid="{00000000-0010-0000-5401-000001000000}" name="Column1"/>
    <tableColumn id="2" xr3:uid="{00000000-0010-0000-5401-000002000000}" name="Column2"/>
    <tableColumn id="3" xr3:uid="{00000000-0010-0000-5401-000003000000}" name="Column3"/>
    <tableColumn id="4" xr3:uid="{00000000-0010-0000-5401-000004000000}" name="Column4"/>
  </tableColumns>
  <tableStyleInfo name="فلاح و علی-style 341" showFirstColumn="1" showLastColumn="1" showRowStripes="1" showColumnStripes="0"/>
</table>
</file>

<file path=xl/tables/table3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4" xr:uid="{3CC63463-8D29-4152-93EA-94923F85743D}" name="Table_342445" displayName="Table_342445" ref="B6382:E6383" headerRowCount="0">
  <tableColumns count="4">
    <tableColumn id="1" xr3:uid="{303A1C5A-DF9E-4B6E-A0DB-E67F6EFDB279}" name="Column1"/>
    <tableColumn id="2" xr3:uid="{286D67E1-F55E-4787-A20B-24B3CFF39B67}" name="Column2"/>
    <tableColumn id="3" xr3:uid="{50BF2854-1383-4432-8E68-FA69D949DFD4}" name="Column3"/>
    <tableColumn id="4" xr3:uid="{E816588D-9B27-4776-A409-B51D7673D2B1}" name="Column4"/>
  </tableColumns>
  <tableStyleInfo name="ذوقی و مهدی-style" showFirstColumn="1" showLastColumn="1" showRowStripes="1" showColumnStripes="0"/>
</table>
</file>

<file path=xl/tables/table3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5" xr:uid="{AC781F70-F37A-400B-A178-FF04BDC3AAA5}" name="Table_343446" displayName="Table_343446" ref="B6395:E6396" headerRowCount="0">
  <tableColumns count="4">
    <tableColumn id="1" xr3:uid="{EE347560-F58B-4732-96E8-73D30C752700}" name="Column1"/>
    <tableColumn id="2" xr3:uid="{68E4ADDF-24E2-4DC2-8BBD-27446657E745}" name="Column2"/>
    <tableColumn id="3" xr3:uid="{CA06D985-3FF3-4025-8627-CB046811DD04}" name="Column3"/>
    <tableColumn id="4" xr3:uid="{C675AA4D-7C05-4DC0-8EDF-56EA941CF4BB}" name="Column4"/>
  </tableColumns>
  <tableStyleInfo name="ذوقی و مهدی-style 2" showFirstColumn="1" showLastColumn="1" showRowStripes="1" showColumnStripes="0"/>
</table>
</file>

<file path=xl/tables/table3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6" xr:uid="{EC5FC6F9-0DCD-4F6D-9524-A7B528DD0D32}" name="Table_344447" displayName="Table_344447" ref="B6407:E6408" headerRowCount="0">
  <tableColumns count="4">
    <tableColumn id="1" xr3:uid="{FE65B9D2-A404-4066-A216-2D65CAD1D6BD}" name="Column1"/>
    <tableColumn id="2" xr3:uid="{ED3EE20D-C704-4194-B196-8958BE11BF48}" name="Column2"/>
    <tableColumn id="3" xr3:uid="{CC063852-0AFF-49C3-938F-183F39770314}" name="Column3"/>
    <tableColumn id="4" xr3:uid="{13F1F972-0B2E-4366-8A30-5EDAA5BE880F}" name="Column4"/>
  </tableColumns>
  <tableStyleInfo name="ذوقی و مهدی-style 3" showFirstColumn="1" showLastColumn="1" showRowStripes="1" showColumnStripes="0"/>
</table>
</file>

<file path=xl/tables/table3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7" xr:uid="{E7DE1E65-5394-4E31-95B7-E6F3B0992767}" name="Table_345448" displayName="Table_345448" ref="B6420:E6421" headerRowCount="0">
  <tableColumns count="4">
    <tableColumn id="1" xr3:uid="{1213CAE2-D75C-4206-98B3-9C88B44DA1FC}" name="Column1"/>
    <tableColumn id="2" xr3:uid="{F3B8B716-9E42-4180-A909-F3516B6C88C1}" name="Column2"/>
    <tableColumn id="3" xr3:uid="{E475BB56-3759-405A-A4F0-C3234C7879E4}" name="Column3"/>
    <tableColumn id="4" xr3:uid="{6E6256A4-6414-409E-87D2-0598355A330E}" name="Column4"/>
  </tableColumns>
  <tableStyleInfo name="ذوقی و مهدی-style 4" showFirstColumn="1" showLastColumn="1" showRowStripes="1" showColumnStripes="0"/>
</table>
</file>

<file path=xl/tables/table3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8" xr:uid="{5281EE90-1376-4632-8063-6200EC7DFDC7}" name="Table_346449" displayName="Table_346449" ref="B6434:E6435" headerRowCount="0">
  <tableColumns count="4">
    <tableColumn id="1" xr3:uid="{12891940-16BB-4330-B0F1-9F3924B01148}" name="Column1"/>
    <tableColumn id="2" xr3:uid="{59B0557C-E215-4597-B763-A2E5238C8989}" name="Column2"/>
    <tableColumn id="3" xr3:uid="{C3FD9A45-01B9-4B49-BEAC-F7C1B92AB17D}" name="Column3"/>
    <tableColumn id="4" xr3:uid="{8423E98B-115B-4714-ACE2-2B6B830A7B68}" name="Column4"/>
  </tableColumns>
  <tableStyleInfo name="ذوقی و مهدی-style 5" showFirstColumn="1" showLastColumn="1" showRowStripes="1" showColumnStripes="0"/>
</table>
</file>

<file path=xl/tables/table3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9" xr:uid="{5B58522D-449F-4E6B-BFF1-20D41A56D0DA}" name="Table_347450" displayName="Table_347450" ref="B6448:E6449" headerRowCount="0">
  <tableColumns count="4">
    <tableColumn id="1" xr3:uid="{85909A68-D4FA-4D8C-B0F2-5E1E90F7E5ED}" name="Column1"/>
    <tableColumn id="2" xr3:uid="{6ED1C308-5B3A-48AC-B434-547D39ACB2F3}" name="Column2"/>
    <tableColumn id="3" xr3:uid="{1884AF3E-A31D-4192-9EFA-841170A4306F}" name="Column3"/>
    <tableColumn id="4" xr3:uid="{07292E55-17E0-44DA-A6D3-2218912EBFDA}" name="Column4"/>
  </tableColumns>
  <tableStyleInfo name="ذوقی و مهدی-style 6" showFirstColumn="1" showLastColumn="1" showRowStripes="1" showColumnStripes="0"/>
</table>
</file>

<file path=xl/tables/table3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0" xr:uid="{C4D20EEC-89B4-4455-BAC4-866EEF43205F}" name="Table_348451" displayName="Table_348451" ref="B6461:E6462" headerRowCount="0">
  <tableColumns count="4">
    <tableColumn id="1" xr3:uid="{DF266EDF-1FB9-4F85-A4FC-78B602118814}" name="Column1"/>
    <tableColumn id="2" xr3:uid="{A231F473-E973-4EDA-B655-7F60ED6AB750}" name="Column2"/>
    <tableColumn id="3" xr3:uid="{5A018161-55BA-459D-A796-C00A87FDA51E}" name="Column3"/>
    <tableColumn id="4" xr3:uid="{E92BF396-F737-49BC-A1DF-4AE064896E94}" name="Column4"/>
  </tableColumns>
  <tableStyleInfo name="ذوقی و مهدی-style 7" showFirstColumn="1" showLastColumn="1" showRowStripes="1" showColumnStripes="0"/>
</table>
</file>

<file path=xl/tables/table3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1" xr:uid="{4DE6E960-D857-4EC3-95C1-13C57D03AFB3}" name="Table_349452" displayName="Table_349452" ref="B6474:E6475" headerRowCount="0">
  <tableColumns count="4">
    <tableColumn id="1" xr3:uid="{FBBDB695-B719-48F3-948A-DDAA643ECB43}" name="Column1"/>
    <tableColumn id="2" xr3:uid="{8C4983D1-F560-4B97-8B6D-DDC2B457254E}" name="Column2"/>
    <tableColumn id="3" xr3:uid="{F69E718F-06DF-4677-B4AC-FDB19CFA7EE2}" name="Column3"/>
    <tableColumn id="4" xr3:uid="{ACD8BE35-0955-4B16-955B-FD9004B54528}" name="Column4"/>
  </tableColumns>
  <tableStyleInfo name="ذوقی و مهدی-style 8" showFirstColumn="1" showLastColumn="1" showRowStripes="1" showColumnStripes="0"/>
</table>
</file>

<file path=xl/tables/table3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2" xr:uid="{6C92C321-6923-4647-B292-3C196D3ED3B6}" name="Table_350453" displayName="Table_350453" ref="B6487:E6488" headerRowCount="0">
  <tableColumns count="4">
    <tableColumn id="1" xr3:uid="{73C3586D-C6D6-460E-9DA4-2C1F20B00211}" name="Column1"/>
    <tableColumn id="2" xr3:uid="{16D09410-134D-4B2B-8469-31B786F91A00}" name="Column2"/>
    <tableColumn id="3" xr3:uid="{9438FE0B-F788-480D-AC4B-899AE87460E7}" name="Column3"/>
    <tableColumn id="4" xr3:uid="{86C1FEA1-821F-486F-A658-DE1E684A44F2}" name="Column4"/>
  </tableColumns>
  <tableStyleInfo name="ذوقی و مهدی-style 9" showFirstColumn="1" showLastColumn="1" showRowStripes="1" showColumnStripes="0"/>
</table>
</file>

<file path=xl/tables/table3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3" xr:uid="{5C5E3FEB-3DF7-4E0C-94CC-D9B8D79A5209}" name="Table_351454" displayName="Table_351454" ref="B6501:E6502" headerRowCount="0">
  <tableColumns count="4">
    <tableColumn id="1" xr3:uid="{89FFD178-5418-42BF-9018-673E361F5CFF}" name="Column1"/>
    <tableColumn id="2" xr3:uid="{C235A324-16C0-494D-A13D-B1A7D586346F}" name="Column2"/>
    <tableColumn id="3" xr3:uid="{C804A3AA-F792-4030-AACB-5139425D0CD9}" name="Column3"/>
    <tableColumn id="4" xr3:uid="{72B7660A-881A-4E06-A688-BDB7D46960A9}" name="Column4"/>
  </tableColumns>
  <tableStyleInfo name="ذوقی و مهدی-style 10" showFirstColumn="1" showLastColumn="1" showRowStripes="1" showColumnStripes="0"/>
</table>
</file>

<file path=xl/tables/table3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4" xr:uid="{66E4B4E5-2C45-4B90-A803-34BB2774F6A8}" name="Table_352455" displayName="Table_352455" ref="B6515:E6516" headerRowCount="0">
  <tableColumns count="4">
    <tableColumn id="1" xr3:uid="{C035A41E-BDD5-491F-B89F-5832580BB6FC}" name="Column1"/>
    <tableColumn id="2" xr3:uid="{7B70D683-B2E3-4157-A0EA-2B97F97483F6}" name="Column2"/>
    <tableColumn id="3" xr3:uid="{352F58EC-DD22-405A-813B-CF802C0AFB11}" name="Column3"/>
    <tableColumn id="4" xr3:uid="{738A77C7-2C92-427A-AE68-EAAE93BD91E0}" name="Column4"/>
  </tableColumns>
  <tableStyleInfo name="ذوقی و مهدی-style 11" showFirstColumn="1" showLastColumn="1" showRowStripes="1" showColumnStripes="0"/>
</table>
</file>

<file path=xl/tables/table3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5" xr:uid="{90A133F7-6873-486D-9D3C-0E514682E290}" name="Table_353456" displayName="Table_353456" ref="B6529:E6530" headerRowCount="0">
  <tableColumns count="4">
    <tableColumn id="1" xr3:uid="{2DDB9188-BB87-4DBC-B5B5-934A7A3C77BA}" name="Column1"/>
    <tableColumn id="2" xr3:uid="{52145127-B968-4CFC-BE58-DAF05743CE1B}" name="Column2"/>
    <tableColumn id="3" xr3:uid="{9A1C7CC3-C2A4-4663-9861-9C4E3DDADCAD}" name="Column3"/>
    <tableColumn id="4" xr3:uid="{E06D22BC-D90B-4199-83CD-1C16DBD672B9}" name="Column4"/>
  </tableColumns>
  <tableStyleInfo name="ذوقی و مهدی-style 12" showFirstColumn="1" showLastColumn="1" showRowStripes="1" showColumnStripes="0"/>
</table>
</file>

<file path=xl/tables/table3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6" xr:uid="{7B487C81-EED0-440F-A724-3A04DFEFB02D}" name="Table_354457" displayName="Table_354457" ref="B6543:E6544" headerRowCount="0">
  <tableColumns count="4">
    <tableColumn id="1" xr3:uid="{12770EFC-7E37-4EAA-B361-9788D4F0CE3A}" name="Column1"/>
    <tableColumn id="2" xr3:uid="{7F65FCE5-2D8D-4CC9-8443-73245DFA8B88}" name="Column2"/>
    <tableColumn id="3" xr3:uid="{3EBB19CE-04F4-4159-A299-74714A442E34}" name="Column3"/>
    <tableColumn id="4" xr3:uid="{4553BB5F-04CE-4661-9C42-49354511A30E}" name="Column4"/>
  </tableColumns>
  <tableStyleInfo name="ذوقی و مهدی-style 13" showFirstColumn="1" showLastColumn="1" showRowStripes="1" showColumnStripes="0"/>
</table>
</file>

<file path=xl/tables/table3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7" xr:uid="{72E38CF7-3846-492A-A3BC-FC6B553BC86D}" name="Table_355458" displayName="Table_355458" ref="B6558:E6559" headerRowCount="0">
  <tableColumns count="4">
    <tableColumn id="1" xr3:uid="{B206A89E-AEB1-41C5-BFB1-09B5A9A2A9EF}" name="Column1"/>
    <tableColumn id="2" xr3:uid="{25480012-8B2A-4736-B9D0-1AF1DDE8E26D}" name="Column2"/>
    <tableColumn id="3" xr3:uid="{841101C1-4156-4046-9B07-F1BDA8F8A4E4}" name="Column3"/>
    <tableColumn id="4" xr3:uid="{82A49A0E-2CE5-4209-9074-0D4468E71572}" name="Column4"/>
  </tableColumns>
  <tableStyleInfo name="ذوقی و مهدی-style 14" showFirstColumn="1" showLastColumn="1" showRowStripes="1" showColumnStripes="0"/>
</table>
</file>

<file path=xl/tables/table3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8" xr:uid="{E059CE7D-D1E7-4823-9C62-FF4E3102CB50}" name="Table_356459" displayName="Table_356459" ref="B6573:E6574" headerRowCount="0">
  <tableColumns count="4">
    <tableColumn id="1" xr3:uid="{0B6D5FF2-37A7-456B-8D80-9BF5A99C6CA0}" name="Column1"/>
    <tableColumn id="2" xr3:uid="{0359A380-BE26-4146-9AA4-076B5C9B85C4}" name="Column2"/>
    <tableColumn id="3" xr3:uid="{3AF4DEA5-7043-421A-A57D-A7CA9AB44F24}" name="Column3"/>
    <tableColumn id="4" xr3:uid="{AD651EA0-F7E2-4224-89FC-517C021C92C6}" name="Column4"/>
  </tableColumns>
  <tableStyleInfo name="ذوقی و مهدی-style 15" showFirstColumn="1" showLastColumn="1" showRowStripes="1" showColumnStripes="0"/>
</table>
</file>

<file path=xl/tables/table3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9" xr:uid="{5E628610-2E20-46BA-914B-8D2E31206954}" name="Table_357460" displayName="Table_357460" ref="B6586:E6587" headerRowCount="0">
  <tableColumns count="4">
    <tableColumn id="1" xr3:uid="{176924B7-297A-47CA-9CBD-DB8E4095E662}" name="Column1"/>
    <tableColumn id="2" xr3:uid="{80B23CC8-D7C7-4FB6-9360-D947BA345BCC}" name="Column2"/>
    <tableColumn id="3" xr3:uid="{67A7B22A-E85D-45D0-B581-74B142166FB6}" name="Column3"/>
    <tableColumn id="4" xr3:uid="{D8A1A18C-CE4F-4551-BC42-B830E5F34DA6}" name="Column4"/>
  </tableColumns>
  <tableStyleInfo name="ذوقی و مهدی-style 16" showFirstColumn="1" showLastColumn="1" showRowStripes="1" showColumnStripes="0"/>
</table>
</file>

<file path=xl/tables/table3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0" xr:uid="{E91BC3D9-EF56-4ADD-8946-4836B2602D03}" name="Table_358461" displayName="Table_358461" ref="B6597:E6598" headerRowCount="0">
  <tableColumns count="4">
    <tableColumn id="1" xr3:uid="{0C302126-D6A7-4F33-A876-C1E6B83C8AB8}" name="Column1"/>
    <tableColumn id="2" xr3:uid="{26DDB6E9-9E98-4215-AC48-F96977DAAB3A}" name="Column2"/>
    <tableColumn id="3" xr3:uid="{D5749B17-C256-4574-A1CC-85B2541C0067}" name="Column3"/>
    <tableColumn id="4" xr3:uid="{FAB50C55-2FE7-4B77-AF21-990C41D6C67C}" name="Column4"/>
  </tableColumns>
  <tableStyleInfo name="ذوقی و مهدی-style 17" showFirstColumn="1" showLastColumn="1" showRowStripes="1" showColumnStripes="0"/>
</table>
</file>

<file path=xl/tables/table3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1" xr:uid="{AB076ECE-531B-4FE7-AFE0-836C40569FAF}" name="Table_359462" displayName="Table_359462" ref="B6608:E6609" headerRowCount="0">
  <tableColumns count="4">
    <tableColumn id="1" xr3:uid="{30AC9472-EBFB-420A-BEDE-4FC4E7BB21AF}" name="Column1"/>
    <tableColumn id="2" xr3:uid="{FFAC468B-B6F0-4618-A602-1386B8194599}" name="Column2"/>
    <tableColumn id="3" xr3:uid="{32BC2EEE-D2C2-4D1C-9AB2-BCB490E578CE}" name="Column3"/>
    <tableColumn id="4" xr3:uid="{5F00E216-280E-4F2D-B582-2DAEB7B0D32D}" name="Column4"/>
  </tableColumns>
  <tableStyleInfo name="ذوقی و مهدی-style 18" showFirstColumn="1" showLastColumn="1" showRowStripes="1" showColumnStripes="0"/>
</table>
</file>

<file path=xl/tables/table3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2" xr:uid="{395A5340-A0E7-4653-A7DE-47FCB0B91FEC}" name="Table_360463" displayName="Table_360463" ref="B6620:E6621" headerRowCount="0">
  <tableColumns count="4">
    <tableColumn id="1" xr3:uid="{87F4F387-BAED-4B95-A900-33F7101A0BE0}" name="Column1"/>
    <tableColumn id="2" xr3:uid="{E0667710-9181-4848-B772-2652EB0F2CE4}" name="Column2"/>
    <tableColumn id="3" xr3:uid="{3866934F-4F82-4B88-9216-F17AECACA31C}" name="Column3"/>
    <tableColumn id="4" xr3:uid="{7ABF044A-B159-4F93-8822-76B2668146A0}" name="Column4"/>
  </tableColumns>
  <tableStyleInfo name="ذوقی و مهدی-style 19" showFirstColumn="1" showLastColumn="1" showRowStripes="1" showColumnStripes="0"/>
</table>
</file>

<file path=xl/tables/table3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3" xr:uid="{178372F7-47A9-439D-BA3D-09343C710C65}" name="Table_361464" displayName="Table_361464" ref="B6634:E6635" headerRowCount="0">
  <tableColumns count="4">
    <tableColumn id="1" xr3:uid="{367279BE-D883-4179-AAFD-9A08B8567C13}" name="Column1"/>
    <tableColumn id="2" xr3:uid="{AC12F724-612F-4BE9-A808-5D6095B561B7}" name="Column2"/>
    <tableColumn id="3" xr3:uid="{FCC4E347-FCBB-47BC-AE29-D75F8BE9E698}" name="Column3"/>
    <tableColumn id="4" xr3:uid="{3F162441-157F-4875-9986-3AA41EBAC2E8}" name="Column4"/>
  </tableColumns>
  <tableStyleInfo name="ذوقی و مهدی-style 20" showFirstColumn="1" showLastColumn="1" showRowStripes="1" showColumnStripes="0"/>
</table>
</file>

<file path=xl/tables/table3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4" xr:uid="{34D86D26-95F7-418D-A634-57F2D23E2B8A}" name="Table_362465" displayName="Table_362465" ref="B6648:E6649" headerRowCount="0">
  <tableColumns count="4">
    <tableColumn id="1" xr3:uid="{CCD50A30-FF46-4567-970E-93C58B8DB7D4}" name="Column1"/>
    <tableColumn id="2" xr3:uid="{BD3D6BE4-0223-4DCE-B21C-5C5EB7FF9393}" name="Column2"/>
    <tableColumn id="3" xr3:uid="{0F886A88-0964-404B-8861-D2D897DD58ED}" name="Column3"/>
    <tableColumn id="4" xr3:uid="{60AE247F-1F07-4C58-B044-D08C0503A562}" name="Column4"/>
  </tableColumns>
  <tableStyleInfo name="ذوقی و مهدی-style 21" showFirstColumn="1" showLastColumn="1" showRowStripes="1" showColumnStripes="0"/>
</table>
</file>

<file path=xl/tables/table3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5" xr:uid="{758506B6-84C3-447B-AE5A-6A024B748021}" name="Table_363466" displayName="Table_363466" ref="B6661:E6662" headerRowCount="0">
  <tableColumns count="4">
    <tableColumn id="1" xr3:uid="{865D67C3-56B8-42E3-9112-9D927B1464B8}" name="Column1"/>
    <tableColumn id="2" xr3:uid="{D9F7A211-D392-4BD4-9ED0-4A5666129A72}" name="Column2"/>
    <tableColumn id="3" xr3:uid="{BDBEFE77-FB79-4046-BAF6-AA8560C9D529}" name="Column3"/>
    <tableColumn id="4" xr3:uid="{3547A4B9-67F6-469C-8980-129E4E7F8824}" name="Column4"/>
  </tableColumns>
  <tableStyleInfo name="ذوقی و مهدی-style 22" showFirstColumn="1" showLastColumn="1" showRowStripes="1" showColumnStripes="0"/>
</table>
</file>

<file path=xl/tables/table3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6" xr:uid="{5202FB40-03C0-4FC8-88B7-ED2833369FAE}" name="Table_364467" displayName="Table_364467" ref="B6674:E6675" headerRowCount="0">
  <tableColumns count="4">
    <tableColumn id="1" xr3:uid="{F995DE14-5EF6-4CF5-9637-AF21439331A7}" name="Column1"/>
    <tableColumn id="2" xr3:uid="{5C2CD215-D934-450B-B888-9F2997CCD3A2}" name="Column2"/>
    <tableColumn id="3" xr3:uid="{43B7061E-AD8D-4D10-8BCB-4FA56AD67650}" name="Column3"/>
    <tableColumn id="4" xr3:uid="{A5515885-F02C-4908-8363-7402B7D06239}" name="Column4"/>
  </tableColumns>
  <tableStyleInfo name="ذوقی و مهدی-style 23" showFirstColumn="1" showLastColumn="1" showRowStripes="1" showColumnStripes="0"/>
</table>
</file>

<file path=xl/tables/table3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7" xr:uid="{8B7C7C36-FAE6-4D5F-8375-9A85249A0DA2}" name="Table_365468" displayName="Table_365468" ref="B6688:E6689" headerRowCount="0">
  <tableColumns count="4">
    <tableColumn id="1" xr3:uid="{F7241FED-6DA0-4915-8BF9-C000759A6A9C}" name="Column1"/>
    <tableColumn id="2" xr3:uid="{D5CDDF76-82CC-4F31-98C0-16E3F5F43E70}" name="Column2"/>
    <tableColumn id="3" xr3:uid="{3745666C-A4EE-440E-9008-F2542CFADA60}" name="Column3"/>
    <tableColumn id="4" xr3:uid="{E5BFA4E8-D6D7-4440-8BF6-780FEC8524AB}" name="Column4"/>
  </tableColumns>
  <tableStyleInfo name="ذوقی و مهدی-style 24" showFirstColumn="1" showLastColumn="1" showRowStripes="1" showColumnStripes="0"/>
</table>
</file>

<file path=xl/tables/table3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8" xr:uid="{7EBFDDD4-89F5-4B51-8C56-81ED2B8498F3}" name="Table_366469" displayName="Table_366469" ref="B6703:E6704" headerRowCount="0">
  <tableColumns count="4">
    <tableColumn id="1" xr3:uid="{2F34D20F-0EE8-4110-8111-B47A6F3832F3}" name="Column1"/>
    <tableColumn id="2" xr3:uid="{56B25757-FE50-497F-8773-87EF9411A15C}" name="Column2"/>
    <tableColumn id="3" xr3:uid="{F99AC2E5-D659-4093-8527-DEC16CF12A84}" name="Column3"/>
    <tableColumn id="4" xr3:uid="{10BD22A5-9D9A-4921-BA87-FF6AD86835A5}" name="Column4"/>
  </tableColumns>
  <tableStyleInfo name="ذوقی و مهدی-style 25" showFirstColumn="1" showLastColumn="1" showRowStripes="1" showColumnStripes="0"/>
</table>
</file>

<file path=xl/tables/table3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9" xr:uid="{C5D7739F-A679-41CD-B8A4-12AE35B9FEFF}" name="Table_367470" displayName="Table_367470" ref="B6718:E6719" headerRowCount="0">
  <tableColumns count="4">
    <tableColumn id="1" xr3:uid="{EDCA6F93-C122-4DD0-9633-0BC540A50408}" name="Column1"/>
    <tableColumn id="2" xr3:uid="{AFB4B292-3A7A-4216-B226-D71B90EA53CF}" name="Column2"/>
    <tableColumn id="3" xr3:uid="{48E54E08-370C-4454-B1F8-B14E50DAADA1}" name="Column3"/>
    <tableColumn id="4" xr3:uid="{15EA9A01-E145-41E4-93F4-660FF335B18B}" name="Column4"/>
  </tableColumns>
  <tableStyleInfo name="ذوقی و مهدی-style 26" showFirstColumn="1" showLastColumn="1" showRowStripes="1" showColumnStripes="0"/>
</table>
</file>

<file path=xl/tables/table3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0" xr:uid="{1E0EFD00-B9D2-4A7A-8A90-24F9FB18E472}" name="Table_368471" displayName="Table_368471" ref="B6732:E6733" headerRowCount="0">
  <tableColumns count="4">
    <tableColumn id="1" xr3:uid="{18E7EA08-3115-4870-8F94-16AA5B2BD3FC}" name="Column1"/>
    <tableColumn id="2" xr3:uid="{684B7FE5-88D2-4CA3-B04E-B555161AD03C}" name="Column2"/>
    <tableColumn id="3" xr3:uid="{256A08FD-5C17-4F1A-B32A-ADA75341D6B2}" name="Column3"/>
    <tableColumn id="4" xr3:uid="{73D9CED9-5D70-4703-903A-C88CDC101224}" name="Column4"/>
  </tableColumns>
  <tableStyleInfo name="ذوقی و مهدی-style 27" showFirstColumn="1" showLastColumn="1" showRowStripes="1" showColumnStripes="0"/>
</table>
</file>

<file path=xl/tables/table3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1" xr:uid="{519CC49B-5958-42B2-9D3A-92F2525EDEC3}" name="Table_369472" displayName="Table_369472" ref="B6746:E6747" headerRowCount="0">
  <tableColumns count="4">
    <tableColumn id="1" xr3:uid="{CE487D24-2B94-4B95-A0BE-42F97A005953}" name="Column1"/>
    <tableColumn id="2" xr3:uid="{CCCFCD6D-250F-4AF5-8AB1-4285401F4123}" name="Column2"/>
    <tableColumn id="3" xr3:uid="{CE5D51C6-3929-4C4E-B7A8-0A5195C76B9E}" name="Column3"/>
    <tableColumn id="4" xr3:uid="{73266ADC-71BE-4401-A3AA-7AA4FF5732A2}" name="Column4"/>
  </tableColumns>
  <tableStyleInfo name="ذوقی و مهدی-style 28" showFirstColumn="1" showLastColumn="1" showRowStripes="1" showColumnStripes="0"/>
</table>
</file>

<file path=xl/tables/table3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2" xr:uid="{80AE8F4E-C0D7-4823-95BA-6917F1CB5B86}" name="Table_370473" displayName="Table_370473" ref="B6760:E6761" headerRowCount="0">
  <tableColumns count="4">
    <tableColumn id="1" xr3:uid="{8D92A94B-6448-4409-A5EA-1AF1BC3E6025}" name="Column1"/>
    <tableColumn id="2" xr3:uid="{825125C5-C7E0-4741-AE5D-E4C6D819A68E}" name="Column2"/>
    <tableColumn id="3" xr3:uid="{585F0E5D-9AD6-42E4-BA43-6531FBAF4AC3}" name="Column3"/>
    <tableColumn id="4" xr3:uid="{7AC76A8F-598D-498F-838A-FE665BE159C7}" name="Column4"/>
  </tableColumns>
  <tableStyleInfo name="ذوقی و مهدی-style 29" showFirstColumn="1" showLastColumn="1" showRowStripes="1" showColumnStripes="0"/>
</table>
</file>

<file path=xl/tables/table3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3" xr:uid="{8A7C1B3E-E272-4008-A7F4-D24D4E45FA3A}" name="Table_371474" displayName="Table_371474" ref="B6775:E6776" headerRowCount="0">
  <tableColumns count="4">
    <tableColumn id="1" xr3:uid="{4F03358D-D34B-416D-9C6B-3B19C654D5ED}" name="Column1"/>
    <tableColumn id="2" xr3:uid="{48A6C35D-4A7C-4DC8-B114-2A7196BFE13A}" name="Column2"/>
    <tableColumn id="3" xr3:uid="{01E162B0-DD21-4A75-8DAB-E6644DFB6560}" name="Column3"/>
    <tableColumn id="4" xr3:uid="{0885F474-2635-4ED1-BD4F-80C8FFA0D95A}" name="Column4"/>
  </tableColumns>
  <tableStyleInfo name="ذوقی و مهدی-style 30" showFirstColumn="1" showLastColumn="1" showRowStripes="1" showColumnStripes="0"/>
</table>
</file>

<file path=xl/tables/table3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4" xr:uid="{F013C025-3579-4924-A97D-3C45FA76B4EC}" name="Table_372475" displayName="Table_372475" ref="B6792:E6793" headerRowCount="0">
  <tableColumns count="4">
    <tableColumn id="1" xr3:uid="{665CAA71-4FFC-4C8C-B484-5799A042B95A}" name="Column1"/>
    <tableColumn id="2" xr3:uid="{9A16E456-C831-417D-9431-DFD5F5366ACB}" name="Column2"/>
    <tableColumn id="3" xr3:uid="{2BA09537-8946-4A77-82BA-EE97A26081C0}" name="Column3"/>
    <tableColumn id="4" xr3:uid="{DD3D4BF0-57D2-4784-AD53-4ED90584BF22}" name="Column4"/>
  </tableColumns>
  <tableStyleInfo name="ذوقی و مهدی-style 31" showFirstColumn="1" showLastColumn="1" showRowStripes="1" showColumnStripes="0"/>
</table>
</file>

<file path=xl/tables/table3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5" xr:uid="{08B087FF-CC82-41E3-8133-F14304CEC58A}" name="Table_373476" displayName="Table_373476" ref="B6811:E6812" headerRowCount="0">
  <tableColumns count="4">
    <tableColumn id="1" xr3:uid="{B0001790-DBE2-4885-BA7E-3F0F863FF0F3}" name="Column1"/>
    <tableColumn id="2" xr3:uid="{1EEF519A-856E-4CD6-A176-15D3D8D4AC00}" name="Column2"/>
    <tableColumn id="3" xr3:uid="{1965CDAA-ECC1-4AD2-91AC-5628F7A9FC45}" name="Column3"/>
    <tableColumn id="4" xr3:uid="{098EEAD1-0384-4548-88A7-F2E53BC9452E}" name="Column4"/>
  </tableColumns>
  <tableStyleInfo name="ذوقی و مهدی-style 32" showFirstColumn="1" showLastColumn="1" showRowStripes="1" showColumnStripes="0"/>
</table>
</file>

<file path=xl/tables/table3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6" xr:uid="{641A89D1-9097-4CD0-BBB6-1F0F3512C6C7}" name="Table_374477" displayName="Table_374477" ref="B6830:E6831" headerRowCount="0">
  <tableColumns count="4">
    <tableColumn id="1" xr3:uid="{323728ED-E39B-4034-8A51-CB5F5F5CB52D}" name="Column1"/>
    <tableColumn id="2" xr3:uid="{BFB82BC9-0BA3-4876-B584-DEE0D9592E57}" name="Column2"/>
    <tableColumn id="3" xr3:uid="{B835E410-DA21-4610-A6D2-82045F955B3F}" name="Column3"/>
    <tableColumn id="4" xr3:uid="{7E989B0C-5AB0-40FC-B479-71CBF2700445}" name="Column4"/>
  </tableColumns>
  <tableStyleInfo name="ذوقی و مهدی-style 33" showFirstColumn="1" showLastColumn="1" showRowStripes="1" showColumnStripes="0"/>
</table>
</file>

<file path=xl/tables/table3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7" xr:uid="{09C208F6-C077-4505-9E45-B0485DC9904E}" name="Table_375478" displayName="Table_375478" ref="B6843:E6844" headerRowCount="0">
  <tableColumns count="4">
    <tableColumn id="1" xr3:uid="{F2E33AC3-13D1-4C02-9A3A-33839E8A0C46}" name="Column1"/>
    <tableColumn id="2" xr3:uid="{9511D684-A7E1-480A-9F6E-622BD66AD747}" name="Column2"/>
    <tableColumn id="3" xr3:uid="{EE7B770A-10C3-4B24-9006-8FC996783588}" name="Column3"/>
    <tableColumn id="4" xr3:uid="{37D0ECB7-801F-4027-85E5-03ABBD11EBF2}" name="Column4"/>
  </tableColumns>
  <tableStyleInfo name="ذوقی و مهدی-style 34" showFirstColumn="1" showLastColumn="1" showRowStripes="1" showColumnStripes="0"/>
</table>
</file>

<file path=xl/tables/table3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8" xr:uid="{E924EC03-1516-4109-B693-5D3CEE79E09F}" name="Table_376479" displayName="Table_376479" ref="B6858:E6859" headerRowCount="0">
  <tableColumns count="4">
    <tableColumn id="1" xr3:uid="{8D6B176F-2736-4E07-90F9-0DAEBCD84420}" name="Column1"/>
    <tableColumn id="2" xr3:uid="{37E31200-A531-46F9-8CA8-1DCE6E58E3F6}" name="Column2"/>
    <tableColumn id="3" xr3:uid="{67A399D2-BCB3-433B-BE62-9DCE9FC2D166}" name="Column3"/>
    <tableColumn id="4" xr3:uid="{CDE2C671-B8B5-499E-BD96-4699A174998C}" name="Column4"/>
  </tableColumns>
  <tableStyleInfo name="ذوقی و مهدی-style 35" showFirstColumn="1" showLastColumn="1" showRowStripes="1" showColumnStripes="0"/>
</table>
</file>

<file path=xl/tables/table3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9" xr:uid="{0711A9A6-B35F-4715-8285-62188EA849CC}" name="Table_377480" displayName="Table_377480" ref="B6871:E6872" headerRowCount="0">
  <tableColumns count="4">
    <tableColumn id="1" xr3:uid="{1F65D0EE-78C2-40FF-B267-BC683105014C}" name="Column1"/>
    <tableColumn id="2" xr3:uid="{AA1D7E58-FA93-4ACA-B89D-C7052C0E62AA}" name="Column2"/>
    <tableColumn id="3" xr3:uid="{7B00787A-FC53-4E25-87EC-470C1D58829F}" name="Column3"/>
    <tableColumn id="4" xr3:uid="{210A0D09-2465-410B-B041-CF84C99B24FD}" name="Column4"/>
  </tableColumns>
  <tableStyleInfo name="ذوقی و مهدی-style 36" showFirstColumn="1" showLastColumn="1" showRowStripes="1" showColumnStripes="0"/>
</table>
</file>

<file path=xl/tables/table3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0" xr:uid="{634F6212-56A3-46CA-B861-F705A1483E2F}" name="Table_378481" displayName="Table_378481" ref="B6884:E6885" headerRowCount="0">
  <tableColumns count="4">
    <tableColumn id="1" xr3:uid="{8C66BD44-9909-44A7-8430-B6191664CBDA}" name="Column1"/>
    <tableColumn id="2" xr3:uid="{B798185B-0A26-4FAB-8B55-91592B806677}" name="Column2"/>
    <tableColumn id="3" xr3:uid="{64E41F18-FE6C-469C-B294-9CA5B2E588C2}" name="Column3"/>
    <tableColumn id="4" xr3:uid="{55A4E93E-7B4D-4308-9508-2EF3938DD691}" name="Column4"/>
  </tableColumns>
  <tableStyleInfo name="ذوقی و مهدی-style 37" showFirstColumn="1" showLastColumn="1" showRowStripes="1" showColumnStripes="0"/>
</table>
</file>

<file path=xl/tables/table3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1" xr:uid="{98B47EB5-B33B-41ED-8894-E30966D838D8}" name="Table_379482" displayName="Table_379482" ref="B6896:E6897" headerRowCount="0">
  <tableColumns count="4">
    <tableColumn id="1" xr3:uid="{2B1ABFAB-8EBD-4D82-98DF-ABC9A72F2375}" name="Column1"/>
    <tableColumn id="2" xr3:uid="{DD75AA1E-04D5-4F33-B2E2-DFA9A11FBBDA}" name="Column2"/>
    <tableColumn id="3" xr3:uid="{01EF486D-8BB9-4D9F-80AE-38B6A7612A8B}" name="Column3"/>
    <tableColumn id="4" xr3:uid="{968D7DEF-9830-43A8-91C3-81DB4D22C0BE}" name="Column4"/>
  </tableColumns>
  <tableStyleInfo name="ذوقی و مهدی-style 38" showFirstColumn="1" showLastColumn="1" showRowStripes="1" showColumnStripes="0"/>
</table>
</file>

<file path=xl/tables/table3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2" xr:uid="{D317DC89-2085-4C2B-A4B3-43AC9B98B6D3}" name="Table_380483" displayName="Table_380483" ref="B6910:E6911" headerRowCount="0">
  <tableColumns count="4">
    <tableColumn id="1" xr3:uid="{672A98FF-CB46-401F-A104-1BEB2A2735ED}" name="Column1"/>
    <tableColumn id="2" xr3:uid="{4912E412-5BEF-494B-B9DB-340040421786}" name="Column2"/>
    <tableColumn id="3" xr3:uid="{6BF76059-319D-42F9-AED9-C6D926B5F4FE}" name="Column3"/>
    <tableColumn id="4" xr3:uid="{74F7EBB1-0AEB-4C15-9462-C9FCDF255D38}" name="Column4"/>
  </tableColumns>
  <tableStyleInfo name="ذوقی و مهدی-style 39" showFirstColumn="1" showLastColumn="1" showRowStripes="1" showColumnStripes="0"/>
</table>
</file>

<file path=xl/tables/table3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3" xr:uid="{BE0FD791-AC2C-4E0F-B004-E6586993FA68}" name="Table_381484" displayName="Table_381484" ref="B6924:E6925" headerRowCount="0">
  <tableColumns count="4">
    <tableColumn id="1" xr3:uid="{AA477E49-7122-4D3F-A7FF-AB072D9487E3}" name="Column1"/>
    <tableColumn id="2" xr3:uid="{39837FDA-AC77-4754-BC4D-218BF283B70F}" name="Column2"/>
    <tableColumn id="3" xr3:uid="{070E0315-3BC7-46A0-9770-C5D75857101D}" name="Column3"/>
    <tableColumn id="4" xr3:uid="{468D763A-8325-40CF-A517-3509AEFBC3D1}" name="Column4"/>
  </tableColumns>
  <tableStyleInfo name="ذوقی و مهدی-style 40" showFirstColumn="1" showLastColumn="1" showRowStripes="1" showColumnStripes="0"/>
</table>
</file>

<file path=xl/tables/table3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4" xr:uid="{A7B49B14-8AD9-41A0-8B42-FF022D73441C}" name="Table_382485" displayName="Table_382485" ref="B6937:E6938" headerRowCount="0">
  <tableColumns count="4">
    <tableColumn id="1" xr3:uid="{C660618F-A783-427A-A118-B694C6D8AC70}" name="Column1"/>
    <tableColumn id="2" xr3:uid="{67C55F01-2568-4903-85B8-FC81ACCBD87E}" name="Column2"/>
    <tableColumn id="3" xr3:uid="{BCC1CC97-D90B-41E8-9AD8-1C33E56DA3EF}" name="Column3"/>
    <tableColumn id="4" xr3:uid="{BB4AD80D-1BC4-443E-8A5E-22EBA3273AD7}" name="Column4"/>
  </tableColumns>
  <tableStyleInfo name="ذوقی و مهدی-style 41" showFirstColumn="1" showLastColumn="1" showRowStripes="1" showColumnStripes="0"/>
</table>
</file>

<file path=xl/tables/table3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5" xr:uid="{DD9AC73D-7B09-4B82-9DD5-7FC60B719ED1}" name="Table_383486" displayName="Table_383486" ref="B6951:E6952" headerRowCount="0">
  <tableColumns count="4">
    <tableColumn id="1" xr3:uid="{8819A008-8AAA-4CBE-A4B8-2175962AA649}" name="Column1"/>
    <tableColumn id="2" xr3:uid="{72468266-EED6-4A18-A0C9-D8A329157CA8}" name="Column2"/>
    <tableColumn id="3" xr3:uid="{6A41890D-D147-4B94-BEC3-9B214C7F0A9C}" name="Column3"/>
    <tableColumn id="4" xr3:uid="{D2BF256A-392F-4D87-89CB-9603BD0BF377}" name="Column4"/>
  </tableColumns>
  <tableStyleInfo name="ذوقی و مهدی-style 42" showFirstColumn="1" showLastColumn="1" showRowStripes="1" showColumnStripes="0"/>
</table>
</file>

<file path=xl/tables/table3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6" xr:uid="{C2BC20E0-8EB6-43D8-819B-785A5B183605}" name="Table_384487" displayName="Table_384487" ref="B6965:E6966" headerRowCount="0">
  <tableColumns count="4">
    <tableColumn id="1" xr3:uid="{61030D96-0BAE-478D-A86C-009D221DF36D}" name="Column1"/>
    <tableColumn id="2" xr3:uid="{55CC8E96-3FC9-40BB-A8FA-1237DAC97A94}" name="Column2"/>
    <tableColumn id="3" xr3:uid="{8AA10FE1-DC8A-4139-A2E7-C35E09CFC2BE}" name="Column3"/>
    <tableColumn id="4" xr3:uid="{4303B96D-219F-4C1C-B6F8-1803565D6EE8}" name="Column4"/>
  </tableColumns>
  <tableStyleInfo name="ذوقی و مهدی-style 43" showFirstColumn="1" showLastColumn="1" showRowStripes="1" showColumnStripes="0"/>
</table>
</file>

<file path=xl/tables/table3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7" xr:uid="{7908154E-7C8A-4777-BCD5-75168C76A284}" name="Table_385488" displayName="Table_385488" ref="B6979:E6980" headerRowCount="0">
  <tableColumns count="4">
    <tableColumn id="1" xr3:uid="{6E8D0F57-A70C-4DF5-BC68-B8D68354F2F1}" name="Column1"/>
    <tableColumn id="2" xr3:uid="{98118FAD-A5A6-42C1-9950-A51000F46E1E}" name="Column2"/>
    <tableColumn id="3" xr3:uid="{31CBFDA7-B9C8-47A3-A116-B2DC94697511}" name="Column3"/>
    <tableColumn id="4" xr3:uid="{6B12DE29-37FD-4583-A093-F47198B27E95}" name="Column4"/>
  </tableColumns>
  <tableStyleInfo name="ذوقی و مهدی-style 44" showFirstColumn="1" showLastColumn="1" showRowStripes="1" showColumnStripes="0"/>
</table>
</file>

<file path=xl/tables/table3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8" xr:uid="{00A8FFED-5E34-4929-8CFF-4A568A420E88}" name="Table_386489" displayName="Table_386489" ref="B6993:E6994" headerRowCount="0">
  <tableColumns count="4">
    <tableColumn id="1" xr3:uid="{6F73BC4A-1608-462F-8771-F5C47779343B}" name="Column1"/>
    <tableColumn id="2" xr3:uid="{C1D209FC-189F-423D-857B-B6594000918D}" name="Column2"/>
    <tableColumn id="3" xr3:uid="{D600F757-8716-45BB-882E-2053FEE54A40}" name="Column3"/>
    <tableColumn id="4" xr3:uid="{2171AC99-C7D8-468D-B02E-55A398AE8902}" name="Column4"/>
  </tableColumns>
  <tableStyleInfo name="ذوقی و مهدی-style 45" showFirstColumn="1" showLastColumn="1" showRowStripes="1" showColumnStripes="0"/>
</table>
</file>

<file path=xl/tables/table3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9" xr:uid="{F6CA0E31-A983-4911-AF5B-35E24E46E16E}" name="Table_387490" displayName="Table_387490" ref="B7007:E7008" headerRowCount="0">
  <tableColumns count="4">
    <tableColumn id="1" xr3:uid="{4AE1CFE6-0F25-4EE0-A803-5EBD9D14B996}" name="Column1"/>
    <tableColumn id="2" xr3:uid="{E4DA64A8-02ED-4A42-896B-1327A8F3A23E}" name="Column2"/>
    <tableColumn id="3" xr3:uid="{C98A8AE4-FAFB-4779-A2B2-526B98720F53}" name="Column3"/>
    <tableColumn id="4" xr3:uid="{3D81A7A7-CA2E-476A-9ED7-4B555E71F889}" name="Column4"/>
  </tableColumns>
  <tableStyleInfo name="ذوقی و مهدی-style 46" showFirstColumn="1" showLastColumn="1" showRowStripes="1" showColumnStripes="0"/>
</table>
</file>

<file path=xl/tables/table3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0" xr:uid="{A73177E8-6C3D-4EB1-A038-0BD0DD9393D0}" name="Table_388491" displayName="Table_388491" ref="B7022:E7023" headerRowCount="0">
  <tableColumns count="4">
    <tableColumn id="1" xr3:uid="{368052AC-7112-408B-AA11-F86E20DBD425}" name="Column1"/>
    <tableColumn id="2" xr3:uid="{F41C5D55-047C-40E4-8D39-3F73DD4C7C5D}" name="Column2"/>
    <tableColumn id="3" xr3:uid="{BEFDF1FB-F0F7-4F72-A20F-6D309E76B275}" name="Column3"/>
    <tableColumn id="4" xr3:uid="{2449539E-DD73-4E4D-9318-7865D4FC3144}" name="Column4"/>
  </tableColumns>
  <tableStyleInfo name="ذوقی و مهدی-style 47" showFirstColumn="1" showLastColumn="1" showRowStripes="1" showColumnStripes="0"/>
</table>
</file>

<file path=xl/tables/table3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1" xr:uid="{D25AF6D8-722F-4DDE-8A37-E63CA2CB2C53}" name="Table_389492" displayName="Table_389492" ref="B7036:E7037" headerRowCount="0">
  <tableColumns count="4">
    <tableColumn id="1" xr3:uid="{4722FCD4-996D-4D5F-837F-0B6258548846}" name="Column1"/>
    <tableColumn id="2" xr3:uid="{75A64AF7-05E2-4FC4-B12F-4A1EB486D12D}" name="Column2"/>
    <tableColumn id="3" xr3:uid="{B338FC8E-0B70-4539-B7E2-E0CCD929F876}" name="Column3"/>
    <tableColumn id="4" xr3:uid="{F99C167C-09C8-468A-A426-395792FA46BE}" name="Column4"/>
  </tableColumns>
  <tableStyleInfo name="ذوقی و مهدی-style 48" showFirstColumn="1" showLastColumn="1" showRowStripes="1" showColumnStripes="0"/>
</table>
</file>

<file path=xl/tables/table3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2" xr:uid="{5E837D0F-E8A8-481A-BD1B-72F2EE3DEA5E}" name="Table_390493" displayName="Table_390493" ref="B7050:E7051" headerRowCount="0">
  <tableColumns count="4">
    <tableColumn id="1" xr3:uid="{C0D8A37F-F387-4DA7-858B-DD14F3192F13}" name="Column1"/>
    <tableColumn id="2" xr3:uid="{91C55DCD-CC2B-44F9-9EFF-D6CB6618BF39}" name="Column2"/>
    <tableColumn id="3" xr3:uid="{93966CC0-2129-4361-BB2A-FAC396EDEE09}" name="Column3"/>
    <tableColumn id="4" xr3:uid="{CF90ABB0-B499-4A7C-B0F0-6CC7FBC7C75C}" name="Column4"/>
  </tableColumns>
  <tableStyleInfo name="ذوقی و مهدی-style 49" showFirstColumn="1" showLastColumn="1" showRowStripes="1" showColumnStripes="0"/>
</table>
</file>

<file path=xl/tables/table3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3" xr:uid="{CC02B8FF-194B-4BCB-9EB1-03313943284A}" name="Table_391494" displayName="Table_391494" ref="B7063:E7064" headerRowCount="0">
  <tableColumns count="4">
    <tableColumn id="1" xr3:uid="{DFDD7D7C-6CD1-4908-8B1B-4CB89AAB0C54}" name="Column1"/>
    <tableColumn id="2" xr3:uid="{45FB422C-3D1A-4861-B590-10771A5E713E}" name="Column2"/>
    <tableColumn id="3" xr3:uid="{00616D3D-FFD2-442D-B551-08BCB74C544A}" name="Column3"/>
    <tableColumn id="4" xr3:uid="{B67657DA-3D59-47F6-89C5-31D0E1D40FCA}" name="Column4"/>
  </tableColumns>
  <tableStyleInfo name="ذوقی و مهدی-style 50" showFirstColumn="1" showLastColumn="1" showRowStripes="1" showColumnStripes="0"/>
</table>
</file>

<file path=xl/tables/table3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4" xr:uid="{90774638-EC9B-4258-8C63-234A38238FA4}" name="Table_392495" displayName="Table_392495" ref="B7077:E7078" headerRowCount="0">
  <tableColumns count="4">
    <tableColumn id="1" xr3:uid="{DF1BEF80-2C2F-4EF3-A2E4-8F4B5269FDB1}" name="Column1"/>
    <tableColumn id="2" xr3:uid="{81D1FB1B-3FDA-4A3B-A663-078F4B1607C0}" name="Column2"/>
    <tableColumn id="3" xr3:uid="{2E9C2D36-856D-43AA-9CFA-429C6C6635FA}" name="Column3"/>
    <tableColumn id="4" xr3:uid="{5AD31999-8FDB-4811-A51E-6C41969AE15C}" name="Column4"/>
  </tableColumns>
  <tableStyleInfo name="ذوقی و مهدی-style 51" showFirstColumn="1" showLastColumn="1" showRowStripes="1" showColumnStripes="0"/>
</table>
</file>

<file path=xl/tables/table3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5" xr:uid="{63709485-57AD-4A34-AB15-5E7030AD9B46}" name="Table_393496" displayName="Table_393496" ref="B7091:E7092" headerRowCount="0">
  <tableColumns count="4">
    <tableColumn id="1" xr3:uid="{FB697E40-FB7E-4259-BC6E-DE44045C906C}" name="Column1"/>
    <tableColumn id="2" xr3:uid="{2473E925-BE20-48A3-A584-280AD74DB19C}" name="Column2"/>
    <tableColumn id="3" xr3:uid="{903D4F74-6449-479F-B0AA-3DD5BD42A471}" name="Column3"/>
    <tableColumn id="4" xr3:uid="{C6157C9A-895B-4112-A772-4C8A4799BAE8}" name="Column4"/>
  </tableColumns>
  <tableStyleInfo name="ذوقی و مهدی-style 52" showFirstColumn="1" showLastColumn="1" showRowStripes="1" showColumnStripes="0"/>
</table>
</file>

<file path=xl/tables/table3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6" xr:uid="{50D01269-D0E0-4F2C-83D7-0AC8F2D37806}" name="Table_394497" displayName="Table_394497" ref="B7106:E7107" headerRowCount="0">
  <tableColumns count="4">
    <tableColumn id="1" xr3:uid="{F95CACA0-719F-41A6-9D77-F8912F9CA30F}" name="Column1"/>
    <tableColumn id="2" xr3:uid="{15351BBE-7124-44E8-A667-85D299808345}" name="Column2"/>
    <tableColumn id="3" xr3:uid="{083E9EFD-01B1-4681-9211-494724C98312}" name="Column3"/>
    <tableColumn id="4" xr3:uid="{29CF420C-06C3-4528-8087-7FDA64FDF5CA}" name="Column4"/>
  </tableColumns>
  <tableStyleInfo name="ذوقی و مهدی-style 53" showFirstColumn="1" showLastColumn="1" showRowStripes="1" showColumnStripes="0"/>
</table>
</file>

<file path=xl/tables/table3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7" xr:uid="{A3CFF331-719F-46A2-936E-A5CE96821A65}" name="Table_395498" displayName="Table_395498" ref="B7120:E7121" headerRowCount="0">
  <tableColumns count="4">
    <tableColumn id="1" xr3:uid="{C7834845-7262-4170-9706-004EAFAF6606}" name="Column1"/>
    <tableColumn id="2" xr3:uid="{59CD8215-8576-4063-BF2D-4536FD248B89}" name="Column2"/>
    <tableColumn id="3" xr3:uid="{ED721A60-6F55-4B62-9B09-E973DD6A16FF}" name="Column3"/>
    <tableColumn id="4" xr3:uid="{6837B0F2-3258-45BF-A970-77A205B0955D}" name="Column4"/>
  </tableColumns>
  <tableStyleInfo name="ذوقی و مهدی-style 54" showFirstColumn="1" showLastColumn="1" showRowStripes="1" showColumnStripes="0"/>
</table>
</file>

<file path=xl/tables/table3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8" xr:uid="{E2DDE479-9FC5-4BE8-9802-1FB4B8FE0F58}" name="Table_396499" displayName="Table_396499" ref="B7135:E7136" headerRowCount="0">
  <tableColumns count="4">
    <tableColumn id="1" xr3:uid="{4A33E67B-11C7-4CB5-B55E-7ECF573961AC}" name="Column1"/>
    <tableColumn id="2" xr3:uid="{A32D835E-F92E-44CE-BBD6-6EC3EC31F9BD}" name="Column2"/>
    <tableColumn id="3" xr3:uid="{021845B4-BAF6-4F7F-9860-E4C67A62E9D7}" name="Column3"/>
    <tableColumn id="4" xr3:uid="{EB873DC5-AFF5-4273-A6B3-F157506FDB51}" name="Column4"/>
  </tableColumns>
  <tableStyleInfo name="ذوقی و مهدی-style 55" showFirstColumn="1" showLastColumn="1" showRowStripes="1" showColumnStripes="0"/>
</table>
</file>

<file path=xl/tables/table3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9" xr:uid="{4FE906BA-BD5E-4A15-B245-A54B15DB2C58}" name="Table_397500" displayName="Table_397500" ref="B7150:E7151" headerRowCount="0">
  <tableColumns count="4">
    <tableColumn id="1" xr3:uid="{D50BF7AD-5622-46B3-BD1B-63BED785D8C2}" name="Column1"/>
    <tableColumn id="2" xr3:uid="{C390055E-6F94-4678-937F-DC0DB38D115F}" name="Column2"/>
    <tableColumn id="3" xr3:uid="{707B0DC2-22F7-459A-AA8A-BF72B24BAF1B}" name="Column3"/>
    <tableColumn id="4" xr3:uid="{41866164-2884-499A-A890-148C7CAE480B}" name="Column4"/>
  </tableColumns>
  <tableStyleInfo name="ذوقی و مهدی-style 56" showFirstColumn="1" showLastColumn="1" showRowStripes="1" showColumnStripes="0"/>
</table>
</file>

<file path=xl/tables/table3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0" xr:uid="{811DEB5E-3DB9-4234-8990-2437F32B5DD0}" name="Table_398501" displayName="Table_398501" ref="B7164:E7165" headerRowCount="0">
  <tableColumns count="4">
    <tableColumn id="1" xr3:uid="{0AA3B2B2-CB9E-4B9C-A32C-B53451A4D4A9}" name="Column1"/>
    <tableColumn id="2" xr3:uid="{17787C3D-2F86-46B7-8ED6-ED0979FDF6AB}" name="Column2"/>
    <tableColumn id="3" xr3:uid="{9A167C1F-33C4-4091-B088-2772D7750BBC}" name="Column3"/>
    <tableColumn id="4" xr3:uid="{D156DD0E-44F1-46A8-B186-089822A5F237}" name="Column4"/>
  </tableColumns>
  <tableStyleInfo name="ذوقی و مهدی-style 57" showFirstColumn="1" showLastColumn="1" showRowStripes="1" showColumnStripes="0"/>
</table>
</file>

<file path=xl/tables/table3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1" xr:uid="{DE68B300-14B4-4074-B67F-BFB759217A82}" name="Table_399502" displayName="Table_399502" ref="B7178:E7179" headerRowCount="0">
  <tableColumns count="4">
    <tableColumn id="1" xr3:uid="{5788A9B9-39A4-42CA-B383-DD0E03C8FA0F}" name="Column1"/>
    <tableColumn id="2" xr3:uid="{A1B0E7E8-626E-4FAA-9DD5-5878B525D4C2}" name="Column2"/>
    <tableColumn id="3" xr3:uid="{DCF9B2B0-B253-4FF6-983B-3DB54EA34227}" name="Column3"/>
    <tableColumn id="4" xr3:uid="{61522906-09C7-4AC3-9611-8873E8A389F4}" name="Column4"/>
  </tableColumns>
  <tableStyleInfo name="ذوقی و مهدی-style 58" showFirstColumn="1" showLastColumn="1" showRowStripes="1" showColumnStripes="0"/>
</table>
</file>

<file path=xl/tables/table4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2" xr:uid="{468DEEAE-4319-4D23-9290-0520A044C719}" name="Table_400503" displayName="Table_400503" ref="B7193:E7194" headerRowCount="0">
  <tableColumns count="4">
    <tableColumn id="1" xr3:uid="{D71B2642-9BE8-4D41-A0E1-FC96352A1BCD}" name="Column1"/>
    <tableColumn id="2" xr3:uid="{DE21E694-DDFB-4E4D-AC61-224FE60BF84A}" name="Column2"/>
    <tableColumn id="3" xr3:uid="{648991FF-8A90-42BF-90C2-188F50919297}" name="Column3"/>
    <tableColumn id="4" xr3:uid="{E8EA9FF9-83D7-4846-AB12-E0E72AB989B9}" name="Column4"/>
  </tableColumns>
  <tableStyleInfo name="ذوقی و مهدی-style 59" showFirstColumn="1" showLastColumn="1" showRowStripes="1" showColumnStripes="0"/>
</table>
</file>

<file path=xl/tables/table4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3" xr:uid="{A71D0E07-4F4A-4AA6-B4B0-BEFDEBF143C2}" name="Table_401504" displayName="Table_401504" ref="B7207:E7208" headerRowCount="0">
  <tableColumns count="4">
    <tableColumn id="1" xr3:uid="{66616FE5-64F2-49FD-8072-4594E4CCCD15}" name="Column1"/>
    <tableColumn id="2" xr3:uid="{C15ADB49-5DB2-44B0-81F7-A39CCCA8A5BA}" name="Column2"/>
    <tableColumn id="3" xr3:uid="{784F2488-3419-4DB8-B299-F40B3BA11B47}" name="Column3"/>
    <tableColumn id="4" xr3:uid="{D123A59F-19F8-41C5-B8B3-8B028950C197}" name="Column4"/>
  </tableColumns>
  <tableStyleInfo name="ذوقی و مهدی-style 60" showFirstColumn="1" showLastColumn="1" showRowStripes="1" showColumnStripes="0"/>
</table>
</file>

<file path=xl/tables/table4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4" xr:uid="{9D672A72-ED4D-4A53-8827-8B69C9E3F0D3}" name="Table_402505" displayName="Table_402505" ref="B7221:E7222" headerRowCount="0">
  <tableColumns count="4">
    <tableColumn id="1" xr3:uid="{488545DA-EF45-4E9F-A250-15275F2710DE}" name="Column1"/>
    <tableColumn id="2" xr3:uid="{14032A0A-9573-49AC-8757-EB0EE4D0802D}" name="Column2"/>
    <tableColumn id="3" xr3:uid="{1C52D78B-A078-4AEE-A2AC-F662EB357D30}" name="Column3"/>
    <tableColumn id="4" xr3:uid="{628AB3C5-8AC8-455E-A1AE-266E16A1C73E}" name="Column4"/>
  </tableColumns>
  <tableStyleInfo name="ذوقی و مهدی-style 61" showFirstColumn="1" showLastColumn="1" showRowStripes="1" showColumnStripes="0"/>
</table>
</file>

<file path=xl/tables/table4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5" xr:uid="{52C4FDD2-B795-42B2-B082-3BE5D072EA6B}" name="Table_403506" displayName="Table_403506" ref="B7234:E7235" headerRowCount="0">
  <tableColumns count="4">
    <tableColumn id="1" xr3:uid="{74443C6B-AF52-439F-9A18-882D1EDC1838}" name="Column1"/>
    <tableColumn id="2" xr3:uid="{DA573EF6-5B64-4EA0-A3E1-6C2C902F099B}" name="Column2"/>
    <tableColumn id="3" xr3:uid="{E85D7FB9-376C-4120-9BE3-FEB429767F0E}" name="Column3"/>
    <tableColumn id="4" xr3:uid="{F8EA1986-6152-4B9F-AA9B-EAF2E2D6CF67}" name="Column4"/>
  </tableColumns>
  <tableStyleInfo name="ذوقی و مهدی-style 62" showFirstColumn="1" showLastColumn="1" showRowStripes="1" showColumnStripes="0"/>
</table>
</file>

<file path=xl/tables/table4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6" xr:uid="{4C447B75-E90C-43F5-A5BF-F50174377296}" name="Table_404507" displayName="Table_404507" ref="B7249:E7250" headerRowCount="0">
  <tableColumns count="4">
    <tableColumn id="1" xr3:uid="{45835B08-925F-4B9C-9107-DC97267E1118}" name="Column1"/>
    <tableColumn id="2" xr3:uid="{7681BFE6-6E9C-4A6A-942C-5ECEF8257342}" name="Column2"/>
    <tableColumn id="3" xr3:uid="{9D1CBF54-E4BC-4C89-88CC-97CC5EE19B99}" name="Column3"/>
    <tableColumn id="4" xr3:uid="{4A36B1BC-E19B-4E9E-A6F6-F099DBEF0CDE}" name="Column4"/>
  </tableColumns>
  <tableStyleInfo name="ذوقی و مهدی-style 63" showFirstColumn="1" showLastColumn="1" showRowStripes="1" showColumnStripes="0"/>
</table>
</file>

<file path=xl/tables/table4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7" xr:uid="{2418FD2B-FDDB-4FB3-B84D-7390935888EA}" name="Table_405508" displayName="Table_405508" ref="B7261:E7262" headerRowCount="0">
  <tableColumns count="4">
    <tableColumn id="1" xr3:uid="{CCF6189C-E808-4288-87D6-A9E62F8ED42C}" name="Column1"/>
    <tableColumn id="2" xr3:uid="{276B6731-F415-4A0C-8326-1B8DDC63990C}" name="Column2"/>
    <tableColumn id="3" xr3:uid="{5F3DA4EC-94A4-4212-8158-32FBC7148130}" name="Column3"/>
    <tableColumn id="4" xr3:uid="{8F5D4B4B-30DD-4870-A528-EB99A775A9E2}" name="Column4"/>
  </tableColumns>
  <tableStyleInfo name="ذوقی و مهدی-style 64" showFirstColumn="1" showLastColumn="1" showRowStripes="1" showColumnStripes="0"/>
</table>
</file>

<file path=xl/tables/table4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8" xr:uid="{AB8DC1C3-2678-4834-BB44-240A6B917DB4}" name="Table_406509" displayName="Table_406509" ref="B7274:E7275" headerRowCount="0">
  <tableColumns count="4">
    <tableColumn id="1" xr3:uid="{10FF2C48-A600-4B04-94C3-B0092A2A07D6}" name="Column1"/>
    <tableColumn id="2" xr3:uid="{57A799AF-CF7F-472B-B742-E8D5FC915581}" name="Column2"/>
    <tableColumn id="3" xr3:uid="{0C96FE03-F9CB-4479-BDC3-E4A2A08B01C2}" name="Column3"/>
    <tableColumn id="4" xr3:uid="{E905C076-576E-44C6-BFB0-870CD9991FEE}" name="Column4"/>
  </tableColumns>
  <tableStyleInfo name="ذوقی و مهدی-style 65" showFirstColumn="1" showLastColumn="1" showRowStripes="1" showColumnStripes="0"/>
</table>
</file>

<file path=xl/tables/table4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9" xr:uid="{52224EE0-B42A-4012-9A23-8C7894D70913}" name="Table_407510" displayName="Table_407510" ref="B7287:E7288" headerRowCount="0">
  <tableColumns count="4">
    <tableColumn id="1" xr3:uid="{FEA710E9-8814-47BF-B795-2DD540FC9AF9}" name="Column1"/>
    <tableColumn id="2" xr3:uid="{4F0CBF5A-A4BF-4D3D-B9DB-7C1FD04A86BD}" name="Column2"/>
    <tableColumn id="3" xr3:uid="{B177F47D-1D55-4892-A285-EAC454F91E5F}" name="Column3"/>
    <tableColumn id="4" xr3:uid="{567AE457-F28D-4031-94AE-83C748AA478C}" name="Column4"/>
  </tableColumns>
  <tableStyleInfo name="ذوقی و مهدی-style 66" showFirstColumn="1" showLastColumn="1" showRowStripes="1" showColumnStripes="0"/>
</table>
</file>

<file path=xl/tables/table4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0" xr:uid="{5D664653-4F09-4649-A66F-522F84C7F8C1}" name="Table_408511" displayName="Table_408511" ref="B7302:E7303" headerRowCount="0">
  <tableColumns count="4">
    <tableColumn id="1" xr3:uid="{AAA95AEB-2DD1-4186-8516-58B6823AD5EC}" name="Column1"/>
    <tableColumn id="2" xr3:uid="{A9759F37-6357-4411-B6C3-51065A004A1B}" name="Column2"/>
    <tableColumn id="3" xr3:uid="{A8581B08-BC6C-402A-8262-0F087E717208}" name="Column3"/>
    <tableColumn id="4" xr3:uid="{C2C7EBDF-7967-4E37-BDEB-F00EA34487FE}" name="Column4"/>
  </tableColumns>
  <tableStyleInfo name="ذوقی و مهدی-style 67" showFirstColumn="1" showLastColumn="1" showRowStripes="1" showColumnStripes="0"/>
</table>
</file>

<file path=xl/tables/table4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1" xr:uid="{1368552C-5F4B-4710-A581-7A409615B855}" name="Table_409512" displayName="Table_409512" ref="B7317:E7318" headerRowCount="0">
  <tableColumns count="4">
    <tableColumn id="1" xr3:uid="{06F75F86-5516-4C20-91F6-E188CF7BFF3E}" name="Column1"/>
    <tableColumn id="2" xr3:uid="{734B308B-1953-47CB-8CE9-896EAE2C3012}" name="Column2"/>
    <tableColumn id="3" xr3:uid="{82910DB2-1D4D-4F8A-8B14-EF17DCFD76E8}" name="Column3"/>
    <tableColumn id="4" xr3:uid="{112F529C-D705-4078-9DC3-6639F68522C4}" name="Column4"/>
  </tableColumns>
  <tableStyleInfo name="ذوقی و مهدی-style 68" showFirstColumn="1" showLastColumn="1" showRowStripes="1" showColumnStripes="0"/>
</table>
</file>

<file path=xl/tables/table4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2" xr:uid="{43F7700D-FE34-4D6B-B7A0-FB50A6EE8A78}" name="Table_410513" displayName="Table_410513" ref="B7332:E7333" headerRowCount="0">
  <tableColumns count="4">
    <tableColumn id="1" xr3:uid="{CBFC8E55-5730-48B3-B67C-4882301F80B4}" name="Column1"/>
    <tableColumn id="2" xr3:uid="{54E90AE1-45E6-4639-A080-E41F883876F3}" name="Column2"/>
    <tableColumn id="3" xr3:uid="{D5378B11-C2B1-43A5-B826-A8BB059B93AF}" name="Column3"/>
    <tableColumn id="4" xr3:uid="{B886A766-A4A6-4C13-B9B2-7EAD566FA921}" name="Column4"/>
  </tableColumns>
  <tableStyleInfo name="ذوقی و مهدی-style 69" showFirstColumn="1" showLastColumn="1" showRowStripes="1" showColumnStripes="0"/>
</table>
</file>

<file path=xl/tables/table4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3" xr:uid="{CD5A5AD5-4173-4DDD-BD13-CBA44A0CB3C5}" name="Table_411514" displayName="Table_411514" ref="B7347:E7348" headerRowCount="0">
  <tableColumns count="4">
    <tableColumn id="1" xr3:uid="{32698CAA-3A6C-4717-9639-82C27B6609FD}" name="Column1"/>
    <tableColumn id="2" xr3:uid="{EAED0D0E-D6CD-41E7-8A65-8220FD380272}" name="Column2"/>
    <tableColumn id="3" xr3:uid="{9D63627C-84F5-4B14-B7C2-049A8B8E9492}" name="Column3"/>
    <tableColumn id="4" xr3:uid="{2570B264-37BE-49AB-94DA-A2FB39BE3723}" name="Column4"/>
  </tableColumns>
  <tableStyleInfo name="ذوقی و مهدی-style 70" showFirstColumn="1" showLastColumn="1" showRowStripes="1" showColumnStripes="0"/>
</table>
</file>

<file path=xl/tables/table4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4" xr:uid="{B231FAF0-A091-400C-B7EF-64CDC2669EC7}" name="Table_412515" displayName="Table_412515" ref="B7362:E7363" headerRowCount="0">
  <tableColumns count="4">
    <tableColumn id="1" xr3:uid="{86CCDCD3-8E08-4ECF-B765-07EF48EC8B94}" name="Column1"/>
    <tableColumn id="2" xr3:uid="{35BF2E9F-E978-4CD2-85D0-CC48568E575B}" name="Column2"/>
    <tableColumn id="3" xr3:uid="{D6DCF594-1908-4412-9EED-E7E81AB01933}" name="Column3"/>
    <tableColumn id="4" xr3:uid="{E6ADF3C8-A036-44C1-8569-EB0034FC5E3D}" name="Column4"/>
  </tableColumns>
  <tableStyleInfo name="ذوقی و مهدی-style 71" showFirstColumn="1" showLastColumn="1" showRowStripes="1" showColumnStripes="0"/>
</table>
</file>

<file path=xl/tables/table4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5" xr:uid="{16A81236-8F32-43A9-9277-FCF00E03FBF3}" name="Table_413516" displayName="Table_413516" ref="B7376:E7377" headerRowCount="0">
  <tableColumns count="4">
    <tableColumn id="1" xr3:uid="{80D32EA1-C9BA-4722-A8D7-315C065DADD1}" name="Column1"/>
    <tableColumn id="2" xr3:uid="{936ABD61-6F0E-462B-8AF7-FC0EB4622A09}" name="Column2"/>
    <tableColumn id="3" xr3:uid="{07A0CCED-95AA-41DC-B39F-15D30F6B7A07}" name="Column3"/>
    <tableColumn id="4" xr3:uid="{825C44B6-4E11-47C3-8BEC-92CE5AF1E635}" name="Column4"/>
  </tableColumns>
  <tableStyleInfo name="ذوقی و مهدی-style 72" showFirstColumn="1" showLastColumn="1" showRowStripes="1" showColumnStripes="0"/>
</table>
</file>

<file path=xl/tables/table4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6" xr:uid="{72715D81-2F50-4FC7-8490-C31D27AC9228}" name="Table_414517" displayName="Table_414517" ref="B7391:E7392" headerRowCount="0">
  <tableColumns count="4">
    <tableColumn id="1" xr3:uid="{F6556269-8277-4F60-BBD5-FB21BD29F6D4}" name="Column1"/>
    <tableColumn id="2" xr3:uid="{69C68312-E4C5-4EDB-AA9E-E8C26F362933}" name="Column2"/>
    <tableColumn id="3" xr3:uid="{B7737A19-3E72-4489-B8F2-B64AD68FF10E}" name="Column3"/>
    <tableColumn id="4" xr3:uid="{81FF50F0-6EAE-4EAD-A440-911F91E939E1}" name="Column4"/>
  </tableColumns>
  <tableStyleInfo name="ذوقی و مهدی-style 73" showFirstColumn="1" showLastColumn="1" showRowStripes="1" showColumnStripes="0"/>
</table>
</file>

<file path=xl/tables/table4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7" xr:uid="{A8DF4D00-0AF4-4506-B0DD-5E40188E0279}" name="Table_415518" displayName="Table_415518" ref="B7406:E7407" headerRowCount="0">
  <tableColumns count="4">
    <tableColumn id="1" xr3:uid="{F17946DE-4A01-4479-A2BE-7C7EA45A1419}" name="Column1"/>
    <tableColumn id="2" xr3:uid="{A1D83E75-A908-4E7C-B79A-16F049C4EFD5}" name="Column2"/>
    <tableColumn id="3" xr3:uid="{BCF7A919-7783-4739-BA9F-68349680401A}" name="Column3"/>
    <tableColumn id="4" xr3:uid="{4BDF558E-F13B-4F7F-B314-3CAA07C0992E}" name="Column4"/>
  </tableColumns>
  <tableStyleInfo name="ذوقی و مهدی-style 74" showFirstColumn="1" showLastColumn="1" showRowStripes="1" showColumnStripes="0"/>
</table>
</file>

<file path=xl/tables/table4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8" xr:uid="{FB1B4BEE-6013-4AAE-9A4D-51070B148441}" name="Table_416519" displayName="Table_416519" ref="B7419:E7420" headerRowCount="0">
  <tableColumns count="4">
    <tableColumn id="1" xr3:uid="{9280CF62-23EF-4555-9701-77DB9CE212A8}" name="Column1"/>
    <tableColumn id="2" xr3:uid="{4401FD50-A9ED-455F-87F8-9C2409E8FF21}" name="Column2"/>
    <tableColumn id="3" xr3:uid="{208D3DA2-7B8F-4516-A3FD-F95355479577}" name="Column3"/>
    <tableColumn id="4" xr3:uid="{9D2BD8D3-BD34-42D6-BF50-F536A9F8EF68}" name="Column4"/>
  </tableColumns>
  <tableStyleInfo name="ذوقی و مهدی-style 75" showFirstColumn="1" showLastColumn="1" showRowStripes="1" showColumnStripes="0"/>
</table>
</file>

<file path=xl/tables/table4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9" xr:uid="{18368FA6-02DD-4966-A18E-7D3461EB583F}" name="Table_417520" displayName="Table_417520" ref="B7435:E7436" headerRowCount="0">
  <tableColumns count="4">
    <tableColumn id="1" xr3:uid="{C6A46918-825F-4C25-92B9-07865E4E094F}" name="Column1"/>
    <tableColumn id="2" xr3:uid="{0536DF34-E697-48EF-9A21-2CE0B0E5157D}" name="Column2"/>
    <tableColumn id="3" xr3:uid="{CDC224D6-4EF7-4CB8-A0C8-FCC84E0F0674}" name="Column3"/>
    <tableColumn id="4" xr3:uid="{9D9D9B75-7821-422E-BF7B-52CE5BF1371F}" name="Column4"/>
  </tableColumns>
  <tableStyleInfo name="ذوقی و مهدی-style 76" showFirstColumn="1" showLastColumn="1" showRowStripes="1" showColumnStripes="0"/>
</table>
</file>

<file path=xl/tables/table4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0" xr:uid="{C83EDD68-74BB-4064-95CB-54964440ABF9}" name="Table_418521" displayName="Table_418521" ref="B7449:E7450" headerRowCount="0">
  <tableColumns count="4">
    <tableColumn id="1" xr3:uid="{CAD7321F-2E89-4D13-A510-435B1A85EDCC}" name="Column1"/>
    <tableColumn id="2" xr3:uid="{B07EEB2F-9ED2-49FB-BCDD-1ECF45DEA39F}" name="Column2"/>
    <tableColumn id="3" xr3:uid="{E3C58825-C83A-48EC-B108-3850EC10F76D}" name="Column3"/>
    <tableColumn id="4" xr3:uid="{DB4883B9-2A52-4454-8A03-58A7C67CB2E1}" name="Column4"/>
  </tableColumns>
  <tableStyleInfo name="ذوقی و مهدی-style 77" showFirstColumn="1" showLastColumn="1" showRowStripes="1" showColumnStripes="0"/>
</table>
</file>

<file path=xl/tables/table4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1" xr:uid="{B44D3C42-B63D-45D6-BCD6-C30CC889CD1A}" name="Table_419522" displayName="Table_419522" ref="B7464:E7465" headerRowCount="0">
  <tableColumns count="4">
    <tableColumn id="1" xr3:uid="{0D42FCAC-5A40-4FB5-AD71-7941218C829E}" name="Column1"/>
    <tableColumn id="2" xr3:uid="{65546361-1ABE-44C1-947A-C6C8E7E9DDC6}" name="Column2"/>
    <tableColumn id="3" xr3:uid="{290F67FE-ED59-4591-8CE9-E99B73272CD1}" name="Column3"/>
    <tableColumn id="4" xr3:uid="{378E3303-DA95-4E52-8C84-2AAB226E5E13}" name="Column4"/>
  </tableColumns>
  <tableStyleInfo name="ذوقی و مهدی-style 78" showFirstColumn="1" showLastColumn="1" showRowStripes="1" showColumnStripes="0"/>
</table>
</file>

<file path=xl/tables/table4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2" xr:uid="{3EF372FF-F0B1-4226-A308-E4EB71E1D1BD}" name="Table_420523" displayName="Table_420523" ref="B7479:E7480" headerRowCount="0">
  <tableColumns count="4">
    <tableColumn id="1" xr3:uid="{B2608C04-A0AF-46A1-B0E0-29EE48B6D081}" name="Column1"/>
    <tableColumn id="2" xr3:uid="{E56E8641-4103-4E34-A819-C8AF821A438C}" name="Column2"/>
    <tableColumn id="3" xr3:uid="{D3C3619C-F0A1-41BD-82E5-9B069662ACCF}" name="Column3"/>
    <tableColumn id="4" xr3:uid="{49DDD175-5568-4B8B-8E8D-0194341FE7AE}" name="Column4"/>
  </tableColumns>
  <tableStyleInfo name="ذوقی و مهدی-style 79" showFirstColumn="1" showLastColumn="1" showRowStripes="1" showColumnStripes="0"/>
</table>
</file>

<file path=xl/tables/table4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3" xr:uid="{D5AABB2B-F9B1-4C51-BD19-B7BF8134D328}" name="Table_421524" displayName="Table_421524" ref="B7494:E7495" headerRowCount="0">
  <tableColumns count="4">
    <tableColumn id="1" xr3:uid="{D0374B23-2186-42D7-9F80-1BCDEB5B6D2A}" name="Column1"/>
    <tableColumn id="2" xr3:uid="{E3D968CE-ED16-48BA-AA19-0153B87C4D54}" name="Column2"/>
    <tableColumn id="3" xr3:uid="{DA3F66DA-3047-4D86-8F30-92B769A58829}" name="Column3"/>
    <tableColumn id="4" xr3:uid="{FB2D5B0E-CA9F-4C01-AD48-07D4364DE96B}" name="Column4"/>
  </tableColumns>
  <tableStyleInfo name="ذوقی و مهدی-style 80" showFirstColumn="1" showLastColumn="1" showRowStripes="1" showColumnStripes="0"/>
</table>
</file>

<file path=xl/tables/table4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4" xr:uid="{C58F0571-30CE-43CA-82B5-2E7A0116A094}" name="Table_422525" displayName="Table_422525" ref="B7508:E7509" headerRowCount="0">
  <tableColumns count="4">
    <tableColumn id="1" xr3:uid="{0BA4A219-1DFC-45FD-A005-B3EB8F8D02B2}" name="Column1"/>
    <tableColumn id="2" xr3:uid="{272C7CFD-E240-428E-9E0A-3FD60CC49E34}" name="Column2"/>
    <tableColumn id="3" xr3:uid="{A79E8B8E-BA9B-4F2E-AF91-69BD8CF2217B}" name="Column3"/>
    <tableColumn id="4" xr3:uid="{DAB0C39A-E714-42F5-9A76-B660DD28C54B}" name="Column4"/>
  </tableColumns>
  <tableStyleInfo name="ذوقی و مهدی-style 81" showFirstColumn="1" showLastColumn="1" showRowStripes="1" showColumnStripes="0"/>
</table>
</file>

<file path=xl/tables/table4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5" xr:uid="{7917C19A-8906-4F90-912C-12274A7DBB06}" name="Table_423526" displayName="Table_423526" ref="B7523:E7524" headerRowCount="0">
  <tableColumns count="4">
    <tableColumn id="1" xr3:uid="{F5892CBD-B133-476A-8211-CC7EEF5B4F01}" name="Column1"/>
    <tableColumn id="2" xr3:uid="{128057FB-BA31-4F39-97FC-1E74603C10F9}" name="Column2"/>
    <tableColumn id="3" xr3:uid="{4FCBAC2B-9E7C-4A8A-A93F-89BC397AC311}" name="Column3"/>
    <tableColumn id="4" xr3:uid="{C6FE1D75-362E-4052-A9F1-5860CD797409}" name="Column4"/>
  </tableColumns>
  <tableStyleInfo name="ذوقی و مهدی-style 82" showFirstColumn="1" showLastColumn="1" showRowStripes="1" showColumnStripes="0"/>
</table>
</file>

<file path=xl/tables/table4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6" xr:uid="{A353A6C5-628E-47A1-A03E-AA868B4805FC}" name="Table_424527" displayName="Table_424527" ref="B7539:E7540" headerRowCount="0">
  <tableColumns count="4">
    <tableColumn id="1" xr3:uid="{0415D696-BEF4-478F-AEC1-54117717EBCB}" name="Column1"/>
    <tableColumn id="2" xr3:uid="{D490997F-60C8-49B1-9D22-FE7A3A17F4C4}" name="Column2"/>
    <tableColumn id="3" xr3:uid="{536F29A5-AE95-44F6-BA6A-0B38204E7FD6}" name="Column3"/>
    <tableColumn id="4" xr3:uid="{5C4E22CD-DA06-4E77-9B15-28A9248CDCA1}" name="Column4"/>
  </tableColumns>
  <tableStyleInfo name="ذوقی و مهدی-style 83" showFirstColumn="1" showLastColumn="1" showRowStripes="1" showColumnStripes="0"/>
</table>
</file>

<file path=xl/tables/table4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7" xr:uid="{DFAD330C-CE19-406E-9C00-CA1F398A4DE0}" name="Table_425528" displayName="Table_425528" ref="B7554:E7555" headerRowCount="0">
  <tableColumns count="4">
    <tableColumn id="1" xr3:uid="{8B4EAD4A-E38C-4659-8680-12EE8D260047}" name="Column1"/>
    <tableColumn id="2" xr3:uid="{93878598-5F90-4C7E-8F4D-0A4D03A7DF9F}" name="Column2"/>
    <tableColumn id="3" xr3:uid="{51B75CA1-4653-4E28-B097-20AEBEACD753}" name="Column3"/>
    <tableColumn id="4" xr3:uid="{B4BA584E-35A7-4141-8FF2-ADFA201DCD04}" name="Column4"/>
  </tableColumns>
  <tableStyleInfo name="ذوقی و مهدی-style 84" showFirstColumn="1" showLastColumn="1" showRowStripes="1" showColumnStripes="0"/>
</table>
</file>

<file path=xl/tables/table4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8" xr:uid="{A850CFA2-A034-4C60-BF44-D592AD718448}" name="Table_426529" displayName="Table_426529" ref="B7569:E7570" headerRowCount="0">
  <tableColumns count="4">
    <tableColumn id="1" xr3:uid="{9379B622-8C20-44CD-9D6F-8FFF367971AF}" name="Column1"/>
    <tableColumn id="2" xr3:uid="{AD1F91B9-A542-4B90-BBC0-CF812C76FBDC}" name="Column2"/>
    <tableColumn id="3" xr3:uid="{E9ADA002-5486-4165-AD72-DBE8314DFC2C}" name="Column3"/>
    <tableColumn id="4" xr3:uid="{233A1992-619A-474E-983C-6EFA0FD93625}" name="Column4"/>
  </tableColumns>
  <tableStyleInfo name="ذوقی و مهدی-style 85" showFirstColumn="1" showLastColumn="1" showRowStripes="1" showColumnStripes="0"/>
</table>
</file>

<file path=xl/tables/table4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9" xr:uid="{5C530D83-A74E-4C6E-981B-6D3B89E615E0}" name="Table_427530" displayName="Table_427530" ref="B7581:E7582" headerRowCount="0">
  <tableColumns count="4">
    <tableColumn id="1" xr3:uid="{A4D7AD4B-8B41-42A8-B465-8F1610AF2748}" name="Column1"/>
    <tableColumn id="2" xr3:uid="{30DD205E-86C1-41C3-A255-C880C6F49FEA}" name="Column2"/>
    <tableColumn id="3" xr3:uid="{26EAC833-85B4-4507-8C6C-988A406CB713}" name="Column3"/>
    <tableColumn id="4" xr3:uid="{0A36D831-274F-4EF9-A52F-E8FFF99232ED}" name="Column4"/>
  </tableColumns>
  <tableStyleInfo name="ذوقی و مهدی-style 86" showFirstColumn="1" showLastColumn="1" showRowStripes="1" showColumnStripes="0"/>
</table>
</file>

<file path=xl/tables/table4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0" xr:uid="{5FA1324C-935D-4D1D-B0FA-5E55A62CA92B}" name="Table_428531" displayName="Table_428531" ref="B7594:E7595" headerRowCount="0">
  <tableColumns count="4">
    <tableColumn id="1" xr3:uid="{B2FB59DC-46C9-4EB8-BE09-6AC980D1DFC7}" name="Column1"/>
    <tableColumn id="2" xr3:uid="{2F00CC89-7650-47A3-8FD0-3409D466A049}" name="Column2"/>
    <tableColumn id="3" xr3:uid="{F2376D44-F8EB-4A0D-B10B-7BC09D87BE87}" name="Column3"/>
    <tableColumn id="4" xr3:uid="{1315C8C5-8722-4B50-B50F-0486CB05E1FD}" name="Column4"/>
  </tableColumns>
  <tableStyleInfo name="ذوقی و مهدی-style 87" showFirstColumn="1" showLastColumn="1" showRowStripes="1" showColumnStripes="0"/>
</table>
</file>

<file path=xl/tables/table4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1" xr:uid="{5F0C772B-8C1F-4AF3-924E-D1ECE3D41926}" name="Table_429532" displayName="Table_429532" ref="B7607:E7608" headerRowCount="0">
  <tableColumns count="4">
    <tableColumn id="1" xr3:uid="{59E610FD-239C-4EE1-92AA-20FE033E3C48}" name="Column1"/>
    <tableColumn id="2" xr3:uid="{2E0E09C4-BBC7-4783-B92C-001C809140DC}" name="Column2"/>
    <tableColumn id="3" xr3:uid="{4F1707A2-E3A5-47C7-AD3C-9F9525C74F21}" name="Column3"/>
    <tableColumn id="4" xr3:uid="{23CCC603-D69B-4FD2-B01A-BB654A73004B}" name="Column4"/>
  </tableColumns>
  <tableStyleInfo name="ذوقی و مهدی-style 88" showFirstColumn="1" showLastColumn="1" showRowStripes="1" showColumnStripes="0"/>
</table>
</file>

<file path=xl/tables/table4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2" xr:uid="{7406E236-6E3A-439D-ACFF-042399131128}" name="Table_430533" displayName="Table_430533" ref="B7621:E7622" headerRowCount="0">
  <tableColumns count="4">
    <tableColumn id="1" xr3:uid="{E7BC5577-73B8-42C0-99BA-92A28D66510B}" name="Column1"/>
    <tableColumn id="2" xr3:uid="{204C27FC-5A94-40B6-91BB-DC6080531E03}" name="Column2"/>
    <tableColumn id="3" xr3:uid="{FCC2717C-4338-4A33-BD51-16289B747645}" name="Column3"/>
    <tableColumn id="4" xr3:uid="{F9F2E6E4-3CD9-4A7D-9531-B819C70578A9}" name="Column4"/>
  </tableColumns>
  <tableStyleInfo name="ذوقی و مهدی-style 89" showFirstColumn="1" showLastColumn="1" showRowStripes="1" showColumnStripes="0"/>
</table>
</file>

<file path=xl/tables/table4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3" xr:uid="{3FD7E94C-E564-4503-9F42-D875A2160C07}" name="Table_431534" displayName="Table_431534" ref="B7634:E7635" headerRowCount="0">
  <tableColumns count="4">
    <tableColumn id="1" xr3:uid="{41AAE0E5-F0A3-4820-A576-69F0B488384A}" name="Column1"/>
    <tableColumn id="2" xr3:uid="{FBD93A79-CEF3-4C0B-9F58-EED44537E9FD}" name="Column2"/>
    <tableColumn id="3" xr3:uid="{9DEE5809-322F-47E2-B104-40B18C4435AC}" name="Column3"/>
    <tableColumn id="4" xr3:uid="{3614721D-9654-4ED3-884F-8851E9B0BDF3}" name="Column4"/>
  </tableColumns>
  <tableStyleInfo name="ذوقی و مهدی-style 90" showFirstColumn="1" showLastColumn="1" showRowStripes="1" showColumnStripes="0"/>
</table>
</file>

<file path=xl/tables/table4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4" xr:uid="{22F70D9A-FDF4-4441-B4AB-48F1A4E63FAE}" name="Table_432535" displayName="Table_432535" ref="B7648:E7649" headerRowCount="0">
  <tableColumns count="4">
    <tableColumn id="1" xr3:uid="{76C6B3ED-2B94-4BA8-9920-9C3020084E5D}" name="Column1"/>
    <tableColumn id="2" xr3:uid="{139A1F1C-68D2-47DD-9070-2633FC3BA803}" name="Column2"/>
    <tableColumn id="3" xr3:uid="{ADEF2D4F-D53E-4475-9D82-62F0042BD552}" name="Column3"/>
    <tableColumn id="4" xr3:uid="{D93170C9-7BD9-4463-ABB6-740229FDB040}" name="Column4"/>
  </tableColumns>
  <tableStyleInfo name="ذوقی و مهدی-style 91" showFirstColumn="1" showLastColumn="1" showRowStripes="1" showColumnStripes="0"/>
</table>
</file>

<file path=xl/tables/table4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5" xr:uid="{979FFE1E-CFF8-4AD7-AF8C-180462C0873F}" name="Table_433536" displayName="Table_433536" ref="B7664:E7665" headerRowCount="0">
  <tableColumns count="4">
    <tableColumn id="1" xr3:uid="{77038F1F-1010-4CBA-B24D-048ABAF88DEC}" name="Column1"/>
    <tableColumn id="2" xr3:uid="{A7BA577A-A89A-4DBE-B36D-F593DB26A039}" name="Column2"/>
    <tableColumn id="3" xr3:uid="{E6A1AE20-CE3C-4E73-AC1B-F24A91F9D08F}" name="Column3"/>
    <tableColumn id="4" xr3:uid="{F61532D7-3BC7-48ED-BEE4-7859CA72D984}" name="Column4"/>
  </tableColumns>
  <tableStyleInfo name="ذوقی و مهدی-style 92" showFirstColumn="1" showLastColumn="1" showRowStripes="1" showColumnStripes="0"/>
</table>
</file>

<file path=xl/tables/table4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6" xr:uid="{36B5D11A-7D97-4213-AD7C-BE9DA41136E0}" name="Table_434537" displayName="Table_434537" ref="B7677:E7678" headerRowCount="0">
  <tableColumns count="4">
    <tableColumn id="1" xr3:uid="{E48899E5-078D-4500-A599-BB14198C8092}" name="Column1"/>
    <tableColumn id="2" xr3:uid="{D7CC407F-E139-4945-8340-518A0FDF1691}" name="Column2"/>
    <tableColumn id="3" xr3:uid="{52421935-0F78-4300-BBE9-2F4F9C48C648}" name="Column3"/>
    <tableColumn id="4" xr3:uid="{A54A1738-0C44-425E-8DAB-D37B386E5CEC}" name="Column4"/>
  </tableColumns>
  <tableStyleInfo name="ذوقی و مهدی-style 93" showFirstColumn="1" showLastColumn="1" showRowStripes="1" showColumnStripes="0"/>
</table>
</file>

<file path=xl/tables/table4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7" xr:uid="{1E4E2207-5E42-4402-B93F-121EC11A070F}" name="Table_435538" displayName="Table_435538" ref="B7690:E7691" headerRowCount="0">
  <tableColumns count="4">
    <tableColumn id="1" xr3:uid="{F2530232-50F5-4ABE-8160-E33D2EC12A43}" name="Column1"/>
    <tableColumn id="2" xr3:uid="{4125E400-FE5A-476F-ACE0-098F4F006F65}" name="Column2"/>
    <tableColumn id="3" xr3:uid="{7FF4D4CA-E2D5-4B8A-A33E-E70162A47038}" name="Column3"/>
    <tableColumn id="4" xr3:uid="{6E994812-05CF-47EA-BC98-B3211A1F1949}" name="Column4"/>
  </tableColumns>
  <tableStyleInfo name="ذوقی و مهدی-style 94" showFirstColumn="1" showLastColumn="1" showRowStripes="1" showColumnStripes="0"/>
</table>
</file>

<file path=xl/tables/table4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8" xr:uid="{1ED8862C-BDD8-4A13-BE25-D2F80645B02C}" name="Table_436539" displayName="Table_436539" ref="B7703:E7704" headerRowCount="0">
  <tableColumns count="4">
    <tableColumn id="1" xr3:uid="{2881D927-C41E-4078-A750-2F43D8A0A1D8}" name="Column1"/>
    <tableColumn id="2" xr3:uid="{63E6D019-6C53-469F-B938-01B49B71EFB6}" name="Column2"/>
    <tableColumn id="3" xr3:uid="{C1370DED-61F9-4CB8-A59A-A940E65255E2}" name="Column3"/>
    <tableColumn id="4" xr3:uid="{86ACC2D7-C67F-4CC1-9797-94D60C01743F}" name="Column4"/>
  </tableColumns>
  <tableStyleInfo name="ذوقی و مهدی-style 95" showFirstColumn="1" showLastColumn="1" showRowStripes="1" showColumnStripes="0"/>
</table>
</file>

<file path=xl/tables/table4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9" xr:uid="{C9D49444-EBE6-4A06-9AF4-4B23F9195A7F}" name="Table_437540" displayName="Table_437540" ref="B7716:E7717" headerRowCount="0">
  <tableColumns count="4">
    <tableColumn id="1" xr3:uid="{A39334DE-238C-486F-A648-B67DB87FD78D}" name="Column1"/>
    <tableColumn id="2" xr3:uid="{48FCD6C2-6942-4C54-B1A8-2B4326BE9D7A}" name="Column2"/>
    <tableColumn id="3" xr3:uid="{651B5792-20A1-4D16-8CAC-B9039344BA26}" name="Column3"/>
    <tableColumn id="4" xr3:uid="{353134CC-E06F-4DE7-836F-3DEB33313F23}" name="Column4"/>
  </tableColumns>
  <tableStyleInfo name="ذوقی و مهدی-style 96" showFirstColumn="1" showLastColumn="1" showRowStripes="1" showColumnStripes="0"/>
</table>
</file>

<file path=xl/tables/table4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0" xr:uid="{F77862A0-C391-4182-8D4C-8025179EF42F}" name="Table_438541" displayName="Table_438541" ref="B7729:E7730" headerRowCount="0">
  <tableColumns count="4">
    <tableColumn id="1" xr3:uid="{EBBC0F3A-ED12-48FD-B5A7-3F41CF7BB52E}" name="Column1"/>
    <tableColumn id="2" xr3:uid="{C94C24A0-82CE-4102-BD26-D43347A775A0}" name="Column2"/>
    <tableColumn id="3" xr3:uid="{082B34DE-0F81-4C0A-9FFB-F69CFE3C30E3}" name="Column3"/>
    <tableColumn id="4" xr3:uid="{66A1F614-69E2-4C1F-9902-96DAD4CED653}" name="Column4"/>
  </tableColumns>
  <tableStyleInfo name="ذوقی و مهدی-style 97" showFirstColumn="1" showLastColumn="1" showRowStripes="1" showColumnStripes="0"/>
</table>
</file>

<file path=xl/tables/table4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1" xr:uid="{B35DAF6F-C6EA-4A35-B0CE-3B4A52B060C3}" name="Table_439542" displayName="Table_439542" ref="B7743:E7744" headerRowCount="0">
  <tableColumns count="4">
    <tableColumn id="1" xr3:uid="{D4108332-9762-4FE6-A36D-4466474B7F77}" name="Column1"/>
    <tableColumn id="2" xr3:uid="{FBB489DD-F5DC-4DD2-9BC7-494BB6499302}" name="Column2"/>
    <tableColumn id="3" xr3:uid="{554E8933-EC61-4F35-847F-3B4FCF736048}" name="Column3"/>
    <tableColumn id="4" xr3:uid="{30EF1288-9157-4324-BF19-8C3EF78DEBEC}" name="Column4"/>
  </tableColumns>
  <tableStyleInfo name="ذوقی و مهدی-style 98" showFirstColumn="1" showLastColumn="1" showRowStripes="1" showColumnStripes="0"/>
</table>
</file>

<file path=xl/tables/table4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2" xr:uid="{0A168050-D7EF-41D7-8283-FC2E737A72AB}" name="Table_440543" displayName="Table_440543" ref="B7757:E7758" headerRowCount="0">
  <tableColumns count="4">
    <tableColumn id="1" xr3:uid="{BDE2FDEC-26A9-4B5E-90E9-DC86C8766155}" name="Column1"/>
    <tableColumn id="2" xr3:uid="{11E2FC6A-5171-4D80-918A-D425750FF6BF}" name="Column2"/>
    <tableColumn id="3" xr3:uid="{0EC85BCB-A683-44C2-BD32-1BC74394B90C}" name="Column3"/>
    <tableColumn id="4" xr3:uid="{068F6027-8107-4766-BD05-21ABC54B7717}" name="Column4"/>
  </tableColumns>
  <tableStyleInfo name="ذوقی و مهدی-style 99" showFirstColumn="1" showLastColumn="1" showRowStripes="1" showColumnStripes="0"/>
</table>
</file>

<file path=xl/tables/table4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3" xr:uid="{AF773E09-24F3-4D01-913A-9F3F16EF6FC9}" name="Table_441544" displayName="Table_441544" ref="B7771:E7772" headerRowCount="0">
  <tableColumns count="4">
    <tableColumn id="1" xr3:uid="{74191265-994C-4D1D-BE31-D23C5F147531}" name="Column1"/>
    <tableColumn id="2" xr3:uid="{59572962-8A0C-4C87-9BA0-BB29AF66A701}" name="Column2"/>
    <tableColumn id="3" xr3:uid="{3D9E5E7B-36B2-4337-A95F-90F22DF352D5}" name="Column3"/>
    <tableColumn id="4" xr3:uid="{C181957E-1D89-4FF5-B1D6-60CC5059A869}" name="Column4"/>
  </tableColumns>
  <tableStyleInfo name="ذوقی و مهدی-style 100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117.xml"/><Relationship Id="rId299" Type="http://schemas.openxmlformats.org/officeDocument/2006/relationships/table" Target="../tables/table299.xml"/><Relationship Id="rId21" Type="http://schemas.openxmlformats.org/officeDocument/2006/relationships/table" Target="../tables/table21.xml"/><Relationship Id="rId63" Type="http://schemas.openxmlformats.org/officeDocument/2006/relationships/table" Target="../tables/table63.xml"/><Relationship Id="rId159" Type="http://schemas.openxmlformats.org/officeDocument/2006/relationships/table" Target="../tables/table159.xml"/><Relationship Id="rId324" Type="http://schemas.openxmlformats.org/officeDocument/2006/relationships/table" Target="../tables/table324.xml"/><Relationship Id="rId366" Type="http://schemas.openxmlformats.org/officeDocument/2006/relationships/table" Target="../tables/table366.xml"/><Relationship Id="rId170" Type="http://schemas.openxmlformats.org/officeDocument/2006/relationships/table" Target="../tables/table170.xml"/><Relationship Id="rId226" Type="http://schemas.openxmlformats.org/officeDocument/2006/relationships/table" Target="../tables/table226.xml"/><Relationship Id="rId433" Type="http://schemas.openxmlformats.org/officeDocument/2006/relationships/table" Target="../tables/table433.xml"/><Relationship Id="rId268" Type="http://schemas.openxmlformats.org/officeDocument/2006/relationships/table" Target="../tables/table268.xml"/><Relationship Id="rId32" Type="http://schemas.openxmlformats.org/officeDocument/2006/relationships/table" Target="../tables/table32.xml"/><Relationship Id="rId74" Type="http://schemas.openxmlformats.org/officeDocument/2006/relationships/table" Target="../tables/table74.xml"/><Relationship Id="rId128" Type="http://schemas.openxmlformats.org/officeDocument/2006/relationships/table" Target="../tables/table128.xml"/><Relationship Id="rId335" Type="http://schemas.openxmlformats.org/officeDocument/2006/relationships/table" Target="../tables/table335.xml"/><Relationship Id="rId377" Type="http://schemas.openxmlformats.org/officeDocument/2006/relationships/table" Target="../tables/table377.xml"/><Relationship Id="rId5" Type="http://schemas.openxmlformats.org/officeDocument/2006/relationships/table" Target="../tables/table5.xml"/><Relationship Id="rId181" Type="http://schemas.openxmlformats.org/officeDocument/2006/relationships/table" Target="../tables/table181.xml"/><Relationship Id="rId237" Type="http://schemas.openxmlformats.org/officeDocument/2006/relationships/table" Target="../tables/table237.xml"/><Relationship Id="rId402" Type="http://schemas.openxmlformats.org/officeDocument/2006/relationships/table" Target="../tables/table402.xml"/><Relationship Id="rId279" Type="http://schemas.openxmlformats.org/officeDocument/2006/relationships/table" Target="../tables/table279.xml"/><Relationship Id="rId43" Type="http://schemas.openxmlformats.org/officeDocument/2006/relationships/table" Target="../tables/table43.xml"/><Relationship Id="rId139" Type="http://schemas.openxmlformats.org/officeDocument/2006/relationships/table" Target="../tables/table139.xml"/><Relationship Id="rId290" Type="http://schemas.openxmlformats.org/officeDocument/2006/relationships/table" Target="../tables/table290.xml"/><Relationship Id="rId304" Type="http://schemas.openxmlformats.org/officeDocument/2006/relationships/table" Target="../tables/table304.xml"/><Relationship Id="rId346" Type="http://schemas.openxmlformats.org/officeDocument/2006/relationships/table" Target="../tables/table346.xml"/><Relationship Id="rId388" Type="http://schemas.openxmlformats.org/officeDocument/2006/relationships/table" Target="../tables/table388.xml"/><Relationship Id="rId85" Type="http://schemas.openxmlformats.org/officeDocument/2006/relationships/table" Target="../tables/table85.xml"/><Relationship Id="rId150" Type="http://schemas.openxmlformats.org/officeDocument/2006/relationships/table" Target="../tables/table150.xml"/><Relationship Id="rId192" Type="http://schemas.openxmlformats.org/officeDocument/2006/relationships/table" Target="../tables/table192.xml"/><Relationship Id="rId206" Type="http://schemas.openxmlformats.org/officeDocument/2006/relationships/table" Target="../tables/table206.xml"/><Relationship Id="rId413" Type="http://schemas.openxmlformats.org/officeDocument/2006/relationships/table" Target="../tables/table413.xml"/><Relationship Id="rId248" Type="http://schemas.openxmlformats.org/officeDocument/2006/relationships/table" Target="../tables/table248.xml"/><Relationship Id="rId12" Type="http://schemas.openxmlformats.org/officeDocument/2006/relationships/table" Target="../tables/table12.xml"/><Relationship Id="rId108" Type="http://schemas.openxmlformats.org/officeDocument/2006/relationships/table" Target="../tables/table108.xml"/><Relationship Id="rId315" Type="http://schemas.openxmlformats.org/officeDocument/2006/relationships/table" Target="../tables/table315.xml"/><Relationship Id="rId357" Type="http://schemas.openxmlformats.org/officeDocument/2006/relationships/table" Target="../tables/table357.xml"/><Relationship Id="rId54" Type="http://schemas.openxmlformats.org/officeDocument/2006/relationships/table" Target="../tables/table54.xml"/><Relationship Id="rId96" Type="http://schemas.openxmlformats.org/officeDocument/2006/relationships/table" Target="../tables/table96.xml"/><Relationship Id="rId161" Type="http://schemas.openxmlformats.org/officeDocument/2006/relationships/table" Target="../tables/table161.xml"/><Relationship Id="rId217" Type="http://schemas.openxmlformats.org/officeDocument/2006/relationships/table" Target="../tables/table217.xml"/><Relationship Id="rId399" Type="http://schemas.openxmlformats.org/officeDocument/2006/relationships/table" Target="../tables/table399.xml"/><Relationship Id="rId259" Type="http://schemas.openxmlformats.org/officeDocument/2006/relationships/table" Target="../tables/table259.xml"/><Relationship Id="rId424" Type="http://schemas.openxmlformats.org/officeDocument/2006/relationships/table" Target="../tables/table424.xml"/><Relationship Id="rId23" Type="http://schemas.openxmlformats.org/officeDocument/2006/relationships/table" Target="../tables/table23.xml"/><Relationship Id="rId119" Type="http://schemas.openxmlformats.org/officeDocument/2006/relationships/table" Target="../tables/table119.xml"/><Relationship Id="rId270" Type="http://schemas.openxmlformats.org/officeDocument/2006/relationships/table" Target="../tables/table270.xml"/><Relationship Id="rId326" Type="http://schemas.openxmlformats.org/officeDocument/2006/relationships/table" Target="../tables/table326.xml"/><Relationship Id="rId65" Type="http://schemas.openxmlformats.org/officeDocument/2006/relationships/table" Target="../tables/table65.xml"/><Relationship Id="rId130" Type="http://schemas.openxmlformats.org/officeDocument/2006/relationships/table" Target="../tables/table130.xml"/><Relationship Id="rId368" Type="http://schemas.openxmlformats.org/officeDocument/2006/relationships/table" Target="../tables/table368.xml"/><Relationship Id="rId172" Type="http://schemas.openxmlformats.org/officeDocument/2006/relationships/table" Target="../tables/table172.xml"/><Relationship Id="rId228" Type="http://schemas.openxmlformats.org/officeDocument/2006/relationships/table" Target="../tables/table228.xml"/><Relationship Id="rId435" Type="http://schemas.openxmlformats.org/officeDocument/2006/relationships/table" Target="../tables/table435.xml"/><Relationship Id="rId281" Type="http://schemas.openxmlformats.org/officeDocument/2006/relationships/table" Target="../tables/table281.xml"/><Relationship Id="rId337" Type="http://schemas.openxmlformats.org/officeDocument/2006/relationships/table" Target="../tables/table337.xml"/><Relationship Id="rId34" Type="http://schemas.openxmlformats.org/officeDocument/2006/relationships/table" Target="../tables/table34.xml"/><Relationship Id="rId76" Type="http://schemas.openxmlformats.org/officeDocument/2006/relationships/table" Target="../tables/table76.xml"/><Relationship Id="rId141" Type="http://schemas.openxmlformats.org/officeDocument/2006/relationships/table" Target="../tables/table141.xml"/><Relationship Id="rId379" Type="http://schemas.openxmlformats.org/officeDocument/2006/relationships/table" Target="../tables/table379.xml"/><Relationship Id="rId7" Type="http://schemas.openxmlformats.org/officeDocument/2006/relationships/table" Target="../tables/table7.xml"/><Relationship Id="rId183" Type="http://schemas.openxmlformats.org/officeDocument/2006/relationships/table" Target="../tables/table183.xml"/><Relationship Id="rId239" Type="http://schemas.openxmlformats.org/officeDocument/2006/relationships/table" Target="../tables/table239.xml"/><Relationship Id="rId390" Type="http://schemas.openxmlformats.org/officeDocument/2006/relationships/table" Target="../tables/table390.xml"/><Relationship Id="rId404" Type="http://schemas.openxmlformats.org/officeDocument/2006/relationships/table" Target="../tables/table404.xml"/><Relationship Id="rId250" Type="http://schemas.openxmlformats.org/officeDocument/2006/relationships/table" Target="../tables/table250.xml"/><Relationship Id="rId292" Type="http://schemas.openxmlformats.org/officeDocument/2006/relationships/table" Target="../tables/table292.xml"/><Relationship Id="rId306" Type="http://schemas.openxmlformats.org/officeDocument/2006/relationships/table" Target="../tables/table306.xml"/><Relationship Id="rId45" Type="http://schemas.openxmlformats.org/officeDocument/2006/relationships/table" Target="../tables/table45.xml"/><Relationship Id="rId87" Type="http://schemas.openxmlformats.org/officeDocument/2006/relationships/table" Target="../tables/table87.xml"/><Relationship Id="rId110" Type="http://schemas.openxmlformats.org/officeDocument/2006/relationships/table" Target="../tables/table110.xml"/><Relationship Id="rId348" Type="http://schemas.openxmlformats.org/officeDocument/2006/relationships/table" Target="../tables/table348.xml"/><Relationship Id="rId152" Type="http://schemas.openxmlformats.org/officeDocument/2006/relationships/table" Target="../tables/table152.xml"/><Relationship Id="rId194" Type="http://schemas.openxmlformats.org/officeDocument/2006/relationships/table" Target="../tables/table194.xml"/><Relationship Id="rId208" Type="http://schemas.openxmlformats.org/officeDocument/2006/relationships/table" Target="../tables/table208.xml"/><Relationship Id="rId415" Type="http://schemas.openxmlformats.org/officeDocument/2006/relationships/table" Target="../tables/table415.xml"/><Relationship Id="rId261" Type="http://schemas.openxmlformats.org/officeDocument/2006/relationships/table" Target="../tables/table261.xml"/><Relationship Id="rId14" Type="http://schemas.openxmlformats.org/officeDocument/2006/relationships/table" Target="../tables/table14.xml"/><Relationship Id="rId56" Type="http://schemas.openxmlformats.org/officeDocument/2006/relationships/table" Target="../tables/table56.xml"/><Relationship Id="rId317" Type="http://schemas.openxmlformats.org/officeDocument/2006/relationships/table" Target="../tables/table317.xml"/><Relationship Id="rId359" Type="http://schemas.openxmlformats.org/officeDocument/2006/relationships/table" Target="../tables/table359.xml"/><Relationship Id="rId98" Type="http://schemas.openxmlformats.org/officeDocument/2006/relationships/table" Target="../tables/table98.xml"/><Relationship Id="rId121" Type="http://schemas.openxmlformats.org/officeDocument/2006/relationships/table" Target="../tables/table121.xml"/><Relationship Id="rId163" Type="http://schemas.openxmlformats.org/officeDocument/2006/relationships/table" Target="../tables/table163.xml"/><Relationship Id="rId219" Type="http://schemas.openxmlformats.org/officeDocument/2006/relationships/table" Target="../tables/table219.xml"/><Relationship Id="rId370" Type="http://schemas.openxmlformats.org/officeDocument/2006/relationships/table" Target="../tables/table370.xml"/><Relationship Id="rId426" Type="http://schemas.openxmlformats.org/officeDocument/2006/relationships/table" Target="../tables/table426.xml"/><Relationship Id="rId230" Type="http://schemas.openxmlformats.org/officeDocument/2006/relationships/table" Target="../tables/table230.xml"/><Relationship Id="rId25" Type="http://schemas.openxmlformats.org/officeDocument/2006/relationships/table" Target="../tables/table25.xml"/><Relationship Id="rId67" Type="http://schemas.openxmlformats.org/officeDocument/2006/relationships/table" Target="../tables/table67.xml"/><Relationship Id="rId272" Type="http://schemas.openxmlformats.org/officeDocument/2006/relationships/table" Target="../tables/table272.xml"/><Relationship Id="rId328" Type="http://schemas.openxmlformats.org/officeDocument/2006/relationships/table" Target="../tables/table328.xml"/><Relationship Id="rId132" Type="http://schemas.openxmlformats.org/officeDocument/2006/relationships/table" Target="../tables/table132.xml"/><Relationship Id="rId174" Type="http://schemas.openxmlformats.org/officeDocument/2006/relationships/table" Target="../tables/table174.xml"/><Relationship Id="rId381" Type="http://schemas.openxmlformats.org/officeDocument/2006/relationships/table" Target="../tables/table381.xml"/><Relationship Id="rId241" Type="http://schemas.openxmlformats.org/officeDocument/2006/relationships/table" Target="../tables/table241.xml"/><Relationship Id="rId437" Type="http://schemas.openxmlformats.org/officeDocument/2006/relationships/table" Target="../tables/table437.xml"/><Relationship Id="rId36" Type="http://schemas.openxmlformats.org/officeDocument/2006/relationships/table" Target="../tables/table36.xml"/><Relationship Id="rId283" Type="http://schemas.openxmlformats.org/officeDocument/2006/relationships/table" Target="../tables/table283.xml"/><Relationship Id="rId339" Type="http://schemas.openxmlformats.org/officeDocument/2006/relationships/table" Target="../tables/table339.xml"/><Relationship Id="rId78" Type="http://schemas.openxmlformats.org/officeDocument/2006/relationships/table" Target="../tables/table78.xml"/><Relationship Id="rId101" Type="http://schemas.openxmlformats.org/officeDocument/2006/relationships/table" Target="../tables/table101.xml"/><Relationship Id="rId143" Type="http://schemas.openxmlformats.org/officeDocument/2006/relationships/table" Target="../tables/table143.xml"/><Relationship Id="rId185" Type="http://schemas.openxmlformats.org/officeDocument/2006/relationships/table" Target="../tables/table185.xml"/><Relationship Id="rId350" Type="http://schemas.openxmlformats.org/officeDocument/2006/relationships/table" Target="../tables/table350.xml"/><Relationship Id="rId406" Type="http://schemas.openxmlformats.org/officeDocument/2006/relationships/table" Target="../tables/table406.xml"/><Relationship Id="rId9" Type="http://schemas.openxmlformats.org/officeDocument/2006/relationships/table" Target="../tables/table9.xml"/><Relationship Id="rId210" Type="http://schemas.openxmlformats.org/officeDocument/2006/relationships/table" Target="../tables/table210.xml"/><Relationship Id="rId392" Type="http://schemas.openxmlformats.org/officeDocument/2006/relationships/table" Target="../tables/table392.xml"/><Relationship Id="rId252" Type="http://schemas.openxmlformats.org/officeDocument/2006/relationships/table" Target="../tables/table252.xml"/><Relationship Id="rId294" Type="http://schemas.openxmlformats.org/officeDocument/2006/relationships/table" Target="../tables/table294.xml"/><Relationship Id="rId308" Type="http://schemas.openxmlformats.org/officeDocument/2006/relationships/table" Target="../tables/table308.xml"/><Relationship Id="rId47" Type="http://schemas.openxmlformats.org/officeDocument/2006/relationships/table" Target="../tables/table47.xml"/><Relationship Id="rId89" Type="http://schemas.openxmlformats.org/officeDocument/2006/relationships/table" Target="../tables/table89.xml"/><Relationship Id="rId112" Type="http://schemas.openxmlformats.org/officeDocument/2006/relationships/table" Target="../tables/table112.xml"/><Relationship Id="rId154" Type="http://schemas.openxmlformats.org/officeDocument/2006/relationships/table" Target="../tables/table154.xml"/><Relationship Id="rId361" Type="http://schemas.openxmlformats.org/officeDocument/2006/relationships/table" Target="../tables/table361.xml"/><Relationship Id="rId196" Type="http://schemas.openxmlformats.org/officeDocument/2006/relationships/table" Target="../tables/table196.xml"/><Relationship Id="rId417" Type="http://schemas.openxmlformats.org/officeDocument/2006/relationships/table" Target="../tables/table417.xml"/><Relationship Id="rId16" Type="http://schemas.openxmlformats.org/officeDocument/2006/relationships/table" Target="../tables/table16.xml"/><Relationship Id="rId221" Type="http://schemas.openxmlformats.org/officeDocument/2006/relationships/table" Target="../tables/table221.xml"/><Relationship Id="rId263" Type="http://schemas.openxmlformats.org/officeDocument/2006/relationships/table" Target="../tables/table263.xml"/><Relationship Id="rId319" Type="http://schemas.openxmlformats.org/officeDocument/2006/relationships/table" Target="../tables/table319.xml"/><Relationship Id="rId58" Type="http://schemas.openxmlformats.org/officeDocument/2006/relationships/table" Target="../tables/table58.xml"/><Relationship Id="rId123" Type="http://schemas.openxmlformats.org/officeDocument/2006/relationships/table" Target="../tables/table123.xml"/><Relationship Id="rId330" Type="http://schemas.openxmlformats.org/officeDocument/2006/relationships/table" Target="../tables/table330.xml"/><Relationship Id="rId165" Type="http://schemas.openxmlformats.org/officeDocument/2006/relationships/table" Target="../tables/table165.xml"/><Relationship Id="rId372" Type="http://schemas.openxmlformats.org/officeDocument/2006/relationships/table" Target="../tables/table372.xml"/><Relationship Id="rId428" Type="http://schemas.openxmlformats.org/officeDocument/2006/relationships/table" Target="../tables/table428.xml"/><Relationship Id="rId232" Type="http://schemas.openxmlformats.org/officeDocument/2006/relationships/table" Target="../tables/table232.xml"/><Relationship Id="rId274" Type="http://schemas.openxmlformats.org/officeDocument/2006/relationships/table" Target="../tables/table274.xml"/><Relationship Id="rId27" Type="http://schemas.openxmlformats.org/officeDocument/2006/relationships/table" Target="../tables/table27.xml"/><Relationship Id="rId69" Type="http://schemas.openxmlformats.org/officeDocument/2006/relationships/table" Target="../tables/table69.xml"/><Relationship Id="rId134" Type="http://schemas.openxmlformats.org/officeDocument/2006/relationships/table" Target="../tables/table134.xml"/><Relationship Id="rId80" Type="http://schemas.openxmlformats.org/officeDocument/2006/relationships/table" Target="../tables/table80.xml"/><Relationship Id="rId176" Type="http://schemas.openxmlformats.org/officeDocument/2006/relationships/table" Target="../tables/table176.xml"/><Relationship Id="rId341" Type="http://schemas.openxmlformats.org/officeDocument/2006/relationships/table" Target="../tables/table341.xml"/><Relationship Id="rId383" Type="http://schemas.openxmlformats.org/officeDocument/2006/relationships/table" Target="../tables/table383.xml"/><Relationship Id="rId439" Type="http://schemas.openxmlformats.org/officeDocument/2006/relationships/table" Target="../tables/table439.xml"/><Relationship Id="rId201" Type="http://schemas.openxmlformats.org/officeDocument/2006/relationships/table" Target="../tables/table201.xml"/><Relationship Id="rId243" Type="http://schemas.openxmlformats.org/officeDocument/2006/relationships/table" Target="../tables/table243.xml"/><Relationship Id="rId285" Type="http://schemas.openxmlformats.org/officeDocument/2006/relationships/table" Target="../tables/table285.xml"/><Relationship Id="rId38" Type="http://schemas.openxmlformats.org/officeDocument/2006/relationships/table" Target="../tables/table38.xml"/><Relationship Id="rId103" Type="http://schemas.openxmlformats.org/officeDocument/2006/relationships/table" Target="../tables/table103.xml"/><Relationship Id="rId310" Type="http://schemas.openxmlformats.org/officeDocument/2006/relationships/table" Target="../tables/table310.xml"/><Relationship Id="rId91" Type="http://schemas.openxmlformats.org/officeDocument/2006/relationships/table" Target="../tables/table91.xml"/><Relationship Id="rId145" Type="http://schemas.openxmlformats.org/officeDocument/2006/relationships/table" Target="../tables/table145.xml"/><Relationship Id="rId187" Type="http://schemas.openxmlformats.org/officeDocument/2006/relationships/table" Target="../tables/table187.xml"/><Relationship Id="rId352" Type="http://schemas.openxmlformats.org/officeDocument/2006/relationships/table" Target="../tables/table352.xml"/><Relationship Id="rId394" Type="http://schemas.openxmlformats.org/officeDocument/2006/relationships/table" Target="../tables/table394.xml"/><Relationship Id="rId408" Type="http://schemas.openxmlformats.org/officeDocument/2006/relationships/table" Target="../tables/table408.xml"/><Relationship Id="rId212" Type="http://schemas.openxmlformats.org/officeDocument/2006/relationships/table" Target="../tables/table212.xml"/><Relationship Id="rId254" Type="http://schemas.openxmlformats.org/officeDocument/2006/relationships/table" Target="../tables/table254.xml"/><Relationship Id="rId49" Type="http://schemas.openxmlformats.org/officeDocument/2006/relationships/table" Target="../tables/table49.xml"/><Relationship Id="rId114" Type="http://schemas.openxmlformats.org/officeDocument/2006/relationships/table" Target="../tables/table114.xml"/><Relationship Id="rId296" Type="http://schemas.openxmlformats.org/officeDocument/2006/relationships/table" Target="../tables/table296.xml"/><Relationship Id="rId60" Type="http://schemas.openxmlformats.org/officeDocument/2006/relationships/table" Target="../tables/table60.xml"/><Relationship Id="rId156" Type="http://schemas.openxmlformats.org/officeDocument/2006/relationships/table" Target="../tables/table156.xml"/><Relationship Id="rId198" Type="http://schemas.openxmlformats.org/officeDocument/2006/relationships/table" Target="../tables/table198.xml"/><Relationship Id="rId321" Type="http://schemas.openxmlformats.org/officeDocument/2006/relationships/table" Target="../tables/table321.xml"/><Relationship Id="rId363" Type="http://schemas.openxmlformats.org/officeDocument/2006/relationships/table" Target="../tables/table363.xml"/><Relationship Id="rId419" Type="http://schemas.openxmlformats.org/officeDocument/2006/relationships/table" Target="../tables/table419.xml"/><Relationship Id="rId202" Type="http://schemas.openxmlformats.org/officeDocument/2006/relationships/table" Target="../tables/table202.xml"/><Relationship Id="rId223" Type="http://schemas.openxmlformats.org/officeDocument/2006/relationships/table" Target="../tables/table223.xml"/><Relationship Id="rId244" Type="http://schemas.openxmlformats.org/officeDocument/2006/relationships/table" Target="../tables/table244.xml"/><Relationship Id="rId430" Type="http://schemas.openxmlformats.org/officeDocument/2006/relationships/table" Target="../tables/table430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265" Type="http://schemas.openxmlformats.org/officeDocument/2006/relationships/table" Target="../tables/table265.xml"/><Relationship Id="rId286" Type="http://schemas.openxmlformats.org/officeDocument/2006/relationships/table" Target="../tables/table286.xml"/><Relationship Id="rId50" Type="http://schemas.openxmlformats.org/officeDocument/2006/relationships/table" Target="../tables/table50.xml"/><Relationship Id="rId104" Type="http://schemas.openxmlformats.org/officeDocument/2006/relationships/table" Target="../tables/table104.xml"/><Relationship Id="rId125" Type="http://schemas.openxmlformats.org/officeDocument/2006/relationships/table" Target="../tables/table125.xml"/><Relationship Id="rId146" Type="http://schemas.openxmlformats.org/officeDocument/2006/relationships/table" Target="../tables/table146.xml"/><Relationship Id="rId167" Type="http://schemas.openxmlformats.org/officeDocument/2006/relationships/table" Target="../tables/table167.xml"/><Relationship Id="rId188" Type="http://schemas.openxmlformats.org/officeDocument/2006/relationships/table" Target="../tables/table188.xml"/><Relationship Id="rId311" Type="http://schemas.openxmlformats.org/officeDocument/2006/relationships/table" Target="../tables/table311.xml"/><Relationship Id="rId332" Type="http://schemas.openxmlformats.org/officeDocument/2006/relationships/table" Target="../tables/table332.xml"/><Relationship Id="rId353" Type="http://schemas.openxmlformats.org/officeDocument/2006/relationships/table" Target="../tables/table353.xml"/><Relationship Id="rId374" Type="http://schemas.openxmlformats.org/officeDocument/2006/relationships/table" Target="../tables/table374.xml"/><Relationship Id="rId395" Type="http://schemas.openxmlformats.org/officeDocument/2006/relationships/table" Target="../tables/table395.xml"/><Relationship Id="rId409" Type="http://schemas.openxmlformats.org/officeDocument/2006/relationships/table" Target="../tables/table409.xml"/><Relationship Id="rId71" Type="http://schemas.openxmlformats.org/officeDocument/2006/relationships/table" Target="../tables/table71.xml"/><Relationship Id="rId92" Type="http://schemas.openxmlformats.org/officeDocument/2006/relationships/table" Target="../tables/table92.xml"/><Relationship Id="rId213" Type="http://schemas.openxmlformats.org/officeDocument/2006/relationships/table" Target="../tables/table213.xml"/><Relationship Id="rId234" Type="http://schemas.openxmlformats.org/officeDocument/2006/relationships/table" Target="../tables/table234.xml"/><Relationship Id="rId420" Type="http://schemas.openxmlformats.org/officeDocument/2006/relationships/table" Target="../tables/table420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255" Type="http://schemas.openxmlformats.org/officeDocument/2006/relationships/table" Target="../tables/table255.xml"/><Relationship Id="rId276" Type="http://schemas.openxmlformats.org/officeDocument/2006/relationships/table" Target="../tables/table276.xml"/><Relationship Id="rId297" Type="http://schemas.openxmlformats.org/officeDocument/2006/relationships/table" Target="../tables/table297.xml"/><Relationship Id="rId441" Type="http://schemas.openxmlformats.org/officeDocument/2006/relationships/table" Target="../tables/table441.xml"/><Relationship Id="rId40" Type="http://schemas.openxmlformats.org/officeDocument/2006/relationships/table" Target="../tables/table40.xml"/><Relationship Id="rId115" Type="http://schemas.openxmlformats.org/officeDocument/2006/relationships/table" Target="../tables/table115.xml"/><Relationship Id="rId136" Type="http://schemas.openxmlformats.org/officeDocument/2006/relationships/table" Target="../tables/table136.xml"/><Relationship Id="rId157" Type="http://schemas.openxmlformats.org/officeDocument/2006/relationships/table" Target="../tables/table157.xml"/><Relationship Id="rId178" Type="http://schemas.openxmlformats.org/officeDocument/2006/relationships/table" Target="../tables/table178.xml"/><Relationship Id="rId301" Type="http://schemas.openxmlformats.org/officeDocument/2006/relationships/table" Target="../tables/table301.xml"/><Relationship Id="rId322" Type="http://schemas.openxmlformats.org/officeDocument/2006/relationships/table" Target="../tables/table322.xml"/><Relationship Id="rId343" Type="http://schemas.openxmlformats.org/officeDocument/2006/relationships/table" Target="../tables/table343.xml"/><Relationship Id="rId364" Type="http://schemas.openxmlformats.org/officeDocument/2006/relationships/table" Target="../tables/table364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99" Type="http://schemas.openxmlformats.org/officeDocument/2006/relationships/table" Target="../tables/table199.xml"/><Relationship Id="rId203" Type="http://schemas.openxmlformats.org/officeDocument/2006/relationships/table" Target="../tables/table203.xml"/><Relationship Id="rId385" Type="http://schemas.openxmlformats.org/officeDocument/2006/relationships/table" Target="../tables/table385.xml"/><Relationship Id="rId19" Type="http://schemas.openxmlformats.org/officeDocument/2006/relationships/table" Target="../tables/table19.xml"/><Relationship Id="rId224" Type="http://schemas.openxmlformats.org/officeDocument/2006/relationships/table" Target="../tables/table224.xml"/><Relationship Id="rId245" Type="http://schemas.openxmlformats.org/officeDocument/2006/relationships/table" Target="../tables/table245.xml"/><Relationship Id="rId266" Type="http://schemas.openxmlformats.org/officeDocument/2006/relationships/table" Target="../tables/table266.xml"/><Relationship Id="rId287" Type="http://schemas.openxmlformats.org/officeDocument/2006/relationships/table" Target="../tables/table287.xml"/><Relationship Id="rId410" Type="http://schemas.openxmlformats.org/officeDocument/2006/relationships/table" Target="../tables/table410.xml"/><Relationship Id="rId431" Type="http://schemas.openxmlformats.org/officeDocument/2006/relationships/table" Target="../tables/table431.xml"/><Relationship Id="rId30" Type="http://schemas.openxmlformats.org/officeDocument/2006/relationships/table" Target="../tables/table30.xml"/><Relationship Id="rId105" Type="http://schemas.openxmlformats.org/officeDocument/2006/relationships/table" Target="../tables/table105.xml"/><Relationship Id="rId126" Type="http://schemas.openxmlformats.org/officeDocument/2006/relationships/table" Target="../tables/table126.xml"/><Relationship Id="rId147" Type="http://schemas.openxmlformats.org/officeDocument/2006/relationships/table" Target="../tables/table147.xml"/><Relationship Id="rId168" Type="http://schemas.openxmlformats.org/officeDocument/2006/relationships/table" Target="../tables/table168.xml"/><Relationship Id="rId312" Type="http://schemas.openxmlformats.org/officeDocument/2006/relationships/table" Target="../tables/table312.xml"/><Relationship Id="rId333" Type="http://schemas.openxmlformats.org/officeDocument/2006/relationships/table" Target="../tables/table333.xml"/><Relationship Id="rId354" Type="http://schemas.openxmlformats.org/officeDocument/2006/relationships/table" Target="../tables/table354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93" Type="http://schemas.openxmlformats.org/officeDocument/2006/relationships/table" Target="../tables/table93.xml"/><Relationship Id="rId189" Type="http://schemas.openxmlformats.org/officeDocument/2006/relationships/table" Target="../tables/table189.xml"/><Relationship Id="rId375" Type="http://schemas.openxmlformats.org/officeDocument/2006/relationships/table" Target="../tables/table375.xml"/><Relationship Id="rId396" Type="http://schemas.openxmlformats.org/officeDocument/2006/relationships/table" Target="../tables/table396.xml"/><Relationship Id="rId3" Type="http://schemas.openxmlformats.org/officeDocument/2006/relationships/table" Target="../tables/table3.xml"/><Relationship Id="rId214" Type="http://schemas.openxmlformats.org/officeDocument/2006/relationships/table" Target="../tables/table214.xml"/><Relationship Id="rId235" Type="http://schemas.openxmlformats.org/officeDocument/2006/relationships/table" Target="../tables/table235.xml"/><Relationship Id="rId256" Type="http://schemas.openxmlformats.org/officeDocument/2006/relationships/table" Target="../tables/table256.xml"/><Relationship Id="rId277" Type="http://schemas.openxmlformats.org/officeDocument/2006/relationships/table" Target="../tables/table277.xml"/><Relationship Id="rId298" Type="http://schemas.openxmlformats.org/officeDocument/2006/relationships/table" Target="../tables/table298.xml"/><Relationship Id="rId400" Type="http://schemas.openxmlformats.org/officeDocument/2006/relationships/table" Target="../tables/table400.xml"/><Relationship Id="rId421" Type="http://schemas.openxmlformats.org/officeDocument/2006/relationships/table" Target="../tables/table421.xml"/><Relationship Id="rId116" Type="http://schemas.openxmlformats.org/officeDocument/2006/relationships/table" Target="../tables/table116.xml"/><Relationship Id="rId137" Type="http://schemas.openxmlformats.org/officeDocument/2006/relationships/table" Target="../tables/table137.xml"/><Relationship Id="rId158" Type="http://schemas.openxmlformats.org/officeDocument/2006/relationships/table" Target="../tables/table158.xml"/><Relationship Id="rId302" Type="http://schemas.openxmlformats.org/officeDocument/2006/relationships/table" Target="../tables/table302.xml"/><Relationship Id="rId323" Type="http://schemas.openxmlformats.org/officeDocument/2006/relationships/table" Target="../tables/table323.xml"/><Relationship Id="rId344" Type="http://schemas.openxmlformats.org/officeDocument/2006/relationships/table" Target="../tables/table344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62" Type="http://schemas.openxmlformats.org/officeDocument/2006/relationships/table" Target="../tables/table62.xml"/><Relationship Id="rId83" Type="http://schemas.openxmlformats.org/officeDocument/2006/relationships/table" Target="../tables/table83.xml"/><Relationship Id="rId179" Type="http://schemas.openxmlformats.org/officeDocument/2006/relationships/table" Target="../tables/table179.xml"/><Relationship Id="rId365" Type="http://schemas.openxmlformats.org/officeDocument/2006/relationships/table" Target="../tables/table365.xml"/><Relationship Id="rId386" Type="http://schemas.openxmlformats.org/officeDocument/2006/relationships/table" Target="../tables/table386.xml"/><Relationship Id="rId190" Type="http://schemas.openxmlformats.org/officeDocument/2006/relationships/table" Target="../tables/table190.xml"/><Relationship Id="rId204" Type="http://schemas.openxmlformats.org/officeDocument/2006/relationships/table" Target="../tables/table204.xml"/><Relationship Id="rId225" Type="http://schemas.openxmlformats.org/officeDocument/2006/relationships/table" Target="../tables/table225.xml"/><Relationship Id="rId246" Type="http://schemas.openxmlformats.org/officeDocument/2006/relationships/table" Target="../tables/table246.xml"/><Relationship Id="rId267" Type="http://schemas.openxmlformats.org/officeDocument/2006/relationships/table" Target="../tables/table267.xml"/><Relationship Id="rId288" Type="http://schemas.openxmlformats.org/officeDocument/2006/relationships/table" Target="../tables/table288.xml"/><Relationship Id="rId411" Type="http://schemas.openxmlformats.org/officeDocument/2006/relationships/table" Target="../tables/table411.xml"/><Relationship Id="rId432" Type="http://schemas.openxmlformats.org/officeDocument/2006/relationships/table" Target="../tables/table432.xml"/><Relationship Id="rId106" Type="http://schemas.openxmlformats.org/officeDocument/2006/relationships/table" Target="../tables/table106.xml"/><Relationship Id="rId127" Type="http://schemas.openxmlformats.org/officeDocument/2006/relationships/table" Target="../tables/table127.xml"/><Relationship Id="rId313" Type="http://schemas.openxmlformats.org/officeDocument/2006/relationships/table" Target="../tables/table313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52" Type="http://schemas.openxmlformats.org/officeDocument/2006/relationships/table" Target="../tables/table52.xml"/><Relationship Id="rId73" Type="http://schemas.openxmlformats.org/officeDocument/2006/relationships/table" Target="../tables/table73.xml"/><Relationship Id="rId94" Type="http://schemas.openxmlformats.org/officeDocument/2006/relationships/table" Target="../tables/table94.xml"/><Relationship Id="rId148" Type="http://schemas.openxmlformats.org/officeDocument/2006/relationships/table" Target="../tables/table148.xml"/><Relationship Id="rId169" Type="http://schemas.openxmlformats.org/officeDocument/2006/relationships/table" Target="../tables/table169.xml"/><Relationship Id="rId334" Type="http://schemas.openxmlformats.org/officeDocument/2006/relationships/table" Target="../tables/table334.xml"/><Relationship Id="rId355" Type="http://schemas.openxmlformats.org/officeDocument/2006/relationships/table" Target="../tables/table355.xml"/><Relationship Id="rId376" Type="http://schemas.openxmlformats.org/officeDocument/2006/relationships/table" Target="../tables/table376.xml"/><Relationship Id="rId397" Type="http://schemas.openxmlformats.org/officeDocument/2006/relationships/table" Target="../tables/table397.xml"/><Relationship Id="rId4" Type="http://schemas.openxmlformats.org/officeDocument/2006/relationships/table" Target="../tables/table4.xml"/><Relationship Id="rId180" Type="http://schemas.openxmlformats.org/officeDocument/2006/relationships/table" Target="../tables/table180.xml"/><Relationship Id="rId215" Type="http://schemas.openxmlformats.org/officeDocument/2006/relationships/table" Target="../tables/table215.xml"/><Relationship Id="rId236" Type="http://schemas.openxmlformats.org/officeDocument/2006/relationships/table" Target="../tables/table236.xml"/><Relationship Id="rId257" Type="http://schemas.openxmlformats.org/officeDocument/2006/relationships/table" Target="../tables/table257.xml"/><Relationship Id="rId278" Type="http://schemas.openxmlformats.org/officeDocument/2006/relationships/table" Target="../tables/table278.xml"/><Relationship Id="rId401" Type="http://schemas.openxmlformats.org/officeDocument/2006/relationships/table" Target="../tables/table401.xml"/><Relationship Id="rId422" Type="http://schemas.openxmlformats.org/officeDocument/2006/relationships/table" Target="../tables/table422.xml"/><Relationship Id="rId303" Type="http://schemas.openxmlformats.org/officeDocument/2006/relationships/table" Target="../tables/table303.xml"/><Relationship Id="rId42" Type="http://schemas.openxmlformats.org/officeDocument/2006/relationships/table" Target="../tables/table42.xml"/><Relationship Id="rId84" Type="http://schemas.openxmlformats.org/officeDocument/2006/relationships/table" Target="../tables/table84.xml"/><Relationship Id="rId138" Type="http://schemas.openxmlformats.org/officeDocument/2006/relationships/table" Target="../tables/table138.xml"/><Relationship Id="rId345" Type="http://schemas.openxmlformats.org/officeDocument/2006/relationships/table" Target="../tables/table345.xml"/><Relationship Id="rId387" Type="http://schemas.openxmlformats.org/officeDocument/2006/relationships/table" Target="../tables/table387.xml"/><Relationship Id="rId191" Type="http://schemas.openxmlformats.org/officeDocument/2006/relationships/table" Target="../tables/table191.xml"/><Relationship Id="rId205" Type="http://schemas.openxmlformats.org/officeDocument/2006/relationships/table" Target="../tables/table205.xml"/><Relationship Id="rId247" Type="http://schemas.openxmlformats.org/officeDocument/2006/relationships/table" Target="../tables/table247.xml"/><Relationship Id="rId412" Type="http://schemas.openxmlformats.org/officeDocument/2006/relationships/table" Target="../tables/table412.xml"/><Relationship Id="rId107" Type="http://schemas.openxmlformats.org/officeDocument/2006/relationships/table" Target="../tables/table107.xml"/><Relationship Id="rId289" Type="http://schemas.openxmlformats.org/officeDocument/2006/relationships/table" Target="../tables/table289.xml"/><Relationship Id="rId11" Type="http://schemas.openxmlformats.org/officeDocument/2006/relationships/table" Target="../tables/table11.xml"/><Relationship Id="rId53" Type="http://schemas.openxmlformats.org/officeDocument/2006/relationships/table" Target="../tables/table53.xml"/><Relationship Id="rId149" Type="http://schemas.openxmlformats.org/officeDocument/2006/relationships/table" Target="../tables/table149.xml"/><Relationship Id="rId314" Type="http://schemas.openxmlformats.org/officeDocument/2006/relationships/table" Target="../tables/table314.xml"/><Relationship Id="rId356" Type="http://schemas.openxmlformats.org/officeDocument/2006/relationships/table" Target="../tables/table356.xml"/><Relationship Id="rId398" Type="http://schemas.openxmlformats.org/officeDocument/2006/relationships/table" Target="../tables/table398.xml"/><Relationship Id="rId95" Type="http://schemas.openxmlformats.org/officeDocument/2006/relationships/table" Target="../tables/table95.xml"/><Relationship Id="rId160" Type="http://schemas.openxmlformats.org/officeDocument/2006/relationships/table" Target="../tables/table160.xml"/><Relationship Id="rId216" Type="http://schemas.openxmlformats.org/officeDocument/2006/relationships/table" Target="../tables/table216.xml"/><Relationship Id="rId423" Type="http://schemas.openxmlformats.org/officeDocument/2006/relationships/table" Target="../tables/table423.xml"/><Relationship Id="rId258" Type="http://schemas.openxmlformats.org/officeDocument/2006/relationships/table" Target="../tables/table258.xml"/><Relationship Id="rId22" Type="http://schemas.openxmlformats.org/officeDocument/2006/relationships/table" Target="../tables/table22.xml"/><Relationship Id="rId64" Type="http://schemas.openxmlformats.org/officeDocument/2006/relationships/table" Target="../tables/table64.xml"/><Relationship Id="rId118" Type="http://schemas.openxmlformats.org/officeDocument/2006/relationships/table" Target="../tables/table118.xml"/><Relationship Id="rId325" Type="http://schemas.openxmlformats.org/officeDocument/2006/relationships/table" Target="../tables/table325.xml"/><Relationship Id="rId367" Type="http://schemas.openxmlformats.org/officeDocument/2006/relationships/table" Target="../tables/table367.xml"/><Relationship Id="rId171" Type="http://schemas.openxmlformats.org/officeDocument/2006/relationships/table" Target="../tables/table171.xml"/><Relationship Id="rId227" Type="http://schemas.openxmlformats.org/officeDocument/2006/relationships/table" Target="../tables/table227.xml"/><Relationship Id="rId269" Type="http://schemas.openxmlformats.org/officeDocument/2006/relationships/table" Target="../tables/table269.xml"/><Relationship Id="rId434" Type="http://schemas.openxmlformats.org/officeDocument/2006/relationships/table" Target="../tables/table434.xml"/><Relationship Id="rId33" Type="http://schemas.openxmlformats.org/officeDocument/2006/relationships/table" Target="../tables/table33.xml"/><Relationship Id="rId129" Type="http://schemas.openxmlformats.org/officeDocument/2006/relationships/table" Target="../tables/table129.xml"/><Relationship Id="rId280" Type="http://schemas.openxmlformats.org/officeDocument/2006/relationships/table" Target="../tables/table280.xml"/><Relationship Id="rId336" Type="http://schemas.openxmlformats.org/officeDocument/2006/relationships/table" Target="../tables/table336.xml"/><Relationship Id="rId75" Type="http://schemas.openxmlformats.org/officeDocument/2006/relationships/table" Target="../tables/table75.xml"/><Relationship Id="rId140" Type="http://schemas.openxmlformats.org/officeDocument/2006/relationships/table" Target="../tables/table140.xml"/><Relationship Id="rId182" Type="http://schemas.openxmlformats.org/officeDocument/2006/relationships/table" Target="../tables/table182.xml"/><Relationship Id="rId378" Type="http://schemas.openxmlformats.org/officeDocument/2006/relationships/table" Target="../tables/table378.xml"/><Relationship Id="rId403" Type="http://schemas.openxmlformats.org/officeDocument/2006/relationships/table" Target="../tables/table403.xml"/><Relationship Id="rId6" Type="http://schemas.openxmlformats.org/officeDocument/2006/relationships/table" Target="../tables/table6.xml"/><Relationship Id="rId238" Type="http://schemas.openxmlformats.org/officeDocument/2006/relationships/table" Target="../tables/table238.xml"/><Relationship Id="rId291" Type="http://schemas.openxmlformats.org/officeDocument/2006/relationships/table" Target="../tables/table291.xml"/><Relationship Id="rId305" Type="http://schemas.openxmlformats.org/officeDocument/2006/relationships/table" Target="../tables/table305.xml"/><Relationship Id="rId347" Type="http://schemas.openxmlformats.org/officeDocument/2006/relationships/table" Target="../tables/table347.xml"/><Relationship Id="rId44" Type="http://schemas.openxmlformats.org/officeDocument/2006/relationships/table" Target="../tables/table44.xml"/><Relationship Id="rId86" Type="http://schemas.openxmlformats.org/officeDocument/2006/relationships/table" Target="../tables/table86.xml"/><Relationship Id="rId151" Type="http://schemas.openxmlformats.org/officeDocument/2006/relationships/table" Target="../tables/table151.xml"/><Relationship Id="rId389" Type="http://schemas.openxmlformats.org/officeDocument/2006/relationships/table" Target="../tables/table389.xml"/><Relationship Id="rId193" Type="http://schemas.openxmlformats.org/officeDocument/2006/relationships/table" Target="../tables/table193.xml"/><Relationship Id="rId207" Type="http://schemas.openxmlformats.org/officeDocument/2006/relationships/table" Target="../tables/table207.xml"/><Relationship Id="rId249" Type="http://schemas.openxmlformats.org/officeDocument/2006/relationships/table" Target="../tables/table249.xml"/><Relationship Id="rId414" Type="http://schemas.openxmlformats.org/officeDocument/2006/relationships/table" Target="../tables/table414.xml"/><Relationship Id="rId13" Type="http://schemas.openxmlformats.org/officeDocument/2006/relationships/table" Target="../tables/table13.xml"/><Relationship Id="rId109" Type="http://schemas.openxmlformats.org/officeDocument/2006/relationships/table" Target="../tables/table109.xml"/><Relationship Id="rId260" Type="http://schemas.openxmlformats.org/officeDocument/2006/relationships/table" Target="../tables/table260.xml"/><Relationship Id="rId316" Type="http://schemas.openxmlformats.org/officeDocument/2006/relationships/table" Target="../tables/table316.xml"/><Relationship Id="rId55" Type="http://schemas.openxmlformats.org/officeDocument/2006/relationships/table" Target="../tables/table55.xml"/><Relationship Id="rId97" Type="http://schemas.openxmlformats.org/officeDocument/2006/relationships/table" Target="../tables/table97.xml"/><Relationship Id="rId120" Type="http://schemas.openxmlformats.org/officeDocument/2006/relationships/table" Target="../tables/table120.xml"/><Relationship Id="rId358" Type="http://schemas.openxmlformats.org/officeDocument/2006/relationships/table" Target="../tables/table358.xml"/><Relationship Id="rId162" Type="http://schemas.openxmlformats.org/officeDocument/2006/relationships/table" Target="../tables/table162.xml"/><Relationship Id="rId218" Type="http://schemas.openxmlformats.org/officeDocument/2006/relationships/table" Target="../tables/table218.xml"/><Relationship Id="rId425" Type="http://schemas.openxmlformats.org/officeDocument/2006/relationships/table" Target="../tables/table425.xml"/><Relationship Id="rId271" Type="http://schemas.openxmlformats.org/officeDocument/2006/relationships/table" Target="../tables/table271.xml"/><Relationship Id="rId24" Type="http://schemas.openxmlformats.org/officeDocument/2006/relationships/table" Target="../tables/table24.xml"/><Relationship Id="rId66" Type="http://schemas.openxmlformats.org/officeDocument/2006/relationships/table" Target="../tables/table66.xml"/><Relationship Id="rId131" Type="http://schemas.openxmlformats.org/officeDocument/2006/relationships/table" Target="../tables/table131.xml"/><Relationship Id="rId327" Type="http://schemas.openxmlformats.org/officeDocument/2006/relationships/table" Target="../tables/table327.xml"/><Relationship Id="rId369" Type="http://schemas.openxmlformats.org/officeDocument/2006/relationships/table" Target="../tables/table369.xml"/><Relationship Id="rId173" Type="http://schemas.openxmlformats.org/officeDocument/2006/relationships/table" Target="../tables/table173.xml"/><Relationship Id="rId229" Type="http://schemas.openxmlformats.org/officeDocument/2006/relationships/table" Target="../tables/table229.xml"/><Relationship Id="rId380" Type="http://schemas.openxmlformats.org/officeDocument/2006/relationships/table" Target="../tables/table380.xml"/><Relationship Id="rId436" Type="http://schemas.openxmlformats.org/officeDocument/2006/relationships/table" Target="../tables/table436.xml"/><Relationship Id="rId240" Type="http://schemas.openxmlformats.org/officeDocument/2006/relationships/table" Target="../tables/table240.xml"/><Relationship Id="rId35" Type="http://schemas.openxmlformats.org/officeDocument/2006/relationships/table" Target="../tables/table35.xml"/><Relationship Id="rId77" Type="http://schemas.openxmlformats.org/officeDocument/2006/relationships/table" Target="../tables/table77.xml"/><Relationship Id="rId100" Type="http://schemas.openxmlformats.org/officeDocument/2006/relationships/table" Target="../tables/table100.xml"/><Relationship Id="rId282" Type="http://schemas.openxmlformats.org/officeDocument/2006/relationships/table" Target="../tables/table282.xml"/><Relationship Id="rId338" Type="http://schemas.openxmlformats.org/officeDocument/2006/relationships/table" Target="../tables/table338.xml"/><Relationship Id="rId8" Type="http://schemas.openxmlformats.org/officeDocument/2006/relationships/table" Target="../tables/table8.xml"/><Relationship Id="rId142" Type="http://schemas.openxmlformats.org/officeDocument/2006/relationships/table" Target="../tables/table142.xml"/><Relationship Id="rId184" Type="http://schemas.openxmlformats.org/officeDocument/2006/relationships/table" Target="../tables/table184.xml"/><Relationship Id="rId391" Type="http://schemas.openxmlformats.org/officeDocument/2006/relationships/table" Target="../tables/table391.xml"/><Relationship Id="rId405" Type="http://schemas.openxmlformats.org/officeDocument/2006/relationships/table" Target="../tables/table405.xml"/><Relationship Id="rId251" Type="http://schemas.openxmlformats.org/officeDocument/2006/relationships/table" Target="../tables/table251.xml"/><Relationship Id="rId46" Type="http://schemas.openxmlformats.org/officeDocument/2006/relationships/table" Target="../tables/table46.xml"/><Relationship Id="rId293" Type="http://schemas.openxmlformats.org/officeDocument/2006/relationships/table" Target="../tables/table293.xml"/><Relationship Id="rId307" Type="http://schemas.openxmlformats.org/officeDocument/2006/relationships/table" Target="../tables/table307.xml"/><Relationship Id="rId349" Type="http://schemas.openxmlformats.org/officeDocument/2006/relationships/table" Target="../tables/table349.xml"/><Relationship Id="rId88" Type="http://schemas.openxmlformats.org/officeDocument/2006/relationships/table" Target="../tables/table88.xml"/><Relationship Id="rId111" Type="http://schemas.openxmlformats.org/officeDocument/2006/relationships/table" Target="../tables/table111.xml"/><Relationship Id="rId153" Type="http://schemas.openxmlformats.org/officeDocument/2006/relationships/table" Target="../tables/table153.xml"/><Relationship Id="rId195" Type="http://schemas.openxmlformats.org/officeDocument/2006/relationships/table" Target="../tables/table195.xml"/><Relationship Id="rId209" Type="http://schemas.openxmlformats.org/officeDocument/2006/relationships/table" Target="../tables/table209.xml"/><Relationship Id="rId360" Type="http://schemas.openxmlformats.org/officeDocument/2006/relationships/table" Target="../tables/table360.xml"/><Relationship Id="rId416" Type="http://schemas.openxmlformats.org/officeDocument/2006/relationships/table" Target="../tables/table416.xml"/><Relationship Id="rId220" Type="http://schemas.openxmlformats.org/officeDocument/2006/relationships/table" Target="../tables/table220.xml"/><Relationship Id="rId15" Type="http://schemas.openxmlformats.org/officeDocument/2006/relationships/table" Target="../tables/table15.xml"/><Relationship Id="rId57" Type="http://schemas.openxmlformats.org/officeDocument/2006/relationships/table" Target="../tables/table57.xml"/><Relationship Id="rId262" Type="http://schemas.openxmlformats.org/officeDocument/2006/relationships/table" Target="../tables/table262.xml"/><Relationship Id="rId318" Type="http://schemas.openxmlformats.org/officeDocument/2006/relationships/table" Target="../tables/table318.xml"/><Relationship Id="rId99" Type="http://schemas.openxmlformats.org/officeDocument/2006/relationships/table" Target="../tables/table99.xml"/><Relationship Id="rId122" Type="http://schemas.openxmlformats.org/officeDocument/2006/relationships/table" Target="../tables/table122.xml"/><Relationship Id="rId164" Type="http://schemas.openxmlformats.org/officeDocument/2006/relationships/table" Target="../tables/table164.xml"/><Relationship Id="rId371" Type="http://schemas.openxmlformats.org/officeDocument/2006/relationships/table" Target="../tables/table371.xml"/><Relationship Id="rId427" Type="http://schemas.openxmlformats.org/officeDocument/2006/relationships/table" Target="../tables/table427.xml"/><Relationship Id="rId26" Type="http://schemas.openxmlformats.org/officeDocument/2006/relationships/table" Target="../tables/table26.xml"/><Relationship Id="rId231" Type="http://schemas.openxmlformats.org/officeDocument/2006/relationships/table" Target="../tables/table231.xml"/><Relationship Id="rId273" Type="http://schemas.openxmlformats.org/officeDocument/2006/relationships/table" Target="../tables/table273.xml"/><Relationship Id="rId329" Type="http://schemas.openxmlformats.org/officeDocument/2006/relationships/table" Target="../tables/table329.xml"/><Relationship Id="rId68" Type="http://schemas.openxmlformats.org/officeDocument/2006/relationships/table" Target="../tables/table68.xml"/><Relationship Id="rId133" Type="http://schemas.openxmlformats.org/officeDocument/2006/relationships/table" Target="../tables/table133.xml"/><Relationship Id="rId175" Type="http://schemas.openxmlformats.org/officeDocument/2006/relationships/table" Target="../tables/table175.xml"/><Relationship Id="rId340" Type="http://schemas.openxmlformats.org/officeDocument/2006/relationships/table" Target="../tables/table340.xml"/><Relationship Id="rId200" Type="http://schemas.openxmlformats.org/officeDocument/2006/relationships/table" Target="../tables/table200.xml"/><Relationship Id="rId382" Type="http://schemas.openxmlformats.org/officeDocument/2006/relationships/table" Target="../tables/table382.xml"/><Relationship Id="rId438" Type="http://schemas.openxmlformats.org/officeDocument/2006/relationships/table" Target="../tables/table438.xml"/><Relationship Id="rId242" Type="http://schemas.openxmlformats.org/officeDocument/2006/relationships/table" Target="../tables/table242.xml"/><Relationship Id="rId284" Type="http://schemas.openxmlformats.org/officeDocument/2006/relationships/table" Target="../tables/table284.xml"/><Relationship Id="rId37" Type="http://schemas.openxmlformats.org/officeDocument/2006/relationships/table" Target="../tables/table37.xml"/><Relationship Id="rId79" Type="http://schemas.openxmlformats.org/officeDocument/2006/relationships/table" Target="../tables/table79.xml"/><Relationship Id="rId102" Type="http://schemas.openxmlformats.org/officeDocument/2006/relationships/table" Target="../tables/table102.xml"/><Relationship Id="rId144" Type="http://schemas.openxmlformats.org/officeDocument/2006/relationships/table" Target="../tables/table144.xml"/><Relationship Id="rId90" Type="http://schemas.openxmlformats.org/officeDocument/2006/relationships/table" Target="../tables/table90.xml"/><Relationship Id="rId186" Type="http://schemas.openxmlformats.org/officeDocument/2006/relationships/table" Target="../tables/table186.xml"/><Relationship Id="rId351" Type="http://schemas.openxmlformats.org/officeDocument/2006/relationships/table" Target="../tables/table351.xml"/><Relationship Id="rId393" Type="http://schemas.openxmlformats.org/officeDocument/2006/relationships/table" Target="../tables/table393.xml"/><Relationship Id="rId407" Type="http://schemas.openxmlformats.org/officeDocument/2006/relationships/table" Target="../tables/table407.xml"/><Relationship Id="rId211" Type="http://schemas.openxmlformats.org/officeDocument/2006/relationships/table" Target="../tables/table211.xml"/><Relationship Id="rId253" Type="http://schemas.openxmlformats.org/officeDocument/2006/relationships/table" Target="../tables/table253.xml"/><Relationship Id="rId295" Type="http://schemas.openxmlformats.org/officeDocument/2006/relationships/table" Target="../tables/table295.xml"/><Relationship Id="rId309" Type="http://schemas.openxmlformats.org/officeDocument/2006/relationships/table" Target="../tables/table309.xml"/><Relationship Id="rId48" Type="http://schemas.openxmlformats.org/officeDocument/2006/relationships/table" Target="../tables/table48.xml"/><Relationship Id="rId113" Type="http://schemas.openxmlformats.org/officeDocument/2006/relationships/table" Target="../tables/table113.xml"/><Relationship Id="rId320" Type="http://schemas.openxmlformats.org/officeDocument/2006/relationships/table" Target="../tables/table320.xml"/><Relationship Id="rId155" Type="http://schemas.openxmlformats.org/officeDocument/2006/relationships/table" Target="../tables/table155.xml"/><Relationship Id="rId197" Type="http://schemas.openxmlformats.org/officeDocument/2006/relationships/table" Target="../tables/table197.xml"/><Relationship Id="rId362" Type="http://schemas.openxmlformats.org/officeDocument/2006/relationships/table" Target="../tables/table362.xml"/><Relationship Id="rId418" Type="http://schemas.openxmlformats.org/officeDocument/2006/relationships/table" Target="../tables/table418.xml"/><Relationship Id="rId222" Type="http://schemas.openxmlformats.org/officeDocument/2006/relationships/table" Target="../tables/table222.xml"/><Relationship Id="rId264" Type="http://schemas.openxmlformats.org/officeDocument/2006/relationships/table" Target="../tables/table264.xml"/><Relationship Id="rId17" Type="http://schemas.openxmlformats.org/officeDocument/2006/relationships/table" Target="../tables/table17.xml"/><Relationship Id="rId59" Type="http://schemas.openxmlformats.org/officeDocument/2006/relationships/table" Target="../tables/table59.xml"/><Relationship Id="rId124" Type="http://schemas.openxmlformats.org/officeDocument/2006/relationships/table" Target="../tables/table124.xml"/><Relationship Id="rId70" Type="http://schemas.openxmlformats.org/officeDocument/2006/relationships/table" Target="../tables/table70.xml"/><Relationship Id="rId166" Type="http://schemas.openxmlformats.org/officeDocument/2006/relationships/table" Target="../tables/table166.xml"/><Relationship Id="rId331" Type="http://schemas.openxmlformats.org/officeDocument/2006/relationships/table" Target="../tables/table331.xml"/><Relationship Id="rId373" Type="http://schemas.openxmlformats.org/officeDocument/2006/relationships/table" Target="../tables/table373.xml"/><Relationship Id="rId429" Type="http://schemas.openxmlformats.org/officeDocument/2006/relationships/table" Target="../tables/table429.xml"/><Relationship Id="rId1" Type="http://schemas.openxmlformats.org/officeDocument/2006/relationships/table" Target="../tables/table1.xml"/><Relationship Id="rId233" Type="http://schemas.openxmlformats.org/officeDocument/2006/relationships/table" Target="../tables/table233.xml"/><Relationship Id="rId440" Type="http://schemas.openxmlformats.org/officeDocument/2006/relationships/table" Target="../tables/table440.xml"/><Relationship Id="rId28" Type="http://schemas.openxmlformats.org/officeDocument/2006/relationships/table" Target="../tables/table28.xml"/><Relationship Id="rId275" Type="http://schemas.openxmlformats.org/officeDocument/2006/relationships/table" Target="../tables/table275.xml"/><Relationship Id="rId300" Type="http://schemas.openxmlformats.org/officeDocument/2006/relationships/table" Target="../tables/table300.xml"/><Relationship Id="rId81" Type="http://schemas.openxmlformats.org/officeDocument/2006/relationships/table" Target="../tables/table81.xml"/><Relationship Id="rId135" Type="http://schemas.openxmlformats.org/officeDocument/2006/relationships/table" Target="../tables/table135.xml"/><Relationship Id="rId177" Type="http://schemas.openxmlformats.org/officeDocument/2006/relationships/table" Target="../tables/table177.xml"/><Relationship Id="rId342" Type="http://schemas.openxmlformats.org/officeDocument/2006/relationships/table" Target="../tables/table342.xml"/><Relationship Id="rId384" Type="http://schemas.openxmlformats.org/officeDocument/2006/relationships/table" Target="../tables/table38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777"/>
  <sheetViews>
    <sheetView rightToLeft="1" tabSelected="1" topLeftCell="A4708" workbookViewId="0">
      <selection activeCell="B4727" sqref="B4727"/>
    </sheetView>
  </sheetViews>
  <sheetFormatPr defaultColWidth="14.42578125" defaultRowHeight="15" customHeight="1"/>
  <cols>
    <col min="1" max="1" width="8.7109375" customWidth="1"/>
    <col min="2" max="2" width="21.85546875" customWidth="1"/>
    <col min="3" max="3" width="10.140625" customWidth="1"/>
    <col min="4" max="4" width="12.7109375" customWidth="1"/>
    <col min="5" max="5" width="8.140625" customWidth="1"/>
    <col min="6" max="6" width="16.5703125" customWidth="1"/>
    <col min="7" max="7" width="12.85546875" customWidth="1"/>
    <col min="8" max="8" width="17.28515625" customWidth="1"/>
    <col min="9" max="26" width="8.7109375" customWidth="1"/>
  </cols>
  <sheetData>
    <row r="1" spans="1:9" ht="14.25" customHeight="1">
      <c r="A1" s="85" t="s">
        <v>0</v>
      </c>
      <c r="B1" s="81"/>
      <c r="C1" s="81"/>
      <c r="D1" s="81"/>
      <c r="E1" s="81"/>
      <c r="F1" s="81"/>
      <c r="G1" s="81"/>
      <c r="H1" s="82"/>
    </row>
    <row r="2" spans="1:9" ht="14.25" customHeight="1">
      <c r="A2" s="85" t="s">
        <v>1</v>
      </c>
      <c r="B2" s="81"/>
      <c r="C2" s="81"/>
      <c r="D2" s="81"/>
      <c r="E2" s="81"/>
      <c r="F2" s="81"/>
      <c r="G2" s="81"/>
      <c r="H2" s="82"/>
    </row>
    <row r="3" spans="1:9" ht="14.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1" t="s">
        <v>8</v>
      </c>
      <c r="H3" s="1"/>
    </row>
    <row r="4" spans="1:9" ht="14.25" customHeight="1">
      <c r="A4" s="3">
        <v>1</v>
      </c>
      <c r="B4" s="4" t="s">
        <v>9</v>
      </c>
      <c r="C4" s="5" t="s">
        <v>10</v>
      </c>
      <c r="D4" s="4" t="s">
        <v>11</v>
      </c>
      <c r="E4" s="4">
        <v>1.57</v>
      </c>
      <c r="F4" s="6">
        <v>293000</v>
      </c>
      <c r="G4" s="7">
        <f t="shared" ref="G4:G5" si="0">IFERROR(E4*F4,0)</f>
        <v>460010</v>
      </c>
      <c r="H4" s="8"/>
    </row>
    <row r="5" spans="1:9" ht="14.25" customHeight="1">
      <c r="A5" s="3">
        <v>2</v>
      </c>
      <c r="B5" s="9" t="s">
        <v>12</v>
      </c>
      <c r="C5" s="10" t="s">
        <v>13</v>
      </c>
      <c r="D5" s="9" t="s">
        <v>14</v>
      </c>
      <c r="E5" s="9">
        <v>0.89</v>
      </c>
      <c r="F5" s="11">
        <v>435000</v>
      </c>
      <c r="G5" s="7">
        <f t="shared" si="0"/>
        <v>387150</v>
      </c>
      <c r="H5" s="8"/>
    </row>
    <row r="6" spans="1:9" ht="14.25" customHeight="1">
      <c r="A6" s="3">
        <v>3</v>
      </c>
      <c r="B6" s="9" t="s">
        <v>15</v>
      </c>
      <c r="C6" s="12" t="s">
        <v>16</v>
      </c>
      <c r="D6" s="9" t="s">
        <v>11</v>
      </c>
      <c r="E6" s="9">
        <v>1.27</v>
      </c>
      <c r="F6" s="6">
        <v>293000</v>
      </c>
      <c r="G6" s="7">
        <f>IFERROR(E6*F6,0)</f>
        <v>372110</v>
      </c>
      <c r="H6" s="8"/>
    </row>
    <row r="7" spans="1:9" ht="14.25" customHeight="1">
      <c r="A7" s="3">
        <v>4</v>
      </c>
      <c r="B7" s="8" t="s">
        <v>17</v>
      </c>
      <c r="C7" s="8"/>
      <c r="D7" s="8"/>
      <c r="E7" s="8"/>
      <c r="F7" s="8"/>
      <c r="G7" s="13">
        <f>IFERROR(E7*F7,0)</f>
        <v>0</v>
      </c>
      <c r="H7" s="8"/>
    </row>
    <row r="8" spans="1:9" ht="14.25" customHeight="1">
      <c r="A8" s="86" t="s">
        <v>18</v>
      </c>
      <c r="B8" s="81"/>
      <c r="C8" s="81"/>
      <c r="D8" s="81"/>
      <c r="E8" s="81"/>
      <c r="F8" s="81"/>
      <c r="G8" s="82"/>
      <c r="H8" s="14">
        <f>SUM(G4:G7)</f>
        <v>1219270</v>
      </c>
    </row>
    <row r="9" spans="1:9" ht="14.25" customHeight="1">
      <c r="A9" s="86" t="s">
        <v>19</v>
      </c>
      <c r="B9" s="81"/>
      <c r="C9" s="81"/>
      <c r="D9" s="81"/>
      <c r="E9" s="81"/>
      <c r="F9" s="81"/>
      <c r="G9" s="82"/>
      <c r="H9" s="14">
        <f>MAX(0,H8-648000)</f>
        <v>571270</v>
      </c>
    </row>
    <row r="10" spans="1:9" ht="14.25" customHeight="1">
      <c r="A10" s="87" t="s">
        <v>20</v>
      </c>
      <c r="B10" s="81"/>
      <c r="C10" s="81"/>
      <c r="D10" s="81"/>
      <c r="E10" s="81"/>
      <c r="F10" s="81"/>
      <c r="G10" s="82"/>
      <c r="H10" s="15">
        <v>649000</v>
      </c>
    </row>
    <row r="11" spans="1:9" ht="14.25" customHeight="1">
      <c r="A11" s="88"/>
      <c r="B11" s="81"/>
      <c r="C11" s="81"/>
      <c r="D11" s="81"/>
      <c r="E11" s="81"/>
      <c r="F11" s="81"/>
      <c r="G11" s="81"/>
      <c r="H11" s="82"/>
      <c r="I11" s="16"/>
    </row>
    <row r="12" spans="1:9" ht="14.25" customHeight="1">
      <c r="A12" s="17"/>
      <c r="B12" s="17"/>
      <c r="C12" s="17"/>
      <c r="D12" s="17"/>
      <c r="E12" s="17"/>
      <c r="F12" s="17"/>
      <c r="G12" s="17"/>
      <c r="H12" s="17"/>
      <c r="I12" s="16"/>
    </row>
    <row r="13" spans="1:9" ht="14.25" customHeight="1">
      <c r="A13" s="17"/>
      <c r="B13" s="17"/>
      <c r="C13" s="17"/>
      <c r="D13" s="17"/>
      <c r="E13" s="17"/>
      <c r="F13" s="17"/>
      <c r="G13" s="17"/>
      <c r="H13" s="17"/>
      <c r="I13" s="16"/>
    </row>
    <row r="14" spans="1:9" ht="14.25" customHeight="1">
      <c r="A14" s="17"/>
      <c r="B14" s="17"/>
      <c r="C14" s="17"/>
      <c r="D14" s="17"/>
      <c r="E14" s="17"/>
      <c r="F14" s="17"/>
      <c r="G14" s="17"/>
      <c r="H14" s="17"/>
      <c r="I14" s="16"/>
    </row>
    <row r="15" spans="1:9" ht="14.25" customHeight="1">
      <c r="A15" s="85" t="s">
        <v>0</v>
      </c>
      <c r="B15" s="81"/>
      <c r="C15" s="81"/>
      <c r="D15" s="81"/>
      <c r="E15" s="81"/>
      <c r="F15" s="81"/>
      <c r="G15" s="81"/>
      <c r="H15" s="82"/>
    </row>
    <row r="16" spans="1:9" ht="14.25" customHeight="1">
      <c r="A16" s="85" t="s">
        <v>21</v>
      </c>
      <c r="B16" s="81"/>
      <c r="C16" s="81"/>
      <c r="D16" s="81"/>
      <c r="E16" s="81"/>
      <c r="F16" s="81"/>
      <c r="G16" s="81"/>
      <c r="H16" s="82"/>
    </row>
    <row r="17" spans="1:8" ht="14.25" customHeight="1">
      <c r="A17" s="1" t="s">
        <v>2</v>
      </c>
      <c r="B17" s="1" t="s">
        <v>3</v>
      </c>
      <c r="C17" s="1" t="s">
        <v>4</v>
      </c>
      <c r="D17" s="1" t="s">
        <v>5</v>
      </c>
      <c r="E17" s="1" t="s">
        <v>6</v>
      </c>
      <c r="F17" s="2" t="s">
        <v>7</v>
      </c>
      <c r="G17" s="1" t="s">
        <v>8</v>
      </c>
      <c r="H17" s="1"/>
    </row>
    <row r="18" spans="1:8" ht="14.25" customHeight="1">
      <c r="A18" s="3">
        <v>1</v>
      </c>
      <c r="B18" s="4" t="s">
        <v>22</v>
      </c>
      <c r="C18" s="5" t="s">
        <v>23</v>
      </c>
      <c r="D18" s="4" t="s">
        <v>11</v>
      </c>
      <c r="E18" s="4">
        <v>1.5</v>
      </c>
      <c r="F18" s="6">
        <v>293000</v>
      </c>
      <c r="G18" s="7">
        <f t="shared" ref="G18:G19" si="1">IFERROR(E18*F18,0)</f>
        <v>439500</v>
      </c>
      <c r="H18" s="8"/>
    </row>
    <row r="19" spans="1:8" ht="14.25" customHeight="1">
      <c r="A19" s="3">
        <v>2</v>
      </c>
      <c r="B19" s="9" t="s">
        <v>24</v>
      </c>
      <c r="C19" s="10" t="s">
        <v>25</v>
      </c>
      <c r="D19" s="9" t="s">
        <v>11</v>
      </c>
      <c r="E19" s="9">
        <v>0.85</v>
      </c>
      <c r="F19" s="6">
        <v>293000</v>
      </c>
      <c r="G19" s="7">
        <f t="shared" si="1"/>
        <v>249050</v>
      </c>
      <c r="H19" s="8"/>
    </row>
    <row r="20" spans="1:8" ht="14.25" customHeight="1">
      <c r="A20" s="3">
        <v>3</v>
      </c>
      <c r="B20" s="4" t="s">
        <v>26</v>
      </c>
      <c r="C20" s="18" t="s">
        <v>27</v>
      </c>
      <c r="D20" s="4" t="s">
        <v>11</v>
      </c>
      <c r="E20" s="4">
        <v>1.3</v>
      </c>
      <c r="F20" s="6">
        <v>293000</v>
      </c>
      <c r="G20" s="7">
        <f>IFERROR(E20*F20,0)</f>
        <v>380900</v>
      </c>
      <c r="H20" s="8"/>
    </row>
    <row r="21" spans="1:8" ht="14.25" customHeight="1">
      <c r="A21" s="3">
        <v>4</v>
      </c>
      <c r="B21" s="8" t="s">
        <v>17</v>
      </c>
      <c r="C21" s="8"/>
      <c r="D21" s="8"/>
      <c r="E21" s="8"/>
      <c r="F21" s="8"/>
      <c r="G21" s="13">
        <f>IFERROR(E21*F21,0)</f>
        <v>0</v>
      </c>
      <c r="H21" s="8"/>
    </row>
    <row r="22" spans="1:8" ht="14.25" customHeight="1">
      <c r="A22" s="86" t="s">
        <v>18</v>
      </c>
      <c r="B22" s="81"/>
      <c r="C22" s="81"/>
      <c r="D22" s="81"/>
      <c r="E22" s="81"/>
      <c r="F22" s="81"/>
      <c r="G22" s="82"/>
      <c r="H22" s="14">
        <f>SUM(G18:G21)</f>
        <v>1069450</v>
      </c>
    </row>
    <row r="23" spans="1:8" ht="14.25" customHeight="1">
      <c r="A23" s="86" t="s">
        <v>19</v>
      </c>
      <c r="B23" s="81"/>
      <c r="C23" s="81"/>
      <c r="D23" s="81"/>
      <c r="E23" s="81"/>
      <c r="F23" s="81"/>
      <c r="G23" s="82"/>
      <c r="H23" s="14">
        <f>MAX(0,H22-648000)</f>
        <v>421450</v>
      </c>
    </row>
    <row r="24" spans="1:8" ht="14.25" customHeight="1">
      <c r="A24" s="87" t="s">
        <v>20</v>
      </c>
      <c r="B24" s="81"/>
      <c r="C24" s="81"/>
      <c r="D24" s="81"/>
      <c r="E24" s="81"/>
      <c r="F24" s="81"/>
      <c r="G24" s="82"/>
      <c r="H24" s="15">
        <v>649000</v>
      </c>
    </row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>
      <c r="A31" s="85" t="s">
        <v>0</v>
      </c>
      <c r="B31" s="81"/>
      <c r="C31" s="81"/>
      <c r="D31" s="81"/>
      <c r="E31" s="81"/>
      <c r="F31" s="81"/>
      <c r="G31" s="81"/>
      <c r="H31" s="82"/>
    </row>
    <row r="32" spans="1:8" ht="14.25" customHeight="1">
      <c r="A32" s="85" t="s">
        <v>28</v>
      </c>
      <c r="B32" s="81"/>
      <c r="C32" s="81"/>
      <c r="D32" s="81"/>
      <c r="E32" s="81"/>
      <c r="F32" s="81"/>
      <c r="G32" s="81"/>
      <c r="H32" s="82"/>
    </row>
    <row r="33" spans="1:8" ht="14.25" customHeight="1">
      <c r="A33" s="1" t="s">
        <v>2</v>
      </c>
      <c r="B33" s="1" t="s">
        <v>3</v>
      </c>
      <c r="C33" s="1" t="s">
        <v>4</v>
      </c>
      <c r="D33" s="1" t="s">
        <v>5</v>
      </c>
      <c r="E33" s="1" t="s">
        <v>6</v>
      </c>
      <c r="F33" s="2" t="s">
        <v>7</v>
      </c>
      <c r="G33" s="1" t="s">
        <v>8</v>
      </c>
      <c r="H33" s="1"/>
    </row>
    <row r="34" spans="1:8" ht="14.25" customHeight="1">
      <c r="A34" s="3">
        <v>1</v>
      </c>
      <c r="B34" s="9" t="s">
        <v>29</v>
      </c>
      <c r="C34" s="10" t="s">
        <v>30</v>
      </c>
      <c r="D34" s="9" t="s">
        <v>11</v>
      </c>
      <c r="E34" s="9">
        <v>1.54</v>
      </c>
      <c r="F34" s="6">
        <v>293000</v>
      </c>
      <c r="G34" s="7">
        <f t="shared" ref="G34:G35" si="2">IFERROR(E34*F34,0)</f>
        <v>451220</v>
      </c>
      <c r="H34" s="8"/>
    </row>
    <row r="35" spans="1:8" ht="14.25" customHeight="1">
      <c r="A35" s="3">
        <v>2</v>
      </c>
      <c r="B35" s="9" t="s">
        <v>31</v>
      </c>
      <c r="C35" s="10" t="s">
        <v>32</v>
      </c>
      <c r="D35" s="9" t="s">
        <v>14</v>
      </c>
      <c r="E35" s="9">
        <v>1</v>
      </c>
      <c r="F35" s="11">
        <v>435000</v>
      </c>
      <c r="G35" s="7">
        <f t="shared" si="2"/>
        <v>435000</v>
      </c>
      <c r="H35" s="8"/>
    </row>
    <row r="36" spans="1:8" ht="14.25" customHeight="1">
      <c r="A36" s="3">
        <v>3</v>
      </c>
      <c r="B36" s="9" t="s">
        <v>33</v>
      </c>
      <c r="C36" s="12" t="s">
        <v>34</v>
      </c>
      <c r="D36" s="9" t="s">
        <v>14</v>
      </c>
      <c r="E36" s="9">
        <v>1</v>
      </c>
      <c r="F36" s="11">
        <v>435000</v>
      </c>
      <c r="G36" s="7">
        <f>IFERROR(E36*F36,0)</f>
        <v>435000</v>
      </c>
      <c r="H36" s="8"/>
    </row>
    <row r="37" spans="1:8" ht="14.25" customHeight="1">
      <c r="A37" s="3">
        <v>4</v>
      </c>
      <c r="B37" s="8" t="s">
        <v>17</v>
      </c>
      <c r="C37" s="8"/>
      <c r="D37" s="8"/>
      <c r="E37" s="8"/>
      <c r="F37" s="8"/>
      <c r="G37" s="13">
        <f>IFERROR(E37*F37,0)</f>
        <v>0</v>
      </c>
      <c r="H37" s="8"/>
    </row>
    <row r="38" spans="1:8" ht="14.25" customHeight="1">
      <c r="A38" s="86" t="s">
        <v>18</v>
      </c>
      <c r="B38" s="81"/>
      <c r="C38" s="81"/>
      <c r="D38" s="81"/>
      <c r="E38" s="81"/>
      <c r="F38" s="81"/>
      <c r="G38" s="82"/>
      <c r="H38" s="14">
        <f>SUM(G34:G37)</f>
        <v>1321220</v>
      </c>
    </row>
    <row r="39" spans="1:8" ht="14.25" customHeight="1">
      <c r="A39" s="86" t="s">
        <v>19</v>
      </c>
      <c r="B39" s="81"/>
      <c r="C39" s="81"/>
      <c r="D39" s="81"/>
      <c r="E39" s="81"/>
      <c r="F39" s="81"/>
      <c r="G39" s="82"/>
      <c r="H39" s="14">
        <f>MAX(0,H38-648000)</f>
        <v>673220</v>
      </c>
    </row>
    <row r="40" spans="1:8" ht="14.25" customHeight="1">
      <c r="A40" s="87" t="s">
        <v>20</v>
      </c>
      <c r="B40" s="81"/>
      <c r="C40" s="81"/>
      <c r="D40" s="81"/>
      <c r="E40" s="81"/>
      <c r="F40" s="81"/>
      <c r="G40" s="82"/>
      <c r="H40" s="15">
        <v>649000</v>
      </c>
    </row>
    <row r="41" spans="1:8" ht="14.25" customHeight="1"/>
    <row r="42" spans="1:8" ht="14.25" customHeight="1"/>
    <row r="43" spans="1:8" ht="14.25" customHeight="1"/>
    <row r="44" spans="1:8" ht="14.25" customHeight="1"/>
    <row r="45" spans="1:8" ht="14.25" customHeight="1"/>
    <row r="46" spans="1:8" ht="14.25" customHeight="1"/>
    <row r="47" spans="1:8" ht="14.25" customHeight="1">
      <c r="A47" s="85" t="s">
        <v>0</v>
      </c>
      <c r="B47" s="81"/>
      <c r="C47" s="81"/>
      <c r="D47" s="81"/>
      <c r="E47" s="81"/>
      <c r="F47" s="81"/>
      <c r="G47" s="81"/>
      <c r="H47" s="82"/>
    </row>
    <row r="48" spans="1:8" ht="14.25" customHeight="1">
      <c r="A48" s="85" t="s">
        <v>35</v>
      </c>
      <c r="B48" s="81"/>
      <c r="C48" s="81"/>
      <c r="D48" s="81"/>
      <c r="E48" s="81"/>
      <c r="F48" s="81"/>
      <c r="G48" s="81"/>
      <c r="H48" s="82"/>
    </row>
    <row r="49" spans="1:8" ht="14.25" customHeight="1">
      <c r="A49" s="1" t="s">
        <v>2</v>
      </c>
      <c r="B49" s="1" t="s">
        <v>3</v>
      </c>
      <c r="C49" s="1" t="s">
        <v>4</v>
      </c>
      <c r="D49" s="1" t="s">
        <v>5</v>
      </c>
      <c r="E49" s="1" t="s">
        <v>6</v>
      </c>
      <c r="F49" s="2" t="s">
        <v>7</v>
      </c>
      <c r="G49" s="1" t="s">
        <v>8</v>
      </c>
      <c r="H49" s="1"/>
    </row>
    <row r="50" spans="1:8" ht="14.25" customHeight="1">
      <c r="A50" s="3">
        <v>1</v>
      </c>
      <c r="B50" s="4" t="s">
        <v>36</v>
      </c>
      <c r="C50" s="5" t="s">
        <v>37</v>
      </c>
      <c r="D50" s="4" t="s">
        <v>11</v>
      </c>
      <c r="E50" s="4">
        <v>1.52</v>
      </c>
      <c r="F50" s="6">
        <v>293000</v>
      </c>
      <c r="G50" s="7">
        <f t="shared" ref="G50:G51" si="3">IFERROR(E50*F50,0)</f>
        <v>445360</v>
      </c>
      <c r="H50" s="8"/>
    </row>
    <row r="51" spans="1:8" ht="14.25" customHeight="1">
      <c r="A51" s="3">
        <v>2</v>
      </c>
      <c r="B51" s="4" t="s">
        <v>38</v>
      </c>
      <c r="C51" s="5" t="s">
        <v>39</v>
      </c>
      <c r="D51" s="4" t="s">
        <v>14</v>
      </c>
      <c r="E51" s="4">
        <v>1.08</v>
      </c>
      <c r="F51" s="11">
        <v>435000</v>
      </c>
      <c r="G51" s="7">
        <f t="shared" si="3"/>
        <v>469800.00000000006</v>
      </c>
      <c r="H51" s="8"/>
    </row>
    <row r="52" spans="1:8" ht="14.25" customHeight="1">
      <c r="A52" s="3">
        <v>3</v>
      </c>
      <c r="B52" s="4" t="s">
        <v>40</v>
      </c>
      <c r="C52" s="18" t="s">
        <v>41</v>
      </c>
      <c r="D52" s="4" t="s">
        <v>14</v>
      </c>
      <c r="E52" s="4">
        <v>1</v>
      </c>
      <c r="F52" s="11">
        <v>435000</v>
      </c>
      <c r="G52" s="7">
        <f>IFERROR(E52*F52,0)</f>
        <v>435000</v>
      </c>
      <c r="H52" s="8"/>
    </row>
    <row r="53" spans="1:8" ht="14.25" customHeight="1">
      <c r="A53" s="3">
        <v>4</v>
      </c>
      <c r="B53" s="8" t="s">
        <v>17</v>
      </c>
      <c r="C53" s="8"/>
      <c r="D53" s="8"/>
      <c r="E53" s="8"/>
      <c r="F53" s="8"/>
      <c r="G53" s="13">
        <f>IFERROR(E53*F53,0)</f>
        <v>0</v>
      </c>
      <c r="H53" s="8"/>
    </row>
    <row r="54" spans="1:8" ht="14.25" customHeight="1">
      <c r="A54" s="86" t="s">
        <v>18</v>
      </c>
      <c r="B54" s="81"/>
      <c r="C54" s="81"/>
      <c r="D54" s="81"/>
      <c r="E54" s="81"/>
      <c r="F54" s="81"/>
      <c r="G54" s="82"/>
      <c r="H54" s="14">
        <f>SUM(G50:G53)</f>
        <v>1350160</v>
      </c>
    </row>
    <row r="55" spans="1:8" ht="14.25" customHeight="1">
      <c r="A55" s="86" t="s">
        <v>19</v>
      </c>
      <c r="B55" s="81"/>
      <c r="C55" s="81"/>
      <c r="D55" s="81"/>
      <c r="E55" s="81"/>
      <c r="F55" s="81"/>
      <c r="G55" s="82"/>
      <c r="H55" s="14">
        <f>MAX(0,H54-648000)</f>
        <v>702160</v>
      </c>
    </row>
    <row r="56" spans="1:8" ht="14.25" customHeight="1">
      <c r="A56" s="87" t="s">
        <v>20</v>
      </c>
      <c r="B56" s="81"/>
      <c r="C56" s="81"/>
      <c r="D56" s="81"/>
      <c r="E56" s="81"/>
      <c r="F56" s="81"/>
      <c r="G56" s="82"/>
      <c r="H56" s="15">
        <v>649000</v>
      </c>
    </row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>
      <c r="A63" s="85" t="s">
        <v>0</v>
      </c>
      <c r="B63" s="81"/>
      <c r="C63" s="81"/>
      <c r="D63" s="81"/>
      <c r="E63" s="81"/>
      <c r="F63" s="81"/>
      <c r="G63" s="81"/>
      <c r="H63" s="82"/>
    </row>
    <row r="64" spans="1:8" ht="14.25" customHeight="1">
      <c r="A64" s="85" t="s">
        <v>42</v>
      </c>
      <c r="B64" s="81"/>
      <c r="C64" s="81"/>
      <c r="D64" s="81"/>
      <c r="E64" s="81"/>
      <c r="F64" s="81"/>
      <c r="G64" s="81"/>
      <c r="H64" s="82"/>
    </row>
    <row r="65" spans="1:8" ht="14.25" customHeight="1">
      <c r="A65" s="1" t="s">
        <v>2</v>
      </c>
      <c r="B65" s="1" t="s">
        <v>3</v>
      </c>
      <c r="C65" s="1" t="s">
        <v>4</v>
      </c>
      <c r="D65" s="1" t="s">
        <v>5</v>
      </c>
      <c r="E65" s="1" t="s">
        <v>6</v>
      </c>
      <c r="F65" s="2" t="s">
        <v>7</v>
      </c>
      <c r="G65" s="1" t="s">
        <v>8</v>
      </c>
      <c r="H65" s="1"/>
    </row>
    <row r="66" spans="1:8" ht="14.25" customHeight="1">
      <c r="A66" s="3">
        <v>1</v>
      </c>
      <c r="B66" s="9" t="s">
        <v>43</v>
      </c>
      <c r="C66" s="10" t="s">
        <v>44</v>
      </c>
      <c r="D66" s="9" t="s">
        <v>11</v>
      </c>
      <c r="E66" s="9">
        <v>1.5</v>
      </c>
      <c r="F66" s="6">
        <v>293000</v>
      </c>
      <c r="G66" s="7">
        <f t="shared" ref="G66:G67" si="4">IFERROR(E66*F66,0)</f>
        <v>439500</v>
      </c>
      <c r="H66" s="8"/>
    </row>
    <row r="67" spans="1:8" ht="14.25" customHeight="1">
      <c r="A67" s="3">
        <v>2</v>
      </c>
      <c r="B67" s="4" t="s">
        <v>45</v>
      </c>
      <c r="C67" s="5" t="s">
        <v>46</v>
      </c>
      <c r="D67" s="4" t="s">
        <v>14</v>
      </c>
      <c r="E67" s="4">
        <v>1</v>
      </c>
      <c r="F67" s="11">
        <v>435000</v>
      </c>
      <c r="G67" s="7">
        <f t="shared" si="4"/>
        <v>435000</v>
      </c>
      <c r="H67" s="8"/>
    </row>
    <row r="68" spans="1:8" ht="14.25" customHeight="1">
      <c r="A68" s="3">
        <v>3</v>
      </c>
      <c r="B68" s="9" t="s">
        <v>47</v>
      </c>
      <c r="C68" s="12" t="s">
        <v>48</v>
      </c>
      <c r="D68" s="9" t="s">
        <v>14</v>
      </c>
      <c r="E68" s="9">
        <v>1.17</v>
      </c>
      <c r="F68" s="11">
        <v>435000</v>
      </c>
      <c r="G68" s="7">
        <f>IFERROR(E68*F68,0)</f>
        <v>508949.99999999994</v>
      </c>
      <c r="H68" s="8"/>
    </row>
    <row r="69" spans="1:8" ht="14.25" customHeight="1">
      <c r="A69" s="3">
        <v>4</v>
      </c>
      <c r="B69" s="8" t="s">
        <v>17</v>
      </c>
      <c r="C69" s="8"/>
      <c r="D69" s="8"/>
      <c r="E69" s="8"/>
      <c r="F69" s="8"/>
      <c r="G69" s="13">
        <f>IFERROR(E69*F69,0)</f>
        <v>0</v>
      </c>
      <c r="H69" s="8"/>
    </row>
    <row r="70" spans="1:8" ht="14.25" customHeight="1">
      <c r="A70" s="86" t="s">
        <v>18</v>
      </c>
      <c r="B70" s="81"/>
      <c r="C70" s="81"/>
      <c r="D70" s="81"/>
      <c r="E70" s="81"/>
      <c r="F70" s="81"/>
      <c r="G70" s="82"/>
      <c r="H70" s="14">
        <f>SUM(G66:G69)</f>
        <v>1383450</v>
      </c>
    </row>
    <row r="71" spans="1:8" ht="14.25" customHeight="1">
      <c r="A71" s="86" t="s">
        <v>19</v>
      </c>
      <c r="B71" s="81"/>
      <c r="C71" s="81"/>
      <c r="D71" s="81"/>
      <c r="E71" s="81"/>
      <c r="F71" s="81"/>
      <c r="G71" s="82"/>
      <c r="H71" s="14">
        <f>MAX(0,H70-648000)</f>
        <v>735450</v>
      </c>
    </row>
    <row r="72" spans="1:8" ht="14.25" customHeight="1">
      <c r="A72" s="87" t="s">
        <v>20</v>
      </c>
      <c r="B72" s="81"/>
      <c r="C72" s="81"/>
      <c r="D72" s="81"/>
      <c r="E72" s="81"/>
      <c r="F72" s="81"/>
      <c r="G72" s="82"/>
      <c r="H72" s="15">
        <v>649000</v>
      </c>
    </row>
    <row r="73" spans="1:8" ht="14.25" customHeight="1"/>
    <row r="74" spans="1:8" ht="14.25" customHeight="1"/>
    <row r="75" spans="1:8" ht="14.25" customHeight="1"/>
    <row r="76" spans="1:8" ht="14.25" customHeight="1"/>
    <row r="77" spans="1:8" ht="14.25" customHeight="1"/>
    <row r="78" spans="1:8" ht="14.25" customHeight="1"/>
    <row r="79" spans="1:8" ht="14.25" customHeight="1"/>
    <row r="80" spans="1:8" ht="14.25" customHeight="1"/>
    <row r="81" spans="1:8" ht="14.25" customHeight="1"/>
    <row r="82" spans="1:8" ht="14.25" customHeight="1">
      <c r="A82" s="85" t="s">
        <v>0</v>
      </c>
      <c r="B82" s="81"/>
      <c r="C82" s="81"/>
      <c r="D82" s="81"/>
      <c r="E82" s="81"/>
      <c r="F82" s="81"/>
      <c r="G82" s="81"/>
      <c r="H82" s="82"/>
    </row>
    <row r="83" spans="1:8" ht="14.25" customHeight="1">
      <c r="A83" s="85" t="s">
        <v>49</v>
      </c>
      <c r="B83" s="81"/>
      <c r="C83" s="81"/>
      <c r="D83" s="81"/>
      <c r="E83" s="81"/>
      <c r="F83" s="81"/>
      <c r="G83" s="81"/>
      <c r="H83" s="82"/>
    </row>
    <row r="84" spans="1:8" ht="14.25" customHeight="1">
      <c r="A84" s="1" t="s">
        <v>2</v>
      </c>
      <c r="B84" s="1" t="s">
        <v>3</v>
      </c>
      <c r="C84" s="1" t="s">
        <v>4</v>
      </c>
      <c r="D84" s="1" t="s">
        <v>5</v>
      </c>
      <c r="E84" s="1" t="s">
        <v>6</v>
      </c>
      <c r="F84" s="2" t="s">
        <v>7</v>
      </c>
      <c r="G84" s="1" t="s">
        <v>8</v>
      </c>
      <c r="H84" s="1"/>
    </row>
    <row r="85" spans="1:8" ht="14.25" customHeight="1">
      <c r="A85" s="3">
        <v>1</v>
      </c>
      <c r="B85" s="9" t="s">
        <v>50</v>
      </c>
      <c r="C85" s="10" t="s">
        <v>51</v>
      </c>
      <c r="D85" s="9" t="s">
        <v>11</v>
      </c>
      <c r="E85" s="9">
        <v>1.67</v>
      </c>
      <c r="F85" s="6">
        <v>293000</v>
      </c>
      <c r="G85" s="7">
        <f t="shared" ref="G85:G86" si="5">IFERROR(E85*F85,0)</f>
        <v>489310</v>
      </c>
      <c r="H85" s="8"/>
    </row>
    <row r="86" spans="1:8" ht="14.25" customHeight="1">
      <c r="A86" s="3">
        <v>2</v>
      </c>
      <c r="B86" s="4" t="s">
        <v>52</v>
      </c>
      <c r="C86" s="5" t="s">
        <v>53</v>
      </c>
      <c r="D86" s="4" t="s">
        <v>14</v>
      </c>
      <c r="E86" s="4">
        <v>1</v>
      </c>
      <c r="F86" s="11">
        <v>435000</v>
      </c>
      <c r="G86" s="7">
        <f t="shared" si="5"/>
        <v>435000</v>
      </c>
      <c r="H86" s="8"/>
    </row>
    <row r="87" spans="1:8" ht="14.25" customHeight="1">
      <c r="A87" s="3">
        <v>3</v>
      </c>
      <c r="B87" s="9" t="s">
        <v>54</v>
      </c>
      <c r="C87" s="12" t="s">
        <v>55</v>
      </c>
      <c r="D87" s="9" t="s">
        <v>14</v>
      </c>
      <c r="E87" s="9">
        <v>0.8</v>
      </c>
      <c r="F87" s="11">
        <v>435000</v>
      </c>
      <c r="G87" s="7">
        <f>IFERROR(E87*F87,0)</f>
        <v>348000</v>
      </c>
      <c r="H87" s="8"/>
    </row>
    <row r="88" spans="1:8" ht="14.25" customHeight="1">
      <c r="A88" s="3">
        <v>4</v>
      </c>
      <c r="B88" s="8" t="s">
        <v>17</v>
      </c>
      <c r="C88" s="8"/>
      <c r="D88" s="8"/>
      <c r="E88" s="8"/>
      <c r="F88" s="8"/>
      <c r="G88" s="13">
        <f>IFERROR(E88*F88,0)</f>
        <v>0</v>
      </c>
      <c r="H88" s="8"/>
    </row>
    <row r="89" spans="1:8" ht="14.25" customHeight="1">
      <c r="A89" s="86" t="s">
        <v>18</v>
      </c>
      <c r="B89" s="81"/>
      <c r="C89" s="81"/>
      <c r="D89" s="81"/>
      <c r="E89" s="81"/>
      <c r="F89" s="81"/>
      <c r="G89" s="82"/>
      <c r="H89" s="14">
        <f>SUM(G85:G88)</f>
        <v>1272310</v>
      </c>
    </row>
    <row r="90" spans="1:8" ht="14.25" customHeight="1">
      <c r="A90" s="86" t="s">
        <v>19</v>
      </c>
      <c r="B90" s="81"/>
      <c r="C90" s="81"/>
      <c r="D90" s="81"/>
      <c r="E90" s="81"/>
      <c r="F90" s="81"/>
      <c r="G90" s="82"/>
      <c r="H90" s="14">
        <f>MAX(0,H89-648000)</f>
        <v>624310</v>
      </c>
    </row>
    <row r="91" spans="1:8" ht="14.25" customHeight="1">
      <c r="A91" s="87" t="s">
        <v>20</v>
      </c>
      <c r="B91" s="81"/>
      <c r="C91" s="81"/>
      <c r="D91" s="81"/>
      <c r="E91" s="81"/>
      <c r="F91" s="81"/>
      <c r="G91" s="82"/>
      <c r="H91" s="15">
        <v>649000</v>
      </c>
    </row>
    <row r="92" spans="1:8" ht="14.25" customHeight="1"/>
    <row r="93" spans="1:8" ht="14.25" customHeight="1"/>
    <row r="94" spans="1:8" ht="14.25" customHeight="1"/>
    <row r="95" spans="1:8" ht="14.25" customHeight="1"/>
    <row r="96" spans="1:8" ht="14.25" customHeight="1">
      <c r="A96" s="85" t="s">
        <v>0</v>
      </c>
      <c r="B96" s="81"/>
      <c r="C96" s="81"/>
      <c r="D96" s="81"/>
      <c r="E96" s="81"/>
      <c r="F96" s="81"/>
      <c r="G96" s="81"/>
      <c r="H96" s="82"/>
    </row>
    <row r="97" spans="1:8" ht="14.25" customHeight="1">
      <c r="A97" s="85" t="s">
        <v>56</v>
      </c>
      <c r="B97" s="81"/>
      <c r="C97" s="81"/>
      <c r="D97" s="81"/>
      <c r="E97" s="81"/>
      <c r="F97" s="81"/>
      <c r="G97" s="81"/>
      <c r="H97" s="82"/>
    </row>
    <row r="98" spans="1:8" ht="14.25" customHeight="1">
      <c r="A98" s="1" t="s">
        <v>2</v>
      </c>
      <c r="B98" s="1" t="s">
        <v>3</v>
      </c>
      <c r="C98" s="1" t="s">
        <v>4</v>
      </c>
      <c r="D98" s="1" t="s">
        <v>5</v>
      </c>
      <c r="E98" s="1" t="s">
        <v>6</v>
      </c>
      <c r="F98" s="2" t="s">
        <v>7</v>
      </c>
      <c r="G98" s="1" t="s">
        <v>8</v>
      </c>
      <c r="H98" s="1"/>
    </row>
    <row r="99" spans="1:8" ht="14.25" customHeight="1">
      <c r="A99" s="3">
        <v>1</v>
      </c>
      <c r="B99" s="9" t="s">
        <v>57</v>
      </c>
      <c r="C99" s="10" t="s">
        <v>58</v>
      </c>
      <c r="D99" s="9" t="s">
        <v>11</v>
      </c>
      <c r="E99" s="9">
        <v>1</v>
      </c>
      <c r="F99" s="6">
        <v>293000</v>
      </c>
      <c r="G99" s="7">
        <f t="shared" ref="G99:G100" si="6">IFERROR(E99*F99,0)</f>
        <v>293000</v>
      </c>
      <c r="H99" s="8"/>
    </row>
    <row r="100" spans="1:8" ht="14.25" customHeight="1">
      <c r="A100" s="3">
        <v>2</v>
      </c>
      <c r="B100" s="4" t="s">
        <v>59</v>
      </c>
      <c r="C100" s="5" t="s">
        <v>60</v>
      </c>
      <c r="D100" s="4" t="s">
        <v>14</v>
      </c>
      <c r="E100" s="4">
        <v>1.18</v>
      </c>
      <c r="F100" s="11">
        <v>435000</v>
      </c>
      <c r="G100" s="7">
        <f t="shared" si="6"/>
        <v>513300</v>
      </c>
      <c r="H100" s="8"/>
    </row>
    <row r="101" spans="1:8" ht="14.25" customHeight="1">
      <c r="A101" s="3">
        <v>3</v>
      </c>
      <c r="B101" s="9" t="s">
        <v>61</v>
      </c>
      <c r="C101" s="12" t="s">
        <v>62</v>
      </c>
      <c r="D101" s="9" t="s">
        <v>11</v>
      </c>
      <c r="E101" s="9">
        <v>0.45</v>
      </c>
      <c r="F101" s="6">
        <v>293000</v>
      </c>
      <c r="G101" s="7">
        <f>IFERROR(E101*F101,0)</f>
        <v>131850</v>
      </c>
      <c r="H101" s="8"/>
    </row>
    <row r="102" spans="1:8" ht="14.25" customHeight="1">
      <c r="A102" s="3">
        <v>4</v>
      </c>
      <c r="B102" s="8" t="s">
        <v>17</v>
      </c>
      <c r="C102" s="8"/>
      <c r="D102" s="8"/>
      <c r="E102" s="8"/>
      <c r="F102" s="8"/>
      <c r="G102" s="13">
        <f>IFERROR(E102*F102,0)</f>
        <v>0</v>
      </c>
      <c r="H102" s="8"/>
    </row>
    <row r="103" spans="1:8" ht="14.25" customHeight="1">
      <c r="A103" s="86" t="s">
        <v>18</v>
      </c>
      <c r="B103" s="81"/>
      <c r="C103" s="81"/>
      <c r="D103" s="81"/>
      <c r="E103" s="81"/>
      <c r="F103" s="81"/>
      <c r="G103" s="82"/>
      <c r="H103" s="14">
        <f>SUM(G99:G102)</f>
        <v>938150</v>
      </c>
    </row>
    <row r="104" spans="1:8" ht="14.25" customHeight="1">
      <c r="A104" s="86" t="s">
        <v>19</v>
      </c>
      <c r="B104" s="81"/>
      <c r="C104" s="81"/>
      <c r="D104" s="81"/>
      <c r="E104" s="81"/>
      <c r="F104" s="81"/>
      <c r="G104" s="82"/>
      <c r="H104" s="14">
        <f>MAX(0,H103-648000)</f>
        <v>290150</v>
      </c>
    </row>
    <row r="105" spans="1:8" ht="14.25" customHeight="1">
      <c r="A105" s="87" t="s">
        <v>20</v>
      </c>
      <c r="B105" s="81"/>
      <c r="C105" s="81"/>
      <c r="D105" s="81"/>
      <c r="E105" s="81"/>
      <c r="F105" s="81"/>
      <c r="G105" s="82"/>
      <c r="H105" s="15">
        <v>649000</v>
      </c>
    </row>
    <row r="106" spans="1:8" ht="14.25" customHeight="1"/>
    <row r="107" spans="1:8" ht="14.25" customHeight="1"/>
    <row r="108" spans="1:8" ht="14.25" customHeight="1"/>
    <row r="109" spans="1:8" ht="14.25" customHeight="1"/>
    <row r="110" spans="1:8" ht="14.25" customHeight="1"/>
    <row r="111" spans="1:8" ht="14.25" customHeight="1"/>
    <row r="112" spans="1:8" ht="14.25" customHeight="1">
      <c r="A112" s="85" t="s">
        <v>0</v>
      </c>
      <c r="B112" s="81"/>
      <c r="C112" s="81"/>
      <c r="D112" s="81"/>
      <c r="E112" s="81"/>
      <c r="F112" s="81"/>
      <c r="G112" s="81"/>
      <c r="H112" s="82"/>
    </row>
    <row r="113" spans="1:8" ht="14.25" customHeight="1">
      <c r="A113" s="85" t="s">
        <v>63</v>
      </c>
      <c r="B113" s="81"/>
      <c r="C113" s="81"/>
      <c r="D113" s="81"/>
      <c r="E113" s="81"/>
      <c r="F113" s="81"/>
      <c r="G113" s="81"/>
      <c r="H113" s="82"/>
    </row>
    <row r="114" spans="1:8" ht="14.25" customHeight="1">
      <c r="A114" s="1" t="s">
        <v>2</v>
      </c>
      <c r="B114" s="1" t="s">
        <v>3</v>
      </c>
      <c r="C114" s="1" t="s">
        <v>4</v>
      </c>
      <c r="D114" s="1" t="s">
        <v>5</v>
      </c>
      <c r="E114" s="1" t="s">
        <v>6</v>
      </c>
      <c r="F114" s="2" t="s">
        <v>7</v>
      </c>
      <c r="G114" s="1" t="s">
        <v>8</v>
      </c>
      <c r="H114" s="1"/>
    </row>
    <row r="115" spans="1:8" ht="14.25" customHeight="1">
      <c r="A115" s="3">
        <v>1</v>
      </c>
      <c r="B115" s="4" t="s">
        <v>33</v>
      </c>
      <c r="C115" s="5" t="s">
        <v>64</v>
      </c>
      <c r="D115" s="4" t="s">
        <v>11</v>
      </c>
      <c r="E115" s="4">
        <v>1.1299999999999999</v>
      </c>
      <c r="F115" s="6">
        <v>293000</v>
      </c>
      <c r="G115" s="7">
        <f t="shared" ref="G115:G116" si="7">IFERROR(E115*F115,0)</f>
        <v>331089.99999999994</v>
      </c>
      <c r="H115" s="8"/>
    </row>
    <row r="116" spans="1:8" ht="14.25" customHeight="1">
      <c r="A116" s="3">
        <v>2</v>
      </c>
      <c r="B116" s="9" t="s">
        <v>65</v>
      </c>
      <c r="C116" s="10" t="s">
        <v>66</v>
      </c>
      <c r="D116" s="9" t="s">
        <v>14</v>
      </c>
      <c r="E116" s="9">
        <v>1.6</v>
      </c>
      <c r="F116" s="11">
        <v>435000</v>
      </c>
      <c r="G116" s="7">
        <f t="shared" si="7"/>
        <v>696000</v>
      </c>
      <c r="H116" s="8"/>
    </row>
    <row r="117" spans="1:8" ht="14.25" customHeight="1">
      <c r="A117" s="3">
        <v>3</v>
      </c>
      <c r="B117" s="9" t="s">
        <v>67</v>
      </c>
      <c r="C117" s="12" t="s">
        <v>68</v>
      </c>
      <c r="D117" s="9" t="s">
        <v>11</v>
      </c>
      <c r="E117" s="9">
        <v>1.25</v>
      </c>
      <c r="F117" s="6">
        <v>293000</v>
      </c>
      <c r="G117" s="7">
        <f>IFERROR(E117*F117,0)</f>
        <v>366250</v>
      </c>
      <c r="H117" s="8"/>
    </row>
    <row r="118" spans="1:8" ht="14.25" customHeight="1">
      <c r="A118" s="3">
        <v>4</v>
      </c>
      <c r="B118" s="8" t="s">
        <v>17</v>
      </c>
      <c r="C118" s="8"/>
      <c r="D118" s="8"/>
      <c r="E118" s="8"/>
      <c r="F118" s="8"/>
      <c r="G118" s="13">
        <f>IFERROR(E118*F118,0)</f>
        <v>0</v>
      </c>
      <c r="H118" s="8"/>
    </row>
    <row r="119" spans="1:8" ht="14.25" customHeight="1">
      <c r="A119" s="86" t="s">
        <v>18</v>
      </c>
      <c r="B119" s="81"/>
      <c r="C119" s="81"/>
      <c r="D119" s="81"/>
      <c r="E119" s="81"/>
      <c r="F119" s="81"/>
      <c r="G119" s="82"/>
      <c r="H119" s="14">
        <f>SUM(G115:G118)</f>
        <v>1393340</v>
      </c>
    </row>
    <row r="120" spans="1:8" ht="14.25" customHeight="1">
      <c r="A120" s="86" t="s">
        <v>19</v>
      </c>
      <c r="B120" s="81"/>
      <c r="C120" s="81"/>
      <c r="D120" s="81"/>
      <c r="E120" s="81"/>
      <c r="F120" s="81"/>
      <c r="G120" s="82"/>
      <c r="H120" s="14">
        <f>MAX(0,H119-648000)</f>
        <v>745340</v>
      </c>
    </row>
    <row r="121" spans="1:8" ht="14.25" customHeight="1">
      <c r="A121" s="87" t="s">
        <v>20</v>
      </c>
      <c r="B121" s="81"/>
      <c r="C121" s="81"/>
      <c r="D121" s="81"/>
      <c r="E121" s="81"/>
      <c r="F121" s="81"/>
      <c r="G121" s="82"/>
      <c r="H121" s="15">
        <v>649000</v>
      </c>
    </row>
    <row r="122" spans="1:8" ht="14.25" customHeight="1"/>
    <row r="123" spans="1:8" ht="14.25" customHeight="1"/>
    <row r="124" spans="1:8" ht="14.25" customHeight="1"/>
    <row r="125" spans="1:8" ht="14.25" customHeight="1"/>
    <row r="126" spans="1:8" ht="14.25" customHeight="1"/>
    <row r="127" spans="1:8" ht="14.25" customHeight="1"/>
    <row r="128" spans="1:8" ht="14.25" customHeight="1"/>
    <row r="129" spans="1:8" ht="14.25" customHeight="1"/>
    <row r="130" spans="1:8" ht="14.25" customHeight="1">
      <c r="A130" s="85" t="s">
        <v>0</v>
      </c>
      <c r="B130" s="81"/>
      <c r="C130" s="81"/>
      <c r="D130" s="81"/>
      <c r="E130" s="81"/>
      <c r="F130" s="81"/>
      <c r="G130" s="81"/>
      <c r="H130" s="82"/>
    </row>
    <row r="131" spans="1:8" ht="14.25" customHeight="1">
      <c r="A131" s="85" t="s">
        <v>69</v>
      </c>
      <c r="B131" s="81"/>
      <c r="C131" s="81"/>
      <c r="D131" s="81"/>
      <c r="E131" s="81"/>
      <c r="F131" s="81"/>
      <c r="G131" s="81"/>
      <c r="H131" s="82"/>
    </row>
    <row r="132" spans="1:8" ht="14.25" customHeight="1">
      <c r="A132" s="1" t="s">
        <v>2</v>
      </c>
      <c r="B132" s="1" t="s">
        <v>3</v>
      </c>
      <c r="C132" s="1" t="s">
        <v>4</v>
      </c>
      <c r="D132" s="1" t="s">
        <v>5</v>
      </c>
      <c r="E132" s="1" t="s">
        <v>6</v>
      </c>
      <c r="F132" s="2" t="s">
        <v>7</v>
      </c>
      <c r="G132" s="1" t="s">
        <v>8</v>
      </c>
      <c r="H132" s="1"/>
    </row>
    <row r="133" spans="1:8" ht="14.25" customHeight="1">
      <c r="A133" s="3">
        <v>1</v>
      </c>
      <c r="B133" s="4" t="s">
        <v>70</v>
      </c>
      <c r="C133" s="5" t="s">
        <v>71</v>
      </c>
      <c r="D133" s="4" t="s">
        <v>11</v>
      </c>
      <c r="E133" s="4">
        <v>1.53</v>
      </c>
      <c r="F133" s="6">
        <v>293000</v>
      </c>
      <c r="G133" s="7">
        <f t="shared" ref="G133:G134" si="8">IFERROR(E133*F133,0)</f>
        <v>448290</v>
      </c>
      <c r="H133" s="8"/>
    </row>
    <row r="134" spans="1:8" ht="14.25" customHeight="1">
      <c r="A134" s="3">
        <v>2</v>
      </c>
      <c r="B134" s="9" t="s">
        <v>65</v>
      </c>
      <c r="C134" s="10" t="s">
        <v>72</v>
      </c>
      <c r="D134" s="9" t="s">
        <v>14</v>
      </c>
      <c r="E134" s="9">
        <v>0.9</v>
      </c>
      <c r="F134" s="11">
        <v>435000</v>
      </c>
      <c r="G134" s="7">
        <f t="shared" si="8"/>
        <v>391500</v>
      </c>
      <c r="H134" s="8"/>
    </row>
    <row r="135" spans="1:8" ht="14.25" customHeight="1">
      <c r="A135" s="3">
        <v>3</v>
      </c>
      <c r="B135" s="9" t="s">
        <v>73</v>
      </c>
      <c r="C135" s="12" t="s">
        <v>74</v>
      </c>
      <c r="D135" s="9" t="s">
        <v>14</v>
      </c>
      <c r="E135" s="9">
        <v>1.26</v>
      </c>
      <c r="F135" s="11">
        <v>435000</v>
      </c>
      <c r="G135" s="7">
        <f>IFERROR(E135*F135,0)</f>
        <v>548100</v>
      </c>
      <c r="H135" s="8"/>
    </row>
    <row r="136" spans="1:8" ht="14.25" customHeight="1">
      <c r="A136" s="3">
        <v>4</v>
      </c>
      <c r="B136" s="8" t="s">
        <v>17</v>
      </c>
      <c r="C136" s="8"/>
      <c r="D136" s="8"/>
      <c r="E136" s="8"/>
      <c r="F136" s="8"/>
      <c r="G136" s="13">
        <f>IFERROR(E136*F136,0)</f>
        <v>0</v>
      </c>
      <c r="H136" s="8"/>
    </row>
    <row r="137" spans="1:8" ht="14.25" customHeight="1">
      <c r="A137" s="86" t="s">
        <v>18</v>
      </c>
      <c r="B137" s="81"/>
      <c r="C137" s="81"/>
      <c r="D137" s="81"/>
      <c r="E137" s="81"/>
      <c r="F137" s="81"/>
      <c r="G137" s="82"/>
      <c r="H137" s="14">
        <f>SUM(G133:G136)</f>
        <v>1387890</v>
      </c>
    </row>
    <row r="138" spans="1:8" ht="14.25" customHeight="1">
      <c r="A138" s="86" t="s">
        <v>19</v>
      </c>
      <c r="B138" s="81"/>
      <c r="C138" s="81"/>
      <c r="D138" s="81"/>
      <c r="E138" s="81"/>
      <c r="F138" s="81"/>
      <c r="G138" s="82"/>
      <c r="H138" s="14">
        <f>MAX(0,H137-648000)</f>
        <v>739890</v>
      </c>
    </row>
    <row r="139" spans="1:8" ht="14.25" customHeight="1">
      <c r="A139" s="87" t="s">
        <v>20</v>
      </c>
      <c r="B139" s="81"/>
      <c r="C139" s="81"/>
      <c r="D139" s="81"/>
      <c r="E139" s="81"/>
      <c r="F139" s="81"/>
      <c r="G139" s="82"/>
      <c r="H139" s="15">
        <v>649000</v>
      </c>
    </row>
    <row r="140" spans="1:8" ht="14.25" customHeight="1"/>
    <row r="141" spans="1:8" ht="14.25" customHeight="1"/>
    <row r="142" spans="1:8" ht="14.25" customHeight="1"/>
    <row r="143" spans="1:8" ht="14.25" customHeight="1"/>
    <row r="144" spans="1:8" ht="14.25" customHeight="1"/>
    <row r="145" spans="1:8" ht="14.25" customHeight="1"/>
    <row r="146" spans="1:8" ht="14.25" customHeight="1"/>
    <row r="147" spans="1:8" ht="14.25" customHeight="1">
      <c r="A147" s="85" t="s">
        <v>0</v>
      </c>
      <c r="B147" s="81"/>
      <c r="C147" s="81"/>
      <c r="D147" s="81"/>
      <c r="E147" s="81"/>
      <c r="F147" s="81"/>
      <c r="G147" s="81"/>
      <c r="H147" s="82"/>
    </row>
    <row r="148" spans="1:8" ht="14.25" customHeight="1">
      <c r="A148" s="85" t="s">
        <v>75</v>
      </c>
      <c r="B148" s="81"/>
      <c r="C148" s="81"/>
      <c r="D148" s="81"/>
      <c r="E148" s="81"/>
      <c r="F148" s="81"/>
      <c r="G148" s="81"/>
      <c r="H148" s="82"/>
    </row>
    <row r="149" spans="1:8" ht="14.25" customHeight="1">
      <c r="A149" s="1" t="s">
        <v>2</v>
      </c>
      <c r="B149" s="1" t="s">
        <v>3</v>
      </c>
      <c r="C149" s="1" t="s">
        <v>4</v>
      </c>
      <c r="D149" s="1" t="s">
        <v>5</v>
      </c>
      <c r="E149" s="1" t="s">
        <v>6</v>
      </c>
      <c r="F149" s="2" t="s">
        <v>7</v>
      </c>
      <c r="G149" s="1" t="s">
        <v>8</v>
      </c>
      <c r="H149" s="1"/>
    </row>
    <row r="150" spans="1:8" ht="14.25" customHeight="1">
      <c r="A150" s="3">
        <v>1</v>
      </c>
      <c r="B150" s="4" t="s">
        <v>76</v>
      </c>
      <c r="C150" s="5" t="s">
        <v>77</v>
      </c>
      <c r="D150" s="4" t="s">
        <v>11</v>
      </c>
      <c r="E150" s="4">
        <v>1.7</v>
      </c>
      <c r="F150" s="6">
        <v>293000</v>
      </c>
      <c r="G150" s="7">
        <f t="shared" ref="G150:G151" si="9">IFERROR(E150*F150,0)</f>
        <v>498100</v>
      </c>
      <c r="H150" s="8"/>
    </row>
    <row r="151" spans="1:8" ht="14.25" customHeight="1">
      <c r="A151" s="3">
        <v>2</v>
      </c>
      <c r="B151" s="9" t="s">
        <v>78</v>
      </c>
      <c r="C151" s="10" t="s">
        <v>79</v>
      </c>
      <c r="D151" s="9" t="s">
        <v>14</v>
      </c>
      <c r="E151" s="9">
        <v>1</v>
      </c>
      <c r="F151" s="11">
        <v>435000</v>
      </c>
      <c r="G151" s="7">
        <f t="shared" si="9"/>
        <v>435000</v>
      </c>
      <c r="H151" s="8"/>
    </row>
    <row r="152" spans="1:8" ht="14.25" customHeight="1">
      <c r="A152" s="3">
        <v>3</v>
      </c>
      <c r="B152" s="9" t="s">
        <v>9</v>
      </c>
      <c r="C152" s="12" t="s">
        <v>80</v>
      </c>
      <c r="D152" s="9" t="s">
        <v>14</v>
      </c>
      <c r="E152" s="9">
        <v>0.89</v>
      </c>
      <c r="F152" s="11">
        <v>435000</v>
      </c>
      <c r="G152" s="7">
        <f>IFERROR(E152*F152,0)</f>
        <v>387150</v>
      </c>
      <c r="H152" s="8"/>
    </row>
    <row r="153" spans="1:8" ht="14.25" customHeight="1">
      <c r="A153" s="3">
        <v>4</v>
      </c>
      <c r="B153" s="8" t="s">
        <v>17</v>
      </c>
      <c r="C153" s="8"/>
      <c r="D153" s="8"/>
      <c r="E153" s="8"/>
      <c r="F153" s="8"/>
      <c r="G153" s="13">
        <f>IFERROR(E153*F153,0)</f>
        <v>0</v>
      </c>
      <c r="H153" s="8"/>
    </row>
    <row r="154" spans="1:8" ht="14.25" customHeight="1">
      <c r="A154" s="86" t="s">
        <v>18</v>
      </c>
      <c r="B154" s="81"/>
      <c r="C154" s="81"/>
      <c r="D154" s="81"/>
      <c r="E154" s="81"/>
      <c r="F154" s="81"/>
      <c r="G154" s="82"/>
      <c r="H154" s="14">
        <f>SUM(G150:G153)</f>
        <v>1320250</v>
      </c>
    </row>
    <row r="155" spans="1:8" ht="14.25" customHeight="1">
      <c r="A155" s="86" t="s">
        <v>19</v>
      </c>
      <c r="B155" s="81"/>
      <c r="C155" s="81"/>
      <c r="D155" s="81"/>
      <c r="E155" s="81"/>
      <c r="F155" s="81"/>
      <c r="G155" s="82"/>
      <c r="H155" s="14">
        <f>MAX(0,H154-648000)</f>
        <v>672250</v>
      </c>
    </row>
    <row r="156" spans="1:8" ht="14.25" customHeight="1">
      <c r="A156" s="87" t="s">
        <v>20</v>
      </c>
      <c r="B156" s="81"/>
      <c r="C156" s="81"/>
      <c r="D156" s="81"/>
      <c r="E156" s="81"/>
      <c r="F156" s="81"/>
      <c r="G156" s="82"/>
      <c r="H156" s="15">
        <v>649000</v>
      </c>
    </row>
    <row r="157" spans="1:8" ht="14.25" customHeight="1"/>
    <row r="158" spans="1:8" ht="14.25" customHeight="1"/>
    <row r="159" spans="1:8" ht="14.25" customHeight="1"/>
    <row r="160" spans="1:8" ht="14.25" customHeight="1"/>
    <row r="161" spans="1:8" ht="14.25" customHeight="1"/>
    <row r="162" spans="1:8" ht="14.25" customHeight="1"/>
    <row r="163" spans="1:8" ht="14.25" customHeight="1"/>
    <row r="164" spans="1:8" ht="14.25" customHeight="1">
      <c r="A164" s="85" t="s">
        <v>0</v>
      </c>
      <c r="B164" s="81"/>
      <c r="C164" s="81"/>
      <c r="D164" s="81"/>
      <c r="E164" s="81"/>
      <c r="F164" s="81"/>
      <c r="G164" s="81"/>
      <c r="H164" s="82"/>
    </row>
    <row r="165" spans="1:8" ht="14.25" customHeight="1">
      <c r="A165" s="85" t="s">
        <v>81</v>
      </c>
      <c r="B165" s="81"/>
      <c r="C165" s="81"/>
      <c r="D165" s="81"/>
      <c r="E165" s="81"/>
      <c r="F165" s="81"/>
      <c r="G165" s="81"/>
      <c r="H165" s="82"/>
    </row>
    <row r="166" spans="1:8" ht="14.25" customHeight="1">
      <c r="A166" s="1" t="s">
        <v>2</v>
      </c>
      <c r="B166" s="1" t="s">
        <v>3</v>
      </c>
      <c r="C166" s="1" t="s">
        <v>4</v>
      </c>
      <c r="D166" s="1" t="s">
        <v>5</v>
      </c>
      <c r="E166" s="1" t="s">
        <v>6</v>
      </c>
      <c r="F166" s="2" t="s">
        <v>7</v>
      </c>
      <c r="G166" s="1" t="s">
        <v>8</v>
      </c>
      <c r="H166" s="1"/>
    </row>
    <row r="167" spans="1:8" ht="14.25" customHeight="1">
      <c r="A167" s="3">
        <v>1</v>
      </c>
      <c r="B167" s="4" t="s">
        <v>82</v>
      </c>
      <c r="C167" s="5" t="s">
        <v>83</v>
      </c>
      <c r="D167" s="4" t="s">
        <v>11</v>
      </c>
      <c r="E167" s="4">
        <v>1.0900000000000001</v>
      </c>
      <c r="F167" s="6">
        <v>293000</v>
      </c>
      <c r="G167" s="7">
        <f t="shared" ref="G167:G168" si="10">IFERROR(E167*F167,0)</f>
        <v>319370</v>
      </c>
      <c r="H167" s="8"/>
    </row>
    <row r="168" spans="1:8" ht="14.25" customHeight="1">
      <c r="A168" s="3">
        <v>2</v>
      </c>
      <c r="B168" s="9" t="s">
        <v>84</v>
      </c>
      <c r="C168" s="10" t="s">
        <v>85</v>
      </c>
      <c r="D168" s="9" t="s">
        <v>14</v>
      </c>
      <c r="E168" s="9">
        <v>1.5</v>
      </c>
      <c r="F168" s="11">
        <v>435000</v>
      </c>
      <c r="G168" s="7">
        <f t="shared" si="10"/>
        <v>652500</v>
      </c>
      <c r="H168" s="8"/>
    </row>
    <row r="169" spans="1:8" ht="14.25" customHeight="1">
      <c r="A169" s="3">
        <v>3</v>
      </c>
      <c r="B169" s="9" t="s">
        <v>70</v>
      </c>
      <c r="C169" s="12" t="s">
        <v>86</v>
      </c>
      <c r="D169" s="9" t="s">
        <v>11</v>
      </c>
      <c r="E169" s="9">
        <v>1</v>
      </c>
      <c r="F169" s="6">
        <v>293000</v>
      </c>
      <c r="G169" s="7">
        <f>IFERROR(E169*F169,0)</f>
        <v>293000</v>
      </c>
      <c r="H169" s="8"/>
    </row>
    <row r="170" spans="1:8" ht="14.25" customHeight="1">
      <c r="A170" s="3">
        <v>4</v>
      </c>
      <c r="B170" s="8" t="s">
        <v>17</v>
      </c>
      <c r="C170" s="8"/>
      <c r="D170" s="8"/>
      <c r="E170" s="8"/>
      <c r="F170" s="8"/>
      <c r="G170" s="13">
        <f>IFERROR(E170*F170,0)</f>
        <v>0</v>
      </c>
      <c r="H170" s="8"/>
    </row>
    <row r="171" spans="1:8" ht="14.25" customHeight="1">
      <c r="A171" s="86" t="s">
        <v>18</v>
      </c>
      <c r="B171" s="81"/>
      <c r="C171" s="81"/>
      <c r="D171" s="81"/>
      <c r="E171" s="81"/>
      <c r="F171" s="81"/>
      <c r="G171" s="82"/>
      <c r="H171" s="14">
        <f>SUM(G167:G170)</f>
        <v>1264870</v>
      </c>
    </row>
    <row r="172" spans="1:8" ht="14.25" customHeight="1">
      <c r="A172" s="86" t="s">
        <v>19</v>
      </c>
      <c r="B172" s="81"/>
      <c r="C172" s="81"/>
      <c r="D172" s="81"/>
      <c r="E172" s="81"/>
      <c r="F172" s="81"/>
      <c r="G172" s="82"/>
      <c r="H172" s="14">
        <f>MAX(0,H171-648000)</f>
        <v>616870</v>
      </c>
    </row>
    <row r="173" spans="1:8" ht="14.25" customHeight="1">
      <c r="A173" s="87" t="s">
        <v>20</v>
      </c>
      <c r="B173" s="81"/>
      <c r="C173" s="81"/>
      <c r="D173" s="81"/>
      <c r="E173" s="81"/>
      <c r="F173" s="81"/>
      <c r="G173" s="82"/>
      <c r="H173" s="15">
        <v>649000</v>
      </c>
    </row>
    <row r="174" spans="1:8" ht="14.25" customHeight="1"/>
    <row r="175" spans="1:8" ht="14.25" customHeight="1"/>
    <row r="176" spans="1:8" ht="14.25" customHeight="1"/>
    <row r="177" spans="1:8" ht="14.25" customHeight="1"/>
    <row r="178" spans="1:8" ht="14.25" customHeight="1"/>
    <row r="179" spans="1:8" ht="14.25" customHeight="1"/>
    <row r="180" spans="1:8" ht="14.25" customHeight="1">
      <c r="A180" s="85" t="s">
        <v>0</v>
      </c>
      <c r="B180" s="81"/>
      <c r="C180" s="81"/>
      <c r="D180" s="81"/>
      <c r="E180" s="81"/>
      <c r="F180" s="81"/>
      <c r="G180" s="81"/>
      <c r="H180" s="82"/>
    </row>
    <row r="181" spans="1:8" ht="14.25" customHeight="1">
      <c r="A181" s="85" t="s">
        <v>87</v>
      </c>
      <c r="B181" s="81"/>
      <c r="C181" s="81"/>
      <c r="D181" s="81"/>
      <c r="E181" s="81"/>
      <c r="F181" s="81"/>
      <c r="G181" s="81"/>
      <c r="H181" s="82"/>
    </row>
    <row r="182" spans="1:8" ht="14.25" customHeight="1">
      <c r="A182" s="1" t="s">
        <v>2</v>
      </c>
      <c r="B182" s="1" t="s">
        <v>3</v>
      </c>
      <c r="C182" s="1" t="s">
        <v>4</v>
      </c>
      <c r="D182" s="1" t="s">
        <v>5</v>
      </c>
      <c r="E182" s="1" t="s">
        <v>6</v>
      </c>
      <c r="F182" s="2" t="s">
        <v>7</v>
      </c>
      <c r="G182" s="1" t="s">
        <v>8</v>
      </c>
      <c r="H182" s="1"/>
    </row>
    <row r="183" spans="1:8" ht="14.25" customHeight="1">
      <c r="A183" s="3">
        <v>1</v>
      </c>
      <c r="B183" s="4" t="s">
        <v>33</v>
      </c>
      <c r="C183" s="5" t="s">
        <v>88</v>
      </c>
      <c r="D183" s="4" t="s">
        <v>11</v>
      </c>
      <c r="E183" s="4">
        <v>1</v>
      </c>
      <c r="F183" s="6">
        <v>293000</v>
      </c>
      <c r="G183" s="7">
        <f t="shared" ref="G183:G184" si="11">IFERROR(E183*F183,0)</f>
        <v>293000</v>
      </c>
      <c r="H183" s="8"/>
    </row>
    <row r="184" spans="1:8" ht="14.25" customHeight="1">
      <c r="A184" s="3">
        <v>2</v>
      </c>
      <c r="B184" s="9" t="s">
        <v>89</v>
      </c>
      <c r="C184" s="10" t="s">
        <v>90</v>
      </c>
      <c r="D184" s="9" t="s">
        <v>14</v>
      </c>
      <c r="E184" s="9">
        <v>1.46</v>
      </c>
      <c r="F184" s="11">
        <v>435000</v>
      </c>
      <c r="G184" s="7">
        <f t="shared" si="11"/>
        <v>635100</v>
      </c>
      <c r="H184" s="8"/>
    </row>
    <row r="185" spans="1:8" ht="14.25" customHeight="1">
      <c r="A185" s="3">
        <v>3</v>
      </c>
      <c r="B185" s="9" t="s">
        <v>91</v>
      </c>
      <c r="C185" s="12" t="s">
        <v>92</v>
      </c>
      <c r="D185" s="9" t="s">
        <v>11</v>
      </c>
      <c r="E185" s="9">
        <v>1</v>
      </c>
      <c r="F185" s="6">
        <v>293000</v>
      </c>
      <c r="G185" s="7">
        <f>IFERROR(E185*F185,0)</f>
        <v>293000</v>
      </c>
      <c r="H185" s="8"/>
    </row>
    <row r="186" spans="1:8" ht="14.25" customHeight="1">
      <c r="A186" s="3">
        <v>4</v>
      </c>
      <c r="B186" s="8" t="s">
        <v>17</v>
      </c>
      <c r="C186" s="8"/>
      <c r="D186" s="8"/>
      <c r="E186" s="8"/>
      <c r="F186" s="8"/>
      <c r="G186" s="13">
        <f>IFERROR(E186*F186,0)</f>
        <v>0</v>
      </c>
      <c r="H186" s="8"/>
    </row>
    <row r="187" spans="1:8" ht="14.25" customHeight="1">
      <c r="A187" s="86" t="s">
        <v>18</v>
      </c>
      <c r="B187" s="81"/>
      <c r="C187" s="81"/>
      <c r="D187" s="81"/>
      <c r="E187" s="81"/>
      <c r="F187" s="81"/>
      <c r="G187" s="82"/>
      <c r="H187" s="14">
        <f>SUM(G183:G186)</f>
        <v>1221100</v>
      </c>
    </row>
    <row r="188" spans="1:8" ht="14.25" customHeight="1">
      <c r="A188" s="86" t="s">
        <v>19</v>
      </c>
      <c r="B188" s="81"/>
      <c r="C188" s="81"/>
      <c r="D188" s="81"/>
      <c r="E188" s="81"/>
      <c r="F188" s="81"/>
      <c r="G188" s="82"/>
      <c r="H188" s="14">
        <f>MAX(0,H187-648000)</f>
        <v>573100</v>
      </c>
    </row>
    <row r="189" spans="1:8" ht="14.25" customHeight="1">
      <c r="A189" s="87" t="s">
        <v>20</v>
      </c>
      <c r="B189" s="81"/>
      <c r="C189" s="81"/>
      <c r="D189" s="81"/>
      <c r="E189" s="81"/>
      <c r="F189" s="81"/>
      <c r="G189" s="82"/>
      <c r="H189" s="15">
        <v>649000</v>
      </c>
    </row>
    <row r="190" spans="1:8" ht="14.25" customHeight="1"/>
    <row r="191" spans="1:8" ht="14.25" customHeight="1"/>
    <row r="192" spans="1:8" ht="14.25" customHeight="1"/>
    <row r="193" spans="1:8" ht="14.25" customHeight="1">
      <c r="A193" s="85" t="s">
        <v>0</v>
      </c>
      <c r="B193" s="81"/>
      <c r="C193" s="81"/>
      <c r="D193" s="81"/>
      <c r="E193" s="81"/>
      <c r="F193" s="81"/>
      <c r="G193" s="81"/>
      <c r="H193" s="82"/>
    </row>
    <row r="194" spans="1:8" ht="14.25" customHeight="1">
      <c r="A194" s="85" t="s">
        <v>93</v>
      </c>
      <c r="B194" s="81"/>
      <c r="C194" s="81"/>
      <c r="D194" s="81"/>
      <c r="E194" s="81"/>
      <c r="F194" s="81"/>
      <c r="G194" s="81"/>
      <c r="H194" s="82"/>
    </row>
    <row r="195" spans="1:8" ht="14.25" customHeight="1">
      <c r="A195" s="1" t="s">
        <v>2</v>
      </c>
      <c r="B195" s="1" t="s">
        <v>3</v>
      </c>
      <c r="C195" s="1" t="s">
        <v>4</v>
      </c>
      <c r="D195" s="1" t="s">
        <v>5</v>
      </c>
      <c r="E195" s="1" t="s">
        <v>6</v>
      </c>
      <c r="F195" s="2" t="s">
        <v>7</v>
      </c>
      <c r="G195" s="1" t="s">
        <v>8</v>
      </c>
      <c r="H195" s="1"/>
    </row>
    <row r="196" spans="1:8" ht="14.25" customHeight="1">
      <c r="A196" s="3">
        <v>1</v>
      </c>
      <c r="B196" s="4" t="s">
        <v>73</v>
      </c>
      <c r="C196" s="5" t="s">
        <v>94</v>
      </c>
      <c r="D196" s="4" t="s">
        <v>11</v>
      </c>
      <c r="E196" s="4">
        <v>1.54</v>
      </c>
      <c r="F196" s="6">
        <v>293000</v>
      </c>
      <c r="G196" s="7">
        <f t="shared" ref="G196:G197" si="12">IFERROR(E196*F196,0)</f>
        <v>451220</v>
      </c>
      <c r="H196" s="8"/>
    </row>
    <row r="197" spans="1:8" ht="14.25" customHeight="1">
      <c r="A197" s="3">
        <v>2</v>
      </c>
      <c r="B197" s="4" t="s">
        <v>33</v>
      </c>
      <c r="C197" s="5" t="s">
        <v>95</v>
      </c>
      <c r="D197" s="4" t="s">
        <v>14</v>
      </c>
      <c r="E197" s="4">
        <v>1</v>
      </c>
      <c r="F197" s="11">
        <v>435000</v>
      </c>
      <c r="G197" s="7">
        <f t="shared" si="12"/>
        <v>435000</v>
      </c>
      <c r="H197" s="8"/>
    </row>
    <row r="198" spans="1:8" ht="14.25" customHeight="1">
      <c r="A198" s="3">
        <v>3</v>
      </c>
      <c r="B198" s="9" t="s">
        <v>45</v>
      </c>
      <c r="C198" s="12" t="s">
        <v>96</v>
      </c>
      <c r="D198" s="9" t="s">
        <v>14</v>
      </c>
      <c r="E198" s="9">
        <v>1</v>
      </c>
      <c r="F198" s="11">
        <v>435000</v>
      </c>
      <c r="G198" s="7">
        <f>IFERROR(E198*F198,0)</f>
        <v>435000</v>
      </c>
      <c r="H198" s="8"/>
    </row>
    <row r="199" spans="1:8" ht="14.25" customHeight="1">
      <c r="A199" s="3">
        <v>4</v>
      </c>
      <c r="B199" s="8" t="s">
        <v>17</v>
      </c>
      <c r="C199" s="8"/>
      <c r="D199" s="8"/>
      <c r="E199" s="8"/>
      <c r="F199" s="8"/>
      <c r="G199" s="13">
        <f>IFERROR(E199*F199,0)</f>
        <v>0</v>
      </c>
      <c r="H199" s="8"/>
    </row>
    <row r="200" spans="1:8" ht="14.25" customHeight="1">
      <c r="A200" s="86" t="s">
        <v>18</v>
      </c>
      <c r="B200" s="81"/>
      <c r="C200" s="81"/>
      <c r="D200" s="81"/>
      <c r="E200" s="81"/>
      <c r="F200" s="81"/>
      <c r="G200" s="82"/>
      <c r="H200" s="14">
        <f>SUM(G196:G199)</f>
        <v>1321220</v>
      </c>
    </row>
    <row r="201" spans="1:8" ht="14.25" customHeight="1">
      <c r="A201" s="86" t="s">
        <v>19</v>
      </c>
      <c r="B201" s="81"/>
      <c r="C201" s="81"/>
      <c r="D201" s="81"/>
      <c r="E201" s="81"/>
      <c r="F201" s="81"/>
      <c r="G201" s="82"/>
      <c r="H201" s="14">
        <f>MAX(0,H200-648000)</f>
        <v>673220</v>
      </c>
    </row>
    <row r="202" spans="1:8" ht="14.25" customHeight="1">
      <c r="A202" s="87" t="s">
        <v>20</v>
      </c>
      <c r="B202" s="81"/>
      <c r="C202" s="81"/>
      <c r="D202" s="81"/>
      <c r="E202" s="81"/>
      <c r="F202" s="81"/>
      <c r="G202" s="82"/>
      <c r="H202" s="15">
        <v>649000</v>
      </c>
    </row>
    <row r="203" spans="1:8" ht="14.25" customHeight="1"/>
    <row r="204" spans="1:8" ht="14.25" customHeight="1"/>
    <row r="205" spans="1:8" ht="14.25" customHeight="1"/>
    <row r="206" spans="1:8" ht="14.25" customHeight="1"/>
    <row r="207" spans="1:8" ht="14.25" customHeight="1"/>
    <row r="208" spans="1:8" ht="14.25" customHeight="1"/>
    <row r="209" spans="1:8" ht="14.25" customHeight="1">
      <c r="A209" s="85" t="s">
        <v>0</v>
      </c>
      <c r="B209" s="81"/>
      <c r="C209" s="81"/>
      <c r="D209" s="81"/>
      <c r="E209" s="81"/>
      <c r="F209" s="81"/>
      <c r="G209" s="81"/>
      <c r="H209" s="82"/>
    </row>
    <row r="210" spans="1:8" ht="14.25" customHeight="1">
      <c r="A210" s="85" t="s">
        <v>97</v>
      </c>
      <c r="B210" s="81"/>
      <c r="C210" s="81"/>
      <c r="D210" s="81"/>
      <c r="E210" s="81"/>
      <c r="F210" s="81"/>
      <c r="G210" s="81"/>
      <c r="H210" s="82"/>
    </row>
    <row r="211" spans="1:8" ht="14.25" customHeight="1">
      <c r="A211" s="1" t="s">
        <v>2</v>
      </c>
      <c r="B211" s="1" t="s">
        <v>3</v>
      </c>
      <c r="C211" s="1" t="s">
        <v>4</v>
      </c>
      <c r="D211" s="1" t="s">
        <v>5</v>
      </c>
      <c r="E211" s="1" t="s">
        <v>6</v>
      </c>
      <c r="F211" s="2" t="s">
        <v>7</v>
      </c>
      <c r="G211" s="1" t="s">
        <v>8</v>
      </c>
      <c r="H211" s="1"/>
    </row>
    <row r="212" spans="1:8" ht="14.25" customHeight="1">
      <c r="A212" s="3">
        <v>1</v>
      </c>
      <c r="B212" s="9" t="s">
        <v>24</v>
      </c>
      <c r="C212" s="10" t="s">
        <v>98</v>
      </c>
      <c r="D212" s="9" t="s">
        <v>11</v>
      </c>
      <c r="E212" s="9">
        <v>1</v>
      </c>
      <c r="F212" s="6">
        <v>293000</v>
      </c>
      <c r="G212" s="7">
        <f t="shared" ref="G212:G213" si="13">IFERROR(E212*F212,0)</f>
        <v>293000</v>
      </c>
      <c r="H212" s="8"/>
    </row>
    <row r="213" spans="1:8" ht="14.25" customHeight="1">
      <c r="A213" s="3">
        <v>2</v>
      </c>
      <c r="B213" s="4" t="s">
        <v>99</v>
      </c>
      <c r="C213" s="5" t="s">
        <v>100</v>
      </c>
      <c r="D213" s="4" t="s">
        <v>11</v>
      </c>
      <c r="E213" s="4">
        <v>1.5</v>
      </c>
      <c r="F213" s="6">
        <v>293000</v>
      </c>
      <c r="G213" s="7">
        <f t="shared" si="13"/>
        <v>439500</v>
      </c>
      <c r="H213" s="8"/>
    </row>
    <row r="214" spans="1:8" ht="14.25" customHeight="1">
      <c r="A214" s="3">
        <v>3</v>
      </c>
      <c r="B214" s="4" t="s">
        <v>101</v>
      </c>
      <c r="C214" s="18" t="s">
        <v>102</v>
      </c>
      <c r="D214" s="4" t="s">
        <v>11</v>
      </c>
      <c r="E214" s="4">
        <v>1.2</v>
      </c>
      <c r="F214" s="6">
        <v>293000</v>
      </c>
      <c r="G214" s="7">
        <f>IFERROR(E214*F214,0)</f>
        <v>351600</v>
      </c>
      <c r="H214" s="8"/>
    </row>
    <row r="215" spans="1:8" ht="14.25" customHeight="1">
      <c r="A215" s="3">
        <v>4</v>
      </c>
      <c r="B215" s="8" t="s">
        <v>17</v>
      </c>
      <c r="C215" s="8"/>
      <c r="D215" s="8"/>
      <c r="E215" s="8"/>
      <c r="F215" s="8"/>
      <c r="G215" s="13">
        <f>IFERROR(E215*F215,0)</f>
        <v>0</v>
      </c>
      <c r="H215" s="8"/>
    </row>
    <row r="216" spans="1:8" ht="14.25" customHeight="1">
      <c r="A216" s="86" t="s">
        <v>18</v>
      </c>
      <c r="B216" s="81"/>
      <c r="C216" s="81"/>
      <c r="D216" s="81"/>
      <c r="E216" s="81"/>
      <c r="F216" s="81"/>
      <c r="G216" s="82"/>
      <c r="H216" s="14">
        <f>SUM(G212:G215)</f>
        <v>1084100</v>
      </c>
    </row>
    <row r="217" spans="1:8" ht="14.25" customHeight="1">
      <c r="A217" s="86" t="s">
        <v>19</v>
      </c>
      <c r="B217" s="81"/>
      <c r="C217" s="81"/>
      <c r="D217" s="81"/>
      <c r="E217" s="81"/>
      <c r="F217" s="81"/>
      <c r="G217" s="82"/>
      <c r="H217" s="14">
        <f>MAX(0,H216-648000)</f>
        <v>436100</v>
      </c>
    </row>
    <row r="218" spans="1:8" ht="14.25" customHeight="1">
      <c r="A218" s="87" t="s">
        <v>20</v>
      </c>
      <c r="B218" s="81"/>
      <c r="C218" s="81"/>
      <c r="D218" s="81"/>
      <c r="E218" s="81"/>
      <c r="F218" s="81"/>
      <c r="G218" s="82"/>
      <c r="H218" s="15">
        <v>649000</v>
      </c>
    </row>
    <row r="219" spans="1:8" ht="14.25" customHeight="1"/>
    <row r="220" spans="1:8" ht="14.25" customHeight="1"/>
    <row r="221" spans="1:8" ht="14.25" customHeight="1"/>
    <row r="222" spans="1:8" ht="14.25" customHeight="1"/>
    <row r="223" spans="1:8" ht="14.25" customHeight="1"/>
    <row r="224" spans="1:8" ht="14.25" customHeight="1">
      <c r="A224" s="85" t="s">
        <v>0</v>
      </c>
      <c r="B224" s="81"/>
      <c r="C224" s="81"/>
      <c r="D224" s="81"/>
      <c r="E224" s="81"/>
      <c r="F224" s="81"/>
      <c r="G224" s="81"/>
      <c r="H224" s="82"/>
    </row>
    <row r="225" spans="1:8" ht="14.25" customHeight="1">
      <c r="A225" s="85" t="s">
        <v>103</v>
      </c>
      <c r="B225" s="81"/>
      <c r="C225" s="81"/>
      <c r="D225" s="81"/>
      <c r="E225" s="81"/>
      <c r="F225" s="81"/>
      <c r="G225" s="81"/>
      <c r="H225" s="82"/>
    </row>
    <row r="226" spans="1:8" ht="14.25" customHeight="1">
      <c r="A226" s="1" t="s">
        <v>2</v>
      </c>
      <c r="B226" s="1" t="s">
        <v>3</v>
      </c>
      <c r="C226" s="1" t="s">
        <v>4</v>
      </c>
      <c r="D226" s="1" t="s">
        <v>5</v>
      </c>
      <c r="E226" s="1" t="s">
        <v>6</v>
      </c>
      <c r="F226" s="2" t="s">
        <v>7</v>
      </c>
      <c r="G226" s="1" t="s">
        <v>8</v>
      </c>
      <c r="H226" s="1"/>
    </row>
    <row r="227" spans="1:8" ht="14.25" customHeight="1">
      <c r="A227" s="3">
        <v>1</v>
      </c>
      <c r="B227" s="4" t="s">
        <v>104</v>
      </c>
      <c r="C227" s="5" t="s">
        <v>105</v>
      </c>
      <c r="D227" s="4" t="s">
        <v>11</v>
      </c>
      <c r="E227" s="4">
        <v>0.51</v>
      </c>
      <c r="F227" s="6">
        <v>293000</v>
      </c>
      <c r="G227" s="7">
        <f t="shared" ref="G227:G228" si="14">IFERROR(E227*F227,0)</f>
        <v>149430</v>
      </c>
      <c r="H227" s="8"/>
    </row>
    <row r="228" spans="1:8" ht="14.25" customHeight="1">
      <c r="A228" s="3">
        <v>2</v>
      </c>
      <c r="B228" s="4" t="s">
        <v>106</v>
      </c>
      <c r="C228" s="5" t="s">
        <v>107</v>
      </c>
      <c r="D228" s="4" t="s">
        <v>11</v>
      </c>
      <c r="E228" s="4">
        <v>1</v>
      </c>
      <c r="F228" s="6">
        <v>293000</v>
      </c>
      <c r="G228" s="7">
        <f t="shared" si="14"/>
        <v>293000</v>
      </c>
      <c r="H228" s="8"/>
    </row>
    <row r="229" spans="1:8" ht="14.25" customHeight="1">
      <c r="A229" s="3">
        <v>3</v>
      </c>
      <c r="B229" s="9" t="s">
        <v>108</v>
      </c>
      <c r="C229" s="12" t="s">
        <v>109</v>
      </c>
      <c r="D229" s="9" t="s">
        <v>11</v>
      </c>
      <c r="E229" s="9">
        <v>1.05</v>
      </c>
      <c r="F229" s="6">
        <v>293000</v>
      </c>
      <c r="G229" s="7">
        <f t="shared" ref="G229:G230" si="15">IFERROR(E229*F229,0)</f>
        <v>307650</v>
      </c>
      <c r="H229" s="8"/>
    </row>
    <row r="230" spans="1:8" ht="24.75" customHeight="1">
      <c r="A230" s="3">
        <v>4</v>
      </c>
      <c r="B230" s="9" t="s">
        <v>110</v>
      </c>
      <c r="C230" s="12" t="s">
        <v>111</v>
      </c>
      <c r="D230" s="9" t="s">
        <v>11</v>
      </c>
      <c r="E230" s="9">
        <v>1</v>
      </c>
      <c r="F230" s="6">
        <v>293000</v>
      </c>
      <c r="G230" s="7">
        <f t="shared" si="15"/>
        <v>293000</v>
      </c>
      <c r="H230" s="8"/>
    </row>
    <row r="231" spans="1:8" ht="14.25" customHeight="1">
      <c r="A231" s="3">
        <v>5</v>
      </c>
      <c r="B231" s="8" t="s">
        <v>17</v>
      </c>
      <c r="C231" s="8"/>
      <c r="D231" s="8"/>
      <c r="E231" s="8"/>
      <c r="F231" s="8"/>
      <c r="G231" s="13">
        <f>IFERROR(E231*F231,0)</f>
        <v>0</v>
      </c>
      <c r="H231" s="8"/>
    </row>
    <row r="232" spans="1:8" ht="14.25" customHeight="1">
      <c r="A232" s="86" t="s">
        <v>18</v>
      </c>
      <c r="B232" s="81"/>
      <c r="C232" s="81"/>
      <c r="D232" s="81"/>
      <c r="E232" s="81"/>
      <c r="F232" s="81"/>
      <c r="G232" s="82"/>
      <c r="H232" s="14">
        <f>SUM(G227:G231)</f>
        <v>1043080</v>
      </c>
    </row>
    <row r="233" spans="1:8" ht="14.25" customHeight="1">
      <c r="A233" s="86" t="s">
        <v>19</v>
      </c>
      <c r="B233" s="81"/>
      <c r="C233" s="81"/>
      <c r="D233" s="81"/>
      <c r="E233" s="81"/>
      <c r="F233" s="81"/>
      <c r="G233" s="82"/>
      <c r="H233" s="14">
        <f>MAX(0,H232-648000)</f>
        <v>395080</v>
      </c>
    </row>
    <row r="234" spans="1:8" ht="14.25" customHeight="1">
      <c r="A234" s="87" t="s">
        <v>20</v>
      </c>
      <c r="B234" s="81"/>
      <c r="C234" s="81"/>
      <c r="D234" s="81"/>
      <c r="E234" s="81"/>
      <c r="F234" s="81"/>
      <c r="G234" s="82"/>
      <c r="H234" s="15">
        <v>649000</v>
      </c>
    </row>
    <row r="235" spans="1:8" ht="14.25" customHeight="1"/>
    <row r="236" spans="1:8" ht="14.25" customHeight="1"/>
    <row r="237" spans="1:8" ht="14.25" customHeight="1"/>
    <row r="238" spans="1:8" ht="14.25" customHeight="1"/>
    <row r="239" spans="1:8" ht="14.25" customHeight="1">
      <c r="A239" s="85" t="s">
        <v>0</v>
      </c>
      <c r="B239" s="81"/>
      <c r="C239" s="81"/>
      <c r="D239" s="81"/>
      <c r="E239" s="81"/>
      <c r="F239" s="81"/>
      <c r="G239" s="81"/>
      <c r="H239" s="82"/>
    </row>
    <row r="240" spans="1:8" ht="14.25" customHeight="1">
      <c r="A240" s="85" t="s">
        <v>112</v>
      </c>
      <c r="B240" s="81"/>
      <c r="C240" s="81"/>
      <c r="D240" s="81"/>
      <c r="E240" s="81"/>
      <c r="F240" s="81"/>
      <c r="G240" s="81"/>
      <c r="H240" s="82"/>
    </row>
    <row r="241" spans="1:8" ht="14.25" customHeight="1">
      <c r="A241" s="1" t="s">
        <v>2</v>
      </c>
      <c r="B241" s="1" t="s">
        <v>3</v>
      </c>
      <c r="C241" s="1" t="s">
        <v>4</v>
      </c>
      <c r="D241" s="1" t="s">
        <v>5</v>
      </c>
      <c r="E241" s="1" t="s">
        <v>6</v>
      </c>
      <c r="F241" s="2" t="s">
        <v>7</v>
      </c>
      <c r="G241" s="1" t="s">
        <v>8</v>
      </c>
      <c r="H241" s="1"/>
    </row>
    <row r="242" spans="1:8" ht="14.25" customHeight="1">
      <c r="A242" s="3">
        <v>1</v>
      </c>
      <c r="B242" s="4" t="s">
        <v>113</v>
      </c>
      <c r="C242" s="5" t="s">
        <v>114</v>
      </c>
      <c r="D242" s="4" t="s">
        <v>11</v>
      </c>
      <c r="E242" s="4">
        <v>1.49</v>
      </c>
      <c r="F242" s="6">
        <v>293000</v>
      </c>
      <c r="G242" s="7">
        <f t="shared" ref="G242:G243" si="16">IFERROR(E242*F242,0)</f>
        <v>436570</v>
      </c>
      <c r="H242" s="8"/>
    </row>
    <row r="243" spans="1:8" ht="14.25" customHeight="1">
      <c r="A243" s="3">
        <v>2</v>
      </c>
      <c r="B243" s="9" t="s">
        <v>57</v>
      </c>
      <c r="C243" s="10" t="s">
        <v>115</v>
      </c>
      <c r="D243" s="9" t="s">
        <v>14</v>
      </c>
      <c r="E243" s="9">
        <v>1</v>
      </c>
      <c r="F243" s="11">
        <v>435000</v>
      </c>
      <c r="G243" s="7">
        <f t="shared" si="16"/>
        <v>435000</v>
      </c>
      <c r="H243" s="8"/>
    </row>
    <row r="244" spans="1:8" ht="14.25" customHeight="1">
      <c r="A244" s="3">
        <v>3</v>
      </c>
      <c r="B244" s="4" t="s">
        <v>116</v>
      </c>
      <c r="C244" s="18" t="s">
        <v>117</v>
      </c>
      <c r="D244" s="4" t="s">
        <v>14</v>
      </c>
      <c r="E244" s="4">
        <v>98</v>
      </c>
      <c r="F244" s="11">
        <v>435000</v>
      </c>
      <c r="G244" s="7">
        <f>IFERROR(E244*F244,0)</f>
        <v>42630000</v>
      </c>
      <c r="H244" s="8"/>
    </row>
    <row r="245" spans="1:8" ht="14.25" customHeight="1">
      <c r="A245" s="3">
        <v>4</v>
      </c>
      <c r="B245" s="8" t="s">
        <v>17</v>
      </c>
      <c r="C245" s="8"/>
      <c r="D245" s="8"/>
      <c r="E245" s="8"/>
      <c r="F245" s="8"/>
      <c r="G245" s="13">
        <f>IFERROR(E245*F245,0)</f>
        <v>0</v>
      </c>
      <c r="H245" s="8"/>
    </row>
    <row r="246" spans="1:8" ht="14.25" customHeight="1">
      <c r="A246" s="86" t="s">
        <v>18</v>
      </c>
      <c r="B246" s="81"/>
      <c r="C246" s="81"/>
      <c r="D246" s="81"/>
      <c r="E246" s="81"/>
      <c r="F246" s="81"/>
      <c r="G246" s="82"/>
      <c r="H246" s="14">
        <f>SUM(G242:G245)</f>
        <v>43501570</v>
      </c>
    </row>
    <row r="247" spans="1:8" ht="14.25" customHeight="1">
      <c r="A247" s="86" t="s">
        <v>19</v>
      </c>
      <c r="B247" s="81"/>
      <c r="C247" s="81"/>
      <c r="D247" s="81"/>
      <c r="E247" s="81"/>
      <c r="F247" s="81"/>
      <c r="G247" s="82"/>
      <c r="H247" s="14">
        <f>MAX(0,H246-648000)</f>
        <v>42853570</v>
      </c>
    </row>
    <row r="248" spans="1:8" ht="14.25" customHeight="1">
      <c r="A248" s="87" t="s">
        <v>20</v>
      </c>
      <c r="B248" s="81"/>
      <c r="C248" s="81"/>
      <c r="D248" s="81"/>
      <c r="E248" s="81"/>
      <c r="F248" s="81"/>
      <c r="G248" s="82"/>
      <c r="H248" s="15">
        <v>649000</v>
      </c>
    </row>
    <row r="249" spans="1:8" ht="14.25" customHeight="1"/>
    <row r="250" spans="1:8" ht="14.25" customHeight="1"/>
    <row r="251" spans="1:8" ht="14.25" customHeight="1"/>
    <row r="252" spans="1:8" ht="14.25" customHeight="1"/>
    <row r="253" spans="1:8" ht="14.25" customHeight="1">
      <c r="A253" s="85" t="s">
        <v>0</v>
      </c>
      <c r="B253" s="81"/>
      <c r="C253" s="81"/>
      <c r="D253" s="81"/>
      <c r="E253" s="81"/>
      <c r="F253" s="81"/>
      <c r="G253" s="81"/>
      <c r="H253" s="82"/>
    </row>
    <row r="254" spans="1:8" ht="14.25" customHeight="1">
      <c r="A254" s="85" t="s">
        <v>118</v>
      </c>
      <c r="B254" s="81"/>
      <c r="C254" s="81"/>
      <c r="D254" s="81"/>
      <c r="E254" s="81"/>
      <c r="F254" s="81"/>
      <c r="G254" s="81"/>
      <c r="H254" s="82"/>
    </row>
    <row r="255" spans="1:8" ht="14.25" customHeight="1">
      <c r="A255" s="1" t="s">
        <v>2</v>
      </c>
      <c r="B255" s="1" t="s">
        <v>3</v>
      </c>
      <c r="C255" s="1" t="s">
        <v>4</v>
      </c>
      <c r="D255" s="1" t="s">
        <v>5</v>
      </c>
      <c r="E255" s="1" t="s">
        <v>6</v>
      </c>
      <c r="F255" s="2" t="s">
        <v>7</v>
      </c>
      <c r="G255" s="1" t="s">
        <v>8</v>
      </c>
      <c r="H255" s="1"/>
    </row>
    <row r="256" spans="1:8" ht="14.25" customHeight="1">
      <c r="A256" s="3">
        <v>1</v>
      </c>
      <c r="B256" s="4" t="s">
        <v>43</v>
      </c>
      <c r="C256" s="5" t="s">
        <v>119</v>
      </c>
      <c r="D256" s="4" t="s">
        <v>11</v>
      </c>
      <c r="E256" s="4">
        <v>1.69</v>
      </c>
      <c r="F256" s="6">
        <v>293000</v>
      </c>
      <c r="G256" s="7">
        <f t="shared" ref="G256:G257" si="17">IFERROR(E256*F256,0)</f>
        <v>495170</v>
      </c>
      <c r="H256" s="8"/>
    </row>
    <row r="257" spans="1:8" ht="14.25" customHeight="1">
      <c r="A257" s="3">
        <v>2</v>
      </c>
      <c r="B257" s="4" t="s">
        <v>33</v>
      </c>
      <c r="C257" s="5" t="s">
        <v>120</v>
      </c>
      <c r="D257" s="4" t="s">
        <v>14</v>
      </c>
      <c r="E257" s="4">
        <v>0.61</v>
      </c>
      <c r="F257" s="11">
        <v>435000</v>
      </c>
      <c r="G257" s="7">
        <f t="shared" si="17"/>
        <v>265350</v>
      </c>
      <c r="H257" s="8"/>
    </row>
    <row r="258" spans="1:8" ht="14.25" customHeight="1">
      <c r="A258" s="3">
        <v>3</v>
      </c>
      <c r="B258" s="4" t="s">
        <v>121</v>
      </c>
      <c r="C258" s="18" t="s">
        <v>122</v>
      </c>
      <c r="D258" s="4" t="s">
        <v>14</v>
      </c>
      <c r="E258" s="4">
        <v>1.2</v>
      </c>
      <c r="F258" s="11">
        <v>435000</v>
      </c>
      <c r="G258" s="7">
        <f>IFERROR(E258*F258,0)</f>
        <v>522000</v>
      </c>
      <c r="H258" s="8"/>
    </row>
    <row r="259" spans="1:8" ht="14.25" customHeight="1">
      <c r="A259" s="3">
        <v>4</v>
      </c>
      <c r="B259" s="8" t="s">
        <v>17</v>
      </c>
      <c r="C259" s="8"/>
      <c r="D259" s="8"/>
      <c r="E259" s="8"/>
      <c r="F259" s="8"/>
      <c r="G259" s="13">
        <f>IFERROR(E259*F259,0)</f>
        <v>0</v>
      </c>
      <c r="H259" s="8"/>
    </row>
    <row r="260" spans="1:8" ht="14.25" customHeight="1">
      <c r="A260" s="86" t="s">
        <v>18</v>
      </c>
      <c r="B260" s="81"/>
      <c r="C260" s="81"/>
      <c r="D260" s="81"/>
      <c r="E260" s="81"/>
      <c r="F260" s="81"/>
      <c r="G260" s="82"/>
      <c r="H260" s="14">
        <f>SUM(G256:G259)</f>
        <v>1282520</v>
      </c>
    </row>
    <row r="261" spans="1:8" ht="14.25" customHeight="1">
      <c r="A261" s="86" t="s">
        <v>19</v>
      </c>
      <c r="B261" s="81"/>
      <c r="C261" s="81"/>
      <c r="D261" s="81"/>
      <c r="E261" s="81"/>
      <c r="F261" s="81"/>
      <c r="G261" s="82"/>
      <c r="H261" s="14">
        <f>MAX(0,H260-648000)</f>
        <v>634520</v>
      </c>
    </row>
    <row r="262" spans="1:8" ht="14.25" customHeight="1">
      <c r="A262" s="87" t="s">
        <v>20</v>
      </c>
      <c r="B262" s="81"/>
      <c r="C262" s="81"/>
      <c r="D262" s="81"/>
      <c r="E262" s="81"/>
      <c r="F262" s="81"/>
      <c r="G262" s="82"/>
      <c r="H262" s="15">
        <v>649000</v>
      </c>
    </row>
    <row r="263" spans="1:8" ht="14.25" customHeight="1"/>
    <row r="264" spans="1:8" ht="14.25" customHeight="1"/>
    <row r="265" spans="1:8" ht="14.25" customHeight="1"/>
    <row r="266" spans="1:8" ht="14.25" customHeight="1"/>
    <row r="267" spans="1:8" ht="14.25" customHeight="1"/>
    <row r="268" spans="1:8" ht="14.25" customHeight="1">
      <c r="A268" s="85" t="s">
        <v>0</v>
      </c>
      <c r="B268" s="81"/>
      <c r="C268" s="81"/>
      <c r="D268" s="81"/>
      <c r="E268" s="81"/>
      <c r="F268" s="81"/>
      <c r="G268" s="81"/>
      <c r="H268" s="82"/>
    </row>
    <row r="269" spans="1:8" ht="14.25" customHeight="1">
      <c r="A269" s="85" t="s">
        <v>123</v>
      </c>
      <c r="B269" s="81"/>
      <c r="C269" s="81"/>
      <c r="D269" s="81"/>
      <c r="E269" s="81"/>
      <c r="F269" s="81"/>
      <c r="G269" s="81"/>
      <c r="H269" s="82"/>
    </row>
    <row r="270" spans="1:8" ht="14.25" customHeight="1">
      <c r="A270" s="1" t="s">
        <v>2</v>
      </c>
      <c r="B270" s="1" t="s">
        <v>3</v>
      </c>
      <c r="C270" s="1" t="s">
        <v>4</v>
      </c>
      <c r="D270" s="1" t="s">
        <v>5</v>
      </c>
      <c r="E270" s="1" t="s">
        <v>6</v>
      </c>
      <c r="F270" s="2" t="s">
        <v>7</v>
      </c>
      <c r="G270" s="1" t="s">
        <v>8</v>
      </c>
      <c r="H270" s="1"/>
    </row>
    <row r="271" spans="1:8" ht="14.25" customHeight="1">
      <c r="A271" s="3">
        <v>1</v>
      </c>
      <c r="B271" s="4" t="s">
        <v>12</v>
      </c>
      <c r="C271" s="5" t="s">
        <v>124</v>
      </c>
      <c r="D271" s="4" t="s">
        <v>11</v>
      </c>
      <c r="E271" s="4">
        <v>1.5</v>
      </c>
      <c r="F271" s="6">
        <v>293000</v>
      </c>
      <c r="G271" s="7">
        <f t="shared" ref="G271:G272" si="18">IFERROR(E271*F271,0)</f>
        <v>439500</v>
      </c>
      <c r="H271" s="8"/>
    </row>
    <row r="272" spans="1:8" ht="14.25" customHeight="1">
      <c r="A272" s="3">
        <v>2</v>
      </c>
      <c r="B272" s="4" t="s">
        <v>125</v>
      </c>
      <c r="C272" s="5" t="s">
        <v>126</v>
      </c>
      <c r="D272" s="4" t="s">
        <v>14</v>
      </c>
      <c r="E272" s="4">
        <v>0.73</v>
      </c>
      <c r="F272" s="11">
        <v>435000</v>
      </c>
      <c r="G272" s="7">
        <f t="shared" si="18"/>
        <v>317550</v>
      </c>
      <c r="H272" s="8"/>
    </row>
    <row r="273" spans="1:8" ht="14.25" customHeight="1">
      <c r="A273" s="3">
        <v>3</v>
      </c>
      <c r="B273" s="4" t="s">
        <v>76</v>
      </c>
      <c r="C273" s="18" t="s">
        <v>127</v>
      </c>
      <c r="D273" s="4" t="s">
        <v>11</v>
      </c>
      <c r="E273" s="4">
        <v>1.3</v>
      </c>
      <c r="F273" s="6">
        <v>293000</v>
      </c>
      <c r="G273" s="7">
        <f>IFERROR(E273*F273,0)</f>
        <v>380900</v>
      </c>
      <c r="H273" s="8"/>
    </row>
    <row r="274" spans="1:8" ht="14.25" customHeight="1">
      <c r="A274" s="3">
        <v>4</v>
      </c>
      <c r="B274" s="8" t="s">
        <v>17</v>
      </c>
      <c r="C274" s="8"/>
      <c r="D274" s="8"/>
      <c r="E274" s="8"/>
      <c r="F274" s="8"/>
      <c r="G274" s="13">
        <f>IFERROR(E274*F274,0)</f>
        <v>0</v>
      </c>
      <c r="H274" s="8"/>
    </row>
    <row r="275" spans="1:8" ht="14.25" customHeight="1">
      <c r="A275" s="86" t="s">
        <v>18</v>
      </c>
      <c r="B275" s="81"/>
      <c r="C275" s="81"/>
      <c r="D275" s="81"/>
      <c r="E275" s="81"/>
      <c r="F275" s="81"/>
      <c r="G275" s="82"/>
      <c r="H275" s="14">
        <f>SUM(G271:G274)</f>
        <v>1137950</v>
      </c>
    </row>
    <row r="276" spans="1:8" ht="14.25" customHeight="1">
      <c r="A276" s="86" t="s">
        <v>19</v>
      </c>
      <c r="B276" s="81"/>
      <c r="C276" s="81"/>
      <c r="D276" s="81"/>
      <c r="E276" s="81"/>
      <c r="F276" s="81"/>
      <c r="G276" s="82"/>
      <c r="H276" s="14">
        <f>MAX(0,H275-648000)</f>
        <v>489950</v>
      </c>
    </row>
    <row r="277" spans="1:8" ht="14.25" customHeight="1">
      <c r="A277" s="87" t="s">
        <v>20</v>
      </c>
      <c r="B277" s="81"/>
      <c r="C277" s="81"/>
      <c r="D277" s="81"/>
      <c r="E277" s="81"/>
      <c r="F277" s="81"/>
      <c r="G277" s="82"/>
      <c r="H277" s="15">
        <v>649000</v>
      </c>
    </row>
    <row r="278" spans="1:8" ht="14.25" customHeight="1"/>
    <row r="279" spans="1:8" ht="14.25" customHeight="1"/>
    <row r="280" spans="1:8" ht="14.25" customHeight="1"/>
    <row r="281" spans="1:8" ht="14.25" customHeight="1"/>
    <row r="282" spans="1:8" ht="14.25" customHeight="1"/>
    <row r="283" spans="1:8" ht="14.25" customHeight="1"/>
    <row r="284" spans="1:8" ht="14.25" customHeight="1"/>
    <row r="285" spans="1:8" ht="14.25" customHeight="1">
      <c r="A285" s="85" t="s">
        <v>0</v>
      </c>
      <c r="B285" s="81"/>
      <c r="C285" s="81"/>
      <c r="D285" s="81"/>
      <c r="E285" s="81"/>
      <c r="F285" s="81"/>
      <c r="G285" s="81"/>
      <c r="H285" s="82"/>
    </row>
    <row r="286" spans="1:8" ht="14.25" customHeight="1">
      <c r="A286" s="85" t="s">
        <v>128</v>
      </c>
      <c r="B286" s="81"/>
      <c r="C286" s="81"/>
      <c r="D286" s="81"/>
      <c r="E286" s="81"/>
      <c r="F286" s="81"/>
      <c r="G286" s="81"/>
      <c r="H286" s="82"/>
    </row>
    <row r="287" spans="1:8" ht="14.25" customHeight="1">
      <c r="A287" s="1" t="s">
        <v>2</v>
      </c>
      <c r="B287" s="1" t="s">
        <v>3</v>
      </c>
      <c r="C287" s="1" t="s">
        <v>4</v>
      </c>
      <c r="D287" s="1" t="s">
        <v>5</v>
      </c>
      <c r="E287" s="1" t="s">
        <v>6</v>
      </c>
      <c r="F287" s="2" t="s">
        <v>7</v>
      </c>
      <c r="G287" s="1" t="s">
        <v>8</v>
      </c>
      <c r="H287" s="1"/>
    </row>
    <row r="288" spans="1:8" ht="14.25" customHeight="1">
      <c r="A288" s="3">
        <v>1</v>
      </c>
      <c r="B288" s="9" t="s">
        <v>73</v>
      </c>
      <c r="C288" s="10" t="s">
        <v>129</v>
      </c>
      <c r="D288" s="9" t="s">
        <v>11</v>
      </c>
      <c r="E288" s="9">
        <v>2.0499999999999998</v>
      </c>
      <c r="F288" s="6">
        <v>293000</v>
      </c>
      <c r="G288" s="7">
        <f t="shared" ref="G288:G289" si="19">IFERROR(E288*F288,0)</f>
        <v>600650</v>
      </c>
      <c r="H288" s="8"/>
    </row>
    <row r="289" spans="1:8" ht="14.25" customHeight="1">
      <c r="A289" s="3">
        <v>2</v>
      </c>
      <c r="B289" s="9" t="s">
        <v>130</v>
      </c>
      <c r="C289" s="10" t="s">
        <v>131</v>
      </c>
      <c r="D289" s="9" t="s">
        <v>14</v>
      </c>
      <c r="E289" s="9">
        <v>0.69</v>
      </c>
      <c r="F289" s="11">
        <v>435000</v>
      </c>
      <c r="G289" s="7">
        <f t="shared" si="19"/>
        <v>300150</v>
      </c>
      <c r="H289" s="8"/>
    </row>
    <row r="290" spans="1:8" ht="14.25" customHeight="1">
      <c r="A290" s="3">
        <v>3</v>
      </c>
      <c r="B290" s="4" t="s">
        <v>132</v>
      </c>
      <c r="C290" s="18" t="s">
        <v>133</v>
      </c>
      <c r="D290" s="4" t="s">
        <v>14</v>
      </c>
      <c r="E290" s="4">
        <v>1.03</v>
      </c>
      <c r="F290" s="11">
        <v>435000</v>
      </c>
      <c r="G290" s="7">
        <f>IFERROR(E290*F290,0)</f>
        <v>448050</v>
      </c>
      <c r="H290" s="8"/>
    </row>
    <row r="291" spans="1:8" ht="14.25" customHeight="1">
      <c r="A291" s="3">
        <v>4</v>
      </c>
      <c r="B291" s="8" t="s">
        <v>17</v>
      </c>
      <c r="C291" s="8"/>
      <c r="D291" s="8"/>
      <c r="E291" s="8"/>
      <c r="F291" s="8"/>
      <c r="G291" s="13">
        <f>IFERROR(E291*F291,0)</f>
        <v>0</v>
      </c>
      <c r="H291" s="8"/>
    </row>
    <row r="292" spans="1:8" ht="14.25" customHeight="1">
      <c r="A292" s="86" t="s">
        <v>18</v>
      </c>
      <c r="B292" s="81"/>
      <c r="C292" s="81"/>
      <c r="D292" s="81"/>
      <c r="E292" s="81"/>
      <c r="F292" s="81"/>
      <c r="G292" s="82"/>
      <c r="H292" s="14">
        <f>SUM(G288:G291)</f>
        <v>1348850</v>
      </c>
    </row>
    <row r="293" spans="1:8" ht="14.25" customHeight="1">
      <c r="A293" s="86" t="s">
        <v>19</v>
      </c>
      <c r="B293" s="81"/>
      <c r="C293" s="81"/>
      <c r="D293" s="81"/>
      <c r="E293" s="81"/>
      <c r="F293" s="81"/>
      <c r="G293" s="82"/>
      <c r="H293" s="14">
        <f>MAX(0,H292-648000)</f>
        <v>700850</v>
      </c>
    </row>
    <row r="294" spans="1:8" ht="14.25" customHeight="1">
      <c r="A294" s="87" t="s">
        <v>20</v>
      </c>
      <c r="B294" s="81"/>
      <c r="C294" s="81"/>
      <c r="D294" s="81"/>
      <c r="E294" s="81"/>
      <c r="F294" s="81"/>
      <c r="G294" s="82"/>
      <c r="H294" s="15">
        <v>649000</v>
      </c>
    </row>
    <row r="295" spans="1:8" ht="14.25" customHeight="1"/>
    <row r="296" spans="1:8" ht="14.25" customHeight="1"/>
    <row r="297" spans="1:8" ht="14.25" customHeight="1"/>
    <row r="298" spans="1:8" ht="14.25" customHeight="1"/>
    <row r="299" spans="1:8" ht="14.25" customHeight="1"/>
    <row r="300" spans="1:8" ht="14.25" customHeight="1"/>
    <row r="301" spans="1:8" ht="14.25" customHeight="1">
      <c r="A301" s="85" t="s">
        <v>0</v>
      </c>
      <c r="B301" s="81"/>
      <c r="C301" s="81"/>
      <c r="D301" s="81"/>
      <c r="E301" s="81"/>
      <c r="F301" s="81"/>
      <c r="G301" s="81"/>
      <c r="H301" s="82"/>
    </row>
    <row r="302" spans="1:8" ht="14.25" customHeight="1">
      <c r="A302" s="85" t="s">
        <v>134</v>
      </c>
      <c r="B302" s="81"/>
      <c r="C302" s="81"/>
      <c r="D302" s="81"/>
      <c r="E302" s="81"/>
      <c r="F302" s="81"/>
      <c r="G302" s="81"/>
      <c r="H302" s="82"/>
    </row>
    <row r="303" spans="1:8" ht="14.25" customHeight="1">
      <c r="A303" s="1" t="s">
        <v>2</v>
      </c>
      <c r="B303" s="1" t="s">
        <v>3</v>
      </c>
      <c r="C303" s="1" t="s">
        <v>4</v>
      </c>
      <c r="D303" s="1" t="s">
        <v>5</v>
      </c>
      <c r="E303" s="1" t="s">
        <v>6</v>
      </c>
      <c r="F303" s="2" t="s">
        <v>7</v>
      </c>
      <c r="G303" s="1" t="s">
        <v>8</v>
      </c>
      <c r="H303" s="1"/>
    </row>
    <row r="304" spans="1:8" ht="14.25" customHeight="1">
      <c r="A304" s="3">
        <v>1</v>
      </c>
      <c r="B304" s="4" t="s">
        <v>113</v>
      </c>
      <c r="C304" s="5" t="s">
        <v>135</v>
      </c>
      <c r="D304" s="4" t="s">
        <v>11</v>
      </c>
      <c r="E304" s="4">
        <v>1.5</v>
      </c>
      <c r="F304" s="6">
        <v>293000</v>
      </c>
      <c r="G304" s="7">
        <f t="shared" ref="G304:G305" si="20">IFERROR(E304*F304,0)</f>
        <v>439500</v>
      </c>
      <c r="H304" s="8"/>
    </row>
    <row r="305" spans="1:8" ht="14.25" customHeight="1">
      <c r="A305" s="3">
        <v>2</v>
      </c>
      <c r="B305" s="4" t="s">
        <v>136</v>
      </c>
      <c r="C305" s="5" t="s">
        <v>137</v>
      </c>
      <c r="D305" s="4" t="s">
        <v>14</v>
      </c>
      <c r="E305" s="4">
        <v>0.72</v>
      </c>
      <c r="F305" s="11">
        <v>435000</v>
      </c>
      <c r="G305" s="7">
        <f t="shared" si="20"/>
        <v>313200</v>
      </c>
      <c r="H305" s="8"/>
    </row>
    <row r="306" spans="1:8" ht="14.25" customHeight="1">
      <c r="A306" s="3">
        <v>3</v>
      </c>
      <c r="B306" s="9" t="s">
        <v>9</v>
      </c>
      <c r="C306" s="12" t="s">
        <v>138</v>
      </c>
      <c r="D306" s="9" t="s">
        <v>11</v>
      </c>
      <c r="E306" s="9">
        <v>1.25</v>
      </c>
      <c r="F306" s="6">
        <v>293000</v>
      </c>
      <c r="G306" s="7">
        <f>IFERROR(E306*F306,0)</f>
        <v>366250</v>
      </c>
      <c r="H306" s="8"/>
    </row>
    <row r="307" spans="1:8" ht="14.25" customHeight="1">
      <c r="A307" s="3">
        <v>4</v>
      </c>
      <c r="B307" s="8" t="s">
        <v>17</v>
      </c>
      <c r="C307" s="8"/>
      <c r="D307" s="8"/>
      <c r="E307" s="8"/>
      <c r="F307" s="8"/>
      <c r="G307" s="13">
        <f>IFERROR(E307*F307,0)</f>
        <v>0</v>
      </c>
      <c r="H307" s="8"/>
    </row>
    <row r="308" spans="1:8" ht="14.25" customHeight="1">
      <c r="A308" s="86" t="s">
        <v>18</v>
      </c>
      <c r="B308" s="81"/>
      <c r="C308" s="81"/>
      <c r="D308" s="81"/>
      <c r="E308" s="81"/>
      <c r="F308" s="81"/>
      <c r="G308" s="82"/>
      <c r="H308" s="14">
        <f>SUM(G304:G307)</f>
        <v>1118950</v>
      </c>
    </row>
    <row r="309" spans="1:8" ht="14.25" customHeight="1">
      <c r="A309" s="86" t="s">
        <v>19</v>
      </c>
      <c r="B309" s="81"/>
      <c r="C309" s="81"/>
      <c r="D309" s="81"/>
      <c r="E309" s="81"/>
      <c r="F309" s="81"/>
      <c r="G309" s="82"/>
      <c r="H309" s="14">
        <f>MAX(0,H308-648000)</f>
        <v>470950</v>
      </c>
    </row>
    <row r="310" spans="1:8" ht="14.25" customHeight="1">
      <c r="A310" s="87" t="s">
        <v>20</v>
      </c>
      <c r="B310" s="81"/>
      <c r="C310" s="81"/>
      <c r="D310" s="81"/>
      <c r="E310" s="81"/>
      <c r="F310" s="81"/>
      <c r="G310" s="82"/>
      <c r="H310" s="15">
        <v>649000</v>
      </c>
    </row>
    <row r="311" spans="1:8" ht="14.25" customHeight="1"/>
    <row r="312" spans="1:8" ht="14.25" customHeight="1"/>
    <row r="313" spans="1:8" ht="14.25" customHeight="1"/>
    <row r="314" spans="1:8" ht="14.25" customHeight="1"/>
    <row r="315" spans="1:8" ht="14.25" customHeight="1"/>
    <row r="316" spans="1:8" ht="14.25" customHeight="1"/>
    <row r="317" spans="1:8" ht="14.25" customHeight="1"/>
    <row r="318" spans="1:8" ht="14.25" customHeight="1"/>
    <row r="319" spans="1:8" ht="14.25" customHeight="1"/>
    <row r="320" spans="1:8" ht="14.25" customHeight="1"/>
    <row r="321" spans="1:8" ht="14.25" customHeight="1"/>
    <row r="322" spans="1:8" ht="14.25" customHeight="1">
      <c r="A322" s="85" t="s">
        <v>0</v>
      </c>
      <c r="B322" s="81"/>
      <c r="C322" s="81"/>
      <c r="D322" s="81"/>
      <c r="E322" s="81"/>
      <c r="F322" s="81"/>
      <c r="G322" s="81"/>
      <c r="H322" s="82"/>
    </row>
    <row r="323" spans="1:8" ht="14.25" customHeight="1">
      <c r="A323" s="85" t="s">
        <v>139</v>
      </c>
      <c r="B323" s="81"/>
      <c r="C323" s="81"/>
      <c r="D323" s="81"/>
      <c r="E323" s="81"/>
      <c r="F323" s="81"/>
      <c r="G323" s="81"/>
      <c r="H323" s="82"/>
    </row>
    <row r="324" spans="1:8" ht="14.25" customHeight="1">
      <c r="A324" s="1" t="s">
        <v>2</v>
      </c>
      <c r="B324" s="1" t="s">
        <v>3</v>
      </c>
      <c r="C324" s="1" t="s">
        <v>4</v>
      </c>
      <c r="D324" s="1" t="s">
        <v>5</v>
      </c>
      <c r="E324" s="1" t="s">
        <v>6</v>
      </c>
      <c r="F324" s="2" t="s">
        <v>7</v>
      </c>
      <c r="G324" s="1" t="s">
        <v>8</v>
      </c>
      <c r="H324" s="1"/>
    </row>
    <row r="325" spans="1:8" ht="14.25" customHeight="1">
      <c r="A325" s="3">
        <v>1</v>
      </c>
      <c r="B325" s="4" t="s">
        <v>140</v>
      </c>
      <c r="C325" s="5" t="s">
        <v>141</v>
      </c>
      <c r="D325" s="4" t="s">
        <v>11</v>
      </c>
      <c r="E325" s="4">
        <v>1</v>
      </c>
      <c r="F325" s="6">
        <v>293000</v>
      </c>
      <c r="G325" s="7">
        <f t="shared" ref="G325:G326" si="21">IFERROR(E325*F325,0)</f>
        <v>293000</v>
      </c>
      <c r="H325" s="8"/>
    </row>
    <row r="326" spans="1:8" ht="14.25" customHeight="1">
      <c r="A326" s="3">
        <v>2</v>
      </c>
      <c r="B326" s="4" t="s">
        <v>142</v>
      </c>
      <c r="C326" s="5" t="s">
        <v>143</v>
      </c>
      <c r="D326" s="4" t="s">
        <v>14</v>
      </c>
      <c r="E326" s="4">
        <v>1.48</v>
      </c>
      <c r="F326" s="11">
        <v>435000</v>
      </c>
      <c r="G326" s="7">
        <f t="shared" si="21"/>
        <v>643800</v>
      </c>
      <c r="H326" s="8"/>
    </row>
    <row r="327" spans="1:8" ht="14.25" customHeight="1">
      <c r="A327" s="3">
        <v>3</v>
      </c>
      <c r="B327" s="9" t="s">
        <v>144</v>
      </c>
      <c r="C327" s="12" t="s">
        <v>145</v>
      </c>
      <c r="D327" s="9" t="s">
        <v>11</v>
      </c>
      <c r="E327" s="9">
        <v>0.99</v>
      </c>
      <c r="F327" s="6">
        <v>293000</v>
      </c>
      <c r="G327" s="7">
        <f>IFERROR(E327*F327,0)</f>
        <v>290070</v>
      </c>
      <c r="H327" s="8"/>
    </row>
    <row r="328" spans="1:8" ht="14.25" customHeight="1">
      <c r="A328" s="3">
        <v>4</v>
      </c>
      <c r="B328" s="8" t="s">
        <v>17</v>
      </c>
      <c r="C328" s="8"/>
      <c r="D328" s="8"/>
      <c r="E328" s="8"/>
      <c r="F328" s="8"/>
      <c r="G328" s="13">
        <f>IFERROR(E328*F328,0)</f>
        <v>0</v>
      </c>
      <c r="H328" s="8"/>
    </row>
    <row r="329" spans="1:8" ht="14.25" customHeight="1">
      <c r="A329" s="86" t="s">
        <v>18</v>
      </c>
      <c r="B329" s="81"/>
      <c r="C329" s="81"/>
      <c r="D329" s="81"/>
      <c r="E329" s="81"/>
      <c r="F329" s="81"/>
      <c r="G329" s="82"/>
      <c r="H329" s="14">
        <f>SUM(G325:G328)</f>
        <v>1226870</v>
      </c>
    </row>
    <row r="330" spans="1:8" ht="14.25" customHeight="1">
      <c r="A330" s="86" t="s">
        <v>19</v>
      </c>
      <c r="B330" s="81"/>
      <c r="C330" s="81"/>
      <c r="D330" s="81"/>
      <c r="E330" s="81"/>
      <c r="F330" s="81"/>
      <c r="G330" s="82"/>
      <c r="H330" s="14">
        <f>MAX(0,H329-648000)</f>
        <v>578870</v>
      </c>
    </row>
    <row r="331" spans="1:8" ht="14.25" customHeight="1">
      <c r="A331" s="87" t="s">
        <v>20</v>
      </c>
      <c r="B331" s="81"/>
      <c r="C331" s="81"/>
      <c r="D331" s="81"/>
      <c r="E331" s="81"/>
      <c r="F331" s="81"/>
      <c r="G331" s="82"/>
      <c r="H331" s="15">
        <v>649000</v>
      </c>
    </row>
    <row r="332" spans="1:8" ht="14.25" customHeight="1"/>
    <row r="333" spans="1:8" ht="14.25" customHeight="1"/>
    <row r="334" spans="1:8" ht="14.25" customHeight="1"/>
    <row r="335" spans="1:8" ht="14.25" customHeight="1"/>
    <row r="336" spans="1:8" ht="14.25" customHeight="1">
      <c r="A336" s="85" t="s">
        <v>0</v>
      </c>
      <c r="B336" s="81"/>
      <c r="C336" s="81"/>
      <c r="D336" s="81"/>
      <c r="E336" s="81"/>
      <c r="F336" s="81"/>
      <c r="G336" s="81"/>
      <c r="H336" s="82"/>
    </row>
    <row r="337" spans="1:8" ht="14.25" customHeight="1">
      <c r="A337" s="85" t="s">
        <v>146</v>
      </c>
      <c r="B337" s="81"/>
      <c r="C337" s="81"/>
      <c r="D337" s="81"/>
      <c r="E337" s="81"/>
      <c r="F337" s="81"/>
      <c r="G337" s="81"/>
      <c r="H337" s="82"/>
    </row>
    <row r="338" spans="1:8" ht="14.25" customHeight="1">
      <c r="A338" s="1" t="s">
        <v>2</v>
      </c>
      <c r="B338" s="1" t="s">
        <v>3</v>
      </c>
      <c r="C338" s="1" t="s">
        <v>4</v>
      </c>
      <c r="D338" s="1" t="s">
        <v>5</v>
      </c>
      <c r="E338" s="1" t="s">
        <v>6</v>
      </c>
      <c r="F338" s="2" t="s">
        <v>7</v>
      </c>
      <c r="G338" s="1" t="s">
        <v>8</v>
      </c>
      <c r="H338" s="1"/>
    </row>
    <row r="339" spans="1:8" ht="14.25" customHeight="1">
      <c r="A339" s="3">
        <v>1</v>
      </c>
      <c r="B339" s="4" t="s">
        <v>121</v>
      </c>
      <c r="C339" s="5" t="s">
        <v>147</v>
      </c>
      <c r="D339" s="4" t="s">
        <v>11</v>
      </c>
      <c r="E339" s="4">
        <v>1.1000000000000001</v>
      </c>
      <c r="F339" s="6">
        <v>293000</v>
      </c>
      <c r="G339" s="7">
        <f t="shared" ref="G339:G340" si="22">IFERROR(E339*F339,0)</f>
        <v>322300</v>
      </c>
      <c r="H339" s="8"/>
    </row>
    <row r="340" spans="1:8" ht="14.25" customHeight="1">
      <c r="A340" s="3">
        <v>2</v>
      </c>
      <c r="B340" s="4" t="s">
        <v>142</v>
      </c>
      <c r="C340" s="5" t="s">
        <v>148</v>
      </c>
      <c r="D340" s="4" t="s">
        <v>14</v>
      </c>
      <c r="E340" s="4">
        <v>1.24</v>
      </c>
      <c r="F340" s="11">
        <v>435000</v>
      </c>
      <c r="G340" s="7">
        <f t="shared" si="22"/>
        <v>539400</v>
      </c>
      <c r="H340" s="8"/>
    </row>
    <row r="341" spans="1:8" ht="14.25" customHeight="1">
      <c r="A341" s="3">
        <v>3</v>
      </c>
      <c r="B341" s="4" t="s">
        <v>149</v>
      </c>
      <c r="C341" s="18" t="s">
        <v>150</v>
      </c>
      <c r="D341" s="4" t="s">
        <v>11</v>
      </c>
      <c r="E341" s="4">
        <v>1.1399999999999999</v>
      </c>
      <c r="F341" s="6">
        <v>293000</v>
      </c>
      <c r="G341" s="7">
        <f>IFERROR(E341*F341,0)</f>
        <v>334020</v>
      </c>
      <c r="H341" s="8"/>
    </row>
    <row r="342" spans="1:8" ht="14.25" customHeight="1">
      <c r="A342" s="3">
        <v>4</v>
      </c>
      <c r="B342" s="8" t="s">
        <v>17</v>
      </c>
      <c r="C342" s="8"/>
      <c r="D342" s="8"/>
      <c r="E342" s="8"/>
      <c r="F342" s="8"/>
      <c r="G342" s="13">
        <f>IFERROR(E342*F342,0)</f>
        <v>0</v>
      </c>
      <c r="H342" s="8"/>
    </row>
    <row r="343" spans="1:8" ht="14.25" customHeight="1">
      <c r="A343" s="86" t="s">
        <v>18</v>
      </c>
      <c r="B343" s="81"/>
      <c r="C343" s="81"/>
      <c r="D343" s="81"/>
      <c r="E343" s="81"/>
      <c r="F343" s="81"/>
      <c r="G343" s="82"/>
      <c r="H343" s="14">
        <f>SUM(G339:G342)</f>
        <v>1195720</v>
      </c>
    </row>
    <row r="344" spans="1:8" ht="14.25" customHeight="1">
      <c r="A344" s="86" t="s">
        <v>19</v>
      </c>
      <c r="B344" s="81"/>
      <c r="C344" s="81"/>
      <c r="D344" s="81"/>
      <c r="E344" s="81"/>
      <c r="F344" s="81"/>
      <c r="G344" s="82"/>
      <c r="H344" s="14">
        <f>MAX(0,H343-648000)</f>
        <v>547720</v>
      </c>
    </row>
    <row r="345" spans="1:8" ht="14.25" customHeight="1">
      <c r="A345" s="87" t="s">
        <v>20</v>
      </c>
      <c r="B345" s="81"/>
      <c r="C345" s="81"/>
      <c r="D345" s="81"/>
      <c r="E345" s="81"/>
      <c r="F345" s="81"/>
      <c r="G345" s="82"/>
      <c r="H345" s="15">
        <v>649000</v>
      </c>
    </row>
    <row r="346" spans="1:8" ht="14.25" customHeight="1"/>
    <row r="347" spans="1:8" ht="14.25" customHeight="1"/>
    <row r="348" spans="1:8" ht="14.25" customHeight="1"/>
    <row r="349" spans="1:8" ht="14.25" customHeight="1"/>
    <row r="350" spans="1:8" ht="14.25" customHeight="1"/>
    <row r="351" spans="1:8" ht="14.25" customHeight="1"/>
    <row r="352" spans="1:8" ht="14.25" customHeight="1">
      <c r="A352" s="85" t="s">
        <v>0</v>
      </c>
      <c r="B352" s="81"/>
      <c r="C352" s="81"/>
      <c r="D352" s="81"/>
      <c r="E352" s="81"/>
      <c r="F352" s="81"/>
      <c r="G352" s="81"/>
      <c r="H352" s="82"/>
    </row>
    <row r="353" spans="1:8" ht="14.25" customHeight="1">
      <c r="A353" s="85" t="s">
        <v>151</v>
      </c>
      <c r="B353" s="81"/>
      <c r="C353" s="81"/>
      <c r="D353" s="81"/>
      <c r="E353" s="81"/>
      <c r="F353" s="81"/>
      <c r="G353" s="81"/>
      <c r="H353" s="82"/>
    </row>
    <row r="354" spans="1:8" ht="14.25" customHeight="1">
      <c r="A354" s="1" t="s">
        <v>2</v>
      </c>
      <c r="B354" s="1" t="s">
        <v>3</v>
      </c>
      <c r="C354" s="1" t="s">
        <v>4</v>
      </c>
      <c r="D354" s="1" t="s">
        <v>5</v>
      </c>
      <c r="E354" s="1" t="s">
        <v>6</v>
      </c>
      <c r="F354" s="2" t="s">
        <v>7</v>
      </c>
      <c r="G354" s="1" t="s">
        <v>8</v>
      </c>
      <c r="H354" s="1"/>
    </row>
    <row r="355" spans="1:8" ht="14.25" customHeight="1">
      <c r="A355" s="3">
        <v>1</v>
      </c>
      <c r="B355" s="4" t="s">
        <v>152</v>
      </c>
      <c r="C355" s="5" t="s">
        <v>153</v>
      </c>
      <c r="D355" s="4" t="s">
        <v>11</v>
      </c>
      <c r="E355" s="4">
        <v>1</v>
      </c>
      <c r="F355" s="6">
        <v>293000</v>
      </c>
      <c r="G355" s="7">
        <f t="shared" ref="G355:G356" si="23">IFERROR(E355*F355,0)</f>
        <v>293000</v>
      </c>
      <c r="H355" s="8"/>
    </row>
    <row r="356" spans="1:8" ht="14.25" customHeight="1">
      <c r="A356" s="3">
        <v>2</v>
      </c>
      <c r="B356" s="9" t="s">
        <v>154</v>
      </c>
      <c r="C356" s="10" t="s">
        <v>155</v>
      </c>
      <c r="D356" s="9" t="s">
        <v>14</v>
      </c>
      <c r="E356" s="9">
        <v>1.1100000000000001</v>
      </c>
      <c r="F356" s="11">
        <v>435000</v>
      </c>
      <c r="G356" s="7">
        <f t="shared" si="23"/>
        <v>482850.00000000006</v>
      </c>
      <c r="H356" s="8"/>
    </row>
    <row r="357" spans="1:8" ht="14.25" customHeight="1">
      <c r="A357" s="3">
        <v>3</v>
      </c>
      <c r="B357" s="4" t="s">
        <v>47</v>
      </c>
      <c r="C357" s="18" t="s">
        <v>156</v>
      </c>
      <c r="D357" s="4" t="s">
        <v>11</v>
      </c>
      <c r="E357" s="4">
        <v>1.47</v>
      </c>
      <c r="F357" s="6">
        <v>293000</v>
      </c>
      <c r="G357" s="7">
        <f>IFERROR(E357*F357,0)</f>
        <v>430710</v>
      </c>
      <c r="H357" s="8"/>
    </row>
    <row r="358" spans="1:8" ht="14.25" customHeight="1">
      <c r="A358" s="3">
        <v>4</v>
      </c>
      <c r="B358" s="8" t="s">
        <v>17</v>
      </c>
      <c r="C358" s="8"/>
      <c r="D358" s="8"/>
      <c r="E358" s="8"/>
      <c r="F358" s="8"/>
      <c r="G358" s="13">
        <f>IFERROR(E358*F358,0)</f>
        <v>0</v>
      </c>
      <c r="H358" s="8"/>
    </row>
    <row r="359" spans="1:8" ht="14.25" customHeight="1">
      <c r="A359" s="86" t="s">
        <v>18</v>
      </c>
      <c r="B359" s="81"/>
      <c r="C359" s="81"/>
      <c r="D359" s="81"/>
      <c r="E359" s="81"/>
      <c r="F359" s="81"/>
      <c r="G359" s="82"/>
      <c r="H359" s="14">
        <f>SUM(G355:G358)</f>
        <v>1206560</v>
      </c>
    </row>
    <row r="360" spans="1:8" ht="14.25" customHeight="1">
      <c r="A360" s="86" t="s">
        <v>19</v>
      </c>
      <c r="B360" s="81"/>
      <c r="C360" s="81"/>
      <c r="D360" s="81"/>
      <c r="E360" s="81"/>
      <c r="F360" s="81"/>
      <c r="G360" s="82"/>
      <c r="H360" s="14">
        <f>MAX(0,H359-648000)</f>
        <v>558560</v>
      </c>
    </row>
    <row r="361" spans="1:8" ht="14.25" customHeight="1">
      <c r="A361" s="87" t="s">
        <v>20</v>
      </c>
      <c r="B361" s="81"/>
      <c r="C361" s="81"/>
      <c r="D361" s="81"/>
      <c r="E361" s="81"/>
      <c r="F361" s="81"/>
      <c r="G361" s="82"/>
      <c r="H361" s="15">
        <v>649000</v>
      </c>
    </row>
    <row r="362" spans="1:8" ht="14.25" customHeight="1"/>
    <row r="363" spans="1:8" ht="14.25" customHeight="1"/>
    <row r="364" spans="1:8" ht="14.25" customHeight="1"/>
    <row r="365" spans="1:8" ht="14.25" customHeight="1"/>
    <row r="366" spans="1:8" ht="14.25" customHeight="1">
      <c r="A366" s="85" t="s">
        <v>0</v>
      </c>
      <c r="B366" s="81"/>
      <c r="C366" s="81"/>
      <c r="D366" s="81"/>
      <c r="E366" s="81"/>
      <c r="F366" s="81"/>
      <c r="G366" s="81"/>
      <c r="H366" s="82"/>
    </row>
    <row r="367" spans="1:8" ht="14.25" customHeight="1">
      <c r="A367" s="85" t="s">
        <v>157</v>
      </c>
      <c r="B367" s="81"/>
      <c r="C367" s="81"/>
      <c r="D367" s="81"/>
      <c r="E367" s="81"/>
      <c r="F367" s="81"/>
      <c r="G367" s="81"/>
      <c r="H367" s="82"/>
    </row>
    <row r="368" spans="1:8" ht="14.25" customHeight="1">
      <c r="A368" s="1" t="s">
        <v>2</v>
      </c>
      <c r="B368" s="1" t="s">
        <v>3</v>
      </c>
      <c r="C368" s="1" t="s">
        <v>4</v>
      </c>
      <c r="D368" s="1" t="s">
        <v>5</v>
      </c>
      <c r="E368" s="1" t="s">
        <v>6</v>
      </c>
      <c r="F368" s="2" t="s">
        <v>7</v>
      </c>
      <c r="G368" s="1" t="s">
        <v>8</v>
      </c>
      <c r="H368" s="1"/>
    </row>
    <row r="369" spans="1:8" ht="14.25" customHeight="1">
      <c r="A369" s="3">
        <v>1</v>
      </c>
      <c r="B369" s="4" t="s">
        <v>121</v>
      </c>
      <c r="C369" s="5" t="s">
        <v>158</v>
      </c>
      <c r="D369" s="4" t="s">
        <v>11</v>
      </c>
      <c r="E369" s="4">
        <v>1</v>
      </c>
      <c r="F369" s="6">
        <v>293000</v>
      </c>
      <c r="G369" s="7">
        <f t="shared" ref="G369:G370" si="24">IFERROR(E369*F369,0)</f>
        <v>293000</v>
      </c>
      <c r="H369" s="8"/>
    </row>
    <row r="370" spans="1:8" ht="14.25" customHeight="1">
      <c r="A370" s="3">
        <v>2</v>
      </c>
      <c r="B370" s="9" t="s">
        <v>159</v>
      </c>
      <c r="C370" s="10" t="s">
        <v>160</v>
      </c>
      <c r="D370" s="9" t="s">
        <v>14</v>
      </c>
      <c r="E370" s="9">
        <v>1.48</v>
      </c>
      <c r="F370" s="11">
        <v>435000</v>
      </c>
      <c r="G370" s="7">
        <f t="shared" si="24"/>
        <v>643800</v>
      </c>
      <c r="H370" s="8"/>
    </row>
    <row r="371" spans="1:8" ht="14.25" customHeight="1">
      <c r="A371" s="3">
        <v>3</v>
      </c>
      <c r="B371" s="9" t="s">
        <v>47</v>
      </c>
      <c r="C371" s="12" t="s">
        <v>161</v>
      </c>
      <c r="D371" s="9" t="s">
        <v>11</v>
      </c>
      <c r="E371" s="9">
        <v>1.1000000000000001</v>
      </c>
      <c r="F371" s="6">
        <v>293000</v>
      </c>
      <c r="G371" s="7">
        <f>IFERROR(E371*F371,0)</f>
        <v>322300</v>
      </c>
      <c r="H371" s="8"/>
    </row>
    <row r="372" spans="1:8" ht="14.25" customHeight="1">
      <c r="A372" s="3">
        <v>4</v>
      </c>
      <c r="B372" s="8" t="s">
        <v>17</v>
      </c>
      <c r="C372" s="8"/>
      <c r="D372" s="8"/>
      <c r="E372" s="8"/>
      <c r="F372" s="8"/>
      <c r="G372" s="13">
        <f>IFERROR(E372*F372,0)</f>
        <v>0</v>
      </c>
      <c r="H372" s="8"/>
    </row>
    <row r="373" spans="1:8" ht="14.25" customHeight="1">
      <c r="A373" s="86" t="s">
        <v>18</v>
      </c>
      <c r="B373" s="81"/>
      <c r="C373" s="81"/>
      <c r="D373" s="81"/>
      <c r="E373" s="81"/>
      <c r="F373" s="81"/>
      <c r="G373" s="82"/>
      <c r="H373" s="14">
        <f>SUM(G369:G372)</f>
        <v>1259100</v>
      </c>
    </row>
    <row r="374" spans="1:8" ht="14.25" customHeight="1">
      <c r="A374" s="86" t="s">
        <v>19</v>
      </c>
      <c r="B374" s="81"/>
      <c r="C374" s="81"/>
      <c r="D374" s="81"/>
      <c r="E374" s="81"/>
      <c r="F374" s="81"/>
      <c r="G374" s="82"/>
      <c r="H374" s="14">
        <f>MAX(0,H373-648000)</f>
        <v>611100</v>
      </c>
    </row>
    <row r="375" spans="1:8" ht="14.25" customHeight="1">
      <c r="A375" s="87" t="s">
        <v>20</v>
      </c>
      <c r="B375" s="81"/>
      <c r="C375" s="81"/>
      <c r="D375" s="81"/>
      <c r="E375" s="81"/>
      <c r="F375" s="81"/>
      <c r="G375" s="82"/>
      <c r="H375" s="15">
        <v>649000</v>
      </c>
    </row>
    <row r="376" spans="1:8" ht="14.25" customHeight="1"/>
    <row r="377" spans="1:8" ht="14.25" customHeight="1"/>
    <row r="378" spans="1:8" ht="14.25" customHeight="1">
      <c r="A378" s="85" t="s">
        <v>0</v>
      </c>
      <c r="B378" s="81"/>
      <c r="C378" s="81"/>
      <c r="D378" s="81"/>
      <c r="E378" s="81"/>
      <c r="F378" s="81"/>
      <c r="G378" s="81"/>
      <c r="H378" s="82"/>
    </row>
    <row r="379" spans="1:8" ht="14.25" customHeight="1">
      <c r="A379" s="85" t="s">
        <v>162</v>
      </c>
      <c r="B379" s="81"/>
      <c r="C379" s="81"/>
      <c r="D379" s="81"/>
      <c r="E379" s="81"/>
      <c r="F379" s="81"/>
      <c r="G379" s="81"/>
      <c r="H379" s="82"/>
    </row>
    <row r="380" spans="1:8" ht="14.25" customHeight="1">
      <c r="A380" s="1" t="s">
        <v>2</v>
      </c>
      <c r="B380" s="1" t="s">
        <v>3</v>
      </c>
      <c r="C380" s="1" t="s">
        <v>4</v>
      </c>
      <c r="D380" s="1" t="s">
        <v>5</v>
      </c>
      <c r="E380" s="1" t="s">
        <v>6</v>
      </c>
      <c r="F380" s="2" t="s">
        <v>7</v>
      </c>
      <c r="G380" s="1" t="s">
        <v>8</v>
      </c>
      <c r="H380" s="1"/>
    </row>
    <row r="381" spans="1:8" ht="14.25" customHeight="1">
      <c r="A381" s="3">
        <v>1</v>
      </c>
      <c r="B381" s="9" t="s">
        <v>163</v>
      </c>
      <c r="C381" s="10" t="s">
        <v>164</v>
      </c>
      <c r="D381" s="9" t="s">
        <v>11</v>
      </c>
      <c r="E381" s="9">
        <v>1.1000000000000001</v>
      </c>
      <c r="F381" s="6">
        <v>293000</v>
      </c>
      <c r="G381" s="7">
        <f t="shared" ref="G381:G382" si="25">IFERROR(E381*F381,0)</f>
        <v>322300</v>
      </c>
      <c r="H381" s="8"/>
    </row>
    <row r="382" spans="1:8" ht="14.25" customHeight="1">
      <c r="A382" s="3">
        <v>2</v>
      </c>
      <c r="B382" s="4" t="s">
        <v>73</v>
      </c>
      <c r="C382" s="5" t="s">
        <v>165</v>
      </c>
      <c r="D382" s="4" t="s">
        <v>14</v>
      </c>
      <c r="E382" s="4">
        <v>1.48</v>
      </c>
      <c r="F382" s="11">
        <v>435000</v>
      </c>
      <c r="G382" s="7">
        <f t="shared" si="25"/>
        <v>643800</v>
      </c>
      <c r="H382" s="8"/>
    </row>
    <row r="383" spans="1:8" ht="14.25" customHeight="1">
      <c r="A383" s="3">
        <v>3</v>
      </c>
      <c r="B383" s="9" t="s">
        <v>166</v>
      </c>
      <c r="C383" s="12" t="s">
        <v>167</v>
      </c>
      <c r="D383" s="9" t="s">
        <v>11</v>
      </c>
      <c r="E383" s="9">
        <v>1</v>
      </c>
      <c r="F383" s="6">
        <v>293000</v>
      </c>
      <c r="G383" s="7">
        <f>IFERROR(E383*F383,0)</f>
        <v>293000</v>
      </c>
      <c r="H383" s="8"/>
    </row>
    <row r="384" spans="1:8" ht="14.25" customHeight="1">
      <c r="A384" s="3">
        <v>4</v>
      </c>
      <c r="B384" s="8" t="s">
        <v>17</v>
      </c>
      <c r="C384" s="8"/>
      <c r="D384" s="8"/>
      <c r="E384" s="8"/>
      <c r="F384" s="8"/>
      <c r="G384" s="13">
        <f>IFERROR(E384*F384,0)</f>
        <v>0</v>
      </c>
      <c r="H384" s="8"/>
    </row>
    <row r="385" spans="1:8" ht="14.25" customHeight="1">
      <c r="A385" s="86" t="s">
        <v>18</v>
      </c>
      <c r="B385" s="81"/>
      <c r="C385" s="81"/>
      <c r="D385" s="81"/>
      <c r="E385" s="81"/>
      <c r="F385" s="81"/>
      <c r="G385" s="82"/>
      <c r="H385" s="14">
        <f>SUM(G381:G384)</f>
        <v>1259100</v>
      </c>
    </row>
    <row r="386" spans="1:8" ht="14.25" customHeight="1">
      <c r="A386" s="86" t="s">
        <v>19</v>
      </c>
      <c r="B386" s="81"/>
      <c r="C386" s="81"/>
      <c r="D386" s="81"/>
      <c r="E386" s="81"/>
      <c r="F386" s="81"/>
      <c r="G386" s="82"/>
      <c r="H386" s="14">
        <f>MAX(0,H385-648000)</f>
        <v>611100</v>
      </c>
    </row>
    <row r="387" spans="1:8" ht="14.25" customHeight="1">
      <c r="A387" s="87" t="s">
        <v>20</v>
      </c>
      <c r="B387" s="81"/>
      <c r="C387" s="81"/>
      <c r="D387" s="81"/>
      <c r="E387" s="81"/>
      <c r="F387" s="81"/>
      <c r="G387" s="82"/>
      <c r="H387" s="15">
        <v>649000</v>
      </c>
    </row>
    <row r="388" spans="1:8" ht="14.25" customHeight="1"/>
    <row r="389" spans="1:8" ht="14.25" customHeight="1"/>
    <row r="390" spans="1:8" ht="14.25" customHeight="1"/>
    <row r="391" spans="1:8" ht="14.25" customHeight="1"/>
    <row r="392" spans="1:8" ht="14.25" customHeight="1"/>
    <row r="393" spans="1:8" ht="14.25" customHeight="1"/>
    <row r="394" spans="1:8" ht="14.25" customHeight="1">
      <c r="A394" s="85" t="s">
        <v>0</v>
      </c>
      <c r="B394" s="81"/>
      <c r="C394" s="81"/>
      <c r="D394" s="81"/>
      <c r="E394" s="81"/>
      <c r="F394" s="81"/>
      <c r="G394" s="81"/>
      <c r="H394" s="82"/>
    </row>
    <row r="395" spans="1:8" ht="14.25" customHeight="1">
      <c r="A395" s="85" t="s">
        <v>168</v>
      </c>
      <c r="B395" s="81"/>
      <c r="C395" s="81"/>
      <c r="D395" s="81"/>
      <c r="E395" s="81"/>
      <c r="F395" s="81"/>
      <c r="G395" s="81"/>
      <c r="H395" s="82"/>
    </row>
    <row r="396" spans="1:8" ht="14.25" customHeight="1">
      <c r="A396" s="1" t="s">
        <v>2</v>
      </c>
      <c r="B396" s="1" t="s">
        <v>3</v>
      </c>
      <c r="C396" s="1" t="s">
        <v>4</v>
      </c>
      <c r="D396" s="1" t="s">
        <v>5</v>
      </c>
      <c r="E396" s="1" t="s">
        <v>6</v>
      </c>
      <c r="F396" s="2" t="s">
        <v>7</v>
      </c>
      <c r="G396" s="1" t="s">
        <v>8</v>
      </c>
      <c r="H396" s="1"/>
    </row>
    <row r="397" spans="1:8" ht="14.25" customHeight="1">
      <c r="A397" s="3">
        <v>1</v>
      </c>
      <c r="B397" s="4" t="s">
        <v>169</v>
      </c>
      <c r="C397" s="5" t="s">
        <v>170</v>
      </c>
      <c r="D397" s="4" t="s">
        <v>11</v>
      </c>
      <c r="E397" s="4">
        <v>1.23</v>
      </c>
      <c r="F397" s="6">
        <v>293000</v>
      </c>
      <c r="G397" s="7">
        <f t="shared" ref="G397:G398" si="26">IFERROR(E397*F397,0)</f>
        <v>360390</v>
      </c>
      <c r="H397" s="8"/>
    </row>
    <row r="398" spans="1:8" ht="14.25" customHeight="1">
      <c r="A398" s="3">
        <v>2</v>
      </c>
      <c r="B398" s="4" t="s">
        <v>29</v>
      </c>
      <c r="C398" s="5" t="s">
        <v>171</v>
      </c>
      <c r="D398" s="4" t="s">
        <v>14</v>
      </c>
      <c r="E398" s="4">
        <v>1.17</v>
      </c>
      <c r="F398" s="11">
        <v>435000</v>
      </c>
      <c r="G398" s="7">
        <f t="shared" si="26"/>
        <v>508949.99999999994</v>
      </c>
      <c r="H398" s="8"/>
    </row>
    <row r="399" spans="1:8" ht="14.25" customHeight="1">
      <c r="A399" s="3">
        <v>3</v>
      </c>
      <c r="B399" s="9" t="s">
        <v>172</v>
      </c>
      <c r="C399" s="12" t="s">
        <v>173</v>
      </c>
      <c r="D399" s="9" t="s">
        <v>11</v>
      </c>
      <c r="E399" s="9">
        <v>1.5</v>
      </c>
      <c r="F399" s="6">
        <v>293000</v>
      </c>
      <c r="G399" s="7">
        <f>IFERROR(E399*F399,0)</f>
        <v>439500</v>
      </c>
      <c r="H399" s="8"/>
    </row>
    <row r="400" spans="1:8" ht="14.25" customHeight="1">
      <c r="A400" s="3">
        <v>4</v>
      </c>
      <c r="B400" s="8" t="s">
        <v>17</v>
      </c>
      <c r="C400" s="8"/>
      <c r="D400" s="8"/>
      <c r="E400" s="8"/>
      <c r="F400" s="8"/>
      <c r="G400" s="13">
        <f>IFERROR(E400*F400,0)</f>
        <v>0</v>
      </c>
      <c r="H400" s="8"/>
    </row>
    <row r="401" spans="1:8" ht="14.25" customHeight="1">
      <c r="A401" s="86" t="s">
        <v>18</v>
      </c>
      <c r="B401" s="81"/>
      <c r="C401" s="81"/>
      <c r="D401" s="81"/>
      <c r="E401" s="81"/>
      <c r="F401" s="81"/>
      <c r="G401" s="82"/>
      <c r="H401" s="14">
        <f>SUM(G397:G400)</f>
        <v>1308840</v>
      </c>
    </row>
    <row r="402" spans="1:8" ht="14.25" customHeight="1">
      <c r="A402" s="86" t="s">
        <v>19</v>
      </c>
      <c r="B402" s="81"/>
      <c r="C402" s="81"/>
      <c r="D402" s="81"/>
      <c r="E402" s="81"/>
      <c r="F402" s="81"/>
      <c r="G402" s="82"/>
      <c r="H402" s="14">
        <f>MAX(0,H401-648000)</f>
        <v>660840</v>
      </c>
    </row>
    <row r="403" spans="1:8" ht="14.25" customHeight="1">
      <c r="A403" s="87" t="s">
        <v>20</v>
      </c>
      <c r="B403" s="81"/>
      <c r="C403" s="81"/>
      <c r="D403" s="81"/>
      <c r="E403" s="81"/>
      <c r="F403" s="81"/>
      <c r="G403" s="82"/>
      <c r="H403" s="15">
        <v>649000</v>
      </c>
    </row>
    <row r="404" spans="1:8" ht="14.25" customHeight="1"/>
    <row r="405" spans="1:8" ht="14.25" customHeight="1"/>
    <row r="406" spans="1:8" ht="14.25" customHeight="1"/>
    <row r="407" spans="1:8" ht="14.25" customHeight="1">
      <c r="A407" s="85" t="s">
        <v>0</v>
      </c>
      <c r="B407" s="81"/>
      <c r="C407" s="81"/>
      <c r="D407" s="81"/>
      <c r="E407" s="81"/>
      <c r="F407" s="81"/>
      <c r="G407" s="81"/>
      <c r="H407" s="82"/>
    </row>
    <row r="408" spans="1:8" ht="14.25" customHeight="1">
      <c r="A408" s="85" t="s">
        <v>174</v>
      </c>
      <c r="B408" s="81"/>
      <c r="C408" s="81"/>
      <c r="D408" s="81"/>
      <c r="E408" s="81"/>
      <c r="F408" s="81"/>
      <c r="G408" s="81"/>
      <c r="H408" s="82"/>
    </row>
    <row r="409" spans="1:8" ht="14.25" customHeight="1">
      <c r="A409" s="1" t="s">
        <v>2</v>
      </c>
      <c r="B409" s="1" t="s">
        <v>3</v>
      </c>
      <c r="C409" s="1" t="s">
        <v>4</v>
      </c>
      <c r="D409" s="1" t="s">
        <v>5</v>
      </c>
      <c r="E409" s="1" t="s">
        <v>6</v>
      </c>
      <c r="F409" s="2" t="s">
        <v>7</v>
      </c>
      <c r="G409" s="1" t="s">
        <v>8</v>
      </c>
      <c r="H409" s="1"/>
    </row>
    <row r="410" spans="1:8" ht="14.25" customHeight="1">
      <c r="A410" s="3">
        <v>1</v>
      </c>
      <c r="B410" s="9" t="s">
        <v>175</v>
      </c>
      <c r="C410" s="10" t="s">
        <v>176</v>
      </c>
      <c r="D410" s="9" t="s">
        <v>11</v>
      </c>
      <c r="E410" s="9">
        <v>1</v>
      </c>
      <c r="F410" s="6">
        <v>293000</v>
      </c>
      <c r="G410" s="7">
        <f t="shared" ref="G410:G411" si="27">IFERROR(E410*F410,0)</f>
        <v>293000</v>
      </c>
      <c r="H410" s="8"/>
    </row>
    <row r="411" spans="1:8" ht="14.25" customHeight="1">
      <c r="A411" s="3">
        <v>2</v>
      </c>
      <c r="B411" s="9" t="s">
        <v>177</v>
      </c>
      <c r="C411" s="10" t="s">
        <v>178</v>
      </c>
      <c r="D411" s="9" t="s">
        <v>14</v>
      </c>
      <c r="E411" s="9">
        <v>1.48</v>
      </c>
      <c r="F411" s="11">
        <v>435000</v>
      </c>
      <c r="G411" s="7">
        <f t="shared" si="27"/>
        <v>643800</v>
      </c>
      <c r="H411" s="8"/>
    </row>
    <row r="412" spans="1:8" ht="14.25" customHeight="1">
      <c r="A412" s="3">
        <v>3</v>
      </c>
      <c r="B412" s="9" t="s">
        <v>179</v>
      </c>
      <c r="C412" s="12" t="s">
        <v>180</v>
      </c>
      <c r="D412" s="9" t="s">
        <v>11</v>
      </c>
      <c r="E412" s="9">
        <v>1</v>
      </c>
      <c r="F412" s="6">
        <v>293000</v>
      </c>
      <c r="G412" s="7">
        <f>IFERROR(E412*F412,0)</f>
        <v>293000</v>
      </c>
      <c r="H412" s="8"/>
    </row>
    <row r="413" spans="1:8" ht="14.25" customHeight="1">
      <c r="A413" s="3">
        <v>4</v>
      </c>
      <c r="B413" s="8" t="s">
        <v>17</v>
      </c>
      <c r="C413" s="8"/>
      <c r="D413" s="8"/>
      <c r="E413" s="8"/>
      <c r="F413" s="8"/>
      <c r="G413" s="13">
        <f>IFERROR(E413*F413,0)</f>
        <v>0</v>
      </c>
      <c r="H413" s="8"/>
    </row>
    <row r="414" spans="1:8" ht="14.25" customHeight="1">
      <c r="A414" s="86" t="s">
        <v>18</v>
      </c>
      <c r="B414" s="81"/>
      <c r="C414" s="81"/>
      <c r="D414" s="81"/>
      <c r="E414" s="81"/>
      <c r="F414" s="81"/>
      <c r="G414" s="82"/>
      <c r="H414" s="14">
        <f>SUM(G410:G413)</f>
        <v>1229800</v>
      </c>
    </row>
    <row r="415" spans="1:8" ht="14.25" customHeight="1">
      <c r="A415" s="86" t="s">
        <v>19</v>
      </c>
      <c r="B415" s="81"/>
      <c r="C415" s="81"/>
      <c r="D415" s="81"/>
      <c r="E415" s="81"/>
      <c r="F415" s="81"/>
      <c r="G415" s="82"/>
      <c r="H415" s="14">
        <f>MAX(0,H414-648000)</f>
        <v>581800</v>
      </c>
    </row>
    <row r="416" spans="1:8" ht="14.25" customHeight="1">
      <c r="A416" s="87" t="s">
        <v>20</v>
      </c>
      <c r="B416" s="81"/>
      <c r="C416" s="81"/>
      <c r="D416" s="81"/>
      <c r="E416" s="81"/>
      <c r="F416" s="81"/>
      <c r="G416" s="82"/>
      <c r="H416" s="15">
        <v>649000</v>
      </c>
    </row>
    <row r="417" spans="1:8" ht="14.25" customHeight="1"/>
    <row r="418" spans="1:8" ht="14.25" customHeight="1"/>
    <row r="419" spans="1:8" ht="14.25" customHeight="1"/>
    <row r="420" spans="1:8" ht="14.25" customHeight="1"/>
    <row r="421" spans="1:8" ht="14.25" customHeight="1"/>
    <row r="422" spans="1:8" ht="14.25" customHeight="1"/>
    <row r="423" spans="1:8" ht="14.25" customHeight="1">
      <c r="A423" s="85" t="s">
        <v>0</v>
      </c>
      <c r="B423" s="81"/>
      <c r="C423" s="81"/>
      <c r="D423" s="81"/>
      <c r="E423" s="81"/>
      <c r="F423" s="81"/>
      <c r="G423" s="81"/>
      <c r="H423" s="82"/>
    </row>
    <row r="424" spans="1:8" ht="14.25" customHeight="1">
      <c r="A424" s="85" t="s">
        <v>181</v>
      </c>
      <c r="B424" s="81"/>
      <c r="C424" s="81"/>
      <c r="D424" s="81"/>
      <c r="E424" s="81"/>
      <c r="F424" s="81"/>
      <c r="G424" s="81"/>
      <c r="H424" s="82"/>
    </row>
    <row r="425" spans="1:8" ht="14.25" customHeight="1">
      <c r="A425" s="1" t="s">
        <v>2</v>
      </c>
      <c r="B425" s="1" t="s">
        <v>3</v>
      </c>
      <c r="C425" s="1" t="s">
        <v>4</v>
      </c>
      <c r="D425" s="1" t="s">
        <v>5</v>
      </c>
      <c r="E425" s="1" t="s">
        <v>6</v>
      </c>
      <c r="F425" s="2" t="s">
        <v>7</v>
      </c>
      <c r="G425" s="1" t="s">
        <v>8</v>
      </c>
      <c r="H425" s="1"/>
    </row>
    <row r="426" spans="1:8" ht="14.25" customHeight="1">
      <c r="A426" s="3">
        <v>1</v>
      </c>
      <c r="B426" s="9" t="s">
        <v>50</v>
      </c>
      <c r="C426" s="10" t="s">
        <v>182</v>
      </c>
      <c r="D426" s="9" t="s">
        <v>11</v>
      </c>
      <c r="E426" s="9">
        <v>1.5</v>
      </c>
      <c r="F426" s="6">
        <v>293000</v>
      </c>
      <c r="G426" s="7">
        <f t="shared" ref="G426:G427" si="28">IFERROR(E426*F426,0)</f>
        <v>439500</v>
      </c>
      <c r="H426" s="8"/>
    </row>
    <row r="427" spans="1:8" ht="14.25" customHeight="1">
      <c r="A427" s="3">
        <v>2</v>
      </c>
      <c r="B427" s="9" t="s">
        <v>183</v>
      </c>
      <c r="C427" s="10" t="s">
        <v>184</v>
      </c>
      <c r="D427" s="9" t="s">
        <v>14</v>
      </c>
      <c r="E427" s="9">
        <v>1</v>
      </c>
      <c r="F427" s="11">
        <v>435000</v>
      </c>
      <c r="G427" s="7">
        <f t="shared" si="28"/>
        <v>435000</v>
      </c>
      <c r="H427" s="8"/>
    </row>
    <row r="428" spans="1:8" ht="14.25" customHeight="1">
      <c r="A428" s="3">
        <v>3</v>
      </c>
      <c r="B428" s="9" t="s">
        <v>185</v>
      </c>
      <c r="C428" s="12" t="s">
        <v>186</v>
      </c>
      <c r="D428" s="9" t="s">
        <v>14</v>
      </c>
      <c r="E428" s="9">
        <v>1</v>
      </c>
      <c r="F428" s="11">
        <v>435000</v>
      </c>
      <c r="G428" s="7">
        <f>IFERROR(E428*F428,0)</f>
        <v>435000</v>
      </c>
      <c r="H428" s="8"/>
    </row>
    <row r="429" spans="1:8" ht="14.25" customHeight="1">
      <c r="A429" s="3">
        <v>4</v>
      </c>
      <c r="B429" s="8" t="s">
        <v>17</v>
      </c>
      <c r="C429" s="8"/>
      <c r="D429" s="8"/>
      <c r="E429" s="8"/>
      <c r="F429" s="8"/>
      <c r="G429" s="13">
        <f>IFERROR(E429*F429,0)</f>
        <v>0</v>
      </c>
      <c r="H429" s="8"/>
    </row>
    <row r="430" spans="1:8" ht="14.25" customHeight="1">
      <c r="A430" s="86" t="s">
        <v>18</v>
      </c>
      <c r="B430" s="81"/>
      <c r="C430" s="81"/>
      <c r="D430" s="81"/>
      <c r="E430" s="81"/>
      <c r="F430" s="81"/>
      <c r="G430" s="82"/>
      <c r="H430" s="14">
        <f>SUM(G426:G429)</f>
        <v>1309500</v>
      </c>
    </row>
    <row r="431" spans="1:8" ht="14.25" customHeight="1">
      <c r="A431" s="86" t="s">
        <v>19</v>
      </c>
      <c r="B431" s="81"/>
      <c r="C431" s="81"/>
      <c r="D431" s="81"/>
      <c r="E431" s="81"/>
      <c r="F431" s="81"/>
      <c r="G431" s="82"/>
      <c r="H431" s="14">
        <f>MAX(0,H430-648000)</f>
        <v>661500</v>
      </c>
    </row>
    <row r="432" spans="1:8" ht="14.25" customHeight="1">
      <c r="A432" s="87" t="s">
        <v>20</v>
      </c>
      <c r="B432" s="81"/>
      <c r="C432" s="81"/>
      <c r="D432" s="81"/>
      <c r="E432" s="81"/>
      <c r="F432" s="81"/>
      <c r="G432" s="82"/>
      <c r="H432" s="15">
        <v>649000</v>
      </c>
    </row>
    <row r="433" spans="1:8" ht="14.25" customHeight="1"/>
    <row r="434" spans="1:8" ht="14.25" customHeight="1"/>
    <row r="435" spans="1:8" ht="14.25" customHeight="1"/>
    <row r="436" spans="1:8" ht="14.25" customHeight="1"/>
    <row r="437" spans="1:8" ht="14.25" customHeight="1"/>
    <row r="438" spans="1:8" ht="14.25" customHeight="1">
      <c r="A438" s="85" t="s">
        <v>0</v>
      </c>
      <c r="B438" s="81"/>
      <c r="C438" s="81"/>
      <c r="D438" s="81"/>
      <c r="E438" s="81"/>
      <c r="F438" s="81"/>
      <c r="G438" s="81"/>
      <c r="H438" s="82"/>
    </row>
    <row r="439" spans="1:8" ht="14.25" customHeight="1">
      <c r="A439" s="85" t="s">
        <v>187</v>
      </c>
      <c r="B439" s="81"/>
      <c r="C439" s="81"/>
      <c r="D439" s="81"/>
      <c r="E439" s="81"/>
      <c r="F439" s="81"/>
      <c r="G439" s="81"/>
      <c r="H439" s="82"/>
    </row>
    <row r="440" spans="1:8" ht="14.25" customHeight="1">
      <c r="A440" s="1" t="s">
        <v>2</v>
      </c>
      <c r="B440" s="1" t="s">
        <v>3</v>
      </c>
      <c r="C440" s="1" t="s">
        <v>4</v>
      </c>
      <c r="D440" s="1" t="s">
        <v>5</v>
      </c>
      <c r="E440" s="1" t="s">
        <v>6</v>
      </c>
      <c r="F440" s="2" t="s">
        <v>7</v>
      </c>
      <c r="G440" s="1" t="s">
        <v>8</v>
      </c>
      <c r="H440" s="1"/>
    </row>
    <row r="441" spans="1:8" ht="14.25" customHeight="1">
      <c r="A441" s="3">
        <v>1</v>
      </c>
      <c r="B441" s="9" t="s">
        <v>188</v>
      </c>
      <c r="C441" s="10" t="s">
        <v>189</v>
      </c>
      <c r="D441" s="9" t="s">
        <v>11</v>
      </c>
      <c r="E441" s="9">
        <v>1.3</v>
      </c>
      <c r="F441" s="6">
        <v>293000</v>
      </c>
      <c r="G441" s="7">
        <f t="shared" ref="G441:G442" si="29">IFERROR(E441*F441,0)</f>
        <v>380900</v>
      </c>
      <c r="H441" s="8"/>
    </row>
    <row r="442" spans="1:8" ht="14.25" customHeight="1">
      <c r="A442" s="3">
        <v>2</v>
      </c>
      <c r="B442" s="9" t="s">
        <v>190</v>
      </c>
      <c r="C442" s="10" t="s">
        <v>191</v>
      </c>
      <c r="D442" s="9" t="s">
        <v>14</v>
      </c>
      <c r="E442" s="9">
        <v>1.47</v>
      </c>
      <c r="F442" s="11">
        <v>435000</v>
      </c>
      <c r="G442" s="7">
        <f t="shared" si="29"/>
        <v>639450</v>
      </c>
      <c r="H442" s="8"/>
    </row>
    <row r="443" spans="1:8" ht="14.25" customHeight="1">
      <c r="A443" s="3">
        <v>3</v>
      </c>
      <c r="B443" s="4" t="s">
        <v>188</v>
      </c>
      <c r="C443" s="18" t="s">
        <v>192</v>
      </c>
      <c r="D443" s="4" t="s">
        <v>11</v>
      </c>
      <c r="E443" s="4">
        <v>1</v>
      </c>
      <c r="F443" s="6">
        <v>293000</v>
      </c>
      <c r="G443" s="7">
        <f>IFERROR(E443*F443,0)</f>
        <v>293000</v>
      </c>
      <c r="H443" s="8"/>
    </row>
    <row r="444" spans="1:8" ht="14.25" customHeight="1">
      <c r="A444" s="3">
        <v>4</v>
      </c>
      <c r="B444" s="8" t="s">
        <v>17</v>
      </c>
      <c r="C444" s="8"/>
      <c r="D444" s="8"/>
      <c r="E444" s="8"/>
      <c r="F444" s="8"/>
      <c r="G444" s="13">
        <f>IFERROR(E444*F444,0)</f>
        <v>0</v>
      </c>
      <c r="H444" s="8"/>
    </row>
    <row r="445" spans="1:8" ht="14.25" customHeight="1">
      <c r="A445" s="86" t="s">
        <v>18</v>
      </c>
      <c r="B445" s="81"/>
      <c r="C445" s="81"/>
      <c r="D445" s="81"/>
      <c r="E445" s="81"/>
      <c r="F445" s="81"/>
      <c r="G445" s="82"/>
      <c r="H445" s="14">
        <f>SUM(G441:G444)</f>
        <v>1313350</v>
      </c>
    </row>
    <row r="446" spans="1:8" ht="14.25" customHeight="1">
      <c r="A446" s="86" t="s">
        <v>19</v>
      </c>
      <c r="B446" s="81"/>
      <c r="C446" s="81"/>
      <c r="D446" s="81"/>
      <c r="E446" s="81"/>
      <c r="F446" s="81"/>
      <c r="G446" s="82"/>
      <c r="H446" s="14">
        <f>MAX(0,H445-648000)</f>
        <v>665350</v>
      </c>
    </row>
    <row r="447" spans="1:8" ht="14.25" customHeight="1">
      <c r="A447" s="87" t="s">
        <v>20</v>
      </c>
      <c r="B447" s="81"/>
      <c r="C447" s="81"/>
      <c r="D447" s="81"/>
      <c r="E447" s="81"/>
      <c r="F447" s="81"/>
      <c r="G447" s="82"/>
      <c r="H447" s="15">
        <v>649000</v>
      </c>
    </row>
    <row r="448" spans="1:8" ht="14.25" customHeight="1"/>
    <row r="449" spans="1:8" ht="14.25" customHeight="1"/>
    <row r="450" spans="1:8" ht="14.25" customHeight="1">
      <c r="A450" s="85" t="s">
        <v>0</v>
      </c>
      <c r="B450" s="81"/>
      <c r="C450" s="81"/>
      <c r="D450" s="81"/>
      <c r="E450" s="81"/>
      <c r="F450" s="81"/>
      <c r="G450" s="81"/>
      <c r="H450" s="82"/>
    </row>
    <row r="451" spans="1:8" ht="14.25" customHeight="1">
      <c r="A451" s="85" t="s">
        <v>193</v>
      </c>
      <c r="B451" s="81"/>
      <c r="C451" s="81"/>
      <c r="D451" s="81"/>
      <c r="E451" s="81"/>
      <c r="F451" s="81"/>
      <c r="G451" s="81"/>
      <c r="H451" s="82"/>
    </row>
    <row r="452" spans="1:8" ht="14.25" customHeight="1">
      <c r="A452" s="1" t="s">
        <v>2</v>
      </c>
      <c r="B452" s="1" t="s">
        <v>3</v>
      </c>
      <c r="C452" s="1" t="s">
        <v>4</v>
      </c>
      <c r="D452" s="1" t="s">
        <v>5</v>
      </c>
      <c r="E452" s="1" t="s">
        <v>6</v>
      </c>
      <c r="F452" s="2" t="s">
        <v>7</v>
      </c>
      <c r="G452" s="1" t="s">
        <v>8</v>
      </c>
      <c r="H452" s="1"/>
    </row>
    <row r="453" spans="1:8" ht="14.25" customHeight="1">
      <c r="A453" s="3">
        <v>1</v>
      </c>
      <c r="B453" s="4" t="s">
        <v>194</v>
      </c>
      <c r="C453" s="5" t="s">
        <v>195</v>
      </c>
      <c r="D453" s="4" t="s">
        <v>11</v>
      </c>
      <c r="E453" s="4">
        <v>1</v>
      </c>
      <c r="F453" s="6">
        <v>293000</v>
      </c>
      <c r="G453" s="7">
        <f t="shared" ref="G453:G454" si="30">IFERROR(E453*F453,0)</f>
        <v>293000</v>
      </c>
      <c r="H453" s="8"/>
    </row>
    <row r="454" spans="1:8" ht="14.25" customHeight="1">
      <c r="A454" s="3">
        <v>2</v>
      </c>
      <c r="B454" s="4" t="s">
        <v>196</v>
      </c>
      <c r="C454" s="5" t="s">
        <v>197</v>
      </c>
      <c r="D454" s="4" t="s">
        <v>14</v>
      </c>
      <c r="E454" s="4">
        <v>1</v>
      </c>
      <c r="F454" s="11">
        <v>435000</v>
      </c>
      <c r="G454" s="7">
        <f t="shared" si="30"/>
        <v>435000</v>
      </c>
      <c r="H454" s="8"/>
    </row>
    <row r="455" spans="1:8" ht="14.25" customHeight="1">
      <c r="A455" s="3">
        <v>3</v>
      </c>
      <c r="B455" s="4" t="s">
        <v>29</v>
      </c>
      <c r="C455" s="18" t="s">
        <v>198</v>
      </c>
      <c r="D455" s="4" t="s">
        <v>11</v>
      </c>
      <c r="E455" s="4">
        <v>1.42</v>
      </c>
      <c r="F455" s="6">
        <v>293000</v>
      </c>
      <c r="G455" s="7">
        <f>IFERROR(E455*F455,0)</f>
        <v>416060</v>
      </c>
      <c r="H455" s="8"/>
    </row>
    <row r="456" spans="1:8" ht="14.25" customHeight="1">
      <c r="A456" s="3">
        <v>4</v>
      </c>
      <c r="B456" s="8" t="s">
        <v>17</v>
      </c>
      <c r="C456" s="8"/>
      <c r="D456" s="8"/>
      <c r="E456" s="8"/>
      <c r="F456" s="8"/>
      <c r="G456" s="13">
        <f>IFERROR(E456*F456,0)</f>
        <v>0</v>
      </c>
      <c r="H456" s="8"/>
    </row>
    <row r="457" spans="1:8" ht="14.25" customHeight="1">
      <c r="A457" s="86" t="s">
        <v>18</v>
      </c>
      <c r="B457" s="81"/>
      <c r="C457" s="81"/>
      <c r="D457" s="81"/>
      <c r="E457" s="81"/>
      <c r="F457" s="81"/>
      <c r="G457" s="82"/>
      <c r="H457" s="14">
        <f>SUM(G453:G456)</f>
        <v>1144060</v>
      </c>
    </row>
    <row r="458" spans="1:8" ht="14.25" customHeight="1">
      <c r="A458" s="86" t="s">
        <v>19</v>
      </c>
      <c r="B458" s="81"/>
      <c r="C458" s="81"/>
      <c r="D458" s="81"/>
      <c r="E458" s="81"/>
      <c r="F458" s="81"/>
      <c r="G458" s="82"/>
      <c r="H458" s="14">
        <f>MAX(0,H457-648000)</f>
        <v>496060</v>
      </c>
    </row>
    <row r="459" spans="1:8" ht="14.25" customHeight="1">
      <c r="A459" s="87" t="s">
        <v>20</v>
      </c>
      <c r="B459" s="81"/>
      <c r="C459" s="81"/>
      <c r="D459" s="81"/>
      <c r="E459" s="81"/>
      <c r="F459" s="81"/>
      <c r="G459" s="82"/>
      <c r="H459" s="15">
        <v>649000</v>
      </c>
    </row>
    <row r="460" spans="1:8" ht="14.25" customHeight="1"/>
    <row r="461" spans="1:8" ht="14.25" customHeight="1"/>
    <row r="462" spans="1:8" ht="14.25" customHeight="1"/>
    <row r="463" spans="1:8" ht="14.25" customHeight="1"/>
    <row r="464" spans="1:8" ht="14.25" customHeight="1"/>
    <row r="465" spans="1:8" ht="14.25" customHeight="1"/>
    <row r="466" spans="1:8" ht="14.25" customHeight="1"/>
    <row r="467" spans="1:8" ht="14.25" customHeight="1">
      <c r="A467" s="85" t="s">
        <v>0</v>
      </c>
      <c r="B467" s="81"/>
      <c r="C467" s="81"/>
      <c r="D467" s="81"/>
      <c r="E467" s="81"/>
      <c r="F467" s="81"/>
      <c r="G467" s="81"/>
      <c r="H467" s="82"/>
    </row>
    <row r="468" spans="1:8" ht="14.25" customHeight="1">
      <c r="A468" s="85" t="s">
        <v>199</v>
      </c>
      <c r="B468" s="81"/>
      <c r="C468" s="81"/>
      <c r="D468" s="81"/>
      <c r="E468" s="81"/>
      <c r="F468" s="81"/>
      <c r="G468" s="81"/>
      <c r="H468" s="82"/>
    </row>
    <row r="469" spans="1:8" ht="14.25" customHeight="1">
      <c r="A469" s="1" t="s">
        <v>2</v>
      </c>
      <c r="B469" s="1" t="s">
        <v>3</v>
      </c>
      <c r="C469" s="1" t="s">
        <v>4</v>
      </c>
      <c r="D469" s="1" t="s">
        <v>5</v>
      </c>
      <c r="E469" s="1" t="s">
        <v>6</v>
      </c>
      <c r="F469" s="2" t="s">
        <v>7</v>
      </c>
      <c r="G469" s="1" t="s">
        <v>8</v>
      </c>
      <c r="H469" s="1"/>
    </row>
    <row r="470" spans="1:8" ht="14.25" customHeight="1">
      <c r="A470" s="3">
        <v>1</v>
      </c>
      <c r="B470" s="4" t="s">
        <v>190</v>
      </c>
      <c r="C470" s="19">
        <v>2713</v>
      </c>
      <c r="D470" s="4" t="s">
        <v>11</v>
      </c>
      <c r="E470" s="4">
        <v>1.06</v>
      </c>
      <c r="F470" s="6">
        <v>293000</v>
      </c>
      <c r="G470" s="7">
        <f t="shared" ref="G470:G471" si="31">IFERROR(E470*F470,0)</f>
        <v>310580</v>
      </c>
      <c r="H470" s="8"/>
    </row>
    <row r="471" spans="1:8" ht="14.25" customHeight="1">
      <c r="A471" s="3">
        <v>2</v>
      </c>
      <c r="B471" s="9" t="s">
        <v>144</v>
      </c>
      <c r="C471" s="20">
        <v>4275</v>
      </c>
      <c r="D471" s="9" t="s">
        <v>14</v>
      </c>
      <c r="E471" s="9">
        <v>1.1000000000000001</v>
      </c>
      <c r="F471" s="11">
        <v>435000</v>
      </c>
      <c r="G471" s="7">
        <f t="shared" si="31"/>
        <v>478500.00000000006</v>
      </c>
      <c r="H471" s="8"/>
    </row>
    <row r="472" spans="1:8" ht="14.25" customHeight="1">
      <c r="A472" s="3">
        <v>3</v>
      </c>
      <c r="B472" s="4" t="s">
        <v>200</v>
      </c>
      <c r="C472" s="5" t="s">
        <v>201</v>
      </c>
      <c r="D472" s="4" t="s">
        <v>11</v>
      </c>
      <c r="E472" s="4">
        <v>1.52</v>
      </c>
      <c r="F472" s="6">
        <v>293000</v>
      </c>
      <c r="G472" s="7">
        <f>IFERROR(E472*F472,0)</f>
        <v>445360</v>
      </c>
      <c r="H472" s="8"/>
    </row>
    <row r="473" spans="1:8" ht="14.25" customHeight="1">
      <c r="A473" s="3">
        <v>4</v>
      </c>
      <c r="B473" s="8" t="s">
        <v>17</v>
      </c>
      <c r="C473" s="8"/>
      <c r="D473" s="8"/>
      <c r="E473" s="8"/>
      <c r="F473" s="8"/>
      <c r="G473" s="13">
        <f>IFERROR(E473*F473,0)</f>
        <v>0</v>
      </c>
      <c r="H473" s="8"/>
    </row>
    <row r="474" spans="1:8" ht="14.25" customHeight="1">
      <c r="A474" s="86" t="s">
        <v>18</v>
      </c>
      <c r="B474" s="81"/>
      <c r="C474" s="81"/>
      <c r="D474" s="81"/>
      <c r="E474" s="81"/>
      <c r="F474" s="81"/>
      <c r="G474" s="82"/>
      <c r="H474" s="14">
        <f>SUM(G470:G473)</f>
        <v>1234440</v>
      </c>
    </row>
    <row r="475" spans="1:8" ht="14.25" customHeight="1">
      <c r="A475" s="86" t="s">
        <v>19</v>
      </c>
      <c r="B475" s="81"/>
      <c r="C475" s="81"/>
      <c r="D475" s="81"/>
      <c r="E475" s="81"/>
      <c r="F475" s="81"/>
      <c r="G475" s="82"/>
      <c r="H475" s="14">
        <f>MAX(0,H474-648000)</f>
        <v>586440</v>
      </c>
    </row>
    <row r="476" spans="1:8" ht="14.25" customHeight="1">
      <c r="A476" s="87" t="s">
        <v>20</v>
      </c>
      <c r="B476" s="81"/>
      <c r="C476" s="81"/>
      <c r="D476" s="81"/>
      <c r="E476" s="81"/>
      <c r="F476" s="81"/>
      <c r="G476" s="82"/>
      <c r="H476" s="15">
        <v>649000</v>
      </c>
    </row>
    <row r="477" spans="1:8" ht="14.25" customHeight="1"/>
    <row r="478" spans="1:8" ht="14.25" customHeight="1"/>
    <row r="479" spans="1:8" ht="14.25" customHeight="1"/>
    <row r="480" spans="1:8" ht="14.25" customHeight="1">
      <c r="A480" s="85" t="s">
        <v>0</v>
      </c>
      <c r="B480" s="81"/>
      <c r="C480" s="81"/>
      <c r="D480" s="81"/>
      <c r="E480" s="81"/>
      <c r="F480" s="81"/>
      <c r="G480" s="81"/>
      <c r="H480" s="82"/>
    </row>
    <row r="481" spans="1:8" ht="14.25" customHeight="1">
      <c r="A481" s="85" t="s">
        <v>202</v>
      </c>
      <c r="B481" s="81"/>
      <c r="C481" s="81"/>
      <c r="D481" s="81"/>
      <c r="E481" s="81"/>
      <c r="F481" s="81"/>
      <c r="G481" s="81"/>
      <c r="H481" s="82"/>
    </row>
    <row r="482" spans="1:8" ht="14.25" customHeight="1">
      <c r="A482" s="1" t="s">
        <v>2</v>
      </c>
      <c r="B482" s="1" t="s">
        <v>3</v>
      </c>
      <c r="C482" s="1" t="s">
        <v>4</v>
      </c>
      <c r="D482" s="1" t="s">
        <v>5</v>
      </c>
      <c r="E482" s="1" t="s">
        <v>6</v>
      </c>
      <c r="F482" s="2" t="s">
        <v>7</v>
      </c>
      <c r="G482" s="1" t="s">
        <v>8</v>
      </c>
      <c r="H482" s="1"/>
    </row>
    <row r="483" spans="1:8" ht="14.25" customHeight="1">
      <c r="A483" s="3">
        <v>1</v>
      </c>
      <c r="B483" s="4" t="s">
        <v>203</v>
      </c>
      <c r="C483" s="5" t="s">
        <v>204</v>
      </c>
      <c r="D483" s="4" t="s">
        <v>11</v>
      </c>
      <c r="E483" s="4">
        <v>0.9</v>
      </c>
      <c r="F483" s="6">
        <v>293000</v>
      </c>
      <c r="G483" s="7">
        <f t="shared" ref="G483:G484" si="32">IFERROR(E483*F483,0)</f>
        <v>263700</v>
      </c>
      <c r="H483" s="8"/>
    </row>
    <row r="484" spans="1:8" ht="14.25" customHeight="1">
      <c r="A484" s="3">
        <v>2</v>
      </c>
      <c r="B484" s="9" t="s">
        <v>205</v>
      </c>
      <c r="C484" s="20">
        <v>6233</v>
      </c>
      <c r="D484" s="9" t="s">
        <v>14</v>
      </c>
      <c r="E484" s="9">
        <v>1.1200000000000001</v>
      </c>
      <c r="F484" s="11">
        <v>435000</v>
      </c>
      <c r="G484" s="7">
        <f t="shared" si="32"/>
        <v>487200.00000000006</v>
      </c>
      <c r="H484" s="8"/>
    </row>
    <row r="485" spans="1:8" ht="14.25" customHeight="1">
      <c r="A485" s="3">
        <v>3</v>
      </c>
      <c r="B485" s="9" t="s">
        <v>65</v>
      </c>
      <c r="C485" s="20">
        <v>3760</v>
      </c>
      <c r="D485" s="9" t="s">
        <v>11</v>
      </c>
      <c r="E485" s="9">
        <v>1.5</v>
      </c>
      <c r="F485" s="6">
        <v>293000</v>
      </c>
      <c r="G485" s="7">
        <f>IFERROR(E485*F485,0)</f>
        <v>439500</v>
      </c>
      <c r="H485" s="8"/>
    </row>
    <row r="486" spans="1:8" ht="14.25" customHeight="1">
      <c r="A486" s="3">
        <v>4</v>
      </c>
      <c r="B486" s="8" t="s">
        <v>17</v>
      </c>
      <c r="C486" s="8"/>
      <c r="D486" s="8"/>
      <c r="E486" s="8"/>
      <c r="F486" s="8"/>
      <c r="G486" s="13">
        <f>IFERROR(E486*F486,0)</f>
        <v>0</v>
      </c>
      <c r="H486" s="8"/>
    </row>
    <row r="487" spans="1:8" ht="14.25" customHeight="1">
      <c r="A487" s="86" t="s">
        <v>18</v>
      </c>
      <c r="B487" s="81"/>
      <c r="C487" s="81"/>
      <c r="D487" s="81"/>
      <c r="E487" s="81"/>
      <c r="F487" s="81"/>
      <c r="G487" s="82"/>
      <c r="H487" s="14">
        <f>SUM(G483:G486)</f>
        <v>1190400</v>
      </c>
    </row>
    <row r="488" spans="1:8" ht="14.25" customHeight="1">
      <c r="A488" s="86" t="s">
        <v>19</v>
      </c>
      <c r="B488" s="81"/>
      <c r="C488" s="81"/>
      <c r="D488" s="81"/>
      <c r="E488" s="81"/>
      <c r="F488" s="81"/>
      <c r="G488" s="82"/>
      <c r="H488" s="14">
        <f>MAX(0,H487-648000)</f>
        <v>542400</v>
      </c>
    </row>
    <row r="489" spans="1:8" ht="14.25" customHeight="1">
      <c r="A489" s="87" t="s">
        <v>20</v>
      </c>
      <c r="B489" s="81"/>
      <c r="C489" s="81"/>
      <c r="D489" s="81"/>
      <c r="E489" s="81"/>
      <c r="F489" s="81"/>
      <c r="G489" s="82"/>
      <c r="H489" s="15">
        <v>649000</v>
      </c>
    </row>
    <row r="490" spans="1:8" ht="14.25" customHeight="1"/>
    <row r="491" spans="1:8" ht="14.25" customHeight="1"/>
    <row r="492" spans="1:8" ht="14.25" customHeight="1"/>
    <row r="493" spans="1:8" ht="14.25" customHeight="1"/>
    <row r="494" spans="1:8" ht="14.25" customHeight="1">
      <c r="A494" s="85" t="s">
        <v>0</v>
      </c>
      <c r="B494" s="81"/>
      <c r="C494" s="81"/>
      <c r="D494" s="81"/>
      <c r="E494" s="81"/>
      <c r="F494" s="81"/>
      <c r="G494" s="81"/>
      <c r="H494" s="82"/>
    </row>
    <row r="495" spans="1:8" ht="14.25" customHeight="1">
      <c r="A495" s="85" t="s">
        <v>206</v>
      </c>
      <c r="B495" s="81"/>
      <c r="C495" s="81"/>
      <c r="D495" s="81"/>
      <c r="E495" s="81"/>
      <c r="F495" s="81"/>
      <c r="G495" s="81"/>
      <c r="H495" s="82"/>
    </row>
    <row r="496" spans="1:8" ht="14.25" customHeight="1">
      <c r="A496" s="1" t="s">
        <v>2</v>
      </c>
      <c r="B496" s="1" t="s">
        <v>3</v>
      </c>
      <c r="C496" s="1" t="s">
        <v>4</v>
      </c>
      <c r="D496" s="1" t="s">
        <v>5</v>
      </c>
      <c r="E496" s="1" t="s">
        <v>6</v>
      </c>
      <c r="F496" s="2" t="s">
        <v>7</v>
      </c>
      <c r="G496" s="1" t="s">
        <v>8</v>
      </c>
      <c r="H496" s="1"/>
    </row>
    <row r="497" spans="1:8" ht="14.25" customHeight="1">
      <c r="A497" s="3">
        <v>1</v>
      </c>
      <c r="B497" s="9" t="s">
        <v>203</v>
      </c>
      <c r="C497" s="10" t="s">
        <v>207</v>
      </c>
      <c r="D497" s="9" t="s">
        <v>11</v>
      </c>
      <c r="E497" s="9">
        <v>1.47</v>
      </c>
      <c r="F497" s="6">
        <v>293000</v>
      </c>
      <c r="G497" s="7">
        <f t="shared" ref="G497:G498" si="33">IFERROR(E497*F497,0)</f>
        <v>430710</v>
      </c>
      <c r="H497" s="8"/>
    </row>
    <row r="498" spans="1:8" ht="14.25" customHeight="1">
      <c r="A498" s="3">
        <v>2</v>
      </c>
      <c r="B498" s="4" t="s">
        <v>208</v>
      </c>
      <c r="C498" s="5" t="s">
        <v>209</v>
      </c>
      <c r="D498" s="4" t="s">
        <v>14</v>
      </c>
      <c r="E498" s="4">
        <v>1</v>
      </c>
      <c r="F498" s="11">
        <v>435000</v>
      </c>
      <c r="G498" s="7">
        <f t="shared" si="33"/>
        <v>435000</v>
      </c>
      <c r="H498" s="8"/>
    </row>
    <row r="499" spans="1:8" ht="14.25" customHeight="1">
      <c r="A499" s="3">
        <v>3</v>
      </c>
      <c r="B499" s="9" t="s">
        <v>47</v>
      </c>
      <c r="C499" s="12" t="s">
        <v>210</v>
      </c>
      <c r="D499" s="9" t="s">
        <v>11</v>
      </c>
      <c r="E499" s="9">
        <v>1.1000000000000001</v>
      </c>
      <c r="F499" s="6">
        <v>293000</v>
      </c>
      <c r="G499" s="7">
        <f>IFERROR(E499*F499,0)</f>
        <v>322300</v>
      </c>
      <c r="H499" s="8"/>
    </row>
    <row r="500" spans="1:8" ht="14.25" customHeight="1">
      <c r="A500" s="3">
        <v>4</v>
      </c>
      <c r="B500" s="8" t="s">
        <v>17</v>
      </c>
      <c r="C500" s="8"/>
      <c r="D500" s="8"/>
      <c r="E500" s="8"/>
      <c r="F500" s="8"/>
      <c r="G500" s="13">
        <f>IFERROR(E500*F500,0)</f>
        <v>0</v>
      </c>
      <c r="H500" s="8"/>
    </row>
    <row r="501" spans="1:8" ht="14.25" customHeight="1">
      <c r="A501" s="86" t="s">
        <v>18</v>
      </c>
      <c r="B501" s="81"/>
      <c r="C501" s="81"/>
      <c r="D501" s="81"/>
      <c r="E501" s="81"/>
      <c r="F501" s="81"/>
      <c r="G501" s="82"/>
      <c r="H501" s="14">
        <f>SUM(G497:G500)</f>
        <v>1188010</v>
      </c>
    </row>
    <row r="502" spans="1:8" ht="14.25" customHeight="1">
      <c r="A502" s="86" t="s">
        <v>19</v>
      </c>
      <c r="B502" s="81"/>
      <c r="C502" s="81"/>
      <c r="D502" s="81"/>
      <c r="E502" s="81"/>
      <c r="F502" s="81"/>
      <c r="G502" s="82"/>
      <c r="H502" s="14">
        <f>MAX(0,H501-648000)</f>
        <v>540010</v>
      </c>
    </row>
    <row r="503" spans="1:8" ht="14.25" customHeight="1">
      <c r="A503" s="87" t="s">
        <v>20</v>
      </c>
      <c r="B503" s="81"/>
      <c r="C503" s="81"/>
      <c r="D503" s="81"/>
      <c r="E503" s="81"/>
      <c r="F503" s="81"/>
      <c r="G503" s="82"/>
      <c r="H503" s="15">
        <v>649000</v>
      </c>
    </row>
    <row r="504" spans="1:8" ht="14.25" customHeight="1"/>
    <row r="505" spans="1:8" ht="14.25" customHeight="1"/>
    <row r="506" spans="1:8" ht="14.25" customHeight="1"/>
    <row r="507" spans="1:8" ht="14.25" customHeight="1"/>
    <row r="508" spans="1:8" ht="14.25" customHeight="1"/>
    <row r="509" spans="1:8" ht="14.25" customHeight="1">
      <c r="A509" s="85" t="s">
        <v>0</v>
      </c>
      <c r="B509" s="81"/>
      <c r="C509" s="81"/>
      <c r="D509" s="81"/>
      <c r="E509" s="81"/>
      <c r="F509" s="81"/>
      <c r="G509" s="81"/>
      <c r="H509" s="82"/>
    </row>
    <row r="510" spans="1:8" ht="14.25" customHeight="1">
      <c r="A510" s="85" t="s">
        <v>211</v>
      </c>
      <c r="B510" s="81"/>
      <c r="C510" s="81"/>
      <c r="D510" s="81"/>
      <c r="E510" s="81"/>
      <c r="F510" s="81"/>
      <c r="G510" s="81"/>
      <c r="H510" s="82"/>
    </row>
    <row r="511" spans="1:8" ht="14.25" customHeight="1">
      <c r="A511" s="1" t="s">
        <v>2</v>
      </c>
      <c r="B511" s="1" t="s">
        <v>3</v>
      </c>
      <c r="C511" s="1" t="s">
        <v>4</v>
      </c>
      <c r="D511" s="1" t="s">
        <v>5</v>
      </c>
      <c r="E511" s="1" t="s">
        <v>6</v>
      </c>
      <c r="F511" s="2" t="s">
        <v>7</v>
      </c>
      <c r="G511" s="1" t="s">
        <v>8</v>
      </c>
      <c r="H511" s="1"/>
    </row>
    <row r="512" spans="1:8" ht="14.25" customHeight="1">
      <c r="A512" s="3">
        <v>1</v>
      </c>
      <c r="B512" s="4" t="s">
        <v>29</v>
      </c>
      <c r="C512" s="5" t="s">
        <v>212</v>
      </c>
      <c r="D512" s="4" t="s">
        <v>11</v>
      </c>
      <c r="E512" s="4">
        <v>0.94</v>
      </c>
      <c r="F512" s="6">
        <v>293000</v>
      </c>
      <c r="G512" s="7">
        <f t="shared" ref="G512:G513" si="34">IFERROR(E512*F512,0)</f>
        <v>275420</v>
      </c>
      <c r="H512" s="8"/>
    </row>
    <row r="513" spans="1:8" ht="14.25" customHeight="1">
      <c r="A513" s="3">
        <v>2</v>
      </c>
      <c r="B513" s="4" t="s">
        <v>205</v>
      </c>
      <c r="C513" s="19">
        <v>2744</v>
      </c>
      <c r="D513" s="4" t="s">
        <v>14</v>
      </c>
      <c r="E513" s="4">
        <v>0.9</v>
      </c>
      <c r="F513" s="11">
        <v>435000</v>
      </c>
      <c r="G513" s="7">
        <f t="shared" si="34"/>
        <v>391500</v>
      </c>
      <c r="H513" s="8"/>
    </row>
    <row r="514" spans="1:8" ht="14.25" customHeight="1">
      <c r="A514" s="3">
        <v>3</v>
      </c>
      <c r="B514" s="4" t="s">
        <v>213</v>
      </c>
      <c r="C514" s="19">
        <v>4103</v>
      </c>
      <c r="D514" s="4" t="s">
        <v>11</v>
      </c>
      <c r="E514" s="4">
        <v>1.5</v>
      </c>
      <c r="F514" s="6">
        <v>293000</v>
      </c>
      <c r="G514" s="7">
        <f>IFERROR(E514*F514,0)</f>
        <v>439500</v>
      </c>
      <c r="H514" s="8"/>
    </row>
    <row r="515" spans="1:8" ht="14.25" customHeight="1">
      <c r="A515" s="3">
        <v>4</v>
      </c>
      <c r="B515" s="8" t="s">
        <v>17</v>
      </c>
      <c r="C515" s="8"/>
      <c r="D515" s="8"/>
      <c r="E515" s="8"/>
      <c r="F515" s="8"/>
      <c r="G515" s="13">
        <f>IFERROR(E515*F515,0)</f>
        <v>0</v>
      </c>
      <c r="H515" s="8"/>
    </row>
    <row r="516" spans="1:8" ht="14.25" customHeight="1">
      <c r="A516" s="86" t="s">
        <v>18</v>
      </c>
      <c r="B516" s="81"/>
      <c r="C516" s="81"/>
      <c r="D516" s="81"/>
      <c r="E516" s="81"/>
      <c r="F516" s="81"/>
      <c r="G516" s="82"/>
      <c r="H516" s="14">
        <f>SUM(G512:G515)</f>
        <v>1106420</v>
      </c>
    </row>
    <row r="517" spans="1:8" ht="14.25" customHeight="1">
      <c r="A517" s="86" t="s">
        <v>19</v>
      </c>
      <c r="B517" s="81"/>
      <c r="C517" s="81"/>
      <c r="D517" s="81"/>
      <c r="E517" s="81"/>
      <c r="F517" s="81"/>
      <c r="G517" s="82"/>
      <c r="H517" s="14">
        <f>MAX(0,H516-648000)</f>
        <v>458420</v>
      </c>
    </row>
    <row r="518" spans="1:8" ht="14.25" customHeight="1">
      <c r="A518" s="87" t="s">
        <v>20</v>
      </c>
      <c r="B518" s="81"/>
      <c r="C518" s="81"/>
      <c r="D518" s="81"/>
      <c r="E518" s="81"/>
      <c r="F518" s="81"/>
      <c r="G518" s="82"/>
      <c r="H518" s="15">
        <v>649000</v>
      </c>
    </row>
    <row r="519" spans="1:8" ht="14.25" customHeight="1"/>
    <row r="520" spans="1:8" ht="14.25" customHeight="1"/>
    <row r="521" spans="1:8" ht="14.25" customHeight="1"/>
    <row r="522" spans="1:8" ht="14.25" customHeight="1"/>
    <row r="523" spans="1:8" ht="14.25" customHeight="1"/>
    <row r="524" spans="1:8" ht="14.25" customHeight="1"/>
    <row r="525" spans="1:8" ht="14.25" customHeight="1"/>
    <row r="526" spans="1:8" ht="14.25" customHeight="1"/>
    <row r="527" spans="1:8" ht="14.25" customHeight="1"/>
    <row r="528" spans="1:8" ht="14.25" customHeight="1">
      <c r="A528" s="85" t="s">
        <v>0</v>
      </c>
      <c r="B528" s="81"/>
      <c r="C528" s="81"/>
      <c r="D528" s="81"/>
      <c r="E528" s="81"/>
      <c r="F528" s="81"/>
      <c r="G528" s="81"/>
      <c r="H528" s="82"/>
    </row>
    <row r="529" spans="1:8" ht="14.25" customHeight="1">
      <c r="A529" s="85" t="s">
        <v>214</v>
      </c>
      <c r="B529" s="81"/>
      <c r="C529" s="81"/>
      <c r="D529" s="81"/>
      <c r="E529" s="81"/>
      <c r="F529" s="81"/>
      <c r="G529" s="81"/>
      <c r="H529" s="82"/>
    </row>
    <row r="530" spans="1:8" ht="14.25" customHeight="1">
      <c r="A530" s="1" t="s">
        <v>2</v>
      </c>
      <c r="B530" s="1" t="s">
        <v>3</v>
      </c>
      <c r="C530" s="1" t="s">
        <v>4</v>
      </c>
      <c r="D530" s="1" t="s">
        <v>5</v>
      </c>
      <c r="E530" s="1" t="s">
        <v>6</v>
      </c>
      <c r="F530" s="2" t="s">
        <v>7</v>
      </c>
      <c r="G530" s="1" t="s">
        <v>8</v>
      </c>
      <c r="H530" s="1"/>
    </row>
    <row r="531" spans="1:8" ht="14.25" customHeight="1">
      <c r="A531" s="3">
        <v>1</v>
      </c>
      <c r="B531" s="9" t="s">
        <v>215</v>
      </c>
      <c r="C531" s="10" t="s">
        <v>216</v>
      </c>
      <c r="D531" s="9" t="s">
        <v>11</v>
      </c>
      <c r="E531" s="9">
        <v>2</v>
      </c>
      <c r="F531" s="6">
        <v>293000</v>
      </c>
      <c r="G531" s="7">
        <f t="shared" ref="G531:G532" si="35">IFERROR(E531*F531,0)</f>
        <v>586000</v>
      </c>
      <c r="H531" s="8"/>
    </row>
    <row r="532" spans="1:8" ht="14.25" customHeight="1">
      <c r="A532" s="3">
        <v>2</v>
      </c>
      <c r="B532" s="9" t="s">
        <v>65</v>
      </c>
      <c r="C532" s="10" t="s">
        <v>217</v>
      </c>
      <c r="D532" s="9" t="s">
        <v>14</v>
      </c>
      <c r="E532" s="9">
        <v>0.66</v>
      </c>
      <c r="F532" s="11">
        <v>435000</v>
      </c>
      <c r="G532" s="7">
        <f t="shared" si="35"/>
        <v>287100</v>
      </c>
      <c r="H532" s="8"/>
    </row>
    <row r="533" spans="1:8" ht="14.25" customHeight="1">
      <c r="A533" s="3">
        <v>3</v>
      </c>
      <c r="B533" s="4" t="s">
        <v>218</v>
      </c>
      <c r="C533" s="18" t="s">
        <v>219</v>
      </c>
      <c r="D533" s="4" t="s">
        <v>14</v>
      </c>
      <c r="E533" s="4">
        <v>0.87</v>
      </c>
      <c r="F533" s="11">
        <v>435000</v>
      </c>
      <c r="G533" s="7">
        <f>IFERROR(E533*F533,0)</f>
        <v>378450</v>
      </c>
      <c r="H533" s="8"/>
    </row>
    <row r="534" spans="1:8" ht="14.25" customHeight="1">
      <c r="A534" s="3">
        <v>4</v>
      </c>
      <c r="B534" s="8" t="s">
        <v>17</v>
      </c>
      <c r="C534" s="8"/>
      <c r="D534" s="8"/>
      <c r="E534" s="8"/>
      <c r="F534" s="8"/>
      <c r="G534" s="13">
        <f>IFERROR(E534*F534,0)</f>
        <v>0</v>
      </c>
      <c r="H534" s="8"/>
    </row>
    <row r="535" spans="1:8" ht="14.25" customHeight="1">
      <c r="A535" s="86" t="s">
        <v>18</v>
      </c>
      <c r="B535" s="81"/>
      <c r="C535" s="81"/>
      <c r="D535" s="81"/>
      <c r="E535" s="81"/>
      <c r="F535" s="81"/>
      <c r="G535" s="82"/>
      <c r="H535" s="14">
        <f>SUM(G531:G534)</f>
        <v>1251550</v>
      </c>
    </row>
    <row r="536" spans="1:8" ht="14.25" customHeight="1">
      <c r="A536" s="86" t="s">
        <v>19</v>
      </c>
      <c r="B536" s="81"/>
      <c r="C536" s="81"/>
      <c r="D536" s="81"/>
      <c r="E536" s="81"/>
      <c r="F536" s="81"/>
      <c r="G536" s="82"/>
      <c r="H536" s="14">
        <f>MAX(0,H535-648000)</f>
        <v>603550</v>
      </c>
    </row>
    <row r="537" spans="1:8" ht="14.25" customHeight="1">
      <c r="A537" s="87" t="s">
        <v>20</v>
      </c>
      <c r="B537" s="81"/>
      <c r="C537" s="81"/>
      <c r="D537" s="81"/>
      <c r="E537" s="81"/>
      <c r="F537" s="81"/>
      <c r="G537" s="82"/>
      <c r="H537" s="15">
        <v>649000</v>
      </c>
    </row>
    <row r="538" spans="1:8" ht="14.25" customHeight="1"/>
    <row r="539" spans="1:8" ht="14.25" customHeight="1"/>
    <row r="540" spans="1:8" ht="14.25" customHeight="1"/>
    <row r="541" spans="1:8" ht="14.25" customHeight="1"/>
    <row r="542" spans="1:8" ht="14.25" customHeight="1"/>
    <row r="543" spans="1:8" ht="14.25" customHeight="1"/>
    <row r="544" spans="1:8" ht="14.25" customHeight="1"/>
    <row r="545" spans="1:8" ht="14.25" customHeight="1">
      <c r="A545" s="85" t="s">
        <v>0</v>
      </c>
      <c r="B545" s="81"/>
      <c r="C545" s="81"/>
      <c r="D545" s="81"/>
      <c r="E545" s="81"/>
      <c r="F545" s="81"/>
      <c r="G545" s="81"/>
      <c r="H545" s="82"/>
    </row>
    <row r="546" spans="1:8" ht="14.25" customHeight="1">
      <c r="A546" s="85" t="s">
        <v>220</v>
      </c>
      <c r="B546" s="81"/>
      <c r="C546" s="81"/>
      <c r="D546" s="81"/>
      <c r="E546" s="81"/>
      <c r="F546" s="81"/>
      <c r="G546" s="81"/>
      <c r="H546" s="82"/>
    </row>
    <row r="547" spans="1:8" ht="14.25" customHeight="1">
      <c r="A547" s="1" t="s">
        <v>2</v>
      </c>
      <c r="B547" s="1" t="s">
        <v>3</v>
      </c>
      <c r="C547" s="1" t="s">
        <v>4</v>
      </c>
      <c r="D547" s="1" t="s">
        <v>5</v>
      </c>
      <c r="E547" s="1" t="s">
        <v>6</v>
      </c>
      <c r="F547" s="2" t="s">
        <v>7</v>
      </c>
      <c r="G547" s="1" t="s">
        <v>8</v>
      </c>
      <c r="H547" s="1"/>
    </row>
    <row r="548" spans="1:8" ht="14.25" customHeight="1">
      <c r="A548" s="3">
        <v>1</v>
      </c>
      <c r="B548" s="9" t="s">
        <v>166</v>
      </c>
      <c r="C548" s="10" t="s">
        <v>221</v>
      </c>
      <c r="D548" s="9" t="s">
        <v>11</v>
      </c>
      <c r="E548" s="9">
        <v>2.13</v>
      </c>
      <c r="F548" s="6">
        <v>293000</v>
      </c>
      <c r="G548" s="7">
        <f t="shared" ref="G548:G549" si="36">IFERROR(E548*F548,0)</f>
        <v>624090</v>
      </c>
      <c r="H548" s="8"/>
    </row>
    <row r="549" spans="1:8" ht="14.25" customHeight="1">
      <c r="A549" s="3">
        <v>2</v>
      </c>
      <c r="B549" s="4" t="s">
        <v>33</v>
      </c>
      <c r="C549" s="5" t="s">
        <v>222</v>
      </c>
      <c r="D549" s="4" t="s">
        <v>14</v>
      </c>
      <c r="E549" s="4">
        <v>0.69</v>
      </c>
      <c r="F549" s="11">
        <v>435000</v>
      </c>
      <c r="G549" s="7">
        <f t="shared" si="36"/>
        <v>300150</v>
      </c>
      <c r="H549" s="8"/>
    </row>
    <row r="550" spans="1:8" ht="14.25" customHeight="1">
      <c r="A550" s="3">
        <v>3</v>
      </c>
      <c r="B550" s="4" t="s">
        <v>208</v>
      </c>
      <c r="C550" s="18" t="s">
        <v>223</v>
      </c>
      <c r="D550" s="4" t="s">
        <v>14</v>
      </c>
      <c r="E550" s="4">
        <v>0.6</v>
      </c>
      <c r="F550" s="11">
        <v>435000</v>
      </c>
      <c r="G550" s="7">
        <f>IFERROR(E550*F550,0)</f>
        <v>261000</v>
      </c>
      <c r="H550" s="8"/>
    </row>
    <row r="551" spans="1:8" ht="14.25" customHeight="1">
      <c r="A551" s="3">
        <v>4</v>
      </c>
      <c r="B551" s="8" t="s">
        <v>17</v>
      </c>
      <c r="C551" s="8"/>
      <c r="D551" s="8"/>
      <c r="E551" s="8"/>
      <c r="F551" s="8"/>
      <c r="G551" s="13">
        <f>IFERROR(E551*F551,0)</f>
        <v>0</v>
      </c>
      <c r="H551" s="8"/>
    </row>
    <row r="552" spans="1:8" ht="14.25" customHeight="1">
      <c r="A552" s="86" t="s">
        <v>18</v>
      </c>
      <c r="B552" s="81"/>
      <c r="C552" s="81"/>
      <c r="D552" s="81"/>
      <c r="E552" s="81"/>
      <c r="F552" s="81"/>
      <c r="G552" s="82"/>
      <c r="H552" s="14">
        <f>SUM(G548:G551)</f>
        <v>1185240</v>
      </c>
    </row>
    <row r="553" spans="1:8" ht="14.25" customHeight="1">
      <c r="A553" s="86" t="s">
        <v>19</v>
      </c>
      <c r="B553" s="81"/>
      <c r="C553" s="81"/>
      <c r="D553" s="81"/>
      <c r="E553" s="81"/>
      <c r="F553" s="81"/>
      <c r="G553" s="82"/>
      <c r="H553" s="14">
        <f>MAX(0,H552-648000)</f>
        <v>537240</v>
      </c>
    </row>
    <row r="554" spans="1:8" ht="14.25" customHeight="1">
      <c r="A554" s="87" t="s">
        <v>20</v>
      </c>
      <c r="B554" s="81"/>
      <c r="C554" s="81"/>
      <c r="D554" s="81"/>
      <c r="E554" s="81"/>
      <c r="F554" s="81"/>
      <c r="G554" s="82"/>
      <c r="H554" s="15">
        <v>649000</v>
      </c>
    </row>
    <row r="555" spans="1:8" ht="14.25" customHeight="1"/>
    <row r="556" spans="1:8" ht="14.25" customHeight="1"/>
    <row r="557" spans="1:8" ht="14.25" customHeight="1"/>
    <row r="558" spans="1:8" ht="14.25" customHeight="1"/>
    <row r="559" spans="1:8" ht="14.25" customHeight="1"/>
    <row r="560" spans="1:8" ht="14.25" customHeight="1"/>
    <row r="561" spans="1:8" ht="14.25" customHeight="1"/>
    <row r="562" spans="1:8" ht="14.25" customHeight="1">
      <c r="A562" s="85" t="s">
        <v>0</v>
      </c>
      <c r="B562" s="81"/>
      <c r="C562" s="81"/>
      <c r="D562" s="81"/>
      <c r="E562" s="81"/>
      <c r="F562" s="81"/>
      <c r="G562" s="81"/>
      <c r="H562" s="82"/>
    </row>
    <row r="563" spans="1:8" ht="14.25" customHeight="1">
      <c r="A563" s="85" t="s">
        <v>224</v>
      </c>
      <c r="B563" s="81"/>
      <c r="C563" s="81"/>
      <c r="D563" s="81"/>
      <c r="E563" s="81"/>
      <c r="F563" s="81"/>
      <c r="G563" s="81"/>
      <c r="H563" s="82"/>
    </row>
    <row r="564" spans="1:8" ht="14.25" customHeight="1">
      <c r="A564" s="1" t="s">
        <v>2</v>
      </c>
      <c r="B564" s="1" t="s">
        <v>3</v>
      </c>
      <c r="C564" s="1" t="s">
        <v>4</v>
      </c>
      <c r="D564" s="1" t="s">
        <v>5</v>
      </c>
      <c r="E564" s="1" t="s">
        <v>6</v>
      </c>
      <c r="F564" s="2" t="s">
        <v>7</v>
      </c>
      <c r="G564" s="1" t="s">
        <v>8</v>
      </c>
      <c r="H564" s="1"/>
    </row>
    <row r="565" spans="1:8" ht="14.25" customHeight="1">
      <c r="A565" s="3">
        <v>1</v>
      </c>
      <c r="B565" s="9" t="s">
        <v>163</v>
      </c>
      <c r="C565" s="20">
        <v>3751</v>
      </c>
      <c r="D565" s="9" t="s">
        <v>11</v>
      </c>
      <c r="E565" s="9">
        <v>2</v>
      </c>
      <c r="F565" s="6">
        <v>293000</v>
      </c>
      <c r="G565" s="7">
        <f t="shared" ref="G565:G566" si="37">IFERROR(E565*F565,0)</f>
        <v>586000</v>
      </c>
      <c r="H565" s="8"/>
    </row>
    <row r="566" spans="1:8" ht="14.25" customHeight="1">
      <c r="A566" s="3">
        <v>2</v>
      </c>
      <c r="B566" s="9" t="s">
        <v>225</v>
      </c>
      <c r="C566" s="20">
        <v>6788</v>
      </c>
      <c r="D566" s="9" t="s">
        <v>14</v>
      </c>
      <c r="E566" s="9">
        <v>0.64</v>
      </c>
      <c r="F566" s="11">
        <v>435000</v>
      </c>
      <c r="G566" s="7">
        <f t="shared" si="37"/>
        <v>278400</v>
      </c>
      <c r="H566" s="8"/>
    </row>
    <row r="567" spans="1:8" ht="14.25" customHeight="1">
      <c r="A567" s="3">
        <v>3</v>
      </c>
      <c r="B567" s="9" t="s">
        <v>226</v>
      </c>
      <c r="C567" s="20">
        <v>6221</v>
      </c>
      <c r="D567" s="9" t="s">
        <v>14</v>
      </c>
      <c r="E567" s="9">
        <v>0.78</v>
      </c>
      <c r="F567" s="11">
        <v>435000</v>
      </c>
      <c r="G567" s="7">
        <f>IFERROR(E567*F567,0)</f>
        <v>339300</v>
      </c>
      <c r="H567" s="8"/>
    </row>
    <row r="568" spans="1:8" ht="14.25" customHeight="1">
      <c r="A568" s="3">
        <v>4</v>
      </c>
      <c r="B568" s="8" t="s">
        <v>17</v>
      </c>
      <c r="C568" s="8"/>
      <c r="D568" s="8"/>
      <c r="E568" s="8"/>
      <c r="F568" s="8"/>
      <c r="G568" s="13">
        <f>IFERROR(E568*F568,0)</f>
        <v>0</v>
      </c>
      <c r="H568" s="8"/>
    </row>
    <row r="569" spans="1:8" ht="14.25" customHeight="1">
      <c r="A569" s="86" t="s">
        <v>18</v>
      </c>
      <c r="B569" s="81"/>
      <c r="C569" s="81"/>
      <c r="D569" s="81"/>
      <c r="E569" s="81"/>
      <c r="F569" s="81"/>
      <c r="G569" s="82"/>
      <c r="H569" s="14">
        <f>SUM(G565:G568)</f>
        <v>1203700</v>
      </c>
    </row>
    <row r="570" spans="1:8" ht="14.25" customHeight="1">
      <c r="A570" s="86" t="s">
        <v>19</v>
      </c>
      <c r="B570" s="81"/>
      <c r="C570" s="81"/>
      <c r="D570" s="81"/>
      <c r="E570" s="81"/>
      <c r="F570" s="81"/>
      <c r="G570" s="82"/>
      <c r="H570" s="14">
        <f>MAX(0,H569-648000)</f>
        <v>555700</v>
      </c>
    </row>
    <row r="571" spans="1:8" ht="14.25" customHeight="1">
      <c r="A571" s="87" t="s">
        <v>20</v>
      </c>
      <c r="B571" s="81"/>
      <c r="C571" s="81"/>
      <c r="D571" s="81"/>
      <c r="E571" s="81"/>
      <c r="F571" s="81"/>
      <c r="G571" s="82"/>
      <c r="H571" s="15">
        <v>649000</v>
      </c>
    </row>
    <row r="572" spans="1:8" ht="14.25" customHeight="1"/>
    <row r="573" spans="1:8" ht="14.25" customHeight="1"/>
    <row r="574" spans="1:8" ht="14.25" customHeight="1"/>
    <row r="575" spans="1:8" ht="14.25" customHeight="1"/>
    <row r="576" spans="1:8" ht="14.25" customHeight="1"/>
    <row r="577" spans="1:8" ht="14.25" customHeight="1"/>
    <row r="578" spans="1:8" ht="14.25" customHeight="1"/>
    <row r="579" spans="1:8" ht="14.25" customHeight="1"/>
    <row r="580" spans="1:8" ht="14.25" customHeight="1">
      <c r="A580" s="85" t="s">
        <v>0</v>
      </c>
      <c r="B580" s="81"/>
      <c r="C580" s="81"/>
      <c r="D580" s="81"/>
      <c r="E580" s="81"/>
      <c r="F580" s="81"/>
      <c r="G580" s="81"/>
      <c r="H580" s="82"/>
    </row>
    <row r="581" spans="1:8" ht="14.25" customHeight="1">
      <c r="A581" s="85" t="s">
        <v>227</v>
      </c>
      <c r="B581" s="81"/>
      <c r="C581" s="81"/>
      <c r="D581" s="81"/>
      <c r="E581" s="81"/>
      <c r="F581" s="81"/>
      <c r="G581" s="81"/>
      <c r="H581" s="82"/>
    </row>
    <row r="582" spans="1:8" ht="14.25" customHeight="1">
      <c r="A582" s="1" t="s">
        <v>2</v>
      </c>
      <c r="B582" s="1" t="s">
        <v>3</v>
      </c>
      <c r="C582" s="1" t="s">
        <v>4</v>
      </c>
      <c r="D582" s="1" t="s">
        <v>5</v>
      </c>
      <c r="E582" s="1" t="s">
        <v>6</v>
      </c>
      <c r="F582" s="2" t="s">
        <v>7</v>
      </c>
      <c r="G582" s="1" t="s">
        <v>8</v>
      </c>
      <c r="H582" s="1"/>
    </row>
    <row r="583" spans="1:8" ht="14.25" customHeight="1">
      <c r="A583" s="3">
        <v>1</v>
      </c>
      <c r="B583" s="9" t="s">
        <v>228</v>
      </c>
      <c r="C583" s="10" t="s">
        <v>229</v>
      </c>
      <c r="D583" s="9" t="s">
        <v>11</v>
      </c>
      <c r="E583" s="9">
        <v>2</v>
      </c>
      <c r="F583" s="6">
        <v>293000</v>
      </c>
      <c r="G583" s="7">
        <f t="shared" ref="G583:G584" si="38">IFERROR(E583*F583,0)</f>
        <v>586000</v>
      </c>
      <c r="H583" s="8"/>
    </row>
    <row r="584" spans="1:8" ht="14.25" customHeight="1">
      <c r="A584" s="3">
        <v>2</v>
      </c>
      <c r="B584" s="4" t="s">
        <v>205</v>
      </c>
      <c r="C584" s="19">
        <v>4291</v>
      </c>
      <c r="D584" s="4" t="s">
        <v>14</v>
      </c>
      <c r="E584" s="4">
        <v>0.66</v>
      </c>
      <c r="F584" s="11">
        <v>435000</v>
      </c>
      <c r="G584" s="7">
        <f t="shared" si="38"/>
        <v>287100</v>
      </c>
      <c r="H584" s="8"/>
    </row>
    <row r="585" spans="1:8" ht="14.25" customHeight="1">
      <c r="A585" s="3">
        <v>3</v>
      </c>
      <c r="B585" s="9" t="s">
        <v>33</v>
      </c>
      <c r="C585" s="12" t="s">
        <v>230</v>
      </c>
      <c r="D585" s="9" t="s">
        <v>14</v>
      </c>
      <c r="E585" s="9">
        <v>0.83</v>
      </c>
      <c r="F585" s="11">
        <v>435000</v>
      </c>
      <c r="G585" s="7">
        <f>IFERROR(E585*F585,0)</f>
        <v>361050</v>
      </c>
      <c r="H585" s="8"/>
    </row>
    <row r="586" spans="1:8" ht="14.25" customHeight="1">
      <c r="A586" s="3">
        <v>4</v>
      </c>
      <c r="B586" s="8" t="s">
        <v>17</v>
      </c>
      <c r="C586" s="8"/>
      <c r="D586" s="8"/>
      <c r="E586" s="8"/>
      <c r="F586" s="8"/>
      <c r="G586" s="13">
        <f>IFERROR(E586*F586,0)</f>
        <v>0</v>
      </c>
      <c r="H586" s="8"/>
    </row>
    <row r="587" spans="1:8" ht="14.25" customHeight="1">
      <c r="A587" s="86" t="s">
        <v>18</v>
      </c>
      <c r="B587" s="81"/>
      <c r="C587" s="81"/>
      <c r="D587" s="81"/>
      <c r="E587" s="81"/>
      <c r="F587" s="81"/>
      <c r="G587" s="82"/>
      <c r="H587" s="14">
        <f>SUM(G583:G586)</f>
        <v>1234150</v>
      </c>
    </row>
    <row r="588" spans="1:8" ht="14.25" customHeight="1">
      <c r="A588" s="86" t="s">
        <v>19</v>
      </c>
      <c r="B588" s="81"/>
      <c r="C588" s="81"/>
      <c r="D588" s="81"/>
      <c r="E588" s="81"/>
      <c r="F588" s="81"/>
      <c r="G588" s="82"/>
      <c r="H588" s="14">
        <f>MAX(0,H587-648000)</f>
        <v>586150</v>
      </c>
    </row>
    <row r="589" spans="1:8" ht="14.25" customHeight="1">
      <c r="A589" s="87" t="s">
        <v>20</v>
      </c>
      <c r="B589" s="81"/>
      <c r="C589" s="81"/>
      <c r="D589" s="81"/>
      <c r="E589" s="81"/>
      <c r="F589" s="81"/>
      <c r="G589" s="82"/>
      <c r="H589" s="15">
        <v>649000</v>
      </c>
    </row>
    <row r="590" spans="1:8" ht="14.25" customHeight="1"/>
    <row r="591" spans="1:8" ht="14.25" customHeight="1"/>
    <row r="592" spans="1:8" ht="14.25" customHeight="1">
      <c r="A592" s="85" t="s">
        <v>0</v>
      </c>
      <c r="B592" s="81"/>
      <c r="C592" s="81"/>
      <c r="D592" s="81"/>
      <c r="E592" s="81"/>
      <c r="F592" s="81"/>
      <c r="G592" s="81"/>
      <c r="H592" s="82"/>
    </row>
    <row r="593" spans="1:8" ht="14.25" customHeight="1">
      <c r="A593" s="85" t="s">
        <v>231</v>
      </c>
      <c r="B593" s="81"/>
      <c r="C593" s="81"/>
      <c r="D593" s="81"/>
      <c r="E593" s="81"/>
      <c r="F593" s="81"/>
      <c r="G593" s="81"/>
      <c r="H593" s="82"/>
    </row>
    <row r="594" spans="1:8" ht="14.25" customHeight="1">
      <c r="A594" s="1" t="s">
        <v>2</v>
      </c>
      <c r="B594" s="1" t="s">
        <v>3</v>
      </c>
      <c r="C594" s="1" t="s">
        <v>4</v>
      </c>
      <c r="D594" s="1" t="s">
        <v>5</v>
      </c>
      <c r="E594" s="1" t="s">
        <v>6</v>
      </c>
      <c r="F594" s="2" t="s">
        <v>7</v>
      </c>
      <c r="G594" s="1" t="s">
        <v>8</v>
      </c>
      <c r="H594" s="1"/>
    </row>
    <row r="595" spans="1:8" ht="14.25" customHeight="1">
      <c r="A595" s="3">
        <v>1</v>
      </c>
      <c r="B595" s="4" t="s">
        <v>54</v>
      </c>
      <c r="C595" s="5" t="s">
        <v>232</v>
      </c>
      <c r="D595" s="4" t="s">
        <v>11</v>
      </c>
      <c r="E595" s="4">
        <v>2</v>
      </c>
      <c r="F595" s="6">
        <v>293000</v>
      </c>
      <c r="G595" s="7">
        <f t="shared" ref="G595:G596" si="39">IFERROR(E595*F595,0)</f>
        <v>586000</v>
      </c>
      <c r="H595" s="8"/>
    </row>
    <row r="596" spans="1:8" ht="14.25" customHeight="1">
      <c r="A596" s="3">
        <v>2</v>
      </c>
      <c r="B596" s="21" t="s">
        <v>73</v>
      </c>
      <c r="C596" s="22">
        <v>6217</v>
      </c>
      <c r="D596" s="23" t="s">
        <v>233</v>
      </c>
      <c r="E596" s="23">
        <v>0.85</v>
      </c>
      <c r="F596" s="11">
        <v>435000</v>
      </c>
      <c r="G596" s="7">
        <f t="shared" si="39"/>
        <v>369750</v>
      </c>
      <c r="H596" s="8"/>
    </row>
    <row r="597" spans="1:8" ht="14.25" customHeight="1">
      <c r="A597" s="3">
        <v>3</v>
      </c>
      <c r="B597" s="4" t="s">
        <v>33</v>
      </c>
      <c r="C597" s="18" t="s">
        <v>234</v>
      </c>
      <c r="D597" s="4" t="s">
        <v>14</v>
      </c>
      <c r="E597" s="4">
        <v>0.8</v>
      </c>
      <c r="F597" s="11">
        <v>435000</v>
      </c>
      <c r="G597" s="7">
        <f>IFERROR(E597*F597,0)</f>
        <v>348000</v>
      </c>
      <c r="H597" s="8"/>
    </row>
    <row r="598" spans="1:8" ht="14.25" customHeight="1">
      <c r="A598" s="3">
        <v>4</v>
      </c>
      <c r="B598" s="8" t="s">
        <v>17</v>
      </c>
      <c r="C598" s="8"/>
      <c r="D598" s="8"/>
      <c r="E598" s="8"/>
      <c r="F598" s="8"/>
      <c r="G598" s="13">
        <f>IFERROR(E598*F598,0)</f>
        <v>0</v>
      </c>
      <c r="H598" s="8"/>
    </row>
    <row r="599" spans="1:8" ht="14.25" customHeight="1">
      <c r="A599" s="86" t="s">
        <v>18</v>
      </c>
      <c r="B599" s="81"/>
      <c r="C599" s="81"/>
      <c r="D599" s="81"/>
      <c r="E599" s="81"/>
      <c r="F599" s="81"/>
      <c r="G599" s="82"/>
      <c r="H599" s="14">
        <f>SUM(G595:G598)</f>
        <v>1303750</v>
      </c>
    </row>
    <row r="600" spans="1:8" ht="14.25" customHeight="1">
      <c r="A600" s="86" t="s">
        <v>19</v>
      </c>
      <c r="B600" s="81"/>
      <c r="C600" s="81"/>
      <c r="D600" s="81"/>
      <c r="E600" s="81"/>
      <c r="F600" s="81"/>
      <c r="G600" s="82"/>
      <c r="H600" s="14">
        <f>MAX(0,H599-648000)</f>
        <v>655750</v>
      </c>
    </row>
    <row r="601" spans="1:8" ht="14.25" customHeight="1">
      <c r="A601" s="87" t="s">
        <v>20</v>
      </c>
      <c r="B601" s="81"/>
      <c r="C601" s="81"/>
      <c r="D601" s="81"/>
      <c r="E601" s="81"/>
      <c r="F601" s="81"/>
      <c r="G601" s="82"/>
      <c r="H601" s="15">
        <v>649000</v>
      </c>
    </row>
    <row r="602" spans="1:8" ht="14.25" customHeight="1"/>
    <row r="603" spans="1:8" ht="14.25" customHeight="1"/>
    <row r="604" spans="1:8" ht="14.25" customHeight="1"/>
    <row r="605" spans="1:8" ht="14.25" customHeight="1"/>
    <row r="606" spans="1:8" ht="14.25" customHeight="1"/>
    <row r="607" spans="1:8" ht="14.25" customHeight="1"/>
    <row r="608" spans="1:8" ht="14.25" customHeight="1"/>
    <row r="609" spans="1:8" ht="14.25" customHeight="1">
      <c r="A609" s="85" t="s">
        <v>0</v>
      </c>
      <c r="B609" s="81"/>
      <c r="C609" s="81"/>
      <c r="D609" s="81"/>
      <c r="E609" s="81"/>
      <c r="F609" s="81"/>
      <c r="G609" s="81"/>
      <c r="H609" s="82"/>
    </row>
    <row r="610" spans="1:8" ht="14.25" customHeight="1">
      <c r="A610" s="85" t="s">
        <v>235</v>
      </c>
      <c r="B610" s="81"/>
      <c r="C610" s="81"/>
      <c r="D610" s="81"/>
      <c r="E610" s="81"/>
      <c r="F610" s="81"/>
      <c r="G610" s="81"/>
      <c r="H610" s="82"/>
    </row>
    <row r="611" spans="1:8" ht="14.25" customHeight="1">
      <c r="A611" s="1" t="s">
        <v>2</v>
      </c>
      <c r="B611" s="1" t="s">
        <v>3</v>
      </c>
      <c r="C611" s="1" t="s">
        <v>4</v>
      </c>
      <c r="D611" s="1" t="s">
        <v>5</v>
      </c>
      <c r="E611" s="1" t="s">
        <v>6</v>
      </c>
      <c r="F611" s="2" t="s">
        <v>7</v>
      </c>
      <c r="G611" s="1" t="s">
        <v>8</v>
      </c>
      <c r="H611" s="1"/>
    </row>
    <row r="612" spans="1:8" ht="14.25" customHeight="1">
      <c r="A612" s="3">
        <v>1</v>
      </c>
      <c r="B612" s="9" t="s">
        <v>38</v>
      </c>
      <c r="C612" s="10" t="s">
        <v>236</v>
      </c>
      <c r="D612" s="9" t="s">
        <v>11</v>
      </c>
      <c r="E612" s="9">
        <v>1.3</v>
      </c>
      <c r="F612" s="6">
        <v>293000</v>
      </c>
      <c r="G612" s="7">
        <f t="shared" ref="G612:G613" si="40">IFERROR(E612*F612,0)</f>
        <v>380900</v>
      </c>
      <c r="H612" s="8"/>
    </row>
    <row r="613" spans="1:8" ht="14.25" customHeight="1">
      <c r="A613" s="3">
        <v>2</v>
      </c>
      <c r="B613" s="24" t="s">
        <v>54</v>
      </c>
      <c r="C613" s="25" t="s">
        <v>237</v>
      </c>
      <c r="D613" s="26" t="s">
        <v>233</v>
      </c>
      <c r="E613" s="26">
        <v>0.89</v>
      </c>
      <c r="F613" s="11">
        <v>435000</v>
      </c>
      <c r="G613" s="7">
        <f t="shared" si="40"/>
        <v>387150</v>
      </c>
      <c r="H613" s="8"/>
    </row>
    <row r="614" spans="1:8" ht="14.25" customHeight="1">
      <c r="A614" s="3">
        <v>3</v>
      </c>
      <c r="B614" s="4" t="s">
        <v>215</v>
      </c>
      <c r="C614" s="18" t="s">
        <v>238</v>
      </c>
      <c r="D614" s="4" t="s">
        <v>11</v>
      </c>
      <c r="E614" s="4">
        <v>1.3</v>
      </c>
      <c r="F614" s="6">
        <v>293000</v>
      </c>
      <c r="G614" s="7">
        <f>IFERROR(E614*F614,0)</f>
        <v>380900</v>
      </c>
      <c r="H614" s="8"/>
    </row>
    <row r="615" spans="1:8" ht="14.25" customHeight="1">
      <c r="A615" s="3">
        <v>4</v>
      </c>
      <c r="B615" s="8" t="s">
        <v>17</v>
      </c>
      <c r="C615" s="8"/>
      <c r="D615" s="8"/>
      <c r="E615" s="8"/>
      <c r="F615" s="8"/>
      <c r="G615" s="13">
        <f>IFERROR(E615*F615,0)</f>
        <v>0</v>
      </c>
      <c r="H615" s="8"/>
    </row>
    <row r="616" spans="1:8" ht="14.25" customHeight="1">
      <c r="A616" s="86" t="s">
        <v>18</v>
      </c>
      <c r="B616" s="81"/>
      <c r="C616" s="81"/>
      <c r="D616" s="81"/>
      <c r="E616" s="81"/>
      <c r="F616" s="81"/>
      <c r="G616" s="82"/>
      <c r="H616" s="14">
        <f>SUM(G612:G615)</f>
        <v>1148950</v>
      </c>
    </row>
    <row r="617" spans="1:8" ht="14.25" customHeight="1">
      <c r="A617" s="86" t="s">
        <v>19</v>
      </c>
      <c r="B617" s="81"/>
      <c r="C617" s="81"/>
      <c r="D617" s="81"/>
      <c r="E617" s="81"/>
      <c r="F617" s="81"/>
      <c r="G617" s="82"/>
      <c r="H617" s="14">
        <f>MAX(0,H616-648000)</f>
        <v>500950</v>
      </c>
    </row>
    <row r="618" spans="1:8" ht="14.25" customHeight="1">
      <c r="A618" s="87" t="s">
        <v>20</v>
      </c>
      <c r="B618" s="81"/>
      <c r="C618" s="81"/>
      <c r="D618" s="81"/>
      <c r="E618" s="81"/>
      <c r="F618" s="81"/>
      <c r="G618" s="82"/>
      <c r="H618" s="15">
        <v>649000</v>
      </c>
    </row>
    <row r="619" spans="1:8" ht="14.25" customHeight="1"/>
    <row r="620" spans="1:8" ht="14.25" customHeight="1"/>
    <row r="621" spans="1:8" ht="14.25" customHeight="1"/>
    <row r="622" spans="1:8" ht="14.25" customHeight="1"/>
    <row r="623" spans="1:8" ht="14.25" customHeight="1"/>
    <row r="624" spans="1:8" ht="14.25" customHeight="1"/>
    <row r="625" spans="1:8" ht="14.25" customHeight="1">
      <c r="A625" s="85" t="s">
        <v>0</v>
      </c>
      <c r="B625" s="81"/>
      <c r="C625" s="81"/>
      <c r="D625" s="81"/>
      <c r="E625" s="81"/>
      <c r="F625" s="81"/>
      <c r="G625" s="81"/>
      <c r="H625" s="82"/>
    </row>
    <row r="626" spans="1:8" ht="14.25" customHeight="1">
      <c r="A626" s="85" t="s">
        <v>239</v>
      </c>
      <c r="B626" s="81"/>
      <c r="C626" s="81"/>
      <c r="D626" s="81"/>
      <c r="E626" s="81"/>
      <c r="F626" s="81"/>
      <c r="G626" s="81"/>
      <c r="H626" s="82"/>
    </row>
    <row r="627" spans="1:8" ht="14.25" customHeight="1">
      <c r="A627" s="1" t="s">
        <v>2</v>
      </c>
      <c r="B627" s="1" t="s">
        <v>3</v>
      </c>
      <c r="C627" s="1" t="s">
        <v>4</v>
      </c>
      <c r="D627" s="1" t="s">
        <v>5</v>
      </c>
      <c r="E627" s="1" t="s">
        <v>6</v>
      </c>
      <c r="F627" s="2" t="s">
        <v>7</v>
      </c>
      <c r="G627" s="1" t="s">
        <v>8</v>
      </c>
      <c r="H627" s="1"/>
    </row>
    <row r="628" spans="1:8" ht="14.25" customHeight="1">
      <c r="A628" s="3">
        <v>1</v>
      </c>
      <c r="B628" s="9" t="s">
        <v>130</v>
      </c>
      <c r="C628" s="10" t="s">
        <v>240</v>
      </c>
      <c r="D628" s="9" t="s">
        <v>11</v>
      </c>
      <c r="E628" s="9">
        <v>0.68</v>
      </c>
      <c r="F628" s="6">
        <v>293000</v>
      </c>
      <c r="G628" s="7">
        <f t="shared" ref="G628:G629" si="41">IFERROR(E628*F628,0)</f>
        <v>199240</v>
      </c>
      <c r="H628" s="8"/>
    </row>
    <row r="629" spans="1:8" ht="14.25" customHeight="1">
      <c r="A629" s="3">
        <v>2</v>
      </c>
      <c r="B629" s="4" t="s">
        <v>70</v>
      </c>
      <c r="C629" s="5" t="s">
        <v>241</v>
      </c>
      <c r="D629" s="4" t="s">
        <v>14</v>
      </c>
      <c r="E629" s="4">
        <v>1.56</v>
      </c>
      <c r="F629" s="11">
        <v>435000</v>
      </c>
      <c r="G629" s="7">
        <f t="shared" si="41"/>
        <v>678600</v>
      </c>
      <c r="H629" s="8"/>
    </row>
    <row r="630" spans="1:8" ht="14.25" customHeight="1">
      <c r="A630" s="3">
        <v>3</v>
      </c>
      <c r="B630" s="9" t="s">
        <v>242</v>
      </c>
      <c r="C630" s="12" t="s">
        <v>243</v>
      </c>
      <c r="D630" s="9" t="s">
        <v>11</v>
      </c>
      <c r="E630" s="9">
        <v>1.35</v>
      </c>
      <c r="F630" s="6">
        <v>293000</v>
      </c>
      <c r="G630" s="7">
        <f>IFERROR(E630*F630,0)</f>
        <v>395550</v>
      </c>
      <c r="H630" s="8"/>
    </row>
    <row r="631" spans="1:8" ht="14.25" customHeight="1">
      <c r="A631" s="3">
        <v>4</v>
      </c>
      <c r="B631" s="8" t="s">
        <v>17</v>
      </c>
      <c r="C631" s="8"/>
      <c r="D631" s="8"/>
      <c r="E631" s="8"/>
      <c r="F631" s="8"/>
      <c r="G631" s="13">
        <f>IFERROR(E631*F631,0)</f>
        <v>0</v>
      </c>
      <c r="H631" s="8"/>
    </row>
    <row r="632" spans="1:8" ht="14.25" customHeight="1">
      <c r="A632" s="86" t="s">
        <v>18</v>
      </c>
      <c r="B632" s="81"/>
      <c r="C632" s="81"/>
      <c r="D632" s="81"/>
      <c r="E632" s="81"/>
      <c r="F632" s="81"/>
      <c r="G632" s="82"/>
      <c r="H632" s="14">
        <f>SUM(G628:G631)</f>
        <v>1273390</v>
      </c>
    </row>
    <row r="633" spans="1:8" ht="14.25" customHeight="1">
      <c r="A633" s="86" t="s">
        <v>19</v>
      </c>
      <c r="B633" s="81"/>
      <c r="C633" s="81"/>
      <c r="D633" s="81"/>
      <c r="E633" s="81"/>
      <c r="F633" s="81"/>
      <c r="G633" s="82"/>
      <c r="H633" s="14">
        <f>MAX(0,H632-648000)</f>
        <v>625390</v>
      </c>
    </row>
    <row r="634" spans="1:8" ht="14.25" customHeight="1">
      <c r="A634" s="87" t="s">
        <v>20</v>
      </c>
      <c r="B634" s="81"/>
      <c r="C634" s="81"/>
      <c r="D634" s="81"/>
      <c r="E634" s="81"/>
      <c r="F634" s="81"/>
      <c r="G634" s="82"/>
      <c r="H634" s="15">
        <v>649000</v>
      </c>
    </row>
    <row r="635" spans="1:8" ht="14.25" customHeight="1"/>
    <row r="636" spans="1:8" ht="14.25" customHeight="1"/>
    <row r="637" spans="1:8" ht="14.25" customHeight="1"/>
    <row r="638" spans="1:8" ht="14.25" customHeight="1"/>
    <row r="639" spans="1:8" ht="14.25" customHeight="1">
      <c r="A639" s="85" t="s">
        <v>0</v>
      </c>
      <c r="B639" s="81"/>
      <c r="C639" s="81"/>
      <c r="D639" s="81"/>
      <c r="E639" s="81"/>
      <c r="F639" s="81"/>
      <c r="G639" s="81"/>
      <c r="H639" s="82"/>
    </row>
    <row r="640" spans="1:8" ht="14.25" customHeight="1">
      <c r="A640" s="85" t="s">
        <v>244</v>
      </c>
      <c r="B640" s="81"/>
      <c r="C640" s="81"/>
      <c r="D640" s="81"/>
      <c r="E640" s="81"/>
      <c r="F640" s="81"/>
      <c r="G640" s="81"/>
      <c r="H640" s="82"/>
    </row>
    <row r="641" spans="1:8" ht="14.25" customHeight="1">
      <c r="A641" s="1" t="s">
        <v>2</v>
      </c>
      <c r="B641" s="1" t="s">
        <v>3</v>
      </c>
      <c r="C641" s="1" t="s">
        <v>4</v>
      </c>
      <c r="D641" s="1" t="s">
        <v>5</v>
      </c>
      <c r="E641" s="1" t="s">
        <v>6</v>
      </c>
      <c r="F641" s="2" t="s">
        <v>7</v>
      </c>
      <c r="G641" s="1" t="s">
        <v>8</v>
      </c>
      <c r="H641" s="1"/>
    </row>
    <row r="642" spans="1:8" ht="14.25" customHeight="1">
      <c r="A642" s="3">
        <v>1</v>
      </c>
      <c r="B642" s="9" t="s">
        <v>245</v>
      </c>
      <c r="C642" s="10" t="s">
        <v>246</v>
      </c>
      <c r="D642" s="9" t="s">
        <v>11</v>
      </c>
      <c r="E642" s="9">
        <v>1</v>
      </c>
      <c r="F642" s="6">
        <v>293000</v>
      </c>
      <c r="G642" s="7">
        <f t="shared" ref="G642:G643" si="42">IFERROR(E642*F642,0)</f>
        <v>293000</v>
      </c>
      <c r="H642" s="8"/>
    </row>
    <row r="643" spans="1:8" ht="14.25" customHeight="1">
      <c r="A643" s="3">
        <v>2</v>
      </c>
      <c r="B643" s="9" t="s">
        <v>247</v>
      </c>
      <c r="C643" s="10" t="s">
        <v>248</v>
      </c>
      <c r="D643" s="9" t="s">
        <v>11</v>
      </c>
      <c r="E643" s="9">
        <v>1.5</v>
      </c>
      <c r="F643" s="6">
        <v>293000</v>
      </c>
      <c r="G643" s="7">
        <f t="shared" si="42"/>
        <v>439500</v>
      </c>
      <c r="H643" s="8"/>
    </row>
    <row r="644" spans="1:8" ht="14.25" customHeight="1">
      <c r="A644" s="3">
        <v>3</v>
      </c>
      <c r="B644" s="4" t="s">
        <v>249</v>
      </c>
      <c r="C644" s="18" t="s">
        <v>250</v>
      </c>
      <c r="D644" s="4" t="s">
        <v>11</v>
      </c>
      <c r="E644" s="4">
        <v>0.93</v>
      </c>
      <c r="F644" s="6">
        <v>293000</v>
      </c>
      <c r="G644" s="7">
        <f>IFERROR(E644*F644,0)</f>
        <v>272490</v>
      </c>
      <c r="H644" s="8"/>
    </row>
    <row r="645" spans="1:8" ht="14.25" customHeight="1">
      <c r="A645" s="3">
        <v>4</v>
      </c>
      <c r="B645" s="8" t="s">
        <v>17</v>
      </c>
      <c r="C645" s="8"/>
      <c r="D645" s="8"/>
      <c r="E645" s="8"/>
      <c r="F645" s="8"/>
      <c r="G645" s="13">
        <f>IFERROR(E645*F645,0)</f>
        <v>0</v>
      </c>
      <c r="H645" s="8"/>
    </row>
    <row r="646" spans="1:8" ht="14.25" customHeight="1">
      <c r="A646" s="86" t="s">
        <v>18</v>
      </c>
      <c r="B646" s="81"/>
      <c r="C646" s="81"/>
      <c r="D646" s="81"/>
      <c r="E646" s="81"/>
      <c r="F646" s="81"/>
      <c r="G646" s="82"/>
      <c r="H646" s="14">
        <f>SUM(G642:G645)</f>
        <v>1004990</v>
      </c>
    </row>
    <row r="647" spans="1:8" ht="14.25" customHeight="1">
      <c r="A647" s="86" t="s">
        <v>19</v>
      </c>
      <c r="B647" s="81"/>
      <c r="C647" s="81"/>
      <c r="D647" s="81"/>
      <c r="E647" s="81"/>
      <c r="F647" s="81"/>
      <c r="G647" s="82"/>
      <c r="H647" s="14">
        <f>MAX(0,H646-648000)</f>
        <v>356990</v>
      </c>
    </row>
    <row r="648" spans="1:8" ht="14.25" customHeight="1">
      <c r="A648" s="87" t="s">
        <v>20</v>
      </c>
      <c r="B648" s="81"/>
      <c r="C648" s="81"/>
      <c r="D648" s="81"/>
      <c r="E648" s="81"/>
      <c r="F648" s="81"/>
      <c r="G648" s="82"/>
      <c r="H648" s="15">
        <v>649000</v>
      </c>
    </row>
    <row r="649" spans="1:8" ht="14.25" customHeight="1"/>
    <row r="650" spans="1:8" ht="14.25" customHeight="1"/>
    <row r="651" spans="1:8" ht="14.25" customHeight="1"/>
    <row r="652" spans="1:8" ht="14.25" customHeight="1"/>
    <row r="653" spans="1:8" ht="14.25" customHeight="1"/>
    <row r="654" spans="1:8" ht="14.25" customHeight="1">
      <c r="A654" s="85" t="s">
        <v>0</v>
      </c>
      <c r="B654" s="81"/>
      <c r="C654" s="81"/>
      <c r="D654" s="81"/>
      <c r="E654" s="81"/>
      <c r="F654" s="81"/>
      <c r="G654" s="81"/>
      <c r="H654" s="82"/>
    </row>
    <row r="655" spans="1:8" ht="14.25" customHeight="1">
      <c r="A655" s="85" t="s">
        <v>251</v>
      </c>
      <c r="B655" s="81"/>
      <c r="C655" s="81"/>
      <c r="D655" s="81"/>
      <c r="E655" s="81"/>
      <c r="F655" s="81"/>
      <c r="G655" s="81"/>
      <c r="H655" s="82"/>
    </row>
    <row r="656" spans="1:8" ht="14.25" customHeight="1">
      <c r="A656" s="1" t="s">
        <v>2</v>
      </c>
      <c r="B656" s="1" t="s">
        <v>3</v>
      </c>
      <c r="C656" s="1" t="s">
        <v>4</v>
      </c>
      <c r="D656" s="1" t="s">
        <v>5</v>
      </c>
      <c r="E656" s="1" t="s">
        <v>6</v>
      </c>
      <c r="F656" s="2" t="s">
        <v>7</v>
      </c>
      <c r="G656" s="1" t="s">
        <v>8</v>
      </c>
      <c r="H656" s="1"/>
    </row>
    <row r="657" spans="1:8" ht="14.25" customHeight="1">
      <c r="A657" s="3">
        <v>1</v>
      </c>
      <c r="B657" s="4" t="s">
        <v>252</v>
      </c>
      <c r="C657" s="5" t="s">
        <v>253</v>
      </c>
      <c r="D657" s="4" t="s">
        <v>11</v>
      </c>
      <c r="E657" s="4">
        <v>1.5</v>
      </c>
      <c r="F657" s="6">
        <v>293000</v>
      </c>
      <c r="G657" s="7">
        <f t="shared" ref="G657:G658" si="43">IFERROR(E657*F657,0)</f>
        <v>439500</v>
      </c>
      <c r="H657" s="8"/>
    </row>
    <row r="658" spans="1:8" ht="14.25" customHeight="1">
      <c r="A658" s="3">
        <v>2</v>
      </c>
      <c r="B658" s="9" t="s">
        <v>130</v>
      </c>
      <c r="C658" s="10" t="s">
        <v>254</v>
      </c>
      <c r="D658" s="9" t="s">
        <v>14</v>
      </c>
      <c r="E658" s="9">
        <v>1</v>
      </c>
      <c r="F658" s="11">
        <v>435000</v>
      </c>
      <c r="G658" s="7">
        <f t="shared" si="43"/>
        <v>435000</v>
      </c>
      <c r="H658" s="8"/>
    </row>
    <row r="659" spans="1:8" ht="14.25" customHeight="1">
      <c r="A659" s="3">
        <v>3</v>
      </c>
      <c r="B659" s="9" t="s">
        <v>33</v>
      </c>
      <c r="C659" s="12" t="s">
        <v>255</v>
      </c>
      <c r="D659" s="9" t="s">
        <v>14</v>
      </c>
      <c r="E659" s="9">
        <v>1.02</v>
      </c>
      <c r="F659" s="11">
        <v>435000</v>
      </c>
      <c r="G659" s="7">
        <f>IFERROR(E659*F659,0)</f>
        <v>443700</v>
      </c>
      <c r="H659" s="8"/>
    </row>
    <row r="660" spans="1:8" ht="14.25" customHeight="1">
      <c r="A660" s="3">
        <v>4</v>
      </c>
      <c r="B660" s="8" t="s">
        <v>17</v>
      </c>
      <c r="C660" s="8"/>
      <c r="D660" s="8"/>
      <c r="E660" s="8"/>
      <c r="F660" s="8"/>
      <c r="G660" s="13">
        <f>IFERROR(E660*F660,0)</f>
        <v>0</v>
      </c>
      <c r="H660" s="8"/>
    </row>
    <row r="661" spans="1:8" ht="14.25" customHeight="1">
      <c r="A661" s="86" t="s">
        <v>18</v>
      </c>
      <c r="B661" s="81"/>
      <c r="C661" s="81"/>
      <c r="D661" s="81"/>
      <c r="E661" s="81"/>
      <c r="F661" s="81"/>
      <c r="G661" s="82"/>
      <c r="H661" s="14">
        <f>SUM(G657:G660)</f>
        <v>1318200</v>
      </c>
    </row>
    <row r="662" spans="1:8" ht="14.25" customHeight="1">
      <c r="A662" s="86" t="s">
        <v>19</v>
      </c>
      <c r="B662" s="81"/>
      <c r="C662" s="81"/>
      <c r="D662" s="81"/>
      <c r="E662" s="81"/>
      <c r="F662" s="81"/>
      <c r="G662" s="82"/>
      <c r="H662" s="14">
        <f>MAX(0,H661-648000)</f>
        <v>670200</v>
      </c>
    </row>
    <row r="663" spans="1:8" ht="14.25" customHeight="1">
      <c r="A663" s="87" t="s">
        <v>20</v>
      </c>
      <c r="B663" s="81"/>
      <c r="C663" s="81"/>
      <c r="D663" s="81"/>
      <c r="E663" s="81"/>
      <c r="F663" s="81"/>
      <c r="G663" s="82"/>
      <c r="H663" s="15">
        <v>649000</v>
      </c>
    </row>
    <row r="664" spans="1:8" ht="14.25" customHeight="1"/>
    <row r="665" spans="1:8" ht="14.25" customHeight="1"/>
    <row r="666" spans="1:8" ht="14.25" customHeight="1"/>
    <row r="667" spans="1:8" ht="14.25" customHeight="1"/>
    <row r="668" spans="1:8" ht="14.25" customHeight="1"/>
    <row r="669" spans="1:8" ht="14.25" customHeight="1"/>
    <row r="670" spans="1:8" ht="14.25" customHeight="1">
      <c r="A670" s="85" t="s">
        <v>0</v>
      </c>
      <c r="B670" s="81"/>
      <c r="C670" s="81"/>
      <c r="D670" s="81"/>
      <c r="E670" s="81"/>
      <c r="F670" s="81"/>
      <c r="G670" s="81"/>
      <c r="H670" s="82"/>
    </row>
    <row r="671" spans="1:8" ht="14.25" customHeight="1">
      <c r="A671" s="85" t="s">
        <v>256</v>
      </c>
      <c r="B671" s="81"/>
      <c r="C671" s="81"/>
      <c r="D671" s="81"/>
      <c r="E671" s="81"/>
      <c r="F671" s="81"/>
      <c r="G671" s="81"/>
      <c r="H671" s="82"/>
    </row>
    <row r="672" spans="1:8" ht="14.25" customHeight="1">
      <c r="A672" s="1" t="s">
        <v>2</v>
      </c>
      <c r="B672" s="1" t="s">
        <v>3</v>
      </c>
      <c r="C672" s="1" t="s">
        <v>4</v>
      </c>
      <c r="D672" s="1" t="s">
        <v>5</v>
      </c>
      <c r="E672" s="1" t="s">
        <v>6</v>
      </c>
      <c r="F672" s="2" t="s">
        <v>7</v>
      </c>
      <c r="G672" s="1" t="s">
        <v>8</v>
      </c>
      <c r="H672" s="1"/>
    </row>
    <row r="673" spans="1:8" ht="14.25" customHeight="1">
      <c r="A673" s="3">
        <v>1</v>
      </c>
      <c r="B673" s="9" t="s">
        <v>257</v>
      </c>
      <c r="C673" s="10" t="s">
        <v>258</v>
      </c>
      <c r="D673" s="9" t="s">
        <v>11</v>
      </c>
      <c r="E673" s="9">
        <v>1</v>
      </c>
      <c r="F673" s="6">
        <v>293000</v>
      </c>
      <c r="G673" s="7">
        <f t="shared" ref="G673:G674" si="44">IFERROR(E673*F673,0)</f>
        <v>293000</v>
      </c>
      <c r="H673" s="8"/>
    </row>
    <row r="674" spans="1:8" ht="14.25" customHeight="1">
      <c r="A674" s="3">
        <v>2</v>
      </c>
      <c r="B674" s="4" t="s">
        <v>65</v>
      </c>
      <c r="C674" s="5" t="s">
        <v>259</v>
      </c>
      <c r="D674" s="4" t="s">
        <v>14</v>
      </c>
      <c r="E674" s="4">
        <v>1.5</v>
      </c>
      <c r="F674" s="11">
        <v>435000</v>
      </c>
      <c r="G674" s="7">
        <f t="shared" si="44"/>
        <v>652500</v>
      </c>
      <c r="H674" s="8"/>
    </row>
    <row r="675" spans="1:8" ht="14.25" customHeight="1">
      <c r="A675" s="3">
        <v>3</v>
      </c>
      <c r="B675" s="9" t="s">
        <v>260</v>
      </c>
      <c r="C675" s="12" t="s">
        <v>261</v>
      </c>
      <c r="D675" s="9" t="s">
        <v>11</v>
      </c>
      <c r="E675" s="9">
        <v>1.07</v>
      </c>
      <c r="F675" s="6">
        <v>293000</v>
      </c>
      <c r="G675" s="7">
        <f>IFERROR(E675*F675,0)</f>
        <v>313510</v>
      </c>
      <c r="H675" s="8"/>
    </row>
    <row r="676" spans="1:8" ht="14.25" customHeight="1">
      <c r="A676" s="3">
        <v>4</v>
      </c>
      <c r="B676" s="8" t="s">
        <v>17</v>
      </c>
      <c r="C676" s="8"/>
      <c r="D676" s="8"/>
      <c r="E676" s="8"/>
      <c r="F676" s="8"/>
      <c r="G676" s="13">
        <f>IFERROR(E676*F676,0)</f>
        <v>0</v>
      </c>
      <c r="H676" s="8"/>
    </row>
    <row r="677" spans="1:8" ht="14.25" customHeight="1">
      <c r="A677" s="86" t="s">
        <v>18</v>
      </c>
      <c r="B677" s="81"/>
      <c r="C677" s="81"/>
      <c r="D677" s="81"/>
      <c r="E677" s="81"/>
      <c r="F677" s="81"/>
      <c r="G677" s="82"/>
      <c r="H677" s="14">
        <f>SUM(G673:G676)</f>
        <v>1259010</v>
      </c>
    </row>
    <row r="678" spans="1:8" ht="14.25" customHeight="1">
      <c r="A678" s="86" t="s">
        <v>19</v>
      </c>
      <c r="B678" s="81"/>
      <c r="C678" s="81"/>
      <c r="D678" s="81"/>
      <c r="E678" s="81"/>
      <c r="F678" s="81"/>
      <c r="G678" s="82"/>
      <c r="H678" s="14">
        <f>MAX(0,H677-648000)</f>
        <v>611010</v>
      </c>
    </row>
    <row r="679" spans="1:8" ht="14.25" customHeight="1">
      <c r="A679" s="87" t="s">
        <v>20</v>
      </c>
      <c r="B679" s="81"/>
      <c r="C679" s="81"/>
      <c r="D679" s="81"/>
      <c r="E679" s="81"/>
      <c r="F679" s="81"/>
      <c r="G679" s="82"/>
      <c r="H679" s="15">
        <v>649000</v>
      </c>
    </row>
    <row r="680" spans="1:8" ht="14.25" customHeight="1"/>
    <row r="681" spans="1:8" ht="14.25" customHeight="1"/>
    <row r="682" spans="1:8" ht="14.25" customHeight="1"/>
    <row r="683" spans="1:8" ht="14.25" customHeight="1"/>
    <row r="684" spans="1:8" ht="14.25" customHeight="1">
      <c r="A684" s="85" t="s">
        <v>0</v>
      </c>
      <c r="B684" s="81"/>
      <c r="C684" s="81"/>
      <c r="D684" s="81"/>
      <c r="E684" s="81"/>
      <c r="F684" s="81"/>
      <c r="G684" s="81"/>
      <c r="H684" s="82"/>
    </row>
    <row r="685" spans="1:8" ht="14.25" customHeight="1">
      <c r="A685" s="85" t="s">
        <v>262</v>
      </c>
      <c r="B685" s="81"/>
      <c r="C685" s="81"/>
      <c r="D685" s="81"/>
      <c r="E685" s="81"/>
      <c r="F685" s="81"/>
      <c r="G685" s="81"/>
      <c r="H685" s="82"/>
    </row>
    <row r="686" spans="1:8" ht="14.25" customHeight="1">
      <c r="A686" s="1" t="s">
        <v>2</v>
      </c>
      <c r="B686" s="1" t="s">
        <v>3</v>
      </c>
      <c r="C686" s="1" t="s">
        <v>4</v>
      </c>
      <c r="D686" s="1" t="s">
        <v>5</v>
      </c>
      <c r="E686" s="1" t="s">
        <v>6</v>
      </c>
      <c r="F686" s="2" t="s">
        <v>7</v>
      </c>
      <c r="G686" s="1" t="s">
        <v>8</v>
      </c>
      <c r="H686" s="1"/>
    </row>
    <row r="687" spans="1:8" ht="14.25" customHeight="1">
      <c r="A687" s="3">
        <v>1</v>
      </c>
      <c r="B687" s="4" t="s">
        <v>73</v>
      </c>
      <c r="C687" s="5" t="s">
        <v>263</v>
      </c>
      <c r="D687" s="4" t="s">
        <v>11</v>
      </c>
      <c r="E687" s="4">
        <v>1</v>
      </c>
      <c r="F687" s="6">
        <v>293000</v>
      </c>
      <c r="G687" s="7">
        <f t="shared" ref="G687:G688" si="45">IFERROR(E687*F687,0)</f>
        <v>293000</v>
      </c>
      <c r="H687" s="8"/>
    </row>
    <row r="688" spans="1:8" ht="14.25" customHeight="1">
      <c r="A688" s="3">
        <v>2</v>
      </c>
      <c r="B688" s="4" t="s">
        <v>38</v>
      </c>
      <c r="C688" s="5" t="s">
        <v>264</v>
      </c>
      <c r="D688" s="4" t="s">
        <v>14</v>
      </c>
      <c r="E688" s="4">
        <v>1.47</v>
      </c>
      <c r="F688" s="11">
        <v>435000</v>
      </c>
      <c r="G688" s="7">
        <f t="shared" si="45"/>
        <v>639450</v>
      </c>
      <c r="H688" s="8"/>
    </row>
    <row r="689" spans="1:8" ht="14.25" customHeight="1">
      <c r="A689" s="3">
        <v>3</v>
      </c>
      <c r="B689" s="4" t="s">
        <v>29</v>
      </c>
      <c r="C689" s="5" t="s">
        <v>265</v>
      </c>
      <c r="D689" s="4" t="s">
        <v>11</v>
      </c>
      <c r="E689" s="4">
        <v>1</v>
      </c>
      <c r="F689" s="6">
        <v>293000</v>
      </c>
      <c r="G689" s="7">
        <f>IFERROR(E689*F689,0)</f>
        <v>293000</v>
      </c>
      <c r="H689" s="8"/>
    </row>
    <row r="690" spans="1:8" ht="14.25" customHeight="1">
      <c r="A690" s="3">
        <v>4</v>
      </c>
      <c r="B690" s="8" t="s">
        <v>17</v>
      </c>
      <c r="C690" s="8"/>
      <c r="D690" s="8"/>
      <c r="E690" s="8"/>
      <c r="F690" s="8"/>
      <c r="G690" s="13">
        <f>IFERROR(E690*F690,0)</f>
        <v>0</v>
      </c>
      <c r="H690" s="8"/>
    </row>
    <row r="691" spans="1:8" ht="14.25" customHeight="1">
      <c r="A691" s="86" t="s">
        <v>18</v>
      </c>
      <c r="B691" s="81"/>
      <c r="C691" s="81"/>
      <c r="D691" s="81"/>
      <c r="E691" s="81"/>
      <c r="F691" s="81"/>
      <c r="G691" s="82"/>
      <c r="H691" s="14">
        <f>SUM(G687:G690)</f>
        <v>1225450</v>
      </c>
    </row>
    <row r="692" spans="1:8" ht="14.25" customHeight="1">
      <c r="A692" s="86" t="s">
        <v>19</v>
      </c>
      <c r="B692" s="81"/>
      <c r="C692" s="81"/>
      <c r="D692" s="81"/>
      <c r="E692" s="81"/>
      <c r="F692" s="81"/>
      <c r="G692" s="82"/>
      <c r="H692" s="14">
        <f>MAX(0,H691-648000)</f>
        <v>577450</v>
      </c>
    </row>
    <row r="693" spans="1:8" ht="14.25" customHeight="1">
      <c r="A693" s="87" t="s">
        <v>20</v>
      </c>
      <c r="B693" s="81"/>
      <c r="C693" s="81"/>
      <c r="D693" s="81"/>
      <c r="E693" s="81"/>
      <c r="F693" s="81"/>
      <c r="G693" s="82"/>
      <c r="H693" s="15">
        <v>649000</v>
      </c>
    </row>
    <row r="694" spans="1:8" ht="14.25" customHeight="1"/>
    <row r="695" spans="1:8" ht="14.25" customHeight="1"/>
    <row r="696" spans="1:8" ht="14.25" customHeight="1"/>
    <row r="697" spans="1:8" ht="14.25" customHeight="1"/>
    <row r="698" spans="1:8" ht="14.25" customHeight="1"/>
    <row r="699" spans="1:8" ht="14.25" customHeight="1">
      <c r="A699" s="85" t="s">
        <v>0</v>
      </c>
      <c r="B699" s="81"/>
      <c r="C699" s="81"/>
      <c r="D699" s="81"/>
      <c r="E699" s="81"/>
      <c r="F699" s="81"/>
      <c r="G699" s="81"/>
      <c r="H699" s="82"/>
    </row>
    <row r="700" spans="1:8" ht="14.25" customHeight="1">
      <c r="A700" s="85" t="s">
        <v>266</v>
      </c>
      <c r="B700" s="81"/>
      <c r="C700" s="81"/>
      <c r="D700" s="81"/>
      <c r="E700" s="81"/>
      <c r="F700" s="81"/>
      <c r="G700" s="81"/>
      <c r="H700" s="82"/>
    </row>
    <row r="701" spans="1:8" ht="14.25" customHeight="1">
      <c r="A701" s="1" t="s">
        <v>2</v>
      </c>
      <c r="B701" s="1" t="s">
        <v>3</v>
      </c>
      <c r="C701" s="1" t="s">
        <v>4</v>
      </c>
      <c r="D701" s="1" t="s">
        <v>5</v>
      </c>
      <c r="E701" s="1" t="s">
        <v>6</v>
      </c>
      <c r="F701" s="2" t="s">
        <v>7</v>
      </c>
      <c r="G701" s="1" t="s">
        <v>8</v>
      </c>
      <c r="H701" s="1"/>
    </row>
    <row r="702" spans="1:8" ht="14.25" customHeight="1">
      <c r="A702" s="3">
        <v>1</v>
      </c>
      <c r="B702" s="9" t="s">
        <v>183</v>
      </c>
      <c r="C702" s="10" t="s">
        <v>267</v>
      </c>
      <c r="D702" s="9" t="s">
        <v>11</v>
      </c>
      <c r="E702" s="9">
        <v>1.5</v>
      </c>
      <c r="F702" s="6">
        <v>293000</v>
      </c>
      <c r="G702" s="7">
        <f t="shared" ref="G702:G703" si="46">IFERROR(E702*F702,0)</f>
        <v>439500</v>
      </c>
      <c r="H702" s="8"/>
    </row>
    <row r="703" spans="1:8" ht="14.25" customHeight="1">
      <c r="A703" s="3">
        <v>2</v>
      </c>
      <c r="B703" s="4" t="s">
        <v>268</v>
      </c>
      <c r="C703" s="5" t="s">
        <v>269</v>
      </c>
      <c r="D703" s="4" t="s">
        <v>14</v>
      </c>
      <c r="E703" s="4">
        <v>1</v>
      </c>
      <c r="F703" s="11">
        <v>435000</v>
      </c>
      <c r="G703" s="7">
        <f t="shared" si="46"/>
        <v>435000</v>
      </c>
      <c r="H703" s="8"/>
    </row>
    <row r="704" spans="1:8" ht="14.25" customHeight="1">
      <c r="A704" s="3">
        <v>3</v>
      </c>
      <c r="B704" s="4" t="s">
        <v>270</v>
      </c>
      <c r="C704" s="19">
        <v>7380</v>
      </c>
      <c r="D704" s="4" t="s">
        <v>11</v>
      </c>
      <c r="E704" s="4">
        <v>0.96</v>
      </c>
      <c r="F704" s="6">
        <v>293000</v>
      </c>
      <c r="G704" s="7">
        <f>IFERROR(E704*F704,0)</f>
        <v>281280</v>
      </c>
      <c r="H704" s="8"/>
    </row>
    <row r="705" spans="1:8" ht="14.25" customHeight="1">
      <c r="A705" s="3">
        <v>4</v>
      </c>
      <c r="B705" s="8" t="s">
        <v>17</v>
      </c>
      <c r="C705" s="8"/>
      <c r="D705" s="8"/>
      <c r="E705" s="8"/>
      <c r="F705" s="8"/>
      <c r="G705" s="13">
        <f>IFERROR(E705*F705,0)</f>
        <v>0</v>
      </c>
      <c r="H705" s="8"/>
    </row>
    <row r="706" spans="1:8" ht="14.25" customHeight="1">
      <c r="A706" s="86" t="s">
        <v>18</v>
      </c>
      <c r="B706" s="81"/>
      <c r="C706" s="81"/>
      <c r="D706" s="81"/>
      <c r="E706" s="81"/>
      <c r="F706" s="81"/>
      <c r="G706" s="82"/>
      <c r="H706" s="14">
        <f>SUM(G702:G705)</f>
        <v>1155780</v>
      </c>
    </row>
    <row r="707" spans="1:8" ht="14.25" customHeight="1">
      <c r="A707" s="86" t="s">
        <v>19</v>
      </c>
      <c r="B707" s="81"/>
      <c r="C707" s="81"/>
      <c r="D707" s="81"/>
      <c r="E707" s="81"/>
      <c r="F707" s="81"/>
      <c r="G707" s="82"/>
      <c r="H707" s="14">
        <f>MAX(0,H706-648000)</f>
        <v>507780</v>
      </c>
    </row>
    <row r="708" spans="1:8" ht="14.25" customHeight="1">
      <c r="A708" s="87" t="s">
        <v>20</v>
      </c>
      <c r="B708" s="81"/>
      <c r="C708" s="81"/>
      <c r="D708" s="81"/>
      <c r="E708" s="81"/>
      <c r="F708" s="81"/>
      <c r="G708" s="82"/>
      <c r="H708" s="15">
        <v>649000</v>
      </c>
    </row>
    <row r="709" spans="1:8" ht="14.25" customHeight="1"/>
    <row r="710" spans="1:8" ht="14.25" customHeight="1"/>
    <row r="711" spans="1:8" ht="14.25" customHeight="1"/>
    <row r="712" spans="1:8" ht="14.25" customHeight="1"/>
    <row r="713" spans="1:8" ht="14.25" customHeight="1"/>
    <row r="714" spans="1:8" ht="14.25" customHeight="1">
      <c r="A714" s="85" t="s">
        <v>0</v>
      </c>
      <c r="B714" s="81"/>
      <c r="C714" s="81"/>
      <c r="D714" s="81"/>
      <c r="E714" s="81"/>
      <c r="F714" s="81"/>
      <c r="G714" s="81"/>
      <c r="H714" s="82"/>
    </row>
    <row r="715" spans="1:8" ht="14.25" customHeight="1">
      <c r="A715" s="85" t="s">
        <v>271</v>
      </c>
      <c r="B715" s="81"/>
      <c r="C715" s="81"/>
      <c r="D715" s="81"/>
      <c r="E715" s="81"/>
      <c r="F715" s="81"/>
      <c r="G715" s="81"/>
      <c r="H715" s="82"/>
    </row>
    <row r="716" spans="1:8" ht="14.25" customHeight="1">
      <c r="A716" s="1" t="s">
        <v>2</v>
      </c>
      <c r="B716" s="1" t="s">
        <v>3</v>
      </c>
      <c r="C716" s="1" t="s">
        <v>4</v>
      </c>
      <c r="D716" s="1" t="s">
        <v>5</v>
      </c>
      <c r="E716" s="1" t="s">
        <v>6</v>
      </c>
      <c r="F716" s="2" t="s">
        <v>7</v>
      </c>
      <c r="G716" s="1" t="s">
        <v>8</v>
      </c>
      <c r="H716" s="1"/>
    </row>
    <row r="717" spans="1:8" ht="14.25" customHeight="1">
      <c r="A717" s="3">
        <v>1</v>
      </c>
      <c r="B717" s="4" t="s">
        <v>272</v>
      </c>
      <c r="C717" s="5" t="s">
        <v>273</v>
      </c>
      <c r="D717" s="4" t="s">
        <v>11</v>
      </c>
      <c r="E717" s="4">
        <v>1</v>
      </c>
      <c r="F717" s="6">
        <v>293000</v>
      </c>
      <c r="G717" s="7">
        <f t="shared" ref="G717:G718" si="47">IFERROR(E717*F717,0)</f>
        <v>293000</v>
      </c>
      <c r="H717" s="8"/>
    </row>
    <row r="718" spans="1:8" ht="14.25" customHeight="1">
      <c r="A718" s="3">
        <v>2</v>
      </c>
      <c r="B718" s="9" t="s">
        <v>274</v>
      </c>
      <c r="C718" s="10" t="s">
        <v>275</v>
      </c>
      <c r="D718" s="9" t="s">
        <v>14</v>
      </c>
      <c r="E718" s="9">
        <v>1</v>
      </c>
      <c r="F718" s="11">
        <v>435000</v>
      </c>
      <c r="G718" s="7">
        <f t="shared" si="47"/>
        <v>435000</v>
      </c>
      <c r="H718" s="8"/>
    </row>
    <row r="719" spans="1:8" ht="14.25" customHeight="1">
      <c r="A719" s="3">
        <v>3</v>
      </c>
      <c r="B719" s="9" t="s">
        <v>276</v>
      </c>
      <c r="C719" s="20">
        <v>4282</v>
      </c>
      <c r="D719" s="9" t="s">
        <v>11</v>
      </c>
      <c r="E719" s="9">
        <v>1.45</v>
      </c>
      <c r="F719" s="6">
        <v>293000</v>
      </c>
      <c r="G719" s="7">
        <f>IFERROR(E719*F719,0)</f>
        <v>424850</v>
      </c>
      <c r="H719" s="8"/>
    </row>
    <row r="720" spans="1:8" ht="14.25" customHeight="1">
      <c r="A720" s="3">
        <v>4</v>
      </c>
      <c r="B720" s="8" t="s">
        <v>17</v>
      </c>
      <c r="C720" s="8"/>
      <c r="D720" s="8"/>
      <c r="E720" s="8"/>
      <c r="F720" s="8"/>
      <c r="G720" s="13">
        <f>IFERROR(E720*F720,0)</f>
        <v>0</v>
      </c>
      <c r="H720" s="8"/>
    </row>
    <row r="721" spans="1:8" ht="14.25" customHeight="1">
      <c r="A721" s="86" t="s">
        <v>18</v>
      </c>
      <c r="B721" s="81"/>
      <c r="C721" s="81"/>
      <c r="D721" s="81"/>
      <c r="E721" s="81"/>
      <c r="F721" s="81"/>
      <c r="G721" s="82"/>
      <c r="H721" s="14">
        <f>SUM(G717:G720)</f>
        <v>1152850</v>
      </c>
    </row>
    <row r="722" spans="1:8" ht="14.25" customHeight="1">
      <c r="A722" s="86" t="s">
        <v>19</v>
      </c>
      <c r="B722" s="81"/>
      <c r="C722" s="81"/>
      <c r="D722" s="81"/>
      <c r="E722" s="81"/>
      <c r="F722" s="81"/>
      <c r="G722" s="82"/>
      <c r="H722" s="14">
        <f>MAX(0,H721-648000)</f>
        <v>504850</v>
      </c>
    </row>
    <row r="723" spans="1:8" ht="14.25" customHeight="1">
      <c r="A723" s="87" t="s">
        <v>20</v>
      </c>
      <c r="B723" s="81"/>
      <c r="C723" s="81"/>
      <c r="D723" s="81"/>
      <c r="E723" s="81"/>
      <c r="F723" s="81"/>
      <c r="G723" s="82"/>
      <c r="H723" s="15">
        <v>649000</v>
      </c>
    </row>
    <row r="724" spans="1:8" ht="14.25" customHeight="1"/>
    <row r="725" spans="1:8" ht="14.25" customHeight="1"/>
    <row r="726" spans="1:8" ht="14.25" customHeight="1"/>
    <row r="727" spans="1:8" ht="14.25" customHeight="1"/>
    <row r="728" spans="1:8" ht="14.25" customHeight="1">
      <c r="A728" s="85" t="s">
        <v>0</v>
      </c>
      <c r="B728" s="81"/>
      <c r="C728" s="81"/>
      <c r="D728" s="81"/>
      <c r="E728" s="81"/>
      <c r="F728" s="81"/>
      <c r="G728" s="81"/>
      <c r="H728" s="82"/>
    </row>
    <row r="729" spans="1:8" ht="14.25" customHeight="1">
      <c r="A729" s="85" t="s">
        <v>277</v>
      </c>
      <c r="B729" s="81"/>
      <c r="C729" s="81"/>
      <c r="D729" s="81"/>
      <c r="E729" s="81"/>
      <c r="F729" s="81"/>
      <c r="G729" s="81"/>
      <c r="H729" s="82"/>
    </row>
    <row r="730" spans="1:8" ht="14.25" customHeight="1">
      <c r="A730" s="1" t="s">
        <v>2</v>
      </c>
      <c r="B730" s="1" t="s">
        <v>3</v>
      </c>
      <c r="C730" s="1" t="s">
        <v>4</v>
      </c>
      <c r="D730" s="1" t="s">
        <v>5</v>
      </c>
      <c r="E730" s="1" t="s">
        <v>6</v>
      </c>
      <c r="F730" s="2" t="s">
        <v>7</v>
      </c>
      <c r="G730" s="1" t="s">
        <v>8</v>
      </c>
      <c r="H730" s="1"/>
    </row>
    <row r="731" spans="1:8" ht="14.25" customHeight="1">
      <c r="A731" s="3">
        <v>1</v>
      </c>
      <c r="B731" s="9" t="s">
        <v>278</v>
      </c>
      <c r="C731" s="27">
        <v>562</v>
      </c>
      <c r="D731" s="9" t="s">
        <v>11</v>
      </c>
      <c r="E731" s="9">
        <v>1</v>
      </c>
      <c r="F731" s="6">
        <v>293000</v>
      </c>
      <c r="G731" s="7">
        <f t="shared" ref="G731:G732" si="48">IFERROR(E731*F731,0)</f>
        <v>293000</v>
      </c>
      <c r="H731" s="8"/>
    </row>
    <row r="732" spans="1:8" ht="14.25" customHeight="1">
      <c r="A732" s="3">
        <v>2</v>
      </c>
      <c r="B732" s="9" t="s">
        <v>279</v>
      </c>
      <c r="C732" s="20">
        <v>6202</v>
      </c>
      <c r="D732" s="9" t="s">
        <v>14</v>
      </c>
      <c r="E732" s="9">
        <v>1</v>
      </c>
      <c r="F732" s="11">
        <v>435000</v>
      </c>
      <c r="G732" s="7">
        <f t="shared" si="48"/>
        <v>435000</v>
      </c>
      <c r="H732" s="8"/>
    </row>
    <row r="733" spans="1:8" ht="14.25" customHeight="1">
      <c r="A733" s="3">
        <v>3</v>
      </c>
      <c r="B733" s="4" t="s">
        <v>280</v>
      </c>
      <c r="C733" s="18" t="s">
        <v>281</v>
      </c>
      <c r="D733" s="4" t="s">
        <v>11</v>
      </c>
      <c r="E733" s="4">
        <v>1.5</v>
      </c>
      <c r="F733" s="6">
        <v>293000</v>
      </c>
      <c r="G733" s="7">
        <f>IFERROR(E733*F733,0)</f>
        <v>439500</v>
      </c>
      <c r="H733" s="8"/>
    </row>
    <row r="734" spans="1:8" ht="14.25" customHeight="1">
      <c r="A734" s="3">
        <v>4</v>
      </c>
      <c r="B734" s="8" t="s">
        <v>17</v>
      </c>
      <c r="C734" s="8"/>
      <c r="D734" s="8"/>
      <c r="E734" s="8"/>
      <c r="F734" s="8"/>
      <c r="G734" s="13">
        <f>IFERROR(E734*F734,0)</f>
        <v>0</v>
      </c>
      <c r="H734" s="8"/>
    </row>
    <row r="735" spans="1:8" ht="14.25" customHeight="1">
      <c r="A735" s="86" t="s">
        <v>18</v>
      </c>
      <c r="B735" s="81"/>
      <c r="C735" s="81"/>
      <c r="D735" s="81"/>
      <c r="E735" s="81"/>
      <c r="F735" s="81"/>
      <c r="G735" s="82"/>
      <c r="H735" s="14">
        <f>SUM(G731:G734)</f>
        <v>1167500</v>
      </c>
    </row>
    <row r="736" spans="1:8" ht="14.25" customHeight="1">
      <c r="A736" s="86" t="s">
        <v>19</v>
      </c>
      <c r="B736" s="81"/>
      <c r="C736" s="81"/>
      <c r="D736" s="81"/>
      <c r="E736" s="81"/>
      <c r="F736" s="81"/>
      <c r="G736" s="82"/>
      <c r="H736" s="14">
        <f>MAX(0,H735-648000)</f>
        <v>519500</v>
      </c>
    </row>
    <row r="737" spans="1:8" ht="14.25" customHeight="1">
      <c r="A737" s="87" t="s">
        <v>20</v>
      </c>
      <c r="B737" s="81"/>
      <c r="C737" s="81"/>
      <c r="D737" s="81"/>
      <c r="E737" s="81"/>
      <c r="F737" s="81"/>
      <c r="G737" s="82"/>
      <c r="H737" s="15">
        <v>649000</v>
      </c>
    </row>
    <row r="738" spans="1:8" ht="14.25" customHeight="1"/>
    <row r="739" spans="1:8" ht="14.25" customHeight="1"/>
    <row r="740" spans="1:8" ht="14.25" customHeight="1"/>
    <row r="741" spans="1:8" ht="14.25" customHeight="1"/>
    <row r="742" spans="1:8" ht="14.25" customHeight="1">
      <c r="A742" s="85" t="s">
        <v>0</v>
      </c>
      <c r="B742" s="81"/>
      <c r="C742" s="81"/>
      <c r="D742" s="81"/>
      <c r="E742" s="81"/>
      <c r="F742" s="81"/>
      <c r="G742" s="81"/>
      <c r="H742" s="82"/>
    </row>
    <row r="743" spans="1:8" ht="14.25" customHeight="1">
      <c r="A743" s="85" t="s">
        <v>282</v>
      </c>
      <c r="B743" s="81"/>
      <c r="C743" s="81"/>
      <c r="D743" s="81"/>
      <c r="E743" s="81"/>
      <c r="F743" s="81"/>
      <c r="G743" s="81"/>
      <c r="H743" s="82"/>
    </row>
    <row r="744" spans="1:8" ht="14.25" customHeight="1">
      <c r="A744" s="1" t="s">
        <v>2</v>
      </c>
      <c r="B744" s="1" t="s">
        <v>3</v>
      </c>
      <c r="C744" s="1" t="s">
        <v>4</v>
      </c>
      <c r="D744" s="1" t="s">
        <v>5</v>
      </c>
      <c r="E744" s="1" t="s">
        <v>6</v>
      </c>
      <c r="F744" s="2" t="s">
        <v>7</v>
      </c>
      <c r="G744" s="1" t="s">
        <v>8</v>
      </c>
      <c r="H744" s="1"/>
    </row>
    <row r="745" spans="1:8" ht="14.25" customHeight="1">
      <c r="A745" s="3">
        <v>1</v>
      </c>
      <c r="B745" s="4" t="s">
        <v>283</v>
      </c>
      <c r="C745" s="5" t="s">
        <v>284</v>
      </c>
      <c r="D745" s="4" t="s">
        <v>11</v>
      </c>
      <c r="E745" s="4">
        <v>1</v>
      </c>
      <c r="F745" s="6">
        <v>293000</v>
      </c>
      <c r="G745" s="7">
        <f t="shared" ref="G745:G746" si="49">IFERROR(E745*F745,0)</f>
        <v>293000</v>
      </c>
      <c r="H745" s="8"/>
    </row>
    <row r="746" spans="1:8" ht="14.25" customHeight="1">
      <c r="A746" s="3">
        <v>2</v>
      </c>
      <c r="B746" s="4" t="s">
        <v>144</v>
      </c>
      <c r="C746" s="5" t="s">
        <v>285</v>
      </c>
      <c r="D746" s="4" t="s">
        <v>14</v>
      </c>
      <c r="E746" s="4">
        <v>0.97</v>
      </c>
      <c r="F746" s="11">
        <v>435000</v>
      </c>
      <c r="G746" s="7">
        <f t="shared" si="49"/>
        <v>421950</v>
      </c>
      <c r="H746" s="8"/>
    </row>
    <row r="747" spans="1:8" ht="14.25" customHeight="1">
      <c r="A747" s="3">
        <v>3</v>
      </c>
      <c r="B747" s="4" t="s">
        <v>286</v>
      </c>
      <c r="C747" s="28" t="s">
        <v>287</v>
      </c>
      <c r="D747" s="28" t="s">
        <v>11</v>
      </c>
      <c r="E747" s="23">
        <v>1.5</v>
      </c>
      <c r="F747" s="6">
        <v>293000</v>
      </c>
      <c r="G747" s="7">
        <f>IFERROR(E747*F747,0)</f>
        <v>439500</v>
      </c>
      <c r="H747" s="8"/>
    </row>
    <row r="748" spans="1:8" ht="14.25" customHeight="1">
      <c r="A748" s="3">
        <v>4</v>
      </c>
      <c r="B748" s="8" t="s">
        <v>17</v>
      </c>
      <c r="C748" s="8"/>
      <c r="D748" s="8"/>
      <c r="E748" s="8"/>
      <c r="F748" s="8"/>
      <c r="G748" s="13">
        <f>IFERROR(E748*F748,0)</f>
        <v>0</v>
      </c>
      <c r="H748" s="8"/>
    </row>
    <row r="749" spans="1:8" ht="14.25" customHeight="1">
      <c r="A749" s="86" t="s">
        <v>18</v>
      </c>
      <c r="B749" s="81"/>
      <c r="C749" s="81"/>
      <c r="D749" s="81"/>
      <c r="E749" s="81"/>
      <c r="F749" s="81"/>
      <c r="G749" s="82"/>
      <c r="H749" s="14">
        <f>SUM(G745:G748)</f>
        <v>1154450</v>
      </c>
    </row>
    <row r="750" spans="1:8" ht="14.25" customHeight="1">
      <c r="A750" s="86" t="s">
        <v>19</v>
      </c>
      <c r="B750" s="81"/>
      <c r="C750" s="81"/>
      <c r="D750" s="81"/>
      <c r="E750" s="81"/>
      <c r="F750" s="81"/>
      <c r="G750" s="82"/>
      <c r="H750" s="14">
        <f>MAX(0,H749-648000)</f>
        <v>506450</v>
      </c>
    </row>
    <row r="751" spans="1:8" ht="14.25" customHeight="1">
      <c r="A751" s="87" t="s">
        <v>20</v>
      </c>
      <c r="B751" s="81"/>
      <c r="C751" s="81"/>
      <c r="D751" s="81"/>
      <c r="E751" s="81"/>
      <c r="F751" s="81"/>
      <c r="G751" s="82"/>
      <c r="H751" s="15">
        <v>649000</v>
      </c>
    </row>
    <row r="752" spans="1:8" ht="14.25" customHeight="1"/>
    <row r="753" spans="1:8" ht="14.25" customHeight="1"/>
    <row r="754" spans="1:8" ht="14.25" customHeight="1"/>
    <row r="755" spans="1:8" ht="14.25" customHeight="1"/>
    <row r="756" spans="1:8" ht="14.25" customHeight="1"/>
    <row r="757" spans="1:8" ht="14.25" customHeight="1"/>
    <row r="758" spans="1:8" ht="14.25" customHeight="1">
      <c r="A758" s="85" t="s">
        <v>0</v>
      </c>
      <c r="B758" s="81"/>
      <c r="C758" s="81"/>
      <c r="D758" s="81"/>
      <c r="E758" s="81"/>
      <c r="F758" s="81"/>
      <c r="G758" s="81"/>
      <c r="H758" s="82"/>
    </row>
    <row r="759" spans="1:8" ht="14.25" customHeight="1">
      <c r="A759" s="85" t="s">
        <v>288</v>
      </c>
      <c r="B759" s="81"/>
      <c r="C759" s="81"/>
      <c r="D759" s="81"/>
      <c r="E759" s="81"/>
      <c r="F759" s="81"/>
      <c r="G759" s="81"/>
      <c r="H759" s="82"/>
    </row>
    <row r="760" spans="1:8" ht="14.25" customHeight="1">
      <c r="A760" s="1" t="s">
        <v>2</v>
      </c>
      <c r="B760" s="1" t="s">
        <v>3</v>
      </c>
      <c r="C760" s="1" t="s">
        <v>4</v>
      </c>
      <c r="D760" s="1" t="s">
        <v>5</v>
      </c>
      <c r="E760" s="1" t="s">
        <v>6</v>
      </c>
      <c r="F760" s="2" t="s">
        <v>7</v>
      </c>
      <c r="G760" s="1" t="s">
        <v>8</v>
      </c>
      <c r="H760" s="1"/>
    </row>
    <row r="761" spans="1:8" ht="14.25" customHeight="1">
      <c r="A761" s="3">
        <v>1</v>
      </c>
      <c r="B761" s="9" t="s">
        <v>152</v>
      </c>
      <c r="C761" s="20">
        <v>4113</v>
      </c>
      <c r="D761" s="9" t="s">
        <v>11</v>
      </c>
      <c r="E761" s="9">
        <v>1.5</v>
      </c>
      <c r="F761" s="6">
        <v>293000</v>
      </c>
      <c r="G761" s="7">
        <f t="shared" ref="G761:G762" si="50">IFERROR(E761*F761,0)</f>
        <v>439500</v>
      </c>
      <c r="H761" s="8"/>
    </row>
    <row r="762" spans="1:8" ht="14.25" customHeight="1">
      <c r="A762" s="3">
        <v>2</v>
      </c>
      <c r="B762" s="9" t="s">
        <v>289</v>
      </c>
      <c r="C762" s="20">
        <v>6771</v>
      </c>
      <c r="D762" s="9" t="s">
        <v>14</v>
      </c>
      <c r="E762" s="9">
        <v>1.18</v>
      </c>
      <c r="F762" s="11">
        <v>435000</v>
      </c>
      <c r="G762" s="7">
        <f t="shared" si="50"/>
        <v>513300</v>
      </c>
      <c r="H762" s="8"/>
    </row>
    <row r="763" spans="1:8" ht="14.25" customHeight="1">
      <c r="A763" s="3">
        <v>3</v>
      </c>
      <c r="B763" s="4" t="s">
        <v>290</v>
      </c>
      <c r="C763" s="29">
        <v>570</v>
      </c>
      <c r="D763" s="4" t="s">
        <v>11</v>
      </c>
      <c r="E763" s="4">
        <v>1.1000000000000001</v>
      </c>
      <c r="F763" s="6">
        <v>293000</v>
      </c>
      <c r="G763" s="7">
        <f>IFERROR(E763*F763,0)</f>
        <v>322300</v>
      </c>
      <c r="H763" s="8"/>
    </row>
    <row r="764" spans="1:8" ht="14.25" customHeight="1">
      <c r="A764" s="3">
        <v>4</v>
      </c>
      <c r="B764" s="8" t="s">
        <v>17</v>
      </c>
      <c r="C764" s="8"/>
      <c r="D764" s="8"/>
      <c r="E764" s="8"/>
      <c r="F764" s="8"/>
      <c r="G764" s="13">
        <f>IFERROR(E764*F764,0)</f>
        <v>0</v>
      </c>
      <c r="H764" s="8"/>
    </row>
    <row r="765" spans="1:8" ht="14.25" customHeight="1">
      <c r="A765" s="86" t="s">
        <v>18</v>
      </c>
      <c r="B765" s="81"/>
      <c r="C765" s="81"/>
      <c r="D765" s="81"/>
      <c r="E765" s="81"/>
      <c r="F765" s="81"/>
      <c r="G765" s="82"/>
      <c r="H765" s="14">
        <f>SUM(G761:G764)</f>
        <v>1275100</v>
      </c>
    </row>
    <row r="766" spans="1:8" ht="14.25" customHeight="1">
      <c r="A766" s="86" t="s">
        <v>19</v>
      </c>
      <c r="B766" s="81"/>
      <c r="C766" s="81"/>
      <c r="D766" s="81"/>
      <c r="E766" s="81"/>
      <c r="F766" s="81"/>
      <c r="G766" s="82"/>
      <c r="H766" s="14">
        <f>MAX(0,H765-648000)</f>
        <v>627100</v>
      </c>
    </row>
    <row r="767" spans="1:8" ht="14.25" customHeight="1">
      <c r="A767" s="87" t="s">
        <v>20</v>
      </c>
      <c r="B767" s="81"/>
      <c r="C767" s="81"/>
      <c r="D767" s="81"/>
      <c r="E767" s="81"/>
      <c r="F767" s="81"/>
      <c r="G767" s="82"/>
      <c r="H767" s="15">
        <v>649000</v>
      </c>
    </row>
    <row r="768" spans="1:8" ht="14.25" customHeight="1"/>
    <row r="769" spans="1:8" ht="14.25" customHeight="1"/>
    <row r="770" spans="1:8" ht="14.25" customHeight="1"/>
    <row r="771" spans="1:8" ht="14.25" customHeight="1"/>
    <row r="772" spans="1:8" ht="14.25" customHeight="1"/>
    <row r="773" spans="1:8" ht="14.25" customHeight="1"/>
    <row r="774" spans="1:8" ht="14.25" customHeight="1"/>
    <row r="775" spans="1:8" ht="14.25" customHeight="1">
      <c r="A775" s="85" t="s">
        <v>0</v>
      </c>
      <c r="B775" s="81"/>
      <c r="C775" s="81"/>
      <c r="D775" s="81"/>
      <c r="E775" s="81"/>
      <c r="F775" s="81"/>
      <c r="G775" s="81"/>
      <c r="H775" s="82"/>
    </row>
    <row r="776" spans="1:8" ht="14.25" customHeight="1">
      <c r="A776" s="85" t="s">
        <v>291</v>
      </c>
      <c r="B776" s="81"/>
      <c r="C776" s="81"/>
      <c r="D776" s="81"/>
      <c r="E776" s="81"/>
      <c r="F776" s="81"/>
      <c r="G776" s="81"/>
      <c r="H776" s="82"/>
    </row>
    <row r="777" spans="1:8" ht="14.25" customHeight="1">
      <c r="A777" s="1" t="s">
        <v>2</v>
      </c>
      <c r="B777" s="1" t="s">
        <v>3</v>
      </c>
      <c r="C777" s="1" t="s">
        <v>4</v>
      </c>
      <c r="D777" s="1" t="s">
        <v>5</v>
      </c>
      <c r="E777" s="1" t="s">
        <v>6</v>
      </c>
      <c r="F777" s="2" t="s">
        <v>7</v>
      </c>
      <c r="G777" s="1" t="s">
        <v>8</v>
      </c>
      <c r="H777" s="1"/>
    </row>
    <row r="778" spans="1:8" ht="14.25" customHeight="1">
      <c r="A778" s="3">
        <v>1</v>
      </c>
      <c r="B778" s="4" t="s">
        <v>292</v>
      </c>
      <c r="C778" s="18" t="s">
        <v>293</v>
      </c>
      <c r="D778" s="4" t="s">
        <v>11</v>
      </c>
      <c r="E778" s="4">
        <v>1.44</v>
      </c>
      <c r="F778" s="6">
        <v>293000</v>
      </c>
      <c r="G778" s="7">
        <v>421000</v>
      </c>
      <c r="H778" s="8"/>
    </row>
    <row r="779" spans="1:8" ht="14.25" customHeight="1">
      <c r="A779" s="3">
        <v>2</v>
      </c>
      <c r="B779" s="9" t="s">
        <v>40</v>
      </c>
      <c r="C779" s="12" t="s">
        <v>294</v>
      </c>
      <c r="D779" s="9" t="s">
        <v>14</v>
      </c>
      <c r="E779" s="9">
        <v>1.1000000000000001</v>
      </c>
      <c r="F779" s="11">
        <v>435000</v>
      </c>
      <c r="G779" s="7">
        <v>478000</v>
      </c>
      <c r="H779" s="8"/>
    </row>
    <row r="780" spans="1:8" ht="14.25" customHeight="1">
      <c r="A780" s="3">
        <v>3</v>
      </c>
      <c r="B780" s="9" t="s">
        <v>295</v>
      </c>
      <c r="C780" s="12" t="s">
        <v>296</v>
      </c>
      <c r="D780" s="9" t="s">
        <v>11</v>
      </c>
      <c r="E780" s="9">
        <v>1.33</v>
      </c>
      <c r="F780" s="6">
        <v>293000</v>
      </c>
      <c r="G780" s="7">
        <v>380000</v>
      </c>
      <c r="H780" s="8"/>
    </row>
    <row r="781" spans="1:8" ht="14.25" customHeight="1">
      <c r="A781" s="3">
        <v>4</v>
      </c>
      <c r="B781" s="8" t="s">
        <v>17</v>
      </c>
      <c r="C781" s="8"/>
      <c r="D781" s="8"/>
      <c r="E781" s="8"/>
      <c r="F781" s="8"/>
      <c r="G781" s="13">
        <f>IFERROR(E781*F781,0)</f>
        <v>0</v>
      </c>
      <c r="H781" s="8"/>
    </row>
    <row r="782" spans="1:8" ht="14.25" customHeight="1">
      <c r="A782" s="86" t="s">
        <v>18</v>
      </c>
      <c r="B782" s="81"/>
      <c r="C782" s="81"/>
      <c r="D782" s="81"/>
      <c r="E782" s="81"/>
      <c r="F782" s="81"/>
      <c r="G782" s="82"/>
      <c r="H782" s="14">
        <f>SUM(G778:G781)</f>
        <v>1279000</v>
      </c>
    </row>
    <row r="783" spans="1:8" ht="14.25" customHeight="1">
      <c r="A783" s="86" t="s">
        <v>19</v>
      </c>
      <c r="B783" s="81"/>
      <c r="C783" s="81"/>
      <c r="D783" s="81"/>
      <c r="E783" s="81"/>
      <c r="F783" s="81"/>
      <c r="G783" s="82"/>
      <c r="H783" s="14">
        <f>MAX(0,H782-648000)</f>
        <v>631000</v>
      </c>
    </row>
    <row r="784" spans="1:8" ht="14.25" customHeight="1">
      <c r="A784" s="87" t="s">
        <v>20</v>
      </c>
      <c r="B784" s="81"/>
      <c r="C784" s="81"/>
      <c r="D784" s="81"/>
      <c r="E784" s="81"/>
      <c r="F784" s="81"/>
      <c r="G784" s="82"/>
      <c r="H784" s="15">
        <v>649000</v>
      </c>
    </row>
    <row r="785" spans="1:26" ht="14.25" customHeight="1"/>
    <row r="786" spans="1:26" ht="14.25" customHeight="1"/>
    <row r="787" spans="1:26" ht="14.25" customHeight="1"/>
    <row r="788" spans="1:26" ht="14.25" customHeight="1"/>
    <row r="789" spans="1:26" ht="14.25" customHeight="1">
      <c r="A789" s="85" t="s">
        <v>0</v>
      </c>
      <c r="B789" s="81"/>
      <c r="C789" s="81"/>
      <c r="D789" s="81"/>
      <c r="E789" s="81"/>
      <c r="F789" s="81"/>
      <c r="G789" s="81"/>
      <c r="H789" s="82"/>
    </row>
    <row r="790" spans="1:26" ht="14.25" customHeight="1">
      <c r="A790" s="85" t="s">
        <v>297</v>
      </c>
      <c r="B790" s="81"/>
      <c r="C790" s="81"/>
      <c r="D790" s="81"/>
      <c r="E790" s="81"/>
      <c r="F790" s="81"/>
      <c r="G790" s="81"/>
      <c r="H790" s="82"/>
    </row>
    <row r="791" spans="1:26" ht="14.25" customHeight="1">
      <c r="A791" s="1" t="s">
        <v>2</v>
      </c>
      <c r="B791" s="1" t="s">
        <v>3</v>
      </c>
      <c r="C791" s="1" t="s">
        <v>4</v>
      </c>
      <c r="D791" s="1" t="s">
        <v>5</v>
      </c>
      <c r="E791" s="1" t="s">
        <v>6</v>
      </c>
      <c r="F791" s="2" t="s">
        <v>7</v>
      </c>
      <c r="G791" s="1" t="s">
        <v>8</v>
      </c>
      <c r="H791" s="1"/>
    </row>
    <row r="792" spans="1:26" ht="14.25" customHeight="1">
      <c r="A792" s="3">
        <v>1</v>
      </c>
      <c r="B792" s="9" t="s">
        <v>298</v>
      </c>
      <c r="C792" s="10" t="s">
        <v>299</v>
      </c>
      <c r="D792" s="9" t="s">
        <v>11</v>
      </c>
      <c r="E792" s="9">
        <v>2.54</v>
      </c>
      <c r="F792" s="6">
        <v>293000</v>
      </c>
      <c r="G792" s="7">
        <f t="shared" ref="G792:G794" si="51">IFERROR(E792*F792,0)</f>
        <v>744220</v>
      </c>
      <c r="H792" s="8"/>
    </row>
    <row r="793" spans="1:26" ht="14.25" customHeight="1">
      <c r="A793" s="3">
        <v>2</v>
      </c>
      <c r="B793" s="4" t="s">
        <v>73</v>
      </c>
      <c r="C793" s="5" t="s">
        <v>300</v>
      </c>
      <c r="D793" s="4" t="s">
        <v>14</v>
      </c>
      <c r="E793" s="4">
        <v>0.92</v>
      </c>
      <c r="F793" s="11">
        <v>435000</v>
      </c>
      <c r="G793" s="7">
        <f t="shared" si="51"/>
        <v>400200</v>
      </c>
      <c r="H793" s="8"/>
    </row>
    <row r="794" spans="1:26" ht="14.25" customHeight="1">
      <c r="A794" s="3">
        <v>3</v>
      </c>
      <c r="B794" s="8" t="s">
        <v>17</v>
      </c>
      <c r="C794" s="8"/>
      <c r="D794" s="8"/>
      <c r="E794" s="8"/>
      <c r="F794" s="8"/>
      <c r="G794" s="13">
        <f t="shared" si="51"/>
        <v>0</v>
      </c>
      <c r="H794" s="8"/>
    </row>
    <row r="795" spans="1:26" ht="14.25" customHeight="1">
      <c r="A795" s="86" t="s">
        <v>18</v>
      </c>
      <c r="B795" s="81"/>
      <c r="C795" s="81"/>
      <c r="D795" s="81"/>
      <c r="E795" s="81"/>
      <c r="F795" s="81"/>
      <c r="G795" s="82"/>
      <c r="H795" s="14">
        <f>SUM(G792:G794)</f>
        <v>1144420</v>
      </c>
    </row>
    <row r="796" spans="1:26" ht="14.25" customHeight="1">
      <c r="A796" s="86" t="s">
        <v>19</v>
      </c>
      <c r="B796" s="81"/>
      <c r="C796" s="81"/>
      <c r="D796" s="81"/>
      <c r="E796" s="81"/>
      <c r="F796" s="81"/>
      <c r="G796" s="82"/>
      <c r="H796" s="14">
        <f>MAX(0,H795-648000)</f>
        <v>496420</v>
      </c>
    </row>
    <row r="797" spans="1:26" ht="14.25" customHeight="1">
      <c r="A797" s="87" t="s">
        <v>20</v>
      </c>
      <c r="B797" s="81"/>
      <c r="C797" s="81"/>
      <c r="D797" s="81"/>
      <c r="E797" s="81"/>
      <c r="F797" s="81"/>
      <c r="G797" s="82"/>
      <c r="H797" s="15">
        <v>649000</v>
      </c>
    </row>
    <row r="798" spans="1:26" ht="14.25" customHeight="1">
      <c r="A798" s="85"/>
      <c r="B798" s="81"/>
      <c r="C798" s="81"/>
      <c r="D798" s="81"/>
      <c r="E798" s="81"/>
      <c r="F798" s="81"/>
      <c r="G798" s="81"/>
      <c r="H798" s="82"/>
    </row>
    <row r="799" spans="1:26" ht="14.2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4.2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4.2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4.2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4.2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4.25" customHeight="1">
      <c r="A804" s="85" t="s">
        <v>0</v>
      </c>
      <c r="B804" s="81"/>
      <c r="C804" s="81"/>
      <c r="D804" s="81"/>
      <c r="E804" s="81"/>
      <c r="F804" s="81"/>
      <c r="G804" s="81"/>
      <c r="H804" s="82"/>
    </row>
    <row r="805" spans="1:26" ht="14.25" customHeight="1">
      <c r="A805" s="85" t="s">
        <v>301</v>
      </c>
      <c r="B805" s="81"/>
      <c r="C805" s="81"/>
      <c r="D805" s="81"/>
      <c r="E805" s="81"/>
      <c r="F805" s="81"/>
      <c r="G805" s="81"/>
      <c r="H805" s="82"/>
    </row>
    <row r="806" spans="1:26" ht="14.25" customHeight="1">
      <c r="A806" s="1" t="s">
        <v>2</v>
      </c>
      <c r="B806" s="1" t="s">
        <v>3</v>
      </c>
      <c r="C806" s="1" t="s">
        <v>4</v>
      </c>
      <c r="D806" s="1" t="s">
        <v>5</v>
      </c>
      <c r="E806" s="1" t="s">
        <v>6</v>
      </c>
      <c r="F806" s="2" t="s">
        <v>7</v>
      </c>
      <c r="G806" s="1" t="s">
        <v>8</v>
      </c>
      <c r="H806" s="1"/>
    </row>
    <row r="807" spans="1:26" ht="14.25" customHeight="1">
      <c r="A807" s="3">
        <v>1</v>
      </c>
      <c r="B807" s="9" t="s">
        <v>215</v>
      </c>
      <c r="C807" s="10" t="s">
        <v>302</v>
      </c>
      <c r="D807" s="9" t="s">
        <v>11</v>
      </c>
      <c r="E807" s="9">
        <v>1.46</v>
      </c>
      <c r="F807" s="6">
        <v>293000</v>
      </c>
      <c r="G807" s="7">
        <f t="shared" ref="G807:G809" si="52">IFERROR(E807*F807,0)</f>
        <v>427780</v>
      </c>
      <c r="H807" s="8"/>
    </row>
    <row r="808" spans="1:26" ht="14.25" customHeight="1">
      <c r="A808" s="3">
        <v>2</v>
      </c>
      <c r="B808" s="9" t="s">
        <v>9</v>
      </c>
      <c r="C808" s="10" t="s">
        <v>303</v>
      </c>
      <c r="D808" s="9" t="s">
        <v>14</v>
      </c>
      <c r="E808" s="9">
        <v>2</v>
      </c>
      <c r="F808" s="11">
        <v>435000</v>
      </c>
      <c r="G808" s="7">
        <f t="shared" si="52"/>
        <v>870000</v>
      </c>
      <c r="H808" s="8"/>
    </row>
    <row r="809" spans="1:26" ht="14.25" customHeight="1">
      <c r="A809" s="3">
        <v>3</v>
      </c>
      <c r="B809" s="8" t="s">
        <v>17</v>
      </c>
      <c r="C809" s="8"/>
      <c r="D809" s="8"/>
      <c r="E809" s="8"/>
      <c r="F809" s="8"/>
      <c r="G809" s="13">
        <f t="shared" si="52"/>
        <v>0</v>
      </c>
      <c r="H809" s="8"/>
    </row>
    <row r="810" spans="1:26" ht="14.25" customHeight="1">
      <c r="A810" s="86" t="s">
        <v>18</v>
      </c>
      <c r="B810" s="81"/>
      <c r="C810" s="81"/>
      <c r="D810" s="81"/>
      <c r="E810" s="81"/>
      <c r="F810" s="81"/>
      <c r="G810" s="82"/>
      <c r="H810" s="14">
        <f>SUM(G807:G809)</f>
        <v>1297780</v>
      </c>
    </row>
    <row r="811" spans="1:26" ht="14.25" customHeight="1">
      <c r="A811" s="86" t="s">
        <v>19</v>
      </c>
      <c r="B811" s="81"/>
      <c r="C811" s="81"/>
      <c r="D811" s="81"/>
      <c r="E811" s="81"/>
      <c r="F811" s="81"/>
      <c r="G811" s="82"/>
      <c r="H811" s="14">
        <f>MAX(0,H810-648000)</f>
        <v>649780</v>
      </c>
    </row>
    <row r="812" spans="1:26" ht="14.25" customHeight="1">
      <c r="A812" s="87" t="s">
        <v>20</v>
      </c>
      <c r="B812" s="81"/>
      <c r="C812" s="81"/>
      <c r="D812" s="81"/>
      <c r="E812" s="81"/>
      <c r="F812" s="81"/>
      <c r="G812" s="82"/>
      <c r="H812" s="15">
        <v>649000</v>
      </c>
    </row>
    <row r="813" spans="1:26" ht="14.25" customHeight="1">
      <c r="A813" s="85"/>
      <c r="B813" s="81"/>
      <c r="C813" s="81"/>
      <c r="D813" s="81"/>
      <c r="E813" s="81"/>
      <c r="F813" s="81"/>
      <c r="G813" s="81"/>
      <c r="H813" s="82"/>
    </row>
    <row r="814" spans="1:26" ht="14.2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4.2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4.2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4.2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4.25" customHeight="1">
      <c r="A818" s="85" t="s">
        <v>0</v>
      </c>
      <c r="B818" s="81"/>
      <c r="C818" s="81"/>
      <c r="D818" s="81"/>
      <c r="E818" s="81"/>
      <c r="F818" s="81"/>
      <c r="G818" s="81"/>
      <c r="H818" s="82"/>
    </row>
    <row r="819" spans="1:26" ht="14.25" customHeight="1">
      <c r="A819" s="85" t="s">
        <v>304</v>
      </c>
      <c r="B819" s="81"/>
      <c r="C819" s="81"/>
      <c r="D819" s="81"/>
      <c r="E819" s="81"/>
      <c r="F819" s="81"/>
      <c r="G819" s="81"/>
      <c r="H819" s="82"/>
    </row>
    <row r="820" spans="1:26" ht="14.25" customHeight="1">
      <c r="A820" s="1" t="s">
        <v>2</v>
      </c>
      <c r="B820" s="1" t="s">
        <v>3</v>
      </c>
      <c r="C820" s="1" t="s">
        <v>4</v>
      </c>
      <c r="D820" s="1" t="s">
        <v>5</v>
      </c>
      <c r="E820" s="1" t="s">
        <v>6</v>
      </c>
      <c r="F820" s="2" t="s">
        <v>7</v>
      </c>
      <c r="G820" s="1" t="s">
        <v>8</v>
      </c>
      <c r="H820" s="1"/>
    </row>
    <row r="821" spans="1:26" ht="14.25" customHeight="1">
      <c r="A821" s="3">
        <v>1</v>
      </c>
      <c r="B821" s="9" t="s">
        <v>305</v>
      </c>
      <c r="C821" s="10" t="s">
        <v>306</v>
      </c>
      <c r="D821" s="9" t="s">
        <v>11</v>
      </c>
      <c r="E821" s="9">
        <v>2</v>
      </c>
      <c r="F821" s="6">
        <v>293000</v>
      </c>
      <c r="G821" s="7">
        <f t="shared" ref="G821:G823" si="53">IFERROR(E821*F821,0)</f>
        <v>586000</v>
      </c>
      <c r="H821" s="8"/>
    </row>
    <row r="822" spans="1:26" ht="14.25" customHeight="1">
      <c r="A822" s="3">
        <v>2</v>
      </c>
      <c r="B822" s="4" t="s">
        <v>242</v>
      </c>
      <c r="C822" s="5" t="s">
        <v>307</v>
      </c>
      <c r="D822" s="4" t="s">
        <v>14</v>
      </c>
      <c r="E822" s="4">
        <v>1.5</v>
      </c>
      <c r="F822" s="11">
        <v>435000</v>
      </c>
      <c r="G822" s="7">
        <f t="shared" si="53"/>
        <v>652500</v>
      </c>
      <c r="H822" s="8"/>
    </row>
    <row r="823" spans="1:26" ht="14.25" customHeight="1">
      <c r="A823" s="3">
        <v>3</v>
      </c>
      <c r="B823" s="8" t="s">
        <v>17</v>
      </c>
      <c r="C823" s="8"/>
      <c r="D823" s="8"/>
      <c r="E823" s="8"/>
      <c r="F823" s="8"/>
      <c r="G823" s="13">
        <f t="shared" si="53"/>
        <v>0</v>
      </c>
      <c r="H823" s="8"/>
    </row>
    <row r="824" spans="1:26" ht="14.25" customHeight="1">
      <c r="A824" s="86" t="s">
        <v>18</v>
      </c>
      <c r="B824" s="81"/>
      <c r="C824" s="81"/>
      <c r="D824" s="81"/>
      <c r="E824" s="81"/>
      <c r="F824" s="81"/>
      <c r="G824" s="82"/>
      <c r="H824" s="14">
        <f>SUM(G821:G823)</f>
        <v>1238500</v>
      </c>
    </row>
    <row r="825" spans="1:26" ht="14.25" customHeight="1">
      <c r="A825" s="86" t="s">
        <v>19</v>
      </c>
      <c r="B825" s="81"/>
      <c r="C825" s="81"/>
      <c r="D825" s="81"/>
      <c r="E825" s="81"/>
      <c r="F825" s="81"/>
      <c r="G825" s="82"/>
      <c r="H825" s="14">
        <f>MAX(0,H824-648000)</f>
        <v>590500</v>
      </c>
    </row>
    <row r="826" spans="1:26" ht="14.25" customHeight="1">
      <c r="A826" s="87" t="s">
        <v>20</v>
      </c>
      <c r="B826" s="81"/>
      <c r="C826" s="81"/>
      <c r="D826" s="81"/>
      <c r="E826" s="81"/>
      <c r="F826" s="81"/>
      <c r="G826" s="82"/>
      <c r="H826" s="15">
        <v>649000</v>
      </c>
    </row>
    <row r="827" spans="1:26" ht="14.25" customHeight="1">
      <c r="A827" s="85"/>
      <c r="B827" s="81"/>
      <c r="C827" s="81"/>
      <c r="D827" s="81"/>
      <c r="E827" s="81"/>
      <c r="F827" s="81"/>
      <c r="G827" s="81"/>
      <c r="H827" s="82"/>
    </row>
    <row r="828" spans="1:26" ht="14.2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4.2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4.2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4.2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4.2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4.25" customHeight="1">
      <c r="A833" s="85" t="s">
        <v>0</v>
      </c>
      <c r="B833" s="81"/>
      <c r="C833" s="81"/>
      <c r="D833" s="81"/>
      <c r="E833" s="81"/>
      <c r="F833" s="81"/>
      <c r="G833" s="81"/>
      <c r="H833" s="82"/>
    </row>
    <row r="834" spans="1:26" ht="14.25" customHeight="1">
      <c r="A834" s="85" t="s">
        <v>308</v>
      </c>
      <c r="B834" s="81"/>
      <c r="C834" s="81"/>
      <c r="D834" s="81"/>
      <c r="E834" s="81"/>
      <c r="F834" s="81"/>
      <c r="G834" s="81"/>
      <c r="H834" s="82"/>
    </row>
    <row r="835" spans="1:26" ht="14.25" customHeight="1">
      <c r="A835" s="1" t="s">
        <v>2</v>
      </c>
      <c r="B835" s="1" t="s">
        <v>3</v>
      </c>
      <c r="C835" s="1" t="s">
        <v>4</v>
      </c>
      <c r="D835" s="1" t="s">
        <v>5</v>
      </c>
      <c r="E835" s="1" t="s">
        <v>6</v>
      </c>
      <c r="F835" s="2" t="s">
        <v>7</v>
      </c>
      <c r="G835" s="1" t="s">
        <v>8</v>
      </c>
      <c r="H835" s="1"/>
    </row>
    <row r="836" spans="1:26" ht="14.25" customHeight="1">
      <c r="A836" s="3">
        <v>1</v>
      </c>
      <c r="B836" s="9" t="s">
        <v>309</v>
      </c>
      <c r="C836" s="10" t="s">
        <v>310</v>
      </c>
      <c r="D836" s="9" t="s">
        <v>11</v>
      </c>
      <c r="E836" s="9">
        <v>1.95</v>
      </c>
      <c r="F836" s="6">
        <v>293000</v>
      </c>
      <c r="G836" s="7">
        <f t="shared" ref="G836:G838" si="54">IFERROR(E836*F836,0)</f>
        <v>571350</v>
      </c>
      <c r="H836" s="8"/>
    </row>
    <row r="837" spans="1:26" ht="14.25" customHeight="1">
      <c r="A837" s="3">
        <v>2</v>
      </c>
      <c r="B837" s="4" t="s">
        <v>65</v>
      </c>
      <c r="C837" s="5" t="s">
        <v>311</v>
      </c>
      <c r="D837" s="4" t="s">
        <v>14</v>
      </c>
      <c r="E837" s="4">
        <v>1.48</v>
      </c>
      <c r="F837" s="11">
        <v>435000</v>
      </c>
      <c r="G837" s="7">
        <f t="shared" si="54"/>
        <v>643800</v>
      </c>
      <c r="H837" s="8"/>
    </row>
    <row r="838" spans="1:26" ht="14.25" customHeight="1">
      <c r="A838" s="3">
        <v>3</v>
      </c>
      <c r="B838" s="8" t="s">
        <v>17</v>
      </c>
      <c r="C838" s="8"/>
      <c r="D838" s="8"/>
      <c r="E838" s="8"/>
      <c r="F838" s="8"/>
      <c r="G838" s="13">
        <f t="shared" si="54"/>
        <v>0</v>
      </c>
      <c r="H838" s="8"/>
    </row>
    <row r="839" spans="1:26" ht="14.25" customHeight="1">
      <c r="A839" s="86" t="s">
        <v>18</v>
      </c>
      <c r="B839" s="81"/>
      <c r="C839" s="81"/>
      <c r="D839" s="81"/>
      <c r="E839" s="81"/>
      <c r="F839" s="81"/>
      <c r="G839" s="82"/>
      <c r="H839" s="14">
        <f>SUM(G836:G838)</f>
        <v>1215150</v>
      </c>
    </row>
    <row r="840" spans="1:26" ht="14.25" customHeight="1">
      <c r="A840" s="86" t="s">
        <v>19</v>
      </c>
      <c r="B840" s="81"/>
      <c r="C840" s="81"/>
      <c r="D840" s="81"/>
      <c r="E840" s="81"/>
      <c r="F840" s="81"/>
      <c r="G840" s="82"/>
      <c r="H840" s="14">
        <f>MAX(0,H839-648000)</f>
        <v>567150</v>
      </c>
    </row>
    <row r="841" spans="1:26" ht="14.25" customHeight="1">
      <c r="A841" s="87" t="s">
        <v>20</v>
      </c>
      <c r="B841" s="81"/>
      <c r="C841" s="81"/>
      <c r="D841" s="81"/>
      <c r="E841" s="81"/>
      <c r="F841" s="81"/>
      <c r="G841" s="82"/>
      <c r="H841" s="15">
        <v>649000</v>
      </c>
    </row>
    <row r="842" spans="1:26" ht="14.25" customHeight="1">
      <c r="A842" s="85"/>
      <c r="B842" s="81"/>
      <c r="C842" s="81"/>
      <c r="D842" s="81"/>
      <c r="E842" s="81"/>
      <c r="F842" s="81"/>
      <c r="G842" s="81"/>
      <c r="H842" s="82"/>
    </row>
    <row r="843" spans="1:26" ht="14.2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4.2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4.2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4.2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4.2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4.25" customHeight="1">
      <c r="A848" s="88"/>
      <c r="B848" s="81"/>
      <c r="C848" s="81"/>
      <c r="D848" s="81"/>
      <c r="E848" s="81"/>
      <c r="F848" s="81"/>
      <c r="G848" s="81"/>
      <c r="H848" s="82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4.25" customHeight="1">
      <c r="A849" s="85" t="s">
        <v>0</v>
      </c>
      <c r="B849" s="81"/>
      <c r="C849" s="81"/>
      <c r="D849" s="81"/>
      <c r="E849" s="81"/>
      <c r="F849" s="81"/>
      <c r="G849" s="81"/>
      <c r="H849" s="82"/>
    </row>
    <row r="850" spans="1:26" ht="14.25" customHeight="1">
      <c r="A850" s="85" t="s">
        <v>312</v>
      </c>
      <c r="B850" s="81"/>
      <c r="C850" s="81"/>
      <c r="D850" s="81"/>
      <c r="E850" s="81"/>
      <c r="F850" s="81"/>
      <c r="G850" s="81"/>
      <c r="H850" s="82"/>
    </row>
    <row r="851" spans="1:26" ht="14.25" customHeight="1">
      <c r="A851" s="1" t="s">
        <v>2</v>
      </c>
      <c r="B851" s="1" t="s">
        <v>3</v>
      </c>
      <c r="C851" s="1" t="s">
        <v>4</v>
      </c>
      <c r="D851" s="1" t="s">
        <v>5</v>
      </c>
      <c r="E851" s="1" t="s">
        <v>6</v>
      </c>
      <c r="F851" s="2" t="s">
        <v>7</v>
      </c>
      <c r="G851" s="1" t="s">
        <v>8</v>
      </c>
      <c r="H851" s="1"/>
    </row>
    <row r="852" spans="1:26" ht="14.25" customHeight="1">
      <c r="A852" s="3">
        <v>1</v>
      </c>
      <c r="B852" s="9" t="s">
        <v>121</v>
      </c>
      <c r="C852" s="10" t="s">
        <v>313</v>
      </c>
      <c r="D852" s="9" t="s">
        <v>11</v>
      </c>
      <c r="E852" s="9">
        <v>2.5299999999999998</v>
      </c>
      <c r="F852" s="6">
        <v>293000</v>
      </c>
      <c r="G852" s="7">
        <f t="shared" ref="G852:G854" si="55">IFERROR(E852*F852,0)</f>
        <v>741290</v>
      </c>
      <c r="H852" s="8"/>
    </row>
    <row r="853" spans="1:26" ht="14.25" customHeight="1">
      <c r="A853" s="3">
        <v>2</v>
      </c>
      <c r="B853" s="9" t="s">
        <v>9</v>
      </c>
      <c r="C853" s="10" t="s">
        <v>314</v>
      </c>
      <c r="D853" s="9" t="s">
        <v>14</v>
      </c>
      <c r="E853" s="9">
        <v>1</v>
      </c>
      <c r="F853" s="11">
        <v>435000</v>
      </c>
      <c r="G853" s="7">
        <f t="shared" si="55"/>
        <v>435000</v>
      </c>
      <c r="H853" s="8"/>
    </row>
    <row r="854" spans="1:26" ht="14.25" customHeight="1">
      <c r="A854" s="3">
        <v>3</v>
      </c>
      <c r="B854" s="8" t="s">
        <v>17</v>
      </c>
      <c r="C854" s="8"/>
      <c r="D854" s="8"/>
      <c r="E854" s="8"/>
      <c r="F854" s="8"/>
      <c r="G854" s="13">
        <f t="shared" si="55"/>
        <v>0</v>
      </c>
      <c r="H854" s="8"/>
    </row>
    <row r="855" spans="1:26" ht="14.25" customHeight="1">
      <c r="A855" s="86" t="s">
        <v>18</v>
      </c>
      <c r="B855" s="81"/>
      <c r="C855" s="81"/>
      <c r="D855" s="81"/>
      <c r="E855" s="81"/>
      <c r="F855" s="81"/>
      <c r="G855" s="82"/>
      <c r="H855" s="14">
        <f>SUM(G852:G854)</f>
        <v>1176290</v>
      </c>
    </row>
    <row r="856" spans="1:26" ht="14.25" customHeight="1">
      <c r="A856" s="86" t="s">
        <v>19</v>
      </c>
      <c r="B856" s="81"/>
      <c r="C856" s="81"/>
      <c r="D856" s="81"/>
      <c r="E856" s="81"/>
      <c r="F856" s="81"/>
      <c r="G856" s="82"/>
      <c r="H856" s="14">
        <f>MAX(0,H855-648000)</f>
        <v>528290</v>
      </c>
    </row>
    <row r="857" spans="1:26" ht="14.25" customHeight="1">
      <c r="A857" s="87" t="s">
        <v>20</v>
      </c>
      <c r="B857" s="81"/>
      <c r="C857" s="81"/>
      <c r="D857" s="81"/>
      <c r="E857" s="81"/>
      <c r="F857" s="81"/>
      <c r="G857" s="82"/>
      <c r="H857" s="15">
        <v>649000</v>
      </c>
    </row>
    <row r="858" spans="1:26" ht="14.25" customHeight="1">
      <c r="A858" s="85"/>
      <c r="B858" s="81"/>
      <c r="C858" s="81"/>
      <c r="D858" s="81"/>
      <c r="E858" s="81"/>
      <c r="F858" s="81"/>
      <c r="G858" s="81"/>
      <c r="H858" s="82"/>
    </row>
    <row r="859" spans="1:26" ht="14.2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4.2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4.2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4.2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4.25" customHeight="1">
      <c r="A863" s="88"/>
      <c r="B863" s="81"/>
      <c r="C863" s="81"/>
      <c r="D863" s="81"/>
      <c r="E863" s="81"/>
      <c r="F863" s="81"/>
      <c r="G863" s="81"/>
      <c r="H863" s="82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4.25" customHeight="1">
      <c r="A864" s="85" t="s">
        <v>0</v>
      </c>
      <c r="B864" s="81"/>
      <c r="C864" s="81"/>
      <c r="D864" s="81"/>
      <c r="E864" s="81"/>
      <c r="F864" s="81"/>
      <c r="G864" s="81"/>
      <c r="H864" s="82"/>
    </row>
    <row r="865" spans="1:26" ht="14.25" customHeight="1">
      <c r="A865" s="85" t="s">
        <v>315</v>
      </c>
      <c r="B865" s="81"/>
      <c r="C865" s="81"/>
      <c r="D865" s="81"/>
      <c r="E865" s="81"/>
      <c r="F865" s="81"/>
      <c r="G865" s="81"/>
      <c r="H865" s="82"/>
    </row>
    <row r="866" spans="1:26" ht="14.25" customHeight="1">
      <c r="A866" s="1" t="s">
        <v>2</v>
      </c>
      <c r="B866" s="1" t="s">
        <v>3</v>
      </c>
      <c r="C866" s="1" t="s">
        <v>4</v>
      </c>
      <c r="D866" s="1" t="s">
        <v>5</v>
      </c>
      <c r="E866" s="1" t="s">
        <v>6</v>
      </c>
      <c r="F866" s="2" t="s">
        <v>7</v>
      </c>
      <c r="G866" s="1" t="s">
        <v>8</v>
      </c>
      <c r="H866" s="1"/>
    </row>
    <row r="867" spans="1:26" ht="14.25" customHeight="1">
      <c r="A867" s="3">
        <v>1</v>
      </c>
      <c r="B867" s="4" t="s">
        <v>47</v>
      </c>
      <c r="C867" s="5" t="s">
        <v>316</v>
      </c>
      <c r="D867" s="4" t="s">
        <v>11</v>
      </c>
      <c r="E867" s="4">
        <v>1</v>
      </c>
      <c r="F867" s="6">
        <v>293000</v>
      </c>
      <c r="G867" s="7">
        <f t="shared" ref="G867:G869" si="56">IFERROR(E867*F867,0)</f>
        <v>293000</v>
      </c>
      <c r="H867" s="8"/>
    </row>
    <row r="868" spans="1:26" ht="14.25" customHeight="1">
      <c r="A868" s="3">
        <v>2</v>
      </c>
      <c r="B868" s="4" t="s">
        <v>65</v>
      </c>
      <c r="C868" s="5" t="s">
        <v>317</v>
      </c>
      <c r="D868" s="4" t="s">
        <v>14</v>
      </c>
      <c r="E868" s="4">
        <v>2.46</v>
      </c>
      <c r="F868" s="11">
        <v>435000</v>
      </c>
      <c r="G868" s="7">
        <f t="shared" si="56"/>
        <v>1070100</v>
      </c>
      <c r="H868" s="8"/>
    </row>
    <row r="869" spans="1:26" ht="14.25" customHeight="1">
      <c r="A869" s="3">
        <v>3</v>
      </c>
      <c r="B869" s="8" t="s">
        <v>17</v>
      </c>
      <c r="C869" s="8"/>
      <c r="D869" s="8"/>
      <c r="E869" s="8"/>
      <c r="F869" s="8"/>
      <c r="G869" s="13">
        <f t="shared" si="56"/>
        <v>0</v>
      </c>
      <c r="H869" s="8"/>
    </row>
    <row r="870" spans="1:26" ht="14.25" customHeight="1">
      <c r="A870" s="86" t="s">
        <v>18</v>
      </c>
      <c r="B870" s="81"/>
      <c r="C870" s="81"/>
      <c r="D870" s="81"/>
      <c r="E870" s="81"/>
      <c r="F870" s="81"/>
      <c r="G870" s="82"/>
      <c r="H870" s="14">
        <f>SUM(G867:G869)</f>
        <v>1363100</v>
      </c>
    </row>
    <row r="871" spans="1:26" ht="14.25" customHeight="1">
      <c r="A871" s="86" t="s">
        <v>19</v>
      </c>
      <c r="B871" s="81"/>
      <c r="C871" s="81"/>
      <c r="D871" s="81"/>
      <c r="E871" s="81"/>
      <c r="F871" s="81"/>
      <c r="G871" s="82"/>
      <c r="H871" s="14">
        <f>MAX(0,H870-648000)</f>
        <v>715100</v>
      </c>
    </row>
    <row r="872" spans="1:26" ht="14.25" customHeight="1">
      <c r="A872" s="87" t="s">
        <v>20</v>
      </c>
      <c r="B872" s="81"/>
      <c r="C872" s="81"/>
      <c r="D872" s="81"/>
      <c r="E872" s="81"/>
      <c r="F872" s="81"/>
      <c r="G872" s="82"/>
      <c r="H872" s="15">
        <v>649000</v>
      </c>
    </row>
    <row r="873" spans="1:26" ht="14.25" customHeight="1">
      <c r="A873" s="85"/>
      <c r="B873" s="81"/>
      <c r="C873" s="81"/>
      <c r="D873" s="81"/>
      <c r="E873" s="81"/>
      <c r="F873" s="81"/>
      <c r="G873" s="81"/>
      <c r="H873" s="82"/>
    </row>
    <row r="874" spans="1:26" ht="14.2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4.2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4.25" customHeight="1">
      <c r="A876" s="88"/>
      <c r="B876" s="81"/>
      <c r="C876" s="81"/>
      <c r="D876" s="81"/>
      <c r="E876" s="81"/>
      <c r="F876" s="81"/>
      <c r="G876" s="81"/>
      <c r="H876" s="82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4.25" customHeight="1">
      <c r="A877" s="88"/>
      <c r="B877" s="81"/>
      <c r="C877" s="81"/>
      <c r="D877" s="81"/>
      <c r="E877" s="81"/>
      <c r="F877" s="81"/>
      <c r="G877" s="81"/>
      <c r="H877" s="82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4.25" customHeight="1">
      <c r="A878" s="30"/>
      <c r="B878" s="30"/>
      <c r="C878" s="30"/>
      <c r="D878" s="30"/>
      <c r="E878" s="30"/>
      <c r="F878" s="31"/>
      <c r="G878" s="30"/>
      <c r="H878" s="30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4.25" customHeight="1">
      <c r="A879" s="85" t="s">
        <v>0</v>
      </c>
      <c r="B879" s="81"/>
      <c r="C879" s="81"/>
      <c r="D879" s="81"/>
      <c r="E879" s="81"/>
      <c r="F879" s="81"/>
      <c r="G879" s="81"/>
      <c r="H879" s="82"/>
    </row>
    <row r="880" spans="1:26" ht="14.25" customHeight="1">
      <c r="A880" s="85" t="s">
        <v>318</v>
      </c>
      <c r="B880" s="81"/>
      <c r="C880" s="81"/>
      <c r="D880" s="81"/>
      <c r="E880" s="81"/>
      <c r="F880" s="81"/>
      <c r="G880" s="81"/>
      <c r="H880" s="82"/>
    </row>
    <row r="881" spans="1:26" ht="14.25" customHeight="1">
      <c r="A881" s="1" t="s">
        <v>2</v>
      </c>
      <c r="B881" s="1" t="s">
        <v>3</v>
      </c>
      <c r="C881" s="1" t="s">
        <v>4</v>
      </c>
      <c r="D881" s="1" t="s">
        <v>5</v>
      </c>
      <c r="E881" s="1" t="s">
        <v>6</v>
      </c>
      <c r="F881" s="2" t="s">
        <v>7</v>
      </c>
      <c r="G881" s="1" t="s">
        <v>8</v>
      </c>
      <c r="H881" s="1"/>
    </row>
    <row r="882" spans="1:26" ht="14.25" customHeight="1">
      <c r="A882" s="3">
        <v>1</v>
      </c>
      <c r="B882" s="9" t="s">
        <v>319</v>
      </c>
      <c r="C882" s="10" t="s">
        <v>320</v>
      </c>
      <c r="D882" s="9" t="s">
        <v>11</v>
      </c>
      <c r="E882" s="9">
        <v>2.1</v>
      </c>
      <c r="F882" s="6">
        <v>293000</v>
      </c>
      <c r="G882" s="7">
        <f t="shared" ref="G882:G884" si="57">IFERROR(E882*F882,0)</f>
        <v>615300</v>
      </c>
      <c r="H882" s="8"/>
    </row>
    <row r="883" spans="1:26" ht="14.25" customHeight="1">
      <c r="A883" s="3">
        <v>2</v>
      </c>
      <c r="B883" s="9" t="s">
        <v>260</v>
      </c>
      <c r="C883" s="10" t="s">
        <v>321</v>
      </c>
      <c r="D883" s="9" t="s">
        <v>14</v>
      </c>
      <c r="E883" s="9">
        <v>1.36</v>
      </c>
      <c r="F883" s="11">
        <v>435000</v>
      </c>
      <c r="G883" s="7">
        <f t="shared" si="57"/>
        <v>591600</v>
      </c>
      <c r="H883" s="8"/>
    </row>
    <row r="884" spans="1:26" ht="14.25" customHeight="1">
      <c r="A884" s="3">
        <v>3</v>
      </c>
      <c r="B884" s="8" t="s">
        <v>17</v>
      </c>
      <c r="C884" s="8"/>
      <c r="D884" s="8"/>
      <c r="E884" s="8"/>
      <c r="F884" s="8"/>
      <c r="G884" s="13">
        <f t="shared" si="57"/>
        <v>0</v>
      </c>
      <c r="H884" s="8"/>
    </row>
    <row r="885" spans="1:26" ht="14.25" customHeight="1">
      <c r="A885" s="86" t="s">
        <v>18</v>
      </c>
      <c r="B885" s="81"/>
      <c r="C885" s="81"/>
      <c r="D885" s="81"/>
      <c r="E885" s="81"/>
      <c r="F885" s="81"/>
      <c r="G885" s="82"/>
      <c r="H885" s="14">
        <f>SUM(G882:G884)</f>
        <v>1206900</v>
      </c>
    </row>
    <row r="886" spans="1:26" ht="14.25" customHeight="1">
      <c r="A886" s="86" t="s">
        <v>19</v>
      </c>
      <c r="B886" s="81"/>
      <c r="C886" s="81"/>
      <c r="D886" s="81"/>
      <c r="E886" s="81"/>
      <c r="F886" s="81"/>
      <c r="G886" s="82"/>
      <c r="H886" s="14">
        <f>MAX(0,H885-648000)</f>
        <v>558900</v>
      </c>
    </row>
    <row r="887" spans="1:26" ht="14.25" customHeight="1">
      <c r="A887" s="87" t="s">
        <v>20</v>
      </c>
      <c r="B887" s="81"/>
      <c r="C887" s="81"/>
      <c r="D887" s="81"/>
      <c r="E887" s="81"/>
      <c r="F887" s="81"/>
      <c r="G887" s="82"/>
      <c r="H887" s="15">
        <v>649000</v>
      </c>
    </row>
    <row r="888" spans="1:26" ht="14.25" customHeight="1">
      <c r="A888" s="85"/>
      <c r="B888" s="81"/>
      <c r="C888" s="81"/>
      <c r="D888" s="81"/>
      <c r="E888" s="81"/>
      <c r="F888" s="81"/>
      <c r="G888" s="81"/>
      <c r="H888" s="82"/>
    </row>
    <row r="889" spans="1:26" ht="14.2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4.2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4.2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4.2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4.2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4.2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4.2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4.2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4.25" customHeight="1">
      <c r="A897" s="80" t="s">
        <v>0</v>
      </c>
      <c r="B897" s="81"/>
      <c r="C897" s="81"/>
      <c r="D897" s="81"/>
      <c r="E897" s="81"/>
      <c r="F897" s="81"/>
      <c r="G897" s="81"/>
      <c r="H897" s="8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4.25" customHeight="1">
      <c r="A898" s="80" t="s">
        <v>322</v>
      </c>
      <c r="B898" s="81"/>
      <c r="C898" s="81"/>
      <c r="D898" s="81"/>
      <c r="E898" s="81"/>
      <c r="F898" s="81"/>
      <c r="G898" s="81"/>
      <c r="H898" s="8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4.25" customHeight="1">
      <c r="A899" s="33" t="s">
        <v>2</v>
      </c>
      <c r="B899" s="33" t="s">
        <v>3</v>
      </c>
      <c r="C899" s="33" t="s">
        <v>4</v>
      </c>
      <c r="D899" s="33" t="s">
        <v>5</v>
      </c>
      <c r="E899" s="33" t="s">
        <v>6</v>
      </c>
      <c r="F899" s="34" t="s">
        <v>7</v>
      </c>
      <c r="G899" s="33" t="s">
        <v>8</v>
      </c>
      <c r="H899" s="35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4.25" customHeight="1">
      <c r="A900" s="36">
        <v>1</v>
      </c>
      <c r="B900" s="4" t="s">
        <v>104</v>
      </c>
      <c r="C900" s="5" t="s">
        <v>323</v>
      </c>
      <c r="D900" s="4" t="s">
        <v>11</v>
      </c>
      <c r="E900" s="4">
        <v>2.8</v>
      </c>
      <c r="F900" s="6">
        <v>293000</v>
      </c>
      <c r="G900" s="37">
        <f t="shared" ref="G900:G902" si="58">IFERROR(E900*F900,0)</f>
        <v>820400</v>
      </c>
      <c r="H900" s="38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4.25" customHeight="1">
      <c r="A901" s="36">
        <v>2</v>
      </c>
      <c r="B901" s="4" t="s">
        <v>324</v>
      </c>
      <c r="C901" s="5" t="s">
        <v>325</v>
      </c>
      <c r="D901" s="4" t="s">
        <v>11</v>
      </c>
      <c r="E901" s="4">
        <v>1</v>
      </c>
      <c r="F901" s="6">
        <v>293000</v>
      </c>
      <c r="G901" s="37">
        <f t="shared" si="58"/>
        <v>293000</v>
      </c>
      <c r="H901" s="38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4.25" customHeight="1">
      <c r="A902" s="36">
        <v>3</v>
      </c>
      <c r="B902" s="39" t="s">
        <v>17</v>
      </c>
      <c r="C902" s="38"/>
      <c r="D902" s="38"/>
      <c r="E902" s="38"/>
      <c r="F902" s="38"/>
      <c r="G902" s="40">
        <f t="shared" si="58"/>
        <v>0</v>
      </c>
      <c r="H902" s="38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4.25" customHeight="1">
      <c r="A903" s="83" t="s">
        <v>18</v>
      </c>
      <c r="B903" s="81"/>
      <c r="C903" s="81"/>
      <c r="D903" s="81"/>
      <c r="E903" s="81"/>
      <c r="F903" s="81"/>
      <c r="G903" s="82"/>
      <c r="H903" s="41">
        <f>SUM(G900:G902)</f>
        <v>1113400</v>
      </c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4.25" customHeight="1">
      <c r="A904" s="83" t="s">
        <v>19</v>
      </c>
      <c r="B904" s="81"/>
      <c r="C904" s="81"/>
      <c r="D904" s="81"/>
      <c r="E904" s="81"/>
      <c r="F904" s="81"/>
      <c r="G904" s="82"/>
      <c r="H904" s="41">
        <f>MAX(0,H903-648000)</f>
        <v>465400</v>
      </c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4.25" customHeight="1">
      <c r="A905" s="84" t="s">
        <v>20</v>
      </c>
      <c r="B905" s="81"/>
      <c r="C905" s="81"/>
      <c r="D905" s="81"/>
      <c r="E905" s="81"/>
      <c r="F905" s="81"/>
      <c r="G905" s="82"/>
      <c r="H905" s="42">
        <v>649000</v>
      </c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4.25" customHeight="1">
      <c r="A906" s="80"/>
      <c r="B906" s="81"/>
      <c r="C906" s="81"/>
      <c r="D906" s="81"/>
      <c r="E906" s="81"/>
      <c r="F906" s="81"/>
      <c r="G906" s="81"/>
      <c r="H906" s="8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4.2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4.2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4.2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4.2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4.25" customHeight="1">
      <c r="A911" s="80" t="s">
        <v>0</v>
      </c>
      <c r="B911" s="81"/>
      <c r="C911" s="81"/>
      <c r="D911" s="81"/>
      <c r="E911" s="81"/>
      <c r="F911" s="81"/>
      <c r="G911" s="81"/>
      <c r="H911" s="8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4.25" customHeight="1">
      <c r="A912" s="80" t="s">
        <v>326</v>
      </c>
      <c r="B912" s="81"/>
      <c r="C912" s="81"/>
      <c r="D912" s="81"/>
      <c r="E912" s="81"/>
      <c r="F912" s="81"/>
      <c r="G912" s="81"/>
      <c r="H912" s="8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4.25" customHeight="1">
      <c r="A913" s="33" t="s">
        <v>2</v>
      </c>
      <c r="B913" s="33" t="s">
        <v>3</v>
      </c>
      <c r="C913" s="33" t="s">
        <v>4</v>
      </c>
      <c r="D913" s="33" t="s">
        <v>5</v>
      </c>
      <c r="E913" s="33" t="s">
        <v>6</v>
      </c>
      <c r="F913" s="34" t="s">
        <v>7</v>
      </c>
      <c r="G913" s="33" t="s">
        <v>8</v>
      </c>
      <c r="H913" s="35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4.25" customHeight="1">
      <c r="A914" s="36">
        <v>1</v>
      </c>
      <c r="B914" s="4" t="s">
        <v>73</v>
      </c>
      <c r="C914" s="5" t="s">
        <v>327</v>
      </c>
      <c r="D914" s="4" t="s">
        <v>11</v>
      </c>
      <c r="E914" s="4">
        <v>1.97</v>
      </c>
      <c r="F914" s="6">
        <v>293000</v>
      </c>
      <c r="G914" s="37">
        <f t="shared" ref="G914:G916" si="59">IFERROR(E914*F914,0)</f>
        <v>577210</v>
      </c>
      <c r="H914" s="38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4.25" customHeight="1">
      <c r="A915" s="36">
        <v>2</v>
      </c>
      <c r="B915" s="4" t="s">
        <v>70</v>
      </c>
      <c r="C915" s="5" t="s">
        <v>328</v>
      </c>
      <c r="D915" s="4" t="s">
        <v>14</v>
      </c>
      <c r="E915" s="4">
        <v>1.46</v>
      </c>
      <c r="F915" s="43">
        <v>435000</v>
      </c>
      <c r="G915" s="37">
        <f t="shared" si="59"/>
        <v>635100</v>
      </c>
      <c r="H915" s="38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4.25" customHeight="1">
      <c r="A916" s="36">
        <v>3</v>
      </c>
      <c r="B916" s="39" t="s">
        <v>17</v>
      </c>
      <c r="C916" s="38"/>
      <c r="D916" s="38"/>
      <c r="E916" s="38"/>
      <c r="F916" s="38"/>
      <c r="G916" s="40">
        <f t="shared" si="59"/>
        <v>0</v>
      </c>
      <c r="H916" s="38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4.25" customHeight="1">
      <c r="A917" s="83" t="s">
        <v>18</v>
      </c>
      <c r="B917" s="81"/>
      <c r="C917" s="81"/>
      <c r="D917" s="81"/>
      <c r="E917" s="81"/>
      <c r="F917" s="81"/>
      <c r="G917" s="82"/>
      <c r="H917" s="41">
        <f>SUM(G914:G916)</f>
        <v>1212310</v>
      </c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4.25" customHeight="1">
      <c r="A918" s="83" t="s">
        <v>19</v>
      </c>
      <c r="B918" s="81"/>
      <c r="C918" s="81"/>
      <c r="D918" s="81"/>
      <c r="E918" s="81"/>
      <c r="F918" s="81"/>
      <c r="G918" s="82"/>
      <c r="H918" s="41">
        <f>MAX(0,H917-648000)</f>
        <v>564310</v>
      </c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4.25" customHeight="1">
      <c r="A919" s="84" t="s">
        <v>20</v>
      </c>
      <c r="B919" s="81"/>
      <c r="C919" s="81"/>
      <c r="D919" s="81"/>
      <c r="E919" s="81"/>
      <c r="F919" s="81"/>
      <c r="G919" s="82"/>
      <c r="H919" s="42">
        <v>649000</v>
      </c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4.25" customHeight="1">
      <c r="A920" s="80"/>
      <c r="B920" s="81"/>
      <c r="C920" s="81"/>
      <c r="D920" s="81"/>
      <c r="E920" s="81"/>
      <c r="F920" s="81"/>
      <c r="G920" s="81"/>
      <c r="H920" s="8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4.25" customHeight="1"/>
    <row r="922" spans="1:26" ht="14.25" customHeight="1"/>
    <row r="923" spans="1:26" ht="14.25" customHeight="1"/>
    <row r="924" spans="1:26" ht="14.25" customHeight="1"/>
    <row r="925" spans="1:26" ht="14.25" customHeight="1"/>
    <row r="926" spans="1:26" ht="14.25" customHeight="1">
      <c r="A926" s="80" t="s">
        <v>0</v>
      </c>
      <c r="B926" s="81"/>
      <c r="C926" s="81"/>
      <c r="D926" s="81"/>
      <c r="E926" s="81"/>
      <c r="F926" s="81"/>
      <c r="G926" s="81"/>
      <c r="H926" s="8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4.25" customHeight="1">
      <c r="A927" s="80" t="s">
        <v>329</v>
      </c>
      <c r="B927" s="81"/>
      <c r="C927" s="81"/>
      <c r="D927" s="81"/>
      <c r="E927" s="81"/>
      <c r="F927" s="81"/>
      <c r="G927" s="81"/>
      <c r="H927" s="8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4.25" customHeight="1">
      <c r="A928" s="33" t="s">
        <v>2</v>
      </c>
      <c r="B928" s="33" t="s">
        <v>3</v>
      </c>
      <c r="C928" s="33" t="s">
        <v>4</v>
      </c>
      <c r="D928" s="33" t="s">
        <v>5</v>
      </c>
      <c r="E928" s="33" t="s">
        <v>6</v>
      </c>
      <c r="F928" s="34" t="s">
        <v>7</v>
      </c>
      <c r="G928" s="33" t="s">
        <v>8</v>
      </c>
      <c r="H928" s="35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4.25" customHeight="1">
      <c r="A929" s="36">
        <v>1</v>
      </c>
      <c r="B929" s="9" t="s">
        <v>330</v>
      </c>
      <c r="C929" s="10" t="s">
        <v>331</v>
      </c>
      <c r="D929" s="9" t="s">
        <v>11</v>
      </c>
      <c r="E929" s="9">
        <v>1.1499999999999999</v>
      </c>
      <c r="F929" s="6">
        <v>293000</v>
      </c>
      <c r="G929" s="37">
        <f t="shared" ref="G929:G931" si="60">IFERROR(E929*F929,0)</f>
        <v>336950</v>
      </c>
      <c r="H929" s="38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4.25" customHeight="1">
      <c r="A930" s="36">
        <v>2</v>
      </c>
      <c r="B930" s="9" t="s">
        <v>70</v>
      </c>
      <c r="C930" s="10" t="s">
        <v>332</v>
      </c>
      <c r="D930" s="9" t="s">
        <v>14</v>
      </c>
      <c r="E930" s="9">
        <v>2.78</v>
      </c>
      <c r="F930" s="43">
        <v>435000</v>
      </c>
      <c r="G930" s="37">
        <f t="shared" si="60"/>
        <v>1209300</v>
      </c>
      <c r="H930" s="38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4.25" customHeight="1">
      <c r="A931" s="36">
        <v>3</v>
      </c>
      <c r="B931" s="39" t="s">
        <v>17</v>
      </c>
      <c r="C931" s="38"/>
      <c r="D931" s="38"/>
      <c r="E931" s="38"/>
      <c r="F931" s="38"/>
      <c r="G931" s="40">
        <f t="shared" si="60"/>
        <v>0</v>
      </c>
      <c r="H931" s="38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4.25" customHeight="1">
      <c r="A932" s="83" t="s">
        <v>18</v>
      </c>
      <c r="B932" s="81"/>
      <c r="C932" s="81"/>
      <c r="D932" s="81"/>
      <c r="E932" s="81"/>
      <c r="F932" s="81"/>
      <c r="G932" s="82"/>
      <c r="H932" s="41">
        <f>SUM(G929:G931)</f>
        <v>1546250</v>
      </c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4.25" customHeight="1">
      <c r="A933" s="83" t="s">
        <v>19</v>
      </c>
      <c r="B933" s="81"/>
      <c r="C933" s="81"/>
      <c r="D933" s="81"/>
      <c r="E933" s="81"/>
      <c r="F933" s="81"/>
      <c r="G933" s="82"/>
      <c r="H933" s="41">
        <f>MAX(0,H932-648000)</f>
        <v>898250</v>
      </c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4.25" customHeight="1">
      <c r="A934" s="84" t="s">
        <v>20</v>
      </c>
      <c r="B934" s="81"/>
      <c r="C934" s="81"/>
      <c r="D934" s="81"/>
      <c r="E934" s="81"/>
      <c r="F934" s="81"/>
      <c r="G934" s="82"/>
      <c r="H934" s="42">
        <v>649000</v>
      </c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4.25" customHeight="1">
      <c r="A935" s="80"/>
      <c r="B935" s="81"/>
      <c r="C935" s="81"/>
      <c r="D935" s="81"/>
      <c r="E935" s="81"/>
      <c r="F935" s="81"/>
      <c r="G935" s="81"/>
      <c r="H935" s="8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4.25" customHeight="1"/>
    <row r="937" spans="1:26" ht="14.25" customHeight="1"/>
    <row r="938" spans="1:26" ht="14.25" customHeight="1"/>
    <row r="939" spans="1:26" ht="14.25" customHeight="1"/>
    <row r="940" spans="1:26" ht="14.25" customHeight="1"/>
    <row r="941" spans="1:26" ht="14.25" customHeight="1">
      <c r="A941" s="80" t="s">
        <v>0</v>
      </c>
      <c r="B941" s="81"/>
      <c r="C941" s="81"/>
      <c r="D941" s="81"/>
      <c r="E941" s="81"/>
      <c r="F941" s="81"/>
      <c r="G941" s="81"/>
      <c r="H941" s="8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4.25" customHeight="1">
      <c r="A942" s="80" t="s">
        <v>333</v>
      </c>
      <c r="B942" s="81"/>
      <c r="C942" s="81"/>
      <c r="D942" s="81"/>
      <c r="E942" s="81"/>
      <c r="F942" s="81"/>
      <c r="G942" s="81"/>
      <c r="H942" s="8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4.25" customHeight="1">
      <c r="A943" s="33" t="s">
        <v>2</v>
      </c>
      <c r="B943" s="33" t="s">
        <v>3</v>
      </c>
      <c r="C943" s="33" t="s">
        <v>4</v>
      </c>
      <c r="D943" s="33" t="s">
        <v>5</v>
      </c>
      <c r="E943" s="33" t="s">
        <v>6</v>
      </c>
      <c r="F943" s="34" t="s">
        <v>7</v>
      </c>
      <c r="G943" s="33" t="s">
        <v>8</v>
      </c>
      <c r="H943" s="35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4.25" customHeight="1">
      <c r="A944" s="36">
        <v>1</v>
      </c>
      <c r="B944" s="4" t="s">
        <v>203</v>
      </c>
      <c r="C944" s="5" t="s">
        <v>334</v>
      </c>
      <c r="D944" s="4" t="s">
        <v>11</v>
      </c>
      <c r="E944" s="4">
        <v>1.1000000000000001</v>
      </c>
      <c r="F944" s="6">
        <v>293000</v>
      </c>
      <c r="G944" s="37">
        <f t="shared" ref="G944:G946" si="61">IFERROR(E944*F944,0)</f>
        <v>322300</v>
      </c>
      <c r="H944" s="38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4.25" customHeight="1">
      <c r="A945" s="36">
        <v>2</v>
      </c>
      <c r="B945" s="44" t="s">
        <v>73</v>
      </c>
      <c r="C945" s="45" t="s">
        <v>335</v>
      </c>
      <c r="D945" s="46" t="s">
        <v>233</v>
      </c>
      <c r="E945" s="46">
        <v>2.5</v>
      </c>
      <c r="F945" s="43">
        <v>435000</v>
      </c>
      <c r="G945" s="37">
        <f t="shared" si="61"/>
        <v>1087500</v>
      </c>
      <c r="H945" s="38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4.25" customHeight="1">
      <c r="A946" s="36">
        <v>3</v>
      </c>
      <c r="B946" s="39" t="s">
        <v>17</v>
      </c>
      <c r="C946" s="38"/>
      <c r="D946" s="38"/>
      <c r="E946" s="38"/>
      <c r="F946" s="38"/>
      <c r="G946" s="40">
        <f t="shared" si="61"/>
        <v>0</v>
      </c>
      <c r="H946" s="38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4.25" customHeight="1">
      <c r="A947" s="83" t="s">
        <v>18</v>
      </c>
      <c r="B947" s="81"/>
      <c r="C947" s="81"/>
      <c r="D947" s="81"/>
      <c r="E947" s="81"/>
      <c r="F947" s="81"/>
      <c r="G947" s="82"/>
      <c r="H947" s="41">
        <f>SUM(G944:G946)</f>
        <v>1409800</v>
      </c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4.25" customHeight="1">
      <c r="A948" s="83" t="s">
        <v>19</v>
      </c>
      <c r="B948" s="81"/>
      <c r="C948" s="81"/>
      <c r="D948" s="81"/>
      <c r="E948" s="81"/>
      <c r="F948" s="81"/>
      <c r="G948" s="82"/>
      <c r="H948" s="41">
        <f>MAX(0,H947-648000)</f>
        <v>761800</v>
      </c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4.25" customHeight="1">
      <c r="A949" s="84" t="s">
        <v>20</v>
      </c>
      <c r="B949" s="81"/>
      <c r="C949" s="81"/>
      <c r="D949" s="81"/>
      <c r="E949" s="81"/>
      <c r="F949" s="81"/>
      <c r="G949" s="82"/>
      <c r="H949" s="42">
        <v>649000</v>
      </c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4.25" customHeight="1">
      <c r="A950" s="80"/>
      <c r="B950" s="81"/>
      <c r="C950" s="81"/>
      <c r="D950" s="81"/>
      <c r="E950" s="81"/>
      <c r="F950" s="81"/>
      <c r="G950" s="81"/>
      <c r="H950" s="8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4.25" customHeight="1"/>
    <row r="952" spans="1:26" ht="14.25" customHeight="1"/>
    <row r="953" spans="1:26" ht="14.25" customHeight="1"/>
    <row r="954" spans="1:26" ht="14.25" customHeight="1"/>
    <row r="955" spans="1:26" ht="14.25" customHeight="1"/>
    <row r="956" spans="1:26" ht="14.25" customHeight="1">
      <c r="A956" s="80" t="s">
        <v>0</v>
      </c>
      <c r="B956" s="81"/>
      <c r="C956" s="81"/>
      <c r="D956" s="81"/>
      <c r="E956" s="81"/>
      <c r="F956" s="81"/>
      <c r="G956" s="81"/>
      <c r="H956" s="8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4.25" customHeight="1">
      <c r="A957" s="80" t="s">
        <v>336</v>
      </c>
      <c r="B957" s="81"/>
      <c r="C957" s="81"/>
      <c r="D957" s="81"/>
      <c r="E957" s="81"/>
      <c r="F957" s="81"/>
      <c r="G957" s="81"/>
      <c r="H957" s="8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4.25" customHeight="1">
      <c r="A958" s="33" t="s">
        <v>2</v>
      </c>
      <c r="B958" s="33" t="s">
        <v>3</v>
      </c>
      <c r="C958" s="33" t="s">
        <v>4</v>
      </c>
      <c r="D958" s="33" t="s">
        <v>5</v>
      </c>
      <c r="E958" s="33" t="s">
        <v>6</v>
      </c>
      <c r="F958" s="34" t="s">
        <v>7</v>
      </c>
      <c r="G958" s="33" t="s">
        <v>8</v>
      </c>
      <c r="H958" s="35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4.25" customHeight="1">
      <c r="A959" s="36">
        <v>1</v>
      </c>
      <c r="B959" s="4" t="s">
        <v>33</v>
      </c>
      <c r="C959" s="5" t="s">
        <v>337</v>
      </c>
      <c r="D959" s="4" t="s">
        <v>11</v>
      </c>
      <c r="E959" s="4">
        <v>1.47</v>
      </c>
      <c r="F959" s="6">
        <v>293000</v>
      </c>
      <c r="G959" s="37">
        <f t="shared" ref="G959:G961" si="62">IFERROR(E959*F959,0)</f>
        <v>430710</v>
      </c>
      <c r="H959" s="38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4.25" customHeight="1">
      <c r="A960" s="36">
        <v>2</v>
      </c>
      <c r="B960" s="4" t="s">
        <v>31</v>
      </c>
      <c r="C960" s="5" t="s">
        <v>338</v>
      </c>
      <c r="D960" s="4" t="s">
        <v>14</v>
      </c>
      <c r="E960" s="4">
        <v>2</v>
      </c>
      <c r="F960" s="43">
        <v>435000</v>
      </c>
      <c r="G960" s="37">
        <f t="shared" si="62"/>
        <v>870000</v>
      </c>
      <c r="H960" s="38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4.25" customHeight="1">
      <c r="A961" s="36">
        <v>3</v>
      </c>
      <c r="B961" s="39" t="s">
        <v>17</v>
      </c>
      <c r="C961" s="38"/>
      <c r="D961" s="38"/>
      <c r="E961" s="38"/>
      <c r="F961" s="38"/>
      <c r="G961" s="40">
        <f t="shared" si="62"/>
        <v>0</v>
      </c>
      <c r="H961" s="38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4.25" customHeight="1">
      <c r="A962" s="83" t="s">
        <v>18</v>
      </c>
      <c r="B962" s="81"/>
      <c r="C962" s="81"/>
      <c r="D962" s="81"/>
      <c r="E962" s="81"/>
      <c r="F962" s="81"/>
      <c r="G962" s="82"/>
      <c r="H962" s="41">
        <f>SUM(G959:G961)</f>
        <v>1300710</v>
      </c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4.25" customHeight="1">
      <c r="A963" s="83" t="s">
        <v>19</v>
      </c>
      <c r="B963" s="81"/>
      <c r="C963" s="81"/>
      <c r="D963" s="81"/>
      <c r="E963" s="81"/>
      <c r="F963" s="81"/>
      <c r="G963" s="82"/>
      <c r="H963" s="41">
        <f>MAX(0,H962-648000)</f>
        <v>652710</v>
      </c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4.25" customHeight="1">
      <c r="A964" s="84" t="s">
        <v>20</v>
      </c>
      <c r="B964" s="81"/>
      <c r="C964" s="81"/>
      <c r="D964" s="81"/>
      <c r="E964" s="81"/>
      <c r="F964" s="81"/>
      <c r="G964" s="82"/>
      <c r="H964" s="42">
        <v>649000</v>
      </c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4.25" customHeight="1">
      <c r="A965" s="80"/>
      <c r="B965" s="81"/>
      <c r="C965" s="81"/>
      <c r="D965" s="81"/>
      <c r="E965" s="81"/>
      <c r="F965" s="81"/>
      <c r="G965" s="81"/>
      <c r="H965" s="8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4.25" customHeight="1"/>
    <row r="967" spans="1:26" ht="14.25" customHeight="1"/>
    <row r="968" spans="1:26" ht="14.25" customHeight="1"/>
    <row r="969" spans="1:26" ht="14.25" customHeight="1"/>
    <row r="970" spans="1:26" ht="14.25" customHeight="1">
      <c r="A970" s="80" t="s">
        <v>0</v>
      </c>
      <c r="B970" s="81"/>
      <c r="C970" s="81"/>
      <c r="D970" s="81"/>
      <c r="E970" s="81"/>
      <c r="F970" s="81"/>
      <c r="G970" s="81"/>
      <c r="H970" s="8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4.25" customHeight="1">
      <c r="A971" s="80" t="s">
        <v>339</v>
      </c>
      <c r="B971" s="81"/>
      <c r="C971" s="81"/>
      <c r="D971" s="81"/>
      <c r="E971" s="81"/>
      <c r="F971" s="81"/>
      <c r="G971" s="81"/>
      <c r="H971" s="8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4.25" customHeight="1">
      <c r="A972" s="33" t="s">
        <v>2</v>
      </c>
      <c r="B972" s="33" t="s">
        <v>3</v>
      </c>
      <c r="C972" s="33" t="s">
        <v>4</v>
      </c>
      <c r="D972" s="33" t="s">
        <v>5</v>
      </c>
      <c r="E972" s="33" t="s">
        <v>6</v>
      </c>
      <c r="F972" s="34" t="s">
        <v>7</v>
      </c>
      <c r="G972" s="33" t="s">
        <v>8</v>
      </c>
      <c r="H972" s="35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4.25" customHeight="1">
      <c r="A973" s="36">
        <v>1</v>
      </c>
      <c r="B973" s="9" t="s">
        <v>340</v>
      </c>
      <c r="C973" s="10" t="s">
        <v>341</v>
      </c>
      <c r="D973" s="9" t="s">
        <v>11</v>
      </c>
      <c r="E973" s="9">
        <v>2.0499999999999998</v>
      </c>
      <c r="F973" s="6">
        <v>293000</v>
      </c>
      <c r="G973" s="37">
        <f t="shared" ref="G973:G975" si="63">IFERROR(E973*F973,0)</f>
        <v>600650</v>
      </c>
      <c r="H973" s="38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4.25" customHeight="1">
      <c r="A974" s="36">
        <v>2</v>
      </c>
      <c r="B974" s="9" t="s">
        <v>65</v>
      </c>
      <c r="C974" s="10" t="s">
        <v>342</v>
      </c>
      <c r="D974" s="9" t="s">
        <v>14</v>
      </c>
      <c r="E974" s="9">
        <v>1.48</v>
      </c>
      <c r="F974" s="43">
        <v>435000</v>
      </c>
      <c r="G974" s="37">
        <f t="shared" si="63"/>
        <v>643800</v>
      </c>
      <c r="H974" s="38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4.25" customHeight="1">
      <c r="A975" s="36">
        <v>3</v>
      </c>
      <c r="B975" s="39" t="s">
        <v>17</v>
      </c>
      <c r="C975" s="38"/>
      <c r="D975" s="38"/>
      <c r="E975" s="38"/>
      <c r="F975" s="38"/>
      <c r="G975" s="40">
        <f t="shared" si="63"/>
        <v>0</v>
      </c>
      <c r="H975" s="38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4.25" customHeight="1">
      <c r="A976" s="83" t="s">
        <v>18</v>
      </c>
      <c r="B976" s="81"/>
      <c r="C976" s="81"/>
      <c r="D976" s="81"/>
      <c r="E976" s="81"/>
      <c r="F976" s="81"/>
      <c r="G976" s="82"/>
      <c r="H976" s="41">
        <f>SUM(G973:G975)</f>
        <v>1244450</v>
      </c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4.25" customHeight="1">
      <c r="A977" s="83" t="s">
        <v>19</v>
      </c>
      <c r="B977" s="81"/>
      <c r="C977" s="81"/>
      <c r="D977" s="81"/>
      <c r="E977" s="81"/>
      <c r="F977" s="81"/>
      <c r="G977" s="82"/>
      <c r="H977" s="41">
        <f>MAX(0,H976-648000)</f>
        <v>596450</v>
      </c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4.25" customHeight="1">
      <c r="A978" s="84" t="s">
        <v>20</v>
      </c>
      <c r="B978" s="81"/>
      <c r="C978" s="81"/>
      <c r="D978" s="81"/>
      <c r="E978" s="81"/>
      <c r="F978" s="81"/>
      <c r="G978" s="82"/>
      <c r="H978" s="42">
        <v>649000</v>
      </c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4.25" customHeight="1">
      <c r="A979" s="80"/>
      <c r="B979" s="81"/>
      <c r="C979" s="81"/>
      <c r="D979" s="81"/>
      <c r="E979" s="81"/>
      <c r="F979" s="81"/>
      <c r="G979" s="81"/>
      <c r="H979" s="8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4.25" customHeight="1"/>
    <row r="981" spans="1:26" ht="14.25" customHeight="1"/>
    <row r="982" spans="1:26" ht="14.25" customHeight="1"/>
    <row r="983" spans="1:26" ht="14.25" customHeight="1"/>
    <row r="984" spans="1:26" ht="14.25" customHeight="1"/>
    <row r="985" spans="1:26" ht="14.25" customHeight="1"/>
    <row r="986" spans="1:26" ht="14.25" customHeight="1"/>
    <row r="987" spans="1:26" ht="14.25" customHeight="1">
      <c r="A987" s="80" t="s">
        <v>0</v>
      </c>
      <c r="B987" s="81"/>
      <c r="C987" s="81"/>
      <c r="D987" s="81"/>
      <c r="E987" s="81"/>
      <c r="F987" s="81"/>
      <c r="G987" s="81"/>
      <c r="H987" s="8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4.25" customHeight="1">
      <c r="A988" s="80" t="s">
        <v>343</v>
      </c>
      <c r="B988" s="81"/>
      <c r="C988" s="81"/>
      <c r="D988" s="81"/>
      <c r="E988" s="81"/>
      <c r="F988" s="81"/>
      <c r="G988" s="81"/>
      <c r="H988" s="8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4.25" customHeight="1">
      <c r="A989" s="33" t="s">
        <v>2</v>
      </c>
      <c r="B989" s="33" t="s">
        <v>3</v>
      </c>
      <c r="C989" s="33" t="s">
        <v>4</v>
      </c>
      <c r="D989" s="33" t="s">
        <v>5</v>
      </c>
      <c r="E989" s="33" t="s">
        <v>6</v>
      </c>
      <c r="F989" s="34" t="s">
        <v>7</v>
      </c>
      <c r="G989" s="33" t="s">
        <v>8</v>
      </c>
      <c r="H989" s="35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4.25" customHeight="1">
      <c r="A990" s="36">
        <v>1</v>
      </c>
      <c r="B990" s="9" t="s">
        <v>29</v>
      </c>
      <c r="C990" s="10" t="s">
        <v>344</v>
      </c>
      <c r="D990" s="9" t="s">
        <v>11</v>
      </c>
      <c r="E990" s="9">
        <v>2</v>
      </c>
      <c r="F990" s="6">
        <v>293000</v>
      </c>
      <c r="G990" s="37">
        <f t="shared" ref="G990:G992" si="64">IFERROR(E990*F990,0)</f>
        <v>586000</v>
      </c>
      <c r="H990" s="38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4.25" customHeight="1">
      <c r="A991" s="36">
        <v>2</v>
      </c>
      <c r="B991" s="4" t="s">
        <v>65</v>
      </c>
      <c r="C991" s="5" t="s">
        <v>345</v>
      </c>
      <c r="D991" s="4" t="s">
        <v>14</v>
      </c>
      <c r="E991" s="4">
        <v>1.48</v>
      </c>
      <c r="F991" s="43">
        <v>435000</v>
      </c>
      <c r="G991" s="37">
        <f t="shared" si="64"/>
        <v>643800</v>
      </c>
      <c r="H991" s="38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4.25" customHeight="1">
      <c r="A992" s="36">
        <v>3</v>
      </c>
      <c r="B992" s="39" t="s">
        <v>17</v>
      </c>
      <c r="C992" s="38"/>
      <c r="D992" s="38"/>
      <c r="E992" s="38"/>
      <c r="F992" s="38"/>
      <c r="G992" s="40">
        <f t="shared" si="64"/>
        <v>0</v>
      </c>
      <c r="H992" s="38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4.25" customHeight="1">
      <c r="A993" s="83" t="s">
        <v>18</v>
      </c>
      <c r="B993" s="81"/>
      <c r="C993" s="81"/>
      <c r="D993" s="81"/>
      <c r="E993" s="81"/>
      <c r="F993" s="81"/>
      <c r="G993" s="82"/>
      <c r="H993" s="41">
        <f>SUM(G990:G992)</f>
        <v>1229800</v>
      </c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4.25" customHeight="1">
      <c r="A994" s="83" t="s">
        <v>19</v>
      </c>
      <c r="B994" s="81"/>
      <c r="C994" s="81"/>
      <c r="D994" s="81"/>
      <c r="E994" s="81"/>
      <c r="F994" s="81"/>
      <c r="G994" s="82"/>
      <c r="H994" s="41">
        <f>MAX(0,H993-648000)</f>
        <v>581800</v>
      </c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4.25" customHeight="1">
      <c r="A995" s="84" t="s">
        <v>20</v>
      </c>
      <c r="B995" s="81"/>
      <c r="C995" s="81"/>
      <c r="D995" s="81"/>
      <c r="E995" s="81"/>
      <c r="F995" s="81"/>
      <c r="G995" s="82"/>
      <c r="H995" s="42">
        <v>649000</v>
      </c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4.25" customHeight="1">
      <c r="A996" s="80"/>
      <c r="B996" s="81"/>
      <c r="C996" s="81"/>
      <c r="D996" s="81"/>
      <c r="E996" s="81"/>
      <c r="F996" s="81"/>
      <c r="G996" s="81"/>
      <c r="H996" s="8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4.25" customHeight="1"/>
    <row r="998" spans="1:26" ht="14.25" customHeight="1"/>
    <row r="999" spans="1:26" ht="14.25" customHeight="1"/>
    <row r="1000" spans="1:26" ht="14.25" customHeight="1">
      <c r="A1000" s="80" t="s">
        <v>0</v>
      </c>
      <c r="B1000" s="81"/>
      <c r="C1000" s="81"/>
      <c r="D1000" s="81"/>
      <c r="E1000" s="81"/>
      <c r="F1000" s="81"/>
      <c r="G1000" s="81"/>
      <c r="H1000" s="8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 spans="1:26" ht="14.25" customHeight="1">
      <c r="A1001" s="80" t="s">
        <v>346</v>
      </c>
      <c r="B1001" s="81"/>
      <c r="C1001" s="81"/>
      <c r="D1001" s="81"/>
      <c r="E1001" s="81"/>
      <c r="F1001" s="81"/>
      <c r="G1001" s="81"/>
      <c r="H1001" s="8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 spans="1:26" ht="14.25" customHeight="1">
      <c r="A1002" s="33" t="s">
        <v>2</v>
      </c>
      <c r="B1002" s="33" t="s">
        <v>3</v>
      </c>
      <c r="C1002" s="33" t="s">
        <v>4</v>
      </c>
      <c r="D1002" s="33" t="s">
        <v>5</v>
      </c>
      <c r="E1002" s="33" t="s">
        <v>6</v>
      </c>
      <c r="F1002" s="34" t="s">
        <v>7</v>
      </c>
      <c r="G1002" s="33" t="s">
        <v>8</v>
      </c>
      <c r="H1002" s="35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</row>
    <row r="1003" spans="1:26" ht="14.25" customHeight="1">
      <c r="A1003" s="36">
        <v>1</v>
      </c>
      <c r="B1003" s="9" t="s">
        <v>347</v>
      </c>
      <c r="C1003" s="10" t="s">
        <v>348</v>
      </c>
      <c r="D1003" s="9" t="s">
        <v>11</v>
      </c>
      <c r="E1003" s="9">
        <v>2</v>
      </c>
      <c r="F1003" s="6">
        <v>293000</v>
      </c>
      <c r="G1003" s="37">
        <f t="shared" ref="G1003:G1005" si="65">IFERROR(E1003*F1003,0)</f>
        <v>586000</v>
      </c>
      <c r="H1003" s="38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  <row r="1004" spans="1:26" ht="14.25" customHeight="1">
      <c r="A1004" s="36">
        <v>2</v>
      </c>
      <c r="B1004" s="4" t="s">
        <v>73</v>
      </c>
      <c r="C1004" s="5" t="s">
        <v>349</v>
      </c>
      <c r="D1004" s="4" t="s">
        <v>14</v>
      </c>
      <c r="E1004" s="4">
        <v>1.5</v>
      </c>
      <c r="F1004" s="43">
        <v>435000</v>
      </c>
      <c r="G1004" s="37">
        <f t="shared" si="65"/>
        <v>652500</v>
      </c>
      <c r="H1004" s="38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</row>
    <row r="1005" spans="1:26" ht="14.25" customHeight="1">
      <c r="A1005" s="36">
        <v>3</v>
      </c>
      <c r="B1005" s="39" t="s">
        <v>17</v>
      </c>
      <c r="C1005" s="38"/>
      <c r="D1005" s="38"/>
      <c r="E1005" s="38"/>
      <c r="F1005" s="38"/>
      <c r="G1005" s="40">
        <f t="shared" si="65"/>
        <v>0</v>
      </c>
      <c r="H1005" s="38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</row>
    <row r="1006" spans="1:26" ht="14.25" customHeight="1">
      <c r="A1006" s="83" t="s">
        <v>18</v>
      </c>
      <c r="B1006" s="81"/>
      <c r="C1006" s="81"/>
      <c r="D1006" s="81"/>
      <c r="E1006" s="81"/>
      <c r="F1006" s="81"/>
      <c r="G1006" s="82"/>
      <c r="H1006" s="41">
        <f>SUM(G1003:G1005)</f>
        <v>1238500</v>
      </c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</row>
    <row r="1007" spans="1:26" ht="14.25" customHeight="1">
      <c r="A1007" s="83" t="s">
        <v>19</v>
      </c>
      <c r="B1007" s="81"/>
      <c r="C1007" s="81"/>
      <c r="D1007" s="81"/>
      <c r="E1007" s="81"/>
      <c r="F1007" s="81"/>
      <c r="G1007" s="82"/>
      <c r="H1007" s="41">
        <f>MAX(0,H1006-648000)</f>
        <v>590500</v>
      </c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</row>
    <row r="1008" spans="1:26" ht="14.25" customHeight="1">
      <c r="A1008" s="84" t="s">
        <v>20</v>
      </c>
      <c r="B1008" s="81"/>
      <c r="C1008" s="81"/>
      <c r="D1008" s="81"/>
      <c r="E1008" s="81"/>
      <c r="F1008" s="81"/>
      <c r="G1008" s="82"/>
      <c r="H1008" s="42">
        <v>649000</v>
      </c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</row>
    <row r="1009" spans="1:26" ht="14.25" customHeight="1">
      <c r="A1009" s="80"/>
      <c r="B1009" s="81"/>
      <c r="C1009" s="81"/>
      <c r="D1009" s="81"/>
      <c r="E1009" s="81"/>
      <c r="F1009" s="81"/>
      <c r="G1009" s="81"/>
      <c r="H1009" s="8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</row>
    <row r="1010" spans="1:26" ht="14.25" customHeight="1"/>
    <row r="1011" spans="1:26" ht="14.25" customHeight="1"/>
    <row r="1012" spans="1:26" ht="14.25" customHeight="1"/>
    <row r="1013" spans="1:26" ht="14.25" customHeight="1"/>
    <row r="1014" spans="1:26" ht="14.25" customHeight="1"/>
    <row r="1015" spans="1:26" ht="14.25" customHeight="1">
      <c r="A1015" s="80" t="s">
        <v>0</v>
      </c>
      <c r="B1015" s="81"/>
      <c r="C1015" s="81"/>
      <c r="D1015" s="81"/>
      <c r="E1015" s="81"/>
      <c r="F1015" s="81"/>
      <c r="G1015" s="81"/>
      <c r="H1015" s="8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</row>
    <row r="1016" spans="1:26" ht="14.25" customHeight="1">
      <c r="A1016" s="80" t="s">
        <v>350</v>
      </c>
      <c r="B1016" s="81"/>
      <c r="C1016" s="81"/>
      <c r="D1016" s="81"/>
      <c r="E1016" s="81"/>
      <c r="F1016" s="81"/>
      <c r="G1016" s="81"/>
      <c r="H1016" s="8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</row>
    <row r="1017" spans="1:26" ht="14.25" customHeight="1">
      <c r="A1017" s="33" t="s">
        <v>2</v>
      </c>
      <c r="B1017" s="33" t="s">
        <v>3</v>
      </c>
      <c r="C1017" s="33" t="s">
        <v>4</v>
      </c>
      <c r="D1017" s="33" t="s">
        <v>5</v>
      </c>
      <c r="E1017" s="33" t="s">
        <v>6</v>
      </c>
      <c r="F1017" s="34" t="s">
        <v>7</v>
      </c>
      <c r="G1017" s="33" t="s">
        <v>8</v>
      </c>
      <c r="H1017" s="35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</row>
    <row r="1018" spans="1:26" ht="14.25" customHeight="1">
      <c r="A1018" s="36">
        <v>1</v>
      </c>
      <c r="B1018" s="4" t="s">
        <v>351</v>
      </c>
      <c r="C1018" s="5" t="s">
        <v>352</v>
      </c>
      <c r="D1018" s="4" t="s">
        <v>11</v>
      </c>
      <c r="E1018" s="4">
        <v>2</v>
      </c>
      <c r="F1018" s="6">
        <v>293000</v>
      </c>
      <c r="G1018" s="37">
        <f t="shared" ref="G1018:G1020" si="66">IFERROR(E1018*F1018,0)</f>
        <v>586000</v>
      </c>
      <c r="H1018" s="38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</row>
    <row r="1019" spans="1:26" ht="14.25" customHeight="1">
      <c r="A1019" s="36">
        <v>2</v>
      </c>
      <c r="B1019" s="9" t="s">
        <v>54</v>
      </c>
      <c r="C1019" s="10" t="s">
        <v>353</v>
      </c>
      <c r="D1019" s="9" t="s">
        <v>14</v>
      </c>
      <c r="E1019" s="9">
        <v>1.4</v>
      </c>
      <c r="F1019" s="43">
        <v>435000</v>
      </c>
      <c r="G1019" s="37">
        <f t="shared" si="66"/>
        <v>609000</v>
      </c>
      <c r="H1019" s="38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</row>
    <row r="1020" spans="1:26" ht="14.25" customHeight="1">
      <c r="A1020" s="36">
        <v>3</v>
      </c>
      <c r="B1020" s="39" t="s">
        <v>17</v>
      </c>
      <c r="C1020" s="38"/>
      <c r="D1020" s="38"/>
      <c r="E1020" s="38"/>
      <c r="F1020" s="38"/>
      <c r="G1020" s="40">
        <f t="shared" si="66"/>
        <v>0</v>
      </c>
      <c r="H1020" s="38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</row>
    <row r="1021" spans="1:26" ht="14.25" customHeight="1">
      <c r="A1021" s="83" t="s">
        <v>18</v>
      </c>
      <c r="B1021" s="81"/>
      <c r="C1021" s="81"/>
      <c r="D1021" s="81"/>
      <c r="E1021" s="81"/>
      <c r="F1021" s="81"/>
      <c r="G1021" s="82"/>
      <c r="H1021" s="41">
        <f>SUM(G1018:G1020)</f>
        <v>1195000</v>
      </c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</row>
    <row r="1022" spans="1:26" ht="14.25" customHeight="1">
      <c r="A1022" s="83" t="s">
        <v>19</v>
      </c>
      <c r="B1022" s="81"/>
      <c r="C1022" s="81"/>
      <c r="D1022" s="81"/>
      <c r="E1022" s="81"/>
      <c r="F1022" s="81"/>
      <c r="G1022" s="82"/>
      <c r="H1022" s="41">
        <f>MAX(0,H1021-648000)</f>
        <v>547000</v>
      </c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</row>
    <row r="1023" spans="1:26" ht="14.25" customHeight="1">
      <c r="A1023" s="84" t="s">
        <v>20</v>
      </c>
      <c r="B1023" s="81"/>
      <c r="C1023" s="81"/>
      <c r="D1023" s="81"/>
      <c r="E1023" s="81"/>
      <c r="F1023" s="81"/>
      <c r="G1023" s="82"/>
      <c r="H1023" s="42">
        <v>649000</v>
      </c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</row>
    <row r="1024" spans="1:26" ht="14.25" customHeight="1">
      <c r="A1024" s="80"/>
      <c r="B1024" s="81"/>
      <c r="C1024" s="81"/>
      <c r="D1024" s="81"/>
      <c r="E1024" s="81"/>
      <c r="F1024" s="81"/>
      <c r="G1024" s="81"/>
      <c r="H1024" s="8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</row>
    <row r="1025" spans="1:26" ht="14.25" customHeight="1"/>
    <row r="1026" spans="1:26" ht="14.25" customHeight="1"/>
    <row r="1027" spans="1:26" ht="14.25" customHeight="1"/>
    <row r="1028" spans="1:26" ht="14.25" customHeight="1"/>
    <row r="1029" spans="1:26" ht="14.25" customHeight="1"/>
    <row r="1030" spans="1:26" ht="14.25" customHeight="1">
      <c r="A1030" s="80" t="s">
        <v>0</v>
      </c>
      <c r="B1030" s="81"/>
      <c r="C1030" s="81"/>
      <c r="D1030" s="81"/>
      <c r="E1030" s="81"/>
      <c r="F1030" s="81"/>
      <c r="G1030" s="81"/>
      <c r="H1030" s="8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</row>
    <row r="1031" spans="1:26" ht="14.25" customHeight="1">
      <c r="A1031" s="80" t="s">
        <v>354</v>
      </c>
      <c r="B1031" s="81"/>
      <c r="C1031" s="81"/>
      <c r="D1031" s="81"/>
      <c r="E1031" s="81"/>
      <c r="F1031" s="81"/>
      <c r="G1031" s="81"/>
      <c r="H1031" s="8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</row>
    <row r="1032" spans="1:26" ht="14.25" customHeight="1">
      <c r="A1032" s="33" t="s">
        <v>2</v>
      </c>
      <c r="B1032" s="33" t="s">
        <v>3</v>
      </c>
      <c r="C1032" s="33" t="s">
        <v>4</v>
      </c>
      <c r="D1032" s="33" t="s">
        <v>5</v>
      </c>
      <c r="E1032" s="33" t="s">
        <v>6</v>
      </c>
      <c r="F1032" s="34" t="s">
        <v>7</v>
      </c>
      <c r="G1032" s="33" t="s">
        <v>8</v>
      </c>
      <c r="H1032" s="35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</row>
    <row r="1033" spans="1:26" ht="14.25" customHeight="1">
      <c r="A1033" s="36">
        <v>1</v>
      </c>
      <c r="B1033" s="9" t="s">
        <v>355</v>
      </c>
      <c r="C1033" s="10" t="s">
        <v>356</v>
      </c>
      <c r="D1033" s="9" t="s">
        <v>11</v>
      </c>
      <c r="E1033" s="9">
        <v>0.56000000000000005</v>
      </c>
      <c r="F1033" s="6">
        <v>293000</v>
      </c>
      <c r="G1033" s="37">
        <f t="shared" ref="G1033:G1035" si="67">IFERROR(E1033*F1033,0)</f>
        <v>164080.00000000003</v>
      </c>
      <c r="H1033" s="38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</row>
    <row r="1034" spans="1:26" ht="14.25" customHeight="1">
      <c r="A1034" s="36">
        <v>2</v>
      </c>
      <c r="B1034" s="9" t="s">
        <v>12</v>
      </c>
      <c r="C1034" s="10" t="s">
        <v>357</v>
      </c>
      <c r="D1034" s="9" t="s">
        <v>14</v>
      </c>
      <c r="E1034" s="9">
        <v>2.95</v>
      </c>
      <c r="F1034" s="43">
        <v>435000</v>
      </c>
      <c r="G1034" s="37">
        <f t="shared" si="67"/>
        <v>1283250</v>
      </c>
      <c r="H1034" s="38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</row>
    <row r="1035" spans="1:26" ht="14.25" customHeight="1">
      <c r="A1035" s="36">
        <v>3</v>
      </c>
      <c r="B1035" s="39" t="s">
        <v>17</v>
      </c>
      <c r="C1035" s="38"/>
      <c r="D1035" s="38"/>
      <c r="E1035" s="38"/>
      <c r="F1035" s="38"/>
      <c r="G1035" s="40">
        <f t="shared" si="67"/>
        <v>0</v>
      </c>
      <c r="H1035" s="38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</row>
    <row r="1036" spans="1:26" ht="14.25" customHeight="1">
      <c r="A1036" s="83" t="s">
        <v>18</v>
      </c>
      <c r="B1036" s="81"/>
      <c r="C1036" s="81"/>
      <c r="D1036" s="81"/>
      <c r="E1036" s="81"/>
      <c r="F1036" s="81"/>
      <c r="G1036" s="82"/>
      <c r="H1036" s="41">
        <f>SUM(G1033:G1035)</f>
        <v>1447330</v>
      </c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</row>
    <row r="1037" spans="1:26" ht="14.25" customHeight="1">
      <c r="A1037" s="83" t="s">
        <v>19</v>
      </c>
      <c r="B1037" s="81"/>
      <c r="C1037" s="81"/>
      <c r="D1037" s="81"/>
      <c r="E1037" s="81"/>
      <c r="F1037" s="81"/>
      <c r="G1037" s="82"/>
      <c r="H1037" s="41">
        <f>MAX(0,H1036-648000)</f>
        <v>799330</v>
      </c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</row>
    <row r="1038" spans="1:26" ht="14.25" customHeight="1">
      <c r="A1038" s="84" t="s">
        <v>20</v>
      </c>
      <c r="B1038" s="81"/>
      <c r="C1038" s="81"/>
      <c r="D1038" s="81"/>
      <c r="E1038" s="81"/>
      <c r="F1038" s="81"/>
      <c r="G1038" s="82"/>
      <c r="H1038" s="42">
        <v>649000</v>
      </c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</row>
    <row r="1039" spans="1:26" ht="14.25" customHeight="1">
      <c r="A1039" s="80"/>
      <c r="B1039" s="81"/>
      <c r="C1039" s="81"/>
      <c r="D1039" s="81"/>
      <c r="E1039" s="81"/>
      <c r="F1039" s="81"/>
      <c r="G1039" s="81"/>
      <c r="H1039" s="8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</row>
    <row r="1040" spans="1:26" ht="14.25" customHeight="1"/>
    <row r="1041" spans="1:26" ht="14.25" customHeight="1"/>
    <row r="1042" spans="1:26" ht="14.25" customHeight="1"/>
    <row r="1043" spans="1:26" ht="14.25" customHeight="1"/>
    <row r="1044" spans="1:26" ht="14.25" customHeight="1">
      <c r="A1044" s="80" t="s">
        <v>0</v>
      </c>
      <c r="B1044" s="81"/>
      <c r="C1044" s="81"/>
      <c r="D1044" s="81"/>
      <c r="E1044" s="81"/>
      <c r="F1044" s="81"/>
      <c r="G1044" s="81"/>
      <c r="H1044" s="8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</row>
    <row r="1045" spans="1:26" ht="14.25" customHeight="1">
      <c r="A1045" s="80" t="s">
        <v>358</v>
      </c>
      <c r="B1045" s="81"/>
      <c r="C1045" s="81"/>
      <c r="D1045" s="81"/>
      <c r="E1045" s="81"/>
      <c r="F1045" s="81"/>
      <c r="G1045" s="81"/>
      <c r="H1045" s="8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</row>
    <row r="1046" spans="1:26" ht="14.25" customHeight="1">
      <c r="A1046" s="33" t="s">
        <v>2</v>
      </c>
      <c r="B1046" s="33" t="s">
        <v>3</v>
      </c>
      <c r="C1046" s="33" t="s">
        <v>4</v>
      </c>
      <c r="D1046" s="33" t="s">
        <v>5</v>
      </c>
      <c r="E1046" s="33" t="s">
        <v>6</v>
      </c>
      <c r="F1046" s="34" t="s">
        <v>7</v>
      </c>
      <c r="G1046" s="33" t="s">
        <v>8</v>
      </c>
      <c r="H1046" s="35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</row>
    <row r="1047" spans="1:26" ht="14.25" customHeight="1">
      <c r="A1047" s="36">
        <v>1</v>
      </c>
      <c r="B1047" s="4" t="s">
        <v>359</v>
      </c>
      <c r="C1047" s="5" t="s">
        <v>360</v>
      </c>
      <c r="D1047" s="4" t="s">
        <v>11</v>
      </c>
      <c r="E1047" s="4">
        <v>1.4</v>
      </c>
      <c r="F1047" s="6">
        <v>293000</v>
      </c>
      <c r="G1047" s="37">
        <f t="shared" ref="G1047:G1049" si="68">IFERROR(E1047*F1047,0)</f>
        <v>410200</v>
      </c>
      <c r="H1047" s="38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</row>
    <row r="1048" spans="1:26" ht="14.25" customHeight="1">
      <c r="A1048" s="36">
        <v>2</v>
      </c>
      <c r="B1048" s="4" t="s">
        <v>361</v>
      </c>
      <c r="C1048" s="5" t="s">
        <v>362</v>
      </c>
      <c r="D1048" s="4" t="s">
        <v>14</v>
      </c>
      <c r="E1048" s="4">
        <v>2.1800000000000002</v>
      </c>
      <c r="F1048" s="43">
        <v>435000</v>
      </c>
      <c r="G1048" s="37">
        <f t="shared" si="68"/>
        <v>948300.00000000012</v>
      </c>
      <c r="H1048" s="38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</row>
    <row r="1049" spans="1:26" ht="14.25" customHeight="1">
      <c r="A1049" s="36">
        <v>3</v>
      </c>
      <c r="B1049" s="39" t="s">
        <v>17</v>
      </c>
      <c r="C1049" s="38"/>
      <c r="D1049" s="38"/>
      <c r="E1049" s="38"/>
      <c r="F1049" s="38"/>
      <c r="G1049" s="40">
        <f t="shared" si="68"/>
        <v>0</v>
      </c>
      <c r="H1049" s="38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</row>
    <row r="1050" spans="1:26" ht="14.25" customHeight="1">
      <c r="A1050" s="83" t="s">
        <v>18</v>
      </c>
      <c r="B1050" s="81"/>
      <c r="C1050" s="81"/>
      <c r="D1050" s="81"/>
      <c r="E1050" s="81"/>
      <c r="F1050" s="81"/>
      <c r="G1050" s="82"/>
      <c r="H1050" s="41">
        <f>SUM(G1047:G1049)</f>
        <v>1358500</v>
      </c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</row>
    <row r="1051" spans="1:26" ht="14.25" customHeight="1">
      <c r="A1051" s="83" t="s">
        <v>19</v>
      </c>
      <c r="B1051" s="81"/>
      <c r="C1051" s="81"/>
      <c r="D1051" s="81"/>
      <c r="E1051" s="81"/>
      <c r="F1051" s="81"/>
      <c r="G1051" s="82"/>
      <c r="H1051" s="41">
        <f>MAX(0,H1050-648000)</f>
        <v>710500</v>
      </c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</row>
    <row r="1052" spans="1:26" ht="14.25" customHeight="1">
      <c r="A1052" s="84" t="s">
        <v>20</v>
      </c>
      <c r="B1052" s="81"/>
      <c r="C1052" s="81"/>
      <c r="D1052" s="81"/>
      <c r="E1052" s="81"/>
      <c r="F1052" s="81"/>
      <c r="G1052" s="82"/>
      <c r="H1052" s="42">
        <v>649000</v>
      </c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</row>
    <row r="1053" spans="1:26" ht="14.25" customHeight="1">
      <c r="A1053" s="80"/>
      <c r="B1053" s="81"/>
      <c r="C1053" s="81"/>
      <c r="D1053" s="81"/>
      <c r="E1053" s="81"/>
      <c r="F1053" s="81"/>
      <c r="G1053" s="81"/>
      <c r="H1053" s="8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</row>
    <row r="1054" spans="1:26" ht="14.25" customHeight="1"/>
    <row r="1055" spans="1:26" ht="14.25" customHeight="1"/>
    <row r="1056" spans="1:26" ht="14.25" customHeight="1"/>
    <row r="1057" spans="1:26" ht="14.25" customHeight="1">
      <c r="A1057" s="80" t="s">
        <v>0</v>
      </c>
      <c r="B1057" s="81"/>
      <c r="C1057" s="81"/>
      <c r="D1057" s="81"/>
      <c r="E1057" s="81"/>
      <c r="F1057" s="81"/>
      <c r="G1057" s="81"/>
      <c r="H1057" s="8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</row>
    <row r="1058" spans="1:26" ht="14.25" customHeight="1">
      <c r="A1058" s="80" t="s">
        <v>363</v>
      </c>
      <c r="B1058" s="81"/>
      <c r="C1058" s="81"/>
      <c r="D1058" s="81"/>
      <c r="E1058" s="81"/>
      <c r="F1058" s="81"/>
      <c r="G1058" s="81"/>
      <c r="H1058" s="8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</row>
    <row r="1059" spans="1:26" ht="14.25" customHeight="1">
      <c r="A1059" s="33" t="s">
        <v>2</v>
      </c>
      <c r="B1059" s="33" t="s">
        <v>3</v>
      </c>
      <c r="C1059" s="33" t="s">
        <v>4</v>
      </c>
      <c r="D1059" s="33" t="s">
        <v>5</v>
      </c>
      <c r="E1059" s="33" t="s">
        <v>6</v>
      </c>
      <c r="F1059" s="34" t="s">
        <v>7</v>
      </c>
      <c r="G1059" s="33" t="s">
        <v>8</v>
      </c>
      <c r="H1059" s="35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</row>
    <row r="1060" spans="1:26" ht="14.25" customHeight="1">
      <c r="A1060" s="36">
        <v>1</v>
      </c>
      <c r="B1060" s="4" t="s">
        <v>364</v>
      </c>
      <c r="C1060" s="5" t="s">
        <v>365</v>
      </c>
      <c r="D1060" s="4" t="s">
        <v>11</v>
      </c>
      <c r="E1060" s="4">
        <v>2.4900000000000002</v>
      </c>
      <c r="F1060" s="6">
        <v>293000</v>
      </c>
      <c r="G1060" s="37">
        <f t="shared" ref="G1060:G1062" si="69">IFERROR(E1060*F1060,0)</f>
        <v>729570.00000000012</v>
      </c>
      <c r="H1060" s="38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</row>
    <row r="1061" spans="1:26" ht="14.25" customHeight="1">
      <c r="A1061" s="36">
        <v>2</v>
      </c>
      <c r="B1061" s="9" t="s">
        <v>47</v>
      </c>
      <c r="C1061" s="10" t="s">
        <v>366</v>
      </c>
      <c r="D1061" s="9" t="s">
        <v>14</v>
      </c>
      <c r="E1061" s="9">
        <v>1</v>
      </c>
      <c r="F1061" s="43">
        <v>435000</v>
      </c>
      <c r="G1061" s="37">
        <f t="shared" si="69"/>
        <v>435000</v>
      </c>
      <c r="H1061" s="38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</row>
    <row r="1062" spans="1:26" ht="14.25" customHeight="1">
      <c r="A1062" s="36">
        <v>3</v>
      </c>
      <c r="B1062" s="39" t="s">
        <v>17</v>
      </c>
      <c r="C1062" s="38"/>
      <c r="D1062" s="38"/>
      <c r="E1062" s="38"/>
      <c r="F1062" s="38"/>
      <c r="G1062" s="40">
        <f t="shared" si="69"/>
        <v>0</v>
      </c>
      <c r="H1062" s="38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</row>
    <row r="1063" spans="1:26" ht="14.25" customHeight="1">
      <c r="A1063" s="83" t="s">
        <v>18</v>
      </c>
      <c r="B1063" s="81"/>
      <c r="C1063" s="81"/>
      <c r="D1063" s="81"/>
      <c r="E1063" s="81"/>
      <c r="F1063" s="81"/>
      <c r="G1063" s="82"/>
      <c r="H1063" s="41">
        <f>SUM(G1060:G1062)</f>
        <v>1164570</v>
      </c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</row>
    <row r="1064" spans="1:26" ht="14.25" customHeight="1">
      <c r="A1064" s="83" t="s">
        <v>19</v>
      </c>
      <c r="B1064" s="81"/>
      <c r="C1064" s="81"/>
      <c r="D1064" s="81"/>
      <c r="E1064" s="81"/>
      <c r="F1064" s="81"/>
      <c r="G1064" s="82"/>
      <c r="H1064" s="41">
        <f>MAX(0,H1063-648000)</f>
        <v>516570</v>
      </c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</row>
    <row r="1065" spans="1:26" ht="14.25" customHeight="1">
      <c r="A1065" s="84" t="s">
        <v>20</v>
      </c>
      <c r="B1065" s="81"/>
      <c r="C1065" s="81"/>
      <c r="D1065" s="81"/>
      <c r="E1065" s="81"/>
      <c r="F1065" s="81"/>
      <c r="G1065" s="82"/>
      <c r="H1065" s="42">
        <v>649000</v>
      </c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</row>
    <row r="1066" spans="1:26" ht="14.25" customHeight="1">
      <c r="A1066" s="80"/>
      <c r="B1066" s="81"/>
      <c r="C1066" s="81"/>
      <c r="D1066" s="81"/>
      <c r="E1066" s="81"/>
      <c r="F1066" s="81"/>
      <c r="G1066" s="81"/>
      <c r="H1066" s="8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</row>
    <row r="1067" spans="1:26" ht="14.25" customHeight="1"/>
    <row r="1068" spans="1:26" ht="14.25" customHeight="1"/>
    <row r="1069" spans="1:26" ht="14.25" customHeight="1"/>
    <row r="1070" spans="1:26" ht="14.25" customHeight="1"/>
    <row r="1071" spans="1:26" ht="14.25" customHeight="1"/>
    <row r="1072" spans="1:26" ht="14.25" customHeight="1">
      <c r="A1072" s="80" t="s">
        <v>0</v>
      </c>
      <c r="B1072" s="81"/>
      <c r="C1072" s="81"/>
      <c r="D1072" s="81"/>
      <c r="E1072" s="81"/>
      <c r="F1072" s="81"/>
      <c r="G1072" s="81"/>
      <c r="H1072" s="8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</row>
    <row r="1073" spans="1:26" ht="14.25" customHeight="1">
      <c r="A1073" s="80" t="s">
        <v>367</v>
      </c>
      <c r="B1073" s="81"/>
      <c r="C1073" s="81"/>
      <c r="D1073" s="81"/>
      <c r="E1073" s="81"/>
      <c r="F1073" s="81"/>
      <c r="G1073" s="81"/>
      <c r="H1073" s="8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</row>
    <row r="1074" spans="1:26" ht="14.25" customHeight="1">
      <c r="A1074" s="33" t="s">
        <v>2</v>
      </c>
      <c r="B1074" s="33" t="s">
        <v>3</v>
      </c>
      <c r="C1074" s="33" t="s">
        <v>4</v>
      </c>
      <c r="D1074" s="33" t="s">
        <v>5</v>
      </c>
      <c r="E1074" s="33" t="s">
        <v>6</v>
      </c>
      <c r="F1074" s="34" t="s">
        <v>7</v>
      </c>
      <c r="G1074" s="33" t="s">
        <v>8</v>
      </c>
      <c r="H1074" s="35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</row>
    <row r="1075" spans="1:26" ht="14.25" customHeight="1">
      <c r="A1075" s="36">
        <v>1</v>
      </c>
      <c r="B1075" s="4" t="s">
        <v>270</v>
      </c>
      <c r="C1075" s="5" t="s">
        <v>368</v>
      </c>
      <c r="D1075" s="4" t="s">
        <v>11</v>
      </c>
      <c r="E1075" s="4">
        <v>0.82</v>
      </c>
      <c r="F1075" s="6">
        <v>293000</v>
      </c>
      <c r="G1075" s="37">
        <f t="shared" ref="G1075:G1077" si="70">IFERROR(E1075*F1075,0)</f>
        <v>240260</v>
      </c>
      <c r="H1075" s="38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</row>
    <row r="1076" spans="1:26" ht="14.25" customHeight="1">
      <c r="A1076" s="36">
        <v>2</v>
      </c>
      <c r="B1076" s="4" t="s">
        <v>70</v>
      </c>
      <c r="C1076" s="5" t="s">
        <v>369</v>
      </c>
      <c r="D1076" s="4" t="s">
        <v>14</v>
      </c>
      <c r="E1076" s="4">
        <v>3</v>
      </c>
      <c r="F1076" s="43">
        <v>435000</v>
      </c>
      <c r="G1076" s="37">
        <f t="shared" si="70"/>
        <v>1305000</v>
      </c>
      <c r="H1076" s="38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</row>
    <row r="1077" spans="1:26" ht="14.25" customHeight="1">
      <c r="A1077" s="36">
        <v>3</v>
      </c>
      <c r="B1077" s="39" t="s">
        <v>17</v>
      </c>
      <c r="C1077" s="38"/>
      <c r="D1077" s="38"/>
      <c r="E1077" s="38"/>
      <c r="F1077" s="38"/>
      <c r="G1077" s="40">
        <f t="shared" si="70"/>
        <v>0</v>
      </c>
      <c r="H1077" s="38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</row>
    <row r="1078" spans="1:26" ht="14.25" customHeight="1">
      <c r="A1078" s="83" t="s">
        <v>18</v>
      </c>
      <c r="B1078" s="81"/>
      <c r="C1078" s="81"/>
      <c r="D1078" s="81"/>
      <c r="E1078" s="81"/>
      <c r="F1078" s="81"/>
      <c r="G1078" s="82"/>
      <c r="H1078" s="41">
        <f>SUM(G1075:G1077)</f>
        <v>1545260</v>
      </c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</row>
    <row r="1079" spans="1:26" ht="14.25" customHeight="1">
      <c r="A1079" s="83" t="s">
        <v>19</v>
      </c>
      <c r="B1079" s="81"/>
      <c r="C1079" s="81"/>
      <c r="D1079" s="81"/>
      <c r="E1079" s="81"/>
      <c r="F1079" s="81"/>
      <c r="G1079" s="82"/>
      <c r="H1079" s="41">
        <f>MAX(0,H1078-648000)</f>
        <v>897260</v>
      </c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</row>
    <row r="1080" spans="1:26" ht="14.25" customHeight="1">
      <c r="A1080" s="84" t="s">
        <v>20</v>
      </c>
      <c r="B1080" s="81"/>
      <c r="C1080" s="81"/>
      <c r="D1080" s="81"/>
      <c r="E1080" s="81"/>
      <c r="F1080" s="81"/>
      <c r="G1080" s="82"/>
      <c r="H1080" s="42">
        <v>649000</v>
      </c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</row>
    <row r="1081" spans="1:26" ht="14.25" customHeight="1">
      <c r="A1081" s="80"/>
      <c r="B1081" s="81"/>
      <c r="C1081" s="81"/>
      <c r="D1081" s="81"/>
      <c r="E1081" s="81"/>
      <c r="F1081" s="81"/>
      <c r="G1081" s="81"/>
      <c r="H1081" s="8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</row>
    <row r="1082" spans="1:26" ht="14.25" customHeight="1"/>
    <row r="1083" spans="1:26" ht="14.25" customHeight="1"/>
    <row r="1084" spans="1:26" ht="14.25" customHeight="1"/>
    <row r="1085" spans="1:26" ht="14.25" customHeight="1"/>
    <row r="1086" spans="1:26" ht="14.25" customHeight="1">
      <c r="A1086" s="80" t="s">
        <v>0</v>
      </c>
      <c r="B1086" s="81"/>
      <c r="C1086" s="81"/>
      <c r="D1086" s="81"/>
      <c r="E1086" s="81"/>
      <c r="F1086" s="81"/>
      <c r="G1086" s="81"/>
      <c r="H1086" s="8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</row>
    <row r="1087" spans="1:26" ht="14.25" customHeight="1">
      <c r="A1087" s="80" t="s">
        <v>370</v>
      </c>
      <c r="B1087" s="81"/>
      <c r="C1087" s="81"/>
      <c r="D1087" s="81"/>
      <c r="E1087" s="81"/>
      <c r="F1087" s="81"/>
      <c r="G1087" s="81"/>
      <c r="H1087" s="8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</row>
    <row r="1088" spans="1:26" ht="14.25" customHeight="1">
      <c r="A1088" s="33" t="s">
        <v>2</v>
      </c>
      <c r="B1088" s="33" t="s">
        <v>3</v>
      </c>
      <c r="C1088" s="33" t="s">
        <v>4</v>
      </c>
      <c r="D1088" s="33" t="s">
        <v>5</v>
      </c>
      <c r="E1088" s="33" t="s">
        <v>6</v>
      </c>
      <c r="F1088" s="34" t="s">
        <v>7</v>
      </c>
      <c r="G1088" s="33" t="s">
        <v>8</v>
      </c>
      <c r="H1088" s="35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</row>
    <row r="1089" spans="1:26" ht="14.25" customHeight="1">
      <c r="A1089" s="36">
        <v>1</v>
      </c>
      <c r="B1089" s="4" t="s">
        <v>33</v>
      </c>
      <c r="C1089" s="5" t="s">
        <v>371</v>
      </c>
      <c r="D1089" s="4" t="s">
        <v>11</v>
      </c>
      <c r="E1089" s="4">
        <v>2</v>
      </c>
      <c r="F1089" s="6">
        <v>293000</v>
      </c>
      <c r="G1089" s="37">
        <f t="shared" ref="G1089:G1091" si="71">IFERROR(E1089*F1089,0)</f>
        <v>586000</v>
      </c>
      <c r="H1089" s="38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</row>
    <row r="1090" spans="1:26" ht="14.25" customHeight="1">
      <c r="A1090" s="36">
        <v>2</v>
      </c>
      <c r="B1090" s="9" t="s">
        <v>38</v>
      </c>
      <c r="C1090" s="10" t="s">
        <v>372</v>
      </c>
      <c r="D1090" s="9" t="s">
        <v>14</v>
      </c>
      <c r="E1090" s="9">
        <v>1.52</v>
      </c>
      <c r="F1090" s="43">
        <v>435000</v>
      </c>
      <c r="G1090" s="37">
        <f t="shared" si="71"/>
        <v>661200</v>
      </c>
      <c r="H1090" s="38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</row>
    <row r="1091" spans="1:26" ht="14.25" customHeight="1">
      <c r="A1091" s="36">
        <v>3</v>
      </c>
      <c r="B1091" s="39" t="s">
        <v>17</v>
      </c>
      <c r="C1091" s="38"/>
      <c r="D1091" s="38"/>
      <c r="E1091" s="38"/>
      <c r="F1091" s="38"/>
      <c r="G1091" s="40">
        <f t="shared" si="71"/>
        <v>0</v>
      </c>
      <c r="H1091" s="38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</row>
    <row r="1092" spans="1:26" ht="14.25" customHeight="1">
      <c r="A1092" s="83" t="s">
        <v>18</v>
      </c>
      <c r="B1092" s="81"/>
      <c r="C1092" s="81"/>
      <c r="D1092" s="81"/>
      <c r="E1092" s="81"/>
      <c r="F1092" s="81"/>
      <c r="G1092" s="82"/>
      <c r="H1092" s="41">
        <f>SUM(G1089:G1091)</f>
        <v>1247200</v>
      </c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</row>
    <row r="1093" spans="1:26" ht="14.25" customHeight="1">
      <c r="A1093" s="83" t="s">
        <v>19</v>
      </c>
      <c r="B1093" s="81"/>
      <c r="C1093" s="81"/>
      <c r="D1093" s="81"/>
      <c r="E1093" s="81"/>
      <c r="F1093" s="81"/>
      <c r="G1093" s="82"/>
      <c r="H1093" s="41">
        <f>MAX(0,H1092-648000)</f>
        <v>599200</v>
      </c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</row>
    <row r="1094" spans="1:26" ht="14.25" customHeight="1">
      <c r="A1094" s="84" t="s">
        <v>20</v>
      </c>
      <c r="B1094" s="81"/>
      <c r="C1094" s="81"/>
      <c r="D1094" s="81"/>
      <c r="E1094" s="81"/>
      <c r="F1094" s="81"/>
      <c r="G1094" s="82"/>
      <c r="H1094" s="42">
        <v>649000</v>
      </c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</row>
    <row r="1095" spans="1:26" ht="14.25" customHeight="1">
      <c r="A1095" s="80"/>
      <c r="B1095" s="81"/>
      <c r="C1095" s="81"/>
      <c r="D1095" s="81"/>
      <c r="E1095" s="81"/>
      <c r="F1095" s="81"/>
      <c r="G1095" s="81"/>
      <c r="H1095" s="8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</row>
    <row r="1096" spans="1:26" ht="14.25" customHeight="1"/>
    <row r="1097" spans="1:26" ht="14.25" customHeight="1"/>
    <row r="1098" spans="1:26" ht="14.25" customHeight="1"/>
    <row r="1099" spans="1:26" ht="14.25" customHeight="1"/>
    <row r="1100" spans="1:26" ht="14.25" customHeight="1">
      <c r="A1100" s="80" t="s">
        <v>0</v>
      </c>
      <c r="B1100" s="81"/>
      <c r="C1100" s="81"/>
      <c r="D1100" s="81"/>
      <c r="E1100" s="81"/>
      <c r="F1100" s="81"/>
      <c r="G1100" s="81"/>
      <c r="H1100" s="8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</row>
    <row r="1101" spans="1:26" ht="14.25" customHeight="1">
      <c r="A1101" s="80" t="s">
        <v>373</v>
      </c>
      <c r="B1101" s="81"/>
      <c r="C1101" s="81"/>
      <c r="D1101" s="81"/>
      <c r="E1101" s="81"/>
      <c r="F1101" s="81"/>
      <c r="G1101" s="81"/>
      <c r="H1101" s="8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</row>
    <row r="1102" spans="1:26" ht="14.25" customHeight="1">
      <c r="A1102" s="33" t="s">
        <v>2</v>
      </c>
      <c r="B1102" s="33" t="s">
        <v>3</v>
      </c>
      <c r="C1102" s="33" t="s">
        <v>4</v>
      </c>
      <c r="D1102" s="33" t="s">
        <v>5</v>
      </c>
      <c r="E1102" s="33" t="s">
        <v>6</v>
      </c>
      <c r="F1102" s="34" t="s">
        <v>7</v>
      </c>
      <c r="G1102" s="33" t="s">
        <v>8</v>
      </c>
      <c r="H1102" s="35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</row>
    <row r="1103" spans="1:26" ht="14.25" customHeight="1">
      <c r="A1103" s="36">
        <v>1</v>
      </c>
      <c r="B1103" s="4" t="s">
        <v>374</v>
      </c>
      <c r="C1103" s="5" t="s">
        <v>375</v>
      </c>
      <c r="D1103" s="4" t="s">
        <v>11</v>
      </c>
      <c r="E1103" s="4">
        <v>1.08</v>
      </c>
      <c r="F1103" s="6">
        <v>293000</v>
      </c>
      <c r="G1103" s="37">
        <f t="shared" ref="G1103:G1105" si="72">IFERROR(E1103*F1103,0)</f>
        <v>316440</v>
      </c>
      <c r="H1103" s="38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</row>
    <row r="1104" spans="1:26" ht="14.25" customHeight="1">
      <c r="A1104" s="36">
        <v>2</v>
      </c>
      <c r="B1104" s="9" t="s">
        <v>376</v>
      </c>
      <c r="C1104" s="10" t="s">
        <v>377</v>
      </c>
      <c r="D1104" s="9" t="s">
        <v>14</v>
      </c>
      <c r="E1104" s="9">
        <v>2.48</v>
      </c>
      <c r="F1104" s="43">
        <v>435000</v>
      </c>
      <c r="G1104" s="37">
        <f t="shared" si="72"/>
        <v>1078800</v>
      </c>
      <c r="H1104" s="38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</row>
    <row r="1105" spans="1:26" ht="14.25" customHeight="1">
      <c r="A1105" s="36">
        <v>3</v>
      </c>
      <c r="B1105" s="39" t="s">
        <v>17</v>
      </c>
      <c r="C1105" s="38"/>
      <c r="D1105" s="38"/>
      <c r="E1105" s="38"/>
      <c r="F1105" s="38"/>
      <c r="G1105" s="40">
        <f t="shared" si="72"/>
        <v>0</v>
      </c>
      <c r="H1105" s="38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</row>
    <row r="1106" spans="1:26" ht="14.25" customHeight="1">
      <c r="A1106" s="83" t="s">
        <v>18</v>
      </c>
      <c r="B1106" s="81"/>
      <c r="C1106" s="81"/>
      <c r="D1106" s="81"/>
      <c r="E1106" s="81"/>
      <c r="F1106" s="81"/>
      <c r="G1106" s="82"/>
      <c r="H1106" s="41">
        <f>SUM(G1103:G1105)</f>
        <v>1395240</v>
      </c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</row>
    <row r="1107" spans="1:26" ht="14.25" customHeight="1">
      <c r="A1107" s="83" t="s">
        <v>19</v>
      </c>
      <c r="B1107" s="81"/>
      <c r="C1107" s="81"/>
      <c r="D1107" s="81"/>
      <c r="E1107" s="81"/>
      <c r="F1107" s="81"/>
      <c r="G1107" s="82"/>
      <c r="H1107" s="41">
        <f>MAX(0,H1106-648000)</f>
        <v>747240</v>
      </c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</row>
    <row r="1108" spans="1:26" ht="14.25" customHeight="1">
      <c r="A1108" s="84" t="s">
        <v>20</v>
      </c>
      <c r="B1108" s="81"/>
      <c r="C1108" s="81"/>
      <c r="D1108" s="81"/>
      <c r="E1108" s="81"/>
      <c r="F1108" s="81"/>
      <c r="G1108" s="82"/>
      <c r="H1108" s="42">
        <v>649000</v>
      </c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</row>
    <row r="1109" spans="1:26" ht="14.25" customHeight="1">
      <c r="A1109" s="80"/>
      <c r="B1109" s="81"/>
      <c r="C1109" s="81"/>
      <c r="D1109" s="81"/>
      <c r="E1109" s="81"/>
      <c r="F1109" s="81"/>
      <c r="G1109" s="81"/>
      <c r="H1109" s="8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</row>
    <row r="1110" spans="1:26" ht="14.25" customHeight="1"/>
    <row r="1111" spans="1:26" ht="14.25" customHeight="1"/>
    <row r="1112" spans="1:26" ht="14.25" customHeight="1"/>
    <row r="1113" spans="1:26" ht="14.25" customHeight="1"/>
    <row r="1114" spans="1:26" ht="14.25" customHeight="1"/>
    <row r="1115" spans="1:26" ht="14.25" customHeight="1"/>
    <row r="1116" spans="1:26" ht="14.25" customHeight="1"/>
    <row r="1117" spans="1:26" ht="14.25" customHeight="1">
      <c r="A1117" s="80" t="s">
        <v>0</v>
      </c>
      <c r="B1117" s="81"/>
      <c r="C1117" s="81"/>
      <c r="D1117" s="81"/>
      <c r="E1117" s="81"/>
      <c r="F1117" s="81"/>
      <c r="G1117" s="81"/>
      <c r="H1117" s="8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</row>
    <row r="1118" spans="1:26" ht="14.25" customHeight="1">
      <c r="A1118" s="80" t="s">
        <v>378</v>
      </c>
      <c r="B1118" s="81"/>
      <c r="C1118" s="81"/>
      <c r="D1118" s="81"/>
      <c r="E1118" s="81"/>
      <c r="F1118" s="81"/>
      <c r="G1118" s="81"/>
      <c r="H1118" s="8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</row>
    <row r="1119" spans="1:26" ht="14.25" customHeight="1">
      <c r="A1119" s="33" t="s">
        <v>2</v>
      </c>
      <c r="B1119" s="33" t="s">
        <v>3</v>
      </c>
      <c r="C1119" s="33" t="s">
        <v>4</v>
      </c>
      <c r="D1119" s="33" t="s">
        <v>5</v>
      </c>
      <c r="E1119" s="33" t="s">
        <v>6</v>
      </c>
      <c r="F1119" s="34" t="s">
        <v>7</v>
      </c>
      <c r="G1119" s="33" t="s">
        <v>8</v>
      </c>
      <c r="H1119" s="35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</row>
    <row r="1120" spans="1:26" ht="14.25" customHeight="1">
      <c r="A1120" s="36">
        <v>1</v>
      </c>
      <c r="B1120" s="4" t="s">
        <v>379</v>
      </c>
      <c r="C1120" s="5" t="s">
        <v>380</v>
      </c>
      <c r="D1120" s="4" t="s">
        <v>11</v>
      </c>
      <c r="E1120" s="4">
        <v>1.5</v>
      </c>
      <c r="F1120" s="6">
        <v>293000</v>
      </c>
      <c r="G1120" s="37">
        <f t="shared" ref="G1120:G1122" si="73">IFERROR(E1120*F1120,0)</f>
        <v>439500</v>
      </c>
      <c r="H1120" s="38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</row>
    <row r="1121" spans="1:26" ht="14.25" customHeight="1">
      <c r="A1121" s="36">
        <v>2</v>
      </c>
      <c r="B1121" s="9" t="s">
        <v>381</v>
      </c>
      <c r="C1121" s="10" t="s">
        <v>382</v>
      </c>
      <c r="D1121" s="9" t="s">
        <v>14</v>
      </c>
      <c r="E1121" s="9">
        <v>2</v>
      </c>
      <c r="F1121" s="43">
        <v>435000</v>
      </c>
      <c r="G1121" s="37">
        <f t="shared" si="73"/>
        <v>870000</v>
      </c>
      <c r="H1121" s="38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</row>
    <row r="1122" spans="1:26" ht="14.25" customHeight="1">
      <c r="A1122" s="36">
        <v>3</v>
      </c>
      <c r="B1122" s="39" t="s">
        <v>17</v>
      </c>
      <c r="C1122" s="38"/>
      <c r="D1122" s="38"/>
      <c r="E1122" s="38"/>
      <c r="F1122" s="38"/>
      <c r="G1122" s="40">
        <f t="shared" si="73"/>
        <v>0</v>
      </c>
      <c r="H1122" s="38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</row>
    <row r="1123" spans="1:26" ht="14.25" customHeight="1">
      <c r="A1123" s="83" t="s">
        <v>18</v>
      </c>
      <c r="B1123" s="81"/>
      <c r="C1123" s="81"/>
      <c r="D1123" s="81"/>
      <c r="E1123" s="81"/>
      <c r="F1123" s="81"/>
      <c r="G1123" s="82"/>
      <c r="H1123" s="41">
        <f>SUM(G1120:G1122)</f>
        <v>1309500</v>
      </c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</row>
    <row r="1124" spans="1:26" ht="14.25" customHeight="1">
      <c r="A1124" s="83" t="s">
        <v>19</v>
      </c>
      <c r="B1124" s="81"/>
      <c r="C1124" s="81"/>
      <c r="D1124" s="81"/>
      <c r="E1124" s="81"/>
      <c r="F1124" s="81"/>
      <c r="G1124" s="82"/>
      <c r="H1124" s="41">
        <f>MAX(0,H1123-648000)</f>
        <v>661500</v>
      </c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</row>
    <row r="1125" spans="1:26" ht="14.25" customHeight="1">
      <c r="A1125" s="84" t="s">
        <v>20</v>
      </c>
      <c r="B1125" s="81"/>
      <c r="C1125" s="81"/>
      <c r="D1125" s="81"/>
      <c r="E1125" s="81"/>
      <c r="F1125" s="81"/>
      <c r="G1125" s="82"/>
      <c r="H1125" s="42">
        <v>649000</v>
      </c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</row>
    <row r="1126" spans="1:26" ht="14.25" customHeight="1">
      <c r="A1126" s="80"/>
      <c r="B1126" s="81"/>
      <c r="C1126" s="81"/>
      <c r="D1126" s="81"/>
      <c r="E1126" s="81"/>
      <c r="F1126" s="81"/>
      <c r="G1126" s="81"/>
      <c r="H1126" s="8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</row>
    <row r="1127" spans="1:26" ht="14.25" customHeight="1"/>
    <row r="1128" spans="1:26" ht="14.25" customHeight="1"/>
    <row r="1129" spans="1:26" ht="14.25" customHeight="1"/>
    <row r="1130" spans="1:26" ht="14.25" customHeight="1"/>
    <row r="1131" spans="1:26" ht="14.25" customHeight="1"/>
    <row r="1132" spans="1:26" ht="14.25" customHeight="1">
      <c r="A1132" s="80" t="s">
        <v>0</v>
      </c>
      <c r="B1132" s="81"/>
      <c r="C1132" s="81"/>
      <c r="D1132" s="81"/>
      <c r="E1132" s="81"/>
      <c r="F1132" s="81"/>
      <c r="G1132" s="81"/>
      <c r="H1132" s="8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</row>
    <row r="1133" spans="1:26" ht="14.25" customHeight="1">
      <c r="A1133" s="80" t="s">
        <v>383</v>
      </c>
      <c r="B1133" s="81"/>
      <c r="C1133" s="81"/>
      <c r="D1133" s="81"/>
      <c r="E1133" s="81"/>
      <c r="F1133" s="81"/>
      <c r="G1133" s="81"/>
      <c r="H1133" s="8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</row>
    <row r="1134" spans="1:26" ht="14.25" customHeight="1">
      <c r="A1134" s="33" t="s">
        <v>2</v>
      </c>
      <c r="B1134" s="33" t="s">
        <v>3</v>
      </c>
      <c r="C1134" s="33" t="s">
        <v>4</v>
      </c>
      <c r="D1134" s="33" t="s">
        <v>5</v>
      </c>
      <c r="E1134" s="33" t="s">
        <v>6</v>
      </c>
      <c r="F1134" s="34" t="s">
        <v>7</v>
      </c>
      <c r="G1134" s="33" t="s">
        <v>8</v>
      </c>
      <c r="H1134" s="35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</row>
    <row r="1135" spans="1:26" ht="14.25" customHeight="1">
      <c r="A1135" s="36">
        <v>1</v>
      </c>
      <c r="B1135" s="4" t="s">
        <v>384</v>
      </c>
      <c r="C1135" s="5" t="s">
        <v>385</v>
      </c>
      <c r="D1135" s="4" t="s">
        <v>11</v>
      </c>
      <c r="E1135" s="4">
        <v>2.09</v>
      </c>
      <c r="F1135" s="6">
        <v>293000</v>
      </c>
      <c r="G1135" s="37">
        <f t="shared" ref="G1135:G1137" si="74">IFERROR(E1135*F1135,0)</f>
        <v>612370</v>
      </c>
      <c r="H1135" s="38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</row>
    <row r="1136" spans="1:26" ht="14.25" customHeight="1">
      <c r="A1136" s="36">
        <v>2</v>
      </c>
      <c r="B1136" s="4" t="s">
        <v>177</v>
      </c>
      <c r="C1136" s="5" t="s">
        <v>386</v>
      </c>
      <c r="D1136" s="4" t="s">
        <v>14</v>
      </c>
      <c r="E1136" s="4">
        <v>1.43</v>
      </c>
      <c r="F1136" s="43">
        <v>435000</v>
      </c>
      <c r="G1136" s="37">
        <f t="shared" si="74"/>
        <v>622050</v>
      </c>
      <c r="H1136" s="38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</row>
    <row r="1137" spans="1:26" ht="14.25" customHeight="1">
      <c r="A1137" s="36">
        <v>3</v>
      </c>
      <c r="B1137" s="39" t="s">
        <v>17</v>
      </c>
      <c r="C1137" s="38"/>
      <c r="D1137" s="38"/>
      <c r="E1137" s="38"/>
      <c r="F1137" s="38"/>
      <c r="G1137" s="40">
        <f t="shared" si="74"/>
        <v>0</v>
      </c>
      <c r="H1137" s="38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</row>
    <row r="1138" spans="1:26" ht="14.25" customHeight="1">
      <c r="A1138" s="83" t="s">
        <v>18</v>
      </c>
      <c r="B1138" s="81"/>
      <c r="C1138" s="81"/>
      <c r="D1138" s="81"/>
      <c r="E1138" s="81"/>
      <c r="F1138" s="81"/>
      <c r="G1138" s="82"/>
      <c r="H1138" s="41">
        <f>SUM(G1135:G1137)</f>
        <v>1234420</v>
      </c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</row>
    <row r="1139" spans="1:26" ht="14.25" customHeight="1">
      <c r="A1139" s="83" t="s">
        <v>19</v>
      </c>
      <c r="B1139" s="81"/>
      <c r="C1139" s="81"/>
      <c r="D1139" s="81"/>
      <c r="E1139" s="81"/>
      <c r="F1139" s="81"/>
      <c r="G1139" s="82"/>
      <c r="H1139" s="41">
        <f>MAX(0,H1138-648000)</f>
        <v>586420</v>
      </c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</row>
    <row r="1140" spans="1:26" ht="14.25" customHeight="1">
      <c r="A1140" s="84" t="s">
        <v>20</v>
      </c>
      <c r="B1140" s="81"/>
      <c r="C1140" s="81"/>
      <c r="D1140" s="81"/>
      <c r="E1140" s="81"/>
      <c r="F1140" s="81"/>
      <c r="G1140" s="82"/>
      <c r="H1140" s="42">
        <v>649000</v>
      </c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</row>
    <row r="1141" spans="1:26" ht="14.25" customHeight="1">
      <c r="A1141" s="80"/>
      <c r="B1141" s="81"/>
      <c r="C1141" s="81"/>
      <c r="D1141" s="81"/>
      <c r="E1141" s="81"/>
      <c r="F1141" s="81"/>
      <c r="G1141" s="81"/>
      <c r="H1141" s="8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</row>
    <row r="1142" spans="1:26" ht="14.25" customHeight="1"/>
    <row r="1143" spans="1:26" ht="14.25" customHeight="1"/>
    <row r="1144" spans="1:26" ht="14.25" customHeight="1"/>
    <row r="1145" spans="1:26" ht="14.25" customHeight="1"/>
    <row r="1146" spans="1:26" ht="14.25" customHeight="1"/>
    <row r="1147" spans="1:26" ht="14.25" customHeight="1"/>
    <row r="1148" spans="1:26" ht="14.25" customHeight="1"/>
    <row r="1149" spans="1:26" ht="14.25" customHeight="1">
      <c r="A1149" s="80" t="s">
        <v>0</v>
      </c>
      <c r="B1149" s="81"/>
      <c r="C1149" s="81"/>
      <c r="D1149" s="81"/>
      <c r="E1149" s="81"/>
      <c r="F1149" s="81"/>
      <c r="G1149" s="81"/>
      <c r="H1149" s="8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</row>
    <row r="1150" spans="1:26" ht="14.25" customHeight="1">
      <c r="A1150" s="80" t="s">
        <v>387</v>
      </c>
      <c r="B1150" s="81"/>
      <c r="C1150" s="81"/>
      <c r="D1150" s="81"/>
      <c r="E1150" s="81"/>
      <c r="F1150" s="81"/>
      <c r="G1150" s="81"/>
      <c r="H1150" s="8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</row>
    <row r="1151" spans="1:26" ht="14.25" customHeight="1">
      <c r="A1151" s="33" t="s">
        <v>2</v>
      </c>
      <c r="B1151" s="33" t="s">
        <v>3</v>
      </c>
      <c r="C1151" s="33" t="s">
        <v>4</v>
      </c>
      <c r="D1151" s="33" t="s">
        <v>5</v>
      </c>
      <c r="E1151" s="33" t="s">
        <v>6</v>
      </c>
      <c r="F1151" s="34" t="s">
        <v>7</v>
      </c>
      <c r="G1151" s="33" t="s">
        <v>8</v>
      </c>
      <c r="H1151" s="35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</row>
    <row r="1152" spans="1:26" ht="14.25" customHeight="1">
      <c r="A1152" s="36">
        <v>1</v>
      </c>
      <c r="B1152" s="9" t="s">
        <v>130</v>
      </c>
      <c r="C1152" s="10" t="s">
        <v>388</v>
      </c>
      <c r="D1152" s="9" t="s">
        <v>11</v>
      </c>
      <c r="E1152" s="9">
        <v>0.88</v>
      </c>
      <c r="F1152" s="6">
        <v>293000</v>
      </c>
      <c r="G1152" s="37">
        <f t="shared" ref="G1152:G1154" si="75">IFERROR(E1152*F1152,0)</f>
        <v>257840</v>
      </c>
      <c r="H1152" s="38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</row>
    <row r="1153" spans="1:26" ht="14.25" customHeight="1">
      <c r="A1153" s="36">
        <v>2</v>
      </c>
      <c r="B1153" s="4" t="s">
        <v>73</v>
      </c>
      <c r="C1153" s="5" t="s">
        <v>389</v>
      </c>
      <c r="D1153" s="4" t="s">
        <v>14</v>
      </c>
      <c r="E1153" s="4">
        <v>2.5</v>
      </c>
      <c r="F1153" s="43">
        <v>435000</v>
      </c>
      <c r="G1153" s="37">
        <f t="shared" si="75"/>
        <v>1087500</v>
      </c>
      <c r="H1153" s="38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</row>
    <row r="1154" spans="1:26" ht="14.25" customHeight="1">
      <c r="A1154" s="36">
        <v>3</v>
      </c>
      <c r="B1154" s="39" t="s">
        <v>17</v>
      </c>
      <c r="C1154" s="38"/>
      <c r="D1154" s="38"/>
      <c r="E1154" s="38"/>
      <c r="F1154" s="38"/>
      <c r="G1154" s="40">
        <f t="shared" si="75"/>
        <v>0</v>
      </c>
      <c r="H1154" s="38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</row>
    <row r="1155" spans="1:26" ht="14.25" customHeight="1">
      <c r="A1155" s="83" t="s">
        <v>18</v>
      </c>
      <c r="B1155" s="81"/>
      <c r="C1155" s="81"/>
      <c r="D1155" s="81"/>
      <c r="E1155" s="81"/>
      <c r="F1155" s="81"/>
      <c r="G1155" s="82"/>
      <c r="H1155" s="41">
        <f>SUM(G1152:G1154)</f>
        <v>1345340</v>
      </c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</row>
    <row r="1156" spans="1:26" ht="14.25" customHeight="1">
      <c r="A1156" s="83" t="s">
        <v>19</v>
      </c>
      <c r="B1156" s="81"/>
      <c r="C1156" s="81"/>
      <c r="D1156" s="81"/>
      <c r="E1156" s="81"/>
      <c r="F1156" s="81"/>
      <c r="G1156" s="82"/>
      <c r="H1156" s="41">
        <f>MAX(0,H1155-648000)</f>
        <v>697340</v>
      </c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</row>
    <row r="1157" spans="1:26" ht="14.25" customHeight="1">
      <c r="A1157" s="84" t="s">
        <v>20</v>
      </c>
      <c r="B1157" s="81"/>
      <c r="C1157" s="81"/>
      <c r="D1157" s="81"/>
      <c r="E1157" s="81"/>
      <c r="F1157" s="81"/>
      <c r="G1157" s="82"/>
      <c r="H1157" s="42">
        <v>649000</v>
      </c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</row>
    <row r="1158" spans="1:26" ht="14.25" customHeight="1">
      <c r="A1158" s="80"/>
      <c r="B1158" s="81"/>
      <c r="C1158" s="81"/>
      <c r="D1158" s="81"/>
      <c r="E1158" s="81"/>
      <c r="F1158" s="81"/>
      <c r="G1158" s="81"/>
      <c r="H1158" s="8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</row>
    <row r="1159" spans="1:26" ht="14.25" customHeight="1"/>
    <row r="1160" spans="1:26" ht="14.25" customHeight="1"/>
    <row r="1161" spans="1:26" ht="14.25" customHeight="1"/>
    <row r="1162" spans="1:26" ht="14.25" customHeight="1"/>
    <row r="1163" spans="1:26" ht="14.25" customHeight="1"/>
    <row r="1164" spans="1:26" ht="14.25" customHeight="1">
      <c r="A1164" s="80" t="s">
        <v>0</v>
      </c>
      <c r="B1164" s="81"/>
      <c r="C1164" s="81"/>
      <c r="D1164" s="81"/>
      <c r="E1164" s="81"/>
      <c r="F1164" s="81"/>
      <c r="G1164" s="81"/>
      <c r="H1164" s="8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</row>
    <row r="1165" spans="1:26" ht="14.25" customHeight="1">
      <c r="A1165" s="80" t="s">
        <v>390</v>
      </c>
      <c r="B1165" s="81"/>
      <c r="C1165" s="81"/>
      <c r="D1165" s="81"/>
      <c r="E1165" s="81"/>
      <c r="F1165" s="81"/>
      <c r="G1165" s="81"/>
      <c r="H1165" s="8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</row>
    <row r="1166" spans="1:26" ht="14.25" customHeight="1">
      <c r="A1166" s="33" t="s">
        <v>2</v>
      </c>
      <c r="B1166" s="33" t="s">
        <v>3</v>
      </c>
      <c r="C1166" s="33" t="s">
        <v>4</v>
      </c>
      <c r="D1166" s="33" t="s">
        <v>5</v>
      </c>
      <c r="E1166" s="33" t="s">
        <v>6</v>
      </c>
      <c r="F1166" s="34" t="s">
        <v>7</v>
      </c>
      <c r="G1166" s="33" t="s">
        <v>8</v>
      </c>
      <c r="H1166" s="35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</row>
    <row r="1167" spans="1:26" ht="14.25" customHeight="1">
      <c r="A1167" s="36">
        <v>1</v>
      </c>
      <c r="B1167" s="9" t="s">
        <v>33</v>
      </c>
      <c r="C1167" s="10" t="s">
        <v>391</v>
      </c>
      <c r="D1167" s="9" t="s">
        <v>11</v>
      </c>
      <c r="E1167" s="9">
        <v>2</v>
      </c>
      <c r="F1167" s="6">
        <v>293000</v>
      </c>
      <c r="G1167" s="37">
        <f t="shared" ref="G1167:G1169" si="76">IFERROR(E1167*F1167,0)</f>
        <v>586000</v>
      </c>
      <c r="H1167" s="38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</row>
    <row r="1168" spans="1:26" ht="14.25" customHeight="1">
      <c r="A1168" s="36">
        <v>2</v>
      </c>
      <c r="B1168" s="9" t="s">
        <v>73</v>
      </c>
      <c r="C1168" s="10" t="s">
        <v>392</v>
      </c>
      <c r="D1168" s="9" t="s">
        <v>14</v>
      </c>
      <c r="E1168" s="9">
        <v>1.53</v>
      </c>
      <c r="F1168" s="43">
        <v>435000</v>
      </c>
      <c r="G1168" s="37">
        <f t="shared" si="76"/>
        <v>665550</v>
      </c>
      <c r="H1168" s="38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</row>
    <row r="1169" spans="1:26" ht="14.25" customHeight="1">
      <c r="A1169" s="36">
        <v>3</v>
      </c>
      <c r="B1169" s="39" t="s">
        <v>17</v>
      </c>
      <c r="C1169" s="38"/>
      <c r="D1169" s="38"/>
      <c r="E1169" s="38"/>
      <c r="F1169" s="38"/>
      <c r="G1169" s="40">
        <f t="shared" si="76"/>
        <v>0</v>
      </c>
      <c r="H1169" s="38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</row>
    <row r="1170" spans="1:26" ht="14.25" customHeight="1">
      <c r="A1170" s="83" t="s">
        <v>18</v>
      </c>
      <c r="B1170" s="81"/>
      <c r="C1170" s="81"/>
      <c r="D1170" s="81"/>
      <c r="E1170" s="81"/>
      <c r="F1170" s="81"/>
      <c r="G1170" s="82"/>
      <c r="H1170" s="41">
        <f>SUM(G1167:G1169)</f>
        <v>1251550</v>
      </c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</row>
    <row r="1171" spans="1:26" ht="14.25" customHeight="1">
      <c r="A1171" s="83" t="s">
        <v>19</v>
      </c>
      <c r="B1171" s="81"/>
      <c r="C1171" s="81"/>
      <c r="D1171" s="81"/>
      <c r="E1171" s="81"/>
      <c r="F1171" s="81"/>
      <c r="G1171" s="82"/>
      <c r="H1171" s="41">
        <f>MAX(0,H1170-648000)</f>
        <v>603550</v>
      </c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</row>
    <row r="1172" spans="1:26" ht="14.25" customHeight="1">
      <c r="A1172" s="84" t="s">
        <v>20</v>
      </c>
      <c r="B1172" s="81"/>
      <c r="C1172" s="81"/>
      <c r="D1172" s="81"/>
      <c r="E1172" s="81"/>
      <c r="F1172" s="81"/>
      <c r="G1172" s="82"/>
      <c r="H1172" s="42">
        <v>649000</v>
      </c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</row>
    <row r="1173" spans="1:26" ht="14.25" customHeight="1">
      <c r="A1173" s="80"/>
      <c r="B1173" s="81"/>
      <c r="C1173" s="81"/>
      <c r="D1173" s="81"/>
      <c r="E1173" s="81"/>
      <c r="F1173" s="81"/>
      <c r="G1173" s="81"/>
      <c r="H1173" s="8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</row>
    <row r="1174" spans="1:26" ht="14.25" customHeight="1"/>
    <row r="1175" spans="1:26" ht="14.25" customHeight="1"/>
    <row r="1176" spans="1:26" ht="14.25" customHeight="1"/>
    <row r="1177" spans="1:26" ht="14.25" customHeight="1"/>
    <row r="1178" spans="1:26" ht="14.25" customHeight="1">
      <c r="A1178" s="80" t="s">
        <v>0</v>
      </c>
      <c r="B1178" s="81"/>
      <c r="C1178" s="81"/>
      <c r="D1178" s="81"/>
      <c r="E1178" s="81"/>
      <c r="F1178" s="81"/>
      <c r="G1178" s="81"/>
      <c r="H1178" s="8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</row>
    <row r="1179" spans="1:26" ht="14.25" customHeight="1">
      <c r="A1179" s="80" t="s">
        <v>393</v>
      </c>
      <c r="B1179" s="81"/>
      <c r="C1179" s="81"/>
      <c r="D1179" s="81"/>
      <c r="E1179" s="81"/>
      <c r="F1179" s="81"/>
      <c r="G1179" s="81"/>
      <c r="H1179" s="8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</row>
    <row r="1180" spans="1:26" ht="14.25" customHeight="1">
      <c r="A1180" s="33" t="s">
        <v>2</v>
      </c>
      <c r="B1180" s="33" t="s">
        <v>3</v>
      </c>
      <c r="C1180" s="33" t="s">
        <v>4</v>
      </c>
      <c r="D1180" s="33" t="s">
        <v>5</v>
      </c>
      <c r="E1180" s="33" t="s">
        <v>6</v>
      </c>
      <c r="F1180" s="34" t="s">
        <v>7</v>
      </c>
      <c r="G1180" s="33" t="s">
        <v>8</v>
      </c>
      <c r="H1180" s="35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</row>
    <row r="1181" spans="1:26" ht="14.25" customHeight="1">
      <c r="A1181" s="36">
        <v>1</v>
      </c>
      <c r="B1181" s="9" t="s">
        <v>33</v>
      </c>
      <c r="C1181" s="10" t="s">
        <v>394</v>
      </c>
      <c r="D1181" s="9" t="s">
        <v>11</v>
      </c>
      <c r="E1181" s="9">
        <v>1.4</v>
      </c>
      <c r="F1181" s="6">
        <v>293000</v>
      </c>
      <c r="G1181" s="37">
        <f t="shared" ref="G1181:G1183" si="77">IFERROR(E1181*F1181,0)</f>
        <v>410200</v>
      </c>
      <c r="H1181" s="38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</row>
    <row r="1182" spans="1:26" ht="14.25" customHeight="1">
      <c r="A1182" s="36">
        <v>2</v>
      </c>
      <c r="B1182" s="9" t="s">
        <v>47</v>
      </c>
      <c r="C1182" s="10" t="s">
        <v>395</v>
      </c>
      <c r="D1182" s="9" t="s">
        <v>14</v>
      </c>
      <c r="E1182" s="9">
        <v>2.1</v>
      </c>
      <c r="F1182" s="43">
        <v>435000</v>
      </c>
      <c r="G1182" s="37">
        <f t="shared" si="77"/>
        <v>913500</v>
      </c>
      <c r="H1182" s="38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</row>
    <row r="1183" spans="1:26" ht="14.25" customHeight="1">
      <c r="A1183" s="36">
        <v>3</v>
      </c>
      <c r="B1183" s="39" t="s">
        <v>17</v>
      </c>
      <c r="C1183" s="38"/>
      <c r="D1183" s="38"/>
      <c r="E1183" s="38"/>
      <c r="F1183" s="38"/>
      <c r="G1183" s="40">
        <f t="shared" si="77"/>
        <v>0</v>
      </c>
      <c r="H1183" s="38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</row>
    <row r="1184" spans="1:26" ht="14.25" customHeight="1">
      <c r="A1184" s="83" t="s">
        <v>18</v>
      </c>
      <c r="B1184" s="81"/>
      <c r="C1184" s="81"/>
      <c r="D1184" s="81"/>
      <c r="E1184" s="81"/>
      <c r="F1184" s="81"/>
      <c r="G1184" s="82"/>
      <c r="H1184" s="41">
        <f>SUM(G1181:G1183)</f>
        <v>1323700</v>
      </c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</row>
    <row r="1185" spans="1:26" ht="14.25" customHeight="1">
      <c r="A1185" s="83" t="s">
        <v>19</v>
      </c>
      <c r="B1185" s="81"/>
      <c r="C1185" s="81"/>
      <c r="D1185" s="81"/>
      <c r="E1185" s="81"/>
      <c r="F1185" s="81"/>
      <c r="G1185" s="82"/>
      <c r="H1185" s="41">
        <f>MAX(0,H1184-648000)</f>
        <v>675700</v>
      </c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</row>
    <row r="1186" spans="1:26" ht="14.25" customHeight="1">
      <c r="A1186" s="84" t="s">
        <v>20</v>
      </c>
      <c r="B1186" s="81"/>
      <c r="C1186" s="81"/>
      <c r="D1186" s="81"/>
      <c r="E1186" s="81"/>
      <c r="F1186" s="81"/>
      <c r="G1186" s="82"/>
      <c r="H1186" s="42">
        <v>649000</v>
      </c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</row>
    <row r="1187" spans="1:26" ht="14.25" customHeight="1">
      <c r="A1187" s="80"/>
      <c r="B1187" s="81"/>
      <c r="C1187" s="81"/>
      <c r="D1187" s="81"/>
      <c r="E1187" s="81"/>
      <c r="F1187" s="81"/>
      <c r="G1187" s="81"/>
      <c r="H1187" s="8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</row>
    <row r="1188" spans="1:26" ht="14.25" customHeight="1"/>
    <row r="1189" spans="1:26" ht="14.25" customHeight="1"/>
    <row r="1190" spans="1:26" ht="14.25" customHeight="1"/>
    <row r="1191" spans="1:26" ht="14.25" customHeight="1"/>
    <row r="1192" spans="1:26" ht="14.25" customHeight="1"/>
    <row r="1193" spans="1:26" ht="14.25" customHeight="1"/>
    <row r="1194" spans="1:26" ht="14.25" customHeight="1"/>
    <row r="1195" spans="1:26" ht="14.25" customHeight="1"/>
    <row r="1196" spans="1:26" ht="14.25" customHeight="1"/>
    <row r="1197" spans="1:26" ht="14.25" customHeight="1">
      <c r="A1197" s="80" t="s">
        <v>0</v>
      </c>
      <c r="B1197" s="81"/>
      <c r="C1197" s="81"/>
      <c r="D1197" s="81"/>
      <c r="E1197" s="81"/>
      <c r="F1197" s="81"/>
      <c r="G1197" s="81"/>
      <c r="H1197" s="8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</row>
    <row r="1198" spans="1:26" ht="14.25" customHeight="1">
      <c r="A1198" s="80" t="s">
        <v>396</v>
      </c>
      <c r="B1198" s="81"/>
      <c r="C1198" s="81"/>
      <c r="D1198" s="81"/>
      <c r="E1198" s="81"/>
      <c r="F1198" s="81"/>
      <c r="G1198" s="81"/>
      <c r="H1198" s="8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</row>
    <row r="1199" spans="1:26" ht="14.25" customHeight="1">
      <c r="A1199" s="33" t="s">
        <v>2</v>
      </c>
      <c r="B1199" s="33" t="s">
        <v>3</v>
      </c>
      <c r="C1199" s="33" t="s">
        <v>4</v>
      </c>
      <c r="D1199" s="33" t="s">
        <v>5</v>
      </c>
      <c r="E1199" s="33" t="s">
        <v>6</v>
      </c>
      <c r="F1199" s="34" t="s">
        <v>7</v>
      </c>
      <c r="G1199" s="33" t="s">
        <v>8</v>
      </c>
      <c r="H1199" s="35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</row>
    <row r="1200" spans="1:26" ht="14.25" customHeight="1">
      <c r="A1200" s="36">
        <v>1</v>
      </c>
      <c r="B1200" s="9" t="s">
        <v>73</v>
      </c>
      <c r="C1200" s="10" t="s">
        <v>397</v>
      </c>
      <c r="D1200" s="9" t="s">
        <v>11</v>
      </c>
      <c r="E1200" s="9">
        <v>1.93</v>
      </c>
      <c r="F1200" s="6">
        <v>293000</v>
      </c>
      <c r="G1200" s="37">
        <f t="shared" ref="G1200:G1202" si="78">IFERROR(E1200*F1200,0)</f>
        <v>565490</v>
      </c>
      <c r="H1200" s="38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</row>
    <row r="1201" spans="1:26" ht="14.25" customHeight="1">
      <c r="A1201" s="36">
        <v>2</v>
      </c>
      <c r="B1201" s="4" t="s">
        <v>33</v>
      </c>
      <c r="C1201" s="5" t="s">
        <v>398</v>
      </c>
      <c r="D1201" s="4" t="s">
        <v>14</v>
      </c>
      <c r="E1201" s="4">
        <v>1.44</v>
      </c>
      <c r="F1201" s="43">
        <v>435000</v>
      </c>
      <c r="G1201" s="37">
        <f t="shared" si="78"/>
        <v>626400</v>
      </c>
      <c r="H1201" s="38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</row>
    <row r="1202" spans="1:26" ht="14.25" customHeight="1">
      <c r="A1202" s="36">
        <v>3</v>
      </c>
      <c r="B1202" s="39" t="s">
        <v>17</v>
      </c>
      <c r="C1202" s="38"/>
      <c r="D1202" s="38"/>
      <c r="E1202" s="38"/>
      <c r="F1202" s="38"/>
      <c r="G1202" s="40">
        <f t="shared" si="78"/>
        <v>0</v>
      </c>
      <c r="H1202" s="38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</row>
    <row r="1203" spans="1:26" ht="14.25" customHeight="1">
      <c r="A1203" s="83" t="s">
        <v>18</v>
      </c>
      <c r="B1203" s="81"/>
      <c r="C1203" s="81"/>
      <c r="D1203" s="81"/>
      <c r="E1203" s="81"/>
      <c r="F1203" s="81"/>
      <c r="G1203" s="82"/>
      <c r="H1203" s="41">
        <f>SUM(G1200:G1202)</f>
        <v>1191890</v>
      </c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</row>
    <row r="1204" spans="1:26" ht="14.25" customHeight="1">
      <c r="A1204" s="83" t="s">
        <v>19</v>
      </c>
      <c r="B1204" s="81"/>
      <c r="C1204" s="81"/>
      <c r="D1204" s="81"/>
      <c r="E1204" s="81"/>
      <c r="F1204" s="81"/>
      <c r="G1204" s="82"/>
      <c r="H1204" s="41">
        <f>MAX(0,H1203-648000)</f>
        <v>543890</v>
      </c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</row>
    <row r="1205" spans="1:26" ht="14.25" customHeight="1">
      <c r="A1205" s="84" t="s">
        <v>20</v>
      </c>
      <c r="B1205" s="81"/>
      <c r="C1205" s="81"/>
      <c r="D1205" s="81"/>
      <c r="E1205" s="81"/>
      <c r="F1205" s="81"/>
      <c r="G1205" s="82"/>
      <c r="H1205" s="42">
        <v>649000</v>
      </c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</row>
    <row r="1206" spans="1:26" ht="14.25" customHeight="1">
      <c r="A1206" s="80"/>
      <c r="B1206" s="81"/>
      <c r="C1206" s="81"/>
      <c r="D1206" s="81"/>
      <c r="E1206" s="81"/>
      <c r="F1206" s="81"/>
      <c r="G1206" s="81"/>
      <c r="H1206" s="8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</row>
    <row r="1207" spans="1:26" ht="14.25" customHeight="1"/>
    <row r="1208" spans="1:26" ht="14.25" customHeight="1"/>
    <row r="1209" spans="1:26" ht="14.25" customHeight="1"/>
    <row r="1210" spans="1:26" ht="14.25" customHeight="1"/>
    <row r="1211" spans="1:26" ht="14.25" customHeight="1"/>
    <row r="1212" spans="1:26" ht="14.25" customHeight="1"/>
    <row r="1213" spans="1:26" ht="14.25" customHeight="1"/>
    <row r="1214" spans="1:26" ht="14.25" customHeight="1">
      <c r="A1214" s="80" t="s">
        <v>0</v>
      </c>
      <c r="B1214" s="81"/>
      <c r="C1214" s="81"/>
      <c r="D1214" s="81"/>
      <c r="E1214" s="81"/>
      <c r="F1214" s="81"/>
      <c r="G1214" s="81"/>
      <c r="H1214" s="8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</row>
    <row r="1215" spans="1:26" ht="14.25" customHeight="1">
      <c r="A1215" s="80" t="s">
        <v>399</v>
      </c>
      <c r="B1215" s="81"/>
      <c r="C1215" s="81"/>
      <c r="D1215" s="81"/>
      <c r="E1215" s="81"/>
      <c r="F1215" s="81"/>
      <c r="G1215" s="81"/>
      <c r="H1215" s="8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</row>
    <row r="1216" spans="1:26" ht="14.25" customHeight="1">
      <c r="A1216" s="33" t="s">
        <v>2</v>
      </c>
      <c r="B1216" s="33" t="s">
        <v>3</v>
      </c>
      <c r="C1216" s="33" t="s">
        <v>4</v>
      </c>
      <c r="D1216" s="33" t="s">
        <v>5</v>
      </c>
      <c r="E1216" s="33" t="s">
        <v>6</v>
      </c>
      <c r="F1216" s="34" t="s">
        <v>7</v>
      </c>
      <c r="G1216" s="33" t="s">
        <v>8</v>
      </c>
      <c r="H1216" s="35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</row>
    <row r="1217" spans="1:26" ht="14.25" customHeight="1">
      <c r="A1217" s="36">
        <v>1</v>
      </c>
      <c r="B1217" s="4" t="s">
        <v>73</v>
      </c>
      <c r="C1217" s="5" t="s">
        <v>400</v>
      </c>
      <c r="D1217" s="4" t="s">
        <v>11</v>
      </c>
      <c r="E1217" s="4">
        <v>1.54</v>
      </c>
      <c r="F1217" s="6">
        <v>293000</v>
      </c>
      <c r="G1217" s="37">
        <f t="shared" ref="G1217:G1219" si="79">IFERROR(E1217*F1217,0)</f>
        <v>451220</v>
      </c>
      <c r="H1217" s="38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</row>
    <row r="1218" spans="1:26" ht="14.25" customHeight="1">
      <c r="A1218" s="36">
        <v>2</v>
      </c>
      <c r="B1218" s="9" t="s">
        <v>401</v>
      </c>
      <c r="C1218" s="10" t="s">
        <v>402</v>
      </c>
      <c r="D1218" s="9" t="s">
        <v>14</v>
      </c>
      <c r="E1218" s="9">
        <v>2</v>
      </c>
      <c r="F1218" s="43">
        <v>435000</v>
      </c>
      <c r="G1218" s="37">
        <f t="shared" si="79"/>
        <v>870000</v>
      </c>
      <c r="H1218" s="38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</row>
    <row r="1219" spans="1:26" ht="14.25" customHeight="1">
      <c r="A1219" s="36">
        <v>3</v>
      </c>
      <c r="B1219" s="39" t="s">
        <v>17</v>
      </c>
      <c r="C1219" s="38"/>
      <c r="D1219" s="38"/>
      <c r="E1219" s="38"/>
      <c r="F1219" s="38"/>
      <c r="G1219" s="40">
        <f t="shared" si="79"/>
        <v>0</v>
      </c>
      <c r="H1219" s="38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</row>
    <row r="1220" spans="1:26" ht="14.25" customHeight="1">
      <c r="A1220" s="83" t="s">
        <v>18</v>
      </c>
      <c r="B1220" s="81"/>
      <c r="C1220" s="81"/>
      <c r="D1220" s="81"/>
      <c r="E1220" s="81"/>
      <c r="F1220" s="81"/>
      <c r="G1220" s="82"/>
      <c r="H1220" s="41">
        <f>SUM(G1217:G1219)</f>
        <v>1321220</v>
      </c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</row>
    <row r="1221" spans="1:26" ht="14.25" customHeight="1">
      <c r="A1221" s="83" t="s">
        <v>19</v>
      </c>
      <c r="B1221" s="81"/>
      <c r="C1221" s="81"/>
      <c r="D1221" s="81"/>
      <c r="E1221" s="81"/>
      <c r="F1221" s="81"/>
      <c r="G1221" s="82"/>
      <c r="H1221" s="41">
        <f>MAX(0,H1220-648000)</f>
        <v>673220</v>
      </c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</row>
    <row r="1222" spans="1:26" ht="14.25" customHeight="1">
      <c r="A1222" s="84" t="s">
        <v>20</v>
      </c>
      <c r="B1222" s="81"/>
      <c r="C1222" s="81"/>
      <c r="D1222" s="81"/>
      <c r="E1222" s="81"/>
      <c r="F1222" s="81"/>
      <c r="G1222" s="82"/>
      <c r="H1222" s="42">
        <v>649000</v>
      </c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</row>
    <row r="1223" spans="1:26" ht="14.25" customHeight="1">
      <c r="A1223" s="80"/>
      <c r="B1223" s="81"/>
      <c r="C1223" s="81"/>
      <c r="D1223" s="81"/>
      <c r="E1223" s="81"/>
      <c r="F1223" s="81"/>
      <c r="G1223" s="81"/>
      <c r="H1223" s="8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</row>
    <row r="1224" spans="1:26" ht="14.25" customHeight="1"/>
    <row r="1225" spans="1:26" ht="14.25" customHeight="1"/>
    <row r="1226" spans="1:26" ht="14.25" customHeight="1"/>
    <row r="1227" spans="1:26" ht="14.25" customHeight="1"/>
    <row r="1228" spans="1:26" ht="14.25" customHeight="1"/>
    <row r="1229" spans="1:26" ht="14.25" customHeight="1"/>
    <row r="1230" spans="1:26" ht="14.25" customHeight="1">
      <c r="A1230" s="80" t="s">
        <v>0</v>
      </c>
      <c r="B1230" s="81"/>
      <c r="C1230" s="81"/>
      <c r="D1230" s="81"/>
      <c r="E1230" s="81"/>
      <c r="F1230" s="81"/>
      <c r="G1230" s="81"/>
      <c r="H1230" s="8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</row>
    <row r="1231" spans="1:26" ht="14.25" customHeight="1">
      <c r="A1231" s="80" t="s">
        <v>403</v>
      </c>
      <c r="B1231" s="81"/>
      <c r="C1231" s="81"/>
      <c r="D1231" s="81"/>
      <c r="E1231" s="81"/>
      <c r="F1231" s="81"/>
      <c r="G1231" s="81"/>
      <c r="H1231" s="8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</row>
    <row r="1232" spans="1:26" ht="14.25" customHeight="1">
      <c r="A1232" s="33" t="s">
        <v>2</v>
      </c>
      <c r="B1232" s="33" t="s">
        <v>3</v>
      </c>
      <c r="C1232" s="33" t="s">
        <v>4</v>
      </c>
      <c r="D1232" s="33" t="s">
        <v>5</v>
      </c>
      <c r="E1232" s="33" t="s">
        <v>6</v>
      </c>
      <c r="F1232" s="34" t="s">
        <v>7</v>
      </c>
      <c r="G1232" s="33" t="s">
        <v>8</v>
      </c>
      <c r="H1232" s="35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</row>
    <row r="1233" spans="1:26" ht="14.25" customHeight="1">
      <c r="A1233" s="36">
        <v>1</v>
      </c>
      <c r="B1233" s="4" t="s">
        <v>404</v>
      </c>
      <c r="C1233" s="5" t="s">
        <v>405</v>
      </c>
      <c r="D1233" s="4" t="s">
        <v>11</v>
      </c>
      <c r="E1233" s="4">
        <v>1.9</v>
      </c>
      <c r="F1233" s="6">
        <v>293000</v>
      </c>
      <c r="G1233" s="37">
        <f t="shared" ref="G1233:G1235" si="80">IFERROR(E1233*F1233,0)</f>
        <v>556700</v>
      </c>
      <c r="H1233" s="38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</row>
    <row r="1234" spans="1:26" ht="14.25" customHeight="1">
      <c r="A1234" s="36">
        <v>2</v>
      </c>
      <c r="B1234" s="4" t="s">
        <v>406</v>
      </c>
      <c r="C1234" s="19">
        <v>6207</v>
      </c>
      <c r="D1234" s="4" t="s">
        <v>14</v>
      </c>
      <c r="E1234" s="4">
        <v>1.6</v>
      </c>
      <c r="F1234" s="43">
        <v>435000</v>
      </c>
      <c r="G1234" s="37">
        <f t="shared" si="80"/>
        <v>696000</v>
      </c>
      <c r="H1234" s="38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</row>
    <row r="1235" spans="1:26" ht="14.25" customHeight="1">
      <c r="A1235" s="36">
        <v>3</v>
      </c>
      <c r="B1235" s="39" t="s">
        <v>17</v>
      </c>
      <c r="C1235" s="38"/>
      <c r="D1235" s="38"/>
      <c r="E1235" s="38"/>
      <c r="F1235" s="38"/>
      <c r="G1235" s="40">
        <f t="shared" si="80"/>
        <v>0</v>
      </c>
      <c r="H1235" s="38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</row>
    <row r="1236" spans="1:26" ht="14.25" customHeight="1">
      <c r="A1236" s="83" t="s">
        <v>18</v>
      </c>
      <c r="B1236" s="81"/>
      <c r="C1236" s="81"/>
      <c r="D1236" s="81"/>
      <c r="E1236" s="81"/>
      <c r="F1236" s="81"/>
      <c r="G1236" s="82"/>
      <c r="H1236" s="41">
        <f>SUM(G1233:G1235)</f>
        <v>1252700</v>
      </c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</row>
    <row r="1237" spans="1:26" ht="14.25" customHeight="1">
      <c r="A1237" s="83" t="s">
        <v>19</v>
      </c>
      <c r="B1237" s="81"/>
      <c r="C1237" s="81"/>
      <c r="D1237" s="81"/>
      <c r="E1237" s="81"/>
      <c r="F1237" s="81"/>
      <c r="G1237" s="82"/>
      <c r="H1237" s="41">
        <f>MAX(0,H1236-648000)</f>
        <v>604700</v>
      </c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</row>
    <row r="1238" spans="1:26" ht="14.25" customHeight="1">
      <c r="A1238" s="84" t="s">
        <v>20</v>
      </c>
      <c r="B1238" s="81"/>
      <c r="C1238" s="81"/>
      <c r="D1238" s="81"/>
      <c r="E1238" s="81"/>
      <c r="F1238" s="81"/>
      <c r="G1238" s="82"/>
      <c r="H1238" s="42">
        <v>649000</v>
      </c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</row>
    <row r="1239" spans="1:26" ht="14.25" customHeight="1">
      <c r="A1239" s="80"/>
      <c r="B1239" s="81"/>
      <c r="C1239" s="81"/>
      <c r="D1239" s="81"/>
      <c r="E1239" s="81"/>
      <c r="F1239" s="81"/>
      <c r="G1239" s="81"/>
      <c r="H1239" s="8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</row>
    <row r="1240" spans="1:26" ht="14.25" customHeight="1"/>
    <row r="1241" spans="1:26" ht="14.25" customHeight="1"/>
    <row r="1242" spans="1:26" ht="14.25" customHeight="1"/>
    <row r="1243" spans="1:26" ht="14.25" customHeight="1"/>
    <row r="1244" spans="1:26" ht="14.25" customHeight="1"/>
    <row r="1245" spans="1:26" ht="14.25" customHeight="1">
      <c r="A1245" s="80" t="s">
        <v>0</v>
      </c>
      <c r="B1245" s="81"/>
      <c r="C1245" s="81"/>
      <c r="D1245" s="81"/>
      <c r="E1245" s="81"/>
      <c r="F1245" s="81"/>
      <c r="G1245" s="81"/>
      <c r="H1245" s="82"/>
      <c r="I1245" s="32"/>
      <c r="J1245" s="32"/>
      <c r="K1245" s="32"/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</row>
    <row r="1246" spans="1:26" ht="14.25" customHeight="1">
      <c r="A1246" s="80" t="s">
        <v>407</v>
      </c>
      <c r="B1246" s="81"/>
      <c r="C1246" s="81"/>
      <c r="D1246" s="81"/>
      <c r="E1246" s="81"/>
      <c r="F1246" s="81"/>
      <c r="G1246" s="81"/>
      <c r="H1246" s="82"/>
      <c r="I1246" s="32"/>
      <c r="J1246" s="32"/>
      <c r="K1246" s="32"/>
      <c r="L1246" s="32"/>
      <c r="M1246" s="32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  <c r="Y1246" s="32"/>
      <c r="Z1246" s="32"/>
    </row>
    <row r="1247" spans="1:26" ht="14.25" customHeight="1">
      <c r="A1247" s="33" t="s">
        <v>2</v>
      </c>
      <c r="B1247" s="33" t="s">
        <v>3</v>
      </c>
      <c r="C1247" s="33" t="s">
        <v>4</v>
      </c>
      <c r="D1247" s="33" t="s">
        <v>5</v>
      </c>
      <c r="E1247" s="33" t="s">
        <v>6</v>
      </c>
      <c r="F1247" s="34" t="s">
        <v>7</v>
      </c>
      <c r="G1247" s="33" t="s">
        <v>8</v>
      </c>
      <c r="H1247" s="35"/>
      <c r="I1247" s="32"/>
      <c r="J1247" s="32"/>
      <c r="K1247" s="32"/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/>
    </row>
    <row r="1248" spans="1:26" ht="14.25" customHeight="1">
      <c r="A1248" s="36">
        <v>1</v>
      </c>
      <c r="B1248" s="47" t="s">
        <v>408</v>
      </c>
      <c r="C1248" s="5" t="s">
        <v>409</v>
      </c>
      <c r="D1248" s="4" t="s">
        <v>11</v>
      </c>
      <c r="E1248" s="4">
        <v>1.5</v>
      </c>
      <c r="F1248" s="6">
        <v>293000</v>
      </c>
      <c r="G1248" s="37">
        <f t="shared" ref="G1248:G1250" si="81">IFERROR(E1248*F1248,0)</f>
        <v>439500</v>
      </c>
      <c r="H1248" s="38"/>
      <c r="I1248" s="32"/>
      <c r="J1248" s="32"/>
      <c r="K1248" s="32"/>
      <c r="L1248" s="32"/>
      <c r="M1248" s="32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</row>
    <row r="1249" spans="1:26" ht="14.25" customHeight="1">
      <c r="A1249" s="36">
        <v>2</v>
      </c>
      <c r="B1249" s="4" t="s">
        <v>38</v>
      </c>
      <c r="C1249" s="19">
        <v>6235</v>
      </c>
      <c r="D1249" s="4" t="s">
        <v>14</v>
      </c>
      <c r="E1249" s="4">
        <v>2</v>
      </c>
      <c r="F1249" s="43">
        <v>435000</v>
      </c>
      <c r="G1249" s="37">
        <f t="shared" si="81"/>
        <v>870000</v>
      </c>
      <c r="H1249" s="38"/>
      <c r="I1249" s="32"/>
      <c r="J1249" s="32"/>
      <c r="K1249" s="32"/>
      <c r="L1249" s="32"/>
      <c r="M1249" s="32"/>
      <c r="N1249" s="32"/>
      <c r="O1249" s="32"/>
      <c r="P1249" s="32"/>
      <c r="Q1249" s="32"/>
      <c r="R1249" s="32"/>
      <c r="S1249" s="32"/>
      <c r="T1249" s="32"/>
      <c r="U1249" s="32"/>
      <c r="V1249" s="32"/>
      <c r="W1249" s="32"/>
      <c r="X1249" s="32"/>
      <c r="Y1249" s="32"/>
      <c r="Z1249" s="32"/>
    </row>
    <row r="1250" spans="1:26" ht="14.25" customHeight="1">
      <c r="A1250" s="36">
        <v>3</v>
      </c>
      <c r="B1250" s="39" t="s">
        <v>17</v>
      </c>
      <c r="C1250" s="38"/>
      <c r="D1250" s="38"/>
      <c r="E1250" s="38"/>
      <c r="F1250" s="38"/>
      <c r="G1250" s="40">
        <f t="shared" si="81"/>
        <v>0</v>
      </c>
      <c r="H1250" s="38"/>
      <c r="I1250" s="32"/>
      <c r="J1250" s="32"/>
      <c r="K1250" s="32"/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</row>
    <row r="1251" spans="1:26" ht="14.25" customHeight="1">
      <c r="A1251" s="83" t="s">
        <v>18</v>
      </c>
      <c r="B1251" s="81"/>
      <c r="C1251" s="81"/>
      <c r="D1251" s="81"/>
      <c r="E1251" s="81"/>
      <c r="F1251" s="81"/>
      <c r="G1251" s="82"/>
      <c r="H1251" s="41">
        <f>SUM(G1248:G1250)</f>
        <v>1309500</v>
      </c>
      <c r="I1251" s="32"/>
      <c r="J1251" s="32"/>
      <c r="K1251" s="32"/>
      <c r="L1251" s="32"/>
      <c r="M1251" s="32"/>
      <c r="N1251" s="32"/>
      <c r="O1251" s="32"/>
      <c r="P1251" s="32"/>
      <c r="Q1251" s="32"/>
      <c r="R1251" s="32"/>
      <c r="S1251" s="32"/>
      <c r="T1251" s="32"/>
      <c r="U1251" s="32"/>
      <c r="V1251" s="32"/>
      <c r="W1251" s="32"/>
      <c r="X1251" s="32"/>
      <c r="Y1251" s="32"/>
      <c r="Z1251" s="32"/>
    </row>
    <row r="1252" spans="1:26" ht="14.25" customHeight="1">
      <c r="A1252" s="83" t="s">
        <v>19</v>
      </c>
      <c r="B1252" s="81"/>
      <c r="C1252" s="81"/>
      <c r="D1252" s="81"/>
      <c r="E1252" s="81"/>
      <c r="F1252" s="81"/>
      <c r="G1252" s="82"/>
      <c r="H1252" s="41">
        <f>MAX(0,H1251-648000)</f>
        <v>661500</v>
      </c>
      <c r="I1252" s="32"/>
      <c r="J1252" s="32"/>
      <c r="K1252" s="32"/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</row>
    <row r="1253" spans="1:26" ht="14.25" customHeight="1">
      <c r="A1253" s="84" t="s">
        <v>20</v>
      </c>
      <c r="B1253" s="81"/>
      <c r="C1253" s="81"/>
      <c r="D1253" s="81"/>
      <c r="E1253" s="81"/>
      <c r="F1253" s="81"/>
      <c r="G1253" s="82"/>
      <c r="H1253" s="42">
        <v>649000</v>
      </c>
      <c r="I1253" s="32"/>
      <c r="J1253" s="32"/>
      <c r="K1253" s="32"/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</row>
    <row r="1254" spans="1:26" ht="14.25" customHeight="1">
      <c r="A1254" s="80"/>
      <c r="B1254" s="81"/>
      <c r="C1254" s="81"/>
      <c r="D1254" s="81"/>
      <c r="E1254" s="81"/>
      <c r="F1254" s="81"/>
      <c r="G1254" s="81"/>
      <c r="H1254" s="82"/>
      <c r="I1254" s="32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</row>
    <row r="1255" spans="1:26" ht="14.25" customHeight="1"/>
    <row r="1256" spans="1:26" ht="14.25" customHeight="1"/>
    <row r="1257" spans="1:26" ht="14.25" customHeight="1"/>
    <row r="1258" spans="1:26" ht="14.25" customHeight="1"/>
    <row r="1259" spans="1:26" ht="14.25" customHeight="1"/>
    <row r="1260" spans="1:26" ht="14.25" customHeight="1">
      <c r="A1260" s="80" t="s">
        <v>0</v>
      </c>
      <c r="B1260" s="81"/>
      <c r="C1260" s="81"/>
      <c r="D1260" s="81"/>
      <c r="E1260" s="81"/>
      <c r="F1260" s="81"/>
      <c r="G1260" s="81"/>
      <c r="H1260" s="82"/>
      <c r="I1260" s="32"/>
      <c r="J1260" s="32"/>
      <c r="K1260" s="32"/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</row>
    <row r="1261" spans="1:26" ht="14.25" customHeight="1">
      <c r="A1261" s="80" t="s">
        <v>410</v>
      </c>
      <c r="B1261" s="81"/>
      <c r="C1261" s="81"/>
      <c r="D1261" s="81"/>
      <c r="E1261" s="81"/>
      <c r="F1261" s="81"/>
      <c r="G1261" s="81"/>
      <c r="H1261" s="82"/>
      <c r="I1261" s="32"/>
      <c r="J1261" s="32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</row>
    <row r="1262" spans="1:26" ht="14.25" customHeight="1">
      <c r="A1262" s="33" t="s">
        <v>2</v>
      </c>
      <c r="B1262" s="33" t="s">
        <v>3</v>
      </c>
      <c r="C1262" s="33" t="s">
        <v>4</v>
      </c>
      <c r="D1262" s="33" t="s">
        <v>5</v>
      </c>
      <c r="E1262" s="33" t="s">
        <v>6</v>
      </c>
      <c r="F1262" s="34" t="s">
        <v>7</v>
      </c>
      <c r="G1262" s="33" t="s">
        <v>8</v>
      </c>
      <c r="H1262" s="35"/>
      <c r="I1262" s="32"/>
      <c r="J1262" s="32"/>
      <c r="K1262" s="32"/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  <c r="Y1262" s="32"/>
      <c r="Z1262" s="32"/>
    </row>
    <row r="1263" spans="1:26" ht="14.25" customHeight="1">
      <c r="A1263" s="36">
        <v>1</v>
      </c>
      <c r="B1263" s="48" t="s">
        <v>411</v>
      </c>
      <c r="C1263" s="49" t="s">
        <v>412</v>
      </c>
      <c r="D1263" s="50" t="s">
        <v>413</v>
      </c>
      <c r="E1263" s="50">
        <v>2.5</v>
      </c>
      <c r="F1263" s="6">
        <v>293000</v>
      </c>
      <c r="G1263" s="37">
        <f t="shared" ref="G1263:G1265" si="82">IFERROR(E1263*F1263,0)</f>
        <v>732500</v>
      </c>
      <c r="H1263" s="38"/>
      <c r="I1263" s="32"/>
      <c r="J1263" s="32"/>
      <c r="K1263" s="32"/>
      <c r="L1263" s="32"/>
      <c r="M1263" s="32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  <c r="Y1263" s="32"/>
      <c r="Z1263" s="32"/>
    </row>
    <row r="1264" spans="1:26" ht="14.25" customHeight="1">
      <c r="A1264" s="36">
        <v>2</v>
      </c>
      <c r="B1264" s="4" t="s">
        <v>33</v>
      </c>
      <c r="C1264" s="5" t="s">
        <v>414</v>
      </c>
      <c r="D1264" s="4" t="s">
        <v>14</v>
      </c>
      <c r="E1264" s="4">
        <v>0.93</v>
      </c>
      <c r="F1264" s="43">
        <v>435000</v>
      </c>
      <c r="G1264" s="37">
        <f t="shared" si="82"/>
        <v>404550</v>
      </c>
      <c r="H1264" s="38"/>
      <c r="I1264" s="32"/>
      <c r="J1264" s="32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</row>
    <row r="1265" spans="1:26" ht="14.25" customHeight="1">
      <c r="A1265" s="36">
        <v>3</v>
      </c>
      <c r="B1265" s="39" t="s">
        <v>17</v>
      </c>
      <c r="C1265" s="38"/>
      <c r="D1265" s="38"/>
      <c r="E1265" s="38"/>
      <c r="F1265" s="38"/>
      <c r="G1265" s="40">
        <f t="shared" si="82"/>
        <v>0</v>
      </c>
      <c r="H1265" s="38"/>
      <c r="I1265" s="32"/>
      <c r="J1265" s="32"/>
      <c r="K1265" s="32"/>
      <c r="L1265" s="32"/>
      <c r="M1265" s="32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  <c r="Y1265" s="32"/>
      <c r="Z1265" s="32"/>
    </row>
    <row r="1266" spans="1:26" ht="14.25" customHeight="1">
      <c r="A1266" s="83" t="s">
        <v>18</v>
      </c>
      <c r="B1266" s="81"/>
      <c r="C1266" s="81"/>
      <c r="D1266" s="81"/>
      <c r="E1266" s="81"/>
      <c r="F1266" s="81"/>
      <c r="G1266" s="82"/>
      <c r="H1266" s="41">
        <f>SUM(G1263:G1265)</f>
        <v>1137050</v>
      </c>
      <c r="I1266" s="32"/>
      <c r="J1266" s="32"/>
      <c r="K1266" s="32"/>
      <c r="L1266" s="32"/>
      <c r="M1266" s="32"/>
      <c r="N1266" s="32"/>
      <c r="O1266" s="32"/>
      <c r="P1266" s="32"/>
      <c r="Q1266" s="32"/>
      <c r="R1266" s="32"/>
      <c r="S1266" s="32"/>
      <c r="T1266" s="32"/>
      <c r="U1266" s="32"/>
      <c r="V1266" s="32"/>
      <c r="W1266" s="32"/>
      <c r="X1266" s="32"/>
      <c r="Y1266" s="32"/>
      <c r="Z1266" s="32"/>
    </row>
    <row r="1267" spans="1:26" ht="14.25" customHeight="1">
      <c r="A1267" s="83" t="s">
        <v>19</v>
      </c>
      <c r="B1267" s="81"/>
      <c r="C1267" s="81"/>
      <c r="D1267" s="81"/>
      <c r="E1267" s="81"/>
      <c r="F1267" s="81"/>
      <c r="G1267" s="82"/>
      <c r="H1267" s="41">
        <f>MAX(0,H1266-648000)</f>
        <v>489050</v>
      </c>
      <c r="I1267" s="32"/>
      <c r="J1267" s="32"/>
      <c r="K1267" s="32"/>
      <c r="L1267" s="32"/>
      <c r="M1267" s="32"/>
      <c r="N1267" s="32"/>
      <c r="O1267" s="32"/>
      <c r="P1267" s="32"/>
      <c r="Q1267" s="32"/>
      <c r="R1267" s="32"/>
      <c r="S1267" s="32"/>
      <c r="T1267" s="32"/>
      <c r="U1267" s="32"/>
      <c r="V1267" s="32"/>
      <c r="W1267" s="32"/>
      <c r="X1267" s="32"/>
      <c r="Y1267" s="32"/>
      <c r="Z1267" s="32"/>
    </row>
    <row r="1268" spans="1:26" ht="14.25" customHeight="1">
      <c r="A1268" s="84" t="s">
        <v>20</v>
      </c>
      <c r="B1268" s="81"/>
      <c r="C1268" s="81"/>
      <c r="D1268" s="81"/>
      <c r="E1268" s="81"/>
      <c r="F1268" s="81"/>
      <c r="G1268" s="82"/>
      <c r="H1268" s="42">
        <v>649000</v>
      </c>
      <c r="I1268" s="32"/>
      <c r="J1268" s="32"/>
      <c r="K1268" s="32"/>
      <c r="L1268" s="32"/>
      <c r="M1268" s="32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  <c r="Y1268" s="32"/>
      <c r="Z1268" s="32"/>
    </row>
    <row r="1269" spans="1:26" ht="14.25" customHeight="1">
      <c r="A1269" s="80"/>
      <c r="B1269" s="81"/>
      <c r="C1269" s="81"/>
      <c r="D1269" s="81"/>
      <c r="E1269" s="81"/>
      <c r="F1269" s="81"/>
      <c r="G1269" s="81"/>
      <c r="H1269" s="82"/>
      <c r="I1269" s="32"/>
      <c r="J1269" s="32"/>
      <c r="K1269" s="32"/>
      <c r="L1269" s="32"/>
      <c r="M1269" s="32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  <c r="Y1269" s="32"/>
      <c r="Z1269" s="32"/>
    </row>
    <row r="1270" spans="1:26" ht="14.25" customHeight="1"/>
    <row r="1271" spans="1:26" ht="14.25" customHeight="1"/>
    <row r="1272" spans="1:26" ht="14.25" customHeight="1"/>
    <row r="1273" spans="1:26" ht="14.25" customHeight="1"/>
    <row r="1274" spans="1:26" ht="14.25" customHeight="1"/>
    <row r="1275" spans="1:26" ht="14.25" customHeight="1">
      <c r="A1275" s="80" t="s">
        <v>0</v>
      </c>
      <c r="B1275" s="81"/>
      <c r="C1275" s="81"/>
      <c r="D1275" s="81"/>
      <c r="E1275" s="81"/>
      <c r="F1275" s="81"/>
      <c r="G1275" s="81"/>
      <c r="H1275" s="82"/>
      <c r="I1275" s="32"/>
      <c r="J1275" s="32"/>
      <c r="K1275" s="32"/>
      <c r="L1275" s="32"/>
      <c r="M1275" s="32"/>
      <c r="N1275" s="32"/>
      <c r="O1275" s="32"/>
      <c r="P1275" s="32"/>
      <c r="Q1275" s="32"/>
      <c r="R1275" s="32"/>
      <c r="S1275" s="32"/>
      <c r="T1275" s="32"/>
      <c r="U1275" s="32"/>
      <c r="V1275" s="32"/>
      <c r="W1275" s="32"/>
      <c r="X1275" s="32"/>
      <c r="Y1275" s="32"/>
      <c r="Z1275" s="32"/>
    </row>
    <row r="1276" spans="1:26" ht="14.25" customHeight="1">
      <c r="A1276" s="80" t="s">
        <v>415</v>
      </c>
      <c r="B1276" s="81"/>
      <c r="C1276" s="81"/>
      <c r="D1276" s="81"/>
      <c r="E1276" s="81"/>
      <c r="F1276" s="81"/>
      <c r="G1276" s="81"/>
      <c r="H1276" s="82"/>
      <c r="I1276" s="32"/>
      <c r="J1276" s="32"/>
      <c r="K1276" s="32"/>
      <c r="L1276" s="32"/>
      <c r="M1276" s="32"/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  <c r="Y1276" s="32"/>
      <c r="Z1276" s="32"/>
    </row>
    <row r="1277" spans="1:26" ht="14.25" customHeight="1">
      <c r="A1277" s="33" t="s">
        <v>2</v>
      </c>
      <c r="B1277" s="33" t="s">
        <v>3</v>
      </c>
      <c r="C1277" s="33" t="s">
        <v>4</v>
      </c>
      <c r="D1277" s="33" t="s">
        <v>5</v>
      </c>
      <c r="E1277" s="33" t="s">
        <v>6</v>
      </c>
      <c r="F1277" s="34" t="s">
        <v>7</v>
      </c>
      <c r="G1277" s="33" t="s">
        <v>8</v>
      </c>
      <c r="H1277" s="35"/>
      <c r="I1277" s="32"/>
      <c r="J1277" s="32"/>
      <c r="K1277" s="32"/>
      <c r="L1277" s="32"/>
      <c r="M1277" s="32"/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/>
    </row>
    <row r="1278" spans="1:26" ht="14.25" customHeight="1">
      <c r="A1278" s="36">
        <v>1</v>
      </c>
      <c r="B1278" s="51" t="s">
        <v>416</v>
      </c>
      <c r="C1278" s="51" t="s">
        <v>417</v>
      </c>
      <c r="D1278" s="51" t="s">
        <v>413</v>
      </c>
      <c r="E1278" s="51">
        <v>1.5</v>
      </c>
      <c r="F1278" s="6">
        <v>293000</v>
      </c>
      <c r="G1278" s="51">
        <v>439000</v>
      </c>
      <c r="H1278" s="38"/>
      <c r="I1278" s="32"/>
      <c r="J1278" s="32"/>
      <c r="K1278" s="32"/>
      <c r="L1278" s="32"/>
      <c r="M1278" s="32"/>
      <c r="N1278" s="32"/>
      <c r="O1278" s="32"/>
      <c r="P1278" s="32"/>
      <c r="Q1278" s="32"/>
      <c r="R1278" s="32"/>
      <c r="S1278" s="32"/>
      <c r="T1278" s="32"/>
      <c r="U1278" s="32"/>
      <c r="V1278" s="32"/>
      <c r="W1278" s="32"/>
      <c r="X1278" s="32"/>
      <c r="Y1278" s="32"/>
      <c r="Z1278" s="32"/>
    </row>
    <row r="1279" spans="1:26" ht="14.25" customHeight="1">
      <c r="A1279" s="36">
        <v>2</v>
      </c>
      <c r="B1279" s="51" t="s">
        <v>418</v>
      </c>
      <c r="C1279" s="51">
        <v>8044</v>
      </c>
      <c r="D1279" s="51" t="s">
        <v>14</v>
      </c>
      <c r="E1279" s="51">
        <v>2</v>
      </c>
      <c r="F1279" s="43">
        <v>435000</v>
      </c>
      <c r="G1279" s="37">
        <v>870000</v>
      </c>
      <c r="H1279" s="38"/>
      <c r="I1279" s="32"/>
      <c r="J1279" s="32"/>
      <c r="K1279" s="32"/>
      <c r="L1279" s="32"/>
      <c r="M1279" s="32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  <c r="Y1279" s="32"/>
      <c r="Z1279" s="32"/>
    </row>
    <row r="1280" spans="1:26" ht="14.25" customHeight="1">
      <c r="A1280" s="36">
        <v>3</v>
      </c>
      <c r="B1280" s="39" t="s">
        <v>17</v>
      </c>
      <c r="C1280" s="38"/>
      <c r="D1280" s="38"/>
      <c r="E1280" s="38"/>
      <c r="F1280" s="38"/>
      <c r="G1280" s="40">
        <f>IFERROR(E1280*F1280,0)</f>
        <v>0</v>
      </c>
      <c r="H1280" s="38"/>
      <c r="I1280" s="32"/>
      <c r="J1280" s="32"/>
      <c r="K1280" s="32"/>
      <c r="L1280" s="32"/>
      <c r="M1280" s="32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  <c r="Y1280" s="32"/>
      <c r="Z1280" s="32"/>
    </row>
    <row r="1281" spans="1:26" ht="14.25" customHeight="1">
      <c r="A1281" s="83" t="s">
        <v>18</v>
      </c>
      <c r="B1281" s="81"/>
      <c r="C1281" s="81"/>
      <c r="D1281" s="81"/>
      <c r="E1281" s="81"/>
      <c r="F1281" s="81"/>
      <c r="G1281" s="82"/>
      <c r="H1281" s="41">
        <f>SUM(G1280)</f>
        <v>0</v>
      </c>
      <c r="I1281" s="32"/>
      <c r="J1281" s="32"/>
      <c r="K1281" s="32"/>
      <c r="L1281" s="32"/>
      <c r="M1281" s="32"/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  <c r="Y1281" s="32"/>
      <c r="Z1281" s="32"/>
    </row>
    <row r="1282" spans="1:26" ht="14.25" customHeight="1">
      <c r="A1282" s="83" t="s">
        <v>19</v>
      </c>
      <c r="B1282" s="81"/>
      <c r="C1282" s="81"/>
      <c r="D1282" s="81"/>
      <c r="E1282" s="81"/>
      <c r="F1282" s="81"/>
      <c r="G1282" s="82"/>
      <c r="H1282" s="41">
        <f>MAX(0,H1281-648000)</f>
        <v>0</v>
      </c>
      <c r="I1282" s="32"/>
      <c r="J1282" s="32"/>
      <c r="K1282" s="32"/>
      <c r="L1282" s="32"/>
      <c r="M1282" s="32"/>
      <c r="N1282" s="32"/>
      <c r="O1282" s="32"/>
      <c r="P1282" s="32"/>
      <c r="Q1282" s="32"/>
      <c r="R1282" s="32"/>
      <c r="S1282" s="32"/>
      <c r="T1282" s="32"/>
      <c r="U1282" s="32"/>
      <c r="V1282" s="32"/>
      <c r="W1282" s="32"/>
      <c r="X1282" s="32"/>
      <c r="Y1282" s="32"/>
      <c r="Z1282" s="32"/>
    </row>
    <row r="1283" spans="1:26" ht="14.25" customHeight="1">
      <c r="A1283" s="84" t="s">
        <v>20</v>
      </c>
      <c r="B1283" s="81"/>
      <c r="C1283" s="81"/>
      <c r="D1283" s="81"/>
      <c r="E1283" s="81"/>
      <c r="F1283" s="81"/>
      <c r="G1283" s="82"/>
      <c r="H1283" s="42">
        <v>649000</v>
      </c>
      <c r="I1283" s="32"/>
      <c r="J1283" s="32"/>
      <c r="K1283" s="32"/>
      <c r="L1283" s="32"/>
      <c r="M1283" s="32"/>
      <c r="N1283" s="32"/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  <c r="Y1283" s="32"/>
      <c r="Z1283" s="32"/>
    </row>
    <row r="1284" spans="1:26" ht="14.25" customHeight="1">
      <c r="A1284" s="80"/>
      <c r="B1284" s="81"/>
      <c r="C1284" s="81"/>
      <c r="D1284" s="81"/>
      <c r="E1284" s="81"/>
      <c r="F1284" s="81"/>
      <c r="G1284" s="81"/>
      <c r="H1284" s="82"/>
      <c r="I1284" s="32"/>
      <c r="J1284" s="32"/>
      <c r="K1284" s="32"/>
      <c r="L1284" s="32"/>
      <c r="M1284" s="32"/>
      <c r="N1284" s="32"/>
      <c r="O1284" s="32"/>
      <c r="P1284" s="32"/>
      <c r="Q1284" s="32"/>
      <c r="R1284" s="32"/>
      <c r="S1284" s="32"/>
      <c r="T1284" s="32"/>
      <c r="U1284" s="32"/>
      <c r="V1284" s="32"/>
      <c r="W1284" s="32"/>
      <c r="X1284" s="32"/>
      <c r="Y1284" s="32"/>
      <c r="Z1284" s="32"/>
    </row>
    <row r="1285" spans="1:26" ht="14.25" customHeight="1"/>
    <row r="1286" spans="1:26" ht="14.25" customHeight="1"/>
    <row r="1287" spans="1:26" ht="14.25" customHeight="1"/>
    <row r="1288" spans="1:26" ht="14.25" customHeight="1"/>
    <row r="1289" spans="1:26" ht="14.25" customHeight="1"/>
    <row r="1290" spans="1:26" ht="14.25" customHeight="1"/>
    <row r="1291" spans="1:26" ht="14.25" customHeight="1">
      <c r="A1291" s="80" t="s">
        <v>0</v>
      </c>
      <c r="B1291" s="81"/>
      <c r="C1291" s="81"/>
      <c r="D1291" s="81"/>
      <c r="E1291" s="81"/>
      <c r="F1291" s="81"/>
      <c r="G1291" s="81"/>
      <c r="H1291" s="82"/>
      <c r="I1291" s="32"/>
      <c r="J1291" s="32"/>
      <c r="K1291" s="32"/>
      <c r="L1291" s="32"/>
      <c r="M1291" s="32"/>
      <c r="N1291" s="32"/>
      <c r="O1291" s="32"/>
      <c r="P1291" s="32"/>
      <c r="Q1291" s="32"/>
      <c r="R1291" s="32"/>
      <c r="S1291" s="32"/>
      <c r="T1291" s="32"/>
      <c r="U1291" s="32"/>
      <c r="V1291" s="32"/>
      <c r="W1291" s="32"/>
      <c r="X1291" s="32"/>
      <c r="Y1291" s="32"/>
      <c r="Z1291" s="32"/>
    </row>
    <row r="1292" spans="1:26" ht="14.25" customHeight="1">
      <c r="A1292" s="80" t="s">
        <v>419</v>
      </c>
      <c r="B1292" s="81"/>
      <c r="C1292" s="81"/>
      <c r="D1292" s="81"/>
      <c r="E1292" s="81"/>
      <c r="F1292" s="81"/>
      <c r="G1292" s="81"/>
      <c r="H1292" s="82"/>
      <c r="I1292" s="32"/>
      <c r="J1292" s="32"/>
      <c r="K1292" s="32"/>
      <c r="L1292" s="32"/>
      <c r="M1292" s="32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  <c r="Y1292" s="32"/>
      <c r="Z1292" s="32"/>
    </row>
    <row r="1293" spans="1:26" ht="14.25" customHeight="1">
      <c r="A1293" s="33" t="s">
        <v>2</v>
      </c>
      <c r="B1293" s="33" t="s">
        <v>3</v>
      </c>
      <c r="C1293" s="33" t="s">
        <v>4</v>
      </c>
      <c r="D1293" s="33" t="s">
        <v>5</v>
      </c>
      <c r="E1293" s="33" t="s">
        <v>6</v>
      </c>
      <c r="F1293" s="34" t="s">
        <v>7</v>
      </c>
      <c r="G1293" s="33" t="s">
        <v>8</v>
      </c>
      <c r="H1293" s="35"/>
      <c r="I1293" s="32"/>
      <c r="J1293" s="32"/>
      <c r="K1293" s="32"/>
      <c r="L1293" s="32"/>
      <c r="M1293" s="32"/>
      <c r="N1293" s="32"/>
      <c r="O1293" s="32"/>
      <c r="P1293" s="32"/>
      <c r="Q1293" s="32"/>
      <c r="R1293" s="32"/>
      <c r="S1293" s="32"/>
      <c r="T1293" s="32"/>
      <c r="U1293" s="32"/>
      <c r="V1293" s="32"/>
      <c r="W1293" s="32"/>
      <c r="X1293" s="32"/>
      <c r="Y1293" s="32"/>
      <c r="Z1293" s="32"/>
    </row>
    <row r="1294" spans="1:26" ht="14.25" customHeight="1">
      <c r="A1294" s="36">
        <v>1</v>
      </c>
      <c r="B1294" s="9" t="s">
        <v>420</v>
      </c>
      <c r="C1294" s="20">
        <v>6770</v>
      </c>
      <c r="D1294" s="9" t="s">
        <v>11</v>
      </c>
      <c r="E1294" s="9">
        <v>2.5</v>
      </c>
      <c r="F1294" s="6">
        <v>293000</v>
      </c>
      <c r="G1294" s="37">
        <f t="shared" ref="G1294:G1295" si="83">IFERROR(E1294*F1278,0)</f>
        <v>732500</v>
      </c>
      <c r="H1294" s="38"/>
      <c r="I1294" s="32"/>
      <c r="J1294" s="32"/>
      <c r="K1294" s="32"/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</row>
    <row r="1295" spans="1:26" ht="14.25" customHeight="1">
      <c r="A1295" s="36">
        <v>2</v>
      </c>
      <c r="B1295" s="4" t="s">
        <v>361</v>
      </c>
      <c r="C1295" s="19">
        <v>4293</v>
      </c>
      <c r="D1295" s="4" t="s">
        <v>14</v>
      </c>
      <c r="E1295" s="4">
        <v>0.97</v>
      </c>
      <c r="F1295" s="43">
        <v>435000</v>
      </c>
      <c r="G1295" s="37">
        <f t="shared" si="83"/>
        <v>421950</v>
      </c>
      <c r="H1295" s="38"/>
      <c r="I1295" s="32"/>
      <c r="J1295" s="32"/>
      <c r="K1295" s="32"/>
      <c r="L1295" s="32"/>
      <c r="M1295" s="32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/>
    </row>
    <row r="1296" spans="1:26" ht="14.25" customHeight="1">
      <c r="A1296" s="36">
        <v>3</v>
      </c>
      <c r="B1296" s="39" t="s">
        <v>17</v>
      </c>
      <c r="C1296" s="38"/>
      <c r="D1296" s="38"/>
      <c r="E1296" s="38"/>
      <c r="F1296" s="38"/>
      <c r="G1296" s="40">
        <f>IFERROR(E1296*F1296,0)</f>
        <v>0</v>
      </c>
      <c r="H1296" s="38"/>
      <c r="I1296" s="32"/>
      <c r="J1296" s="32"/>
      <c r="K1296" s="32"/>
      <c r="L1296" s="32"/>
      <c r="M1296" s="32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  <c r="Y1296" s="32"/>
      <c r="Z1296" s="32"/>
    </row>
    <row r="1297" spans="1:26" ht="14.25" customHeight="1">
      <c r="A1297" s="83" t="s">
        <v>18</v>
      </c>
      <c r="B1297" s="81"/>
      <c r="C1297" s="81"/>
      <c r="D1297" s="81"/>
      <c r="E1297" s="81"/>
      <c r="F1297" s="81"/>
      <c r="G1297" s="82"/>
      <c r="H1297" s="41">
        <f>SUM(G1294:G1296)</f>
        <v>1154450</v>
      </c>
      <c r="I1297" s="32"/>
      <c r="J1297" s="32"/>
      <c r="K1297" s="32"/>
      <c r="L1297" s="32"/>
      <c r="M1297" s="32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  <c r="Y1297" s="32"/>
      <c r="Z1297" s="32"/>
    </row>
    <row r="1298" spans="1:26" ht="14.25" customHeight="1">
      <c r="A1298" s="83" t="s">
        <v>19</v>
      </c>
      <c r="B1298" s="81"/>
      <c r="C1298" s="81"/>
      <c r="D1298" s="81"/>
      <c r="E1298" s="81"/>
      <c r="F1298" s="81"/>
      <c r="G1298" s="82"/>
      <c r="H1298" s="41">
        <f>MAX(0,H1297-648000)</f>
        <v>506450</v>
      </c>
      <c r="I1298" s="32"/>
      <c r="J1298" s="32"/>
      <c r="K1298" s="32"/>
      <c r="L1298" s="32"/>
      <c r="M1298" s="32"/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  <c r="Y1298" s="32"/>
      <c r="Z1298" s="32"/>
    </row>
    <row r="1299" spans="1:26" ht="14.25" customHeight="1">
      <c r="A1299" s="84" t="s">
        <v>20</v>
      </c>
      <c r="B1299" s="81"/>
      <c r="C1299" s="81"/>
      <c r="D1299" s="81"/>
      <c r="E1299" s="81"/>
      <c r="F1299" s="81"/>
      <c r="G1299" s="82"/>
      <c r="H1299" s="42">
        <v>649000</v>
      </c>
      <c r="I1299" s="32"/>
      <c r="J1299" s="32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</row>
    <row r="1300" spans="1:26" ht="14.25" customHeight="1">
      <c r="A1300" s="80"/>
      <c r="B1300" s="81"/>
      <c r="C1300" s="81"/>
      <c r="D1300" s="81"/>
      <c r="E1300" s="81"/>
      <c r="F1300" s="81"/>
      <c r="G1300" s="81"/>
      <c r="H1300" s="82"/>
      <c r="I1300" s="32"/>
      <c r="J1300" s="32"/>
      <c r="K1300" s="32"/>
      <c r="L1300" s="32"/>
      <c r="M1300" s="32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/>
    </row>
    <row r="1301" spans="1:26" ht="14.25" customHeight="1"/>
    <row r="1302" spans="1:26" ht="14.25" customHeight="1"/>
    <row r="1303" spans="1:26" ht="14.25" customHeight="1"/>
    <row r="1304" spans="1:26" ht="14.25" customHeight="1"/>
    <row r="1305" spans="1:26" ht="14.25" customHeight="1">
      <c r="A1305" s="80" t="s">
        <v>0</v>
      </c>
      <c r="B1305" s="81"/>
      <c r="C1305" s="81"/>
      <c r="D1305" s="81"/>
      <c r="E1305" s="81"/>
      <c r="F1305" s="81"/>
      <c r="G1305" s="81"/>
      <c r="H1305" s="82"/>
      <c r="I1305" s="32"/>
      <c r="J1305" s="32"/>
      <c r="K1305" s="32"/>
      <c r="L1305" s="32"/>
      <c r="M1305" s="32"/>
      <c r="N1305" s="32"/>
      <c r="O1305" s="32"/>
      <c r="P1305" s="32"/>
      <c r="Q1305" s="32"/>
      <c r="R1305" s="32"/>
      <c r="S1305" s="32"/>
      <c r="T1305" s="32"/>
      <c r="U1305" s="32"/>
      <c r="V1305" s="32"/>
      <c r="W1305" s="32"/>
      <c r="X1305" s="32"/>
      <c r="Y1305" s="32"/>
      <c r="Z1305" s="32"/>
    </row>
    <row r="1306" spans="1:26" ht="14.25" customHeight="1">
      <c r="A1306" s="80" t="s">
        <v>421</v>
      </c>
      <c r="B1306" s="81"/>
      <c r="C1306" s="81"/>
      <c r="D1306" s="81"/>
      <c r="E1306" s="81"/>
      <c r="F1306" s="81"/>
      <c r="G1306" s="81"/>
      <c r="H1306" s="82"/>
      <c r="I1306" s="32"/>
      <c r="J1306" s="32"/>
      <c r="K1306" s="32"/>
      <c r="L1306" s="32"/>
      <c r="M1306" s="32"/>
      <c r="N1306" s="32"/>
      <c r="O1306" s="32"/>
      <c r="P1306" s="32"/>
      <c r="Q1306" s="32"/>
      <c r="R1306" s="32"/>
      <c r="S1306" s="32"/>
      <c r="T1306" s="32"/>
      <c r="U1306" s="32"/>
      <c r="V1306" s="32"/>
      <c r="W1306" s="32"/>
      <c r="X1306" s="32"/>
      <c r="Y1306" s="32"/>
      <c r="Z1306" s="32"/>
    </row>
    <row r="1307" spans="1:26" ht="14.25" customHeight="1">
      <c r="A1307" s="33" t="s">
        <v>2</v>
      </c>
      <c r="B1307" s="33" t="s">
        <v>3</v>
      </c>
      <c r="C1307" s="33" t="s">
        <v>4</v>
      </c>
      <c r="D1307" s="33" t="s">
        <v>5</v>
      </c>
      <c r="E1307" s="33" t="s">
        <v>6</v>
      </c>
      <c r="F1307" s="34" t="s">
        <v>7</v>
      </c>
      <c r="G1307" s="33" t="s">
        <v>8</v>
      </c>
      <c r="H1307" s="35"/>
      <c r="I1307" s="32"/>
      <c r="J1307" s="32"/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</row>
    <row r="1308" spans="1:26" ht="14.25" customHeight="1">
      <c r="A1308" s="36">
        <v>1</v>
      </c>
      <c r="B1308" s="48" t="s">
        <v>422</v>
      </c>
      <c r="C1308" s="49" t="s">
        <v>423</v>
      </c>
      <c r="D1308" s="50" t="s">
        <v>11</v>
      </c>
      <c r="E1308" s="50">
        <v>1.5</v>
      </c>
      <c r="F1308" s="6">
        <v>293000</v>
      </c>
      <c r="G1308" s="37">
        <f t="shared" ref="G1308:G1310" si="84">IFERROR(E1308*F1308,0)</f>
        <v>439500</v>
      </c>
      <c r="H1308" s="38"/>
      <c r="I1308" s="32"/>
      <c r="J1308" s="32"/>
      <c r="K1308" s="32"/>
      <c r="L1308" s="32"/>
      <c r="M1308" s="32"/>
      <c r="N1308" s="32"/>
      <c r="O1308" s="32"/>
      <c r="P1308" s="32"/>
      <c r="Q1308" s="32"/>
      <c r="R1308" s="32"/>
      <c r="S1308" s="32"/>
      <c r="T1308" s="32"/>
      <c r="U1308" s="32"/>
      <c r="V1308" s="32"/>
      <c r="W1308" s="32"/>
      <c r="X1308" s="32"/>
      <c r="Y1308" s="32"/>
      <c r="Z1308" s="32"/>
    </row>
    <row r="1309" spans="1:26" ht="14.25" customHeight="1">
      <c r="A1309" s="36">
        <v>2</v>
      </c>
      <c r="B1309" s="52" t="s">
        <v>185</v>
      </c>
      <c r="C1309" s="53">
        <v>8062</v>
      </c>
      <c r="D1309" s="54" t="s">
        <v>14</v>
      </c>
      <c r="E1309" s="54">
        <v>2.1</v>
      </c>
      <c r="F1309" s="43">
        <v>435000</v>
      </c>
      <c r="G1309" s="37">
        <f t="shared" si="84"/>
        <v>913500</v>
      </c>
      <c r="H1309" s="38"/>
      <c r="I1309" s="32"/>
      <c r="J1309" s="32"/>
      <c r="K1309" s="32"/>
      <c r="L1309" s="32"/>
      <c r="M1309" s="32"/>
      <c r="N1309" s="32"/>
      <c r="O1309" s="32"/>
      <c r="P1309" s="32"/>
      <c r="Q1309" s="32"/>
      <c r="R1309" s="32"/>
      <c r="S1309" s="32"/>
      <c r="T1309" s="32"/>
      <c r="U1309" s="32"/>
      <c r="V1309" s="32"/>
      <c r="W1309" s="32"/>
      <c r="X1309" s="32"/>
      <c r="Y1309" s="32"/>
      <c r="Z1309" s="32"/>
    </row>
    <row r="1310" spans="1:26" ht="14.25" customHeight="1">
      <c r="A1310" s="36">
        <v>3</v>
      </c>
      <c r="B1310" s="39" t="s">
        <v>17</v>
      </c>
      <c r="C1310" s="38"/>
      <c r="D1310" s="38"/>
      <c r="E1310" s="38"/>
      <c r="F1310" s="38"/>
      <c r="G1310" s="40">
        <f t="shared" si="84"/>
        <v>0</v>
      </c>
      <c r="H1310" s="38"/>
      <c r="I1310" s="32"/>
      <c r="J1310" s="32"/>
      <c r="K1310" s="32"/>
      <c r="L1310" s="32"/>
      <c r="M1310" s="32"/>
      <c r="N1310" s="32"/>
      <c r="O1310" s="32"/>
      <c r="P1310" s="32"/>
      <c r="Q1310" s="32"/>
      <c r="R1310" s="32"/>
      <c r="S1310" s="32"/>
      <c r="T1310" s="32"/>
      <c r="U1310" s="32"/>
      <c r="V1310" s="32"/>
      <c r="W1310" s="32"/>
      <c r="X1310" s="32"/>
      <c r="Y1310" s="32"/>
      <c r="Z1310" s="32"/>
    </row>
    <row r="1311" spans="1:26" ht="14.25" customHeight="1">
      <c r="A1311" s="83" t="s">
        <v>18</v>
      </c>
      <c r="B1311" s="81"/>
      <c r="C1311" s="81"/>
      <c r="D1311" s="81"/>
      <c r="E1311" s="81"/>
      <c r="F1311" s="81"/>
      <c r="G1311" s="82"/>
      <c r="H1311" s="41">
        <f>SUM(G1308:G1310)</f>
        <v>1353000</v>
      </c>
      <c r="I1311" s="32"/>
      <c r="J1311" s="32"/>
      <c r="K1311" s="32"/>
      <c r="L1311" s="32"/>
      <c r="M1311" s="32"/>
      <c r="N1311" s="32"/>
      <c r="O1311" s="32"/>
      <c r="P1311" s="32"/>
      <c r="Q1311" s="32"/>
      <c r="R1311" s="32"/>
      <c r="S1311" s="32"/>
      <c r="T1311" s="32"/>
      <c r="U1311" s="32"/>
      <c r="V1311" s="32"/>
      <c r="W1311" s="32"/>
      <c r="X1311" s="32"/>
      <c r="Y1311" s="32"/>
      <c r="Z1311" s="32"/>
    </row>
    <row r="1312" spans="1:26" ht="14.25" customHeight="1">
      <c r="A1312" s="83" t="s">
        <v>19</v>
      </c>
      <c r="B1312" s="81"/>
      <c r="C1312" s="81"/>
      <c r="D1312" s="81"/>
      <c r="E1312" s="81"/>
      <c r="F1312" s="81"/>
      <c r="G1312" s="82"/>
      <c r="H1312" s="41">
        <f>MAX(0,H1311-648000)</f>
        <v>705000</v>
      </c>
      <c r="I1312" s="32"/>
      <c r="J1312" s="32"/>
      <c r="K1312" s="32"/>
      <c r="L1312" s="32"/>
      <c r="M1312" s="32"/>
      <c r="N1312" s="32"/>
      <c r="O1312" s="32"/>
      <c r="P1312" s="32"/>
      <c r="Q1312" s="32"/>
      <c r="R1312" s="32"/>
      <c r="S1312" s="32"/>
      <c r="T1312" s="32"/>
      <c r="U1312" s="32"/>
      <c r="V1312" s="32"/>
      <c r="W1312" s="32"/>
      <c r="X1312" s="32"/>
      <c r="Y1312" s="32"/>
      <c r="Z1312" s="32"/>
    </row>
    <row r="1313" spans="1:26" ht="14.25" customHeight="1">
      <c r="A1313" s="84" t="s">
        <v>20</v>
      </c>
      <c r="B1313" s="81"/>
      <c r="C1313" s="81"/>
      <c r="D1313" s="81"/>
      <c r="E1313" s="81"/>
      <c r="F1313" s="81"/>
      <c r="G1313" s="82"/>
      <c r="H1313" s="42">
        <v>649000</v>
      </c>
      <c r="I1313" s="32"/>
      <c r="J1313" s="32"/>
      <c r="K1313" s="32"/>
      <c r="L1313" s="32"/>
      <c r="M1313" s="32"/>
      <c r="N1313" s="32"/>
      <c r="O1313" s="32"/>
      <c r="P1313" s="32"/>
      <c r="Q1313" s="32"/>
      <c r="R1313" s="32"/>
      <c r="S1313" s="32"/>
      <c r="T1313" s="32"/>
      <c r="U1313" s="32"/>
      <c r="V1313" s="32"/>
      <c r="W1313" s="32"/>
      <c r="X1313" s="32"/>
      <c r="Y1313" s="32"/>
      <c r="Z1313" s="32"/>
    </row>
    <row r="1314" spans="1:26" ht="14.25" customHeight="1">
      <c r="A1314" s="80"/>
      <c r="B1314" s="81"/>
      <c r="C1314" s="81"/>
      <c r="D1314" s="81"/>
      <c r="E1314" s="81"/>
      <c r="F1314" s="81"/>
      <c r="G1314" s="81"/>
      <c r="H1314" s="82"/>
      <c r="I1314" s="32"/>
      <c r="J1314" s="32"/>
      <c r="K1314" s="32"/>
      <c r="L1314" s="32"/>
      <c r="M1314" s="32"/>
      <c r="N1314" s="32"/>
      <c r="O1314" s="32"/>
      <c r="P1314" s="32"/>
      <c r="Q1314" s="32"/>
      <c r="R1314" s="32"/>
      <c r="S1314" s="32"/>
      <c r="T1314" s="32"/>
      <c r="U1314" s="32"/>
      <c r="V1314" s="32"/>
      <c r="W1314" s="32"/>
      <c r="X1314" s="32"/>
      <c r="Y1314" s="32"/>
      <c r="Z1314" s="32"/>
    </row>
    <row r="1315" spans="1:26" ht="14.25" customHeight="1"/>
    <row r="1316" spans="1:26" ht="14.25" customHeight="1"/>
    <row r="1317" spans="1:26" ht="14.25" customHeight="1"/>
    <row r="1318" spans="1:26" ht="14.25" customHeight="1"/>
    <row r="1319" spans="1:26" ht="14.25" customHeight="1">
      <c r="A1319" s="80" t="s">
        <v>0</v>
      </c>
      <c r="B1319" s="81"/>
      <c r="C1319" s="81"/>
      <c r="D1319" s="81"/>
      <c r="E1319" s="81"/>
      <c r="F1319" s="81"/>
      <c r="G1319" s="81"/>
      <c r="H1319" s="82"/>
      <c r="I1319" s="32"/>
      <c r="J1319" s="32"/>
      <c r="K1319" s="32"/>
      <c r="L1319" s="32"/>
      <c r="M1319" s="32"/>
      <c r="N1319" s="32"/>
      <c r="O1319" s="32"/>
      <c r="P1319" s="32"/>
      <c r="Q1319" s="32"/>
      <c r="R1319" s="32"/>
      <c r="S1319" s="32"/>
      <c r="T1319" s="32"/>
      <c r="U1319" s="32"/>
      <c r="V1319" s="32"/>
      <c r="W1319" s="32"/>
      <c r="X1319" s="32"/>
      <c r="Y1319" s="32"/>
      <c r="Z1319" s="32"/>
    </row>
    <row r="1320" spans="1:26" ht="14.25" customHeight="1">
      <c r="A1320" s="80" t="s">
        <v>424</v>
      </c>
      <c r="B1320" s="81"/>
      <c r="C1320" s="81"/>
      <c r="D1320" s="81"/>
      <c r="E1320" s="81"/>
      <c r="F1320" s="81"/>
      <c r="G1320" s="81"/>
      <c r="H1320" s="82"/>
      <c r="I1320" s="32"/>
      <c r="J1320" s="32"/>
      <c r="K1320" s="32"/>
      <c r="L1320" s="32"/>
      <c r="M1320" s="32"/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  <c r="Y1320" s="32"/>
      <c r="Z1320" s="32"/>
    </row>
    <row r="1321" spans="1:26" ht="14.25" customHeight="1">
      <c r="A1321" s="33" t="s">
        <v>2</v>
      </c>
      <c r="B1321" s="33" t="s">
        <v>3</v>
      </c>
      <c r="C1321" s="33" t="s">
        <v>4</v>
      </c>
      <c r="D1321" s="33" t="s">
        <v>5</v>
      </c>
      <c r="E1321" s="33" t="s">
        <v>6</v>
      </c>
      <c r="F1321" s="34" t="s">
        <v>7</v>
      </c>
      <c r="G1321" s="33" t="s">
        <v>8</v>
      </c>
      <c r="H1321" s="35"/>
      <c r="I1321" s="32"/>
      <c r="J1321" s="32"/>
      <c r="K1321" s="32"/>
      <c r="L1321" s="32"/>
      <c r="M1321" s="32"/>
      <c r="N1321" s="32"/>
      <c r="O1321" s="32"/>
      <c r="P1321" s="32"/>
      <c r="Q1321" s="32"/>
      <c r="R1321" s="32"/>
      <c r="S1321" s="32"/>
      <c r="T1321" s="32"/>
      <c r="U1321" s="32"/>
      <c r="V1321" s="32"/>
      <c r="W1321" s="32"/>
      <c r="X1321" s="32"/>
      <c r="Y1321" s="32"/>
      <c r="Z1321" s="32"/>
    </row>
    <row r="1322" spans="1:26" ht="14.25" customHeight="1">
      <c r="A1322" s="36">
        <v>1</v>
      </c>
      <c r="B1322" s="48" t="s">
        <v>73</v>
      </c>
      <c r="C1322" s="49" t="s">
        <v>425</v>
      </c>
      <c r="D1322" s="50" t="s">
        <v>413</v>
      </c>
      <c r="E1322" s="50">
        <v>1.4</v>
      </c>
      <c r="F1322" s="6">
        <v>293000</v>
      </c>
      <c r="G1322" s="37">
        <f t="shared" ref="G1322:G1324" si="85">IFERROR(E1322*F1322,0)</f>
        <v>410200</v>
      </c>
      <c r="H1322" s="38"/>
      <c r="I1322" s="32"/>
      <c r="J1322" s="32"/>
      <c r="K1322" s="32"/>
      <c r="L1322" s="32"/>
      <c r="M1322" s="32"/>
      <c r="N1322" s="32"/>
      <c r="O1322" s="32"/>
      <c r="P1322" s="32"/>
      <c r="Q1322" s="32"/>
      <c r="R1322" s="32"/>
      <c r="S1322" s="32"/>
      <c r="T1322" s="32"/>
      <c r="U1322" s="32"/>
      <c r="V1322" s="32"/>
      <c r="W1322" s="32"/>
      <c r="X1322" s="32"/>
      <c r="Y1322" s="32"/>
      <c r="Z1322" s="32"/>
    </row>
    <row r="1323" spans="1:26" ht="14.25" customHeight="1">
      <c r="A1323" s="36">
        <v>2</v>
      </c>
      <c r="B1323" s="52" t="s">
        <v>426</v>
      </c>
      <c r="C1323" s="53" t="s">
        <v>427</v>
      </c>
      <c r="D1323" s="54" t="s">
        <v>233</v>
      </c>
      <c r="E1323" s="54">
        <v>2</v>
      </c>
      <c r="F1323" s="43">
        <v>435000</v>
      </c>
      <c r="G1323" s="37">
        <f t="shared" si="85"/>
        <v>870000</v>
      </c>
      <c r="H1323" s="38"/>
      <c r="I1323" s="32"/>
      <c r="J1323" s="32"/>
      <c r="K1323" s="32"/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</row>
    <row r="1324" spans="1:26" ht="14.25" customHeight="1">
      <c r="A1324" s="36">
        <v>3</v>
      </c>
      <c r="B1324" s="39" t="s">
        <v>17</v>
      </c>
      <c r="C1324" s="38"/>
      <c r="D1324" s="38"/>
      <c r="E1324" s="38"/>
      <c r="F1324" s="38"/>
      <c r="G1324" s="40">
        <f t="shared" si="85"/>
        <v>0</v>
      </c>
      <c r="H1324" s="38"/>
      <c r="I1324" s="32"/>
      <c r="J1324" s="32"/>
      <c r="K1324" s="32"/>
      <c r="L1324" s="32"/>
      <c r="M1324" s="32"/>
      <c r="N1324" s="32"/>
      <c r="O1324" s="32"/>
      <c r="P1324" s="32"/>
      <c r="Q1324" s="32"/>
      <c r="R1324" s="32"/>
      <c r="S1324" s="32"/>
      <c r="T1324" s="32"/>
      <c r="U1324" s="32"/>
      <c r="V1324" s="32"/>
      <c r="W1324" s="32"/>
      <c r="X1324" s="32"/>
      <c r="Y1324" s="32"/>
      <c r="Z1324" s="32"/>
    </row>
    <row r="1325" spans="1:26" ht="14.25" customHeight="1">
      <c r="A1325" s="83" t="s">
        <v>18</v>
      </c>
      <c r="B1325" s="81"/>
      <c r="C1325" s="81"/>
      <c r="D1325" s="81"/>
      <c r="E1325" s="81"/>
      <c r="F1325" s="81"/>
      <c r="G1325" s="82"/>
      <c r="H1325" s="41">
        <f>SUM(G1322:G1324)</f>
        <v>1280200</v>
      </c>
      <c r="I1325" s="32"/>
      <c r="J1325" s="32"/>
      <c r="K1325" s="32"/>
      <c r="L1325" s="32"/>
      <c r="M1325" s="32"/>
      <c r="N1325" s="32"/>
      <c r="O1325" s="32"/>
      <c r="P1325" s="32"/>
      <c r="Q1325" s="32"/>
      <c r="R1325" s="32"/>
      <c r="S1325" s="32"/>
      <c r="T1325" s="32"/>
      <c r="U1325" s="32"/>
      <c r="V1325" s="32"/>
      <c r="W1325" s="32"/>
      <c r="X1325" s="32"/>
      <c r="Y1325" s="32"/>
      <c r="Z1325" s="32"/>
    </row>
    <row r="1326" spans="1:26" ht="14.25" customHeight="1">
      <c r="A1326" s="83" t="s">
        <v>19</v>
      </c>
      <c r="B1326" s="81"/>
      <c r="C1326" s="81"/>
      <c r="D1326" s="81"/>
      <c r="E1326" s="81"/>
      <c r="F1326" s="81"/>
      <c r="G1326" s="82"/>
      <c r="H1326" s="41">
        <f>MAX(0,H1325-648000)</f>
        <v>632200</v>
      </c>
      <c r="I1326" s="32"/>
      <c r="J1326" s="32"/>
      <c r="K1326" s="32"/>
      <c r="L1326" s="32"/>
      <c r="M1326" s="32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  <c r="Y1326" s="32"/>
      <c r="Z1326" s="32"/>
    </row>
    <row r="1327" spans="1:26" ht="14.25" customHeight="1">
      <c r="A1327" s="84" t="s">
        <v>20</v>
      </c>
      <c r="B1327" s="81"/>
      <c r="C1327" s="81"/>
      <c r="D1327" s="81"/>
      <c r="E1327" s="81"/>
      <c r="F1327" s="81"/>
      <c r="G1327" s="82"/>
      <c r="H1327" s="42">
        <v>649000</v>
      </c>
      <c r="I1327" s="32"/>
      <c r="J1327" s="32"/>
      <c r="K1327" s="32"/>
      <c r="L1327" s="32"/>
      <c r="M1327" s="32"/>
      <c r="N1327" s="32"/>
      <c r="O1327" s="32"/>
      <c r="P1327" s="32"/>
      <c r="Q1327" s="32"/>
      <c r="R1327" s="32"/>
      <c r="S1327" s="32"/>
      <c r="T1327" s="32"/>
      <c r="U1327" s="32"/>
      <c r="V1327" s="32"/>
      <c r="W1327" s="32"/>
      <c r="X1327" s="32"/>
      <c r="Y1327" s="32"/>
      <c r="Z1327" s="32"/>
    </row>
    <row r="1328" spans="1:26" ht="14.25" customHeight="1">
      <c r="A1328" s="80"/>
      <c r="B1328" s="81"/>
      <c r="C1328" s="81"/>
      <c r="D1328" s="81"/>
      <c r="E1328" s="81"/>
      <c r="F1328" s="81"/>
      <c r="G1328" s="81"/>
      <c r="H1328" s="82"/>
      <c r="I1328" s="32"/>
      <c r="J1328" s="32"/>
      <c r="K1328" s="32"/>
      <c r="L1328" s="32"/>
      <c r="M1328" s="32"/>
      <c r="N1328" s="32"/>
      <c r="O1328" s="32"/>
      <c r="P1328" s="32"/>
      <c r="Q1328" s="32"/>
      <c r="R1328" s="32"/>
      <c r="S1328" s="32"/>
      <c r="T1328" s="32"/>
      <c r="U1328" s="32"/>
      <c r="V1328" s="32"/>
      <c r="W1328" s="32"/>
      <c r="X1328" s="32"/>
      <c r="Y1328" s="32"/>
      <c r="Z1328" s="32"/>
    </row>
    <row r="1329" spans="1:26" ht="14.25" customHeight="1"/>
    <row r="1330" spans="1:26" ht="14.25" customHeight="1"/>
    <row r="1331" spans="1:26" ht="14.25" customHeight="1"/>
    <row r="1332" spans="1:26" ht="14.25" customHeight="1"/>
    <row r="1333" spans="1:26" ht="14.25" customHeight="1"/>
    <row r="1334" spans="1:26" ht="14.25" customHeight="1"/>
    <row r="1335" spans="1:26" ht="14.25" customHeight="1">
      <c r="A1335" s="80" t="s">
        <v>0</v>
      </c>
      <c r="B1335" s="81"/>
      <c r="C1335" s="81"/>
      <c r="D1335" s="81"/>
      <c r="E1335" s="81"/>
      <c r="F1335" s="81"/>
      <c r="G1335" s="81"/>
      <c r="H1335" s="82"/>
      <c r="I1335" s="32"/>
      <c r="J1335" s="32"/>
      <c r="K1335" s="32"/>
      <c r="L1335" s="32"/>
      <c r="M1335" s="32"/>
      <c r="N1335" s="32"/>
      <c r="O1335" s="32"/>
      <c r="P1335" s="32"/>
      <c r="Q1335" s="32"/>
      <c r="R1335" s="32"/>
      <c r="S1335" s="32"/>
      <c r="T1335" s="32"/>
      <c r="U1335" s="32"/>
      <c r="V1335" s="32"/>
      <c r="W1335" s="32"/>
      <c r="X1335" s="32"/>
      <c r="Y1335" s="32"/>
      <c r="Z1335" s="32"/>
    </row>
    <row r="1336" spans="1:26" ht="14.25" customHeight="1">
      <c r="A1336" s="80" t="s">
        <v>428</v>
      </c>
      <c r="B1336" s="81"/>
      <c r="C1336" s="81"/>
      <c r="D1336" s="81"/>
      <c r="E1336" s="81"/>
      <c r="F1336" s="81"/>
      <c r="G1336" s="81"/>
      <c r="H1336" s="82"/>
      <c r="I1336" s="32"/>
      <c r="J1336" s="32"/>
      <c r="K1336" s="32"/>
      <c r="L1336" s="32"/>
      <c r="M1336" s="32"/>
      <c r="N1336" s="32"/>
      <c r="O1336" s="32"/>
      <c r="P1336" s="32"/>
      <c r="Q1336" s="32"/>
      <c r="R1336" s="32"/>
      <c r="S1336" s="32"/>
      <c r="T1336" s="32"/>
      <c r="U1336" s="32"/>
      <c r="V1336" s="32"/>
      <c r="W1336" s="32"/>
      <c r="X1336" s="32"/>
      <c r="Y1336" s="32"/>
      <c r="Z1336" s="32"/>
    </row>
    <row r="1337" spans="1:26" ht="14.25" customHeight="1">
      <c r="A1337" s="33" t="s">
        <v>2</v>
      </c>
      <c r="B1337" s="33" t="s">
        <v>3</v>
      </c>
      <c r="C1337" s="33" t="s">
        <v>4</v>
      </c>
      <c r="D1337" s="33" t="s">
        <v>5</v>
      </c>
      <c r="E1337" s="33" t="s">
        <v>6</v>
      </c>
      <c r="F1337" s="34" t="s">
        <v>7</v>
      </c>
      <c r="G1337" s="33" t="s">
        <v>8</v>
      </c>
      <c r="H1337" s="35"/>
      <c r="I1337" s="32"/>
      <c r="J1337" s="32"/>
      <c r="K1337" s="32"/>
      <c r="L1337" s="32"/>
      <c r="M1337" s="32"/>
      <c r="N1337" s="32"/>
      <c r="O1337" s="32"/>
      <c r="P1337" s="32"/>
      <c r="Q1337" s="32"/>
      <c r="R1337" s="32"/>
      <c r="S1337" s="32"/>
      <c r="T1337" s="32"/>
      <c r="U1337" s="32"/>
      <c r="V1337" s="32"/>
      <c r="W1337" s="32"/>
      <c r="X1337" s="32"/>
      <c r="Y1337" s="32"/>
      <c r="Z1337" s="32"/>
    </row>
    <row r="1338" spans="1:26" ht="14.25" customHeight="1">
      <c r="A1338" s="36">
        <v>1</v>
      </c>
      <c r="B1338" s="48" t="s">
        <v>429</v>
      </c>
      <c r="C1338" s="49" t="s">
        <v>430</v>
      </c>
      <c r="D1338" s="50" t="s">
        <v>413</v>
      </c>
      <c r="E1338" s="50">
        <v>0.55000000000000004</v>
      </c>
      <c r="F1338" s="6">
        <v>293000</v>
      </c>
      <c r="G1338" s="37">
        <f t="shared" ref="G1338:G1340" si="86">IFERROR(E1338*F1338,0)</f>
        <v>161150</v>
      </c>
      <c r="H1338" s="38"/>
      <c r="I1338" s="32"/>
      <c r="J1338" s="32"/>
      <c r="K1338" s="32"/>
      <c r="L1338" s="32"/>
      <c r="M1338" s="32"/>
      <c r="N1338" s="32"/>
      <c r="O1338" s="32"/>
      <c r="P1338" s="32"/>
      <c r="Q1338" s="32"/>
      <c r="R1338" s="32"/>
      <c r="S1338" s="32"/>
      <c r="T1338" s="32"/>
      <c r="U1338" s="32"/>
      <c r="V1338" s="32"/>
      <c r="W1338" s="32"/>
      <c r="X1338" s="32"/>
      <c r="Y1338" s="32"/>
      <c r="Z1338" s="32"/>
    </row>
    <row r="1339" spans="1:26" ht="14.25" customHeight="1">
      <c r="A1339" s="36">
        <v>2</v>
      </c>
      <c r="B1339" s="52" t="s">
        <v>12</v>
      </c>
      <c r="C1339" s="53" t="s">
        <v>431</v>
      </c>
      <c r="D1339" s="54" t="s">
        <v>14</v>
      </c>
      <c r="E1339" s="54">
        <v>3</v>
      </c>
      <c r="F1339" s="43">
        <v>435000</v>
      </c>
      <c r="G1339" s="37">
        <f t="shared" si="86"/>
        <v>1305000</v>
      </c>
      <c r="H1339" s="38"/>
      <c r="I1339" s="32"/>
      <c r="J1339" s="32"/>
      <c r="K1339" s="32"/>
      <c r="L1339" s="32"/>
      <c r="M1339" s="32"/>
      <c r="N1339" s="32"/>
      <c r="O1339" s="32"/>
      <c r="P1339" s="32"/>
      <c r="Q1339" s="32"/>
      <c r="R1339" s="32"/>
      <c r="S1339" s="32"/>
      <c r="T1339" s="32"/>
      <c r="U1339" s="32"/>
      <c r="V1339" s="32"/>
      <c r="W1339" s="32"/>
      <c r="X1339" s="32"/>
      <c r="Y1339" s="32"/>
      <c r="Z1339" s="32"/>
    </row>
    <row r="1340" spans="1:26" ht="14.25" customHeight="1">
      <c r="A1340" s="36">
        <v>3</v>
      </c>
      <c r="B1340" s="39" t="s">
        <v>17</v>
      </c>
      <c r="C1340" s="38"/>
      <c r="D1340" s="38"/>
      <c r="E1340" s="38"/>
      <c r="F1340" s="38"/>
      <c r="G1340" s="40">
        <f t="shared" si="86"/>
        <v>0</v>
      </c>
      <c r="H1340" s="38"/>
      <c r="I1340" s="32"/>
      <c r="J1340" s="32"/>
      <c r="K1340" s="32"/>
      <c r="L1340" s="32"/>
      <c r="M1340" s="32"/>
      <c r="N1340" s="32"/>
      <c r="O1340" s="32"/>
      <c r="P1340" s="32"/>
      <c r="Q1340" s="32"/>
      <c r="R1340" s="32"/>
      <c r="S1340" s="32"/>
      <c r="T1340" s="32"/>
      <c r="U1340" s="32"/>
      <c r="V1340" s="32"/>
      <c r="W1340" s="32"/>
      <c r="X1340" s="32"/>
      <c r="Y1340" s="32"/>
      <c r="Z1340" s="32"/>
    </row>
    <row r="1341" spans="1:26" ht="14.25" customHeight="1">
      <c r="A1341" s="83" t="s">
        <v>18</v>
      </c>
      <c r="B1341" s="81"/>
      <c r="C1341" s="81"/>
      <c r="D1341" s="81"/>
      <c r="E1341" s="81"/>
      <c r="F1341" s="81"/>
      <c r="G1341" s="82"/>
      <c r="H1341" s="41">
        <f>SUM(G1338:G1340)</f>
        <v>1466150</v>
      </c>
      <c r="I1341" s="32"/>
      <c r="J1341" s="32"/>
      <c r="K1341" s="32"/>
      <c r="L1341" s="32"/>
      <c r="M1341" s="32"/>
      <c r="N1341" s="32"/>
      <c r="O1341" s="32"/>
      <c r="P1341" s="32"/>
      <c r="Q1341" s="32"/>
      <c r="R1341" s="32"/>
      <c r="S1341" s="32"/>
      <c r="T1341" s="32"/>
      <c r="U1341" s="32"/>
      <c r="V1341" s="32"/>
      <c r="W1341" s="32"/>
      <c r="X1341" s="32"/>
      <c r="Y1341" s="32"/>
      <c r="Z1341" s="32"/>
    </row>
    <row r="1342" spans="1:26" ht="14.25" customHeight="1">
      <c r="A1342" s="83" t="s">
        <v>19</v>
      </c>
      <c r="B1342" s="81"/>
      <c r="C1342" s="81"/>
      <c r="D1342" s="81"/>
      <c r="E1342" s="81"/>
      <c r="F1342" s="81"/>
      <c r="G1342" s="82"/>
      <c r="H1342" s="41">
        <f>MAX(0,H1341-648000)</f>
        <v>818150</v>
      </c>
      <c r="I1342" s="32"/>
      <c r="J1342" s="32"/>
      <c r="K1342" s="32"/>
      <c r="L1342" s="32"/>
      <c r="M1342" s="32"/>
      <c r="N1342" s="32"/>
      <c r="O1342" s="32"/>
      <c r="P1342" s="32"/>
      <c r="Q1342" s="32"/>
      <c r="R1342" s="32"/>
      <c r="S1342" s="32"/>
      <c r="T1342" s="32"/>
      <c r="U1342" s="32"/>
      <c r="V1342" s="32"/>
      <c r="W1342" s="32"/>
      <c r="X1342" s="32"/>
      <c r="Y1342" s="32"/>
      <c r="Z1342" s="32"/>
    </row>
    <row r="1343" spans="1:26" ht="14.25" customHeight="1">
      <c r="A1343" s="84" t="s">
        <v>20</v>
      </c>
      <c r="B1343" s="81"/>
      <c r="C1343" s="81"/>
      <c r="D1343" s="81"/>
      <c r="E1343" s="81"/>
      <c r="F1343" s="81"/>
      <c r="G1343" s="82"/>
      <c r="H1343" s="42">
        <v>649000</v>
      </c>
      <c r="I1343" s="32"/>
      <c r="J1343" s="32"/>
      <c r="K1343" s="32"/>
      <c r="L1343" s="32"/>
      <c r="M1343" s="32"/>
      <c r="N1343" s="32"/>
      <c r="O1343" s="32"/>
      <c r="P1343" s="32"/>
      <c r="Q1343" s="32"/>
      <c r="R1343" s="32"/>
      <c r="S1343" s="32"/>
      <c r="T1343" s="32"/>
      <c r="U1343" s="32"/>
      <c r="V1343" s="32"/>
      <c r="W1343" s="32"/>
      <c r="X1343" s="32"/>
      <c r="Y1343" s="32"/>
      <c r="Z1343" s="32"/>
    </row>
    <row r="1344" spans="1:26" ht="14.25" customHeight="1">
      <c r="A1344" s="80"/>
      <c r="B1344" s="81"/>
      <c r="C1344" s="81"/>
      <c r="D1344" s="81"/>
      <c r="E1344" s="81"/>
      <c r="F1344" s="81"/>
      <c r="G1344" s="81"/>
      <c r="H1344" s="82"/>
      <c r="I1344" s="32"/>
      <c r="J1344" s="32"/>
      <c r="K1344" s="32"/>
      <c r="L1344" s="32"/>
      <c r="M1344" s="32"/>
      <c r="N1344" s="32"/>
      <c r="O1344" s="32"/>
      <c r="P1344" s="32"/>
      <c r="Q1344" s="32"/>
      <c r="R1344" s="32"/>
      <c r="S1344" s="32"/>
      <c r="T1344" s="32"/>
      <c r="U1344" s="32"/>
      <c r="V1344" s="32"/>
      <c r="W1344" s="32"/>
      <c r="X1344" s="32"/>
      <c r="Y1344" s="32"/>
      <c r="Z1344" s="32"/>
    </row>
    <row r="1345" spans="1:26" ht="14.25" customHeight="1"/>
    <row r="1346" spans="1:26" ht="14.25" customHeight="1"/>
    <row r="1347" spans="1:26" ht="14.25" customHeight="1"/>
    <row r="1348" spans="1:26" ht="14.25" customHeight="1"/>
    <row r="1349" spans="1:26" ht="14.25" customHeight="1"/>
    <row r="1350" spans="1:26" ht="14.25" customHeight="1"/>
    <row r="1351" spans="1:26" ht="14.25" customHeight="1">
      <c r="A1351" s="80" t="s">
        <v>0</v>
      </c>
      <c r="B1351" s="81"/>
      <c r="C1351" s="81"/>
      <c r="D1351" s="81"/>
      <c r="E1351" s="81"/>
      <c r="F1351" s="81"/>
      <c r="G1351" s="81"/>
      <c r="H1351" s="82"/>
      <c r="I1351" s="32"/>
      <c r="J1351" s="32"/>
      <c r="K1351" s="32"/>
      <c r="L1351" s="32"/>
      <c r="M1351" s="32"/>
      <c r="N1351" s="32"/>
      <c r="O1351" s="32"/>
      <c r="P1351" s="32"/>
      <c r="Q1351" s="32"/>
      <c r="R1351" s="32"/>
      <c r="S1351" s="32"/>
      <c r="T1351" s="32"/>
      <c r="U1351" s="32"/>
      <c r="V1351" s="32"/>
      <c r="W1351" s="32"/>
      <c r="X1351" s="32"/>
      <c r="Y1351" s="32"/>
      <c r="Z1351" s="32"/>
    </row>
    <row r="1352" spans="1:26" ht="14.25" customHeight="1">
      <c r="A1352" s="80" t="s">
        <v>432</v>
      </c>
      <c r="B1352" s="81"/>
      <c r="C1352" s="81"/>
      <c r="D1352" s="81"/>
      <c r="E1352" s="81"/>
      <c r="F1352" s="81"/>
      <c r="G1352" s="81"/>
      <c r="H1352" s="82"/>
      <c r="I1352" s="32"/>
      <c r="J1352" s="32"/>
      <c r="K1352" s="32"/>
      <c r="L1352" s="32"/>
      <c r="M1352" s="32"/>
      <c r="N1352" s="32"/>
      <c r="O1352" s="32"/>
      <c r="P1352" s="32"/>
      <c r="Q1352" s="32"/>
      <c r="R1352" s="32"/>
      <c r="S1352" s="32"/>
      <c r="T1352" s="32"/>
      <c r="U1352" s="32"/>
      <c r="V1352" s="32"/>
      <c r="W1352" s="32"/>
      <c r="X1352" s="32"/>
      <c r="Y1352" s="32"/>
      <c r="Z1352" s="32"/>
    </row>
    <row r="1353" spans="1:26" ht="14.25" customHeight="1">
      <c r="A1353" s="33" t="s">
        <v>2</v>
      </c>
      <c r="B1353" s="33" t="s">
        <v>3</v>
      </c>
      <c r="C1353" s="33" t="s">
        <v>4</v>
      </c>
      <c r="D1353" s="33" t="s">
        <v>5</v>
      </c>
      <c r="E1353" s="33" t="s">
        <v>6</v>
      </c>
      <c r="F1353" s="34" t="s">
        <v>7</v>
      </c>
      <c r="G1353" s="33" t="s">
        <v>8</v>
      </c>
      <c r="H1353" s="35"/>
      <c r="I1353" s="32"/>
      <c r="J1353" s="32"/>
      <c r="K1353" s="32"/>
      <c r="L1353" s="32"/>
      <c r="M1353" s="32"/>
      <c r="N1353" s="32"/>
      <c r="O1353" s="32"/>
      <c r="P1353" s="32"/>
      <c r="Q1353" s="32"/>
      <c r="R1353" s="32"/>
      <c r="S1353" s="32"/>
      <c r="T1353" s="32"/>
      <c r="U1353" s="32"/>
      <c r="V1353" s="32"/>
      <c r="W1353" s="32"/>
      <c r="X1353" s="32"/>
      <c r="Y1353" s="32"/>
      <c r="Z1353" s="32"/>
    </row>
    <row r="1354" spans="1:26" ht="14.25" customHeight="1">
      <c r="A1354" s="36">
        <v>1</v>
      </c>
      <c r="B1354" s="48" t="s">
        <v>9</v>
      </c>
      <c r="C1354" s="49" t="s">
        <v>433</v>
      </c>
      <c r="D1354" s="50" t="s">
        <v>11</v>
      </c>
      <c r="E1354" s="50">
        <v>1.05</v>
      </c>
      <c r="F1354" s="6">
        <v>293000</v>
      </c>
      <c r="G1354" s="37">
        <f t="shared" ref="G1354:G1356" si="87">IFERROR(E1354*F1354,0)</f>
        <v>307650</v>
      </c>
      <c r="H1354" s="38"/>
      <c r="I1354" s="32"/>
      <c r="J1354" s="32"/>
      <c r="K1354" s="32"/>
      <c r="L1354" s="32"/>
      <c r="M1354" s="32"/>
      <c r="N1354" s="32"/>
      <c r="O1354" s="32"/>
      <c r="P1354" s="32"/>
      <c r="Q1354" s="32"/>
      <c r="R1354" s="32"/>
      <c r="S1354" s="32"/>
      <c r="T1354" s="32"/>
      <c r="U1354" s="32"/>
      <c r="V1354" s="32"/>
      <c r="W1354" s="32"/>
      <c r="X1354" s="32"/>
      <c r="Y1354" s="32"/>
      <c r="Z1354" s="32"/>
    </row>
    <row r="1355" spans="1:26" ht="14.25" customHeight="1">
      <c r="A1355" s="36">
        <v>2</v>
      </c>
      <c r="B1355" s="52" t="s">
        <v>33</v>
      </c>
      <c r="C1355" s="53" t="s">
        <v>434</v>
      </c>
      <c r="D1355" s="54" t="s">
        <v>233</v>
      </c>
      <c r="E1355" s="54">
        <v>2.5</v>
      </c>
      <c r="F1355" s="43">
        <v>435000</v>
      </c>
      <c r="G1355" s="37">
        <f t="shared" si="87"/>
        <v>1087500</v>
      </c>
      <c r="H1355" s="38"/>
      <c r="I1355" s="32"/>
      <c r="J1355" s="32"/>
      <c r="K1355" s="32"/>
      <c r="L1355" s="32"/>
      <c r="M1355" s="32"/>
      <c r="N1355" s="32"/>
      <c r="O1355" s="32"/>
      <c r="P1355" s="32"/>
      <c r="Q1355" s="32"/>
      <c r="R1355" s="32"/>
      <c r="S1355" s="32"/>
      <c r="T1355" s="32"/>
      <c r="U1355" s="32"/>
      <c r="V1355" s="32"/>
      <c r="W1355" s="32"/>
      <c r="X1355" s="32"/>
      <c r="Y1355" s="32"/>
      <c r="Z1355" s="32"/>
    </row>
    <row r="1356" spans="1:26" ht="14.25" customHeight="1">
      <c r="A1356" s="36">
        <v>3</v>
      </c>
      <c r="B1356" s="39" t="s">
        <v>17</v>
      </c>
      <c r="C1356" s="38"/>
      <c r="D1356" s="38"/>
      <c r="E1356" s="38"/>
      <c r="F1356" s="38"/>
      <c r="G1356" s="40">
        <f t="shared" si="87"/>
        <v>0</v>
      </c>
      <c r="H1356" s="38"/>
      <c r="I1356" s="32"/>
      <c r="J1356" s="32"/>
      <c r="K1356" s="32"/>
      <c r="L1356" s="32"/>
      <c r="M1356" s="32"/>
      <c r="N1356" s="32"/>
      <c r="O1356" s="32"/>
      <c r="P1356" s="32"/>
      <c r="Q1356" s="32"/>
      <c r="R1356" s="32"/>
      <c r="S1356" s="32"/>
      <c r="T1356" s="32"/>
      <c r="U1356" s="32"/>
      <c r="V1356" s="32"/>
      <c r="W1356" s="32"/>
      <c r="X1356" s="32"/>
      <c r="Y1356" s="32"/>
      <c r="Z1356" s="32"/>
    </row>
    <row r="1357" spans="1:26" ht="14.25" customHeight="1">
      <c r="A1357" s="83" t="s">
        <v>18</v>
      </c>
      <c r="B1357" s="81"/>
      <c r="C1357" s="81"/>
      <c r="D1357" s="81"/>
      <c r="E1357" s="81"/>
      <c r="F1357" s="81"/>
      <c r="G1357" s="82"/>
      <c r="H1357" s="41">
        <f>SUM(G1354:G1356)</f>
        <v>1395150</v>
      </c>
      <c r="I1357" s="32"/>
      <c r="J1357" s="32"/>
      <c r="K1357" s="32"/>
      <c r="L1357" s="32"/>
      <c r="M1357" s="32"/>
      <c r="N1357" s="32"/>
      <c r="O1357" s="32"/>
      <c r="P1357" s="32"/>
      <c r="Q1357" s="32"/>
      <c r="R1357" s="32"/>
      <c r="S1357" s="32"/>
      <c r="T1357" s="32"/>
      <c r="U1357" s="32"/>
      <c r="V1357" s="32"/>
      <c r="W1357" s="32"/>
      <c r="X1357" s="32"/>
      <c r="Y1357" s="32"/>
      <c r="Z1357" s="32"/>
    </row>
    <row r="1358" spans="1:26" ht="14.25" customHeight="1">
      <c r="A1358" s="83" t="s">
        <v>19</v>
      </c>
      <c r="B1358" s="81"/>
      <c r="C1358" s="81"/>
      <c r="D1358" s="81"/>
      <c r="E1358" s="81"/>
      <c r="F1358" s="81"/>
      <c r="G1358" s="82"/>
      <c r="H1358" s="41">
        <f>MAX(0,H1357-648000)</f>
        <v>747150</v>
      </c>
      <c r="I1358" s="32"/>
      <c r="J1358" s="32"/>
      <c r="K1358" s="32"/>
      <c r="L1358" s="32"/>
      <c r="M1358" s="32"/>
      <c r="N1358" s="32"/>
      <c r="O1358" s="32"/>
      <c r="P1358" s="32"/>
      <c r="Q1358" s="32"/>
      <c r="R1358" s="32"/>
      <c r="S1358" s="32"/>
      <c r="T1358" s="32"/>
      <c r="U1358" s="32"/>
      <c r="V1358" s="32"/>
      <c r="W1358" s="32"/>
      <c r="X1358" s="32"/>
      <c r="Y1358" s="32"/>
      <c r="Z1358" s="32"/>
    </row>
    <row r="1359" spans="1:26" ht="14.25" customHeight="1">
      <c r="A1359" s="84" t="s">
        <v>20</v>
      </c>
      <c r="B1359" s="81"/>
      <c r="C1359" s="81"/>
      <c r="D1359" s="81"/>
      <c r="E1359" s="81"/>
      <c r="F1359" s="81"/>
      <c r="G1359" s="82"/>
      <c r="H1359" s="42">
        <v>649000</v>
      </c>
      <c r="I1359" s="32"/>
      <c r="J1359" s="32"/>
      <c r="K1359" s="32"/>
      <c r="L1359" s="32"/>
      <c r="M1359" s="32"/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  <c r="Y1359" s="32"/>
      <c r="Z1359" s="32"/>
    </row>
    <row r="1360" spans="1:26" ht="14.25" customHeight="1">
      <c r="A1360" s="80"/>
      <c r="B1360" s="81"/>
      <c r="C1360" s="81"/>
      <c r="D1360" s="81"/>
      <c r="E1360" s="81"/>
      <c r="F1360" s="81"/>
      <c r="G1360" s="81"/>
      <c r="H1360" s="82"/>
      <c r="I1360" s="32"/>
      <c r="J1360" s="32"/>
      <c r="K1360" s="32"/>
      <c r="L1360" s="32"/>
      <c r="M1360" s="32"/>
      <c r="N1360" s="32"/>
      <c r="O1360" s="32"/>
      <c r="P1360" s="32"/>
      <c r="Q1360" s="32"/>
      <c r="R1360" s="32"/>
      <c r="S1360" s="32"/>
      <c r="T1360" s="32"/>
      <c r="U1360" s="32"/>
      <c r="V1360" s="32"/>
      <c r="W1360" s="32"/>
      <c r="X1360" s="32"/>
      <c r="Y1360" s="32"/>
      <c r="Z1360" s="32"/>
    </row>
    <row r="1361" spans="1:26" ht="14.25" customHeight="1"/>
    <row r="1362" spans="1:26" ht="14.25" customHeight="1"/>
    <row r="1363" spans="1:26" ht="14.25" customHeight="1"/>
    <row r="1364" spans="1:26" ht="14.25" customHeight="1"/>
    <row r="1365" spans="1:26" ht="14.25" customHeight="1">
      <c r="A1365" s="80" t="s">
        <v>0</v>
      </c>
      <c r="B1365" s="81"/>
      <c r="C1365" s="81"/>
      <c r="D1365" s="81"/>
      <c r="E1365" s="81"/>
      <c r="F1365" s="81"/>
      <c r="G1365" s="81"/>
      <c r="H1365" s="82"/>
      <c r="I1365" s="32"/>
      <c r="J1365" s="32"/>
      <c r="K1365" s="32"/>
      <c r="L1365" s="32"/>
      <c r="M1365" s="32"/>
      <c r="N1365" s="32"/>
      <c r="O1365" s="32"/>
      <c r="P1365" s="32"/>
      <c r="Q1365" s="32"/>
      <c r="R1365" s="32"/>
      <c r="S1365" s="32"/>
      <c r="T1365" s="32"/>
      <c r="U1365" s="32"/>
      <c r="V1365" s="32"/>
      <c r="W1365" s="32"/>
      <c r="X1365" s="32"/>
      <c r="Y1365" s="32"/>
      <c r="Z1365" s="32"/>
    </row>
    <row r="1366" spans="1:26" ht="14.25" customHeight="1">
      <c r="A1366" s="80" t="s">
        <v>435</v>
      </c>
      <c r="B1366" s="81"/>
      <c r="C1366" s="81"/>
      <c r="D1366" s="81"/>
      <c r="E1366" s="81"/>
      <c r="F1366" s="81"/>
      <c r="G1366" s="81"/>
      <c r="H1366" s="82"/>
      <c r="I1366" s="32"/>
      <c r="J1366" s="32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/>
      <c r="V1366" s="32"/>
      <c r="W1366" s="32"/>
      <c r="X1366" s="32"/>
      <c r="Y1366" s="32"/>
      <c r="Z1366" s="32"/>
    </row>
    <row r="1367" spans="1:26" ht="14.25" customHeight="1">
      <c r="A1367" s="33" t="s">
        <v>2</v>
      </c>
      <c r="B1367" s="33" t="s">
        <v>3</v>
      </c>
      <c r="C1367" s="33" t="s">
        <v>4</v>
      </c>
      <c r="D1367" s="33" t="s">
        <v>5</v>
      </c>
      <c r="E1367" s="33" t="s">
        <v>6</v>
      </c>
      <c r="F1367" s="34" t="s">
        <v>7</v>
      </c>
      <c r="G1367" s="33" t="s">
        <v>8</v>
      </c>
      <c r="H1367" s="35"/>
      <c r="I1367" s="32"/>
      <c r="J1367" s="32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</row>
    <row r="1368" spans="1:26" ht="14.25" customHeight="1">
      <c r="A1368" s="36">
        <v>1</v>
      </c>
      <c r="B1368" s="48" t="s">
        <v>436</v>
      </c>
      <c r="C1368" s="49" t="s">
        <v>437</v>
      </c>
      <c r="D1368" s="50" t="s">
        <v>11</v>
      </c>
      <c r="E1368" s="50">
        <v>1.54</v>
      </c>
      <c r="F1368" s="6">
        <v>293000</v>
      </c>
      <c r="G1368" s="37">
        <f t="shared" ref="G1368:G1370" si="88">IFERROR(E1368*F1368,0)</f>
        <v>451220</v>
      </c>
      <c r="H1368" s="38"/>
      <c r="I1368" s="32"/>
      <c r="J1368" s="32"/>
      <c r="K1368" s="32"/>
      <c r="L1368" s="32"/>
      <c r="M1368" s="32"/>
      <c r="N1368" s="32"/>
      <c r="O1368" s="32"/>
      <c r="P1368" s="32"/>
      <c r="Q1368" s="32"/>
      <c r="R1368" s="32"/>
      <c r="S1368" s="32"/>
      <c r="T1368" s="32"/>
      <c r="U1368" s="32"/>
      <c r="V1368" s="32"/>
      <c r="W1368" s="32"/>
      <c r="X1368" s="32"/>
      <c r="Y1368" s="32"/>
      <c r="Z1368" s="32"/>
    </row>
    <row r="1369" spans="1:26" ht="14.25" customHeight="1">
      <c r="A1369" s="36">
        <v>2</v>
      </c>
      <c r="B1369" s="52" t="s">
        <v>54</v>
      </c>
      <c r="C1369" s="53" t="s">
        <v>438</v>
      </c>
      <c r="D1369" s="54" t="s">
        <v>14</v>
      </c>
      <c r="E1369" s="54">
        <v>2</v>
      </c>
      <c r="F1369" s="43">
        <v>435000</v>
      </c>
      <c r="G1369" s="37">
        <f t="shared" si="88"/>
        <v>870000</v>
      </c>
      <c r="H1369" s="38"/>
      <c r="I1369" s="32"/>
      <c r="J1369" s="32"/>
      <c r="K1369" s="32"/>
      <c r="L1369" s="32"/>
      <c r="M1369" s="32"/>
      <c r="N1369" s="32"/>
      <c r="O1369" s="32"/>
      <c r="P1369" s="32"/>
      <c r="Q1369" s="32"/>
      <c r="R1369" s="32"/>
      <c r="S1369" s="32"/>
      <c r="T1369" s="32"/>
      <c r="U1369" s="32"/>
      <c r="V1369" s="32"/>
      <c r="W1369" s="32"/>
      <c r="X1369" s="32"/>
      <c r="Y1369" s="32"/>
      <c r="Z1369" s="32"/>
    </row>
    <row r="1370" spans="1:26" ht="14.25" customHeight="1">
      <c r="A1370" s="36">
        <v>3</v>
      </c>
      <c r="B1370" s="39" t="s">
        <v>17</v>
      </c>
      <c r="C1370" s="38"/>
      <c r="D1370" s="38"/>
      <c r="E1370" s="38"/>
      <c r="F1370" s="38"/>
      <c r="G1370" s="40">
        <f t="shared" si="88"/>
        <v>0</v>
      </c>
      <c r="H1370" s="38"/>
      <c r="I1370" s="32"/>
      <c r="J1370" s="32"/>
      <c r="K1370" s="32"/>
      <c r="L1370" s="32"/>
      <c r="M1370" s="32"/>
      <c r="N1370" s="32"/>
      <c r="O1370" s="32"/>
      <c r="P1370" s="32"/>
      <c r="Q1370" s="32"/>
      <c r="R1370" s="32"/>
      <c r="S1370" s="32"/>
      <c r="T1370" s="32"/>
      <c r="U1370" s="32"/>
      <c r="V1370" s="32"/>
      <c r="W1370" s="32"/>
      <c r="X1370" s="32"/>
      <c r="Y1370" s="32"/>
      <c r="Z1370" s="32"/>
    </row>
    <row r="1371" spans="1:26" ht="14.25" customHeight="1">
      <c r="A1371" s="83" t="s">
        <v>18</v>
      </c>
      <c r="B1371" s="81"/>
      <c r="C1371" s="81"/>
      <c r="D1371" s="81"/>
      <c r="E1371" s="81"/>
      <c r="F1371" s="81"/>
      <c r="G1371" s="82"/>
      <c r="H1371" s="41">
        <f>SUM(G1368:G1370)</f>
        <v>1321220</v>
      </c>
      <c r="I1371" s="32"/>
      <c r="J1371" s="32"/>
      <c r="K1371" s="32"/>
      <c r="L1371" s="32"/>
      <c r="M1371" s="32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  <c r="Y1371" s="32"/>
      <c r="Z1371" s="32"/>
    </row>
    <row r="1372" spans="1:26" ht="14.25" customHeight="1">
      <c r="A1372" s="83" t="s">
        <v>19</v>
      </c>
      <c r="B1372" s="81"/>
      <c r="C1372" s="81"/>
      <c r="D1372" s="81"/>
      <c r="E1372" s="81"/>
      <c r="F1372" s="81"/>
      <c r="G1372" s="82"/>
      <c r="H1372" s="41">
        <f>MAX(0,H1371-648000)</f>
        <v>673220</v>
      </c>
      <c r="I1372" s="32"/>
      <c r="J1372" s="32"/>
      <c r="K1372" s="32"/>
      <c r="L1372" s="32"/>
      <c r="M1372" s="32"/>
      <c r="N1372" s="32"/>
      <c r="O1372" s="32"/>
      <c r="P1372" s="32"/>
      <c r="Q1372" s="32"/>
      <c r="R1372" s="32"/>
      <c r="S1372" s="32"/>
      <c r="T1372" s="32"/>
      <c r="U1372" s="32"/>
      <c r="V1372" s="32"/>
      <c r="W1372" s="32"/>
      <c r="X1372" s="32"/>
      <c r="Y1372" s="32"/>
      <c r="Z1372" s="32"/>
    </row>
    <row r="1373" spans="1:26" ht="14.25" customHeight="1">
      <c r="A1373" s="84" t="s">
        <v>20</v>
      </c>
      <c r="B1373" s="81"/>
      <c r="C1373" s="81"/>
      <c r="D1373" s="81"/>
      <c r="E1373" s="81"/>
      <c r="F1373" s="81"/>
      <c r="G1373" s="82"/>
      <c r="H1373" s="42">
        <v>649000</v>
      </c>
      <c r="I1373" s="32"/>
      <c r="J1373" s="32"/>
      <c r="K1373" s="32"/>
      <c r="L1373" s="32"/>
      <c r="M1373" s="32"/>
      <c r="N1373" s="32"/>
      <c r="O1373" s="32"/>
      <c r="P1373" s="32"/>
      <c r="Q1373" s="32"/>
      <c r="R1373" s="32"/>
      <c r="S1373" s="32"/>
      <c r="T1373" s="32"/>
      <c r="U1373" s="32"/>
      <c r="V1373" s="32"/>
      <c r="W1373" s="32"/>
      <c r="X1373" s="32"/>
      <c r="Y1373" s="32"/>
      <c r="Z1373" s="32"/>
    </row>
    <row r="1374" spans="1:26" ht="14.25" customHeight="1">
      <c r="A1374" s="80"/>
      <c r="B1374" s="81"/>
      <c r="C1374" s="81"/>
      <c r="D1374" s="81"/>
      <c r="E1374" s="81"/>
      <c r="F1374" s="81"/>
      <c r="G1374" s="81"/>
      <c r="H1374" s="82"/>
      <c r="I1374" s="32"/>
      <c r="J1374" s="32"/>
      <c r="K1374" s="32"/>
      <c r="L1374" s="32"/>
      <c r="M1374" s="32"/>
      <c r="N1374" s="32"/>
      <c r="O1374" s="32"/>
      <c r="P1374" s="32"/>
      <c r="Q1374" s="32"/>
      <c r="R1374" s="32"/>
      <c r="S1374" s="32"/>
      <c r="T1374" s="32"/>
      <c r="U1374" s="32"/>
      <c r="V1374" s="32"/>
      <c r="W1374" s="32"/>
      <c r="X1374" s="32"/>
      <c r="Y1374" s="32"/>
      <c r="Z1374" s="32"/>
    </row>
    <row r="1375" spans="1:26" ht="14.25" customHeight="1"/>
    <row r="1376" spans="1:26" ht="14.25" customHeight="1"/>
    <row r="1377" spans="1:8" ht="14.25" customHeight="1"/>
    <row r="1378" spans="1:8" ht="14.25" customHeight="1">
      <c r="A1378" s="85" t="s">
        <v>0</v>
      </c>
      <c r="B1378" s="81"/>
      <c r="C1378" s="81"/>
      <c r="D1378" s="81"/>
      <c r="E1378" s="81"/>
      <c r="F1378" s="81"/>
      <c r="G1378" s="81"/>
      <c r="H1378" s="82"/>
    </row>
    <row r="1379" spans="1:8" ht="14.25" customHeight="1">
      <c r="A1379" s="85" t="s">
        <v>439</v>
      </c>
      <c r="B1379" s="81"/>
      <c r="C1379" s="81"/>
      <c r="D1379" s="81"/>
      <c r="E1379" s="81"/>
      <c r="F1379" s="81"/>
      <c r="G1379" s="81"/>
      <c r="H1379" s="82"/>
    </row>
    <row r="1380" spans="1:8" ht="14.25" customHeight="1">
      <c r="A1380" s="1" t="s">
        <v>2</v>
      </c>
      <c r="B1380" s="1" t="s">
        <v>3</v>
      </c>
      <c r="C1380" s="1" t="s">
        <v>4</v>
      </c>
      <c r="D1380" s="1" t="s">
        <v>5</v>
      </c>
      <c r="E1380" s="1" t="s">
        <v>6</v>
      </c>
      <c r="F1380" s="2" t="s">
        <v>7</v>
      </c>
      <c r="G1380" s="1" t="s">
        <v>8</v>
      </c>
      <c r="H1380" s="1"/>
    </row>
    <row r="1381" spans="1:8" ht="14.25" customHeight="1">
      <c r="A1381" s="3">
        <v>1</v>
      </c>
      <c r="B1381" s="9" t="s">
        <v>305</v>
      </c>
      <c r="C1381" s="10" t="s">
        <v>440</v>
      </c>
      <c r="D1381" s="9" t="s">
        <v>11</v>
      </c>
      <c r="E1381" s="9">
        <v>1</v>
      </c>
      <c r="F1381" s="6">
        <v>293000</v>
      </c>
      <c r="G1381" s="7">
        <f t="shared" ref="G1381:G1382" si="89">IFERROR(E1381*F1381,0)</f>
        <v>293000</v>
      </c>
      <c r="H1381" s="8"/>
    </row>
    <row r="1382" spans="1:8" ht="14.25" customHeight="1">
      <c r="A1382" s="3">
        <v>2</v>
      </c>
      <c r="B1382" s="4" t="s">
        <v>33</v>
      </c>
      <c r="C1382" s="5" t="s">
        <v>441</v>
      </c>
      <c r="D1382" s="4" t="s">
        <v>14</v>
      </c>
      <c r="E1382" s="4">
        <v>1.3</v>
      </c>
      <c r="F1382" s="11">
        <v>435000</v>
      </c>
      <c r="G1382" s="7">
        <f t="shared" si="89"/>
        <v>565500</v>
      </c>
      <c r="H1382" s="8"/>
    </row>
    <row r="1383" spans="1:8" ht="14.25" customHeight="1">
      <c r="A1383" s="3">
        <v>3</v>
      </c>
      <c r="B1383" s="9" t="s">
        <v>442</v>
      </c>
      <c r="C1383" s="12" t="s">
        <v>443</v>
      </c>
      <c r="D1383" s="9" t="s">
        <v>11</v>
      </c>
      <c r="E1383" s="9">
        <v>1.2</v>
      </c>
      <c r="F1383" s="6">
        <v>293000</v>
      </c>
      <c r="G1383" s="7">
        <f>IFERROR(E1383*F1383,0)</f>
        <v>351600</v>
      </c>
      <c r="H1383" s="8"/>
    </row>
    <row r="1384" spans="1:8" ht="14.25" customHeight="1">
      <c r="A1384" s="3">
        <v>4</v>
      </c>
      <c r="B1384" s="8" t="s">
        <v>17</v>
      </c>
      <c r="C1384" s="8"/>
      <c r="D1384" s="8"/>
      <c r="E1384" s="8"/>
      <c r="F1384" s="8"/>
      <c r="G1384" s="13">
        <f>IFERROR(E1384*F1384,0)</f>
        <v>0</v>
      </c>
      <c r="H1384" s="8"/>
    </row>
    <row r="1385" spans="1:8" ht="14.25" customHeight="1">
      <c r="A1385" s="86" t="s">
        <v>18</v>
      </c>
      <c r="B1385" s="81"/>
      <c r="C1385" s="81"/>
      <c r="D1385" s="81"/>
      <c r="E1385" s="81"/>
      <c r="F1385" s="81"/>
      <c r="G1385" s="82"/>
      <c r="H1385" s="14">
        <f>SUM(G1381:G1384)</f>
        <v>1210100</v>
      </c>
    </row>
    <row r="1386" spans="1:8" ht="14.25" customHeight="1">
      <c r="A1386" s="86" t="s">
        <v>19</v>
      </c>
      <c r="B1386" s="81"/>
      <c r="C1386" s="81"/>
      <c r="D1386" s="81"/>
      <c r="E1386" s="81"/>
      <c r="F1386" s="81"/>
      <c r="G1386" s="82"/>
      <c r="H1386" s="14">
        <f>MAX(0,H1385-648000)</f>
        <v>562100</v>
      </c>
    </row>
    <row r="1387" spans="1:8" ht="14.25" customHeight="1">
      <c r="A1387" s="87" t="s">
        <v>20</v>
      </c>
      <c r="B1387" s="81"/>
      <c r="C1387" s="81"/>
      <c r="D1387" s="81"/>
      <c r="E1387" s="81"/>
      <c r="F1387" s="81"/>
      <c r="G1387" s="82"/>
      <c r="H1387" s="15">
        <v>649000</v>
      </c>
    </row>
    <row r="1388" spans="1:8" ht="14.25" customHeight="1"/>
    <row r="1389" spans="1:8" ht="14.25" customHeight="1"/>
    <row r="1390" spans="1:8" ht="14.25" customHeight="1"/>
    <row r="1391" spans="1:8" ht="14.25" customHeight="1">
      <c r="A1391" s="85" t="s">
        <v>0</v>
      </c>
      <c r="B1391" s="81"/>
      <c r="C1391" s="81"/>
      <c r="D1391" s="81"/>
      <c r="E1391" s="81"/>
      <c r="F1391" s="81"/>
      <c r="G1391" s="81"/>
      <c r="H1391" s="82"/>
    </row>
    <row r="1392" spans="1:8" ht="14.25" customHeight="1">
      <c r="A1392" s="85" t="s">
        <v>444</v>
      </c>
      <c r="B1392" s="81"/>
      <c r="C1392" s="81"/>
      <c r="D1392" s="81"/>
      <c r="E1392" s="81"/>
      <c r="F1392" s="81"/>
      <c r="G1392" s="81"/>
      <c r="H1392" s="82"/>
    </row>
    <row r="1393" spans="1:8" ht="14.25" customHeight="1">
      <c r="A1393" s="1" t="s">
        <v>2</v>
      </c>
      <c r="B1393" s="1" t="s">
        <v>3</v>
      </c>
      <c r="C1393" s="1" t="s">
        <v>4</v>
      </c>
      <c r="D1393" s="1" t="s">
        <v>5</v>
      </c>
      <c r="E1393" s="1" t="s">
        <v>6</v>
      </c>
      <c r="F1393" s="2" t="s">
        <v>7</v>
      </c>
      <c r="G1393" s="1" t="s">
        <v>8</v>
      </c>
      <c r="H1393" s="1"/>
    </row>
    <row r="1394" spans="1:8" ht="14.25" customHeight="1">
      <c r="A1394" s="3">
        <v>1</v>
      </c>
      <c r="B1394" s="4" t="s">
        <v>70</v>
      </c>
      <c r="C1394" s="5" t="s">
        <v>445</v>
      </c>
      <c r="D1394" s="4" t="s">
        <v>11</v>
      </c>
      <c r="E1394" s="4">
        <v>0.98</v>
      </c>
      <c r="F1394" s="6">
        <v>293000</v>
      </c>
      <c r="G1394" s="7">
        <f t="shared" ref="G1394:G1395" si="90">IFERROR(E1394*F1394,0)</f>
        <v>287140</v>
      </c>
      <c r="H1394" s="8"/>
    </row>
    <row r="1395" spans="1:8" ht="14.25" customHeight="1">
      <c r="A1395" s="3">
        <v>2</v>
      </c>
      <c r="B1395" s="4" t="s">
        <v>446</v>
      </c>
      <c r="C1395" s="5" t="s">
        <v>447</v>
      </c>
      <c r="D1395" s="4" t="s">
        <v>14</v>
      </c>
      <c r="E1395" s="4">
        <v>1.43</v>
      </c>
      <c r="F1395" s="11">
        <v>435000</v>
      </c>
      <c r="G1395" s="7">
        <f t="shared" si="90"/>
        <v>622050</v>
      </c>
      <c r="H1395" s="8"/>
    </row>
    <row r="1396" spans="1:8" ht="14.25" customHeight="1">
      <c r="A1396" s="3">
        <v>3</v>
      </c>
      <c r="B1396" s="4" t="s">
        <v>177</v>
      </c>
      <c r="C1396" s="18" t="s">
        <v>448</v>
      </c>
      <c r="D1396" s="4" t="s">
        <v>11</v>
      </c>
      <c r="E1396" s="4">
        <v>1.02</v>
      </c>
      <c r="F1396" s="6">
        <v>293000</v>
      </c>
      <c r="G1396" s="7">
        <f>IFERROR(E1396*F1396,0)</f>
        <v>298860</v>
      </c>
      <c r="H1396" s="8"/>
    </row>
    <row r="1397" spans="1:8" ht="14.25" customHeight="1">
      <c r="A1397" s="3">
        <v>4</v>
      </c>
      <c r="B1397" s="8" t="s">
        <v>17</v>
      </c>
      <c r="C1397" s="8"/>
      <c r="D1397" s="8"/>
      <c r="E1397" s="8"/>
      <c r="F1397" s="8"/>
      <c r="G1397" s="13">
        <f>IFERROR(E1397*F1397,0)</f>
        <v>0</v>
      </c>
      <c r="H1397" s="8"/>
    </row>
    <row r="1398" spans="1:8" ht="14.25" customHeight="1">
      <c r="A1398" s="86" t="s">
        <v>18</v>
      </c>
      <c r="B1398" s="81"/>
      <c r="C1398" s="81"/>
      <c r="D1398" s="81"/>
      <c r="E1398" s="81"/>
      <c r="F1398" s="81"/>
      <c r="G1398" s="82"/>
      <c r="H1398" s="14">
        <f>SUM(G1394:G1397)</f>
        <v>1208050</v>
      </c>
    </row>
    <row r="1399" spans="1:8" ht="14.25" customHeight="1">
      <c r="A1399" s="86" t="s">
        <v>19</v>
      </c>
      <c r="B1399" s="81"/>
      <c r="C1399" s="81"/>
      <c r="D1399" s="81"/>
      <c r="E1399" s="81"/>
      <c r="F1399" s="81"/>
      <c r="G1399" s="82"/>
      <c r="H1399" s="14">
        <f>MAX(0,H1398-648000)</f>
        <v>560050</v>
      </c>
    </row>
    <row r="1400" spans="1:8" ht="14.25" customHeight="1">
      <c r="A1400" s="87" t="s">
        <v>20</v>
      </c>
      <c r="B1400" s="81"/>
      <c r="C1400" s="81"/>
      <c r="D1400" s="81"/>
      <c r="E1400" s="81"/>
      <c r="F1400" s="81"/>
      <c r="G1400" s="82"/>
      <c r="H1400" s="15">
        <v>649000</v>
      </c>
    </row>
    <row r="1401" spans="1:8" ht="14.25" customHeight="1"/>
    <row r="1402" spans="1:8" ht="14.25" customHeight="1"/>
    <row r="1403" spans="1:8" ht="14.25" customHeight="1"/>
    <row r="1404" spans="1:8" ht="14.25" customHeight="1"/>
    <row r="1405" spans="1:8" ht="14.25" customHeight="1">
      <c r="A1405" s="85" t="s">
        <v>0</v>
      </c>
      <c r="B1405" s="81"/>
      <c r="C1405" s="81"/>
      <c r="D1405" s="81"/>
      <c r="E1405" s="81"/>
      <c r="F1405" s="81"/>
      <c r="G1405" s="81"/>
      <c r="H1405" s="82"/>
    </row>
    <row r="1406" spans="1:8" ht="14.25" customHeight="1">
      <c r="A1406" s="85" t="s">
        <v>449</v>
      </c>
      <c r="B1406" s="81"/>
      <c r="C1406" s="81"/>
      <c r="D1406" s="81"/>
      <c r="E1406" s="81"/>
      <c r="F1406" s="81"/>
      <c r="G1406" s="81"/>
      <c r="H1406" s="82"/>
    </row>
    <row r="1407" spans="1:8" ht="14.25" customHeight="1">
      <c r="A1407" s="1" t="s">
        <v>2</v>
      </c>
      <c r="B1407" s="1" t="s">
        <v>3</v>
      </c>
      <c r="C1407" s="1" t="s">
        <v>4</v>
      </c>
      <c r="D1407" s="1" t="s">
        <v>5</v>
      </c>
      <c r="E1407" s="1" t="s">
        <v>6</v>
      </c>
      <c r="F1407" s="2" t="s">
        <v>7</v>
      </c>
      <c r="G1407" s="1" t="s">
        <v>8</v>
      </c>
      <c r="H1407" s="1"/>
    </row>
    <row r="1408" spans="1:8" ht="14.25" customHeight="1">
      <c r="A1408" s="3">
        <v>1</v>
      </c>
      <c r="B1408" s="4" t="s">
        <v>177</v>
      </c>
      <c r="C1408" s="5" t="s">
        <v>450</v>
      </c>
      <c r="D1408" s="4" t="s">
        <v>11</v>
      </c>
      <c r="E1408" s="4">
        <v>1</v>
      </c>
      <c r="F1408" s="6">
        <v>293000</v>
      </c>
      <c r="G1408" s="7">
        <f t="shared" ref="G1408:G1409" si="91">IFERROR(E1408*F1408,0)</f>
        <v>293000</v>
      </c>
      <c r="H1408" s="8"/>
    </row>
    <row r="1409" spans="1:8" ht="14.25" customHeight="1">
      <c r="A1409" s="3">
        <v>2</v>
      </c>
      <c r="B1409" s="9" t="s">
        <v>70</v>
      </c>
      <c r="C1409" s="10" t="s">
        <v>451</v>
      </c>
      <c r="D1409" s="9" t="s">
        <v>14</v>
      </c>
      <c r="E1409" s="9">
        <v>0.87</v>
      </c>
      <c r="F1409" s="11">
        <v>435000</v>
      </c>
      <c r="G1409" s="7">
        <f t="shared" si="91"/>
        <v>378450</v>
      </c>
      <c r="H1409" s="8"/>
    </row>
    <row r="1410" spans="1:8" ht="14.25" customHeight="1">
      <c r="A1410" s="3">
        <v>3</v>
      </c>
      <c r="B1410" s="4" t="s">
        <v>452</v>
      </c>
      <c r="C1410" s="18" t="s">
        <v>453</v>
      </c>
      <c r="D1410" s="4" t="s">
        <v>14</v>
      </c>
      <c r="E1410" s="4">
        <v>1.57</v>
      </c>
      <c r="F1410" s="11">
        <v>435000</v>
      </c>
      <c r="G1410" s="7">
        <f>IFERROR(E1410*F1410,0)</f>
        <v>682950</v>
      </c>
      <c r="H1410" s="8"/>
    </row>
    <row r="1411" spans="1:8" ht="14.25" customHeight="1">
      <c r="A1411" s="3">
        <v>4</v>
      </c>
      <c r="B1411" s="8" t="s">
        <v>17</v>
      </c>
      <c r="C1411" s="8"/>
      <c r="D1411" s="8"/>
      <c r="E1411" s="8"/>
      <c r="F1411" s="8"/>
      <c r="G1411" s="13">
        <f>IFERROR(E1411*F1411,0)</f>
        <v>0</v>
      </c>
      <c r="H1411" s="8"/>
    </row>
    <row r="1412" spans="1:8" ht="14.25" customHeight="1">
      <c r="A1412" s="86" t="s">
        <v>18</v>
      </c>
      <c r="B1412" s="81"/>
      <c r="C1412" s="81"/>
      <c r="D1412" s="81"/>
      <c r="E1412" s="81"/>
      <c r="F1412" s="81"/>
      <c r="G1412" s="82"/>
      <c r="H1412" s="14">
        <f>SUM(G1408:G1411)</f>
        <v>1354400</v>
      </c>
    </row>
    <row r="1413" spans="1:8" ht="14.25" customHeight="1">
      <c r="A1413" s="86" t="s">
        <v>19</v>
      </c>
      <c r="B1413" s="81"/>
      <c r="C1413" s="81"/>
      <c r="D1413" s="81"/>
      <c r="E1413" s="81"/>
      <c r="F1413" s="81"/>
      <c r="G1413" s="82"/>
      <c r="H1413" s="14">
        <f>MAX(0,H1412-648000)</f>
        <v>706400</v>
      </c>
    </row>
    <row r="1414" spans="1:8" ht="14.25" customHeight="1">
      <c r="A1414" s="87" t="s">
        <v>20</v>
      </c>
      <c r="B1414" s="81"/>
      <c r="C1414" s="81"/>
      <c r="D1414" s="81"/>
      <c r="E1414" s="81"/>
      <c r="F1414" s="81"/>
      <c r="G1414" s="82"/>
      <c r="H1414" s="15">
        <v>649000</v>
      </c>
    </row>
    <row r="1415" spans="1:8" ht="14.25" customHeight="1"/>
    <row r="1416" spans="1:8" ht="14.25" customHeight="1"/>
    <row r="1417" spans="1:8" ht="14.25" customHeight="1"/>
    <row r="1418" spans="1:8" ht="14.25" customHeight="1"/>
    <row r="1419" spans="1:8" ht="14.25" customHeight="1"/>
    <row r="1420" spans="1:8" ht="14.25" customHeight="1">
      <c r="A1420" s="85" t="s">
        <v>0</v>
      </c>
      <c r="B1420" s="81"/>
      <c r="C1420" s="81"/>
      <c r="D1420" s="81"/>
      <c r="E1420" s="81"/>
      <c r="F1420" s="81"/>
      <c r="G1420" s="81"/>
      <c r="H1420" s="82"/>
    </row>
    <row r="1421" spans="1:8" ht="14.25" customHeight="1">
      <c r="A1421" s="85" t="s">
        <v>454</v>
      </c>
      <c r="B1421" s="81"/>
      <c r="C1421" s="81"/>
      <c r="D1421" s="81"/>
      <c r="E1421" s="81"/>
      <c r="F1421" s="81"/>
      <c r="G1421" s="81"/>
      <c r="H1421" s="82"/>
    </row>
    <row r="1422" spans="1:8" ht="14.25" customHeight="1">
      <c r="A1422" s="1" t="s">
        <v>2</v>
      </c>
      <c r="B1422" s="1" t="s">
        <v>3</v>
      </c>
      <c r="C1422" s="1" t="s">
        <v>4</v>
      </c>
      <c r="D1422" s="1" t="s">
        <v>5</v>
      </c>
      <c r="E1422" s="1" t="s">
        <v>6</v>
      </c>
      <c r="F1422" s="2" t="s">
        <v>7</v>
      </c>
      <c r="G1422" s="1" t="s">
        <v>8</v>
      </c>
      <c r="H1422" s="1"/>
    </row>
    <row r="1423" spans="1:8" ht="14.25" customHeight="1">
      <c r="A1423" s="3">
        <v>1</v>
      </c>
      <c r="B1423" s="4" t="s">
        <v>455</v>
      </c>
      <c r="C1423" s="5" t="s">
        <v>456</v>
      </c>
      <c r="D1423" s="4" t="s">
        <v>11</v>
      </c>
      <c r="E1423" s="4">
        <v>1.2</v>
      </c>
      <c r="F1423" s="6">
        <v>293000</v>
      </c>
      <c r="G1423" s="7">
        <f t="shared" ref="G1423:G1424" si="92">IFERROR(E1423*F1423,0)</f>
        <v>351600</v>
      </c>
      <c r="H1423" s="8"/>
    </row>
    <row r="1424" spans="1:8" ht="14.25" customHeight="1">
      <c r="A1424" s="3">
        <v>2</v>
      </c>
      <c r="B1424" s="9" t="s">
        <v>65</v>
      </c>
      <c r="C1424" s="10" t="s">
        <v>457</v>
      </c>
      <c r="D1424" s="9" t="s">
        <v>14</v>
      </c>
      <c r="E1424" s="9">
        <v>0.75</v>
      </c>
      <c r="F1424" s="11">
        <v>435000</v>
      </c>
      <c r="G1424" s="7">
        <f t="shared" si="92"/>
        <v>326250</v>
      </c>
      <c r="H1424" s="8"/>
    </row>
    <row r="1425" spans="1:8" ht="14.25" customHeight="1">
      <c r="A1425" s="3">
        <v>3</v>
      </c>
      <c r="B1425" s="9" t="s">
        <v>215</v>
      </c>
      <c r="C1425" s="12" t="s">
        <v>458</v>
      </c>
      <c r="D1425" s="9" t="s">
        <v>14</v>
      </c>
      <c r="E1425" s="9">
        <v>1.51</v>
      </c>
      <c r="F1425" s="11">
        <v>435000</v>
      </c>
      <c r="G1425" s="7">
        <f>IFERROR(E1425*F1425,0)</f>
        <v>656850</v>
      </c>
      <c r="H1425" s="8"/>
    </row>
    <row r="1426" spans="1:8" ht="14.25" customHeight="1">
      <c r="A1426" s="3">
        <v>4</v>
      </c>
      <c r="B1426" s="8" t="s">
        <v>17</v>
      </c>
      <c r="C1426" s="8"/>
      <c r="D1426" s="8"/>
      <c r="E1426" s="8"/>
      <c r="F1426" s="8"/>
      <c r="G1426" s="13">
        <f>IFERROR(E1426*F1426,0)</f>
        <v>0</v>
      </c>
      <c r="H1426" s="8"/>
    </row>
    <row r="1427" spans="1:8" ht="14.25" customHeight="1">
      <c r="A1427" s="86" t="s">
        <v>18</v>
      </c>
      <c r="B1427" s="81"/>
      <c r="C1427" s="81"/>
      <c r="D1427" s="81"/>
      <c r="E1427" s="81"/>
      <c r="F1427" s="81"/>
      <c r="G1427" s="82"/>
      <c r="H1427" s="14">
        <f>SUM(G1423:G1426)</f>
        <v>1334700</v>
      </c>
    </row>
    <row r="1428" spans="1:8" ht="14.25" customHeight="1">
      <c r="A1428" s="86" t="s">
        <v>19</v>
      </c>
      <c r="B1428" s="81"/>
      <c r="C1428" s="81"/>
      <c r="D1428" s="81"/>
      <c r="E1428" s="81"/>
      <c r="F1428" s="81"/>
      <c r="G1428" s="82"/>
      <c r="H1428" s="14">
        <f>MAX(0,H1427-648000)</f>
        <v>686700</v>
      </c>
    </row>
    <row r="1429" spans="1:8" ht="14.25" customHeight="1">
      <c r="A1429" s="87" t="s">
        <v>20</v>
      </c>
      <c r="B1429" s="81"/>
      <c r="C1429" s="81"/>
      <c r="D1429" s="81"/>
      <c r="E1429" s="81"/>
      <c r="F1429" s="81"/>
      <c r="G1429" s="82"/>
      <c r="H1429" s="15">
        <v>649000</v>
      </c>
    </row>
    <row r="1430" spans="1:8" ht="14.25" customHeight="1"/>
    <row r="1431" spans="1:8" ht="14.25" customHeight="1"/>
    <row r="1432" spans="1:8" ht="14.25" customHeight="1"/>
    <row r="1433" spans="1:8" ht="14.25" customHeight="1"/>
    <row r="1434" spans="1:8" ht="14.25" customHeight="1">
      <c r="A1434" s="85" t="s">
        <v>0</v>
      </c>
      <c r="B1434" s="81"/>
      <c r="C1434" s="81"/>
      <c r="D1434" s="81"/>
      <c r="E1434" s="81"/>
      <c r="F1434" s="81"/>
      <c r="G1434" s="81"/>
      <c r="H1434" s="82"/>
    </row>
    <row r="1435" spans="1:8" ht="14.25" customHeight="1">
      <c r="A1435" s="85" t="s">
        <v>459</v>
      </c>
      <c r="B1435" s="81"/>
      <c r="C1435" s="81"/>
      <c r="D1435" s="81"/>
      <c r="E1435" s="81"/>
      <c r="F1435" s="81"/>
      <c r="G1435" s="81"/>
      <c r="H1435" s="82"/>
    </row>
    <row r="1436" spans="1:8" ht="14.25" customHeight="1">
      <c r="A1436" s="1" t="s">
        <v>2</v>
      </c>
      <c r="B1436" s="1" t="s">
        <v>3</v>
      </c>
      <c r="C1436" s="1" t="s">
        <v>4</v>
      </c>
      <c r="D1436" s="1" t="s">
        <v>5</v>
      </c>
      <c r="E1436" s="1" t="s">
        <v>6</v>
      </c>
      <c r="F1436" s="2" t="s">
        <v>7</v>
      </c>
      <c r="G1436" s="1" t="s">
        <v>8</v>
      </c>
      <c r="H1436" s="1"/>
    </row>
    <row r="1437" spans="1:8" ht="14.25" customHeight="1">
      <c r="A1437" s="3">
        <v>1</v>
      </c>
      <c r="B1437" s="4" t="s">
        <v>460</v>
      </c>
      <c r="C1437" s="5" t="s">
        <v>461</v>
      </c>
      <c r="D1437" s="4" t="s">
        <v>11</v>
      </c>
      <c r="E1437" s="4">
        <v>1</v>
      </c>
      <c r="F1437" s="6">
        <v>293000</v>
      </c>
      <c r="G1437" s="7">
        <f t="shared" ref="G1437:G1438" si="93">IFERROR(E1437*F1437,0)</f>
        <v>293000</v>
      </c>
      <c r="H1437" s="8"/>
    </row>
    <row r="1438" spans="1:8" ht="14.25" customHeight="1">
      <c r="A1438" s="3">
        <v>2</v>
      </c>
      <c r="B1438" s="9" t="s">
        <v>286</v>
      </c>
      <c r="C1438" s="10" t="s">
        <v>462</v>
      </c>
      <c r="D1438" s="9" t="s">
        <v>14</v>
      </c>
      <c r="E1438" s="9">
        <v>1.55</v>
      </c>
      <c r="F1438" s="11">
        <v>435000</v>
      </c>
      <c r="G1438" s="7">
        <f t="shared" si="93"/>
        <v>674250</v>
      </c>
      <c r="H1438" s="8"/>
    </row>
    <row r="1439" spans="1:8" ht="14.25" customHeight="1">
      <c r="A1439" s="3">
        <v>3</v>
      </c>
      <c r="B1439" s="4" t="s">
        <v>463</v>
      </c>
      <c r="C1439" s="18" t="s">
        <v>464</v>
      </c>
      <c r="D1439" s="4" t="s">
        <v>11</v>
      </c>
      <c r="E1439" s="4">
        <v>1.29</v>
      </c>
      <c r="F1439" s="6">
        <v>293000</v>
      </c>
      <c r="G1439" s="7">
        <f>IFERROR(E1439*F1439,0)</f>
        <v>377970</v>
      </c>
      <c r="H1439" s="8"/>
    </row>
    <row r="1440" spans="1:8" ht="14.25" customHeight="1">
      <c r="A1440" s="3">
        <v>4</v>
      </c>
      <c r="B1440" s="8" t="s">
        <v>17</v>
      </c>
      <c r="C1440" s="8"/>
      <c r="D1440" s="8"/>
      <c r="E1440" s="8"/>
      <c r="F1440" s="8"/>
      <c r="G1440" s="13">
        <f>IFERROR(E1440*F1440,0)</f>
        <v>0</v>
      </c>
      <c r="H1440" s="8"/>
    </row>
    <row r="1441" spans="1:8" ht="14.25" customHeight="1">
      <c r="A1441" s="86" t="s">
        <v>18</v>
      </c>
      <c r="B1441" s="81"/>
      <c r="C1441" s="81"/>
      <c r="D1441" s="81"/>
      <c r="E1441" s="81"/>
      <c r="F1441" s="81"/>
      <c r="G1441" s="82"/>
      <c r="H1441" s="14">
        <f>SUM(G1437:G1440)</f>
        <v>1345220</v>
      </c>
    </row>
    <row r="1442" spans="1:8" ht="14.25" customHeight="1">
      <c r="A1442" s="86" t="s">
        <v>19</v>
      </c>
      <c r="B1442" s="81"/>
      <c r="C1442" s="81"/>
      <c r="D1442" s="81"/>
      <c r="E1442" s="81"/>
      <c r="F1442" s="81"/>
      <c r="G1442" s="82"/>
      <c r="H1442" s="14">
        <f>MAX(0,H1441-648000)</f>
        <v>697220</v>
      </c>
    </row>
    <row r="1443" spans="1:8" ht="14.25" customHeight="1">
      <c r="A1443" s="87" t="s">
        <v>20</v>
      </c>
      <c r="B1443" s="81"/>
      <c r="C1443" s="81"/>
      <c r="D1443" s="81"/>
      <c r="E1443" s="81"/>
      <c r="F1443" s="81"/>
      <c r="G1443" s="82"/>
      <c r="H1443" s="15">
        <v>649000</v>
      </c>
    </row>
    <row r="1444" spans="1:8" ht="14.25" customHeight="1"/>
    <row r="1445" spans="1:8" ht="14.25" customHeight="1"/>
    <row r="1446" spans="1:8" ht="14.25" customHeight="1"/>
    <row r="1447" spans="1:8" ht="14.25" customHeight="1"/>
    <row r="1448" spans="1:8" ht="14.25" customHeight="1">
      <c r="A1448" s="85" t="s">
        <v>0</v>
      </c>
      <c r="B1448" s="81"/>
      <c r="C1448" s="81"/>
      <c r="D1448" s="81"/>
      <c r="E1448" s="81"/>
      <c r="F1448" s="81"/>
      <c r="G1448" s="81"/>
      <c r="H1448" s="82"/>
    </row>
    <row r="1449" spans="1:8" ht="14.25" customHeight="1">
      <c r="A1449" s="85" t="s">
        <v>465</v>
      </c>
      <c r="B1449" s="81"/>
      <c r="C1449" s="81"/>
      <c r="D1449" s="81"/>
      <c r="E1449" s="81"/>
      <c r="F1449" s="81"/>
      <c r="G1449" s="81"/>
      <c r="H1449" s="82"/>
    </row>
    <row r="1450" spans="1:8" ht="14.25" customHeight="1">
      <c r="A1450" s="1" t="s">
        <v>2</v>
      </c>
      <c r="B1450" s="1" t="s">
        <v>3</v>
      </c>
      <c r="C1450" s="1" t="s">
        <v>4</v>
      </c>
      <c r="D1450" s="1" t="s">
        <v>5</v>
      </c>
      <c r="E1450" s="1" t="s">
        <v>6</v>
      </c>
      <c r="F1450" s="2" t="s">
        <v>7</v>
      </c>
      <c r="G1450" s="1" t="s">
        <v>8</v>
      </c>
      <c r="H1450" s="1"/>
    </row>
    <row r="1451" spans="1:8" ht="14.25" customHeight="1">
      <c r="A1451" s="3">
        <v>1</v>
      </c>
      <c r="B1451" s="9" t="s">
        <v>121</v>
      </c>
      <c r="C1451" s="10" t="s">
        <v>466</v>
      </c>
      <c r="D1451" s="9" t="s">
        <v>11</v>
      </c>
      <c r="E1451" s="9">
        <v>1.8</v>
      </c>
      <c r="F1451" s="6">
        <v>293000</v>
      </c>
      <c r="G1451" s="7">
        <f t="shared" ref="G1451:G1452" si="94">IFERROR(E1451*F1451,0)</f>
        <v>527400</v>
      </c>
      <c r="H1451" s="8"/>
    </row>
    <row r="1452" spans="1:8" ht="14.25" customHeight="1">
      <c r="A1452" s="3">
        <v>2</v>
      </c>
      <c r="B1452" s="9" t="s">
        <v>47</v>
      </c>
      <c r="C1452" s="10" t="s">
        <v>467</v>
      </c>
      <c r="D1452" s="9" t="s">
        <v>14</v>
      </c>
      <c r="E1452" s="9">
        <v>1.1499999999999999</v>
      </c>
      <c r="F1452" s="11">
        <v>435000</v>
      </c>
      <c r="G1452" s="7">
        <f t="shared" si="94"/>
        <v>500249.99999999994</v>
      </c>
      <c r="H1452" s="8"/>
    </row>
    <row r="1453" spans="1:8" ht="14.25" customHeight="1">
      <c r="A1453" s="3">
        <v>3</v>
      </c>
      <c r="B1453" s="4" t="s">
        <v>70</v>
      </c>
      <c r="C1453" s="18" t="s">
        <v>468</v>
      </c>
      <c r="D1453" s="4" t="s">
        <v>14</v>
      </c>
      <c r="E1453" s="4">
        <v>0.59</v>
      </c>
      <c r="F1453" s="11">
        <v>435000</v>
      </c>
      <c r="G1453" s="7">
        <f>IFERROR(E1453*F1453,0)</f>
        <v>256650</v>
      </c>
      <c r="H1453" s="8"/>
    </row>
    <row r="1454" spans="1:8" ht="14.25" customHeight="1">
      <c r="A1454" s="3">
        <v>4</v>
      </c>
      <c r="B1454" s="8" t="s">
        <v>17</v>
      </c>
      <c r="C1454" s="8"/>
      <c r="D1454" s="8"/>
      <c r="E1454" s="8"/>
      <c r="F1454" s="8"/>
      <c r="G1454" s="13">
        <f>IFERROR(E1454*F1454,0)</f>
        <v>0</v>
      </c>
      <c r="H1454" s="8"/>
    </row>
    <row r="1455" spans="1:8" ht="14.25" customHeight="1">
      <c r="A1455" s="86" t="s">
        <v>18</v>
      </c>
      <c r="B1455" s="81"/>
      <c r="C1455" s="81"/>
      <c r="D1455" s="81"/>
      <c r="E1455" s="81"/>
      <c r="F1455" s="81"/>
      <c r="G1455" s="82"/>
      <c r="H1455" s="14">
        <f>SUM(G1451:G1454)</f>
        <v>1284300</v>
      </c>
    </row>
    <row r="1456" spans="1:8" ht="14.25" customHeight="1">
      <c r="A1456" s="86" t="s">
        <v>19</v>
      </c>
      <c r="B1456" s="81"/>
      <c r="C1456" s="81"/>
      <c r="D1456" s="81"/>
      <c r="E1456" s="81"/>
      <c r="F1456" s="81"/>
      <c r="G1456" s="82"/>
      <c r="H1456" s="14">
        <f>MAX(0,H1455-648000)</f>
        <v>636300</v>
      </c>
    </row>
    <row r="1457" spans="1:8" ht="14.25" customHeight="1">
      <c r="A1457" s="87" t="s">
        <v>20</v>
      </c>
      <c r="B1457" s="81"/>
      <c r="C1457" s="81"/>
      <c r="D1457" s="81"/>
      <c r="E1457" s="81"/>
      <c r="F1457" s="81"/>
      <c r="G1457" s="82"/>
      <c r="H1457" s="15">
        <v>649000</v>
      </c>
    </row>
    <row r="1458" spans="1:8" ht="14.25" customHeight="1"/>
    <row r="1459" spans="1:8" ht="14.25" customHeight="1"/>
    <row r="1460" spans="1:8" ht="14.25" customHeight="1"/>
    <row r="1461" spans="1:8" ht="14.25" customHeight="1"/>
    <row r="1462" spans="1:8" ht="14.25" customHeight="1">
      <c r="A1462" s="85" t="s">
        <v>0</v>
      </c>
      <c r="B1462" s="81"/>
      <c r="C1462" s="81"/>
      <c r="D1462" s="81"/>
      <c r="E1462" s="81"/>
      <c r="F1462" s="81"/>
      <c r="G1462" s="81"/>
      <c r="H1462" s="82"/>
    </row>
    <row r="1463" spans="1:8" ht="14.25" customHeight="1">
      <c r="A1463" s="85" t="s">
        <v>469</v>
      </c>
      <c r="B1463" s="81"/>
      <c r="C1463" s="81"/>
      <c r="D1463" s="81"/>
      <c r="E1463" s="81"/>
      <c r="F1463" s="81"/>
      <c r="G1463" s="81"/>
      <c r="H1463" s="82"/>
    </row>
    <row r="1464" spans="1:8" ht="14.25" customHeight="1">
      <c r="A1464" s="1" t="s">
        <v>2</v>
      </c>
      <c r="B1464" s="1" t="s">
        <v>3</v>
      </c>
      <c r="C1464" s="1" t="s">
        <v>4</v>
      </c>
      <c r="D1464" s="1" t="s">
        <v>5</v>
      </c>
      <c r="E1464" s="1" t="s">
        <v>6</v>
      </c>
      <c r="F1464" s="2" t="s">
        <v>7</v>
      </c>
      <c r="G1464" s="1" t="s">
        <v>8</v>
      </c>
      <c r="H1464" s="1"/>
    </row>
    <row r="1465" spans="1:8" ht="14.25" customHeight="1">
      <c r="A1465" s="3">
        <v>1</v>
      </c>
      <c r="B1465" s="9" t="s">
        <v>177</v>
      </c>
      <c r="C1465" s="10" t="s">
        <v>470</v>
      </c>
      <c r="D1465" s="9" t="s">
        <v>11</v>
      </c>
      <c r="E1465" s="9">
        <v>1.49</v>
      </c>
      <c r="F1465" s="6">
        <v>293000</v>
      </c>
      <c r="G1465" s="7">
        <f t="shared" ref="G1465:G1466" si="95">IFERROR(E1478*F1465,0)</f>
        <v>439500</v>
      </c>
      <c r="H1465" s="8"/>
    </row>
    <row r="1466" spans="1:8" ht="14.25" customHeight="1">
      <c r="A1466" s="3">
        <v>2</v>
      </c>
      <c r="B1466" s="4" t="s">
        <v>54</v>
      </c>
      <c r="C1466" s="5" t="s">
        <v>471</v>
      </c>
      <c r="D1466" s="4" t="s">
        <v>14</v>
      </c>
      <c r="E1466" s="4">
        <v>1.17</v>
      </c>
      <c r="F1466" s="11">
        <v>435000</v>
      </c>
      <c r="G1466" s="7">
        <f t="shared" si="95"/>
        <v>435000</v>
      </c>
      <c r="H1466" s="8"/>
    </row>
    <row r="1467" spans="1:8" ht="14.25" customHeight="1">
      <c r="A1467" s="3">
        <v>3</v>
      </c>
      <c r="B1467" s="4" t="s">
        <v>242</v>
      </c>
      <c r="C1467" s="18" t="s">
        <v>472</v>
      </c>
      <c r="D1467" s="4" t="s">
        <v>14</v>
      </c>
      <c r="E1467" s="4">
        <v>0.9</v>
      </c>
      <c r="F1467" s="11">
        <v>435000</v>
      </c>
      <c r="G1467" s="7">
        <f>IFERROR(E1480*F1467,0)</f>
        <v>435000</v>
      </c>
      <c r="H1467" s="8"/>
    </row>
    <row r="1468" spans="1:8" ht="14.25" customHeight="1">
      <c r="A1468" s="3">
        <v>4</v>
      </c>
      <c r="B1468" s="8" t="s">
        <v>17</v>
      </c>
      <c r="C1468" s="8"/>
      <c r="D1468" s="8"/>
      <c r="E1468" s="8"/>
      <c r="F1468" s="8"/>
      <c r="G1468" s="13">
        <f>IFERROR(E1468*F1468,0)</f>
        <v>0</v>
      </c>
      <c r="H1468" s="8"/>
    </row>
    <row r="1469" spans="1:8" ht="14.25" customHeight="1">
      <c r="A1469" s="86" t="s">
        <v>18</v>
      </c>
      <c r="B1469" s="81"/>
      <c r="C1469" s="81"/>
      <c r="D1469" s="81"/>
      <c r="E1469" s="81"/>
      <c r="F1469" s="81"/>
      <c r="G1469" s="82"/>
      <c r="H1469" s="14">
        <f>SUM(G1465:G1468)</f>
        <v>1309500</v>
      </c>
    </row>
    <row r="1470" spans="1:8" ht="14.25" customHeight="1">
      <c r="A1470" s="86" t="s">
        <v>19</v>
      </c>
      <c r="B1470" s="81"/>
      <c r="C1470" s="81"/>
      <c r="D1470" s="81"/>
      <c r="E1470" s="81"/>
      <c r="F1470" s="81"/>
      <c r="G1470" s="82"/>
      <c r="H1470" s="14">
        <f>MAX(0,H1469-648000)</f>
        <v>661500</v>
      </c>
    </row>
    <row r="1471" spans="1:8" ht="14.25" customHeight="1">
      <c r="A1471" s="87" t="s">
        <v>20</v>
      </c>
      <c r="B1471" s="81"/>
      <c r="C1471" s="81"/>
      <c r="D1471" s="81"/>
      <c r="E1471" s="81"/>
      <c r="F1471" s="81"/>
      <c r="G1471" s="82"/>
      <c r="H1471" s="15">
        <v>649000</v>
      </c>
    </row>
    <row r="1472" spans="1:8" ht="14.25" customHeight="1"/>
    <row r="1473" spans="1:8" ht="14.25" customHeight="1"/>
    <row r="1474" spans="1:8" ht="14.25" customHeight="1"/>
    <row r="1475" spans="1:8" ht="14.25" customHeight="1">
      <c r="A1475" s="85" t="s">
        <v>0</v>
      </c>
      <c r="B1475" s="81"/>
      <c r="C1475" s="81"/>
      <c r="D1475" s="81"/>
      <c r="E1475" s="81"/>
      <c r="F1475" s="81"/>
      <c r="G1475" s="81"/>
      <c r="H1475" s="82"/>
    </row>
    <row r="1476" spans="1:8" ht="14.25" customHeight="1">
      <c r="A1476" s="85" t="s">
        <v>473</v>
      </c>
      <c r="B1476" s="81"/>
      <c r="C1476" s="81"/>
      <c r="D1476" s="81"/>
      <c r="E1476" s="81"/>
      <c r="F1476" s="81"/>
      <c r="G1476" s="81"/>
      <c r="H1476" s="82"/>
    </row>
    <row r="1477" spans="1:8" ht="14.25" customHeight="1">
      <c r="A1477" s="1" t="s">
        <v>2</v>
      </c>
      <c r="B1477" s="1" t="s">
        <v>3</v>
      </c>
      <c r="C1477" s="1" t="s">
        <v>4</v>
      </c>
      <c r="D1477" s="1" t="s">
        <v>5</v>
      </c>
      <c r="E1477" s="1" t="s">
        <v>6</v>
      </c>
      <c r="F1477" s="2" t="s">
        <v>7</v>
      </c>
      <c r="G1477" s="1" t="s">
        <v>8</v>
      </c>
      <c r="H1477" s="1"/>
    </row>
    <row r="1478" spans="1:8" ht="14.25" customHeight="1">
      <c r="A1478" s="3">
        <v>1</v>
      </c>
      <c r="B1478" s="9" t="s">
        <v>286</v>
      </c>
      <c r="C1478" s="10" t="s">
        <v>474</v>
      </c>
      <c r="D1478" s="9" t="s">
        <v>11</v>
      </c>
      <c r="E1478" s="9">
        <v>1.5</v>
      </c>
      <c r="F1478" s="6">
        <v>293000</v>
      </c>
      <c r="G1478" s="7">
        <f t="shared" ref="G1478:G1479" si="96">IFERROR(E1465*F1478,0)</f>
        <v>436570</v>
      </c>
      <c r="H1478" s="8"/>
    </row>
    <row r="1479" spans="1:8" ht="14.25" customHeight="1">
      <c r="A1479" s="3">
        <v>2</v>
      </c>
      <c r="B1479" s="9" t="s">
        <v>38</v>
      </c>
      <c r="C1479" s="10" t="s">
        <v>475</v>
      </c>
      <c r="D1479" s="9" t="s">
        <v>14</v>
      </c>
      <c r="E1479" s="9">
        <v>1</v>
      </c>
      <c r="F1479" s="11">
        <v>435000</v>
      </c>
      <c r="G1479" s="7">
        <f t="shared" si="96"/>
        <v>508949.99999999994</v>
      </c>
      <c r="H1479" s="8"/>
    </row>
    <row r="1480" spans="1:8" ht="14.25" customHeight="1">
      <c r="A1480" s="3">
        <v>3</v>
      </c>
      <c r="B1480" s="4" t="s">
        <v>33</v>
      </c>
      <c r="C1480" s="18" t="s">
        <v>476</v>
      </c>
      <c r="D1480" s="4" t="s">
        <v>14</v>
      </c>
      <c r="E1480" s="4">
        <v>1</v>
      </c>
      <c r="F1480" s="11">
        <v>435000</v>
      </c>
      <c r="G1480" s="7">
        <f>IFERROR(E1467*F1480,0)</f>
        <v>391500</v>
      </c>
      <c r="H1480" s="8"/>
    </row>
    <row r="1481" spans="1:8" ht="14.25" customHeight="1">
      <c r="A1481" s="3">
        <v>4</v>
      </c>
      <c r="B1481" s="8" t="s">
        <v>17</v>
      </c>
      <c r="C1481" s="8"/>
      <c r="D1481" s="8"/>
      <c r="E1481" s="8"/>
      <c r="F1481" s="8"/>
      <c r="G1481" s="13">
        <f>IFERROR(E1481*F1481,0)</f>
        <v>0</v>
      </c>
      <c r="H1481" s="8"/>
    </row>
    <row r="1482" spans="1:8" ht="14.25" customHeight="1">
      <c r="A1482" s="86" t="s">
        <v>18</v>
      </c>
      <c r="B1482" s="81"/>
      <c r="C1482" s="81"/>
      <c r="D1482" s="81"/>
      <c r="E1482" s="81"/>
      <c r="F1482" s="81"/>
      <c r="G1482" s="82"/>
      <c r="H1482" s="14">
        <f>SUM(G1478:G1481)</f>
        <v>1337020</v>
      </c>
    </row>
    <row r="1483" spans="1:8" ht="14.25" customHeight="1">
      <c r="A1483" s="86" t="s">
        <v>19</v>
      </c>
      <c r="B1483" s="81"/>
      <c r="C1483" s="81"/>
      <c r="D1483" s="81"/>
      <c r="E1483" s="81"/>
      <c r="F1483" s="81"/>
      <c r="G1483" s="82"/>
      <c r="H1483" s="14">
        <f>MAX(0,H1482-648000)</f>
        <v>689020</v>
      </c>
    </row>
    <row r="1484" spans="1:8" ht="14.25" customHeight="1">
      <c r="A1484" s="87" t="s">
        <v>20</v>
      </c>
      <c r="B1484" s="81"/>
      <c r="C1484" s="81"/>
      <c r="D1484" s="81"/>
      <c r="E1484" s="81"/>
      <c r="F1484" s="81"/>
      <c r="G1484" s="82"/>
      <c r="H1484" s="15">
        <v>649000</v>
      </c>
    </row>
    <row r="1485" spans="1:8" ht="14.25" customHeight="1"/>
    <row r="1486" spans="1:8" ht="14.25" customHeight="1"/>
    <row r="1487" spans="1:8" ht="14.25" customHeight="1"/>
    <row r="1488" spans="1:8" ht="14.25" customHeight="1"/>
    <row r="1489" spans="1:8" ht="14.25" customHeight="1">
      <c r="A1489" s="85" t="s">
        <v>0</v>
      </c>
      <c r="B1489" s="81"/>
      <c r="C1489" s="81"/>
      <c r="D1489" s="81"/>
      <c r="E1489" s="81"/>
      <c r="F1489" s="81"/>
      <c r="G1489" s="81"/>
      <c r="H1489" s="82"/>
    </row>
    <row r="1490" spans="1:8" ht="14.25" customHeight="1">
      <c r="A1490" s="85" t="s">
        <v>477</v>
      </c>
      <c r="B1490" s="81"/>
      <c r="C1490" s="81"/>
      <c r="D1490" s="81"/>
      <c r="E1490" s="81"/>
      <c r="F1490" s="81"/>
      <c r="G1490" s="81"/>
      <c r="H1490" s="82"/>
    </row>
    <row r="1491" spans="1:8" ht="14.25" customHeight="1">
      <c r="A1491" s="1" t="s">
        <v>2</v>
      </c>
      <c r="B1491" s="1" t="s">
        <v>3</v>
      </c>
      <c r="C1491" s="1" t="s">
        <v>4</v>
      </c>
      <c r="D1491" s="1" t="s">
        <v>5</v>
      </c>
      <c r="E1491" s="1" t="s">
        <v>6</v>
      </c>
      <c r="F1491" s="2" t="s">
        <v>7</v>
      </c>
      <c r="G1491" s="1" t="s">
        <v>8</v>
      </c>
      <c r="H1491" s="1"/>
    </row>
    <row r="1492" spans="1:8" ht="14.25" customHeight="1">
      <c r="A1492" s="3">
        <v>1</v>
      </c>
      <c r="B1492" s="51" t="s">
        <v>478</v>
      </c>
      <c r="C1492" s="51" t="s">
        <v>479</v>
      </c>
      <c r="D1492" s="51" t="s">
        <v>413</v>
      </c>
      <c r="E1492" s="51">
        <v>0.9</v>
      </c>
      <c r="F1492" s="6">
        <v>293000</v>
      </c>
      <c r="G1492" s="7">
        <v>263000</v>
      </c>
      <c r="H1492" s="8"/>
    </row>
    <row r="1493" spans="1:8" ht="14.25" customHeight="1">
      <c r="A1493" s="3">
        <v>2</v>
      </c>
      <c r="B1493" s="51" t="s">
        <v>480</v>
      </c>
      <c r="C1493" s="51" t="s">
        <v>481</v>
      </c>
      <c r="D1493" s="51" t="s">
        <v>14</v>
      </c>
      <c r="E1493" s="51">
        <v>1</v>
      </c>
      <c r="F1493" s="11">
        <v>435000</v>
      </c>
      <c r="G1493" s="7">
        <v>435000</v>
      </c>
      <c r="H1493" s="8"/>
    </row>
    <row r="1494" spans="1:8" ht="14.25" customHeight="1">
      <c r="A1494" s="3">
        <v>3</v>
      </c>
      <c r="B1494" s="51" t="s">
        <v>482</v>
      </c>
      <c r="C1494" s="51" t="s">
        <v>483</v>
      </c>
      <c r="D1494" s="51" t="s">
        <v>11</v>
      </c>
      <c r="E1494" s="51">
        <v>1.5</v>
      </c>
      <c r="F1494" s="6">
        <v>293000</v>
      </c>
      <c r="G1494" s="7">
        <v>439500</v>
      </c>
      <c r="H1494" s="8"/>
    </row>
    <row r="1495" spans="1:8" ht="14.25" customHeight="1">
      <c r="A1495" s="3">
        <v>4</v>
      </c>
      <c r="B1495" s="8" t="s">
        <v>17</v>
      </c>
      <c r="C1495" s="8"/>
      <c r="D1495" s="8"/>
      <c r="E1495" s="8"/>
      <c r="F1495" s="8"/>
      <c r="G1495" s="13">
        <f>IFERROR(E1495*F1495,0)</f>
        <v>0</v>
      </c>
      <c r="H1495" s="8"/>
    </row>
    <row r="1496" spans="1:8" ht="14.25" customHeight="1">
      <c r="A1496" s="86" t="s">
        <v>18</v>
      </c>
      <c r="B1496" s="81"/>
      <c r="C1496" s="81"/>
      <c r="D1496" s="81"/>
      <c r="E1496" s="81"/>
      <c r="F1496" s="81"/>
      <c r="G1496" s="82"/>
      <c r="H1496" s="14">
        <f>SUM(G1492:G1495)</f>
        <v>1137500</v>
      </c>
    </row>
    <row r="1497" spans="1:8" ht="14.25" customHeight="1">
      <c r="A1497" s="86" t="s">
        <v>19</v>
      </c>
      <c r="B1497" s="81"/>
      <c r="C1497" s="81"/>
      <c r="D1497" s="81"/>
      <c r="E1497" s="81"/>
      <c r="F1497" s="81"/>
      <c r="G1497" s="82"/>
      <c r="H1497" s="14">
        <f>MAX(0,H1496-648000)</f>
        <v>489500</v>
      </c>
    </row>
    <row r="1498" spans="1:8" ht="14.25" customHeight="1">
      <c r="A1498" s="87" t="s">
        <v>20</v>
      </c>
      <c r="B1498" s="81"/>
      <c r="C1498" s="81"/>
      <c r="D1498" s="81"/>
      <c r="E1498" s="81"/>
      <c r="F1498" s="81"/>
      <c r="G1498" s="82"/>
      <c r="H1498" s="15">
        <v>649000</v>
      </c>
    </row>
    <row r="1499" spans="1:8" ht="14.25" customHeight="1"/>
    <row r="1500" spans="1:8" ht="14.25" customHeight="1"/>
    <row r="1501" spans="1:8" ht="14.25" customHeight="1"/>
    <row r="1502" spans="1:8" ht="14.25" customHeight="1"/>
    <row r="1503" spans="1:8" ht="14.25" customHeight="1">
      <c r="A1503" s="85" t="s">
        <v>0</v>
      </c>
      <c r="B1503" s="81"/>
      <c r="C1503" s="81"/>
      <c r="D1503" s="81"/>
      <c r="E1503" s="81"/>
      <c r="F1503" s="81"/>
      <c r="G1503" s="81"/>
      <c r="H1503" s="82"/>
    </row>
    <row r="1504" spans="1:8" ht="14.25" customHeight="1">
      <c r="A1504" s="85" t="s">
        <v>484</v>
      </c>
      <c r="B1504" s="81"/>
      <c r="C1504" s="81"/>
      <c r="D1504" s="81"/>
      <c r="E1504" s="81"/>
      <c r="F1504" s="81"/>
      <c r="G1504" s="81"/>
      <c r="H1504" s="82"/>
    </row>
    <row r="1505" spans="1:8" ht="14.25" customHeight="1">
      <c r="A1505" s="1" t="s">
        <v>2</v>
      </c>
      <c r="B1505" s="1" t="s">
        <v>3</v>
      </c>
      <c r="C1505" s="1" t="s">
        <v>4</v>
      </c>
      <c r="D1505" s="1" t="s">
        <v>5</v>
      </c>
      <c r="E1505" s="1" t="s">
        <v>6</v>
      </c>
      <c r="F1505" s="2" t="s">
        <v>7</v>
      </c>
      <c r="G1505" s="1" t="s">
        <v>8</v>
      </c>
      <c r="H1505" s="1"/>
    </row>
    <row r="1506" spans="1:8" ht="14.25" customHeight="1">
      <c r="A1506" s="3">
        <v>1</v>
      </c>
      <c r="B1506" s="55" t="s">
        <v>485</v>
      </c>
      <c r="C1506" s="56" t="s">
        <v>486</v>
      </c>
      <c r="D1506" s="57" t="s">
        <v>11</v>
      </c>
      <c r="E1506" s="57">
        <v>1.47</v>
      </c>
      <c r="F1506" s="6">
        <v>293000</v>
      </c>
      <c r="G1506" s="7">
        <f t="shared" ref="G1506:G1507" si="97">IFERROR(E1506*F1506,0)</f>
        <v>430710</v>
      </c>
      <c r="H1506" s="8"/>
    </row>
    <row r="1507" spans="1:8" ht="14.25" customHeight="1">
      <c r="A1507" s="3">
        <v>2</v>
      </c>
      <c r="B1507" s="55" t="s">
        <v>33</v>
      </c>
      <c r="C1507" s="56" t="s">
        <v>487</v>
      </c>
      <c r="D1507" s="57" t="s">
        <v>233</v>
      </c>
      <c r="E1507" s="57">
        <v>1</v>
      </c>
      <c r="F1507" s="11">
        <v>435000</v>
      </c>
      <c r="G1507" s="7">
        <f t="shared" si="97"/>
        <v>435000</v>
      </c>
      <c r="H1507" s="8"/>
    </row>
    <row r="1508" spans="1:8" ht="14.25" customHeight="1">
      <c r="A1508" s="3">
        <v>3</v>
      </c>
      <c r="B1508" s="58" t="s">
        <v>488</v>
      </c>
      <c r="C1508" s="59" t="s">
        <v>489</v>
      </c>
      <c r="D1508" s="57" t="s">
        <v>233</v>
      </c>
      <c r="E1508" s="57">
        <v>1</v>
      </c>
      <c r="F1508" s="11">
        <v>435000</v>
      </c>
      <c r="G1508" s="7">
        <f>IFERROR(E1508*F1508,0)</f>
        <v>435000</v>
      </c>
      <c r="H1508" s="8"/>
    </row>
    <row r="1509" spans="1:8" ht="14.25" customHeight="1">
      <c r="A1509" s="3">
        <v>4</v>
      </c>
      <c r="B1509" s="8" t="s">
        <v>17</v>
      </c>
      <c r="C1509" s="8"/>
      <c r="D1509" s="8"/>
      <c r="E1509" s="8"/>
      <c r="F1509" s="8"/>
      <c r="G1509" s="13">
        <f>IFERROR(E1509*F1509,0)</f>
        <v>0</v>
      </c>
      <c r="H1509" s="8"/>
    </row>
    <row r="1510" spans="1:8" ht="14.25" customHeight="1">
      <c r="A1510" s="86" t="s">
        <v>18</v>
      </c>
      <c r="B1510" s="81"/>
      <c r="C1510" s="81"/>
      <c r="D1510" s="81"/>
      <c r="E1510" s="81"/>
      <c r="F1510" s="81"/>
      <c r="G1510" s="82"/>
      <c r="H1510" s="14">
        <f>SUM(G1506:G1509)</f>
        <v>1300710</v>
      </c>
    </row>
    <row r="1511" spans="1:8" ht="14.25" customHeight="1">
      <c r="A1511" s="86" t="s">
        <v>19</v>
      </c>
      <c r="B1511" s="81"/>
      <c r="C1511" s="81"/>
      <c r="D1511" s="81"/>
      <c r="E1511" s="81"/>
      <c r="F1511" s="81"/>
      <c r="G1511" s="82"/>
      <c r="H1511" s="14">
        <f>MAX(0,H1510-648000)</f>
        <v>652710</v>
      </c>
    </row>
    <row r="1512" spans="1:8" ht="14.25" customHeight="1">
      <c r="A1512" s="87" t="s">
        <v>20</v>
      </c>
      <c r="B1512" s="81"/>
      <c r="C1512" s="81"/>
      <c r="D1512" s="81"/>
      <c r="E1512" s="81"/>
      <c r="F1512" s="81"/>
      <c r="G1512" s="82"/>
      <c r="H1512" s="15">
        <v>649000</v>
      </c>
    </row>
    <row r="1513" spans="1:8" ht="14.25" customHeight="1"/>
    <row r="1514" spans="1:8" ht="14.25" customHeight="1"/>
    <row r="1515" spans="1:8" ht="14.25" customHeight="1"/>
    <row r="1516" spans="1:8" ht="14.25" customHeight="1"/>
    <row r="1527" spans="1:9" ht="14.25" customHeight="1"/>
    <row r="1528" spans="1:9" ht="14.25" customHeight="1"/>
    <row r="1529" spans="1:9" ht="14.25" customHeight="1"/>
    <row r="1531" spans="1:9" ht="14.25" customHeight="1">
      <c r="A1531" s="85" t="s">
        <v>0</v>
      </c>
      <c r="B1531" s="81"/>
      <c r="C1531" s="81"/>
      <c r="D1531" s="81"/>
      <c r="E1531" s="81"/>
      <c r="F1531" s="81"/>
      <c r="G1531" s="81"/>
      <c r="H1531" s="82"/>
      <c r="I1531" s="51"/>
    </row>
    <row r="1532" spans="1:9" ht="14.25" customHeight="1">
      <c r="A1532" s="85" t="s">
        <v>490</v>
      </c>
      <c r="B1532" s="81"/>
      <c r="C1532" s="81"/>
      <c r="D1532" s="81"/>
      <c r="E1532" s="81"/>
      <c r="F1532" s="81"/>
      <c r="G1532" s="81"/>
      <c r="H1532" s="82"/>
      <c r="I1532" s="51"/>
    </row>
    <row r="1533" spans="1:9" ht="14.25" customHeight="1">
      <c r="A1533" s="1" t="s">
        <v>2</v>
      </c>
      <c r="B1533" s="1" t="s">
        <v>3</v>
      </c>
      <c r="C1533" s="1" t="s">
        <v>4</v>
      </c>
      <c r="D1533" s="1" t="s">
        <v>5</v>
      </c>
      <c r="E1533" s="1" t="s">
        <v>6</v>
      </c>
      <c r="F1533" s="2" t="s">
        <v>7</v>
      </c>
      <c r="G1533" s="1" t="s">
        <v>8</v>
      </c>
      <c r="H1533" s="1"/>
      <c r="I1533" s="51"/>
    </row>
    <row r="1534" spans="1:9" ht="14.25" customHeight="1">
      <c r="A1534" s="3">
        <v>1</v>
      </c>
      <c r="B1534" s="9" t="s">
        <v>422</v>
      </c>
      <c r="C1534" s="20">
        <v>4107</v>
      </c>
      <c r="D1534" s="9" t="s">
        <v>11</v>
      </c>
      <c r="E1534" s="9">
        <v>2</v>
      </c>
      <c r="F1534" s="6">
        <v>293000</v>
      </c>
      <c r="G1534" s="7">
        <f t="shared" ref="G1534:G1536" si="98">IFERROR(E1534*F1534,0)</f>
        <v>586000</v>
      </c>
      <c r="H1534" s="8"/>
      <c r="I1534" s="51"/>
    </row>
    <row r="1535" spans="1:9" ht="14.25" customHeight="1">
      <c r="A1535" s="3">
        <v>2</v>
      </c>
      <c r="B1535" s="4" t="s">
        <v>491</v>
      </c>
      <c r="C1535" s="19">
        <v>6226</v>
      </c>
      <c r="D1535" s="4" t="s">
        <v>14</v>
      </c>
      <c r="E1535" s="4">
        <v>1.6</v>
      </c>
      <c r="F1535" s="11">
        <v>435000</v>
      </c>
      <c r="G1535" s="7">
        <f t="shared" si="98"/>
        <v>696000</v>
      </c>
      <c r="H1535" s="8"/>
      <c r="I1535" s="51"/>
    </row>
    <row r="1536" spans="1:9" ht="14.25" customHeight="1">
      <c r="A1536" s="3">
        <v>4</v>
      </c>
      <c r="B1536" s="8" t="s">
        <v>17</v>
      </c>
      <c r="C1536" s="8"/>
      <c r="D1536" s="8"/>
      <c r="E1536" s="8"/>
      <c r="F1536" s="8"/>
      <c r="G1536" s="13">
        <f t="shared" si="98"/>
        <v>0</v>
      </c>
      <c r="H1536" s="8"/>
      <c r="I1536" s="51"/>
    </row>
    <row r="1537" spans="1:9" ht="14.25" customHeight="1">
      <c r="A1537" s="86" t="s">
        <v>18</v>
      </c>
      <c r="B1537" s="81"/>
      <c r="C1537" s="81"/>
      <c r="D1537" s="81"/>
      <c r="E1537" s="81"/>
      <c r="F1537" s="81"/>
      <c r="G1537" s="82"/>
      <c r="H1537" s="14">
        <f>SUM(G1534:G1536)</f>
        <v>1282000</v>
      </c>
      <c r="I1537" s="51"/>
    </row>
    <row r="1538" spans="1:9" ht="14.25" customHeight="1">
      <c r="A1538" s="86" t="s">
        <v>19</v>
      </c>
      <c r="B1538" s="81"/>
      <c r="C1538" s="81"/>
      <c r="D1538" s="81"/>
      <c r="E1538" s="81"/>
      <c r="F1538" s="81"/>
      <c r="G1538" s="82"/>
      <c r="H1538" s="14">
        <f>MAX(0,H1537-648000)</f>
        <v>634000</v>
      </c>
      <c r="I1538" s="51"/>
    </row>
    <row r="1539" spans="1:9" ht="14.25" customHeight="1">
      <c r="A1539" s="87" t="s">
        <v>20</v>
      </c>
      <c r="B1539" s="81"/>
      <c r="C1539" s="81"/>
      <c r="D1539" s="81"/>
      <c r="E1539" s="81"/>
      <c r="F1539" s="81"/>
      <c r="G1539" s="82"/>
      <c r="H1539" s="15">
        <v>649000</v>
      </c>
      <c r="I1539" s="51"/>
    </row>
    <row r="1540" spans="1:9" ht="14.25" customHeight="1">
      <c r="A1540" s="85"/>
      <c r="B1540" s="81"/>
      <c r="C1540" s="81"/>
      <c r="D1540" s="81"/>
      <c r="E1540" s="81"/>
      <c r="F1540" s="81"/>
      <c r="G1540" s="81"/>
      <c r="H1540" s="82"/>
      <c r="I1540" s="51"/>
    </row>
    <row r="1541" spans="1:9" ht="14.25" customHeight="1">
      <c r="A1541" s="17"/>
      <c r="B1541" s="17"/>
      <c r="C1541" s="17"/>
      <c r="D1541" s="17"/>
      <c r="E1541" s="17"/>
      <c r="F1541" s="17"/>
      <c r="G1541" s="17"/>
      <c r="H1541" s="17"/>
      <c r="I1541" s="51"/>
    </row>
    <row r="1542" spans="1:9" ht="14.25" customHeight="1">
      <c r="A1542" s="17"/>
      <c r="B1542" s="17"/>
      <c r="C1542" s="17"/>
      <c r="D1542" s="17"/>
      <c r="E1542" s="17"/>
      <c r="F1542" s="17"/>
      <c r="G1542" s="17"/>
      <c r="H1542" s="17"/>
      <c r="I1542" s="51"/>
    </row>
    <row r="1543" spans="1:9" ht="14.25" customHeight="1">
      <c r="A1543" s="17"/>
      <c r="B1543" s="17"/>
      <c r="C1543" s="17"/>
      <c r="D1543" s="17"/>
      <c r="E1543" s="17"/>
      <c r="F1543" s="17"/>
      <c r="G1543" s="17"/>
      <c r="H1543" s="17"/>
      <c r="I1543" s="51"/>
    </row>
    <row r="1544" spans="1:9" ht="14.25" customHeight="1">
      <c r="A1544" s="17"/>
      <c r="B1544" s="17"/>
      <c r="C1544" s="17"/>
      <c r="D1544" s="17"/>
      <c r="E1544" s="17"/>
      <c r="F1544" s="17"/>
      <c r="G1544" s="17"/>
      <c r="H1544" s="17"/>
      <c r="I1544" s="51"/>
    </row>
    <row r="1545" spans="1:9" ht="14.25" customHeight="1">
      <c r="A1545" s="85" t="s">
        <v>0</v>
      </c>
      <c r="B1545" s="81"/>
      <c r="C1545" s="81"/>
      <c r="D1545" s="81"/>
      <c r="E1545" s="81"/>
      <c r="F1545" s="81"/>
      <c r="G1545" s="81"/>
      <c r="H1545" s="82"/>
      <c r="I1545" s="51"/>
    </row>
    <row r="1546" spans="1:9" ht="14.25" customHeight="1">
      <c r="A1546" s="85" t="s">
        <v>492</v>
      </c>
      <c r="B1546" s="81"/>
      <c r="C1546" s="81"/>
      <c r="D1546" s="81"/>
      <c r="E1546" s="81"/>
      <c r="F1546" s="81"/>
      <c r="G1546" s="81"/>
      <c r="H1546" s="82"/>
      <c r="I1546" s="51"/>
    </row>
    <row r="1547" spans="1:9" ht="14.25" customHeight="1">
      <c r="A1547" s="1" t="s">
        <v>2</v>
      </c>
      <c r="B1547" s="1" t="s">
        <v>3</v>
      </c>
      <c r="C1547" s="1" t="s">
        <v>4</v>
      </c>
      <c r="D1547" s="1" t="s">
        <v>5</v>
      </c>
      <c r="E1547" s="1" t="s">
        <v>6</v>
      </c>
      <c r="F1547" s="2" t="s">
        <v>7</v>
      </c>
      <c r="G1547" s="1" t="s">
        <v>8</v>
      </c>
      <c r="H1547" s="1"/>
      <c r="I1547" s="51"/>
    </row>
    <row r="1548" spans="1:9" ht="14.25" customHeight="1">
      <c r="A1548" s="3">
        <v>1</v>
      </c>
      <c r="B1548" s="4" t="s">
        <v>493</v>
      </c>
      <c r="C1548" s="5" t="s">
        <v>494</v>
      </c>
      <c r="D1548" s="4" t="s">
        <v>11</v>
      </c>
      <c r="E1548" s="4">
        <v>2.5</v>
      </c>
      <c r="F1548" s="6">
        <v>293000</v>
      </c>
      <c r="G1548" s="7">
        <f t="shared" ref="G1548:G1550" si="99">IFERROR(E1548*F1548,0)</f>
        <v>732500</v>
      </c>
      <c r="H1548" s="8"/>
      <c r="I1548" s="51"/>
    </row>
    <row r="1549" spans="1:9" ht="14.25" customHeight="1">
      <c r="A1549" s="3">
        <v>2</v>
      </c>
      <c r="B1549" s="9" t="s">
        <v>54</v>
      </c>
      <c r="C1549" s="20">
        <v>6774</v>
      </c>
      <c r="D1549" s="9" t="s">
        <v>14</v>
      </c>
      <c r="E1549" s="9">
        <v>1.1000000000000001</v>
      </c>
      <c r="F1549" s="11">
        <v>435000</v>
      </c>
      <c r="G1549" s="7">
        <f t="shared" si="99"/>
        <v>478500.00000000006</v>
      </c>
      <c r="H1549" s="8"/>
      <c r="I1549" s="51"/>
    </row>
    <row r="1550" spans="1:9" ht="14.25" customHeight="1">
      <c r="A1550" s="3">
        <v>4</v>
      </c>
      <c r="B1550" s="8" t="s">
        <v>17</v>
      </c>
      <c r="C1550" s="8"/>
      <c r="D1550" s="8"/>
      <c r="E1550" s="8"/>
      <c r="F1550" s="8"/>
      <c r="G1550" s="13">
        <f t="shared" si="99"/>
        <v>0</v>
      </c>
      <c r="H1550" s="8"/>
      <c r="I1550" s="51"/>
    </row>
    <row r="1551" spans="1:9" ht="14.25" customHeight="1">
      <c r="A1551" s="86" t="s">
        <v>18</v>
      </c>
      <c r="B1551" s="81"/>
      <c r="C1551" s="81"/>
      <c r="D1551" s="81"/>
      <c r="E1551" s="81"/>
      <c r="F1551" s="81"/>
      <c r="G1551" s="82"/>
      <c r="H1551" s="14">
        <f>SUM(G1548:G1550)</f>
        <v>1211000</v>
      </c>
      <c r="I1551" s="51"/>
    </row>
    <row r="1552" spans="1:9" ht="14.25" customHeight="1">
      <c r="A1552" s="86" t="s">
        <v>19</v>
      </c>
      <c r="B1552" s="81"/>
      <c r="C1552" s="81"/>
      <c r="D1552" s="81"/>
      <c r="E1552" s="81"/>
      <c r="F1552" s="81"/>
      <c r="G1552" s="82"/>
      <c r="H1552" s="14">
        <f>MAX(0,H1551-648000)</f>
        <v>563000</v>
      </c>
      <c r="I1552" s="51"/>
    </row>
    <row r="1553" spans="1:9" ht="14.25" customHeight="1">
      <c r="A1553" s="87" t="s">
        <v>20</v>
      </c>
      <c r="B1553" s="81"/>
      <c r="C1553" s="81"/>
      <c r="D1553" s="81"/>
      <c r="E1553" s="81"/>
      <c r="F1553" s="81"/>
      <c r="G1553" s="82"/>
      <c r="H1553" s="15">
        <v>649000</v>
      </c>
      <c r="I1553" s="51"/>
    </row>
    <row r="1554" spans="1:9" ht="14.25" customHeight="1">
      <c r="A1554" s="85"/>
      <c r="B1554" s="81"/>
      <c r="C1554" s="81"/>
      <c r="D1554" s="81"/>
      <c r="E1554" s="81"/>
      <c r="F1554" s="81"/>
      <c r="G1554" s="81"/>
      <c r="H1554" s="82"/>
      <c r="I1554" s="51"/>
    </row>
    <row r="1555" spans="1:9">
      <c r="I1555" s="51"/>
    </row>
    <row r="1556" spans="1:9">
      <c r="I1556" s="51"/>
    </row>
    <row r="1557" spans="1:9" ht="14.25" customHeight="1">
      <c r="A1557" s="17"/>
      <c r="B1557" s="17"/>
      <c r="C1557" s="17"/>
      <c r="D1557" s="17"/>
      <c r="E1557" s="17"/>
      <c r="F1557" s="17"/>
      <c r="G1557" s="17"/>
      <c r="H1557" s="17"/>
      <c r="I1557" s="51"/>
    </row>
    <row r="1558" spans="1:9" ht="14.25" customHeight="1">
      <c r="A1558" s="17"/>
      <c r="B1558" s="17"/>
      <c r="C1558" s="17"/>
      <c r="D1558" s="17"/>
      <c r="E1558" s="17"/>
      <c r="F1558" s="17"/>
      <c r="G1558" s="17"/>
      <c r="H1558" s="17"/>
      <c r="I1558" s="51"/>
    </row>
    <row r="1559" spans="1:9" ht="14.25" customHeight="1">
      <c r="A1559" s="17"/>
      <c r="B1559" s="17"/>
      <c r="C1559" s="17"/>
      <c r="D1559" s="17"/>
      <c r="E1559" s="17"/>
      <c r="F1559" s="17"/>
      <c r="G1559" s="17"/>
      <c r="H1559" s="17"/>
      <c r="I1559" s="51"/>
    </row>
    <row r="1560" spans="1:9" ht="14.25" customHeight="1">
      <c r="A1560" s="17"/>
      <c r="B1560" s="17"/>
      <c r="C1560" s="17"/>
      <c r="D1560" s="17"/>
      <c r="E1560" s="17"/>
      <c r="F1560" s="17"/>
      <c r="G1560" s="17"/>
      <c r="H1560" s="17"/>
      <c r="I1560" s="51"/>
    </row>
    <row r="1561" spans="1:9" ht="14.25" customHeight="1">
      <c r="A1561" s="85" t="s">
        <v>0</v>
      </c>
      <c r="B1561" s="81"/>
      <c r="C1561" s="81"/>
      <c r="D1561" s="81"/>
      <c r="E1561" s="81"/>
      <c r="F1561" s="81"/>
      <c r="G1561" s="81"/>
      <c r="H1561" s="82"/>
      <c r="I1561" s="51"/>
    </row>
    <row r="1562" spans="1:9" ht="14.25" customHeight="1">
      <c r="A1562" s="85" t="s">
        <v>495</v>
      </c>
      <c r="B1562" s="81"/>
      <c r="C1562" s="81"/>
      <c r="D1562" s="81"/>
      <c r="E1562" s="81"/>
      <c r="F1562" s="81"/>
      <c r="G1562" s="81"/>
      <c r="H1562" s="82"/>
      <c r="I1562" s="51"/>
    </row>
    <row r="1563" spans="1:9" ht="14.25" customHeight="1">
      <c r="A1563" s="1" t="s">
        <v>2</v>
      </c>
      <c r="B1563" s="1" t="s">
        <v>3</v>
      </c>
      <c r="C1563" s="1" t="s">
        <v>4</v>
      </c>
      <c r="D1563" s="1" t="s">
        <v>5</v>
      </c>
      <c r="E1563" s="1" t="s">
        <v>6</v>
      </c>
      <c r="F1563" s="2" t="s">
        <v>7</v>
      </c>
      <c r="G1563" s="1" t="s">
        <v>8</v>
      </c>
      <c r="H1563" s="1"/>
      <c r="I1563" s="51"/>
    </row>
    <row r="1564" spans="1:9" ht="14.25" customHeight="1">
      <c r="A1564" s="3">
        <v>1</v>
      </c>
      <c r="B1564" s="9" t="s">
        <v>106</v>
      </c>
      <c r="C1564" s="10" t="s">
        <v>496</v>
      </c>
      <c r="D1564" s="9" t="s">
        <v>11</v>
      </c>
      <c r="E1564" s="9">
        <v>1.5</v>
      </c>
      <c r="F1564" s="6">
        <v>293000</v>
      </c>
      <c r="G1564" s="7">
        <f t="shared" ref="G1564:G1566" si="100">IFERROR(E1564*F1564,0)</f>
        <v>439500</v>
      </c>
      <c r="H1564" s="8"/>
      <c r="I1564" s="51"/>
    </row>
    <row r="1565" spans="1:9" ht="14.25" customHeight="1">
      <c r="A1565" s="3">
        <v>2</v>
      </c>
      <c r="B1565" s="9" t="s">
        <v>144</v>
      </c>
      <c r="C1565" s="20">
        <v>4284</v>
      </c>
      <c r="D1565" s="9" t="s">
        <v>14</v>
      </c>
      <c r="E1565" s="9">
        <v>1.85</v>
      </c>
      <c r="F1565" s="11">
        <v>435000</v>
      </c>
      <c r="G1565" s="7">
        <f t="shared" si="100"/>
        <v>804750</v>
      </c>
      <c r="H1565" s="8"/>
      <c r="I1565" s="51"/>
    </row>
    <row r="1566" spans="1:9" ht="14.25" customHeight="1">
      <c r="A1566" s="3">
        <v>4</v>
      </c>
      <c r="B1566" s="8" t="s">
        <v>17</v>
      </c>
      <c r="C1566" s="8"/>
      <c r="D1566" s="8"/>
      <c r="E1566" s="8"/>
      <c r="F1566" s="8"/>
      <c r="G1566" s="13">
        <f t="shared" si="100"/>
        <v>0</v>
      </c>
      <c r="H1566" s="8"/>
      <c r="I1566" s="51"/>
    </row>
    <row r="1567" spans="1:9" ht="14.25" customHeight="1">
      <c r="A1567" s="86" t="s">
        <v>18</v>
      </c>
      <c r="B1567" s="81"/>
      <c r="C1567" s="81"/>
      <c r="D1567" s="81"/>
      <c r="E1567" s="81"/>
      <c r="F1567" s="81"/>
      <c r="G1567" s="82"/>
      <c r="H1567" s="14">
        <f>SUM(G1564:G1566)</f>
        <v>1244250</v>
      </c>
      <c r="I1567" s="51"/>
    </row>
    <row r="1568" spans="1:9" ht="14.25" customHeight="1">
      <c r="A1568" s="86" t="s">
        <v>19</v>
      </c>
      <c r="B1568" s="81"/>
      <c r="C1568" s="81"/>
      <c r="D1568" s="81"/>
      <c r="E1568" s="81"/>
      <c r="F1568" s="81"/>
      <c r="G1568" s="82"/>
      <c r="H1568" s="14">
        <f>MAX(0,H1567-648000)</f>
        <v>596250</v>
      </c>
      <c r="I1568" s="51"/>
    </row>
    <row r="1569" spans="1:9" ht="14.25" customHeight="1">
      <c r="A1569" s="87" t="s">
        <v>20</v>
      </c>
      <c r="B1569" s="81"/>
      <c r="C1569" s="81"/>
      <c r="D1569" s="81"/>
      <c r="E1569" s="81"/>
      <c r="F1569" s="81"/>
      <c r="G1569" s="82"/>
      <c r="H1569" s="15">
        <v>649000</v>
      </c>
      <c r="I1569" s="51"/>
    </row>
    <row r="1570" spans="1:9" ht="14.25" customHeight="1">
      <c r="A1570" s="85"/>
      <c r="B1570" s="81"/>
      <c r="C1570" s="81"/>
      <c r="D1570" s="81"/>
      <c r="E1570" s="81"/>
      <c r="F1570" s="81"/>
      <c r="G1570" s="81"/>
      <c r="H1570" s="82"/>
      <c r="I1570" s="51"/>
    </row>
    <row r="1571" spans="1:9" ht="14.25" customHeight="1">
      <c r="A1571" s="17"/>
      <c r="B1571" s="17"/>
      <c r="C1571" s="17"/>
      <c r="D1571" s="17"/>
      <c r="E1571" s="17"/>
      <c r="F1571" s="17"/>
      <c r="G1571" s="17"/>
      <c r="H1571" s="17"/>
      <c r="I1571" s="51"/>
    </row>
    <row r="1572" spans="1:9" ht="14.25" customHeight="1">
      <c r="A1572" s="17"/>
      <c r="B1572" s="17"/>
      <c r="C1572" s="17"/>
      <c r="D1572" s="17"/>
      <c r="E1572" s="17"/>
      <c r="F1572" s="17"/>
      <c r="G1572" s="17"/>
      <c r="H1572" s="17"/>
      <c r="I1572" s="51"/>
    </row>
    <row r="1573" spans="1:9" ht="14.25" customHeight="1">
      <c r="A1573" s="17"/>
      <c r="B1573" s="17"/>
      <c r="C1573" s="17"/>
      <c r="D1573" s="17"/>
      <c r="E1573" s="17"/>
      <c r="F1573" s="17"/>
      <c r="G1573" s="17"/>
      <c r="H1573" s="17"/>
      <c r="I1573" s="51"/>
    </row>
    <row r="1574" spans="1:9" ht="14.25" customHeight="1">
      <c r="A1574" s="85" t="s">
        <v>0</v>
      </c>
      <c r="B1574" s="81"/>
      <c r="C1574" s="81"/>
      <c r="D1574" s="81"/>
      <c r="E1574" s="81"/>
      <c r="F1574" s="81"/>
      <c r="G1574" s="81"/>
      <c r="H1574" s="82"/>
      <c r="I1574" s="51"/>
    </row>
    <row r="1575" spans="1:9" ht="14.25" customHeight="1">
      <c r="A1575" s="85" t="s">
        <v>497</v>
      </c>
      <c r="B1575" s="81"/>
      <c r="C1575" s="81"/>
      <c r="D1575" s="81"/>
      <c r="E1575" s="81"/>
      <c r="F1575" s="81"/>
      <c r="G1575" s="81"/>
      <c r="H1575" s="82"/>
      <c r="I1575" s="51"/>
    </row>
    <row r="1576" spans="1:9" ht="14.25" customHeight="1">
      <c r="A1576" s="1" t="s">
        <v>2</v>
      </c>
      <c r="B1576" s="1" t="s">
        <v>3</v>
      </c>
      <c r="C1576" s="1" t="s">
        <v>4</v>
      </c>
      <c r="D1576" s="1" t="s">
        <v>5</v>
      </c>
      <c r="E1576" s="1" t="s">
        <v>6</v>
      </c>
      <c r="F1576" s="2" t="s">
        <v>7</v>
      </c>
      <c r="G1576" s="1" t="s">
        <v>8</v>
      </c>
      <c r="H1576" s="1"/>
      <c r="I1576" s="51"/>
    </row>
    <row r="1577" spans="1:9" ht="14.25" customHeight="1">
      <c r="A1577" s="3">
        <v>1</v>
      </c>
      <c r="B1577" s="4" t="s">
        <v>99</v>
      </c>
      <c r="C1577" s="5">
        <v>7784</v>
      </c>
      <c r="D1577" s="4" t="s">
        <v>413</v>
      </c>
      <c r="E1577" s="4">
        <v>2</v>
      </c>
      <c r="F1577" s="6">
        <v>293000</v>
      </c>
      <c r="G1577" s="7">
        <f t="shared" ref="G1577:G1579" si="101">IFERROR(E1577*F1577,0)</f>
        <v>586000</v>
      </c>
      <c r="H1577" s="8"/>
      <c r="I1577" s="51"/>
    </row>
    <row r="1578" spans="1:9" ht="14.25" customHeight="1">
      <c r="A1578" s="3">
        <v>2</v>
      </c>
      <c r="B1578" s="9" t="s">
        <v>498</v>
      </c>
      <c r="C1578" s="20">
        <v>8047</v>
      </c>
      <c r="D1578" s="9" t="s">
        <v>14</v>
      </c>
      <c r="E1578" s="9">
        <v>1.5</v>
      </c>
      <c r="F1578" s="11">
        <v>435000</v>
      </c>
      <c r="G1578" s="7">
        <f t="shared" si="101"/>
        <v>652500</v>
      </c>
      <c r="H1578" s="8"/>
      <c r="I1578" s="51"/>
    </row>
    <row r="1579" spans="1:9" ht="14.25" customHeight="1">
      <c r="A1579" s="3">
        <v>4</v>
      </c>
      <c r="B1579" s="8" t="s">
        <v>17</v>
      </c>
      <c r="C1579" s="8"/>
      <c r="D1579" s="8"/>
      <c r="E1579" s="8"/>
      <c r="F1579" s="8"/>
      <c r="G1579" s="13">
        <f t="shared" si="101"/>
        <v>0</v>
      </c>
      <c r="H1579" s="8"/>
      <c r="I1579" s="51"/>
    </row>
    <row r="1580" spans="1:9" ht="14.25" customHeight="1">
      <c r="A1580" s="86" t="s">
        <v>18</v>
      </c>
      <c r="B1580" s="81"/>
      <c r="C1580" s="81"/>
      <c r="D1580" s="81"/>
      <c r="E1580" s="81"/>
      <c r="F1580" s="81"/>
      <c r="G1580" s="82"/>
      <c r="H1580" s="14">
        <f>SUM(G1577:G1579)</f>
        <v>1238500</v>
      </c>
      <c r="I1580" s="51"/>
    </row>
    <row r="1581" spans="1:9" ht="14.25" customHeight="1">
      <c r="A1581" s="86" t="s">
        <v>19</v>
      </c>
      <c r="B1581" s="81"/>
      <c r="C1581" s="81"/>
      <c r="D1581" s="81"/>
      <c r="E1581" s="81"/>
      <c r="F1581" s="81"/>
      <c r="G1581" s="82"/>
      <c r="H1581" s="14">
        <f>MAX(0,H1580-648000)</f>
        <v>590500</v>
      </c>
      <c r="I1581" s="51"/>
    </row>
    <row r="1582" spans="1:9" ht="14.25" customHeight="1">
      <c r="A1582" s="87" t="s">
        <v>20</v>
      </c>
      <c r="B1582" s="81"/>
      <c r="C1582" s="81"/>
      <c r="D1582" s="81"/>
      <c r="E1582" s="81"/>
      <c r="F1582" s="81"/>
      <c r="G1582" s="82"/>
      <c r="H1582" s="15">
        <v>649000</v>
      </c>
      <c r="I1582" s="51"/>
    </row>
    <row r="1583" spans="1:9" ht="14.25" customHeight="1">
      <c r="A1583" s="85"/>
      <c r="B1583" s="81"/>
      <c r="C1583" s="81"/>
      <c r="D1583" s="81"/>
      <c r="E1583" s="81"/>
      <c r="F1583" s="81"/>
      <c r="G1583" s="81"/>
      <c r="H1583" s="82"/>
      <c r="I1583" s="51"/>
    </row>
    <row r="1584" spans="1:9" ht="14.25" customHeight="1">
      <c r="A1584" s="17"/>
      <c r="B1584" s="17"/>
      <c r="C1584" s="17"/>
      <c r="D1584" s="17"/>
      <c r="E1584" s="17"/>
      <c r="F1584" s="17"/>
      <c r="G1584" s="17"/>
      <c r="H1584" s="17"/>
      <c r="I1584" s="51"/>
    </row>
    <row r="1585" spans="1:9" ht="14.25" customHeight="1">
      <c r="A1585" s="17"/>
      <c r="B1585" s="17"/>
      <c r="C1585" s="17"/>
      <c r="D1585" s="17"/>
      <c r="E1585" s="17"/>
      <c r="F1585" s="17"/>
      <c r="G1585" s="17"/>
      <c r="H1585" s="17"/>
      <c r="I1585" s="51"/>
    </row>
    <row r="1586" spans="1:9" ht="14.25" customHeight="1">
      <c r="A1586" s="17"/>
      <c r="B1586" s="17"/>
      <c r="C1586" s="17"/>
      <c r="D1586" s="17"/>
      <c r="E1586" s="17"/>
      <c r="F1586" s="17"/>
      <c r="G1586" s="17"/>
      <c r="H1586" s="17"/>
      <c r="I1586" s="51"/>
    </row>
    <row r="1587" spans="1:9" ht="14.25" customHeight="1">
      <c r="A1587" s="17"/>
      <c r="B1587" s="17"/>
      <c r="C1587" s="17"/>
      <c r="D1587" s="17"/>
      <c r="E1587" s="17"/>
      <c r="F1587" s="17"/>
      <c r="G1587" s="17"/>
      <c r="H1587" s="17"/>
      <c r="I1587" s="51"/>
    </row>
    <row r="1588" spans="1:9" ht="14.25" customHeight="1">
      <c r="A1588" s="17"/>
      <c r="B1588" s="17"/>
      <c r="C1588" s="17"/>
      <c r="D1588" s="17"/>
      <c r="E1588" s="17"/>
      <c r="F1588" s="17"/>
      <c r="G1588" s="17"/>
      <c r="H1588" s="17"/>
      <c r="I1588" s="51"/>
    </row>
    <row r="1589" spans="1:9" ht="14.25" customHeight="1">
      <c r="A1589" s="17"/>
      <c r="B1589" s="17"/>
      <c r="C1589" s="17"/>
      <c r="D1589" s="17"/>
      <c r="E1589" s="17"/>
      <c r="F1589" s="17"/>
      <c r="G1589" s="17"/>
      <c r="H1589" s="17"/>
      <c r="I1589" s="51"/>
    </row>
    <row r="1590" spans="1:9" ht="14.25" customHeight="1">
      <c r="A1590" s="85" t="s">
        <v>0</v>
      </c>
      <c r="B1590" s="81"/>
      <c r="C1590" s="81"/>
      <c r="D1590" s="81"/>
      <c r="E1590" s="81"/>
      <c r="F1590" s="81"/>
      <c r="G1590" s="81"/>
      <c r="H1590" s="82"/>
      <c r="I1590" s="51"/>
    </row>
    <row r="1591" spans="1:9" ht="14.25" customHeight="1">
      <c r="A1591" s="85" t="s">
        <v>499</v>
      </c>
      <c r="B1591" s="81"/>
      <c r="C1591" s="81"/>
      <c r="D1591" s="81"/>
      <c r="E1591" s="81"/>
      <c r="F1591" s="81"/>
      <c r="G1591" s="81"/>
      <c r="H1591" s="82"/>
      <c r="I1591" s="51"/>
    </row>
    <row r="1592" spans="1:9" ht="14.25" customHeight="1">
      <c r="A1592" s="1" t="s">
        <v>2</v>
      </c>
      <c r="B1592" s="1" t="s">
        <v>3</v>
      </c>
      <c r="C1592" s="1" t="s">
        <v>4</v>
      </c>
      <c r="D1592" s="1" t="s">
        <v>5</v>
      </c>
      <c r="E1592" s="1" t="s">
        <v>6</v>
      </c>
      <c r="F1592" s="2" t="s">
        <v>7</v>
      </c>
      <c r="G1592" s="1" t="s">
        <v>8</v>
      </c>
      <c r="H1592" s="1"/>
      <c r="I1592" s="51"/>
    </row>
    <row r="1593" spans="1:9" ht="14.25" customHeight="1">
      <c r="A1593" s="3">
        <v>1</v>
      </c>
      <c r="B1593" s="4" t="s">
        <v>159</v>
      </c>
      <c r="C1593" s="5">
        <v>7812</v>
      </c>
      <c r="D1593" s="4" t="s">
        <v>11</v>
      </c>
      <c r="E1593" s="4">
        <v>1.44</v>
      </c>
      <c r="F1593" s="6">
        <v>293000</v>
      </c>
      <c r="G1593" s="7">
        <f t="shared" ref="G1593:G1595" si="102">IFERROR(E1593*F1593,0)</f>
        <v>421920</v>
      </c>
      <c r="H1593" s="8"/>
      <c r="I1593" s="51"/>
    </row>
    <row r="1594" spans="1:9" ht="14.25" customHeight="1">
      <c r="A1594" s="3">
        <v>2</v>
      </c>
      <c r="B1594" s="9" t="s">
        <v>279</v>
      </c>
      <c r="C1594" s="20">
        <v>8061</v>
      </c>
      <c r="D1594" s="9" t="s">
        <v>14</v>
      </c>
      <c r="E1594" s="9">
        <v>2</v>
      </c>
      <c r="F1594" s="11">
        <v>435000</v>
      </c>
      <c r="G1594" s="7">
        <f t="shared" si="102"/>
        <v>870000</v>
      </c>
      <c r="H1594" s="8"/>
      <c r="I1594" s="51"/>
    </row>
    <row r="1595" spans="1:9" ht="14.25" customHeight="1">
      <c r="A1595" s="3">
        <v>4</v>
      </c>
      <c r="B1595" s="8" t="s">
        <v>17</v>
      </c>
      <c r="C1595" s="8"/>
      <c r="D1595" s="8"/>
      <c r="E1595" s="8"/>
      <c r="F1595" s="8"/>
      <c r="G1595" s="13">
        <f t="shared" si="102"/>
        <v>0</v>
      </c>
      <c r="H1595" s="8"/>
      <c r="I1595" s="51"/>
    </row>
    <row r="1596" spans="1:9" ht="14.25" customHeight="1">
      <c r="A1596" s="86" t="s">
        <v>18</v>
      </c>
      <c r="B1596" s="81"/>
      <c r="C1596" s="81"/>
      <c r="D1596" s="81"/>
      <c r="E1596" s="81"/>
      <c r="F1596" s="81"/>
      <c r="G1596" s="82"/>
      <c r="H1596" s="14">
        <f>SUM(G1593:G1595)</f>
        <v>1291920</v>
      </c>
      <c r="I1596" s="51"/>
    </row>
    <row r="1597" spans="1:9" ht="14.25" customHeight="1">
      <c r="A1597" s="86" t="s">
        <v>19</v>
      </c>
      <c r="B1597" s="81"/>
      <c r="C1597" s="81"/>
      <c r="D1597" s="81"/>
      <c r="E1597" s="81"/>
      <c r="F1597" s="81"/>
      <c r="G1597" s="82"/>
      <c r="H1597" s="14">
        <f>MAX(0,H1596-648000)</f>
        <v>643920</v>
      </c>
      <c r="I1597" s="51"/>
    </row>
    <row r="1598" spans="1:9" ht="14.25" customHeight="1">
      <c r="A1598" s="87" t="s">
        <v>20</v>
      </c>
      <c r="B1598" s="81"/>
      <c r="C1598" s="81"/>
      <c r="D1598" s="81"/>
      <c r="E1598" s="81"/>
      <c r="F1598" s="81"/>
      <c r="G1598" s="82"/>
      <c r="H1598" s="15">
        <v>649000</v>
      </c>
      <c r="I1598" s="51"/>
    </row>
    <row r="1599" spans="1:9" ht="14.25" customHeight="1">
      <c r="A1599" s="85"/>
      <c r="B1599" s="81"/>
      <c r="C1599" s="81"/>
      <c r="D1599" s="81"/>
      <c r="E1599" s="81"/>
      <c r="F1599" s="81"/>
      <c r="G1599" s="81"/>
      <c r="H1599" s="82"/>
      <c r="I1599" s="51"/>
    </row>
    <row r="1600" spans="1:9" ht="14.25" customHeight="1">
      <c r="A1600" s="17"/>
      <c r="B1600" s="17"/>
      <c r="C1600" s="17"/>
      <c r="D1600" s="17"/>
      <c r="E1600" s="17"/>
      <c r="F1600" s="17"/>
      <c r="G1600" s="17"/>
      <c r="H1600" s="17"/>
      <c r="I1600" s="51"/>
    </row>
    <row r="1601" spans="1:9" ht="14.25" customHeight="1">
      <c r="A1601" s="17"/>
      <c r="B1601" s="17"/>
      <c r="C1601" s="17"/>
      <c r="D1601" s="17"/>
      <c r="E1601" s="17"/>
      <c r="F1601" s="17"/>
      <c r="G1601" s="17"/>
      <c r="H1601" s="17"/>
      <c r="I1601" s="51"/>
    </row>
    <row r="1602" spans="1:9" ht="14.25" customHeight="1">
      <c r="A1602" s="17"/>
      <c r="B1602" s="17"/>
      <c r="C1602" s="17"/>
      <c r="D1602" s="17"/>
      <c r="E1602" s="17"/>
      <c r="F1602" s="17"/>
      <c r="G1602" s="17"/>
      <c r="H1602" s="17"/>
      <c r="I1602" s="51"/>
    </row>
    <row r="1603" spans="1:9" ht="14.25" customHeight="1">
      <c r="A1603" s="17"/>
      <c r="B1603" s="17"/>
      <c r="C1603" s="17"/>
      <c r="D1603" s="17"/>
      <c r="E1603" s="17"/>
      <c r="F1603" s="17"/>
      <c r="G1603" s="17"/>
      <c r="H1603" s="17"/>
      <c r="I1603" s="51"/>
    </row>
    <row r="1604" spans="1:9" ht="14.25" customHeight="1">
      <c r="A1604" s="85" t="s">
        <v>0</v>
      </c>
      <c r="B1604" s="81"/>
      <c r="C1604" s="81"/>
      <c r="D1604" s="81"/>
      <c r="E1604" s="81"/>
      <c r="F1604" s="81"/>
      <c r="G1604" s="81"/>
      <c r="H1604" s="82"/>
      <c r="I1604" s="51"/>
    </row>
    <row r="1605" spans="1:9" ht="14.25" customHeight="1">
      <c r="A1605" s="85" t="s">
        <v>500</v>
      </c>
      <c r="B1605" s="81"/>
      <c r="C1605" s="81"/>
      <c r="D1605" s="81"/>
      <c r="E1605" s="81"/>
      <c r="F1605" s="81"/>
      <c r="G1605" s="81"/>
      <c r="H1605" s="82"/>
      <c r="I1605" s="51"/>
    </row>
    <row r="1606" spans="1:9" ht="14.25" customHeight="1">
      <c r="A1606" s="1" t="s">
        <v>2</v>
      </c>
      <c r="B1606" s="1" t="s">
        <v>3</v>
      </c>
      <c r="C1606" s="1" t="s">
        <v>4</v>
      </c>
      <c r="D1606" s="1" t="s">
        <v>5</v>
      </c>
      <c r="E1606" s="1" t="s">
        <v>6</v>
      </c>
      <c r="F1606" s="2" t="s">
        <v>7</v>
      </c>
      <c r="G1606" s="1" t="s">
        <v>8</v>
      </c>
      <c r="H1606" s="1"/>
      <c r="I1606" s="51"/>
    </row>
    <row r="1607" spans="1:9" ht="14.25" customHeight="1">
      <c r="A1607" s="3">
        <v>1</v>
      </c>
      <c r="B1607" s="4" t="s">
        <v>177</v>
      </c>
      <c r="C1607" s="5">
        <v>7803</v>
      </c>
      <c r="D1607" s="4" t="s">
        <v>11</v>
      </c>
      <c r="E1607" s="4">
        <v>0.87</v>
      </c>
      <c r="F1607" s="6">
        <v>293000</v>
      </c>
      <c r="G1607" s="7">
        <f t="shared" ref="G1607:G1609" si="103">IFERROR(E1607*F1607,0)</f>
        <v>254910</v>
      </c>
      <c r="H1607" s="8"/>
      <c r="I1607" s="51"/>
    </row>
    <row r="1608" spans="1:9" ht="14.25" customHeight="1">
      <c r="A1608" s="3">
        <v>2</v>
      </c>
      <c r="B1608" s="9" t="s">
        <v>116</v>
      </c>
      <c r="C1608" s="20">
        <v>8156</v>
      </c>
      <c r="D1608" s="9" t="s">
        <v>14</v>
      </c>
      <c r="E1608" s="9">
        <v>3</v>
      </c>
      <c r="F1608" s="11">
        <v>435000</v>
      </c>
      <c r="G1608" s="7">
        <f t="shared" si="103"/>
        <v>1305000</v>
      </c>
      <c r="H1608" s="8"/>
      <c r="I1608" s="51"/>
    </row>
    <row r="1609" spans="1:9" ht="14.25" customHeight="1">
      <c r="A1609" s="3">
        <v>4</v>
      </c>
      <c r="B1609" s="8" t="s">
        <v>17</v>
      </c>
      <c r="C1609" s="8"/>
      <c r="D1609" s="8"/>
      <c r="E1609" s="8"/>
      <c r="F1609" s="8"/>
      <c r="G1609" s="13">
        <f t="shared" si="103"/>
        <v>0</v>
      </c>
      <c r="H1609" s="8"/>
      <c r="I1609" s="51"/>
    </row>
    <row r="1610" spans="1:9" ht="14.25" customHeight="1">
      <c r="A1610" s="86" t="s">
        <v>18</v>
      </c>
      <c r="B1610" s="81"/>
      <c r="C1610" s="81"/>
      <c r="D1610" s="81"/>
      <c r="E1610" s="81"/>
      <c r="F1610" s="81"/>
      <c r="G1610" s="82"/>
      <c r="H1610" s="14">
        <f>SUM(G1607:G1609)</f>
        <v>1559910</v>
      </c>
      <c r="I1610" s="51"/>
    </row>
    <row r="1611" spans="1:9" ht="14.25" customHeight="1">
      <c r="A1611" s="86" t="s">
        <v>19</v>
      </c>
      <c r="B1611" s="81"/>
      <c r="C1611" s="81"/>
      <c r="D1611" s="81"/>
      <c r="E1611" s="81"/>
      <c r="F1611" s="81"/>
      <c r="G1611" s="82"/>
      <c r="H1611" s="14">
        <f>MAX(0,H1610-648000)</f>
        <v>911910</v>
      </c>
      <c r="I1611" s="51"/>
    </row>
    <row r="1612" spans="1:9" ht="14.25" customHeight="1">
      <c r="A1612" s="87" t="s">
        <v>20</v>
      </c>
      <c r="B1612" s="81"/>
      <c r="C1612" s="81"/>
      <c r="D1612" s="81"/>
      <c r="E1612" s="81"/>
      <c r="F1612" s="81"/>
      <c r="G1612" s="82"/>
      <c r="H1612" s="15">
        <v>649000</v>
      </c>
      <c r="I1612" s="51"/>
    </row>
    <row r="1613" spans="1:9" ht="14.25" customHeight="1">
      <c r="A1613" s="85"/>
      <c r="B1613" s="81"/>
      <c r="C1613" s="81"/>
      <c r="D1613" s="81"/>
      <c r="E1613" s="81"/>
      <c r="F1613" s="81"/>
      <c r="G1613" s="81"/>
      <c r="H1613" s="82"/>
      <c r="I1613" s="51"/>
    </row>
    <row r="1614" spans="1:9" ht="14.25" customHeight="1">
      <c r="A1614" s="17"/>
      <c r="B1614" s="17"/>
      <c r="C1614" s="17"/>
      <c r="D1614" s="17"/>
      <c r="E1614" s="17"/>
      <c r="F1614" s="17"/>
      <c r="G1614" s="17"/>
      <c r="H1614" s="17"/>
      <c r="I1614" s="51"/>
    </row>
    <row r="1615" spans="1:9" ht="14.25" customHeight="1">
      <c r="A1615" s="17"/>
      <c r="B1615" s="17"/>
      <c r="C1615" s="17"/>
      <c r="D1615" s="17"/>
      <c r="E1615" s="17"/>
      <c r="F1615" s="17"/>
      <c r="G1615" s="17"/>
      <c r="H1615" s="17"/>
      <c r="I1615" s="51"/>
    </row>
    <row r="1616" spans="1:9" ht="14.25" customHeight="1">
      <c r="A1616" s="17"/>
      <c r="B1616" s="17"/>
      <c r="C1616" s="17"/>
      <c r="D1616" s="17"/>
      <c r="E1616" s="17"/>
      <c r="F1616" s="17"/>
      <c r="G1616" s="17"/>
      <c r="H1616" s="17"/>
      <c r="I1616" s="51"/>
    </row>
    <row r="1617" spans="1:9" ht="14.25" customHeight="1">
      <c r="A1617" s="17"/>
      <c r="B1617" s="17"/>
      <c r="C1617" s="17"/>
      <c r="D1617" s="17"/>
      <c r="E1617" s="17"/>
      <c r="F1617" s="17"/>
      <c r="G1617" s="17"/>
      <c r="H1617" s="17"/>
      <c r="I1617" s="51"/>
    </row>
    <row r="1618" spans="1:9" ht="14.25" customHeight="1">
      <c r="A1618" s="17"/>
      <c r="B1618" s="17"/>
      <c r="C1618" s="17"/>
      <c r="D1618" s="17"/>
      <c r="E1618" s="17"/>
      <c r="F1618" s="17"/>
      <c r="G1618" s="17"/>
      <c r="H1618" s="17"/>
      <c r="I1618" s="51"/>
    </row>
    <row r="1619" spans="1:9" ht="14.25" customHeight="1">
      <c r="A1619" s="17"/>
      <c r="B1619" s="17"/>
      <c r="C1619" s="17"/>
      <c r="D1619" s="17"/>
      <c r="E1619" s="17"/>
      <c r="F1619" s="17"/>
      <c r="G1619" s="17"/>
      <c r="H1619" s="17"/>
      <c r="I1619" s="51"/>
    </row>
    <row r="1620" spans="1:9" ht="14.25" customHeight="1">
      <c r="A1620" s="85" t="s">
        <v>0</v>
      </c>
      <c r="B1620" s="81"/>
      <c r="C1620" s="81"/>
      <c r="D1620" s="81"/>
      <c r="E1620" s="81"/>
      <c r="F1620" s="81"/>
      <c r="G1620" s="81"/>
      <c r="H1620" s="82"/>
      <c r="I1620" s="51"/>
    </row>
    <row r="1621" spans="1:9" ht="14.25" customHeight="1">
      <c r="A1621" s="85" t="s">
        <v>501</v>
      </c>
      <c r="B1621" s="81"/>
      <c r="C1621" s="81"/>
      <c r="D1621" s="81"/>
      <c r="E1621" s="81"/>
      <c r="F1621" s="81"/>
      <c r="G1621" s="81"/>
      <c r="H1621" s="82"/>
      <c r="I1621" s="51"/>
    </row>
    <row r="1622" spans="1:9" ht="14.25" customHeight="1">
      <c r="A1622" s="1" t="s">
        <v>2</v>
      </c>
      <c r="B1622" s="1" t="s">
        <v>3</v>
      </c>
      <c r="C1622" s="1" t="s">
        <v>4</v>
      </c>
      <c r="D1622" s="1" t="s">
        <v>5</v>
      </c>
      <c r="E1622" s="1" t="s">
        <v>6</v>
      </c>
      <c r="F1622" s="2" t="s">
        <v>7</v>
      </c>
      <c r="G1622" s="1" t="s">
        <v>8</v>
      </c>
      <c r="H1622" s="1"/>
      <c r="I1622" s="51"/>
    </row>
    <row r="1623" spans="1:9" ht="14.25" customHeight="1">
      <c r="A1623" s="3">
        <v>1</v>
      </c>
      <c r="B1623" s="4" t="s">
        <v>305</v>
      </c>
      <c r="C1623" s="5">
        <v>7793</v>
      </c>
      <c r="D1623" s="4" t="s">
        <v>11</v>
      </c>
      <c r="E1623" s="4">
        <v>0.63</v>
      </c>
      <c r="F1623" s="6">
        <v>293000</v>
      </c>
      <c r="G1623" s="7">
        <f t="shared" ref="G1623:G1625" si="104">IFERROR(E1623*F1623,0)</f>
        <v>184590</v>
      </c>
      <c r="H1623" s="8"/>
      <c r="I1623" s="51"/>
    </row>
    <row r="1624" spans="1:9" ht="14.25" customHeight="1">
      <c r="A1624" s="3">
        <v>2</v>
      </c>
      <c r="B1624" s="9" t="s">
        <v>502</v>
      </c>
      <c r="C1624" s="20">
        <v>8046</v>
      </c>
      <c r="D1624" s="9" t="s">
        <v>14</v>
      </c>
      <c r="E1624" s="9">
        <v>1.8</v>
      </c>
      <c r="F1624" s="11">
        <v>435000</v>
      </c>
      <c r="G1624" s="7">
        <f t="shared" si="104"/>
        <v>783000</v>
      </c>
      <c r="H1624" s="8"/>
      <c r="I1624" s="51"/>
    </row>
    <row r="1625" spans="1:9" ht="14.25" customHeight="1">
      <c r="A1625" s="3">
        <v>4</v>
      </c>
      <c r="B1625" s="8" t="s">
        <v>17</v>
      </c>
      <c r="C1625" s="8"/>
      <c r="D1625" s="8"/>
      <c r="E1625" s="8"/>
      <c r="F1625" s="8"/>
      <c r="G1625" s="13">
        <f t="shared" si="104"/>
        <v>0</v>
      </c>
      <c r="H1625" s="8"/>
      <c r="I1625" s="51"/>
    </row>
    <row r="1626" spans="1:9" ht="14.25" customHeight="1">
      <c r="A1626" s="86" t="s">
        <v>18</v>
      </c>
      <c r="B1626" s="81"/>
      <c r="C1626" s="81"/>
      <c r="D1626" s="81"/>
      <c r="E1626" s="81"/>
      <c r="F1626" s="81"/>
      <c r="G1626" s="82"/>
      <c r="H1626" s="14">
        <f>SUM(G1623:G1625)</f>
        <v>967590</v>
      </c>
      <c r="I1626" s="51"/>
    </row>
    <row r="1627" spans="1:9" ht="14.25" customHeight="1">
      <c r="A1627" s="86" t="s">
        <v>19</v>
      </c>
      <c r="B1627" s="81"/>
      <c r="C1627" s="81"/>
      <c r="D1627" s="81"/>
      <c r="E1627" s="81"/>
      <c r="F1627" s="81"/>
      <c r="G1627" s="82"/>
      <c r="H1627" s="14">
        <f>MAX(0,H1626-648000)</f>
        <v>319590</v>
      </c>
      <c r="I1627" s="51"/>
    </row>
    <row r="1628" spans="1:9" ht="14.25" customHeight="1">
      <c r="A1628" s="87" t="s">
        <v>20</v>
      </c>
      <c r="B1628" s="81"/>
      <c r="C1628" s="81"/>
      <c r="D1628" s="81"/>
      <c r="E1628" s="81"/>
      <c r="F1628" s="81"/>
      <c r="G1628" s="82"/>
      <c r="H1628" s="15">
        <v>649000</v>
      </c>
      <c r="I1628" s="51"/>
    </row>
    <row r="1629" spans="1:9" ht="14.25" customHeight="1">
      <c r="A1629" s="85"/>
      <c r="B1629" s="81"/>
      <c r="C1629" s="81"/>
      <c r="D1629" s="81"/>
      <c r="E1629" s="81"/>
      <c r="F1629" s="81"/>
      <c r="G1629" s="81"/>
      <c r="H1629" s="82"/>
      <c r="I1629" s="51"/>
    </row>
    <row r="1630" spans="1:9" ht="14.25" customHeight="1">
      <c r="A1630" s="17"/>
      <c r="B1630" s="17"/>
      <c r="C1630" s="17"/>
      <c r="D1630" s="17"/>
      <c r="E1630" s="17"/>
      <c r="F1630" s="17"/>
      <c r="G1630" s="17"/>
      <c r="H1630" s="17"/>
      <c r="I1630" s="51"/>
    </row>
    <row r="1631" spans="1:9" ht="14.25" customHeight="1">
      <c r="A1631" s="17"/>
      <c r="B1631" s="17"/>
      <c r="C1631" s="17"/>
      <c r="D1631" s="17"/>
      <c r="E1631" s="17"/>
      <c r="F1631" s="17"/>
      <c r="G1631" s="17"/>
      <c r="H1631" s="17"/>
      <c r="I1631" s="51"/>
    </row>
    <row r="1632" spans="1:9" ht="14.25" customHeight="1">
      <c r="A1632" s="17"/>
      <c r="B1632" s="17"/>
      <c r="C1632" s="17"/>
      <c r="D1632" s="17"/>
      <c r="E1632" s="17"/>
      <c r="F1632" s="17"/>
      <c r="G1632" s="17"/>
      <c r="H1632" s="17"/>
      <c r="I1632" s="51"/>
    </row>
    <row r="1633" spans="1:9" ht="14.25" customHeight="1">
      <c r="A1633" s="17"/>
      <c r="B1633" s="17"/>
      <c r="C1633" s="17"/>
      <c r="D1633" s="17"/>
      <c r="E1633" s="17"/>
      <c r="F1633" s="17"/>
      <c r="G1633" s="17"/>
      <c r="H1633" s="17"/>
      <c r="I1633" s="51"/>
    </row>
    <row r="1634" spans="1:9" ht="14.25" customHeight="1">
      <c r="A1634" s="17"/>
      <c r="B1634" s="17"/>
      <c r="C1634" s="17"/>
      <c r="D1634" s="17"/>
      <c r="E1634" s="17"/>
      <c r="F1634" s="17"/>
      <c r="G1634" s="17"/>
      <c r="H1634" s="17"/>
      <c r="I1634" s="51"/>
    </row>
    <row r="1635" spans="1:9" ht="14.25" customHeight="1">
      <c r="A1635" s="17"/>
      <c r="B1635" s="17"/>
      <c r="C1635" s="17"/>
      <c r="D1635" s="17"/>
      <c r="E1635" s="17"/>
      <c r="F1635" s="17"/>
      <c r="G1635" s="17"/>
      <c r="H1635" s="17"/>
      <c r="I1635" s="51"/>
    </row>
    <row r="1636" spans="1:9" ht="14.25" customHeight="1">
      <c r="A1636" s="85" t="s">
        <v>0</v>
      </c>
      <c r="B1636" s="81"/>
      <c r="C1636" s="81"/>
      <c r="D1636" s="81"/>
      <c r="E1636" s="81"/>
      <c r="F1636" s="81"/>
      <c r="G1636" s="81"/>
      <c r="H1636" s="82"/>
      <c r="I1636" s="51"/>
    </row>
    <row r="1637" spans="1:9" ht="14.25" customHeight="1">
      <c r="A1637" s="85" t="s">
        <v>503</v>
      </c>
      <c r="B1637" s="81"/>
      <c r="C1637" s="81"/>
      <c r="D1637" s="81"/>
      <c r="E1637" s="81"/>
      <c r="F1637" s="81"/>
      <c r="G1637" s="81"/>
      <c r="H1637" s="82"/>
      <c r="I1637" s="51"/>
    </row>
    <row r="1638" spans="1:9" ht="14.25" customHeight="1">
      <c r="A1638" s="1" t="s">
        <v>2</v>
      </c>
      <c r="B1638" s="1" t="s">
        <v>3</v>
      </c>
      <c r="C1638" s="1" t="s">
        <v>4</v>
      </c>
      <c r="D1638" s="1" t="s">
        <v>5</v>
      </c>
      <c r="E1638" s="1" t="s">
        <v>6</v>
      </c>
      <c r="F1638" s="2" t="s">
        <v>7</v>
      </c>
      <c r="G1638" s="1" t="s">
        <v>8</v>
      </c>
      <c r="H1638" s="1"/>
      <c r="I1638" s="51"/>
    </row>
    <row r="1639" spans="1:9" ht="14.25" customHeight="1">
      <c r="A1639" s="3">
        <v>1</v>
      </c>
      <c r="B1639" s="4" t="s">
        <v>504</v>
      </c>
      <c r="C1639" s="5">
        <v>7781</v>
      </c>
      <c r="D1639" s="4" t="s">
        <v>413</v>
      </c>
      <c r="E1639" s="4">
        <v>2</v>
      </c>
      <c r="F1639" s="6">
        <v>293000</v>
      </c>
      <c r="G1639" s="7">
        <f t="shared" ref="G1639:G1641" si="105">IFERROR(E1639*F1639,0)</f>
        <v>586000</v>
      </c>
      <c r="H1639" s="8"/>
      <c r="I1639" s="51"/>
    </row>
    <row r="1640" spans="1:9" ht="14.25" customHeight="1">
      <c r="A1640" s="3">
        <v>2</v>
      </c>
      <c r="B1640" s="9" t="s">
        <v>286</v>
      </c>
      <c r="C1640" s="20">
        <v>8168</v>
      </c>
      <c r="D1640" s="9" t="s">
        <v>14</v>
      </c>
      <c r="E1640" s="9">
        <v>1.5</v>
      </c>
      <c r="F1640" s="11">
        <v>435000</v>
      </c>
      <c r="G1640" s="7">
        <f t="shared" si="105"/>
        <v>652500</v>
      </c>
      <c r="H1640" s="8"/>
      <c r="I1640" s="51"/>
    </row>
    <row r="1641" spans="1:9" ht="14.25" customHeight="1">
      <c r="A1641" s="3">
        <v>4</v>
      </c>
      <c r="B1641" s="8" t="s">
        <v>17</v>
      </c>
      <c r="C1641" s="8"/>
      <c r="D1641" s="8"/>
      <c r="E1641" s="8"/>
      <c r="F1641" s="8"/>
      <c r="G1641" s="13">
        <f t="shared" si="105"/>
        <v>0</v>
      </c>
      <c r="H1641" s="8"/>
      <c r="I1641" s="51"/>
    </row>
    <row r="1642" spans="1:9" ht="14.25" customHeight="1">
      <c r="A1642" s="86" t="s">
        <v>18</v>
      </c>
      <c r="B1642" s="81"/>
      <c r="C1642" s="81"/>
      <c r="D1642" s="81"/>
      <c r="E1642" s="81"/>
      <c r="F1642" s="81"/>
      <c r="G1642" s="82"/>
      <c r="H1642" s="14">
        <f>SUM(G1639:G1641)</f>
        <v>1238500</v>
      </c>
      <c r="I1642" s="51"/>
    </row>
    <row r="1643" spans="1:9" ht="14.25" customHeight="1">
      <c r="A1643" s="86" t="s">
        <v>19</v>
      </c>
      <c r="B1643" s="81"/>
      <c r="C1643" s="81"/>
      <c r="D1643" s="81"/>
      <c r="E1643" s="81"/>
      <c r="F1643" s="81"/>
      <c r="G1643" s="82"/>
      <c r="H1643" s="14">
        <f>MAX(0,H1642-648000)</f>
        <v>590500</v>
      </c>
      <c r="I1643" s="51"/>
    </row>
    <row r="1644" spans="1:9" ht="14.25" customHeight="1">
      <c r="A1644" s="87" t="s">
        <v>20</v>
      </c>
      <c r="B1644" s="81"/>
      <c r="C1644" s="81"/>
      <c r="D1644" s="81"/>
      <c r="E1644" s="81"/>
      <c r="F1644" s="81"/>
      <c r="G1644" s="82"/>
      <c r="H1644" s="15">
        <v>649000</v>
      </c>
      <c r="I1644" s="51"/>
    </row>
    <row r="1645" spans="1:9" ht="14.25" customHeight="1">
      <c r="A1645" s="85"/>
      <c r="B1645" s="81"/>
      <c r="C1645" s="81"/>
      <c r="D1645" s="81"/>
      <c r="E1645" s="81"/>
      <c r="F1645" s="81"/>
      <c r="G1645" s="81"/>
      <c r="H1645" s="82"/>
      <c r="I1645" s="51"/>
    </row>
    <row r="1646" spans="1:9" ht="14.25" customHeight="1">
      <c r="A1646" s="17"/>
      <c r="B1646" s="17"/>
      <c r="C1646" s="17"/>
      <c r="D1646" s="17"/>
      <c r="E1646" s="17"/>
      <c r="F1646" s="17"/>
      <c r="G1646" s="17"/>
      <c r="H1646" s="17"/>
      <c r="I1646" s="51"/>
    </row>
    <row r="1647" spans="1:9" ht="14.25" customHeight="1">
      <c r="A1647" s="17"/>
      <c r="B1647" s="17"/>
      <c r="C1647" s="17"/>
      <c r="D1647" s="17"/>
      <c r="E1647" s="17"/>
      <c r="F1647" s="17"/>
      <c r="G1647" s="17"/>
      <c r="H1647" s="17"/>
      <c r="I1647" s="51"/>
    </row>
    <row r="1648" spans="1:9" ht="14.25" customHeight="1">
      <c r="A1648" s="17"/>
      <c r="B1648" s="17"/>
      <c r="C1648" s="17"/>
      <c r="D1648" s="17"/>
      <c r="E1648" s="17"/>
      <c r="F1648" s="17"/>
      <c r="G1648" s="17"/>
      <c r="H1648" s="17"/>
      <c r="I1648" s="51"/>
    </row>
    <row r="1649" spans="1:9" ht="14.25" customHeight="1">
      <c r="A1649" s="17"/>
      <c r="B1649" s="17"/>
      <c r="C1649" s="17"/>
      <c r="D1649" s="17"/>
      <c r="E1649" s="17"/>
      <c r="F1649" s="17"/>
      <c r="G1649" s="17"/>
      <c r="H1649" s="17"/>
      <c r="I1649" s="51"/>
    </row>
    <row r="1650" spans="1:9" ht="14.25" customHeight="1">
      <c r="A1650" s="17"/>
      <c r="B1650" s="17"/>
      <c r="C1650" s="17"/>
      <c r="D1650" s="17"/>
      <c r="E1650" s="17"/>
      <c r="F1650" s="17"/>
      <c r="G1650" s="17"/>
      <c r="H1650" s="17"/>
      <c r="I1650" s="51"/>
    </row>
    <row r="1651" spans="1:9" ht="14.25" customHeight="1">
      <c r="A1651" s="85" t="s">
        <v>0</v>
      </c>
      <c r="B1651" s="81"/>
      <c r="C1651" s="81"/>
      <c r="D1651" s="81"/>
      <c r="E1651" s="81"/>
      <c r="F1651" s="81"/>
      <c r="G1651" s="81"/>
      <c r="H1651" s="82"/>
      <c r="I1651" s="51"/>
    </row>
    <row r="1652" spans="1:9" ht="14.25" customHeight="1">
      <c r="A1652" s="85" t="s">
        <v>505</v>
      </c>
      <c r="B1652" s="81"/>
      <c r="C1652" s="81"/>
      <c r="D1652" s="81"/>
      <c r="E1652" s="81"/>
      <c r="F1652" s="81"/>
      <c r="G1652" s="81"/>
      <c r="H1652" s="82"/>
      <c r="I1652" s="51"/>
    </row>
    <row r="1653" spans="1:9" ht="14.25" customHeight="1">
      <c r="A1653" s="1" t="s">
        <v>2</v>
      </c>
      <c r="B1653" s="1" t="s">
        <v>3</v>
      </c>
      <c r="C1653" s="1" t="s">
        <v>4</v>
      </c>
      <c r="D1653" s="1" t="s">
        <v>5</v>
      </c>
      <c r="E1653" s="1" t="s">
        <v>6</v>
      </c>
      <c r="F1653" s="2" t="s">
        <v>7</v>
      </c>
      <c r="G1653" s="1" t="s">
        <v>8</v>
      </c>
      <c r="H1653" s="1"/>
      <c r="I1653" s="51"/>
    </row>
    <row r="1654" spans="1:9" ht="14.25" customHeight="1">
      <c r="A1654" s="3">
        <v>1</v>
      </c>
      <c r="B1654" s="4" t="s">
        <v>351</v>
      </c>
      <c r="C1654" s="5">
        <v>7844</v>
      </c>
      <c r="D1654" s="4" t="s">
        <v>11</v>
      </c>
      <c r="E1654" s="4">
        <v>0.96</v>
      </c>
      <c r="F1654" s="6">
        <v>293000</v>
      </c>
      <c r="G1654" s="7">
        <f t="shared" ref="G1654:G1656" si="106">IFERROR(E1654*F1654,0)</f>
        <v>281280</v>
      </c>
      <c r="H1654" s="8"/>
      <c r="I1654" s="51"/>
    </row>
    <row r="1655" spans="1:9" ht="14.25" customHeight="1">
      <c r="A1655" s="3">
        <v>2</v>
      </c>
      <c r="B1655" s="9" t="s">
        <v>463</v>
      </c>
      <c r="C1655" s="20">
        <v>8040</v>
      </c>
      <c r="D1655" s="9" t="s">
        <v>14</v>
      </c>
      <c r="E1655" s="9">
        <v>2.5</v>
      </c>
      <c r="F1655" s="11">
        <v>435000</v>
      </c>
      <c r="G1655" s="7">
        <f t="shared" si="106"/>
        <v>1087500</v>
      </c>
      <c r="H1655" s="8"/>
      <c r="I1655" s="51"/>
    </row>
    <row r="1656" spans="1:9" ht="14.25" customHeight="1">
      <c r="A1656" s="3">
        <v>4</v>
      </c>
      <c r="B1656" s="8" t="s">
        <v>17</v>
      </c>
      <c r="C1656" s="8"/>
      <c r="D1656" s="8"/>
      <c r="E1656" s="8"/>
      <c r="F1656" s="8"/>
      <c r="G1656" s="13">
        <f t="shared" si="106"/>
        <v>0</v>
      </c>
      <c r="H1656" s="8"/>
      <c r="I1656" s="51"/>
    </row>
    <row r="1657" spans="1:9" ht="14.25" customHeight="1">
      <c r="A1657" s="86" t="s">
        <v>18</v>
      </c>
      <c r="B1657" s="81"/>
      <c r="C1657" s="81"/>
      <c r="D1657" s="81"/>
      <c r="E1657" s="81"/>
      <c r="F1657" s="81"/>
      <c r="G1657" s="82"/>
      <c r="H1657" s="14">
        <f>SUM(G1654:G1656)</f>
        <v>1368780</v>
      </c>
      <c r="I1657" s="51"/>
    </row>
    <row r="1658" spans="1:9" ht="14.25" customHeight="1">
      <c r="A1658" s="86" t="s">
        <v>19</v>
      </c>
      <c r="B1658" s="81"/>
      <c r="C1658" s="81"/>
      <c r="D1658" s="81"/>
      <c r="E1658" s="81"/>
      <c r="F1658" s="81"/>
      <c r="G1658" s="82"/>
      <c r="H1658" s="14">
        <f>MAX(0,H1657-648000)</f>
        <v>720780</v>
      </c>
      <c r="I1658" s="51"/>
    </row>
    <row r="1659" spans="1:9" ht="14.25" customHeight="1">
      <c r="A1659" s="87" t="s">
        <v>20</v>
      </c>
      <c r="B1659" s="81"/>
      <c r="C1659" s="81"/>
      <c r="D1659" s="81"/>
      <c r="E1659" s="81"/>
      <c r="F1659" s="81"/>
      <c r="G1659" s="82"/>
      <c r="H1659" s="15">
        <v>649000</v>
      </c>
      <c r="I1659" s="51"/>
    </row>
    <row r="1660" spans="1:9" ht="14.25" customHeight="1">
      <c r="A1660" s="85"/>
      <c r="B1660" s="81"/>
      <c r="C1660" s="81"/>
      <c r="D1660" s="81"/>
      <c r="E1660" s="81"/>
      <c r="F1660" s="81"/>
      <c r="G1660" s="81"/>
      <c r="H1660" s="82"/>
      <c r="I1660" s="51"/>
    </row>
    <row r="1661" spans="1:9" ht="14.25" customHeight="1">
      <c r="A1661" s="17"/>
      <c r="B1661" s="17"/>
      <c r="C1661" s="17"/>
      <c r="D1661" s="17"/>
      <c r="E1661" s="17"/>
      <c r="F1661" s="17"/>
      <c r="G1661" s="17"/>
      <c r="H1661" s="17"/>
      <c r="I1661" s="51"/>
    </row>
    <row r="1662" spans="1:9" ht="14.25" customHeight="1">
      <c r="A1662" s="17"/>
      <c r="B1662" s="17"/>
      <c r="C1662" s="17"/>
      <c r="D1662" s="17"/>
      <c r="E1662" s="17"/>
      <c r="F1662" s="17"/>
      <c r="G1662" s="17"/>
      <c r="H1662" s="17"/>
      <c r="I1662" s="51"/>
    </row>
    <row r="1663" spans="1:9" ht="14.25" customHeight="1">
      <c r="A1663" s="17"/>
      <c r="B1663" s="17"/>
      <c r="C1663" s="17"/>
      <c r="D1663" s="17"/>
      <c r="E1663" s="17"/>
      <c r="F1663" s="17"/>
      <c r="G1663" s="17"/>
      <c r="H1663" s="17"/>
      <c r="I1663" s="51"/>
    </row>
    <row r="1664" spans="1:9" ht="14.25" customHeight="1">
      <c r="A1664" s="17"/>
      <c r="B1664" s="17"/>
      <c r="C1664" s="17"/>
      <c r="D1664" s="17"/>
      <c r="E1664" s="17"/>
      <c r="F1664" s="17"/>
      <c r="G1664" s="17"/>
      <c r="H1664" s="17"/>
      <c r="I1664" s="51"/>
    </row>
    <row r="1665" spans="1:26" ht="14.25" customHeight="1">
      <c r="A1665" s="17"/>
      <c r="B1665" s="17"/>
      <c r="C1665" s="17"/>
      <c r="D1665" s="17"/>
      <c r="E1665" s="17"/>
      <c r="F1665" s="17"/>
      <c r="G1665" s="17"/>
      <c r="H1665" s="17"/>
      <c r="I1665" s="51"/>
    </row>
    <row r="1666" spans="1:26" ht="14.25" customHeight="1">
      <c r="A1666" s="17"/>
      <c r="B1666" s="17"/>
      <c r="C1666" s="17"/>
      <c r="D1666" s="17"/>
      <c r="E1666" s="17"/>
      <c r="F1666" s="17"/>
      <c r="G1666" s="17"/>
      <c r="H1666" s="17"/>
      <c r="I1666" s="51"/>
    </row>
    <row r="1667" spans="1:26" ht="14.25" customHeight="1">
      <c r="A1667" s="17"/>
      <c r="B1667" s="17"/>
      <c r="C1667" s="17"/>
      <c r="D1667" s="17"/>
      <c r="E1667" s="17"/>
      <c r="F1667" s="17"/>
      <c r="G1667" s="17"/>
      <c r="H1667" s="17"/>
      <c r="I1667" s="51"/>
    </row>
    <row r="1668" spans="1:26" ht="14.25" customHeight="1">
      <c r="A1668" s="80" t="s">
        <v>0</v>
      </c>
      <c r="B1668" s="81"/>
      <c r="C1668" s="81"/>
      <c r="D1668" s="81"/>
      <c r="E1668" s="81"/>
      <c r="F1668" s="81"/>
      <c r="G1668" s="81"/>
      <c r="H1668" s="82"/>
      <c r="I1668" s="51"/>
      <c r="J1668" s="32"/>
      <c r="K1668" s="32"/>
      <c r="L1668" s="32"/>
      <c r="M1668" s="32"/>
      <c r="N1668" s="32"/>
      <c r="O1668" s="32"/>
      <c r="P1668" s="32"/>
      <c r="Q1668" s="32"/>
      <c r="R1668" s="32"/>
      <c r="S1668" s="32"/>
      <c r="T1668" s="32"/>
      <c r="U1668" s="32"/>
      <c r="V1668" s="32"/>
      <c r="W1668" s="32"/>
      <c r="X1668" s="32"/>
      <c r="Y1668" s="32"/>
      <c r="Z1668" s="32"/>
    </row>
    <row r="1669" spans="1:26" ht="14.25" customHeight="1">
      <c r="A1669" s="80" t="s">
        <v>506</v>
      </c>
      <c r="B1669" s="81"/>
      <c r="C1669" s="81"/>
      <c r="D1669" s="81"/>
      <c r="E1669" s="81"/>
      <c r="F1669" s="81"/>
      <c r="G1669" s="81"/>
      <c r="H1669" s="82"/>
      <c r="I1669" s="51"/>
      <c r="J1669" s="32"/>
      <c r="K1669" s="32"/>
      <c r="L1669" s="32"/>
      <c r="M1669" s="32"/>
      <c r="N1669" s="32"/>
      <c r="O1669" s="32"/>
      <c r="P1669" s="32"/>
      <c r="Q1669" s="32"/>
      <c r="R1669" s="32"/>
      <c r="S1669" s="32"/>
      <c r="T1669" s="32"/>
      <c r="U1669" s="32"/>
      <c r="V1669" s="32"/>
      <c r="W1669" s="32"/>
      <c r="X1669" s="32"/>
      <c r="Y1669" s="32"/>
      <c r="Z1669" s="32"/>
    </row>
    <row r="1670" spans="1:26" ht="14.25" customHeight="1">
      <c r="A1670" s="33" t="s">
        <v>2</v>
      </c>
      <c r="B1670" s="33" t="s">
        <v>3</v>
      </c>
      <c r="C1670" s="33" t="s">
        <v>4</v>
      </c>
      <c r="D1670" s="33" t="s">
        <v>5</v>
      </c>
      <c r="E1670" s="33" t="s">
        <v>6</v>
      </c>
      <c r="F1670" s="34" t="s">
        <v>7</v>
      </c>
      <c r="G1670" s="33" t="s">
        <v>8</v>
      </c>
      <c r="H1670" s="35"/>
      <c r="I1670" s="51"/>
      <c r="J1670" s="32"/>
      <c r="K1670" s="32"/>
      <c r="L1670" s="32"/>
      <c r="M1670" s="32"/>
      <c r="N1670" s="32"/>
      <c r="O1670" s="32"/>
      <c r="P1670" s="32"/>
      <c r="Q1670" s="32"/>
      <c r="R1670" s="32"/>
      <c r="S1670" s="32"/>
      <c r="T1670" s="32"/>
      <c r="U1670" s="32"/>
      <c r="V1670" s="32"/>
      <c r="W1670" s="32"/>
      <c r="X1670" s="32"/>
      <c r="Y1670" s="32"/>
      <c r="Z1670" s="32"/>
    </row>
    <row r="1671" spans="1:26" ht="14.25" customHeight="1">
      <c r="A1671" s="36">
        <v>1</v>
      </c>
      <c r="B1671" s="18" t="s">
        <v>38</v>
      </c>
      <c r="C1671" s="5">
        <v>7779</v>
      </c>
      <c r="D1671" s="18" t="s">
        <v>11</v>
      </c>
      <c r="E1671" s="18">
        <v>2.7</v>
      </c>
      <c r="F1671" s="6">
        <v>293000</v>
      </c>
      <c r="G1671" s="37">
        <f t="shared" ref="G1671:G1673" si="107">IFERROR(E1671*F1671,0)</f>
        <v>791100</v>
      </c>
      <c r="H1671" s="38"/>
      <c r="I1671" s="51"/>
      <c r="J1671" s="32"/>
      <c r="K1671" s="32"/>
      <c r="L1671" s="32"/>
      <c r="M1671" s="32"/>
      <c r="N1671" s="32"/>
      <c r="O1671" s="32"/>
      <c r="P1671" s="32"/>
      <c r="Q1671" s="32"/>
      <c r="R1671" s="32"/>
      <c r="S1671" s="32"/>
      <c r="T1671" s="32"/>
      <c r="U1671" s="32"/>
      <c r="V1671" s="32"/>
      <c r="W1671" s="32"/>
      <c r="X1671" s="32"/>
      <c r="Y1671" s="32"/>
      <c r="Z1671" s="32"/>
    </row>
    <row r="1672" spans="1:26" ht="14.25" customHeight="1">
      <c r="A1672" s="36">
        <v>2</v>
      </c>
      <c r="B1672" s="12" t="s">
        <v>33</v>
      </c>
      <c r="C1672" s="10">
        <v>8066</v>
      </c>
      <c r="D1672" s="12" t="s">
        <v>14</v>
      </c>
      <c r="E1672" s="12">
        <v>0.9</v>
      </c>
      <c r="F1672" s="43">
        <v>435000</v>
      </c>
      <c r="G1672" s="37">
        <f t="shared" si="107"/>
        <v>391500</v>
      </c>
      <c r="H1672" s="38"/>
      <c r="I1672" s="51"/>
      <c r="J1672" s="32"/>
      <c r="K1672" s="32"/>
      <c r="L1672" s="32"/>
      <c r="M1672" s="32"/>
      <c r="N1672" s="32"/>
      <c r="O1672" s="32"/>
      <c r="P1672" s="32"/>
      <c r="Q1672" s="32"/>
      <c r="R1672" s="32"/>
      <c r="S1672" s="32"/>
      <c r="T1672" s="32"/>
      <c r="U1672" s="32"/>
      <c r="V1672" s="32"/>
      <c r="W1672" s="32"/>
      <c r="X1672" s="32"/>
      <c r="Y1672" s="32"/>
      <c r="Z1672" s="32"/>
    </row>
    <row r="1673" spans="1:26" ht="14.25" customHeight="1">
      <c r="A1673" s="36">
        <v>4</v>
      </c>
      <c r="B1673" s="39" t="s">
        <v>17</v>
      </c>
      <c r="C1673" s="38"/>
      <c r="D1673" s="38"/>
      <c r="E1673" s="38"/>
      <c r="F1673" s="60"/>
      <c r="G1673" s="37">
        <f t="shared" si="107"/>
        <v>0</v>
      </c>
      <c r="H1673" s="38"/>
      <c r="I1673" s="51"/>
      <c r="J1673" s="32"/>
      <c r="K1673" s="32"/>
      <c r="L1673" s="32"/>
      <c r="M1673" s="32"/>
      <c r="N1673" s="32"/>
      <c r="O1673" s="32"/>
      <c r="P1673" s="32"/>
      <c r="Q1673" s="32"/>
      <c r="R1673" s="32"/>
      <c r="S1673" s="32"/>
      <c r="T1673" s="32"/>
      <c r="U1673" s="32"/>
      <c r="V1673" s="32"/>
      <c r="W1673" s="32"/>
      <c r="X1673" s="32"/>
      <c r="Y1673" s="32"/>
      <c r="Z1673" s="32"/>
    </row>
    <row r="1674" spans="1:26" ht="14.25" customHeight="1">
      <c r="A1674" s="83" t="s">
        <v>18</v>
      </c>
      <c r="B1674" s="81"/>
      <c r="C1674" s="81"/>
      <c r="D1674" s="81"/>
      <c r="E1674" s="81"/>
      <c r="F1674" s="81"/>
      <c r="G1674" s="82"/>
      <c r="H1674" s="41">
        <f>SUM(G1671:G1673)</f>
        <v>1182600</v>
      </c>
      <c r="I1674" s="51"/>
      <c r="J1674" s="32"/>
      <c r="K1674" s="32"/>
      <c r="L1674" s="32"/>
      <c r="M1674" s="32"/>
      <c r="N1674" s="32"/>
      <c r="O1674" s="32"/>
      <c r="P1674" s="32"/>
      <c r="Q1674" s="32"/>
      <c r="R1674" s="32"/>
      <c r="S1674" s="32"/>
      <c r="T1674" s="32"/>
      <c r="U1674" s="32"/>
      <c r="V1674" s="32"/>
      <c r="W1674" s="32"/>
      <c r="X1674" s="32"/>
      <c r="Y1674" s="32"/>
      <c r="Z1674" s="32"/>
    </row>
    <row r="1675" spans="1:26" ht="14.25" customHeight="1">
      <c r="A1675" s="83" t="s">
        <v>19</v>
      </c>
      <c r="B1675" s="81"/>
      <c r="C1675" s="81"/>
      <c r="D1675" s="81"/>
      <c r="E1675" s="81"/>
      <c r="F1675" s="81"/>
      <c r="G1675" s="82"/>
      <c r="H1675" s="41">
        <f>MAX(0,H1674-648000)</f>
        <v>534600</v>
      </c>
      <c r="I1675" s="51"/>
      <c r="J1675" s="32"/>
      <c r="K1675" s="32"/>
      <c r="L1675" s="32"/>
      <c r="M1675" s="32"/>
      <c r="N1675" s="32"/>
      <c r="O1675" s="32"/>
      <c r="P1675" s="32"/>
      <c r="Q1675" s="32"/>
      <c r="R1675" s="32"/>
      <c r="S1675" s="32"/>
      <c r="T1675" s="32"/>
      <c r="U1675" s="32"/>
      <c r="V1675" s="32"/>
      <c r="W1675" s="32"/>
      <c r="X1675" s="32"/>
      <c r="Y1675" s="32"/>
      <c r="Z1675" s="32"/>
    </row>
    <row r="1676" spans="1:26" ht="14.25" customHeight="1">
      <c r="A1676" s="84" t="s">
        <v>20</v>
      </c>
      <c r="B1676" s="81"/>
      <c r="C1676" s="81"/>
      <c r="D1676" s="81"/>
      <c r="E1676" s="81"/>
      <c r="F1676" s="81"/>
      <c r="G1676" s="82"/>
      <c r="H1676" s="42">
        <v>649000</v>
      </c>
      <c r="I1676" s="51"/>
      <c r="J1676" s="32"/>
      <c r="K1676" s="32"/>
      <c r="L1676" s="32"/>
      <c r="M1676" s="32"/>
      <c r="N1676" s="32"/>
      <c r="O1676" s="32"/>
      <c r="P1676" s="32"/>
      <c r="Q1676" s="32"/>
      <c r="R1676" s="32"/>
      <c r="S1676" s="32"/>
      <c r="T1676" s="32"/>
      <c r="U1676" s="32"/>
      <c r="V1676" s="32"/>
      <c r="W1676" s="32"/>
      <c r="X1676" s="32"/>
      <c r="Y1676" s="32"/>
      <c r="Z1676" s="32"/>
    </row>
    <row r="1677" spans="1:26" ht="14.25" customHeight="1">
      <c r="A1677" s="80"/>
      <c r="B1677" s="81"/>
      <c r="C1677" s="81"/>
      <c r="D1677" s="81"/>
      <c r="E1677" s="81"/>
      <c r="F1677" s="81"/>
      <c r="G1677" s="81"/>
      <c r="H1677" s="82"/>
      <c r="I1677" s="51"/>
      <c r="J1677" s="32"/>
      <c r="K1677" s="32"/>
      <c r="L1677" s="32"/>
      <c r="M1677" s="32"/>
      <c r="N1677" s="32"/>
      <c r="O1677" s="32"/>
      <c r="P1677" s="32"/>
      <c r="Q1677" s="32"/>
      <c r="R1677" s="32"/>
      <c r="S1677" s="32"/>
      <c r="T1677" s="32"/>
      <c r="U1677" s="32"/>
      <c r="V1677" s="32"/>
      <c r="W1677" s="32"/>
      <c r="X1677" s="32"/>
      <c r="Y1677" s="32"/>
      <c r="Z1677" s="32"/>
    </row>
    <row r="1678" spans="1:26" ht="14.25" customHeight="1">
      <c r="A1678" s="17"/>
      <c r="B1678" s="17"/>
      <c r="C1678" s="17"/>
      <c r="D1678" s="17"/>
      <c r="E1678" s="17"/>
      <c r="F1678" s="17"/>
      <c r="G1678" s="17"/>
      <c r="H1678" s="17"/>
      <c r="I1678" s="51"/>
    </row>
    <row r="1679" spans="1:26" ht="14.25" customHeight="1">
      <c r="A1679" s="17"/>
      <c r="B1679" s="17"/>
      <c r="C1679" s="17"/>
      <c r="D1679" s="17"/>
      <c r="E1679" s="17"/>
      <c r="F1679" s="17"/>
      <c r="G1679" s="17"/>
      <c r="H1679" s="17"/>
      <c r="I1679" s="51"/>
    </row>
    <row r="1680" spans="1:26" ht="14.25" customHeight="1">
      <c r="A1680" s="17"/>
      <c r="B1680" s="17"/>
      <c r="C1680" s="17"/>
      <c r="D1680" s="17"/>
      <c r="E1680" s="17"/>
      <c r="F1680" s="17"/>
      <c r="G1680" s="17"/>
      <c r="H1680" s="17"/>
      <c r="I1680" s="51"/>
    </row>
    <row r="1681" spans="1:26" ht="14.25" customHeight="1">
      <c r="A1681" s="17"/>
      <c r="B1681" s="17"/>
      <c r="C1681" s="17"/>
      <c r="D1681" s="17"/>
      <c r="E1681" s="17"/>
      <c r="F1681" s="17"/>
      <c r="G1681" s="17"/>
      <c r="H1681" s="17"/>
      <c r="I1681" s="51"/>
    </row>
    <row r="1682" spans="1:26" ht="14.25" customHeight="1">
      <c r="A1682" s="17"/>
      <c r="B1682" s="17"/>
      <c r="C1682" s="17"/>
      <c r="D1682" s="17"/>
      <c r="E1682" s="17"/>
      <c r="F1682" s="17"/>
      <c r="G1682" s="17"/>
      <c r="H1682" s="17"/>
      <c r="I1682" s="51"/>
    </row>
    <row r="1683" spans="1:26" ht="14.25" customHeight="1">
      <c r="A1683" s="17"/>
      <c r="B1683" s="17"/>
      <c r="C1683" s="17"/>
      <c r="D1683" s="17"/>
      <c r="E1683" s="17"/>
      <c r="F1683" s="17"/>
      <c r="G1683" s="17"/>
      <c r="H1683" s="17"/>
      <c r="I1683" s="51"/>
    </row>
    <row r="1684" spans="1:26" ht="14.25" customHeight="1">
      <c r="A1684" s="80" t="s">
        <v>0</v>
      </c>
      <c r="B1684" s="81"/>
      <c r="C1684" s="81"/>
      <c r="D1684" s="81"/>
      <c r="E1684" s="81"/>
      <c r="F1684" s="81"/>
      <c r="G1684" s="81"/>
      <c r="H1684" s="82"/>
      <c r="I1684" s="51"/>
      <c r="J1684" s="32"/>
      <c r="K1684" s="32"/>
      <c r="L1684" s="32"/>
      <c r="M1684" s="32"/>
      <c r="N1684" s="32"/>
      <c r="O1684" s="32"/>
      <c r="P1684" s="32"/>
      <c r="Q1684" s="32"/>
      <c r="R1684" s="32"/>
      <c r="S1684" s="32"/>
      <c r="T1684" s="32"/>
      <c r="U1684" s="32"/>
      <c r="V1684" s="32"/>
      <c r="W1684" s="32"/>
      <c r="X1684" s="32"/>
      <c r="Y1684" s="32"/>
      <c r="Z1684" s="32"/>
    </row>
    <row r="1685" spans="1:26" ht="14.25" customHeight="1">
      <c r="A1685" s="80" t="s">
        <v>507</v>
      </c>
      <c r="B1685" s="81"/>
      <c r="C1685" s="81"/>
      <c r="D1685" s="81"/>
      <c r="E1685" s="81"/>
      <c r="F1685" s="81"/>
      <c r="G1685" s="81"/>
      <c r="H1685" s="82"/>
      <c r="I1685" s="51"/>
      <c r="J1685" s="32"/>
      <c r="K1685" s="32"/>
      <c r="L1685" s="32"/>
      <c r="M1685" s="32"/>
      <c r="N1685" s="32"/>
      <c r="O1685" s="32"/>
      <c r="P1685" s="32"/>
      <c r="Q1685" s="32"/>
      <c r="R1685" s="32"/>
      <c r="S1685" s="32"/>
      <c r="T1685" s="32"/>
      <c r="U1685" s="32"/>
      <c r="V1685" s="32"/>
      <c r="W1685" s="32"/>
      <c r="X1685" s="32"/>
      <c r="Y1685" s="32"/>
      <c r="Z1685" s="32"/>
    </row>
    <row r="1686" spans="1:26" ht="14.25" customHeight="1">
      <c r="A1686" s="33" t="s">
        <v>2</v>
      </c>
      <c r="B1686" s="33" t="s">
        <v>3</v>
      </c>
      <c r="C1686" s="33" t="s">
        <v>4</v>
      </c>
      <c r="D1686" s="33" t="s">
        <v>5</v>
      </c>
      <c r="E1686" s="33" t="s">
        <v>6</v>
      </c>
      <c r="F1686" s="34" t="s">
        <v>7</v>
      </c>
      <c r="G1686" s="33" t="s">
        <v>8</v>
      </c>
      <c r="H1686" s="35"/>
      <c r="I1686" s="51"/>
      <c r="J1686" s="32"/>
      <c r="K1686" s="32"/>
      <c r="L1686" s="32"/>
      <c r="M1686" s="32"/>
      <c r="N1686" s="32"/>
      <c r="O1686" s="32"/>
      <c r="P1686" s="32"/>
      <c r="Q1686" s="32"/>
      <c r="R1686" s="32"/>
      <c r="S1686" s="32"/>
      <c r="T1686" s="32"/>
      <c r="U1686" s="32"/>
      <c r="V1686" s="32"/>
      <c r="W1686" s="32"/>
      <c r="X1686" s="32"/>
      <c r="Y1686" s="32"/>
      <c r="Z1686" s="32"/>
    </row>
    <row r="1687" spans="1:26" ht="14.25" customHeight="1">
      <c r="A1687" s="36">
        <v>1</v>
      </c>
      <c r="B1687" s="18" t="s">
        <v>166</v>
      </c>
      <c r="C1687" s="5">
        <v>7836</v>
      </c>
      <c r="D1687" s="18" t="s">
        <v>11</v>
      </c>
      <c r="E1687" s="18">
        <v>1.5</v>
      </c>
      <c r="F1687" s="6">
        <v>293000</v>
      </c>
      <c r="G1687" s="37">
        <f t="shared" ref="G1687:G1689" si="108">IFERROR(E1687*F1687,0)</f>
        <v>439500</v>
      </c>
      <c r="H1687" s="38"/>
      <c r="I1687" s="51"/>
      <c r="J1687" s="32"/>
      <c r="K1687" s="32"/>
      <c r="L1687" s="32"/>
      <c r="M1687" s="32"/>
      <c r="N1687" s="32"/>
      <c r="O1687" s="32"/>
      <c r="P1687" s="32"/>
      <c r="Q1687" s="32"/>
      <c r="R1687" s="32"/>
      <c r="S1687" s="32"/>
      <c r="T1687" s="32"/>
      <c r="U1687" s="32"/>
      <c r="V1687" s="32"/>
      <c r="W1687" s="32"/>
      <c r="X1687" s="32"/>
      <c r="Y1687" s="32"/>
      <c r="Z1687" s="32"/>
    </row>
    <row r="1688" spans="1:26" ht="14.25" customHeight="1">
      <c r="A1688" s="36">
        <v>2</v>
      </c>
      <c r="B1688" s="12" t="s">
        <v>508</v>
      </c>
      <c r="C1688" s="10">
        <v>8064</v>
      </c>
      <c r="D1688" s="12" t="s">
        <v>509</v>
      </c>
      <c r="E1688" s="12">
        <v>2</v>
      </c>
      <c r="F1688" s="43">
        <v>435000</v>
      </c>
      <c r="G1688" s="37">
        <f t="shared" si="108"/>
        <v>870000</v>
      </c>
      <c r="H1688" s="38"/>
      <c r="I1688" s="51"/>
      <c r="J1688" s="32"/>
      <c r="K1688" s="32"/>
      <c r="L1688" s="32"/>
      <c r="M1688" s="32"/>
      <c r="N1688" s="32"/>
      <c r="O1688" s="32"/>
      <c r="P1688" s="32"/>
      <c r="Q1688" s="32"/>
      <c r="R1688" s="32"/>
      <c r="S1688" s="32"/>
      <c r="T1688" s="32"/>
      <c r="U1688" s="32"/>
      <c r="V1688" s="32"/>
      <c r="W1688" s="32"/>
      <c r="X1688" s="32"/>
      <c r="Y1688" s="32"/>
      <c r="Z1688" s="32"/>
    </row>
    <row r="1689" spans="1:26" ht="14.25" customHeight="1">
      <c r="A1689" s="36">
        <v>4</v>
      </c>
      <c r="B1689" s="39" t="s">
        <v>17</v>
      </c>
      <c r="C1689" s="38"/>
      <c r="D1689" s="38"/>
      <c r="E1689" s="38"/>
      <c r="F1689" s="60"/>
      <c r="G1689" s="37">
        <f t="shared" si="108"/>
        <v>0</v>
      </c>
      <c r="H1689" s="38"/>
      <c r="I1689" s="51"/>
      <c r="J1689" s="32"/>
      <c r="K1689" s="32"/>
      <c r="L1689" s="32"/>
      <c r="M1689" s="32"/>
      <c r="N1689" s="32"/>
      <c r="O1689" s="32"/>
      <c r="P1689" s="32"/>
      <c r="Q1689" s="32"/>
      <c r="R1689" s="32"/>
      <c r="S1689" s="32"/>
      <c r="T1689" s="32"/>
      <c r="U1689" s="32"/>
      <c r="V1689" s="32"/>
      <c r="W1689" s="32"/>
      <c r="X1689" s="32"/>
      <c r="Y1689" s="32"/>
      <c r="Z1689" s="32"/>
    </row>
    <row r="1690" spans="1:26" ht="14.25" customHeight="1">
      <c r="A1690" s="83" t="s">
        <v>18</v>
      </c>
      <c r="B1690" s="81"/>
      <c r="C1690" s="81"/>
      <c r="D1690" s="81"/>
      <c r="E1690" s="81"/>
      <c r="F1690" s="81"/>
      <c r="G1690" s="82"/>
      <c r="H1690" s="41">
        <f>SUM(G1687:G1689)</f>
        <v>1309500</v>
      </c>
      <c r="I1690" s="51"/>
      <c r="J1690" s="32"/>
      <c r="K1690" s="32"/>
      <c r="L1690" s="32"/>
      <c r="M1690" s="32"/>
      <c r="N1690" s="32"/>
      <c r="O1690" s="32"/>
      <c r="P1690" s="32"/>
      <c r="Q1690" s="32"/>
      <c r="R1690" s="32"/>
      <c r="S1690" s="32"/>
      <c r="T1690" s="32"/>
      <c r="U1690" s="32"/>
      <c r="V1690" s="32"/>
      <c r="W1690" s="32"/>
      <c r="X1690" s="32"/>
      <c r="Y1690" s="32"/>
      <c r="Z1690" s="32"/>
    </row>
    <row r="1691" spans="1:26" ht="14.25" customHeight="1">
      <c r="A1691" s="83" t="s">
        <v>19</v>
      </c>
      <c r="B1691" s="81"/>
      <c r="C1691" s="81"/>
      <c r="D1691" s="81"/>
      <c r="E1691" s="81"/>
      <c r="F1691" s="81"/>
      <c r="G1691" s="82"/>
      <c r="H1691" s="41">
        <f>MAX(0,H1690-648000)</f>
        <v>661500</v>
      </c>
      <c r="I1691" s="51"/>
      <c r="J1691" s="32"/>
      <c r="K1691" s="32"/>
      <c r="L1691" s="32"/>
      <c r="M1691" s="32"/>
      <c r="N1691" s="32"/>
      <c r="O1691" s="32"/>
      <c r="P1691" s="32"/>
      <c r="Q1691" s="32"/>
      <c r="R1691" s="32"/>
      <c r="S1691" s="32"/>
      <c r="T1691" s="32"/>
      <c r="U1691" s="32"/>
      <c r="V1691" s="32"/>
      <c r="W1691" s="32"/>
      <c r="X1691" s="32"/>
      <c r="Y1691" s="32"/>
      <c r="Z1691" s="32"/>
    </row>
    <row r="1692" spans="1:26" ht="14.25" customHeight="1">
      <c r="A1692" s="84" t="s">
        <v>20</v>
      </c>
      <c r="B1692" s="81"/>
      <c r="C1692" s="81"/>
      <c r="D1692" s="81"/>
      <c r="E1692" s="81"/>
      <c r="F1692" s="81"/>
      <c r="G1692" s="82"/>
      <c r="H1692" s="42">
        <v>649000</v>
      </c>
      <c r="I1692" s="51"/>
      <c r="J1692" s="32"/>
      <c r="K1692" s="32"/>
      <c r="L1692" s="32"/>
      <c r="M1692" s="32"/>
      <c r="N1692" s="32"/>
      <c r="O1692" s="32"/>
      <c r="P1692" s="32"/>
      <c r="Q1692" s="32"/>
      <c r="R1692" s="32"/>
      <c r="S1692" s="32"/>
      <c r="T1692" s="32"/>
      <c r="U1692" s="32"/>
      <c r="V1692" s="32"/>
      <c r="W1692" s="32"/>
      <c r="X1692" s="32"/>
      <c r="Y1692" s="32"/>
      <c r="Z1692" s="32"/>
    </row>
    <row r="1693" spans="1:26" ht="14.25" customHeight="1">
      <c r="A1693" s="80"/>
      <c r="B1693" s="81"/>
      <c r="C1693" s="81"/>
      <c r="D1693" s="81"/>
      <c r="E1693" s="81"/>
      <c r="F1693" s="81"/>
      <c r="G1693" s="81"/>
      <c r="H1693" s="82"/>
      <c r="I1693" s="51"/>
      <c r="J1693" s="32"/>
      <c r="K1693" s="32"/>
      <c r="L1693" s="32"/>
      <c r="M1693" s="32"/>
      <c r="N1693" s="32"/>
      <c r="O1693" s="32"/>
      <c r="P1693" s="32"/>
      <c r="Q1693" s="32"/>
      <c r="R1693" s="32"/>
      <c r="S1693" s="32"/>
      <c r="T1693" s="32"/>
      <c r="U1693" s="32"/>
      <c r="V1693" s="32"/>
      <c r="W1693" s="32"/>
      <c r="X1693" s="32"/>
      <c r="Y1693" s="32"/>
      <c r="Z1693" s="32"/>
    </row>
    <row r="1694" spans="1:26" ht="14.25" customHeight="1">
      <c r="A1694" s="17"/>
      <c r="B1694" s="17"/>
      <c r="C1694" s="17"/>
      <c r="D1694" s="17"/>
      <c r="E1694" s="17"/>
      <c r="F1694" s="17"/>
      <c r="G1694" s="17"/>
      <c r="H1694" s="17"/>
      <c r="I1694" s="51"/>
    </row>
    <row r="1695" spans="1:26" ht="14.25" customHeight="1">
      <c r="A1695" s="17"/>
      <c r="B1695" s="17"/>
      <c r="C1695" s="17"/>
      <c r="D1695" s="17"/>
      <c r="E1695" s="17"/>
      <c r="F1695" s="17"/>
      <c r="G1695" s="17"/>
      <c r="H1695" s="17"/>
      <c r="I1695" s="51"/>
    </row>
    <row r="1696" spans="1:26" ht="14.25" customHeight="1">
      <c r="A1696" s="17"/>
      <c r="B1696" s="17"/>
      <c r="C1696" s="17"/>
      <c r="D1696" s="17"/>
      <c r="E1696" s="17"/>
      <c r="F1696" s="17"/>
      <c r="G1696" s="17"/>
      <c r="H1696" s="17"/>
      <c r="I1696" s="51"/>
    </row>
    <row r="1697" spans="1:26" ht="14.25" customHeight="1">
      <c r="A1697" s="17"/>
      <c r="B1697" s="17"/>
      <c r="C1697" s="17"/>
      <c r="D1697" s="17"/>
      <c r="E1697" s="17"/>
      <c r="F1697" s="17"/>
      <c r="G1697" s="17"/>
      <c r="H1697" s="17"/>
      <c r="I1697" s="51"/>
    </row>
    <row r="1698" spans="1:26" ht="14.25" customHeight="1">
      <c r="A1698" s="17"/>
      <c r="B1698" s="17"/>
      <c r="C1698" s="17"/>
      <c r="D1698" s="17"/>
      <c r="E1698" s="17"/>
      <c r="F1698" s="17"/>
      <c r="G1698" s="17"/>
      <c r="H1698" s="17"/>
      <c r="I1698" s="51"/>
    </row>
    <row r="1699" spans="1:26" ht="14.25" customHeight="1">
      <c r="A1699" s="17"/>
      <c r="B1699" s="17"/>
      <c r="C1699" s="17"/>
      <c r="D1699" s="17"/>
      <c r="E1699" s="17"/>
      <c r="F1699" s="17"/>
      <c r="G1699" s="17"/>
      <c r="H1699" s="17"/>
      <c r="I1699" s="51"/>
    </row>
    <row r="1700" spans="1:26" ht="14.25" customHeight="1">
      <c r="A1700" s="17"/>
      <c r="B1700" s="17"/>
      <c r="C1700" s="17"/>
      <c r="D1700" s="17"/>
      <c r="E1700" s="17"/>
      <c r="F1700" s="17"/>
      <c r="G1700" s="17"/>
      <c r="H1700" s="17"/>
      <c r="I1700" s="51"/>
    </row>
    <row r="1701" spans="1:26" ht="14.25" customHeight="1">
      <c r="A1701" s="17"/>
      <c r="B1701" s="17"/>
      <c r="C1701" s="17"/>
      <c r="D1701" s="17"/>
      <c r="E1701" s="17"/>
      <c r="F1701" s="17"/>
      <c r="G1701" s="17"/>
      <c r="H1701" s="17"/>
      <c r="I1701" s="51"/>
    </row>
    <row r="1702" spans="1:26" ht="14.25" customHeight="1">
      <c r="A1702" s="17"/>
      <c r="B1702" s="17"/>
      <c r="C1702" s="17"/>
      <c r="D1702" s="17"/>
      <c r="E1702" s="17"/>
      <c r="F1702" s="17"/>
      <c r="G1702" s="17"/>
      <c r="H1702" s="17"/>
      <c r="I1702" s="51"/>
    </row>
    <row r="1703" spans="1:26" ht="14.25" customHeight="1">
      <c r="A1703" s="17"/>
      <c r="B1703" s="17"/>
      <c r="C1703" s="17"/>
      <c r="D1703" s="17"/>
      <c r="E1703" s="17"/>
      <c r="F1703" s="17"/>
      <c r="G1703" s="17"/>
      <c r="H1703" s="17"/>
      <c r="I1703" s="51"/>
    </row>
    <row r="1704" spans="1:26" ht="14.25" customHeight="1">
      <c r="A1704" s="17"/>
      <c r="B1704" s="17"/>
      <c r="C1704" s="17"/>
      <c r="D1704" s="17"/>
      <c r="E1704" s="17"/>
      <c r="F1704" s="17"/>
      <c r="G1704" s="17"/>
      <c r="H1704" s="17"/>
      <c r="I1704" s="51"/>
    </row>
    <row r="1705" spans="1:26" ht="14.25" customHeight="1">
      <c r="A1705" s="17"/>
      <c r="B1705" s="17"/>
      <c r="C1705" s="17"/>
      <c r="D1705" s="17"/>
      <c r="E1705" s="17"/>
      <c r="F1705" s="17"/>
      <c r="G1705" s="17"/>
      <c r="H1705" s="17"/>
      <c r="I1705" s="51"/>
    </row>
    <row r="1706" spans="1:26" ht="14.25" customHeight="1">
      <c r="A1706" s="17"/>
      <c r="B1706" s="17"/>
      <c r="C1706" s="17"/>
      <c r="D1706" s="17"/>
      <c r="E1706" s="17"/>
      <c r="F1706" s="17"/>
      <c r="G1706" s="17"/>
      <c r="H1706" s="17"/>
      <c r="I1706" s="51"/>
    </row>
    <row r="1707" spans="1:26" ht="14.25" customHeight="1">
      <c r="A1707" s="17"/>
      <c r="B1707" s="17"/>
      <c r="C1707" s="17"/>
      <c r="D1707" s="17"/>
      <c r="E1707" s="17"/>
      <c r="F1707" s="17"/>
      <c r="G1707" s="17"/>
      <c r="H1707" s="17"/>
      <c r="I1707" s="51"/>
    </row>
    <row r="1708" spans="1:26" ht="14.25" customHeight="1">
      <c r="A1708" s="17"/>
      <c r="B1708" s="17"/>
      <c r="C1708" s="17"/>
      <c r="D1708" s="17"/>
      <c r="E1708" s="17"/>
      <c r="F1708" s="17"/>
      <c r="G1708" s="17"/>
      <c r="H1708" s="17"/>
      <c r="I1708" s="51"/>
    </row>
    <row r="1709" spans="1:26" ht="14.25" customHeight="1">
      <c r="A1709" s="17"/>
      <c r="B1709" s="17"/>
      <c r="C1709" s="17"/>
      <c r="D1709" s="17"/>
      <c r="E1709" s="17"/>
      <c r="F1709" s="17"/>
      <c r="G1709" s="17"/>
      <c r="H1709" s="17"/>
      <c r="I1709" s="51"/>
    </row>
    <row r="1710" spans="1:26" ht="14.25" customHeight="1">
      <c r="A1710" s="80" t="s">
        <v>0</v>
      </c>
      <c r="B1710" s="81"/>
      <c r="C1710" s="81"/>
      <c r="D1710" s="81"/>
      <c r="E1710" s="81"/>
      <c r="F1710" s="81"/>
      <c r="G1710" s="81"/>
      <c r="H1710" s="82"/>
      <c r="I1710" s="51"/>
      <c r="J1710" s="32"/>
      <c r="K1710" s="32"/>
      <c r="L1710" s="32"/>
      <c r="M1710" s="32"/>
      <c r="N1710" s="32"/>
      <c r="O1710" s="32"/>
      <c r="P1710" s="32"/>
      <c r="Q1710" s="32"/>
      <c r="R1710" s="32"/>
      <c r="S1710" s="32"/>
      <c r="T1710" s="32"/>
      <c r="U1710" s="32"/>
      <c r="V1710" s="32"/>
      <c r="W1710" s="32"/>
      <c r="X1710" s="32"/>
      <c r="Y1710" s="32"/>
      <c r="Z1710" s="32"/>
    </row>
    <row r="1711" spans="1:26" ht="14.25" customHeight="1">
      <c r="A1711" s="80" t="s">
        <v>510</v>
      </c>
      <c r="B1711" s="81"/>
      <c r="C1711" s="81"/>
      <c r="D1711" s="81"/>
      <c r="E1711" s="81"/>
      <c r="F1711" s="81"/>
      <c r="G1711" s="81"/>
      <c r="H1711" s="82"/>
      <c r="I1711" s="51"/>
      <c r="J1711" s="32"/>
      <c r="K1711" s="32"/>
      <c r="L1711" s="32"/>
      <c r="M1711" s="32"/>
      <c r="N1711" s="32"/>
      <c r="O1711" s="32"/>
      <c r="P1711" s="32"/>
      <c r="Q1711" s="32"/>
      <c r="R1711" s="32"/>
      <c r="S1711" s="32"/>
      <c r="T1711" s="32"/>
      <c r="U1711" s="32"/>
      <c r="V1711" s="32"/>
      <c r="W1711" s="32"/>
      <c r="X1711" s="32"/>
      <c r="Y1711" s="32"/>
      <c r="Z1711" s="32"/>
    </row>
    <row r="1712" spans="1:26" ht="14.25" customHeight="1">
      <c r="A1712" s="33" t="s">
        <v>2</v>
      </c>
      <c r="B1712" s="33" t="s">
        <v>3</v>
      </c>
      <c r="C1712" s="33" t="s">
        <v>4</v>
      </c>
      <c r="D1712" s="33" t="s">
        <v>5</v>
      </c>
      <c r="E1712" s="33" t="s">
        <v>6</v>
      </c>
      <c r="F1712" s="34" t="s">
        <v>7</v>
      </c>
      <c r="G1712" s="33" t="s">
        <v>8</v>
      </c>
      <c r="H1712" s="35"/>
      <c r="I1712" s="51"/>
      <c r="J1712" s="32"/>
      <c r="K1712" s="32"/>
      <c r="L1712" s="32"/>
      <c r="M1712" s="32"/>
      <c r="N1712" s="32"/>
      <c r="O1712" s="32"/>
      <c r="P1712" s="32"/>
      <c r="Q1712" s="32"/>
      <c r="R1712" s="32"/>
      <c r="S1712" s="32"/>
      <c r="T1712" s="32"/>
      <c r="U1712" s="32"/>
      <c r="V1712" s="32"/>
      <c r="W1712" s="32"/>
      <c r="X1712" s="32"/>
      <c r="Y1712" s="32"/>
      <c r="Z1712" s="32"/>
    </row>
    <row r="1713" spans="1:26" ht="14.25" customHeight="1">
      <c r="A1713" s="36">
        <v>1</v>
      </c>
      <c r="B1713" s="18" t="s">
        <v>73</v>
      </c>
      <c r="C1713" s="5">
        <v>7809</v>
      </c>
      <c r="D1713" s="18" t="s">
        <v>11</v>
      </c>
      <c r="E1713" s="18">
        <v>1.62</v>
      </c>
      <c r="F1713" s="6">
        <v>293000</v>
      </c>
      <c r="G1713" s="37">
        <f t="shared" ref="G1713:G1715" si="109">IFERROR(E1713*F1713,0)</f>
        <v>474660.00000000006</v>
      </c>
      <c r="H1713" s="38"/>
      <c r="I1713" s="51"/>
      <c r="J1713" s="32"/>
      <c r="K1713" s="32"/>
      <c r="L1713" s="32"/>
      <c r="M1713" s="32"/>
      <c r="N1713" s="32"/>
      <c r="O1713" s="32"/>
      <c r="P1713" s="32"/>
      <c r="Q1713" s="32"/>
      <c r="R1713" s="32"/>
      <c r="S1713" s="32"/>
      <c r="T1713" s="32"/>
      <c r="U1713" s="32"/>
      <c r="V1713" s="32"/>
      <c r="W1713" s="32"/>
      <c r="X1713" s="32"/>
      <c r="Y1713" s="32"/>
      <c r="Z1713" s="32"/>
    </row>
    <row r="1714" spans="1:26" ht="14.25" customHeight="1">
      <c r="A1714" s="36">
        <v>2</v>
      </c>
      <c r="B1714" s="12" t="s">
        <v>511</v>
      </c>
      <c r="C1714" s="10">
        <v>8067</v>
      </c>
      <c r="D1714" s="12" t="s">
        <v>14</v>
      </c>
      <c r="E1714" s="12">
        <v>2</v>
      </c>
      <c r="F1714" s="43">
        <v>435000</v>
      </c>
      <c r="G1714" s="37">
        <f t="shared" si="109"/>
        <v>870000</v>
      </c>
      <c r="H1714" s="38"/>
      <c r="I1714" s="51"/>
      <c r="J1714" s="32"/>
      <c r="K1714" s="32"/>
      <c r="L1714" s="32"/>
      <c r="M1714" s="32"/>
      <c r="N1714" s="32"/>
      <c r="O1714" s="32"/>
      <c r="P1714" s="32"/>
      <c r="Q1714" s="32"/>
      <c r="R1714" s="32"/>
      <c r="S1714" s="32"/>
      <c r="T1714" s="32"/>
      <c r="U1714" s="32"/>
      <c r="V1714" s="32"/>
      <c r="W1714" s="32"/>
      <c r="X1714" s="32"/>
      <c r="Y1714" s="32"/>
      <c r="Z1714" s="32"/>
    </row>
    <row r="1715" spans="1:26" ht="14.25" customHeight="1">
      <c r="A1715" s="36">
        <v>4</v>
      </c>
      <c r="B1715" s="39" t="s">
        <v>17</v>
      </c>
      <c r="C1715" s="38"/>
      <c r="D1715" s="38"/>
      <c r="E1715" s="38"/>
      <c r="F1715" s="60"/>
      <c r="G1715" s="37">
        <f t="shared" si="109"/>
        <v>0</v>
      </c>
      <c r="H1715" s="38"/>
      <c r="I1715" s="51"/>
      <c r="J1715" s="32"/>
      <c r="K1715" s="32"/>
      <c r="L1715" s="32"/>
      <c r="M1715" s="32"/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  <c r="Y1715" s="32"/>
      <c r="Z1715" s="32"/>
    </row>
    <row r="1716" spans="1:26" ht="14.25" customHeight="1">
      <c r="A1716" s="83" t="s">
        <v>18</v>
      </c>
      <c r="B1716" s="81"/>
      <c r="C1716" s="81"/>
      <c r="D1716" s="81"/>
      <c r="E1716" s="81"/>
      <c r="F1716" s="81"/>
      <c r="G1716" s="82"/>
      <c r="H1716" s="41">
        <f>SUM(G1713:G1715)</f>
        <v>1344660</v>
      </c>
      <c r="I1716" s="51"/>
      <c r="J1716" s="32"/>
      <c r="K1716" s="32"/>
      <c r="L1716" s="32"/>
      <c r="M1716" s="32"/>
      <c r="N1716" s="32"/>
      <c r="O1716" s="32"/>
      <c r="P1716" s="32"/>
      <c r="Q1716" s="32"/>
      <c r="R1716" s="32"/>
      <c r="S1716" s="32"/>
      <c r="T1716" s="32"/>
      <c r="U1716" s="32"/>
      <c r="V1716" s="32"/>
      <c r="W1716" s="32"/>
      <c r="X1716" s="32"/>
      <c r="Y1716" s="32"/>
      <c r="Z1716" s="32"/>
    </row>
    <row r="1717" spans="1:26" ht="14.25" customHeight="1">
      <c r="A1717" s="83" t="s">
        <v>19</v>
      </c>
      <c r="B1717" s="81"/>
      <c r="C1717" s="81"/>
      <c r="D1717" s="81"/>
      <c r="E1717" s="81"/>
      <c r="F1717" s="81"/>
      <c r="G1717" s="82"/>
      <c r="H1717" s="41">
        <f>MAX(0,H1716-648000)</f>
        <v>696660</v>
      </c>
      <c r="I1717" s="51"/>
      <c r="J1717" s="32"/>
      <c r="K1717" s="32"/>
      <c r="L1717" s="32"/>
      <c r="M1717" s="32"/>
      <c r="N1717" s="32"/>
      <c r="O1717" s="32"/>
      <c r="P1717" s="32"/>
      <c r="Q1717" s="32"/>
      <c r="R1717" s="32"/>
      <c r="S1717" s="32"/>
      <c r="T1717" s="32"/>
      <c r="U1717" s="32"/>
      <c r="V1717" s="32"/>
      <c r="W1717" s="32"/>
      <c r="X1717" s="32"/>
      <c r="Y1717" s="32"/>
      <c r="Z1717" s="32"/>
    </row>
    <row r="1718" spans="1:26" ht="14.25" customHeight="1">
      <c r="A1718" s="84" t="s">
        <v>20</v>
      </c>
      <c r="B1718" s="81"/>
      <c r="C1718" s="81"/>
      <c r="D1718" s="81"/>
      <c r="E1718" s="81"/>
      <c r="F1718" s="81"/>
      <c r="G1718" s="82"/>
      <c r="H1718" s="42">
        <v>649000</v>
      </c>
      <c r="I1718" s="51"/>
      <c r="J1718" s="32"/>
      <c r="K1718" s="32"/>
      <c r="L1718" s="32"/>
      <c r="M1718" s="32"/>
      <c r="N1718" s="32"/>
      <c r="O1718" s="32"/>
      <c r="P1718" s="32"/>
      <c r="Q1718" s="32"/>
      <c r="R1718" s="32"/>
      <c r="S1718" s="32"/>
      <c r="T1718" s="32"/>
      <c r="U1718" s="32"/>
      <c r="V1718" s="32"/>
      <c r="W1718" s="32"/>
      <c r="X1718" s="32"/>
      <c r="Y1718" s="32"/>
      <c r="Z1718" s="32"/>
    </row>
    <row r="1719" spans="1:26" ht="14.25" customHeight="1">
      <c r="A1719" s="80"/>
      <c r="B1719" s="81"/>
      <c r="C1719" s="81"/>
      <c r="D1719" s="81"/>
      <c r="E1719" s="81"/>
      <c r="F1719" s="81"/>
      <c r="G1719" s="81"/>
      <c r="H1719" s="82"/>
      <c r="I1719" s="51"/>
      <c r="J1719" s="32"/>
      <c r="K1719" s="32"/>
      <c r="L1719" s="32"/>
      <c r="M1719" s="32"/>
      <c r="N1719" s="32"/>
      <c r="O1719" s="32"/>
      <c r="P1719" s="32"/>
      <c r="Q1719" s="32"/>
      <c r="R1719" s="32"/>
      <c r="S1719" s="32"/>
      <c r="T1719" s="32"/>
      <c r="U1719" s="32"/>
      <c r="V1719" s="32"/>
      <c r="W1719" s="32"/>
      <c r="X1719" s="32"/>
      <c r="Y1719" s="32"/>
      <c r="Z1719" s="32"/>
    </row>
    <row r="1720" spans="1:26" ht="14.25" customHeight="1"/>
    <row r="1721" spans="1:26" ht="14.25" customHeight="1"/>
    <row r="1722" spans="1:26" ht="14.25" customHeight="1"/>
    <row r="1723" spans="1:26" ht="14.25" customHeight="1"/>
    <row r="1724" spans="1:26" ht="14.25" customHeight="1"/>
    <row r="1725" spans="1:26" ht="14.25" customHeight="1">
      <c r="A1725" s="80" t="s">
        <v>0</v>
      </c>
      <c r="B1725" s="81"/>
      <c r="C1725" s="81"/>
      <c r="D1725" s="81"/>
      <c r="E1725" s="81"/>
      <c r="F1725" s="81"/>
      <c r="G1725" s="81"/>
      <c r="H1725" s="82"/>
      <c r="I1725" s="51"/>
      <c r="J1725" s="32"/>
      <c r="K1725" s="32"/>
      <c r="L1725" s="32"/>
      <c r="M1725" s="32"/>
      <c r="N1725" s="32"/>
      <c r="O1725" s="32"/>
      <c r="P1725" s="32"/>
      <c r="Q1725" s="32"/>
      <c r="R1725" s="32"/>
      <c r="S1725" s="32"/>
      <c r="T1725" s="32"/>
      <c r="U1725" s="32"/>
      <c r="V1725" s="32"/>
      <c r="W1725" s="32"/>
      <c r="X1725" s="32"/>
      <c r="Y1725" s="32"/>
      <c r="Z1725" s="32"/>
    </row>
    <row r="1726" spans="1:26" ht="14.25" customHeight="1">
      <c r="A1726" s="80" t="s">
        <v>512</v>
      </c>
      <c r="B1726" s="81"/>
      <c r="C1726" s="81"/>
      <c r="D1726" s="81"/>
      <c r="E1726" s="81"/>
      <c r="F1726" s="81"/>
      <c r="G1726" s="81"/>
      <c r="H1726" s="82"/>
      <c r="I1726" s="51"/>
      <c r="J1726" s="32"/>
      <c r="K1726" s="32"/>
      <c r="L1726" s="32"/>
      <c r="M1726" s="32"/>
      <c r="N1726" s="32"/>
      <c r="O1726" s="32"/>
      <c r="P1726" s="32"/>
      <c r="Q1726" s="32"/>
      <c r="R1726" s="32"/>
      <c r="S1726" s="32"/>
      <c r="T1726" s="32"/>
      <c r="U1726" s="32"/>
      <c r="V1726" s="32"/>
      <c r="W1726" s="32"/>
      <c r="X1726" s="32"/>
      <c r="Y1726" s="32"/>
      <c r="Z1726" s="32"/>
    </row>
    <row r="1727" spans="1:26" ht="14.25" customHeight="1">
      <c r="A1727" s="33" t="s">
        <v>2</v>
      </c>
      <c r="B1727" s="33" t="s">
        <v>3</v>
      </c>
      <c r="C1727" s="33" t="s">
        <v>4</v>
      </c>
      <c r="D1727" s="33" t="s">
        <v>5</v>
      </c>
      <c r="E1727" s="33" t="s">
        <v>6</v>
      </c>
      <c r="F1727" s="34" t="s">
        <v>7</v>
      </c>
      <c r="G1727" s="33" t="s">
        <v>8</v>
      </c>
      <c r="H1727" s="35"/>
      <c r="I1727" s="51"/>
      <c r="J1727" s="32"/>
      <c r="K1727" s="32"/>
      <c r="L1727" s="32"/>
      <c r="M1727" s="32"/>
      <c r="N1727" s="32"/>
      <c r="O1727" s="32"/>
      <c r="P1727" s="32"/>
      <c r="Q1727" s="32"/>
      <c r="R1727" s="32"/>
      <c r="S1727" s="32"/>
      <c r="T1727" s="32"/>
      <c r="U1727" s="32"/>
      <c r="V1727" s="32"/>
      <c r="W1727" s="32"/>
      <c r="X1727" s="32"/>
      <c r="Y1727" s="32"/>
      <c r="Z1727" s="32"/>
    </row>
    <row r="1728" spans="1:26" ht="14.25" customHeight="1">
      <c r="A1728" s="36">
        <v>1</v>
      </c>
      <c r="B1728" s="18" t="s">
        <v>513</v>
      </c>
      <c r="C1728" s="5" t="s">
        <v>514</v>
      </c>
      <c r="D1728" s="18" t="s">
        <v>413</v>
      </c>
      <c r="E1728" s="18">
        <v>2</v>
      </c>
      <c r="F1728" s="6">
        <v>293000</v>
      </c>
      <c r="G1728" s="37">
        <f t="shared" ref="G1728:G1730" si="110">IFERROR(E1728*F1728,0)</f>
        <v>586000</v>
      </c>
      <c r="H1728" s="38"/>
      <c r="I1728" s="51"/>
      <c r="J1728" s="32"/>
      <c r="K1728" s="32"/>
      <c r="L1728" s="32"/>
      <c r="M1728" s="32"/>
      <c r="N1728" s="32"/>
      <c r="O1728" s="32"/>
      <c r="P1728" s="32"/>
      <c r="Q1728" s="32"/>
      <c r="R1728" s="32"/>
      <c r="S1728" s="32"/>
      <c r="T1728" s="32"/>
      <c r="U1728" s="32"/>
      <c r="V1728" s="32"/>
      <c r="W1728" s="32"/>
      <c r="X1728" s="32"/>
      <c r="Y1728" s="32"/>
      <c r="Z1728" s="32"/>
    </row>
    <row r="1729" spans="1:26" ht="14.25" customHeight="1">
      <c r="A1729" s="36">
        <v>2</v>
      </c>
      <c r="B1729" s="12" t="s">
        <v>515</v>
      </c>
      <c r="C1729" s="10" t="s">
        <v>516</v>
      </c>
      <c r="D1729" s="12" t="s">
        <v>14</v>
      </c>
      <c r="E1729" s="12">
        <v>1.5</v>
      </c>
      <c r="F1729" s="43">
        <v>435000</v>
      </c>
      <c r="G1729" s="37">
        <f t="shared" si="110"/>
        <v>652500</v>
      </c>
      <c r="H1729" s="38"/>
      <c r="I1729" s="51"/>
      <c r="J1729" s="32"/>
      <c r="K1729" s="32"/>
      <c r="L1729" s="32"/>
      <c r="M1729" s="32"/>
      <c r="N1729" s="32"/>
      <c r="O1729" s="32"/>
      <c r="P1729" s="32"/>
      <c r="Q1729" s="32"/>
      <c r="R1729" s="32"/>
      <c r="S1729" s="32"/>
      <c r="T1729" s="32"/>
      <c r="U1729" s="32"/>
      <c r="V1729" s="32"/>
      <c r="W1729" s="32"/>
      <c r="X1729" s="32"/>
      <c r="Y1729" s="32"/>
      <c r="Z1729" s="32"/>
    </row>
    <row r="1730" spans="1:26" ht="14.25" customHeight="1">
      <c r="A1730" s="36">
        <v>4</v>
      </c>
      <c r="B1730" s="39" t="s">
        <v>17</v>
      </c>
      <c r="C1730" s="38"/>
      <c r="D1730" s="38"/>
      <c r="E1730" s="38"/>
      <c r="F1730" s="60"/>
      <c r="G1730" s="37">
        <f t="shared" si="110"/>
        <v>0</v>
      </c>
      <c r="H1730" s="38"/>
      <c r="I1730" s="51"/>
      <c r="J1730" s="32"/>
      <c r="K1730" s="32"/>
      <c r="L1730" s="32"/>
      <c r="M1730" s="32"/>
      <c r="N1730" s="32"/>
      <c r="O1730" s="32"/>
      <c r="P1730" s="32"/>
      <c r="Q1730" s="32"/>
      <c r="R1730" s="32"/>
      <c r="S1730" s="32"/>
      <c r="T1730" s="32"/>
      <c r="U1730" s="32"/>
      <c r="V1730" s="32"/>
      <c r="W1730" s="32"/>
      <c r="X1730" s="32"/>
      <c r="Y1730" s="32"/>
      <c r="Z1730" s="32"/>
    </row>
    <row r="1731" spans="1:26" ht="14.25" customHeight="1">
      <c r="A1731" s="83" t="s">
        <v>18</v>
      </c>
      <c r="B1731" s="81"/>
      <c r="C1731" s="81"/>
      <c r="D1731" s="81"/>
      <c r="E1731" s="81"/>
      <c r="F1731" s="81"/>
      <c r="G1731" s="82"/>
      <c r="H1731" s="41">
        <f>SUM(G1728:G1730)</f>
        <v>1238500</v>
      </c>
      <c r="I1731" s="51"/>
      <c r="J1731" s="32"/>
      <c r="K1731" s="32"/>
      <c r="L1731" s="32"/>
      <c r="M1731" s="32"/>
      <c r="N1731" s="32"/>
      <c r="O1731" s="32"/>
      <c r="P1731" s="32"/>
      <c r="Q1731" s="32"/>
      <c r="R1731" s="32"/>
      <c r="S1731" s="32"/>
      <c r="T1731" s="32"/>
      <c r="U1731" s="32"/>
      <c r="V1731" s="32"/>
      <c r="W1731" s="32"/>
      <c r="X1731" s="32"/>
      <c r="Y1731" s="32"/>
      <c r="Z1731" s="32"/>
    </row>
    <row r="1732" spans="1:26" ht="14.25" customHeight="1">
      <c r="A1732" s="83" t="s">
        <v>19</v>
      </c>
      <c r="B1732" s="81"/>
      <c r="C1732" s="81"/>
      <c r="D1732" s="81"/>
      <c r="E1732" s="81"/>
      <c r="F1732" s="81"/>
      <c r="G1732" s="82"/>
      <c r="H1732" s="41">
        <f>MAX(0,H1731-648000)</f>
        <v>590500</v>
      </c>
      <c r="I1732" s="51"/>
      <c r="J1732" s="32"/>
      <c r="K1732" s="32"/>
      <c r="L1732" s="32"/>
      <c r="M1732" s="32"/>
      <c r="N1732" s="32"/>
      <c r="O1732" s="32"/>
      <c r="P1732" s="32"/>
      <c r="Q1732" s="32"/>
      <c r="R1732" s="32"/>
      <c r="S1732" s="32"/>
      <c r="T1732" s="32"/>
      <c r="U1732" s="32"/>
      <c r="V1732" s="32"/>
      <c r="W1732" s="32"/>
      <c r="X1732" s="32"/>
      <c r="Y1732" s="32"/>
      <c r="Z1732" s="32"/>
    </row>
    <row r="1733" spans="1:26" ht="14.25" customHeight="1">
      <c r="A1733" s="84" t="s">
        <v>20</v>
      </c>
      <c r="B1733" s="81"/>
      <c r="C1733" s="81"/>
      <c r="D1733" s="81"/>
      <c r="E1733" s="81"/>
      <c r="F1733" s="81"/>
      <c r="G1733" s="82"/>
      <c r="H1733" s="42">
        <v>649000</v>
      </c>
      <c r="I1733" s="51"/>
      <c r="J1733" s="32"/>
      <c r="K1733" s="32"/>
      <c r="L1733" s="32"/>
      <c r="M1733" s="32"/>
      <c r="N1733" s="32"/>
      <c r="O1733" s="32"/>
      <c r="P1733" s="32"/>
      <c r="Q1733" s="32"/>
      <c r="R1733" s="32"/>
      <c r="S1733" s="32"/>
      <c r="T1733" s="32"/>
      <c r="U1733" s="32"/>
      <c r="V1733" s="32"/>
      <c r="W1733" s="32"/>
      <c r="X1733" s="32"/>
      <c r="Y1733" s="32"/>
      <c r="Z1733" s="32"/>
    </row>
    <row r="1734" spans="1:26" ht="14.25" customHeight="1">
      <c r="A1734" s="80"/>
      <c r="B1734" s="81"/>
      <c r="C1734" s="81"/>
      <c r="D1734" s="81"/>
      <c r="E1734" s="81"/>
      <c r="F1734" s="81"/>
      <c r="G1734" s="81"/>
      <c r="H1734" s="82"/>
      <c r="I1734" s="51"/>
      <c r="J1734" s="32"/>
      <c r="K1734" s="32"/>
      <c r="L1734" s="32"/>
      <c r="M1734" s="32"/>
      <c r="N1734" s="32"/>
      <c r="O1734" s="32"/>
      <c r="P1734" s="32"/>
      <c r="Q1734" s="32"/>
      <c r="R1734" s="32"/>
      <c r="S1734" s="32"/>
      <c r="T1734" s="32"/>
      <c r="U1734" s="32"/>
      <c r="V1734" s="32"/>
      <c r="W1734" s="32"/>
      <c r="X1734" s="32"/>
      <c r="Y1734" s="32"/>
      <c r="Z1734" s="32"/>
    </row>
    <row r="1735" spans="1:26" ht="14.25" customHeight="1"/>
    <row r="1736" spans="1:26" ht="14.25" customHeight="1"/>
    <row r="1737" spans="1:26" ht="14.25" customHeight="1"/>
    <row r="1738" spans="1:26" ht="14.25" customHeight="1"/>
    <row r="1739" spans="1:26" ht="14.25" customHeight="1"/>
    <row r="1740" spans="1:26" ht="14.25" customHeight="1"/>
    <row r="1741" spans="1:26" ht="14.25" customHeight="1">
      <c r="A1741" s="80" t="s">
        <v>0</v>
      </c>
      <c r="B1741" s="81"/>
      <c r="C1741" s="81"/>
      <c r="D1741" s="81"/>
      <c r="E1741" s="81"/>
      <c r="F1741" s="81"/>
      <c r="G1741" s="81"/>
      <c r="H1741" s="82"/>
      <c r="I1741" s="51"/>
      <c r="J1741" s="32"/>
      <c r="K1741" s="32"/>
      <c r="L1741" s="32"/>
      <c r="M1741" s="32"/>
      <c r="N1741" s="32"/>
      <c r="O1741" s="32"/>
      <c r="P1741" s="32"/>
      <c r="Q1741" s="32"/>
      <c r="R1741" s="32"/>
      <c r="S1741" s="32"/>
      <c r="T1741" s="32"/>
      <c r="U1741" s="32"/>
      <c r="V1741" s="32"/>
      <c r="W1741" s="32"/>
      <c r="X1741" s="32"/>
      <c r="Y1741" s="32"/>
      <c r="Z1741" s="32"/>
    </row>
    <row r="1742" spans="1:26" ht="14.25" customHeight="1">
      <c r="A1742" s="80" t="s">
        <v>517</v>
      </c>
      <c r="B1742" s="81"/>
      <c r="C1742" s="81"/>
      <c r="D1742" s="81"/>
      <c r="E1742" s="81"/>
      <c r="F1742" s="81"/>
      <c r="G1742" s="81"/>
      <c r="H1742" s="82"/>
      <c r="I1742" s="51"/>
      <c r="J1742" s="32"/>
      <c r="K1742" s="32"/>
      <c r="L1742" s="32"/>
      <c r="M1742" s="32"/>
      <c r="N1742" s="32"/>
      <c r="O1742" s="32"/>
      <c r="P1742" s="32"/>
      <c r="Q1742" s="32"/>
      <c r="R1742" s="32"/>
      <c r="S1742" s="32"/>
      <c r="T1742" s="32"/>
      <c r="U1742" s="32"/>
      <c r="V1742" s="32"/>
      <c r="W1742" s="32"/>
      <c r="X1742" s="32"/>
      <c r="Y1742" s="32"/>
      <c r="Z1742" s="32"/>
    </row>
    <row r="1743" spans="1:26" ht="14.25" customHeight="1">
      <c r="A1743" s="33" t="s">
        <v>2</v>
      </c>
      <c r="B1743" s="33" t="s">
        <v>3</v>
      </c>
      <c r="C1743" s="33" t="s">
        <v>4</v>
      </c>
      <c r="D1743" s="33" t="s">
        <v>5</v>
      </c>
      <c r="E1743" s="33" t="s">
        <v>6</v>
      </c>
      <c r="F1743" s="34" t="s">
        <v>7</v>
      </c>
      <c r="G1743" s="33" t="s">
        <v>8</v>
      </c>
      <c r="H1743" s="35"/>
      <c r="I1743" s="51"/>
      <c r="J1743" s="32"/>
      <c r="K1743" s="32"/>
      <c r="L1743" s="32"/>
      <c r="M1743" s="32"/>
      <c r="N1743" s="32"/>
      <c r="O1743" s="32"/>
      <c r="P1743" s="32"/>
      <c r="Q1743" s="32"/>
      <c r="R1743" s="32"/>
      <c r="S1743" s="32"/>
      <c r="T1743" s="32"/>
      <c r="U1743" s="32"/>
      <c r="V1743" s="32"/>
      <c r="W1743" s="32"/>
      <c r="X1743" s="32"/>
      <c r="Y1743" s="32"/>
      <c r="Z1743" s="32"/>
    </row>
    <row r="1744" spans="1:26" ht="14.25" customHeight="1">
      <c r="A1744" s="36">
        <v>1</v>
      </c>
      <c r="B1744" s="18" t="s">
        <v>136</v>
      </c>
      <c r="C1744" s="5" t="s">
        <v>518</v>
      </c>
      <c r="D1744" s="18" t="s">
        <v>11</v>
      </c>
      <c r="E1744" s="18">
        <v>1.78</v>
      </c>
      <c r="F1744" s="6">
        <v>293000</v>
      </c>
      <c r="G1744" s="37">
        <f t="shared" ref="G1744:G1746" si="111">IFERROR(E1744*F1744,0)</f>
        <v>521540</v>
      </c>
      <c r="H1744" s="38"/>
      <c r="I1744" s="51"/>
      <c r="J1744" s="32"/>
      <c r="K1744" s="32"/>
      <c r="L1744" s="32"/>
      <c r="M1744" s="32"/>
      <c r="N1744" s="32"/>
      <c r="O1744" s="32"/>
      <c r="P1744" s="32"/>
      <c r="Q1744" s="32"/>
      <c r="R1744" s="32"/>
      <c r="S1744" s="32"/>
      <c r="T1744" s="32"/>
      <c r="U1744" s="32"/>
      <c r="V1744" s="32"/>
      <c r="W1744" s="32"/>
      <c r="X1744" s="32"/>
      <c r="Y1744" s="32"/>
      <c r="Z1744" s="32"/>
    </row>
    <row r="1745" spans="1:26" ht="14.25" customHeight="1">
      <c r="A1745" s="36">
        <v>2</v>
      </c>
      <c r="B1745" s="12" t="s">
        <v>12</v>
      </c>
      <c r="C1745" s="10" t="s">
        <v>519</v>
      </c>
      <c r="D1745" s="12" t="s">
        <v>14</v>
      </c>
      <c r="E1745" s="12">
        <v>1.7</v>
      </c>
      <c r="F1745" s="43">
        <v>435000</v>
      </c>
      <c r="G1745" s="37">
        <f t="shared" si="111"/>
        <v>739500</v>
      </c>
      <c r="H1745" s="38"/>
      <c r="I1745" s="51"/>
      <c r="J1745" s="32"/>
      <c r="K1745" s="32"/>
      <c r="L1745" s="32"/>
      <c r="M1745" s="32"/>
      <c r="N1745" s="32"/>
      <c r="O1745" s="32"/>
      <c r="P1745" s="32"/>
      <c r="Q1745" s="32"/>
      <c r="R1745" s="32"/>
      <c r="S1745" s="32"/>
      <c r="T1745" s="32"/>
      <c r="U1745" s="32"/>
      <c r="V1745" s="32"/>
      <c r="W1745" s="32"/>
      <c r="X1745" s="32"/>
      <c r="Y1745" s="32"/>
      <c r="Z1745" s="32"/>
    </row>
    <row r="1746" spans="1:26" ht="14.25" customHeight="1">
      <c r="A1746" s="36">
        <v>4</v>
      </c>
      <c r="B1746" s="39" t="s">
        <v>520</v>
      </c>
      <c r="C1746" s="38"/>
      <c r="D1746" s="38"/>
      <c r="E1746" s="38"/>
      <c r="F1746" s="60"/>
      <c r="G1746" s="37">
        <f t="shared" si="111"/>
        <v>0</v>
      </c>
      <c r="H1746" s="38"/>
      <c r="I1746" s="51"/>
      <c r="J1746" s="32"/>
      <c r="K1746" s="32"/>
      <c r="L1746" s="32"/>
      <c r="M1746" s="32"/>
      <c r="N1746" s="32"/>
      <c r="O1746" s="32"/>
      <c r="P1746" s="32"/>
      <c r="Q1746" s="32"/>
      <c r="R1746" s="32"/>
      <c r="S1746" s="32"/>
      <c r="T1746" s="32"/>
      <c r="U1746" s="32"/>
      <c r="V1746" s="32"/>
      <c r="W1746" s="32"/>
      <c r="X1746" s="32"/>
      <c r="Y1746" s="32"/>
      <c r="Z1746" s="32"/>
    </row>
    <row r="1747" spans="1:26" ht="14.25" customHeight="1">
      <c r="A1747" s="83" t="s">
        <v>18</v>
      </c>
      <c r="B1747" s="81"/>
      <c r="C1747" s="81"/>
      <c r="D1747" s="81"/>
      <c r="E1747" s="81"/>
      <c r="F1747" s="81"/>
      <c r="G1747" s="82"/>
      <c r="H1747" s="41">
        <f>SUM(G1744:G1746)</f>
        <v>1261040</v>
      </c>
      <c r="I1747" s="51"/>
      <c r="J1747" s="32"/>
      <c r="K1747" s="32"/>
      <c r="L1747" s="32"/>
      <c r="M1747" s="32"/>
      <c r="N1747" s="32"/>
      <c r="O1747" s="32"/>
      <c r="P1747" s="32"/>
      <c r="Q1747" s="32"/>
      <c r="R1747" s="32"/>
      <c r="S1747" s="32"/>
      <c r="T1747" s="32"/>
      <c r="U1747" s="32"/>
      <c r="V1747" s="32"/>
      <c r="W1747" s="32"/>
      <c r="X1747" s="32"/>
      <c r="Y1747" s="32"/>
      <c r="Z1747" s="32"/>
    </row>
    <row r="1748" spans="1:26" ht="14.25" customHeight="1">
      <c r="A1748" s="83" t="s">
        <v>19</v>
      </c>
      <c r="B1748" s="81"/>
      <c r="C1748" s="81"/>
      <c r="D1748" s="81"/>
      <c r="E1748" s="81"/>
      <c r="F1748" s="81"/>
      <c r="G1748" s="82"/>
      <c r="H1748" s="41">
        <f>MAX(0,H1747-648000)</f>
        <v>613040</v>
      </c>
      <c r="I1748" s="51"/>
      <c r="J1748" s="32"/>
      <c r="K1748" s="32"/>
      <c r="L1748" s="32"/>
      <c r="M1748" s="32"/>
      <c r="N1748" s="32"/>
      <c r="O1748" s="32"/>
      <c r="P1748" s="32"/>
      <c r="Q1748" s="32"/>
      <c r="R1748" s="32"/>
      <c r="S1748" s="32"/>
      <c r="T1748" s="32"/>
      <c r="U1748" s="32"/>
      <c r="V1748" s="32"/>
      <c r="W1748" s="32"/>
      <c r="X1748" s="32"/>
      <c r="Y1748" s="32"/>
      <c r="Z1748" s="32"/>
    </row>
    <row r="1749" spans="1:26" ht="14.25" customHeight="1">
      <c r="A1749" s="84" t="s">
        <v>20</v>
      </c>
      <c r="B1749" s="81"/>
      <c r="C1749" s="81"/>
      <c r="D1749" s="81"/>
      <c r="E1749" s="81"/>
      <c r="F1749" s="81"/>
      <c r="G1749" s="82"/>
      <c r="H1749" s="42">
        <v>649000</v>
      </c>
      <c r="I1749" s="51"/>
      <c r="J1749" s="32"/>
      <c r="K1749" s="32"/>
      <c r="L1749" s="32"/>
      <c r="M1749" s="32"/>
      <c r="N1749" s="32"/>
      <c r="O1749" s="32"/>
      <c r="P1749" s="32"/>
      <c r="Q1749" s="32"/>
      <c r="R1749" s="32"/>
      <c r="S1749" s="32"/>
      <c r="T1749" s="32"/>
      <c r="U1749" s="32"/>
      <c r="V1749" s="32"/>
      <c r="W1749" s="32"/>
      <c r="X1749" s="32"/>
      <c r="Y1749" s="32"/>
      <c r="Z1749" s="32"/>
    </row>
    <row r="1750" spans="1:26" ht="14.25" customHeight="1">
      <c r="A1750" s="80"/>
      <c r="B1750" s="81"/>
      <c r="C1750" s="81"/>
      <c r="D1750" s="81"/>
      <c r="E1750" s="81"/>
      <c r="F1750" s="81"/>
      <c r="G1750" s="81"/>
      <c r="H1750" s="82"/>
      <c r="I1750" s="51"/>
      <c r="J1750" s="32"/>
      <c r="K1750" s="32"/>
      <c r="L1750" s="32"/>
      <c r="M1750" s="32"/>
      <c r="N1750" s="32"/>
      <c r="O1750" s="32"/>
      <c r="P1750" s="32"/>
      <c r="Q1750" s="32"/>
      <c r="R1750" s="32"/>
      <c r="S1750" s="32"/>
      <c r="T1750" s="32"/>
      <c r="U1750" s="32"/>
      <c r="V1750" s="32"/>
      <c r="W1750" s="32"/>
      <c r="X1750" s="32"/>
      <c r="Y1750" s="32"/>
      <c r="Z1750" s="32"/>
    </row>
    <row r="1751" spans="1:26" ht="14.25" customHeight="1"/>
    <row r="1752" spans="1:26" ht="14.25" customHeight="1"/>
    <row r="1753" spans="1:26" ht="14.25" customHeight="1"/>
    <row r="1754" spans="1:26" ht="14.25" customHeight="1"/>
    <row r="1755" spans="1:26" ht="14.25" customHeight="1"/>
    <row r="1756" spans="1:26" ht="14.25" customHeight="1">
      <c r="A1756" s="80" t="s">
        <v>0</v>
      </c>
      <c r="B1756" s="81"/>
      <c r="C1756" s="81"/>
      <c r="D1756" s="81"/>
      <c r="E1756" s="81"/>
      <c r="F1756" s="81"/>
      <c r="G1756" s="81"/>
      <c r="H1756" s="82"/>
      <c r="I1756" s="51"/>
      <c r="J1756" s="32"/>
      <c r="K1756" s="32"/>
      <c r="L1756" s="32"/>
      <c r="M1756" s="32"/>
      <c r="N1756" s="32"/>
      <c r="O1756" s="32"/>
      <c r="P1756" s="32"/>
      <c r="Q1756" s="32"/>
      <c r="R1756" s="32"/>
      <c r="S1756" s="32"/>
      <c r="T1756" s="32"/>
      <c r="U1756" s="32"/>
      <c r="V1756" s="32"/>
      <c r="W1756" s="32"/>
      <c r="X1756" s="32"/>
      <c r="Y1756" s="32"/>
      <c r="Z1756" s="32"/>
    </row>
    <row r="1757" spans="1:26" ht="14.25" customHeight="1">
      <c r="A1757" s="80" t="s">
        <v>521</v>
      </c>
      <c r="B1757" s="81"/>
      <c r="C1757" s="81"/>
      <c r="D1757" s="81"/>
      <c r="E1757" s="81"/>
      <c r="F1757" s="81"/>
      <c r="G1757" s="81"/>
      <c r="H1757" s="82"/>
      <c r="I1757" s="51"/>
      <c r="J1757" s="32"/>
      <c r="K1757" s="32"/>
      <c r="L1757" s="32"/>
      <c r="M1757" s="32"/>
      <c r="N1757" s="32"/>
      <c r="O1757" s="32"/>
      <c r="P1757" s="32"/>
      <c r="Q1757" s="32"/>
      <c r="R1757" s="32"/>
      <c r="S1757" s="32"/>
      <c r="T1757" s="32"/>
      <c r="U1757" s="32"/>
      <c r="V1757" s="32"/>
      <c r="W1757" s="32"/>
      <c r="X1757" s="32"/>
      <c r="Y1757" s="32"/>
      <c r="Z1757" s="32"/>
    </row>
    <row r="1758" spans="1:26" ht="14.25" customHeight="1">
      <c r="A1758" s="33" t="s">
        <v>2</v>
      </c>
      <c r="B1758" s="33" t="s">
        <v>3</v>
      </c>
      <c r="C1758" s="33" t="s">
        <v>4</v>
      </c>
      <c r="D1758" s="33" t="s">
        <v>5</v>
      </c>
      <c r="E1758" s="33" t="s">
        <v>6</v>
      </c>
      <c r="F1758" s="34" t="s">
        <v>7</v>
      </c>
      <c r="G1758" s="33" t="s">
        <v>8</v>
      </c>
      <c r="H1758" s="35"/>
      <c r="I1758" s="51"/>
      <c r="J1758" s="32"/>
      <c r="K1758" s="32"/>
      <c r="L1758" s="32"/>
      <c r="M1758" s="32"/>
      <c r="N1758" s="32"/>
      <c r="O1758" s="32"/>
      <c r="P1758" s="32"/>
      <c r="Q1758" s="32"/>
      <c r="R1758" s="32"/>
      <c r="S1758" s="32"/>
      <c r="T1758" s="32"/>
      <c r="U1758" s="32"/>
      <c r="V1758" s="32"/>
      <c r="W1758" s="32"/>
      <c r="X1758" s="32"/>
      <c r="Y1758" s="32"/>
      <c r="Z1758" s="32"/>
    </row>
    <row r="1759" spans="1:26" ht="14.25" customHeight="1">
      <c r="A1759" s="36">
        <v>1</v>
      </c>
      <c r="B1759" s="18" t="s">
        <v>130</v>
      </c>
      <c r="C1759" s="5" t="s">
        <v>362</v>
      </c>
      <c r="D1759" s="18" t="s">
        <v>11</v>
      </c>
      <c r="E1759" s="18">
        <v>1.75</v>
      </c>
      <c r="F1759" s="6">
        <v>293000</v>
      </c>
      <c r="G1759" s="37">
        <f t="shared" ref="G1759:G1761" si="112">IFERROR(E1759*F1759,0)</f>
        <v>512750</v>
      </c>
      <c r="H1759" s="38"/>
      <c r="I1759" s="51"/>
      <c r="J1759" s="32"/>
      <c r="K1759" s="32"/>
      <c r="L1759" s="32"/>
      <c r="M1759" s="32"/>
      <c r="N1759" s="32"/>
      <c r="O1759" s="32"/>
      <c r="P1759" s="32"/>
      <c r="Q1759" s="32"/>
      <c r="R1759" s="32"/>
      <c r="S1759" s="32"/>
      <c r="T1759" s="32"/>
      <c r="U1759" s="32"/>
      <c r="V1759" s="32"/>
      <c r="W1759" s="32"/>
      <c r="X1759" s="32"/>
      <c r="Y1759" s="32"/>
      <c r="Z1759" s="32"/>
    </row>
    <row r="1760" spans="1:26" ht="14.25" customHeight="1">
      <c r="A1760" s="36">
        <v>2</v>
      </c>
      <c r="B1760" s="12" t="s">
        <v>65</v>
      </c>
      <c r="C1760" s="10" t="s">
        <v>522</v>
      </c>
      <c r="D1760" s="12" t="s">
        <v>14</v>
      </c>
      <c r="E1760" s="12">
        <v>1.8</v>
      </c>
      <c r="F1760" s="43">
        <v>435000</v>
      </c>
      <c r="G1760" s="37">
        <f t="shared" si="112"/>
        <v>783000</v>
      </c>
      <c r="H1760" s="38"/>
      <c r="I1760" s="51"/>
      <c r="J1760" s="32"/>
      <c r="K1760" s="32"/>
      <c r="L1760" s="32"/>
      <c r="M1760" s="32"/>
      <c r="N1760" s="32"/>
      <c r="O1760" s="32"/>
      <c r="P1760" s="32"/>
      <c r="Q1760" s="32"/>
      <c r="R1760" s="32"/>
      <c r="S1760" s="32"/>
      <c r="T1760" s="32"/>
      <c r="U1760" s="32"/>
      <c r="V1760" s="32"/>
      <c r="W1760" s="32"/>
      <c r="X1760" s="32"/>
      <c r="Y1760" s="32"/>
      <c r="Z1760" s="32"/>
    </row>
    <row r="1761" spans="1:26" ht="14.25" customHeight="1">
      <c r="A1761" s="36">
        <v>4</v>
      </c>
      <c r="B1761" s="39" t="s">
        <v>17</v>
      </c>
      <c r="C1761" s="38"/>
      <c r="D1761" s="38"/>
      <c r="E1761" s="38"/>
      <c r="F1761" s="60"/>
      <c r="G1761" s="37">
        <f t="shared" si="112"/>
        <v>0</v>
      </c>
      <c r="H1761" s="38"/>
      <c r="I1761" s="51"/>
      <c r="J1761" s="32"/>
      <c r="K1761" s="32"/>
      <c r="L1761" s="32"/>
      <c r="M1761" s="32"/>
      <c r="N1761" s="32"/>
      <c r="O1761" s="32"/>
      <c r="P1761" s="32"/>
      <c r="Q1761" s="32"/>
      <c r="R1761" s="32"/>
      <c r="S1761" s="32"/>
      <c r="T1761" s="32"/>
      <c r="U1761" s="32"/>
      <c r="V1761" s="32"/>
      <c r="W1761" s="32"/>
      <c r="X1761" s="32"/>
      <c r="Y1761" s="32"/>
      <c r="Z1761" s="32"/>
    </row>
    <row r="1762" spans="1:26" ht="14.25" customHeight="1">
      <c r="A1762" s="83" t="s">
        <v>18</v>
      </c>
      <c r="B1762" s="81"/>
      <c r="C1762" s="81"/>
      <c r="D1762" s="81"/>
      <c r="E1762" s="81"/>
      <c r="F1762" s="81"/>
      <c r="G1762" s="82"/>
      <c r="H1762" s="41">
        <f>SUM(G1759:G1761)</f>
        <v>1295750</v>
      </c>
      <c r="I1762" s="51"/>
      <c r="J1762" s="32"/>
      <c r="K1762" s="32"/>
      <c r="L1762" s="32"/>
      <c r="M1762" s="32"/>
      <c r="N1762" s="32"/>
      <c r="O1762" s="32"/>
      <c r="P1762" s="32"/>
      <c r="Q1762" s="32"/>
      <c r="R1762" s="32"/>
      <c r="S1762" s="32"/>
      <c r="T1762" s="32"/>
      <c r="U1762" s="32"/>
      <c r="V1762" s="32"/>
      <c r="W1762" s="32"/>
      <c r="X1762" s="32"/>
      <c r="Y1762" s="32"/>
      <c r="Z1762" s="32"/>
    </row>
    <row r="1763" spans="1:26" ht="14.25" customHeight="1">
      <c r="A1763" s="83" t="s">
        <v>19</v>
      </c>
      <c r="B1763" s="81"/>
      <c r="C1763" s="81"/>
      <c r="D1763" s="81"/>
      <c r="E1763" s="81"/>
      <c r="F1763" s="81"/>
      <c r="G1763" s="82"/>
      <c r="H1763" s="41">
        <f>MAX(0,H1762-648000)</f>
        <v>647750</v>
      </c>
      <c r="I1763" s="51"/>
      <c r="J1763" s="32"/>
      <c r="K1763" s="32"/>
      <c r="L1763" s="32"/>
      <c r="M1763" s="32"/>
      <c r="N1763" s="32"/>
      <c r="O1763" s="32"/>
      <c r="P1763" s="32"/>
      <c r="Q1763" s="32"/>
      <c r="R1763" s="32"/>
      <c r="S1763" s="32"/>
      <c r="T1763" s="32"/>
      <c r="U1763" s="32"/>
      <c r="V1763" s="32"/>
      <c r="W1763" s="32"/>
      <c r="X1763" s="32"/>
      <c r="Y1763" s="32"/>
      <c r="Z1763" s="32"/>
    </row>
    <row r="1764" spans="1:26" ht="14.25" customHeight="1">
      <c r="A1764" s="84" t="s">
        <v>20</v>
      </c>
      <c r="B1764" s="81"/>
      <c r="C1764" s="81"/>
      <c r="D1764" s="81"/>
      <c r="E1764" s="81"/>
      <c r="F1764" s="81"/>
      <c r="G1764" s="82"/>
      <c r="H1764" s="42">
        <v>649000</v>
      </c>
      <c r="I1764" s="51"/>
      <c r="J1764" s="32"/>
      <c r="K1764" s="32"/>
      <c r="L1764" s="32"/>
      <c r="M1764" s="32"/>
      <c r="N1764" s="32"/>
      <c r="O1764" s="32"/>
      <c r="P1764" s="32"/>
      <c r="Q1764" s="32"/>
      <c r="R1764" s="32"/>
      <c r="S1764" s="32"/>
      <c r="T1764" s="32"/>
      <c r="U1764" s="32"/>
      <c r="V1764" s="32"/>
      <c r="W1764" s="32"/>
      <c r="X1764" s="32"/>
      <c r="Y1764" s="32"/>
      <c r="Z1764" s="32"/>
    </row>
    <row r="1765" spans="1:26" ht="14.25" customHeight="1">
      <c r="A1765" s="80"/>
      <c r="B1765" s="81"/>
      <c r="C1765" s="81"/>
      <c r="D1765" s="81"/>
      <c r="E1765" s="81"/>
      <c r="F1765" s="81"/>
      <c r="G1765" s="81"/>
      <c r="H1765" s="82"/>
      <c r="I1765" s="51"/>
      <c r="J1765" s="32"/>
      <c r="K1765" s="32"/>
      <c r="L1765" s="32"/>
      <c r="M1765" s="32"/>
      <c r="N1765" s="32"/>
      <c r="O1765" s="32"/>
      <c r="P1765" s="32"/>
      <c r="Q1765" s="32"/>
      <c r="R1765" s="32"/>
      <c r="S1765" s="32"/>
      <c r="T1765" s="32"/>
      <c r="U1765" s="32"/>
      <c r="V1765" s="32"/>
      <c r="W1765" s="32"/>
      <c r="X1765" s="32"/>
      <c r="Y1765" s="32"/>
      <c r="Z1765" s="32"/>
    </row>
    <row r="1766" spans="1:26" ht="14.25" customHeight="1"/>
    <row r="1767" spans="1:26" ht="14.25" customHeight="1"/>
    <row r="1768" spans="1:26" ht="14.25" customHeight="1"/>
    <row r="1769" spans="1:26" ht="14.25" customHeight="1">
      <c r="A1769" s="80" t="s">
        <v>0</v>
      </c>
      <c r="B1769" s="81"/>
      <c r="C1769" s="81"/>
      <c r="D1769" s="81"/>
      <c r="E1769" s="81"/>
      <c r="F1769" s="81"/>
      <c r="G1769" s="81"/>
      <c r="H1769" s="82"/>
      <c r="I1769" s="51"/>
      <c r="J1769" s="32"/>
      <c r="K1769" s="32"/>
      <c r="L1769" s="32"/>
      <c r="M1769" s="32"/>
      <c r="N1769" s="32"/>
      <c r="O1769" s="32"/>
      <c r="P1769" s="32"/>
      <c r="Q1769" s="32"/>
      <c r="R1769" s="32"/>
      <c r="S1769" s="32"/>
      <c r="T1769" s="32"/>
      <c r="U1769" s="32"/>
      <c r="V1769" s="32"/>
      <c r="W1769" s="32"/>
      <c r="X1769" s="32"/>
      <c r="Y1769" s="32"/>
      <c r="Z1769" s="32"/>
    </row>
    <row r="1770" spans="1:26" ht="14.25" customHeight="1">
      <c r="A1770" s="80" t="s">
        <v>523</v>
      </c>
      <c r="B1770" s="81"/>
      <c r="C1770" s="81"/>
      <c r="D1770" s="81"/>
      <c r="E1770" s="81"/>
      <c r="F1770" s="81"/>
      <c r="G1770" s="81"/>
      <c r="H1770" s="82"/>
      <c r="I1770" s="51"/>
      <c r="J1770" s="32"/>
      <c r="K1770" s="32"/>
      <c r="L1770" s="32"/>
      <c r="M1770" s="32"/>
      <c r="N1770" s="32"/>
      <c r="O1770" s="32"/>
      <c r="P1770" s="32"/>
      <c r="Q1770" s="32"/>
      <c r="R1770" s="32"/>
      <c r="S1770" s="32"/>
      <c r="T1770" s="32"/>
      <c r="U1770" s="32"/>
      <c r="V1770" s="32"/>
      <c r="W1770" s="32"/>
      <c r="X1770" s="32"/>
      <c r="Y1770" s="32"/>
      <c r="Z1770" s="32"/>
    </row>
    <row r="1771" spans="1:26" ht="14.25" customHeight="1">
      <c r="A1771" s="33" t="s">
        <v>2</v>
      </c>
      <c r="B1771" s="33" t="s">
        <v>3</v>
      </c>
      <c r="C1771" s="33" t="s">
        <v>4</v>
      </c>
      <c r="D1771" s="33" t="s">
        <v>5</v>
      </c>
      <c r="E1771" s="33" t="s">
        <v>6</v>
      </c>
      <c r="F1771" s="34" t="s">
        <v>7</v>
      </c>
      <c r="G1771" s="33" t="s">
        <v>8</v>
      </c>
      <c r="H1771" s="35"/>
      <c r="I1771" s="51"/>
      <c r="J1771" s="32"/>
      <c r="K1771" s="32"/>
      <c r="L1771" s="32"/>
      <c r="M1771" s="32"/>
      <c r="N1771" s="32"/>
      <c r="O1771" s="32"/>
      <c r="P1771" s="32"/>
      <c r="Q1771" s="32"/>
      <c r="R1771" s="32"/>
      <c r="S1771" s="32"/>
      <c r="T1771" s="32"/>
      <c r="U1771" s="32"/>
      <c r="V1771" s="32"/>
      <c r="W1771" s="32"/>
      <c r="X1771" s="32"/>
      <c r="Y1771" s="32"/>
      <c r="Z1771" s="32"/>
    </row>
    <row r="1772" spans="1:26" ht="14.25" customHeight="1">
      <c r="A1772" s="36">
        <v>1</v>
      </c>
      <c r="B1772" s="18" t="s">
        <v>524</v>
      </c>
      <c r="C1772" s="5" t="s">
        <v>525</v>
      </c>
      <c r="D1772" s="18" t="s">
        <v>413</v>
      </c>
      <c r="E1772" s="18">
        <v>1.6</v>
      </c>
      <c r="F1772" s="6">
        <v>293000</v>
      </c>
      <c r="G1772" s="37">
        <f t="shared" ref="G1772:G1774" si="113">IFERROR(E1772*F1772,0)</f>
        <v>468800</v>
      </c>
      <c r="H1772" s="38"/>
      <c r="I1772" s="51"/>
      <c r="J1772" s="32"/>
      <c r="K1772" s="32"/>
      <c r="L1772" s="32"/>
      <c r="M1772" s="32"/>
      <c r="N1772" s="32"/>
      <c r="O1772" s="32"/>
      <c r="P1772" s="32"/>
      <c r="Q1772" s="32"/>
      <c r="R1772" s="32"/>
      <c r="S1772" s="32"/>
      <c r="T1772" s="32"/>
      <c r="U1772" s="32"/>
      <c r="V1772" s="32"/>
      <c r="W1772" s="32"/>
      <c r="X1772" s="32"/>
      <c r="Y1772" s="32"/>
      <c r="Z1772" s="32"/>
    </row>
    <row r="1773" spans="1:26" ht="14.25" customHeight="1">
      <c r="A1773" s="36">
        <v>2</v>
      </c>
      <c r="B1773" s="12" t="s">
        <v>526</v>
      </c>
      <c r="C1773" s="10" t="s">
        <v>527</v>
      </c>
      <c r="D1773" s="12" t="s">
        <v>233</v>
      </c>
      <c r="E1773" s="12">
        <v>1.7</v>
      </c>
      <c r="F1773" s="43">
        <v>435000</v>
      </c>
      <c r="G1773" s="37">
        <f t="shared" si="113"/>
        <v>739500</v>
      </c>
      <c r="H1773" s="38"/>
      <c r="I1773" s="51"/>
      <c r="J1773" s="32"/>
      <c r="K1773" s="32"/>
      <c r="L1773" s="32"/>
      <c r="M1773" s="32"/>
      <c r="N1773" s="32"/>
      <c r="O1773" s="32"/>
      <c r="P1773" s="32"/>
      <c r="Q1773" s="32"/>
      <c r="R1773" s="32"/>
      <c r="S1773" s="32"/>
      <c r="T1773" s="32"/>
      <c r="U1773" s="32"/>
      <c r="V1773" s="32"/>
      <c r="W1773" s="32"/>
      <c r="X1773" s="32"/>
      <c r="Y1773" s="32"/>
      <c r="Z1773" s="32"/>
    </row>
    <row r="1774" spans="1:26" ht="14.25" customHeight="1">
      <c r="A1774" s="36">
        <v>4</v>
      </c>
      <c r="B1774" s="39" t="s">
        <v>17</v>
      </c>
      <c r="C1774" s="38"/>
      <c r="D1774" s="38"/>
      <c r="E1774" s="38"/>
      <c r="F1774" s="60"/>
      <c r="G1774" s="37">
        <f t="shared" si="113"/>
        <v>0</v>
      </c>
      <c r="H1774" s="38"/>
      <c r="I1774" s="51"/>
      <c r="J1774" s="32"/>
      <c r="K1774" s="32"/>
      <c r="L1774" s="32"/>
      <c r="M1774" s="32"/>
      <c r="N1774" s="32"/>
      <c r="O1774" s="32"/>
      <c r="P1774" s="32"/>
      <c r="Q1774" s="32"/>
      <c r="R1774" s="32"/>
      <c r="S1774" s="32"/>
      <c r="T1774" s="32"/>
      <c r="U1774" s="32"/>
      <c r="V1774" s="32"/>
      <c r="W1774" s="32"/>
      <c r="X1774" s="32"/>
      <c r="Y1774" s="32"/>
      <c r="Z1774" s="32"/>
    </row>
    <row r="1775" spans="1:26" ht="14.25" customHeight="1">
      <c r="A1775" s="83" t="s">
        <v>18</v>
      </c>
      <c r="B1775" s="81"/>
      <c r="C1775" s="81"/>
      <c r="D1775" s="81"/>
      <c r="E1775" s="81"/>
      <c r="F1775" s="81"/>
      <c r="G1775" s="82"/>
      <c r="H1775" s="41">
        <f>SUM(G1772:G1774)</f>
        <v>1208300</v>
      </c>
      <c r="I1775" s="51"/>
      <c r="J1775" s="32"/>
      <c r="K1775" s="32"/>
      <c r="L1775" s="32"/>
      <c r="M1775" s="32"/>
      <c r="N1775" s="32"/>
      <c r="O1775" s="32"/>
      <c r="P1775" s="32"/>
      <c r="Q1775" s="32"/>
      <c r="R1775" s="32"/>
      <c r="S1775" s="32"/>
      <c r="T1775" s="32"/>
      <c r="U1775" s="32"/>
      <c r="V1775" s="32"/>
      <c r="W1775" s="32"/>
      <c r="X1775" s="32"/>
      <c r="Y1775" s="32"/>
      <c r="Z1775" s="32"/>
    </row>
    <row r="1776" spans="1:26" ht="14.25" customHeight="1">
      <c r="A1776" s="83" t="s">
        <v>19</v>
      </c>
      <c r="B1776" s="81"/>
      <c r="C1776" s="81"/>
      <c r="D1776" s="81"/>
      <c r="E1776" s="81"/>
      <c r="F1776" s="81"/>
      <c r="G1776" s="82"/>
      <c r="H1776" s="41">
        <f>MAX(0,H1775-648000)</f>
        <v>560300</v>
      </c>
      <c r="I1776" s="51"/>
      <c r="J1776" s="32"/>
      <c r="K1776" s="32"/>
      <c r="L1776" s="32"/>
      <c r="M1776" s="32"/>
      <c r="N1776" s="32"/>
      <c r="O1776" s="32"/>
      <c r="P1776" s="32"/>
      <c r="Q1776" s="32"/>
      <c r="R1776" s="32"/>
      <c r="S1776" s="32"/>
      <c r="T1776" s="32"/>
      <c r="U1776" s="32"/>
      <c r="V1776" s="32"/>
      <c r="W1776" s="32"/>
      <c r="X1776" s="32"/>
      <c r="Y1776" s="32"/>
      <c r="Z1776" s="32"/>
    </row>
    <row r="1777" spans="1:26" ht="14.25" customHeight="1">
      <c r="A1777" s="84" t="s">
        <v>20</v>
      </c>
      <c r="B1777" s="81"/>
      <c r="C1777" s="81"/>
      <c r="D1777" s="81"/>
      <c r="E1777" s="81"/>
      <c r="F1777" s="81"/>
      <c r="G1777" s="82"/>
      <c r="H1777" s="42">
        <v>649000</v>
      </c>
      <c r="I1777" s="51"/>
      <c r="J1777" s="32"/>
      <c r="K1777" s="32"/>
      <c r="L1777" s="32"/>
      <c r="M1777" s="32"/>
      <c r="N1777" s="32"/>
      <c r="O1777" s="32"/>
      <c r="P1777" s="32"/>
      <c r="Q1777" s="32"/>
      <c r="R1777" s="32"/>
      <c r="S1777" s="32"/>
      <c r="T1777" s="32"/>
      <c r="U1777" s="32"/>
      <c r="V1777" s="32"/>
      <c r="W1777" s="32"/>
      <c r="X1777" s="32"/>
      <c r="Y1777" s="32"/>
      <c r="Z1777" s="32"/>
    </row>
    <row r="1778" spans="1:26" ht="14.25" customHeight="1">
      <c r="A1778" s="80"/>
      <c r="B1778" s="81"/>
      <c r="C1778" s="81"/>
      <c r="D1778" s="81"/>
      <c r="E1778" s="81"/>
      <c r="F1778" s="81"/>
      <c r="G1778" s="81"/>
      <c r="H1778" s="82"/>
      <c r="I1778" s="51"/>
      <c r="J1778" s="32"/>
      <c r="K1778" s="32"/>
      <c r="L1778" s="32"/>
      <c r="M1778" s="32"/>
      <c r="N1778" s="32"/>
      <c r="O1778" s="32"/>
      <c r="P1778" s="32"/>
      <c r="Q1778" s="32"/>
      <c r="R1778" s="32"/>
      <c r="S1778" s="32"/>
      <c r="T1778" s="32"/>
      <c r="U1778" s="32"/>
      <c r="V1778" s="32"/>
      <c r="W1778" s="32"/>
      <c r="X1778" s="32"/>
      <c r="Y1778" s="32"/>
      <c r="Z1778" s="32"/>
    </row>
    <row r="1779" spans="1:26" ht="14.25" customHeight="1"/>
    <row r="1780" spans="1:26" ht="14.25" customHeight="1"/>
    <row r="1781" spans="1:26" ht="14.25" customHeight="1"/>
    <row r="1782" spans="1:26" ht="14.25" customHeight="1"/>
    <row r="1783" spans="1:26" ht="14.25" customHeight="1">
      <c r="A1783" s="80" t="s">
        <v>0</v>
      </c>
      <c r="B1783" s="81"/>
      <c r="C1783" s="81"/>
      <c r="D1783" s="81"/>
      <c r="E1783" s="81"/>
      <c r="F1783" s="81"/>
      <c r="G1783" s="81"/>
      <c r="H1783" s="82"/>
      <c r="I1783" s="51"/>
      <c r="J1783" s="32"/>
      <c r="K1783" s="32"/>
      <c r="L1783" s="32"/>
      <c r="M1783" s="32"/>
      <c r="N1783" s="32"/>
      <c r="O1783" s="32"/>
      <c r="P1783" s="32"/>
      <c r="Q1783" s="32"/>
      <c r="R1783" s="32"/>
      <c r="S1783" s="32"/>
      <c r="T1783" s="32"/>
      <c r="U1783" s="32"/>
      <c r="V1783" s="32"/>
      <c r="W1783" s="32"/>
      <c r="X1783" s="32"/>
      <c r="Y1783" s="32"/>
      <c r="Z1783" s="32"/>
    </row>
    <row r="1784" spans="1:26" ht="14.25" customHeight="1">
      <c r="A1784" s="80" t="s">
        <v>528</v>
      </c>
      <c r="B1784" s="81"/>
      <c r="C1784" s="81"/>
      <c r="D1784" s="81"/>
      <c r="E1784" s="81"/>
      <c r="F1784" s="81"/>
      <c r="G1784" s="81"/>
      <c r="H1784" s="82"/>
      <c r="I1784" s="51"/>
      <c r="J1784" s="32"/>
      <c r="K1784" s="32"/>
      <c r="L1784" s="32"/>
      <c r="M1784" s="32"/>
      <c r="N1784" s="32"/>
      <c r="O1784" s="32"/>
      <c r="P1784" s="32"/>
      <c r="Q1784" s="32"/>
      <c r="R1784" s="32"/>
      <c r="S1784" s="32"/>
      <c r="T1784" s="32"/>
      <c r="U1784" s="32"/>
      <c r="V1784" s="32"/>
      <c r="W1784" s="32"/>
      <c r="X1784" s="32"/>
      <c r="Y1784" s="32"/>
      <c r="Z1784" s="32"/>
    </row>
    <row r="1785" spans="1:26" ht="14.25" customHeight="1">
      <c r="A1785" s="33" t="s">
        <v>2</v>
      </c>
      <c r="B1785" s="33" t="s">
        <v>3</v>
      </c>
      <c r="C1785" s="33" t="s">
        <v>4</v>
      </c>
      <c r="D1785" s="33" t="s">
        <v>5</v>
      </c>
      <c r="E1785" s="33" t="s">
        <v>6</v>
      </c>
      <c r="F1785" s="34" t="s">
        <v>7</v>
      </c>
      <c r="G1785" s="33" t="s">
        <v>8</v>
      </c>
      <c r="H1785" s="35"/>
      <c r="I1785" s="51"/>
      <c r="J1785" s="32"/>
      <c r="K1785" s="32"/>
      <c r="L1785" s="32"/>
      <c r="M1785" s="32"/>
      <c r="N1785" s="32"/>
      <c r="O1785" s="32"/>
      <c r="P1785" s="32"/>
      <c r="Q1785" s="32"/>
      <c r="R1785" s="32"/>
      <c r="S1785" s="32"/>
      <c r="T1785" s="32"/>
      <c r="U1785" s="32"/>
      <c r="V1785" s="32"/>
      <c r="W1785" s="32"/>
      <c r="X1785" s="32"/>
      <c r="Y1785" s="32"/>
      <c r="Z1785" s="32"/>
    </row>
    <row r="1786" spans="1:26" ht="14.25" customHeight="1">
      <c r="A1786" s="36">
        <v>1</v>
      </c>
      <c r="B1786" s="18" t="s">
        <v>529</v>
      </c>
      <c r="C1786" s="5" t="s">
        <v>530</v>
      </c>
      <c r="D1786" s="18" t="s">
        <v>11</v>
      </c>
      <c r="E1786" s="18">
        <v>1.87</v>
      </c>
      <c r="F1786" s="6">
        <v>293000</v>
      </c>
      <c r="G1786" s="37">
        <f t="shared" ref="G1786:G1788" si="114">IFERROR(E1786*F1786,0)</f>
        <v>547910</v>
      </c>
      <c r="H1786" s="38"/>
      <c r="I1786" s="51"/>
      <c r="J1786" s="32"/>
      <c r="K1786" s="32"/>
      <c r="L1786" s="32"/>
      <c r="M1786" s="32"/>
      <c r="N1786" s="32"/>
      <c r="O1786" s="32"/>
      <c r="P1786" s="32"/>
      <c r="Q1786" s="32"/>
      <c r="R1786" s="32"/>
      <c r="S1786" s="32"/>
      <c r="T1786" s="32"/>
      <c r="U1786" s="32"/>
      <c r="V1786" s="32"/>
      <c r="W1786" s="32"/>
      <c r="X1786" s="32"/>
      <c r="Y1786" s="32"/>
      <c r="Z1786" s="32"/>
    </row>
    <row r="1787" spans="1:26" ht="14.25" customHeight="1">
      <c r="A1787" s="36">
        <v>2</v>
      </c>
      <c r="B1787" s="12" t="s">
        <v>65</v>
      </c>
      <c r="C1787" s="10" t="s">
        <v>531</v>
      </c>
      <c r="D1787" s="12" t="s">
        <v>14</v>
      </c>
      <c r="E1787" s="12">
        <v>1.6</v>
      </c>
      <c r="F1787" s="43">
        <v>435000</v>
      </c>
      <c r="G1787" s="37">
        <f t="shared" si="114"/>
        <v>696000</v>
      </c>
      <c r="H1787" s="38"/>
      <c r="I1787" s="51"/>
      <c r="J1787" s="32"/>
      <c r="K1787" s="32"/>
      <c r="L1787" s="32"/>
      <c r="M1787" s="32"/>
      <c r="N1787" s="32"/>
      <c r="O1787" s="32"/>
      <c r="P1787" s="32"/>
      <c r="Q1787" s="32"/>
      <c r="R1787" s="32"/>
      <c r="S1787" s="32"/>
      <c r="T1787" s="32"/>
      <c r="U1787" s="32"/>
      <c r="V1787" s="32"/>
      <c r="W1787" s="32"/>
      <c r="X1787" s="32"/>
      <c r="Y1787" s="32"/>
      <c r="Z1787" s="32"/>
    </row>
    <row r="1788" spans="1:26" ht="14.25" customHeight="1">
      <c r="A1788" s="36">
        <v>4</v>
      </c>
      <c r="B1788" s="39" t="s">
        <v>17</v>
      </c>
      <c r="C1788" s="38"/>
      <c r="D1788" s="38"/>
      <c r="E1788" s="38"/>
      <c r="F1788" s="60"/>
      <c r="G1788" s="37">
        <f t="shared" si="114"/>
        <v>0</v>
      </c>
      <c r="H1788" s="38"/>
      <c r="I1788" s="51"/>
      <c r="J1788" s="32"/>
      <c r="K1788" s="32"/>
      <c r="L1788" s="32"/>
      <c r="M1788" s="32"/>
      <c r="N1788" s="32"/>
      <c r="O1788" s="32"/>
      <c r="P1788" s="32"/>
      <c r="Q1788" s="32"/>
      <c r="R1788" s="32"/>
      <c r="S1788" s="32"/>
      <c r="T1788" s="32"/>
      <c r="U1788" s="32"/>
      <c r="V1788" s="32"/>
      <c r="W1788" s="32"/>
      <c r="X1788" s="32"/>
      <c r="Y1788" s="32"/>
      <c r="Z1788" s="32"/>
    </row>
    <row r="1789" spans="1:26" ht="14.25" customHeight="1">
      <c r="A1789" s="83" t="s">
        <v>18</v>
      </c>
      <c r="B1789" s="81"/>
      <c r="C1789" s="81"/>
      <c r="D1789" s="81"/>
      <c r="E1789" s="81"/>
      <c r="F1789" s="81"/>
      <c r="G1789" s="82"/>
      <c r="H1789" s="41">
        <f>SUM(G1786:G1788)</f>
        <v>1243910</v>
      </c>
      <c r="I1789" s="51"/>
      <c r="J1789" s="32"/>
      <c r="K1789" s="32"/>
      <c r="L1789" s="32"/>
      <c r="M1789" s="32"/>
      <c r="N1789" s="32"/>
      <c r="O1789" s="32"/>
      <c r="P1789" s="32"/>
      <c r="Q1789" s="32"/>
      <c r="R1789" s="32"/>
      <c r="S1789" s="32"/>
      <c r="T1789" s="32"/>
      <c r="U1789" s="32"/>
      <c r="V1789" s="32"/>
      <c r="W1789" s="32"/>
      <c r="X1789" s="32"/>
      <c r="Y1789" s="32"/>
      <c r="Z1789" s="32"/>
    </row>
    <row r="1790" spans="1:26" ht="14.25" customHeight="1">
      <c r="A1790" s="83" t="s">
        <v>19</v>
      </c>
      <c r="B1790" s="81"/>
      <c r="C1790" s="81"/>
      <c r="D1790" s="81"/>
      <c r="E1790" s="81"/>
      <c r="F1790" s="81"/>
      <c r="G1790" s="82"/>
      <c r="H1790" s="41">
        <f>MAX(0,H1789-648000)</f>
        <v>595910</v>
      </c>
      <c r="I1790" s="51"/>
      <c r="J1790" s="32"/>
      <c r="K1790" s="32"/>
      <c r="L1790" s="32"/>
      <c r="M1790" s="32"/>
      <c r="N1790" s="32"/>
      <c r="O1790" s="32"/>
      <c r="P1790" s="32"/>
      <c r="Q1790" s="32"/>
      <c r="R1790" s="32"/>
      <c r="S1790" s="32"/>
      <c r="T1790" s="32"/>
      <c r="U1790" s="32"/>
      <c r="V1790" s="32"/>
      <c r="W1790" s="32"/>
      <c r="X1790" s="32"/>
      <c r="Y1790" s="32"/>
      <c r="Z1790" s="32"/>
    </row>
    <row r="1791" spans="1:26" ht="14.25" customHeight="1">
      <c r="A1791" s="84" t="s">
        <v>20</v>
      </c>
      <c r="B1791" s="81"/>
      <c r="C1791" s="81"/>
      <c r="D1791" s="81"/>
      <c r="E1791" s="81"/>
      <c r="F1791" s="81"/>
      <c r="G1791" s="82"/>
      <c r="H1791" s="42">
        <v>649000</v>
      </c>
      <c r="I1791" s="51"/>
      <c r="J1791" s="32"/>
      <c r="K1791" s="32"/>
      <c r="L1791" s="32"/>
      <c r="M1791" s="32"/>
      <c r="N1791" s="32"/>
      <c r="O1791" s="32"/>
      <c r="P1791" s="32"/>
      <c r="Q1791" s="32"/>
      <c r="R1791" s="32"/>
      <c r="S1791" s="32"/>
      <c r="T1791" s="32"/>
      <c r="U1791" s="32"/>
      <c r="V1791" s="32"/>
      <c r="W1791" s="32"/>
      <c r="X1791" s="32"/>
      <c r="Y1791" s="32"/>
      <c r="Z1791" s="32"/>
    </row>
    <row r="1792" spans="1:26" ht="14.25" customHeight="1">
      <c r="A1792" s="80"/>
      <c r="B1792" s="81"/>
      <c r="C1792" s="81"/>
      <c r="D1792" s="81"/>
      <c r="E1792" s="81"/>
      <c r="F1792" s="81"/>
      <c r="G1792" s="81"/>
      <c r="H1792" s="82"/>
      <c r="I1792" s="51"/>
      <c r="J1792" s="32"/>
      <c r="K1792" s="32"/>
      <c r="L1792" s="32"/>
      <c r="M1792" s="32"/>
      <c r="N1792" s="32"/>
      <c r="O1792" s="32"/>
      <c r="P1792" s="32"/>
      <c r="Q1792" s="32"/>
      <c r="R1792" s="32"/>
      <c r="S1792" s="32"/>
      <c r="T1792" s="32"/>
      <c r="U1792" s="32"/>
      <c r="V1792" s="32"/>
      <c r="W1792" s="32"/>
      <c r="X1792" s="32"/>
      <c r="Y1792" s="32"/>
      <c r="Z1792" s="32"/>
    </row>
    <row r="1793" spans="1:8" ht="14.25" customHeight="1"/>
    <row r="1794" spans="1:8" ht="14.25" customHeight="1"/>
    <row r="1795" spans="1:8" ht="14.25" customHeight="1"/>
    <row r="1796" spans="1:8" ht="14.25" customHeight="1"/>
    <row r="1797" spans="1:8" ht="14.25" customHeight="1"/>
    <row r="1798" spans="1:8" ht="14.25" customHeight="1"/>
    <row r="1799" spans="1:8" ht="14.25" customHeight="1"/>
    <row r="1800" spans="1:8" ht="14.25" customHeight="1">
      <c r="A1800" s="80" t="s">
        <v>0</v>
      </c>
      <c r="B1800" s="81"/>
      <c r="C1800" s="81"/>
      <c r="D1800" s="81"/>
      <c r="E1800" s="81"/>
      <c r="F1800" s="81"/>
      <c r="G1800" s="81"/>
      <c r="H1800" s="82"/>
    </row>
    <row r="1801" spans="1:8" ht="14.25" customHeight="1">
      <c r="A1801" s="80" t="s">
        <v>532</v>
      </c>
      <c r="B1801" s="81"/>
      <c r="C1801" s="81"/>
      <c r="D1801" s="81"/>
      <c r="E1801" s="81"/>
      <c r="F1801" s="81"/>
      <c r="G1801" s="81"/>
      <c r="H1801" s="82"/>
    </row>
    <row r="1802" spans="1:8" ht="14.25" customHeight="1">
      <c r="A1802" s="33" t="s">
        <v>2</v>
      </c>
      <c r="B1802" s="33" t="s">
        <v>3</v>
      </c>
      <c r="C1802" s="33" t="s">
        <v>4</v>
      </c>
      <c r="D1802" s="33" t="s">
        <v>5</v>
      </c>
      <c r="E1802" s="33" t="s">
        <v>6</v>
      </c>
      <c r="F1802" s="34" t="s">
        <v>7</v>
      </c>
      <c r="G1802" s="33" t="s">
        <v>8</v>
      </c>
      <c r="H1802" s="35"/>
    </row>
    <row r="1803" spans="1:8" ht="14.25" customHeight="1">
      <c r="A1803" s="36">
        <v>1</v>
      </c>
      <c r="B1803" s="18" t="s">
        <v>533</v>
      </c>
      <c r="C1803" s="5">
        <v>6315</v>
      </c>
      <c r="D1803" s="18" t="s">
        <v>11</v>
      </c>
      <c r="E1803" s="18">
        <v>1.7</v>
      </c>
      <c r="F1803" s="6">
        <v>293000</v>
      </c>
      <c r="G1803" s="37">
        <f t="shared" ref="G1803:G1805" si="115">IFERROR(E1803*F1803,0)</f>
        <v>498100</v>
      </c>
      <c r="H1803" s="38"/>
    </row>
    <row r="1804" spans="1:8" ht="14.25" customHeight="1">
      <c r="A1804" s="36">
        <v>2</v>
      </c>
      <c r="B1804" s="12" t="s">
        <v>228</v>
      </c>
      <c r="C1804" s="10" t="s">
        <v>534</v>
      </c>
      <c r="D1804" s="12" t="s">
        <v>233</v>
      </c>
      <c r="E1804" s="12">
        <v>1.68</v>
      </c>
      <c r="F1804" s="43">
        <v>435000</v>
      </c>
      <c r="G1804" s="37">
        <f t="shared" si="115"/>
        <v>730800</v>
      </c>
      <c r="H1804" s="38"/>
    </row>
    <row r="1805" spans="1:8" ht="14.25" customHeight="1">
      <c r="A1805" s="36">
        <v>4</v>
      </c>
      <c r="B1805" s="39" t="s">
        <v>17</v>
      </c>
      <c r="C1805" s="38"/>
      <c r="D1805" s="38"/>
      <c r="E1805" s="38"/>
      <c r="F1805" s="60"/>
      <c r="G1805" s="37">
        <f t="shared" si="115"/>
        <v>0</v>
      </c>
      <c r="H1805" s="38"/>
    </row>
    <row r="1806" spans="1:8" ht="14.25" customHeight="1">
      <c r="A1806" s="83" t="s">
        <v>18</v>
      </c>
      <c r="B1806" s="81"/>
      <c r="C1806" s="81"/>
      <c r="D1806" s="81"/>
      <c r="E1806" s="81"/>
      <c r="F1806" s="81"/>
      <c r="G1806" s="82"/>
      <c r="H1806" s="41">
        <f>SUM(G1803:G1805)</f>
        <v>1228900</v>
      </c>
    </row>
    <row r="1807" spans="1:8" ht="14.25" customHeight="1">
      <c r="A1807" s="83" t="s">
        <v>19</v>
      </c>
      <c r="B1807" s="81"/>
      <c r="C1807" s="81"/>
      <c r="D1807" s="81"/>
      <c r="E1807" s="81"/>
      <c r="F1807" s="81"/>
      <c r="G1807" s="82"/>
      <c r="H1807" s="41">
        <f>MAX(0,H1806-648000)</f>
        <v>580900</v>
      </c>
    </row>
    <row r="1808" spans="1:8" ht="14.25" customHeight="1">
      <c r="A1808" s="84" t="s">
        <v>20</v>
      </c>
      <c r="B1808" s="81"/>
      <c r="C1808" s="81"/>
      <c r="D1808" s="81"/>
      <c r="E1808" s="81"/>
      <c r="F1808" s="81"/>
      <c r="G1808" s="82"/>
      <c r="H1808" s="42">
        <v>649000</v>
      </c>
    </row>
    <row r="1809" spans="1:8" ht="14.25" customHeight="1">
      <c r="A1809" s="80"/>
      <c r="B1809" s="81"/>
      <c r="C1809" s="81"/>
      <c r="D1809" s="81"/>
      <c r="E1809" s="81"/>
      <c r="F1809" s="81"/>
      <c r="G1809" s="81"/>
      <c r="H1809" s="82"/>
    </row>
    <row r="1810" spans="1:8" ht="14.25" customHeight="1"/>
    <row r="1811" spans="1:8" ht="14.25" customHeight="1"/>
    <row r="1812" spans="1:8" ht="14.25" customHeight="1"/>
    <row r="1813" spans="1:8" ht="14.25" customHeight="1"/>
    <row r="1814" spans="1:8" ht="14.25" customHeight="1"/>
    <row r="1815" spans="1:8" ht="14.25" customHeight="1"/>
    <row r="1816" spans="1:8" ht="14.25" customHeight="1"/>
    <row r="1817" spans="1:8" ht="14.25" customHeight="1"/>
    <row r="1818" spans="1:8" ht="14.25" customHeight="1"/>
    <row r="1819" spans="1:8" ht="14.25" customHeight="1">
      <c r="A1819" s="80" t="s">
        <v>0</v>
      </c>
      <c r="B1819" s="81"/>
      <c r="C1819" s="81"/>
      <c r="D1819" s="81"/>
      <c r="E1819" s="81"/>
      <c r="F1819" s="81"/>
      <c r="G1819" s="81"/>
      <c r="H1819" s="82"/>
    </row>
    <row r="1820" spans="1:8" ht="14.25" customHeight="1">
      <c r="A1820" s="80" t="s">
        <v>535</v>
      </c>
      <c r="B1820" s="81"/>
      <c r="C1820" s="81"/>
      <c r="D1820" s="81"/>
      <c r="E1820" s="81"/>
      <c r="F1820" s="81"/>
      <c r="G1820" s="81"/>
      <c r="H1820" s="82"/>
    </row>
    <row r="1821" spans="1:8" ht="14.25" customHeight="1">
      <c r="A1821" s="33" t="s">
        <v>2</v>
      </c>
      <c r="B1821" s="33" t="s">
        <v>3</v>
      </c>
      <c r="C1821" s="33" t="s">
        <v>4</v>
      </c>
      <c r="D1821" s="33" t="s">
        <v>5</v>
      </c>
      <c r="E1821" s="33" t="s">
        <v>6</v>
      </c>
      <c r="F1821" s="34" t="s">
        <v>7</v>
      </c>
      <c r="G1821" s="33" t="s">
        <v>8</v>
      </c>
      <c r="H1821" s="35"/>
    </row>
    <row r="1822" spans="1:8" ht="14.25" customHeight="1">
      <c r="A1822" s="36">
        <v>1</v>
      </c>
      <c r="B1822" s="18" t="s">
        <v>536</v>
      </c>
      <c r="C1822" s="5" t="s">
        <v>537</v>
      </c>
      <c r="D1822" s="18" t="s">
        <v>413</v>
      </c>
      <c r="E1822" s="18">
        <v>1.83</v>
      </c>
      <c r="F1822" s="6">
        <v>293000</v>
      </c>
      <c r="G1822" s="37">
        <f t="shared" ref="G1822:G1824" si="116">IFERROR(E1822*F1822,0)</f>
        <v>536190</v>
      </c>
      <c r="H1822" s="38"/>
    </row>
    <row r="1823" spans="1:8" ht="14.25" customHeight="1">
      <c r="A1823" s="36">
        <v>2</v>
      </c>
      <c r="B1823" s="12" t="s">
        <v>136</v>
      </c>
      <c r="C1823" s="10" t="s">
        <v>538</v>
      </c>
      <c r="D1823" s="12" t="s">
        <v>14</v>
      </c>
      <c r="E1823" s="12">
        <v>1.7</v>
      </c>
      <c r="F1823" s="43">
        <v>435000</v>
      </c>
      <c r="G1823" s="37">
        <f t="shared" si="116"/>
        <v>739500</v>
      </c>
      <c r="H1823" s="38"/>
    </row>
    <row r="1824" spans="1:8" ht="14.25" customHeight="1">
      <c r="A1824" s="36">
        <v>4</v>
      </c>
      <c r="B1824" s="39" t="s">
        <v>17</v>
      </c>
      <c r="C1824" s="38"/>
      <c r="D1824" s="38"/>
      <c r="E1824" s="38"/>
      <c r="F1824" s="60"/>
      <c r="G1824" s="37">
        <f t="shared" si="116"/>
        <v>0</v>
      </c>
      <c r="H1824" s="38"/>
    </row>
    <row r="1825" spans="1:8" ht="14.25" customHeight="1">
      <c r="A1825" s="83" t="s">
        <v>18</v>
      </c>
      <c r="B1825" s="81"/>
      <c r="C1825" s="81"/>
      <c r="D1825" s="81"/>
      <c r="E1825" s="81"/>
      <c r="F1825" s="81"/>
      <c r="G1825" s="82"/>
      <c r="H1825" s="41">
        <f>SUM(G1822:G1824)</f>
        <v>1275690</v>
      </c>
    </row>
    <row r="1826" spans="1:8" ht="14.25" customHeight="1">
      <c r="A1826" s="83" t="s">
        <v>19</v>
      </c>
      <c r="B1826" s="81"/>
      <c r="C1826" s="81"/>
      <c r="D1826" s="81"/>
      <c r="E1826" s="81"/>
      <c r="F1826" s="81"/>
      <c r="G1826" s="82"/>
      <c r="H1826" s="41">
        <f>MAX(0,H1825-648000)</f>
        <v>627690</v>
      </c>
    </row>
    <row r="1827" spans="1:8" ht="14.25" customHeight="1">
      <c r="A1827" s="84" t="s">
        <v>20</v>
      </c>
      <c r="B1827" s="81"/>
      <c r="C1827" s="81"/>
      <c r="D1827" s="81"/>
      <c r="E1827" s="81"/>
      <c r="F1827" s="81"/>
      <c r="G1827" s="82"/>
      <c r="H1827" s="42">
        <v>649000</v>
      </c>
    </row>
    <row r="1828" spans="1:8" ht="14.25" customHeight="1">
      <c r="A1828" s="80"/>
      <c r="B1828" s="81"/>
      <c r="C1828" s="81"/>
      <c r="D1828" s="81"/>
      <c r="E1828" s="81"/>
      <c r="F1828" s="81"/>
      <c r="G1828" s="81"/>
      <c r="H1828" s="82"/>
    </row>
    <row r="1829" spans="1:8" ht="14.25" customHeight="1"/>
    <row r="1830" spans="1:8" ht="14.25" customHeight="1"/>
    <row r="1831" spans="1:8" ht="14.25" customHeight="1"/>
    <row r="1832" spans="1:8" ht="14.25" customHeight="1"/>
    <row r="1833" spans="1:8" ht="14.25" customHeight="1"/>
    <row r="1834" spans="1:8" ht="14.25" customHeight="1"/>
    <row r="1835" spans="1:8" ht="14.25" customHeight="1"/>
    <row r="1836" spans="1:8" ht="14.25" customHeight="1"/>
    <row r="1837" spans="1:8" ht="14.25" customHeight="1">
      <c r="A1837" s="80" t="s">
        <v>0</v>
      </c>
      <c r="B1837" s="81"/>
      <c r="C1837" s="81"/>
      <c r="D1837" s="81"/>
      <c r="E1837" s="81"/>
      <c r="F1837" s="81"/>
      <c r="G1837" s="81"/>
      <c r="H1837" s="82"/>
    </row>
    <row r="1838" spans="1:8" ht="14.25" customHeight="1">
      <c r="A1838" s="80" t="s">
        <v>539</v>
      </c>
      <c r="B1838" s="81"/>
      <c r="C1838" s="81"/>
      <c r="D1838" s="81"/>
      <c r="E1838" s="81"/>
      <c r="F1838" s="81"/>
      <c r="G1838" s="81"/>
      <c r="H1838" s="82"/>
    </row>
    <row r="1839" spans="1:8" ht="14.25" customHeight="1">
      <c r="A1839" s="33" t="s">
        <v>2</v>
      </c>
      <c r="B1839" s="33" t="s">
        <v>3</v>
      </c>
      <c r="C1839" s="33" t="s">
        <v>4</v>
      </c>
      <c r="D1839" s="33" t="s">
        <v>5</v>
      </c>
      <c r="E1839" s="33" t="s">
        <v>6</v>
      </c>
      <c r="F1839" s="34" t="s">
        <v>7</v>
      </c>
      <c r="G1839" s="33" t="s">
        <v>8</v>
      </c>
      <c r="H1839" s="35"/>
    </row>
    <row r="1840" spans="1:8" ht="14.25" customHeight="1">
      <c r="A1840" s="36">
        <v>1</v>
      </c>
      <c r="B1840" s="18" t="s">
        <v>26</v>
      </c>
      <c r="C1840" s="5" t="s">
        <v>540</v>
      </c>
      <c r="D1840" s="18" t="s">
        <v>11</v>
      </c>
      <c r="E1840" s="18">
        <v>2.23</v>
      </c>
      <c r="F1840" s="6">
        <v>293000</v>
      </c>
      <c r="G1840" s="37">
        <f t="shared" ref="G1840:G1842" si="117">IFERROR(E1840*F1840,0)</f>
        <v>653390</v>
      </c>
      <c r="H1840" s="38"/>
    </row>
    <row r="1841" spans="1:8" ht="14.25" customHeight="1">
      <c r="A1841" s="36">
        <v>2</v>
      </c>
      <c r="B1841" s="12" t="s">
        <v>541</v>
      </c>
      <c r="C1841" s="10" t="s">
        <v>542</v>
      </c>
      <c r="D1841" s="12" t="s">
        <v>14</v>
      </c>
      <c r="E1841" s="12">
        <v>1.1000000000000001</v>
      </c>
      <c r="F1841" s="43">
        <v>435000</v>
      </c>
      <c r="G1841" s="37">
        <f t="shared" si="117"/>
        <v>478500.00000000006</v>
      </c>
      <c r="H1841" s="38"/>
    </row>
    <row r="1842" spans="1:8" ht="14.25" customHeight="1">
      <c r="A1842" s="36">
        <v>4</v>
      </c>
      <c r="B1842" s="39" t="s">
        <v>17</v>
      </c>
      <c r="C1842" s="38"/>
      <c r="D1842" s="38"/>
      <c r="E1842" s="38"/>
      <c r="F1842" s="60"/>
      <c r="G1842" s="37">
        <f t="shared" si="117"/>
        <v>0</v>
      </c>
      <c r="H1842" s="38"/>
    </row>
    <row r="1843" spans="1:8" ht="14.25" customHeight="1">
      <c r="A1843" s="83" t="s">
        <v>18</v>
      </c>
      <c r="B1843" s="81"/>
      <c r="C1843" s="81"/>
      <c r="D1843" s="81"/>
      <c r="E1843" s="81"/>
      <c r="F1843" s="81"/>
      <c r="G1843" s="82"/>
      <c r="H1843" s="41">
        <f>SUM(G1840:G1842)</f>
        <v>1131890</v>
      </c>
    </row>
    <row r="1844" spans="1:8" ht="14.25" customHeight="1">
      <c r="A1844" s="83" t="s">
        <v>19</v>
      </c>
      <c r="B1844" s="81"/>
      <c r="C1844" s="81"/>
      <c r="D1844" s="81"/>
      <c r="E1844" s="81"/>
      <c r="F1844" s="81"/>
      <c r="G1844" s="82"/>
      <c r="H1844" s="41">
        <f>MAX(0,H1843-648000)</f>
        <v>483890</v>
      </c>
    </row>
    <row r="1845" spans="1:8" ht="14.25" customHeight="1">
      <c r="A1845" s="84" t="s">
        <v>20</v>
      </c>
      <c r="B1845" s="81"/>
      <c r="C1845" s="81"/>
      <c r="D1845" s="81"/>
      <c r="E1845" s="81"/>
      <c r="F1845" s="81"/>
      <c r="G1845" s="82"/>
      <c r="H1845" s="42">
        <v>649000</v>
      </c>
    </row>
    <row r="1846" spans="1:8" ht="14.25" customHeight="1">
      <c r="A1846" s="80"/>
      <c r="B1846" s="81"/>
      <c r="C1846" s="81"/>
      <c r="D1846" s="81"/>
      <c r="E1846" s="81"/>
      <c r="F1846" s="81"/>
      <c r="G1846" s="81"/>
      <c r="H1846" s="82"/>
    </row>
    <row r="1847" spans="1:8" ht="14.25" customHeight="1"/>
    <row r="1848" spans="1:8" ht="14.25" customHeight="1"/>
    <row r="1849" spans="1:8" ht="14.25" customHeight="1"/>
    <row r="1850" spans="1:8" ht="14.25" customHeight="1"/>
    <row r="1851" spans="1:8" ht="14.25" customHeight="1"/>
    <row r="1852" spans="1:8" ht="14.25" customHeight="1"/>
    <row r="1853" spans="1:8" ht="14.25" customHeight="1"/>
    <row r="1854" spans="1:8" ht="14.25" customHeight="1">
      <c r="A1854" s="80" t="s">
        <v>0</v>
      </c>
      <c r="B1854" s="81"/>
      <c r="C1854" s="81"/>
      <c r="D1854" s="81"/>
      <c r="E1854" s="81"/>
      <c r="F1854" s="81"/>
      <c r="G1854" s="81"/>
      <c r="H1854" s="82"/>
    </row>
    <row r="1855" spans="1:8" ht="14.25" customHeight="1">
      <c r="A1855" s="80" t="s">
        <v>543</v>
      </c>
      <c r="B1855" s="81"/>
      <c r="C1855" s="81"/>
      <c r="D1855" s="81"/>
      <c r="E1855" s="81"/>
      <c r="F1855" s="81"/>
      <c r="G1855" s="81"/>
      <c r="H1855" s="82"/>
    </row>
    <row r="1856" spans="1:8" ht="14.25" customHeight="1">
      <c r="A1856" s="33" t="s">
        <v>2</v>
      </c>
      <c r="B1856" s="33" t="s">
        <v>3</v>
      </c>
      <c r="C1856" s="33" t="s">
        <v>4</v>
      </c>
      <c r="D1856" s="33" t="s">
        <v>5</v>
      </c>
      <c r="E1856" s="33" t="s">
        <v>6</v>
      </c>
      <c r="F1856" s="34" t="s">
        <v>7</v>
      </c>
      <c r="G1856" s="33" t="s">
        <v>8</v>
      </c>
      <c r="H1856" s="35"/>
    </row>
    <row r="1857" spans="1:8" ht="14.25" customHeight="1">
      <c r="A1857" s="36">
        <v>1</v>
      </c>
      <c r="B1857" s="18" t="s">
        <v>426</v>
      </c>
      <c r="C1857" s="5" t="s">
        <v>544</v>
      </c>
      <c r="D1857" s="18" t="s">
        <v>413</v>
      </c>
      <c r="E1857" s="18">
        <v>2.4500000000000002</v>
      </c>
      <c r="F1857" s="6">
        <v>293000</v>
      </c>
      <c r="G1857" s="37">
        <f t="shared" ref="G1857:G1859" si="118">IFERROR(E1857*F1857,0)</f>
        <v>717850</v>
      </c>
      <c r="H1857" s="38"/>
    </row>
    <row r="1858" spans="1:8" ht="14.25" customHeight="1">
      <c r="A1858" s="36">
        <v>2</v>
      </c>
      <c r="B1858" s="12" t="s">
        <v>545</v>
      </c>
      <c r="C1858" s="10" t="s">
        <v>546</v>
      </c>
      <c r="D1858" s="12" t="s">
        <v>14</v>
      </c>
      <c r="E1858" s="12">
        <v>0.93</v>
      </c>
      <c r="F1858" s="43">
        <v>435000</v>
      </c>
      <c r="G1858" s="37">
        <f t="shared" si="118"/>
        <v>404550</v>
      </c>
      <c r="H1858" s="38"/>
    </row>
    <row r="1859" spans="1:8" ht="14.25" customHeight="1">
      <c r="A1859" s="36">
        <v>4</v>
      </c>
      <c r="B1859" s="39" t="s">
        <v>17</v>
      </c>
      <c r="C1859" s="38"/>
      <c r="D1859" s="38"/>
      <c r="E1859" s="38"/>
      <c r="F1859" s="60"/>
      <c r="G1859" s="37">
        <f t="shared" si="118"/>
        <v>0</v>
      </c>
      <c r="H1859" s="38"/>
    </row>
    <row r="1860" spans="1:8" ht="14.25" customHeight="1">
      <c r="A1860" s="83" t="s">
        <v>18</v>
      </c>
      <c r="B1860" s="81"/>
      <c r="C1860" s="81"/>
      <c r="D1860" s="81"/>
      <c r="E1860" s="81"/>
      <c r="F1860" s="81"/>
      <c r="G1860" s="82"/>
      <c r="H1860" s="41">
        <f>SUM(G1857:G1859)</f>
        <v>1122400</v>
      </c>
    </row>
    <row r="1861" spans="1:8" ht="14.25" customHeight="1">
      <c r="A1861" s="83" t="s">
        <v>19</v>
      </c>
      <c r="B1861" s="81"/>
      <c r="C1861" s="81"/>
      <c r="D1861" s="81"/>
      <c r="E1861" s="81"/>
      <c r="F1861" s="81"/>
      <c r="G1861" s="82"/>
      <c r="H1861" s="41">
        <f>MAX(0,H1860-648000)</f>
        <v>474400</v>
      </c>
    </row>
    <row r="1862" spans="1:8" ht="14.25" customHeight="1">
      <c r="A1862" s="84" t="s">
        <v>20</v>
      </c>
      <c r="B1862" s="81"/>
      <c r="C1862" s="81"/>
      <c r="D1862" s="81"/>
      <c r="E1862" s="81"/>
      <c r="F1862" s="81"/>
      <c r="G1862" s="82"/>
      <c r="H1862" s="42">
        <v>649000</v>
      </c>
    </row>
    <row r="1863" spans="1:8" ht="14.25" customHeight="1">
      <c r="A1863" s="80"/>
      <c r="B1863" s="81"/>
      <c r="C1863" s="81"/>
      <c r="D1863" s="81"/>
      <c r="E1863" s="81"/>
      <c r="F1863" s="81"/>
      <c r="G1863" s="81"/>
      <c r="H1863" s="82"/>
    </row>
    <row r="1864" spans="1:8" ht="14.25" customHeight="1"/>
    <row r="1865" spans="1:8" ht="14.25" customHeight="1"/>
    <row r="1866" spans="1:8" ht="14.25" customHeight="1"/>
    <row r="1867" spans="1:8" ht="14.25" customHeight="1"/>
    <row r="1868" spans="1:8" ht="14.25" customHeight="1"/>
    <row r="1869" spans="1:8" ht="14.25" customHeight="1"/>
    <row r="1870" spans="1:8" ht="14.25" customHeight="1"/>
    <row r="1871" spans="1:8" ht="14.25" customHeight="1">
      <c r="A1871" s="80" t="s">
        <v>0</v>
      </c>
      <c r="B1871" s="81"/>
      <c r="C1871" s="81"/>
      <c r="D1871" s="81"/>
      <c r="E1871" s="81"/>
      <c r="F1871" s="81"/>
      <c r="G1871" s="81"/>
      <c r="H1871" s="82"/>
    </row>
    <row r="1872" spans="1:8" ht="14.25" customHeight="1">
      <c r="A1872" s="80" t="s">
        <v>547</v>
      </c>
      <c r="B1872" s="81"/>
      <c r="C1872" s="81"/>
      <c r="D1872" s="81"/>
      <c r="E1872" s="81"/>
      <c r="F1872" s="81"/>
      <c r="G1872" s="81"/>
      <c r="H1872" s="82"/>
    </row>
    <row r="1873" spans="1:8" ht="14.25" customHeight="1">
      <c r="A1873" s="33" t="s">
        <v>2</v>
      </c>
      <c r="B1873" s="33" t="s">
        <v>3</v>
      </c>
      <c r="C1873" s="33" t="s">
        <v>4</v>
      </c>
      <c r="D1873" s="33" t="s">
        <v>5</v>
      </c>
      <c r="E1873" s="33" t="s">
        <v>6</v>
      </c>
      <c r="F1873" s="34" t="s">
        <v>7</v>
      </c>
      <c r="G1873" s="33" t="s">
        <v>8</v>
      </c>
      <c r="H1873" s="35"/>
    </row>
    <row r="1874" spans="1:8" ht="14.25" customHeight="1">
      <c r="A1874" s="36">
        <v>1</v>
      </c>
      <c r="B1874" s="18" t="s">
        <v>190</v>
      </c>
      <c r="C1874" s="5" t="s">
        <v>548</v>
      </c>
      <c r="D1874" s="18" t="s">
        <v>11</v>
      </c>
      <c r="E1874" s="18">
        <v>2</v>
      </c>
      <c r="F1874" s="6">
        <v>293000</v>
      </c>
      <c r="G1874" s="37">
        <f t="shared" ref="G1874:G1876" si="119">IFERROR(E1874*F1874,0)</f>
        <v>586000</v>
      </c>
      <c r="H1874" s="38"/>
    </row>
    <row r="1875" spans="1:8" ht="14.25" customHeight="1">
      <c r="A1875" s="36">
        <v>2</v>
      </c>
      <c r="B1875" s="12" t="s">
        <v>549</v>
      </c>
      <c r="C1875" s="10" t="s">
        <v>550</v>
      </c>
      <c r="D1875" s="12" t="s">
        <v>14</v>
      </c>
      <c r="E1875" s="12">
        <v>1.35</v>
      </c>
      <c r="F1875" s="43">
        <v>435000</v>
      </c>
      <c r="G1875" s="37">
        <f t="shared" si="119"/>
        <v>587250</v>
      </c>
      <c r="H1875" s="38"/>
    </row>
    <row r="1876" spans="1:8" ht="14.25" customHeight="1">
      <c r="A1876" s="36">
        <v>4</v>
      </c>
      <c r="B1876" s="39" t="s">
        <v>17</v>
      </c>
      <c r="C1876" s="38"/>
      <c r="D1876" s="38"/>
      <c r="E1876" s="38"/>
      <c r="F1876" s="60"/>
      <c r="G1876" s="37">
        <f t="shared" si="119"/>
        <v>0</v>
      </c>
      <c r="H1876" s="38"/>
    </row>
    <row r="1877" spans="1:8" ht="14.25" customHeight="1">
      <c r="A1877" s="83" t="s">
        <v>18</v>
      </c>
      <c r="B1877" s="81"/>
      <c r="C1877" s="81"/>
      <c r="D1877" s="81"/>
      <c r="E1877" s="81"/>
      <c r="F1877" s="81"/>
      <c r="G1877" s="82"/>
      <c r="H1877" s="41">
        <f>SUM(G1874:G1876)</f>
        <v>1173250</v>
      </c>
    </row>
    <row r="1878" spans="1:8" ht="14.25" customHeight="1">
      <c r="A1878" s="83" t="s">
        <v>19</v>
      </c>
      <c r="B1878" s="81"/>
      <c r="C1878" s="81"/>
      <c r="D1878" s="81"/>
      <c r="E1878" s="81"/>
      <c r="F1878" s="81"/>
      <c r="G1878" s="82"/>
      <c r="H1878" s="41">
        <f>MAX(0,H1877-648000)</f>
        <v>525250</v>
      </c>
    </row>
    <row r="1879" spans="1:8" ht="14.25" customHeight="1">
      <c r="A1879" s="84" t="s">
        <v>20</v>
      </c>
      <c r="B1879" s="81"/>
      <c r="C1879" s="81"/>
      <c r="D1879" s="81"/>
      <c r="E1879" s="81"/>
      <c r="F1879" s="81"/>
      <c r="G1879" s="82"/>
      <c r="H1879" s="42">
        <v>649000</v>
      </c>
    </row>
    <row r="1880" spans="1:8" ht="14.25" customHeight="1">
      <c r="A1880" s="80"/>
      <c r="B1880" s="81"/>
      <c r="C1880" s="81"/>
      <c r="D1880" s="81"/>
      <c r="E1880" s="81"/>
      <c r="F1880" s="81"/>
      <c r="G1880" s="81"/>
      <c r="H1880" s="82"/>
    </row>
    <row r="1881" spans="1:8" ht="14.25" customHeight="1"/>
    <row r="1882" spans="1:8" ht="14.25" customHeight="1"/>
    <row r="1883" spans="1:8" ht="14.25" customHeight="1"/>
    <row r="1884" spans="1:8" ht="14.25" customHeight="1"/>
    <row r="1885" spans="1:8" ht="14.25" customHeight="1"/>
    <row r="1886" spans="1:8" ht="14.25" customHeight="1"/>
    <row r="1887" spans="1:8" ht="14.25" customHeight="1"/>
    <row r="1888" spans="1:8" ht="14.25" customHeight="1"/>
    <row r="1889" spans="1:8" ht="14.25" customHeight="1"/>
    <row r="1890" spans="1:8" ht="14.25" customHeight="1">
      <c r="A1890" s="80" t="s">
        <v>0</v>
      </c>
      <c r="B1890" s="81"/>
      <c r="C1890" s="81"/>
      <c r="D1890" s="81"/>
      <c r="E1890" s="81"/>
      <c r="F1890" s="81"/>
      <c r="G1890" s="81"/>
      <c r="H1890" s="82"/>
    </row>
    <row r="1891" spans="1:8" ht="14.25" customHeight="1">
      <c r="A1891" s="80" t="s">
        <v>551</v>
      </c>
      <c r="B1891" s="81"/>
      <c r="C1891" s="81"/>
      <c r="D1891" s="81"/>
      <c r="E1891" s="81"/>
      <c r="F1891" s="81"/>
      <c r="G1891" s="81"/>
      <c r="H1891" s="82"/>
    </row>
    <row r="1892" spans="1:8" ht="14.25" customHeight="1">
      <c r="A1892" s="33" t="s">
        <v>2</v>
      </c>
      <c r="B1892" s="33" t="s">
        <v>3</v>
      </c>
      <c r="C1892" s="33" t="s">
        <v>4</v>
      </c>
      <c r="D1892" s="33" t="s">
        <v>5</v>
      </c>
      <c r="E1892" s="33" t="s">
        <v>6</v>
      </c>
      <c r="F1892" s="34" t="s">
        <v>7</v>
      </c>
      <c r="G1892" s="33" t="s">
        <v>8</v>
      </c>
      <c r="H1892" s="35"/>
    </row>
    <row r="1893" spans="1:8" ht="14.25" customHeight="1">
      <c r="A1893" s="36">
        <v>1</v>
      </c>
      <c r="B1893" s="18" t="s">
        <v>552</v>
      </c>
      <c r="C1893" s="5" t="s">
        <v>553</v>
      </c>
      <c r="D1893" s="18" t="s">
        <v>413</v>
      </c>
      <c r="E1893" s="18">
        <v>2.35</v>
      </c>
      <c r="F1893" s="6">
        <v>293000</v>
      </c>
      <c r="G1893" s="37">
        <f t="shared" ref="G1893:G1895" si="120">IFERROR(E1893*F1893,0)</f>
        <v>688550</v>
      </c>
      <c r="H1893" s="38"/>
    </row>
    <row r="1894" spans="1:8" ht="14.25" customHeight="1">
      <c r="A1894" s="36">
        <v>2</v>
      </c>
      <c r="B1894" s="12" t="s">
        <v>549</v>
      </c>
      <c r="C1894" s="10" t="s">
        <v>554</v>
      </c>
      <c r="D1894" s="12" t="s">
        <v>14</v>
      </c>
      <c r="E1894" s="12">
        <v>1.1599999999999999</v>
      </c>
      <c r="F1894" s="43">
        <v>435000</v>
      </c>
      <c r="G1894" s="37">
        <f t="shared" si="120"/>
        <v>504599.99999999994</v>
      </c>
      <c r="H1894" s="38"/>
    </row>
    <row r="1895" spans="1:8" ht="14.25" customHeight="1">
      <c r="A1895" s="36">
        <v>4</v>
      </c>
      <c r="B1895" s="39" t="s">
        <v>17</v>
      </c>
      <c r="C1895" s="38"/>
      <c r="D1895" s="38"/>
      <c r="E1895" s="38"/>
      <c r="F1895" s="60"/>
      <c r="G1895" s="37">
        <f t="shared" si="120"/>
        <v>0</v>
      </c>
      <c r="H1895" s="38"/>
    </row>
    <row r="1896" spans="1:8" ht="14.25" customHeight="1">
      <c r="A1896" s="83" t="s">
        <v>18</v>
      </c>
      <c r="B1896" s="81"/>
      <c r="C1896" s="81"/>
      <c r="D1896" s="81"/>
      <c r="E1896" s="81"/>
      <c r="F1896" s="81"/>
      <c r="G1896" s="82"/>
      <c r="H1896" s="41">
        <f>SUM(G1893:G1895)</f>
        <v>1193150</v>
      </c>
    </row>
    <row r="1897" spans="1:8" ht="14.25" customHeight="1">
      <c r="A1897" s="83" t="s">
        <v>19</v>
      </c>
      <c r="B1897" s="81"/>
      <c r="C1897" s="81"/>
      <c r="D1897" s="81"/>
      <c r="E1897" s="81"/>
      <c r="F1897" s="81"/>
      <c r="G1897" s="82"/>
      <c r="H1897" s="41">
        <f>MAX(0,H1896-648000)</f>
        <v>545150</v>
      </c>
    </row>
    <row r="1898" spans="1:8" ht="14.25" customHeight="1">
      <c r="A1898" s="84" t="s">
        <v>20</v>
      </c>
      <c r="B1898" s="81"/>
      <c r="C1898" s="81"/>
      <c r="D1898" s="81"/>
      <c r="E1898" s="81"/>
      <c r="F1898" s="81"/>
      <c r="G1898" s="82"/>
      <c r="H1898" s="42">
        <v>649000</v>
      </c>
    </row>
    <row r="1899" spans="1:8" ht="14.25" customHeight="1">
      <c r="A1899" s="80"/>
      <c r="B1899" s="81"/>
      <c r="C1899" s="81"/>
      <c r="D1899" s="81"/>
      <c r="E1899" s="81"/>
      <c r="F1899" s="81"/>
      <c r="G1899" s="81"/>
      <c r="H1899" s="82"/>
    </row>
    <row r="1900" spans="1:8" ht="14.25" customHeight="1"/>
    <row r="1901" spans="1:8" ht="14.25" customHeight="1"/>
    <row r="1902" spans="1:8" ht="14.25" customHeight="1"/>
    <row r="1903" spans="1:8" ht="14.25" customHeight="1"/>
    <row r="1904" spans="1:8" ht="14.25" customHeight="1"/>
    <row r="1905" spans="1:8" ht="14.25" customHeight="1">
      <c r="A1905" s="80" t="s">
        <v>0</v>
      </c>
      <c r="B1905" s="81"/>
      <c r="C1905" s="81"/>
      <c r="D1905" s="81"/>
      <c r="E1905" s="81"/>
      <c r="F1905" s="81"/>
      <c r="G1905" s="81"/>
      <c r="H1905" s="82"/>
    </row>
    <row r="1906" spans="1:8" ht="14.25" customHeight="1">
      <c r="A1906" s="80" t="s">
        <v>555</v>
      </c>
      <c r="B1906" s="81"/>
      <c r="C1906" s="81"/>
      <c r="D1906" s="81"/>
      <c r="E1906" s="81"/>
      <c r="F1906" s="81"/>
      <c r="G1906" s="81"/>
      <c r="H1906" s="82"/>
    </row>
    <row r="1907" spans="1:8" ht="14.25" customHeight="1">
      <c r="A1907" s="33" t="s">
        <v>2</v>
      </c>
      <c r="B1907" s="33" t="s">
        <v>3</v>
      </c>
      <c r="C1907" s="33" t="s">
        <v>4</v>
      </c>
      <c r="D1907" s="33" t="s">
        <v>5</v>
      </c>
      <c r="E1907" s="33" t="s">
        <v>6</v>
      </c>
      <c r="F1907" s="34" t="s">
        <v>7</v>
      </c>
      <c r="G1907" s="33" t="s">
        <v>8</v>
      </c>
      <c r="H1907" s="35"/>
    </row>
    <row r="1908" spans="1:8" ht="14.25" customHeight="1">
      <c r="A1908" s="36">
        <v>1</v>
      </c>
      <c r="B1908" s="18" t="s">
        <v>185</v>
      </c>
      <c r="C1908" s="5" t="s">
        <v>556</v>
      </c>
      <c r="D1908" s="18" t="s">
        <v>413</v>
      </c>
      <c r="E1908" s="18">
        <v>2</v>
      </c>
      <c r="F1908" s="6">
        <v>293000</v>
      </c>
      <c r="G1908" s="37">
        <f t="shared" ref="G1908:G1910" si="121">IFERROR(E1908*F1908,0)</f>
        <v>586000</v>
      </c>
      <c r="H1908" s="38"/>
    </row>
    <row r="1909" spans="1:8" ht="14.25" customHeight="1">
      <c r="A1909" s="36">
        <v>2</v>
      </c>
      <c r="B1909" s="12" t="s">
        <v>73</v>
      </c>
      <c r="C1909" s="10" t="s">
        <v>557</v>
      </c>
      <c r="D1909" s="12" t="s">
        <v>14</v>
      </c>
      <c r="E1909" s="12">
        <v>1.2</v>
      </c>
      <c r="F1909" s="43">
        <v>435000</v>
      </c>
      <c r="G1909" s="37">
        <f t="shared" si="121"/>
        <v>522000</v>
      </c>
      <c r="H1909" s="38"/>
    </row>
    <row r="1910" spans="1:8" ht="14.25" customHeight="1">
      <c r="A1910" s="36">
        <v>4</v>
      </c>
      <c r="B1910" s="39" t="s">
        <v>17</v>
      </c>
      <c r="C1910" s="38"/>
      <c r="D1910" s="38"/>
      <c r="E1910" s="38"/>
      <c r="F1910" s="60"/>
      <c r="G1910" s="37">
        <f t="shared" si="121"/>
        <v>0</v>
      </c>
      <c r="H1910" s="38"/>
    </row>
    <row r="1911" spans="1:8" ht="14.25" customHeight="1">
      <c r="A1911" s="83" t="s">
        <v>18</v>
      </c>
      <c r="B1911" s="81"/>
      <c r="C1911" s="81"/>
      <c r="D1911" s="81"/>
      <c r="E1911" s="81"/>
      <c r="F1911" s="81"/>
      <c r="G1911" s="82"/>
      <c r="H1911" s="41">
        <f>SUM(G1908:G1910)</f>
        <v>1108000</v>
      </c>
    </row>
    <row r="1912" spans="1:8" ht="14.25" customHeight="1">
      <c r="A1912" s="83" t="s">
        <v>19</v>
      </c>
      <c r="B1912" s="81"/>
      <c r="C1912" s="81"/>
      <c r="D1912" s="81"/>
      <c r="E1912" s="81"/>
      <c r="F1912" s="81"/>
      <c r="G1912" s="82"/>
      <c r="H1912" s="41">
        <f>MAX(0,H1911-648000)</f>
        <v>460000</v>
      </c>
    </row>
    <row r="1913" spans="1:8" ht="14.25" customHeight="1">
      <c r="A1913" s="84" t="s">
        <v>20</v>
      </c>
      <c r="B1913" s="81"/>
      <c r="C1913" s="81"/>
      <c r="D1913" s="81"/>
      <c r="E1913" s="81"/>
      <c r="F1913" s="81"/>
      <c r="G1913" s="82"/>
      <c r="H1913" s="42">
        <v>649000</v>
      </c>
    </row>
    <row r="1914" spans="1:8" ht="14.25" customHeight="1">
      <c r="A1914" s="80"/>
      <c r="B1914" s="81"/>
      <c r="C1914" s="81"/>
      <c r="D1914" s="81"/>
      <c r="E1914" s="81"/>
      <c r="F1914" s="81"/>
      <c r="G1914" s="81"/>
      <c r="H1914" s="82"/>
    </row>
    <row r="1915" spans="1:8" ht="14.25" customHeight="1"/>
    <row r="1916" spans="1:8" ht="14.25" customHeight="1"/>
    <row r="1917" spans="1:8" ht="14.25" customHeight="1"/>
    <row r="1918" spans="1:8" ht="14.25" customHeight="1"/>
    <row r="1919" spans="1:8" ht="14.25" customHeight="1"/>
    <row r="1920" spans="1:8" ht="14.25" customHeight="1"/>
    <row r="1921" spans="1:8" ht="14.25" customHeight="1"/>
    <row r="1922" spans="1:8" ht="14.25" customHeight="1"/>
    <row r="1923" spans="1:8" ht="14.25" customHeight="1">
      <c r="A1923" s="80" t="s">
        <v>0</v>
      </c>
      <c r="B1923" s="81"/>
      <c r="C1923" s="81"/>
      <c r="D1923" s="81"/>
      <c r="E1923" s="81"/>
      <c r="F1923" s="81"/>
      <c r="G1923" s="81"/>
      <c r="H1923" s="82"/>
    </row>
    <row r="1924" spans="1:8" ht="14.25" customHeight="1">
      <c r="A1924" s="80" t="s">
        <v>558</v>
      </c>
      <c r="B1924" s="81"/>
      <c r="C1924" s="81"/>
      <c r="D1924" s="81"/>
      <c r="E1924" s="81"/>
      <c r="F1924" s="81"/>
      <c r="G1924" s="81"/>
      <c r="H1924" s="82"/>
    </row>
    <row r="1925" spans="1:8" ht="14.25" customHeight="1">
      <c r="A1925" s="33" t="s">
        <v>2</v>
      </c>
      <c r="B1925" s="33" t="s">
        <v>3</v>
      </c>
      <c r="C1925" s="33" t="s">
        <v>4</v>
      </c>
      <c r="D1925" s="33" t="s">
        <v>5</v>
      </c>
      <c r="E1925" s="33" t="s">
        <v>6</v>
      </c>
      <c r="F1925" s="34" t="s">
        <v>7</v>
      </c>
      <c r="G1925" s="33" t="s">
        <v>8</v>
      </c>
      <c r="H1925" s="35"/>
    </row>
    <row r="1926" spans="1:8" ht="14.25" customHeight="1">
      <c r="A1926" s="36">
        <v>1</v>
      </c>
      <c r="B1926" s="18" t="s">
        <v>374</v>
      </c>
      <c r="C1926" s="5" t="s">
        <v>559</v>
      </c>
      <c r="D1926" s="18" t="s">
        <v>11</v>
      </c>
      <c r="E1926" s="18">
        <v>2</v>
      </c>
      <c r="F1926" s="6">
        <v>293000</v>
      </c>
      <c r="G1926" s="37">
        <f t="shared" ref="G1926:G1928" si="122">IFERROR(E1926*F1926,0)</f>
        <v>586000</v>
      </c>
      <c r="H1926" s="38"/>
    </row>
    <row r="1927" spans="1:8" ht="14.25" customHeight="1">
      <c r="A1927" s="36">
        <v>2</v>
      </c>
      <c r="B1927" s="12" t="s">
        <v>560</v>
      </c>
      <c r="C1927" s="10" t="s">
        <v>561</v>
      </c>
      <c r="D1927" s="12" t="s">
        <v>233</v>
      </c>
      <c r="E1927" s="12">
        <v>1.3</v>
      </c>
      <c r="F1927" s="43">
        <v>435000</v>
      </c>
      <c r="G1927" s="37">
        <f t="shared" si="122"/>
        <v>565500</v>
      </c>
      <c r="H1927" s="38"/>
    </row>
    <row r="1928" spans="1:8" ht="14.25" customHeight="1">
      <c r="A1928" s="36">
        <v>4</v>
      </c>
      <c r="B1928" s="39" t="s">
        <v>17</v>
      </c>
      <c r="C1928" s="38"/>
      <c r="D1928" s="38"/>
      <c r="E1928" s="38"/>
      <c r="F1928" s="60"/>
      <c r="G1928" s="37">
        <f t="shared" si="122"/>
        <v>0</v>
      </c>
      <c r="H1928" s="38"/>
    </row>
    <row r="1929" spans="1:8" ht="14.25" customHeight="1">
      <c r="A1929" s="83" t="s">
        <v>18</v>
      </c>
      <c r="B1929" s="81"/>
      <c r="C1929" s="81"/>
      <c r="D1929" s="81"/>
      <c r="E1929" s="81"/>
      <c r="F1929" s="81"/>
      <c r="G1929" s="82"/>
      <c r="H1929" s="41">
        <f>SUM(G1926:G1928)</f>
        <v>1151500</v>
      </c>
    </row>
    <row r="1930" spans="1:8" ht="14.25" customHeight="1">
      <c r="A1930" s="83" t="s">
        <v>19</v>
      </c>
      <c r="B1930" s="81"/>
      <c r="C1930" s="81"/>
      <c r="D1930" s="81"/>
      <c r="E1930" s="81"/>
      <c r="F1930" s="81"/>
      <c r="G1930" s="82"/>
      <c r="H1930" s="41">
        <f>MAX(0,H1929-648000)</f>
        <v>503500</v>
      </c>
    </row>
    <row r="1931" spans="1:8" ht="14.25" customHeight="1">
      <c r="A1931" s="84" t="s">
        <v>20</v>
      </c>
      <c r="B1931" s="81"/>
      <c r="C1931" s="81"/>
      <c r="D1931" s="81"/>
      <c r="E1931" s="81"/>
      <c r="F1931" s="81"/>
      <c r="G1931" s="82"/>
      <c r="H1931" s="42">
        <v>649000</v>
      </c>
    </row>
    <row r="1932" spans="1:8" ht="14.25" customHeight="1">
      <c r="A1932" s="80"/>
      <c r="B1932" s="81"/>
      <c r="C1932" s="81"/>
      <c r="D1932" s="81"/>
      <c r="E1932" s="81"/>
      <c r="F1932" s="81"/>
      <c r="G1932" s="81"/>
      <c r="H1932" s="82"/>
    </row>
    <row r="1933" spans="1:8" ht="14.25" customHeight="1"/>
    <row r="1934" spans="1:8" ht="14.25" customHeight="1"/>
    <row r="1935" spans="1:8" ht="14.25" customHeight="1"/>
    <row r="1936" spans="1:8" ht="14.25" customHeight="1"/>
    <row r="1937" spans="1:8" ht="14.25" customHeight="1"/>
    <row r="1938" spans="1:8" ht="14.25" customHeight="1"/>
    <row r="1939" spans="1:8" ht="14.25" customHeight="1"/>
    <row r="1940" spans="1:8" ht="14.25" customHeight="1"/>
    <row r="1941" spans="1:8" ht="14.25" customHeight="1"/>
    <row r="1942" spans="1:8" ht="14.25" customHeight="1">
      <c r="A1942" s="80" t="s">
        <v>0</v>
      </c>
      <c r="B1942" s="81"/>
      <c r="C1942" s="81"/>
      <c r="D1942" s="81"/>
      <c r="E1942" s="81"/>
      <c r="F1942" s="81"/>
      <c r="G1942" s="81"/>
      <c r="H1942" s="82"/>
    </row>
    <row r="1943" spans="1:8" ht="14.25" customHeight="1">
      <c r="A1943" s="80" t="s">
        <v>562</v>
      </c>
      <c r="B1943" s="81"/>
      <c r="C1943" s="81"/>
      <c r="D1943" s="81"/>
      <c r="E1943" s="81"/>
      <c r="F1943" s="81"/>
      <c r="G1943" s="81"/>
      <c r="H1943" s="82"/>
    </row>
    <row r="1944" spans="1:8" ht="14.25" customHeight="1">
      <c r="A1944" s="33" t="s">
        <v>2</v>
      </c>
      <c r="B1944" s="33" t="s">
        <v>3</v>
      </c>
      <c r="C1944" s="33" t="s">
        <v>4</v>
      </c>
      <c r="D1944" s="33" t="s">
        <v>5</v>
      </c>
      <c r="E1944" s="33" t="s">
        <v>6</v>
      </c>
      <c r="F1944" s="34" t="s">
        <v>7</v>
      </c>
      <c r="G1944" s="33" t="s">
        <v>8</v>
      </c>
      <c r="H1944" s="35"/>
    </row>
    <row r="1945" spans="1:8" ht="14.25" customHeight="1">
      <c r="A1945" s="36">
        <v>1</v>
      </c>
      <c r="B1945" s="18" t="s">
        <v>563</v>
      </c>
      <c r="C1945" s="5" t="s">
        <v>564</v>
      </c>
      <c r="D1945" s="18" t="s">
        <v>413</v>
      </c>
      <c r="E1945" s="18">
        <v>2</v>
      </c>
      <c r="F1945" s="6">
        <v>293000</v>
      </c>
      <c r="G1945" s="37">
        <f t="shared" ref="G1945:G1946" si="123">IFERROR(E1982*F1945,0)</f>
        <v>586000</v>
      </c>
      <c r="H1945" s="38"/>
    </row>
    <row r="1946" spans="1:8" ht="14.25" customHeight="1">
      <c r="A1946" s="36">
        <v>2</v>
      </c>
      <c r="B1946" s="18" t="s">
        <v>422</v>
      </c>
      <c r="C1946" s="5" t="s">
        <v>565</v>
      </c>
      <c r="D1946" s="18" t="s">
        <v>233</v>
      </c>
      <c r="E1946" s="18">
        <v>1.55</v>
      </c>
      <c r="F1946" s="43">
        <v>435000</v>
      </c>
      <c r="G1946" s="37">
        <f t="shared" si="123"/>
        <v>669900</v>
      </c>
      <c r="H1946" s="38"/>
    </row>
    <row r="1947" spans="1:8" ht="14.25" customHeight="1">
      <c r="A1947" s="36">
        <v>4</v>
      </c>
      <c r="B1947" s="39" t="s">
        <v>17</v>
      </c>
      <c r="C1947" s="38"/>
      <c r="D1947" s="38"/>
      <c r="E1947" s="38"/>
      <c r="F1947" s="60"/>
      <c r="G1947" s="37">
        <f>IFERROR(E1947*F1947,0)</f>
        <v>0</v>
      </c>
      <c r="H1947" s="38"/>
    </row>
    <row r="1948" spans="1:8" ht="14.25" customHeight="1">
      <c r="A1948" s="83" t="s">
        <v>18</v>
      </c>
      <c r="B1948" s="81"/>
      <c r="C1948" s="81"/>
      <c r="D1948" s="81"/>
      <c r="E1948" s="81"/>
      <c r="F1948" s="81"/>
      <c r="G1948" s="82"/>
      <c r="H1948" s="41">
        <f>SUM(G1945:G1947)</f>
        <v>1255900</v>
      </c>
    </row>
    <row r="1949" spans="1:8" ht="14.25" customHeight="1">
      <c r="A1949" s="83" t="s">
        <v>19</v>
      </c>
      <c r="B1949" s="81"/>
      <c r="C1949" s="81"/>
      <c r="D1949" s="81"/>
      <c r="E1949" s="81"/>
      <c r="F1949" s="81"/>
      <c r="G1949" s="82"/>
      <c r="H1949" s="41">
        <f>MAX(0,H1948-648000)</f>
        <v>607900</v>
      </c>
    </row>
    <row r="1950" spans="1:8" ht="14.25" customHeight="1">
      <c r="A1950" s="84" t="s">
        <v>20</v>
      </c>
      <c r="B1950" s="81"/>
      <c r="C1950" s="81"/>
      <c r="D1950" s="81"/>
      <c r="E1950" s="81"/>
      <c r="F1950" s="81"/>
      <c r="G1950" s="82"/>
      <c r="H1950" s="42">
        <v>649000</v>
      </c>
    </row>
    <row r="1951" spans="1:8" ht="14.25" customHeight="1">
      <c r="A1951" s="80"/>
      <c r="B1951" s="81"/>
      <c r="C1951" s="81"/>
      <c r="D1951" s="81"/>
      <c r="E1951" s="81"/>
      <c r="F1951" s="81"/>
      <c r="G1951" s="81"/>
      <c r="H1951" s="82"/>
    </row>
    <row r="1952" spans="1:8" ht="14.25" customHeight="1"/>
    <row r="1953" spans="1:8" ht="14.25" customHeight="1"/>
    <row r="1954" spans="1:8" ht="14.25" customHeight="1"/>
    <row r="1955" spans="1:8" ht="14.25" customHeight="1"/>
    <row r="1956" spans="1:8" ht="14.25" customHeight="1"/>
    <row r="1957" spans="1:8" ht="14.25" customHeight="1"/>
    <row r="1958" spans="1:8" ht="14.25" customHeight="1"/>
    <row r="1959" spans="1:8" ht="14.25" customHeight="1"/>
    <row r="1960" spans="1:8" ht="14.25" customHeight="1">
      <c r="A1960" s="80" t="s">
        <v>0</v>
      </c>
      <c r="B1960" s="81"/>
      <c r="C1960" s="81"/>
      <c r="D1960" s="81"/>
      <c r="E1960" s="81"/>
      <c r="F1960" s="81"/>
      <c r="G1960" s="81"/>
      <c r="H1960" s="82"/>
    </row>
    <row r="1961" spans="1:8" ht="14.25" customHeight="1">
      <c r="A1961" s="80" t="s">
        <v>566</v>
      </c>
      <c r="B1961" s="81"/>
      <c r="C1961" s="81"/>
      <c r="D1961" s="81"/>
      <c r="E1961" s="81"/>
      <c r="F1961" s="81"/>
      <c r="G1961" s="81"/>
      <c r="H1961" s="82"/>
    </row>
    <row r="1962" spans="1:8" ht="14.25" customHeight="1">
      <c r="A1962" s="33" t="s">
        <v>2</v>
      </c>
      <c r="B1962" s="33" t="s">
        <v>3</v>
      </c>
      <c r="C1962" s="33" t="s">
        <v>4</v>
      </c>
      <c r="D1962" s="33" t="s">
        <v>5</v>
      </c>
      <c r="E1962" s="33" t="s">
        <v>6</v>
      </c>
      <c r="F1962" s="34" t="s">
        <v>7</v>
      </c>
      <c r="G1962" s="33" t="s">
        <v>8</v>
      </c>
      <c r="H1962" s="35"/>
    </row>
    <row r="1963" spans="1:8" ht="14.25" customHeight="1">
      <c r="A1963" s="36">
        <v>1</v>
      </c>
      <c r="B1963" s="18" t="s">
        <v>279</v>
      </c>
      <c r="C1963" s="5" t="s">
        <v>567</v>
      </c>
      <c r="D1963" s="18" t="s">
        <v>413</v>
      </c>
      <c r="E1963" s="18">
        <v>2.6</v>
      </c>
      <c r="F1963" s="6">
        <v>293000</v>
      </c>
      <c r="G1963" s="37">
        <f t="shared" ref="G1963:G1965" si="124">IFERROR(E1963*F1963,0)</f>
        <v>761800</v>
      </c>
      <c r="H1963" s="38"/>
    </row>
    <row r="1964" spans="1:8" ht="14.25" customHeight="1">
      <c r="A1964" s="36">
        <v>2</v>
      </c>
      <c r="B1964" s="12" t="s">
        <v>33</v>
      </c>
      <c r="C1964" s="10" t="s">
        <v>568</v>
      </c>
      <c r="D1964" s="12" t="s">
        <v>14</v>
      </c>
      <c r="E1964" s="12">
        <v>0.9</v>
      </c>
      <c r="F1964" s="43">
        <v>435000</v>
      </c>
      <c r="G1964" s="37">
        <f t="shared" si="124"/>
        <v>391500</v>
      </c>
      <c r="H1964" s="38"/>
    </row>
    <row r="1965" spans="1:8" ht="14.25" customHeight="1">
      <c r="A1965" s="36">
        <v>4</v>
      </c>
      <c r="B1965" s="39" t="s">
        <v>17</v>
      </c>
      <c r="C1965" s="38"/>
      <c r="D1965" s="38"/>
      <c r="E1965" s="38"/>
      <c r="F1965" s="60"/>
      <c r="G1965" s="37">
        <f t="shared" si="124"/>
        <v>0</v>
      </c>
      <c r="H1965" s="38"/>
    </row>
    <row r="1966" spans="1:8" ht="14.25" customHeight="1">
      <c r="A1966" s="83" t="s">
        <v>18</v>
      </c>
      <c r="B1966" s="81"/>
      <c r="C1966" s="81"/>
      <c r="D1966" s="81"/>
      <c r="E1966" s="81"/>
      <c r="F1966" s="81"/>
      <c r="G1966" s="82"/>
      <c r="H1966" s="41">
        <f>SUM(G1963:G1965)</f>
        <v>1153300</v>
      </c>
    </row>
    <row r="1967" spans="1:8" ht="14.25" customHeight="1">
      <c r="A1967" s="83" t="s">
        <v>19</v>
      </c>
      <c r="B1967" s="81"/>
      <c r="C1967" s="81"/>
      <c r="D1967" s="81"/>
      <c r="E1967" s="81"/>
      <c r="F1967" s="81"/>
      <c r="G1967" s="82"/>
      <c r="H1967" s="41">
        <f>MAX(0,H1966-648000)</f>
        <v>505300</v>
      </c>
    </row>
    <row r="1968" spans="1:8" ht="14.25" customHeight="1">
      <c r="A1968" s="84" t="s">
        <v>20</v>
      </c>
      <c r="B1968" s="81"/>
      <c r="C1968" s="81"/>
      <c r="D1968" s="81"/>
      <c r="E1968" s="81"/>
      <c r="F1968" s="81"/>
      <c r="G1968" s="82"/>
      <c r="H1968" s="42">
        <v>649000</v>
      </c>
    </row>
    <row r="1969" spans="1:8" ht="14.25" customHeight="1">
      <c r="A1969" s="80"/>
      <c r="B1969" s="81"/>
      <c r="C1969" s="81"/>
      <c r="D1969" s="81"/>
      <c r="E1969" s="81"/>
      <c r="F1969" s="81"/>
      <c r="G1969" s="81"/>
      <c r="H1969" s="82"/>
    </row>
    <row r="1970" spans="1:8" ht="14.25" customHeight="1"/>
    <row r="1971" spans="1:8" ht="14.25" customHeight="1"/>
    <row r="1972" spans="1:8" ht="14.25" customHeight="1"/>
    <row r="1973" spans="1:8" ht="14.25" customHeight="1"/>
    <row r="1974" spans="1:8" ht="14.25" customHeight="1"/>
    <row r="1975" spans="1:8" ht="14.25" customHeight="1"/>
    <row r="1976" spans="1:8" ht="14.25" customHeight="1"/>
    <row r="1977" spans="1:8" ht="14.25" customHeight="1"/>
    <row r="1978" spans="1:8" ht="14.25" customHeight="1"/>
    <row r="1979" spans="1:8" ht="14.25" customHeight="1">
      <c r="A1979" s="80" t="s">
        <v>0</v>
      </c>
      <c r="B1979" s="81"/>
      <c r="C1979" s="81"/>
      <c r="D1979" s="81"/>
      <c r="E1979" s="81"/>
      <c r="F1979" s="81"/>
      <c r="G1979" s="81"/>
      <c r="H1979" s="82"/>
    </row>
    <row r="1980" spans="1:8" ht="14.25" customHeight="1">
      <c r="A1980" s="80" t="s">
        <v>569</v>
      </c>
      <c r="B1980" s="81"/>
      <c r="C1980" s="81"/>
      <c r="D1980" s="81"/>
      <c r="E1980" s="81"/>
      <c r="F1980" s="81"/>
      <c r="G1980" s="81"/>
      <c r="H1980" s="82"/>
    </row>
    <row r="1981" spans="1:8" ht="14.25" customHeight="1">
      <c r="A1981" s="33" t="s">
        <v>2</v>
      </c>
      <c r="B1981" s="33" t="s">
        <v>3</v>
      </c>
      <c r="C1981" s="33" t="s">
        <v>4</v>
      </c>
      <c r="D1981" s="33" t="s">
        <v>5</v>
      </c>
      <c r="E1981" s="33" t="s">
        <v>6</v>
      </c>
      <c r="F1981" s="34" t="s">
        <v>7</v>
      </c>
      <c r="G1981" s="33" t="s">
        <v>8</v>
      </c>
      <c r="H1981" s="35"/>
    </row>
    <row r="1982" spans="1:8" ht="14.25" customHeight="1">
      <c r="A1982" s="36">
        <v>1</v>
      </c>
      <c r="B1982" s="18" t="s">
        <v>422</v>
      </c>
      <c r="C1982" s="5" t="s">
        <v>570</v>
      </c>
      <c r="D1982" s="18" t="s">
        <v>413</v>
      </c>
      <c r="E1982" s="18">
        <v>2</v>
      </c>
      <c r="F1982" s="6">
        <v>293000</v>
      </c>
      <c r="G1982" s="37">
        <f t="shared" ref="G1982:G1983" si="125">IFERROR(#REF!*F1982,0)</f>
        <v>0</v>
      </c>
      <c r="H1982" s="38"/>
    </row>
    <row r="1983" spans="1:8" ht="14.25" customHeight="1">
      <c r="A1983" s="36">
        <v>2</v>
      </c>
      <c r="B1983" s="12" t="s">
        <v>571</v>
      </c>
      <c r="C1983" s="10" t="s">
        <v>572</v>
      </c>
      <c r="D1983" s="12" t="s">
        <v>14</v>
      </c>
      <c r="E1983" s="12">
        <v>1.54</v>
      </c>
      <c r="F1983" s="43">
        <v>435000</v>
      </c>
      <c r="G1983" s="37">
        <f t="shared" si="125"/>
        <v>0</v>
      </c>
      <c r="H1983" s="38"/>
    </row>
    <row r="1984" spans="1:8" ht="14.25" customHeight="1">
      <c r="A1984" s="36">
        <v>4</v>
      </c>
      <c r="B1984" s="39" t="s">
        <v>17</v>
      </c>
      <c r="C1984" s="38"/>
      <c r="D1984" s="38"/>
      <c r="E1984" s="38"/>
      <c r="F1984" s="60"/>
      <c r="G1984" s="37">
        <f>IFERROR(E1984*F1984,0)</f>
        <v>0</v>
      </c>
      <c r="H1984" s="38"/>
    </row>
    <row r="1985" spans="1:8" ht="14.25" customHeight="1">
      <c r="A1985" s="83" t="s">
        <v>18</v>
      </c>
      <c r="B1985" s="81"/>
      <c r="C1985" s="81"/>
      <c r="D1985" s="81"/>
      <c r="E1985" s="81"/>
      <c r="F1985" s="81"/>
      <c r="G1985" s="82"/>
      <c r="H1985" s="41">
        <f>SUM(G1982:G1984)</f>
        <v>0</v>
      </c>
    </row>
    <row r="1986" spans="1:8" ht="14.25" customHeight="1">
      <c r="A1986" s="83" t="s">
        <v>19</v>
      </c>
      <c r="B1986" s="81"/>
      <c r="C1986" s="81"/>
      <c r="D1986" s="81"/>
      <c r="E1986" s="81"/>
      <c r="F1986" s="81"/>
      <c r="G1986" s="82"/>
      <c r="H1986" s="41">
        <f>MAX(0,H1985-648000)</f>
        <v>0</v>
      </c>
    </row>
    <row r="1987" spans="1:8" ht="14.25" customHeight="1">
      <c r="A1987" s="84" t="s">
        <v>20</v>
      </c>
      <c r="B1987" s="81"/>
      <c r="C1987" s="81"/>
      <c r="D1987" s="81"/>
      <c r="E1987" s="81"/>
      <c r="F1987" s="81"/>
      <c r="G1987" s="82"/>
      <c r="H1987" s="42">
        <v>649000</v>
      </c>
    </row>
    <row r="1988" spans="1:8" ht="14.25" customHeight="1">
      <c r="A1988" s="80"/>
      <c r="B1988" s="81"/>
      <c r="C1988" s="81"/>
      <c r="D1988" s="81"/>
      <c r="E1988" s="81"/>
      <c r="F1988" s="81"/>
      <c r="G1988" s="81"/>
      <c r="H1988" s="82"/>
    </row>
    <row r="1994" spans="1:8" ht="14.25" customHeight="1">
      <c r="A1994" s="80" t="s">
        <v>0</v>
      </c>
      <c r="B1994" s="81"/>
      <c r="C1994" s="81"/>
      <c r="D1994" s="81"/>
      <c r="E1994" s="81"/>
      <c r="F1994" s="81"/>
      <c r="G1994" s="81"/>
      <c r="H1994" s="82"/>
    </row>
    <row r="1995" spans="1:8" ht="14.25" customHeight="1">
      <c r="A1995" s="80" t="s">
        <v>573</v>
      </c>
      <c r="B1995" s="81"/>
      <c r="C1995" s="81"/>
      <c r="D1995" s="81"/>
      <c r="E1995" s="81"/>
      <c r="F1995" s="81"/>
      <c r="G1995" s="81"/>
      <c r="H1995" s="82"/>
    </row>
    <row r="1996" spans="1:8" ht="14.25" customHeight="1">
      <c r="A1996" s="33" t="s">
        <v>2</v>
      </c>
      <c r="B1996" s="33" t="s">
        <v>3</v>
      </c>
      <c r="C1996" s="33" t="s">
        <v>4</v>
      </c>
      <c r="D1996" s="33" t="s">
        <v>5</v>
      </c>
      <c r="E1996" s="33" t="s">
        <v>6</v>
      </c>
      <c r="F1996" s="34" t="s">
        <v>7</v>
      </c>
      <c r="G1996" s="33" t="s">
        <v>8</v>
      </c>
      <c r="H1996" s="35"/>
    </row>
    <row r="1997" spans="1:8" ht="14.25" customHeight="1">
      <c r="A1997" s="36">
        <v>1</v>
      </c>
      <c r="B1997" s="18" t="s">
        <v>54</v>
      </c>
      <c r="C1997" s="5" t="s">
        <v>574</v>
      </c>
      <c r="D1997" s="18" t="s">
        <v>11</v>
      </c>
      <c r="E1997" s="18">
        <v>2.46</v>
      </c>
      <c r="F1997" s="6">
        <v>293000</v>
      </c>
      <c r="G1997" s="37">
        <f t="shared" ref="G1997:G1999" si="126">IFERROR(E1997*F1997,0)</f>
        <v>720780</v>
      </c>
      <c r="H1997" s="38"/>
    </row>
    <row r="1998" spans="1:8" ht="14.25" customHeight="1">
      <c r="A1998" s="36">
        <v>2</v>
      </c>
      <c r="B1998" s="12" t="s">
        <v>575</v>
      </c>
      <c r="C1998" s="10" t="s">
        <v>576</v>
      </c>
      <c r="D1998" s="12" t="s">
        <v>14</v>
      </c>
      <c r="E1998" s="12">
        <v>1.1000000000000001</v>
      </c>
      <c r="F1998" s="43">
        <v>435000</v>
      </c>
      <c r="G1998" s="37">
        <f t="shared" si="126"/>
        <v>478500.00000000006</v>
      </c>
      <c r="H1998" s="38"/>
    </row>
    <row r="1999" spans="1:8" ht="14.25" customHeight="1">
      <c r="A1999" s="36">
        <v>4</v>
      </c>
      <c r="B1999" s="39" t="s">
        <v>17</v>
      </c>
      <c r="C1999" s="38"/>
      <c r="D1999" s="38"/>
      <c r="E1999" s="38"/>
      <c r="F1999" s="60"/>
      <c r="G1999" s="37">
        <f t="shared" si="126"/>
        <v>0</v>
      </c>
      <c r="H1999" s="38"/>
    </row>
    <row r="2000" spans="1:8" ht="14.25" customHeight="1">
      <c r="A2000" s="83" t="s">
        <v>18</v>
      </c>
      <c r="B2000" s="81"/>
      <c r="C2000" s="81"/>
      <c r="D2000" s="81"/>
      <c r="E2000" s="81"/>
      <c r="F2000" s="81"/>
      <c r="G2000" s="82"/>
      <c r="H2000" s="41">
        <f>SUM(G1997:G1999)</f>
        <v>1199280</v>
      </c>
    </row>
    <row r="2001" spans="1:8" ht="14.25" customHeight="1">
      <c r="A2001" s="83" t="s">
        <v>19</v>
      </c>
      <c r="B2001" s="81"/>
      <c r="C2001" s="81"/>
      <c r="D2001" s="81"/>
      <c r="E2001" s="81"/>
      <c r="F2001" s="81"/>
      <c r="G2001" s="82"/>
      <c r="H2001" s="41">
        <f>MAX(0,H2000-648000)</f>
        <v>551280</v>
      </c>
    </row>
    <row r="2002" spans="1:8" ht="14.25" customHeight="1">
      <c r="A2002" s="84" t="s">
        <v>20</v>
      </c>
      <c r="B2002" s="81"/>
      <c r="C2002" s="81"/>
      <c r="D2002" s="81"/>
      <c r="E2002" s="81"/>
      <c r="F2002" s="81"/>
      <c r="G2002" s="82"/>
      <c r="H2002" s="42">
        <v>649000</v>
      </c>
    </row>
    <row r="2003" spans="1:8" ht="14.25" customHeight="1">
      <c r="A2003" s="80"/>
      <c r="B2003" s="81"/>
      <c r="C2003" s="81"/>
      <c r="D2003" s="81"/>
      <c r="E2003" s="81"/>
      <c r="F2003" s="81"/>
      <c r="G2003" s="81"/>
      <c r="H2003" s="82"/>
    </row>
    <row r="2004" spans="1:8" ht="14.25" customHeight="1"/>
    <row r="2005" spans="1:8" ht="14.25" customHeight="1"/>
    <row r="2006" spans="1:8" ht="14.25" customHeight="1"/>
    <row r="2007" spans="1:8" ht="14.25" customHeight="1"/>
    <row r="2008" spans="1:8" ht="14.25" customHeight="1"/>
    <row r="2009" spans="1:8" ht="14.25" customHeight="1">
      <c r="A2009" s="80" t="s">
        <v>0</v>
      </c>
      <c r="B2009" s="81"/>
      <c r="C2009" s="81"/>
      <c r="D2009" s="81"/>
      <c r="E2009" s="81"/>
      <c r="F2009" s="81"/>
      <c r="G2009" s="81"/>
      <c r="H2009" s="82"/>
    </row>
    <row r="2010" spans="1:8" ht="14.25" customHeight="1">
      <c r="A2010" s="80" t="s">
        <v>577</v>
      </c>
      <c r="B2010" s="81"/>
      <c r="C2010" s="81"/>
      <c r="D2010" s="81"/>
      <c r="E2010" s="81"/>
      <c r="F2010" s="81"/>
      <c r="G2010" s="81"/>
      <c r="H2010" s="82"/>
    </row>
    <row r="2011" spans="1:8" ht="14.25" customHeight="1">
      <c r="A2011" s="33" t="s">
        <v>2</v>
      </c>
      <c r="B2011" s="33" t="s">
        <v>3</v>
      </c>
      <c r="C2011" s="33" t="s">
        <v>4</v>
      </c>
      <c r="D2011" s="33" t="s">
        <v>5</v>
      </c>
      <c r="E2011" s="33" t="s">
        <v>6</v>
      </c>
      <c r="F2011" s="34" t="s">
        <v>7</v>
      </c>
      <c r="G2011" s="33" t="s">
        <v>8</v>
      </c>
      <c r="H2011" s="35"/>
    </row>
    <row r="2012" spans="1:8" ht="14.25" customHeight="1">
      <c r="A2012" s="36">
        <v>1</v>
      </c>
      <c r="B2012" s="18" t="s">
        <v>578</v>
      </c>
      <c r="C2012" s="5" t="s">
        <v>579</v>
      </c>
      <c r="D2012" s="18" t="s">
        <v>413</v>
      </c>
      <c r="E2012" s="18">
        <v>2.7</v>
      </c>
      <c r="F2012" s="6">
        <v>293000</v>
      </c>
      <c r="G2012" s="37">
        <f t="shared" ref="G2012:G2014" si="127">IFERROR(E2012*F2012,0)</f>
        <v>791100</v>
      </c>
      <c r="H2012" s="38"/>
    </row>
    <row r="2013" spans="1:8" ht="14.25" customHeight="1">
      <c r="A2013" s="36">
        <v>2</v>
      </c>
      <c r="B2013" s="12" t="s">
        <v>33</v>
      </c>
      <c r="C2013" s="10" t="s">
        <v>580</v>
      </c>
      <c r="D2013" s="12" t="s">
        <v>233</v>
      </c>
      <c r="E2013" s="12">
        <v>0.78</v>
      </c>
      <c r="F2013" s="43">
        <v>435000</v>
      </c>
      <c r="G2013" s="37">
        <f t="shared" si="127"/>
        <v>339300</v>
      </c>
      <c r="H2013" s="38"/>
    </row>
    <row r="2014" spans="1:8" ht="14.25" customHeight="1">
      <c r="A2014" s="36">
        <v>4</v>
      </c>
      <c r="B2014" s="39" t="s">
        <v>17</v>
      </c>
      <c r="C2014" s="38"/>
      <c r="D2014" s="38"/>
      <c r="E2014" s="38"/>
      <c r="F2014" s="60"/>
      <c r="G2014" s="37">
        <f t="shared" si="127"/>
        <v>0</v>
      </c>
      <c r="H2014" s="38"/>
    </row>
    <row r="2015" spans="1:8" ht="14.25" customHeight="1">
      <c r="A2015" s="83" t="s">
        <v>18</v>
      </c>
      <c r="B2015" s="81"/>
      <c r="C2015" s="81"/>
      <c r="D2015" s="81"/>
      <c r="E2015" s="81"/>
      <c r="F2015" s="81"/>
      <c r="G2015" s="82"/>
      <c r="H2015" s="41">
        <f>SUM(G2012:G2014)</f>
        <v>1130400</v>
      </c>
    </row>
    <row r="2016" spans="1:8" ht="14.25" customHeight="1">
      <c r="A2016" s="83" t="s">
        <v>19</v>
      </c>
      <c r="B2016" s="81"/>
      <c r="C2016" s="81"/>
      <c r="D2016" s="81"/>
      <c r="E2016" s="81"/>
      <c r="F2016" s="81"/>
      <c r="G2016" s="82"/>
      <c r="H2016" s="41">
        <f>MAX(0,H2015-648000)</f>
        <v>482400</v>
      </c>
    </row>
    <row r="2017" spans="1:8" ht="14.25" customHeight="1">
      <c r="A2017" s="84" t="s">
        <v>20</v>
      </c>
      <c r="B2017" s="81"/>
      <c r="C2017" s="81"/>
      <c r="D2017" s="81"/>
      <c r="E2017" s="81"/>
      <c r="F2017" s="81"/>
      <c r="G2017" s="82"/>
      <c r="H2017" s="42">
        <v>649000</v>
      </c>
    </row>
    <row r="2018" spans="1:8" ht="14.25" customHeight="1">
      <c r="A2018" s="80"/>
      <c r="B2018" s="81"/>
      <c r="C2018" s="81"/>
      <c r="D2018" s="81"/>
      <c r="E2018" s="81"/>
      <c r="F2018" s="81"/>
      <c r="G2018" s="81"/>
      <c r="H2018" s="82"/>
    </row>
    <row r="2019" spans="1:8" ht="14.25" customHeight="1"/>
    <row r="2020" spans="1:8" ht="14.25" customHeight="1"/>
    <row r="2021" spans="1:8" ht="14.25" customHeight="1"/>
    <row r="2022" spans="1:8" ht="14.25" customHeight="1"/>
    <row r="2023" spans="1:8" ht="14.25" customHeight="1"/>
    <row r="2024" spans="1:8" ht="14.25" customHeight="1">
      <c r="A2024" s="80" t="s">
        <v>0</v>
      </c>
      <c r="B2024" s="81"/>
      <c r="C2024" s="81"/>
      <c r="D2024" s="81"/>
      <c r="E2024" s="81"/>
      <c r="F2024" s="81"/>
      <c r="G2024" s="81"/>
      <c r="H2024" s="82"/>
    </row>
    <row r="2025" spans="1:8" ht="14.25" customHeight="1">
      <c r="A2025" s="80" t="s">
        <v>581</v>
      </c>
      <c r="B2025" s="81"/>
      <c r="C2025" s="81"/>
      <c r="D2025" s="81"/>
      <c r="E2025" s="81"/>
      <c r="F2025" s="81"/>
      <c r="G2025" s="81"/>
      <c r="H2025" s="82"/>
    </row>
    <row r="2026" spans="1:8" ht="14.25" customHeight="1">
      <c r="A2026" s="33" t="s">
        <v>2</v>
      </c>
      <c r="B2026" s="33" t="s">
        <v>3</v>
      </c>
      <c r="C2026" s="33" t="s">
        <v>4</v>
      </c>
      <c r="D2026" s="33" t="s">
        <v>5</v>
      </c>
      <c r="E2026" s="33" t="s">
        <v>6</v>
      </c>
      <c r="F2026" s="34" t="s">
        <v>7</v>
      </c>
      <c r="G2026" s="33" t="s">
        <v>8</v>
      </c>
      <c r="H2026" s="35"/>
    </row>
    <row r="2027" spans="1:8" ht="14.25" customHeight="1">
      <c r="A2027" s="36">
        <v>1</v>
      </c>
      <c r="B2027" s="18" t="s">
        <v>582</v>
      </c>
      <c r="C2027" s="5" t="s">
        <v>583</v>
      </c>
      <c r="D2027" s="18" t="s">
        <v>11</v>
      </c>
      <c r="E2027" s="18">
        <v>2.8</v>
      </c>
      <c r="F2027" s="6">
        <v>293000</v>
      </c>
      <c r="G2027" s="37">
        <f t="shared" ref="G2027:G2029" si="128">IFERROR(E2027*F2027,0)</f>
        <v>820400</v>
      </c>
      <c r="H2027" s="38"/>
    </row>
    <row r="2028" spans="1:8" ht="14.25" customHeight="1">
      <c r="A2028" s="36">
        <v>2</v>
      </c>
      <c r="B2028" s="12" t="s">
        <v>549</v>
      </c>
      <c r="C2028" s="10" t="s">
        <v>584</v>
      </c>
      <c r="D2028" s="12" t="s">
        <v>14</v>
      </c>
      <c r="E2028" s="12">
        <v>0.81</v>
      </c>
      <c r="F2028" s="43">
        <v>435000</v>
      </c>
      <c r="G2028" s="37">
        <f t="shared" si="128"/>
        <v>352350</v>
      </c>
      <c r="H2028" s="38"/>
    </row>
    <row r="2029" spans="1:8" ht="14.25" customHeight="1">
      <c r="A2029" s="36">
        <v>4</v>
      </c>
      <c r="B2029" s="39" t="s">
        <v>17</v>
      </c>
      <c r="C2029" s="38"/>
      <c r="D2029" s="38"/>
      <c r="E2029" s="38"/>
      <c r="F2029" s="60"/>
      <c r="G2029" s="37">
        <f t="shared" si="128"/>
        <v>0</v>
      </c>
      <c r="H2029" s="38"/>
    </row>
    <row r="2030" spans="1:8" ht="14.25" customHeight="1">
      <c r="A2030" s="83" t="s">
        <v>18</v>
      </c>
      <c r="B2030" s="81"/>
      <c r="C2030" s="81"/>
      <c r="D2030" s="81"/>
      <c r="E2030" s="81"/>
      <c r="F2030" s="81"/>
      <c r="G2030" s="82"/>
      <c r="H2030" s="41">
        <f>SUM(G2027:G2029)</f>
        <v>1172750</v>
      </c>
    </row>
    <row r="2031" spans="1:8" ht="14.25" customHeight="1">
      <c r="A2031" s="83" t="s">
        <v>19</v>
      </c>
      <c r="B2031" s="81"/>
      <c r="C2031" s="81"/>
      <c r="D2031" s="81"/>
      <c r="E2031" s="81"/>
      <c r="F2031" s="81"/>
      <c r="G2031" s="82"/>
      <c r="H2031" s="41">
        <f>MAX(0,H2030-648000)</f>
        <v>524750</v>
      </c>
    </row>
    <row r="2032" spans="1:8" ht="14.25" customHeight="1">
      <c r="A2032" s="84" t="s">
        <v>20</v>
      </c>
      <c r="B2032" s="81"/>
      <c r="C2032" s="81"/>
      <c r="D2032" s="81"/>
      <c r="E2032" s="81"/>
      <c r="F2032" s="81"/>
      <c r="G2032" s="82"/>
      <c r="H2032" s="42">
        <v>649000</v>
      </c>
    </row>
    <row r="2033" spans="1:8" ht="14.25" customHeight="1">
      <c r="A2033" s="80"/>
      <c r="B2033" s="81"/>
      <c r="C2033" s="81"/>
      <c r="D2033" s="81"/>
      <c r="E2033" s="81"/>
      <c r="F2033" s="81"/>
      <c r="G2033" s="81"/>
      <c r="H2033" s="82"/>
    </row>
    <row r="2034" spans="1:8" ht="14.25" customHeight="1"/>
    <row r="2035" spans="1:8" ht="14.25" customHeight="1"/>
    <row r="2036" spans="1:8" ht="14.25" customHeight="1"/>
    <row r="2037" spans="1:8" ht="14.25" customHeight="1"/>
    <row r="2038" spans="1:8" ht="14.25" customHeight="1">
      <c r="A2038" s="80" t="s">
        <v>0</v>
      </c>
      <c r="B2038" s="81"/>
      <c r="C2038" s="81"/>
      <c r="D2038" s="81"/>
      <c r="E2038" s="81"/>
      <c r="F2038" s="81"/>
      <c r="G2038" s="81"/>
      <c r="H2038" s="82"/>
    </row>
    <row r="2039" spans="1:8" ht="14.25" customHeight="1">
      <c r="A2039" s="80" t="s">
        <v>585</v>
      </c>
      <c r="B2039" s="81"/>
      <c r="C2039" s="81"/>
      <c r="D2039" s="81"/>
      <c r="E2039" s="81"/>
      <c r="F2039" s="81"/>
      <c r="G2039" s="81"/>
      <c r="H2039" s="82"/>
    </row>
    <row r="2040" spans="1:8" ht="14.25" customHeight="1">
      <c r="A2040" s="33" t="s">
        <v>2</v>
      </c>
      <c r="B2040" s="33" t="s">
        <v>3</v>
      </c>
      <c r="C2040" s="33" t="s">
        <v>4</v>
      </c>
      <c r="D2040" s="33" t="s">
        <v>5</v>
      </c>
      <c r="E2040" s="33" t="s">
        <v>6</v>
      </c>
      <c r="F2040" s="34" t="s">
        <v>7</v>
      </c>
      <c r="G2040" s="33" t="s">
        <v>8</v>
      </c>
      <c r="H2040" s="35"/>
    </row>
    <row r="2041" spans="1:8" ht="14.25" customHeight="1">
      <c r="A2041" s="36">
        <v>1</v>
      </c>
      <c r="B2041" s="18" t="s">
        <v>586</v>
      </c>
      <c r="C2041" s="5" t="s">
        <v>587</v>
      </c>
      <c r="D2041" s="18" t="s">
        <v>11</v>
      </c>
      <c r="E2041" s="18">
        <v>2</v>
      </c>
      <c r="F2041" s="6">
        <v>293000</v>
      </c>
      <c r="G2041" s="37">
        <f t="shared" ref="G2041:G2043" si="129">IFERROR(E2041*F2041,0)</f>
        <v>586000</v>
      </c>
      <c r="H2041" s="38"/>
    </row>
    <row r="2042" spans="1:8" ht="14.25" customHeight="1">
      <c r="A2042" s="36">
        <v>2</v>
      </c>
      <c r="B2042" s="12" t="s">
        <v>549</v>
      </c>
      <c r="C2042" s="10" t="s">
        <v>588</v>
      </c>
      <c r="D2042" s="12" t="s">
        <v>14</v>
      </c>
      <c r="E2042" s="12">
        <v>1.46</v>
      </c>
      <c r="F2042" s="43">
        <v>435000</v>
      </c>
      <c r="G2042" s="37">
        <f t="shared" si="129"/>
        <v>635100</v>
      </c>
      <c r="H2042" s="38"/>
    </row>
    <row r="2043" spans="1:8" ht="14.25" customHeight="1">
      <c r="A2043" s="36">
        <v>4</v>
      </c>
      <c r="B2043" s="39" t="s">
        <v>17</v>
      </c>
      <c r="C2043" s="38"/>
      <c r="D2043" s="38"/>
      <c r="E2043" s="38"/>
      <c r="F2043" s="60"/>
      <c r="G2043" s="37">
        <f t="shared" si="129"/>
        <v>0</v>
      </c>
      <c r="H2043" s="38"/>
    </row>
    <row r="2044" spans="1:8" ht="14.25" customHeight="1">
      <c r="A2044" s="83" t="s">
        <v>18</v>
      </c>
      <c r="B2044" s="81"/>
      <c r="C2044" s="81"/>
      <c r="D2044" s="81"/>
      <c r="E2044" s="81"/>
      <c r="F2044" s="81"/>
      <c r="G2044" s="82"/>
      <c r="H2044" s="41">
        <f>SUM(G2041:G2043)</f>
        <v>1221100</v>
      </c>
    </row>
    <row r="2045" spans="1:8" ht="14.25" customHeight="1">
      <c r="A2045" s="83" t="s">
        <v>19</v>
      </c>
      <c r="B2045" s="81"/>
      <c r="C2045" s="81"/>
      <c r="D2045" s="81"/>
      <c r="E2045" s="81"/>
      <c r="F2045" s="81"/>
      <c r="G2045" s="82"/>
      <c r="H2045" s="41">
        <f>MAX(0,H2044-648000)</f>
        <v>573100</v>
      </c>
    </row>
    <row r="2046" spans="1:8" ht="14.25" customHeight="1">
      <c r="A2046" s="84" t="s">
        <v>20</v>
      </c>
      <c r="B2046" s="81"/>
      <c r="C2046" s="81"/>
      <c r="D2046" s="81"/>
      <c r="E2046" s="81"/>
      <c r="F2046" s="81"/>
      <c r="G2046" s="82"/>
      <c r="H2046" s="42">
        <v>649000</v>
      </c>
    </row>
    <row r="2047" spans="1:8" ht="14.25" customHeight="1">
      <c r="A2047" s="80"/>
      <c r="B2047" s="81"/>
      <c r="C2047" s="81"/>
      <c r="D2047" s="81"/>
      <c r="E2047" s="81"/>
      <c r="F2047" s="81"/>
      <c r="G2047" s="81"/>
      <c r="H2047" s="82"/>
    </row>
    <row r="2048" spans="1:8" ht="14.25" customHeight="1"/>
    <row r="2049" spans="1:8" ht="14.25" customHeight="1"/>
    <row r="2050" spans="1:8" ht="14.25" customHeight="1"/>
    <row r="2051" spans="1:8" ht="14.25" customHeight="1"/>
    <row r="2052" spans="1:8" ht="14.25" customHeight="1">
      <c r="A2052" s="80" t="s">
        <v>0</v>
      </c>
      <c r="B2052" s="81"/>
      <c r="C2052" s="81"/>
      <c r="D2052" s="81"/>
      <c r="E2052" s="81"/>
      <c r="F2052" s="81"/>
      <c r="G2052" s="81"/>
      <c r="H2052" s="82"/>
    </row>
    <row r="2053" spans="1:8" ht="14.25" customHeight="1">
      <c r="A2053" s="80" t="s">
        <v>589</v>
      </c>
      <c r="B2053" s="81"/>
      <c r="C2053" s="81"/>
      <c r="D2053" s="81"/>
      <c r="E2053" s="81"/>
      <c r="F2053" s="81"/>
      <c r="G2053" s="81"/>
      <c r="H2053" s="82"/>
    </row>
    <row r="2054" spans="1:8" ht="14.25" customHeight="1">
      <c r="A2054" s="33" t="s">
        <v>2</v>
      </c>
      <c r="B2054" s="33" t="s">
        <v>3</v>
      </c>
      <c r="C2054" s="33" t="s">
        <v>4</v>
      </c>
      <c r="D2054" s="33" t="s">
        <v>5</v>
      </c>
      <c r="E2054" s="33" t="s">
        <v>6</v>
      </c>
      <c r="F2054" s="34" t="s">
        <v>7</v>
      </c>
      <c r="G2054" s="33" t="s">
        <v>8</v>
      </c>
      <c r="H2054" s="35"/>
    </row>
    <row r="2055" spans="1:8" ht="14.25" customHeight="1">
      <c r="A2055" s="36">
        <v>1</v>
      </c>
      <c r="B2055" s="18" t="s">
        <v>590</v>
      </c>
      <c r="C2055" s="5" t="s">
        <v>591</v>
      </c>
      <c r="D2055" s="18" t="s">
        <v>11</v>
      </c>
      <c r="E2055" s="18">
        <v>1.5</v>
      </c>
      <c r="F2055" s="6">
        <v>293000</v>
      </c>
      <c r="G2055" s="37">
        <f t="shared" ref="G2055:G2057" si="130">IFERROR(E2055*F2055,0)</f>
        <v>439500</v>
      </c>
      <c r="H2055" s="38"/>
    </row>
    <row r="2056" spans="1:8" ht="14.25" customHeight="1">
      <c r="A2056" s="36">
        <v>2</v>
      </c>
      <c r="B2056" s="12" t="s">
        <v>57</v>
      </c>
      <c r="C2056" s="10" t="s">
        <v>592</v>
      </c>
      <c r="D2056" s="12" t="s">
        <v>14</v>
      </c>
      <c r="E2056" s="12">
        <v>2</v>
      </c>
      <c r="F2056" s="43">
        <v>435000</v>
      </c>
      <c r="G2056" s="37">
        <f t="shared" si="130"/>
        <v>870000</v>
      </c>
      <c r="H2056" s="38"/>
    </row>
    <row r="2057" spans="1:8" ht="14.25" customHeight="1">
      <c r="A2057" s="36">
        <v>4</v>
      </c>
      <c r="B2057" s="39" t="s">
        <v>17</v>
      </c>
      <c r="C2057" s="38"/>
      <c r="D2057" s="38"/>
      <c r="E2057" s="38"/>
      <c r="F2057" s="60"/>
      <c r="G2057" s="37">
        <f t="shared" si="130"/>
        <v>0</v>
      </c>
      <c r="H2057" s="38"/>
    </row>
    <row r="2058" spans="1:8" ht="14.25" customHeight="1">
      <c r="A2058" s="83" t="s">
        <v>18</v>
      </c>
      <c r="B2058" s="81"/>
      <c r="C2058" s="81"/>
      <c r="D2058" s="81"/>
      <c r="E2058" s="81"/>
      <c r="F2058" s="81"/>
      <c r="G2058" s="82"/>
      <c r="H2058" s="41">
        <f>SUM(G2055:G2057)</f>
        <v>1309500</v>
      </c>
    </row>
    <row r="2059" spans="1:8" ht="14.25" customHeight="1">
      <c r="A2059" s="83" t="s">
        <v>19</v>
      </c>
      <c r="B2059" s="81"/>
      <c r="C2059" s="81"/>
      <c r="D2059" s="81"/>
      <c r="E2059" s="81"/>
      <c r="F2059" s="81"/>
      <c r="G2059" s="82"/>
      <c r="H2059" s="41">
        <f>MAX(0,H2058-648000)</f>
        <v>661500</v>
      </c>
    </row>
    <row r="2060" spans="1:8" ht="14.25" customHeight="1">
      <c r="A2060" s="84" t="s">
        <v>20</v>
      </c>
      <c r="B2060" s="81"/>
      <c r="C2060" s="81"/>
      <c r="D2060" s="81"/>
      <c r="E2060" s="81"/>
      <c r="F2060" s="81"/>
      <c r="G2060" s="82"/>
      <c r="H2060" s="42">
        <v>649000</v>
      </c>
    </row>
    <row r="2061" spans="1:8" ht="14.25" customHeight="1">
      <c r="A2061" s="80"/>
      <c r="B2061" s="81"/>
      <c r="C2061" s="81"/>
      <c r="D2061" s="81"/>
      <c r="E2061" s="81"/>
      <c r="F2061" s="81"/>
      <c r="G2061" s="81"/>
      <c r="H2061" s="82"/>
    </row>
    <row r="2062" spans="1:8" ht="14.25" customHeight="1"/>
    <row r="2063" spans="1:8" ht="14.25" customHeight="1"/>
    <row r="2064" spans="1:8" ht="14.25" customHeight="1"/>
    <row r="2065" spans="1:8" ht="14.25" customHeight="1"/>
    <row r="2066" spans="1:8" ht="14.25" customHeight="1"/>
    <row r="2067" spans="1:8" ht="14.25" customHeight="1">
      <c r="A2067" s="80" t="s">
        <v>0</v>
      </c>
      <c r="B2067" s="81"/>
      <c r="C2067" s="81"/>
      <c r="D2067" s="81"/>
      <c r="E2067" s="81"/>
      <c r="F2067" s="81"/>
      <c r="G2067" s="81"/>
      <c r="H2067" s="82"/>
    </row>
    <row r="2068" spans="1:8" ht="14.25" customHeight="1">
      <c r="A2068" s="80" t="s">
        <v>593</v>
      </c>
      <c r="B2068" s="81"/>
      <c r="C2068" s="81"/>
      <c r="D2068" s="81"/>
      <c r="E2068" s="81"/>
      <c r="F2068" s="81"/>
      <c r="G2068" s="81"/>
      <c r="H2068" s="82"/>
    </row>
    <row r="2069" spans="1:8" ht="14.25" customHeight="1">
      <c r="A2069" s="33" t="s">
        <v>2</v>
      </c>
      <c r="B2069" s="33" t="s">
        <v>3</v>
      </c>
      <c r="C2069" s="33" t="s">
        <v>4</v>
      </c>
      <c r="D2069" s="33" t="s">
        <v>5</v>
      </c>
      <c r="E2069" s="33" t="s">
        <v>6</v>
      </c>
      <c r="F2069" s="34" t="s">
        <v>7</v>
      </c>
      <c r="G2069" s="33" t="s">
        <v>8</v>
      </c>
      <c r="H2069" s="35"/>
    </row>
    <row r="2070" spans="1:8" ht="14.25" customHeight="1">
      <c r="A2070" s="36">
        <v>1</v>
      </c>
      <c r="B2070" s="18" t="s">
        <v>43</v>
      </c>
      <c r="C2070" s="5">
        <v>6328</v>
      </c>
      <c r="D2070" s="18" t="s">
        <v>11</v>
      </c>
      <c r="E2070" s="18">
        <v>0.94</v>
      </c>
      <c r="F2070" s="6">
        <v>293000</v>
      </c>
      <c r="G2070" s="37">
        <f t="shared" ref="G2070:G2072" si="131">IFERROR(E2070*F2070,0)</f>
        <v>275420</v>
      </c>
      <c r="H2070" s="38"/>
    </row>
    <row r="2071" spans="1:8" ht="14.25" customHeight="1">
      <c r="A2071" s="36">
        <v>2</v>
      </c>
      <c r="B2071" s="12" t="s">
        <v>203</v>
      </c>
      <c r="C2071" s="10" t="s">
        <v>594</v>
      </c>
      <c r="D2071" s="12" t="s">
        <v>14</v>
      </c>
      <c r="E2071" s="12">
        <v>2.5</v>
      </c>
      <c r="F2071" s="43">
        <v>435000</v>
      </c>
      <c r="G2071" s="37">
        <f t="shared" si="131"/>
        <v>1087500</v>
      </c>
      <c r="H2071" s="38"/>
    </row>
    <row r="2072" spans="1:8" ht="14.25" customHeight="1">
      <c r="A2072" s="36">
        <v>4</v>
      </c>
      <c r="B2072" s="39" t="s">
        <v>17</v>
      </c>
      <c r="C2072" s="38"/>
      <c r="D2072" s="38"/>
      <c r="E2072" s="38"/>
      <c r="F2072" s="60"/>
      <c r="G2072" s="37">
        <f t="shared" si="131"/>
        <v>0</v>
      </c>
      <c r="H2072" s="38"/>
    </row>
    <row r="2073" spans="1:8" ht="14.25" customHeight="1">
      <c r="A2073" s="83" t="s">
        <v>18</v>
      </c>
      <c r="B2073" s="81"/>
      <c r="C2073" s="81"/>
      <c r="D2073" s="81"/>
      <c r="E2073" s="81"/>
      <c r="F2073" s="81"/>
      <c r="G2073" s="82"/>
      <c r="H2073" s="41">
        <f>SUM(G2070:G2072)</f>
        <v>1362920</v>
      </c>
    </row>
    <row r="2074" spans="1:8" ht="14.25" customHeight="1">
      <c r="A2074" s="83" t="s">
        <v>19</v>
      </c>
      <c r="B2074" s="81"/>
      <c r="C2074" s="81"/>
      <c r="D2074" s="81"/>
      <c r="E2074" s="81"/>
      <c r="F2074" s="81"/>
      <c r="G2074" s="82"/>
      <c r="H2074" s="41">
        <f>MAX(0,H2073-648000)</f>
        <v>714920</v>
      </c>
    </row>
    <row r="2075" spans="1:8" ht="14.25" customHeight="1">
      <c r="A2075" s="84" t="s">
        <v>20</v>
      </c>
      <c r="B2075" s="81"/>
      <c r="C2075" s="81"/>
      <c r="D2075" s="81"/>
      <c r="E2075" s="81"/>
      <c r="F2075" s="81"/>
      <c r="G2075" s="82"/>
      <c r="H2075" s="42">
        <v>649000</v>
      </c>
    </row>
    <row r="2076" spans="1:8" ht="14.25" customHeight="1">
      <c r="A2076" s="80"/>
      <c r="B2076" s="81"/>
      <c r="C2076" s="81"/>
      <c r="D2076" s="81"/>
      <c r="E2076" s="81"/>
      <c r="F2076" s="81"/>
      <c r="G2076" s="81"/>
      <c r="H2076" s="82"/>
    </row>
    <row r="2077" spans="1:8" ht="14.25" customHeight="1"/>
    <row r="2078" spans="1:8" ht="14.25" customHeight="1"/>
    <row r="2079" spans="1:8" ht="14.25" customHeight="1"/>
    <row r="2080" spans="1:8" ht="14.25" customHeight="1">
      <c r="A2080" s="80" t="s">
        <v>0</v>
      </c>
      <c r="B2080" s="81"/>
      <c r="C2080" s="81"/>
      <c r="D2080" s="81"/>
      <c r="E2080" s="81"/>
      <c r="F2080" s="81"/>
      <c r="G2080" s="81"/>
      <c r="H2080" s="82"/>
    </row>
    <row r="2081" spans="1:8" ht="14.25" customHeight="1">
      <c r="A2081" s="80" t="s">
        <v>595</v>
      </c>
      <c r="B2081" s="81"/>
      <c r="C2081" s="81"/>
      <c r="D2081" s="81"/>
      <c r="E2081" s="81"/>
      <c r="F2081" s="81"/>
      <c r="G2081" s="81"/>
      <c r="H2081" s="82"/>
    </row>
    <row r="2082" spans="1:8" ht="14.25" customHeight="1">
      <c r="A2082" s="33" t="s">
        <v>2</v>
      </c>
      <c r="B2082" s="33" t="s">
        <v>3</v>
      </c>
      <c r="C2082" s="33" t="s">
        <v>4</v>
      </c>
      <c r="D2082" s="33" t="s">
        <v>5</v>
      </c>
      <c r="E2082" s="33" t="s">
        <v>6</v>
      </c>
      <c r="F2082" s="34" t="s">
        <v>7</v>
      </c>
      <c r="G2082" s="33" t="s">
        <v>8</v>
      </c>
      <c r="H2082" s="35"/>
    </row>
    <row r="2083" spans="1:8" ht="14.25" customHeight="1">
      <c r="A2083" s="36">
        <v>1</v>
      </c>
      <c r="B2083" s="18" t="s">
        <v>463</v>
      </c>
      <c r="C2083" s="5" t="s">
        <v>596</v>
      </c>
      <c r="D2083" s="18" t="s">
        <v>11</v>
      </c>
      <c r="E2083" s="18">
        <v>1.5</v>
      </c>
      <c r="F2083" s="6">
        <v>293000</v>
      </c>
      <c r="G2083" s="37">
        <f t="shared" ref="G2083:G2085" si="132">IFERROR(E2083*F2083,0)</f>
        <v>439500</v>
      </c>
      <c r="H2083" s="38"/>
    </row>
    <row r="2084" spans="1:8" ht="14.25" customHeight="1">
      <c r="A2084" s="36">
        <v>2</v>
      </c>
      <c r="B2084" s="12" t="s">
        <v>411</v>
      </c>
      <c r="C2084" s="10" t="s">
        <v>597</v>
      </c>
      <c r="D2084" s="12" t="s">
        <v>598</v>
      </c>
      <c r="E2084" s="12">
        <v>2</v>
      </c>
      <c r="F2084" s="43">
        <v>435000</v>
      </c>
      <c r="G2084" s="37">
        <f t="shared" si="132"/>
        <v>870000</v>
      </c>
      <c r="H2084" s="38"/>
    </row>
    <row r="2085" spans="1:8" ht="14.25" customHeight="1">
      <c r="A2085" s="36">
        <v>4</v>
      </c>
      <c r="B2085" s="39" t="s">
        <v>17</v>
      </c>
      <c r="C2085" s="38"/>
      <c r="D2085" s="38"/>
      <c r="E2085" s="38"/>
      <c r="F2085" s="60"/>
      <c r="G2085" s="37">
        <f t="shared" si="132"/>
        <v>0</v>
      </c>
      <c r="H2085" s="38"/>
    </row>
    <row r="2086" spans="1:8" ht="14.25" customHeight="1">
      <c r="A2086" s="83" t="s">
        <v>18</v>
      </c>
      <c r="B2086" s="81"/>
      <c r="C2086" s="81"/>
      <c r="D2086" s="81"/>
      <c r="E2086" s="81"/>
      <c r="F2086" s="81"/>
      <c r="G2086" s="82"/>
      <c r="H2086" s="41">
        <f>SUM(G2083:G2085)</f>
        <v>1309500</v>
      </c>
    </row>
    <row r="2087" spans="1:8" ht="14.25" customHeight="1">
      <c r="A2087" s="83" t="s">
        <v>19</v>
      </c>
      <c r="B2087" s="81"/>
      <c r="C2087" s="81"/>
      <c r="D2087" s="81"/>
      <c r="E2087" s="81"/>
      <c r="F2087" s="81"/>
      <c r="G2087" s="82"/>
      <c r="H2087" s="41">
        <f>MAX(0,H2086-648000)</f>
        <v>661500</v>
      </c>
    </row>
    <row r="2088" spans="1:8" ht="14.25" customHeight="1">
      <c r="A2088" s="84" t="s">
        <v>20</v>
      </c>
      <c r="B2088" s="81"/>
      <c r="C2088" s="81"/>
      <c r="D2088" s="81"/>
      <c r="E2088" s="81"/>
      <c r="F2088" s="81"/>
      <c r="G2088" s="82"/>
      <c r="H2088" s="42">
        <v>649000</v>
      </c>
    </row>
    <row r="2089" spans="1:8" ht="14.25" customHeight="1">
      <c r="A2089" s="80"/>
      <c r="B2089" s="81"/>
      <c r="C2089" s="81"/>
      <c r="D2089" s="81"/>
      <c r="E2089" s="81"/>
      <c r="F2089" s="81"/>
      <c r="G2089" s="81"/>
      <c r="H2089" s="82"/>
    </row>
    <row r="2090" spans="1:8" ht="14.25" customHeight="1"/>
    <row r="2091" spans="1:8" ht="14.25" customHeight="1"/>
    <row r="2092" spans="1:8" ht="14.25" customHeight="1"/>
    <row r="2093" spans="1:8" ht="14.25" customHeight="1"/>
    <row r="2094" spans="1:8" ht="14.25" customHeight="1"/>
    <row r="2095" spans="1:8" ht="14.25" customHeight="1">
      <c r="A2095" s="80" t="s">
        <v>0</v>
      </c>
      <c r="B2095" s="81"/>
      <c r="C2095" s="81"/>
      <c r="D2095" s="81"/>
      <c r="E2095" s="81"/>
      <c r="F2095" s="81"/>
      <c r="G2095" s="81"/>
      <c r="H2095" s="82"/>
    </row>
    <row r="2096" spans="1:8" ht="14.25" customHeight="1">
      <c r="A2096" s="80" t="s">
        <v>599</v>
      </c>
      <c r="B2096" s="81"/>
      <c r="C2096" s="81"/>
      <c r="D2096" s="81"/>
      <c r="E2096" s="81"/>
      <c r="F2096" s="81"/>
      <c r="G2096" s="81"/>
      <c r="H2096" s="82"/>
    </row>
    <row r="2097" spans="1:8" ht="14.25" customHeight="1">
      <c r="A2097" s="33" t="s">
        <v>2</v>
      </c>
      <c r="B2097" s="33" t="s">
        <v>3</v>
      </c>
      <c r="C2097" s="33" t="s">
        <v>4</v>
      </c>
      <c r="D2097" s="33" t="s">
        <v>5</v>
      </c>
      <c r="E2097" s="33" t="s">
        <v>6</v>
      </c>
      <c r="F2097" s="34" t="s">
        <v>7</v>
      </c>
      <c r="G2097" s="33" t="s">
        <v>8</v>
      </c>
      <c r="H2097" s="35"/>
    </row>
    <row r="2098" spans="1:8" ht="14.25" customHeight="1">
      <c r="A2098" s="36">
        <v>1</v>
      </c>
      <c r="B2098" s="18" t="s">
        <v>355</v>
      </c>
      <c r="C2098" s="5" t="s">
        <v>600</v>
      </c>
      <c r="D2098" s="18" t="s">
        <v>11</v>
      </c>
      <c r="E2098" s="18">
        <v>1.51</v>
      </c>
      <c r="F2098" s="6">
        <v>293000</v>
      </c>
      <c r="G2098" s="37">
        <f t="shared" ref="G2098:G2100" si="133">IFERROR(E2098*F2098,0)</f>
        <v>442430</v>
      </c>
      <c r="H2098" s="38"/>
    </row>
    <row r="2099" spans="1:8" ht="14.25" customHeight="1">
      <c r="A2099" s="36">
        <v>2</v>
      </c>
      <c r="B2099" s="12" t="s">
        <v>601</v>
      </c>
      <c r="C2099" s="10" t="s">
        <v>602</v>
      </c>
      <c r="D2099" s="12" t="s">
        <v>14</v>
      </c>
      <c r="E2099" s="12">
        <v>2</v>
      </c>
      <c r="F2099" s="43">
        <v>435000</v>
      </c>
      <c r="G2099" s="37">
        <f t="shared" si="133"/>
        <v>870000</v>
      </c>
      <c r="H2099" s="38"/>
    </row>
    <row r="2100" spans="1:8" ht="14.25" customHeight="1">
      <c r="A2100" s="36">
        <v>4</v>
      </c>
      <c r="B2100" s="39" t="s">
        <v>17</v>
      </c>
      <c r="C2100" s="38"/>
      <c r="D2100" s="38"/>
      <c r="E2100" s="38"/>
      <c r="F2100" s="60"/>
      <c r="G2100" s="37">
        <f t="shared" si="133"/>
        <v>0</v>
      </c>
      <c r="H2100" s="38"/>
    </row>
    <row r="2101" spans="1:8" ht="14.25" customHeight="1">
      <c r="A2101" s="83" t="s">
        <v>18</v>
      </c>
      <c r="B2101" s="81"/>
      <c r="C2101" s="81"/>
      <c r="D2101" s="81"/>
      <c r="E2101" s="81"/>
      <c r="F2101" s="81"/>
      <c r="G2101" s="82"/>
      <c r="H2101" s="41">
        <f>SUM(G2098:G2100)</f>
        <v>1312430</v>
      </c>
    </row>
    <row r="2102" spans="1:8" ht="14.25" customHeight="1">
      <c r="A2102" s="83" t="s">
        <v>19</v>
      </c>
      <c r="B2102" s="81"/>
      <c r="C2102" s="81"/>
      <c r="D2102" s="81"/>
      <c r="E2102" s="81"/>
      <c r="F2102" s="81"/>
      <c r="G2102" s="82"/>
      <c r="H2102" s="41">
        <f>MAX(0,H2101-648000)</f>
        <v>664430</v>
      </c>
    </row>
    <row r="2103" spans="1:8" ht="14.25" customHeight="1">
      <c r="A2103" s="84" t="s">
        <v>20</v>
      </c>
      <c r="B2103" s="81"/>
      <c r="C2103" s="81"/>
      <c r="D2103" s="81"/>
      <c r="E2103" s="81"/>
      <c r="F2103" s="81"/>
      <c r="G2103" s="82"/>
      <c r="H2103" s="42">
        <v>649000</v>
      </c>
    </row>
    <row r="2104" spans="1:8" ht="14.25" customHeight="1">
      <c r="A2104" s="80"/>
      <c r="B2104" s="81"/>
      <c r="C2104" s="81"/>
      <c r="D2104" s="81"/>
      <c r="E2104" s="81"/>
      <c r="F2104" s="81"/>
      <c r="G2104" s="81"/>
      <c r="H2104" s="82"/>
    </row>
    <row r="2105" spans="1:8" ht="14.25" customHeight="1"/>
    <row r="2106" spans="1:8" ht="14.25" customHeight="1"/>
    <row r="2107" spans="1:8" ht="14.25" customHeight="1"/>
    <row r="2108" spans="1:8" ht="14.25" customHeight="1"/>
    <row r="2109" spans="1:8" ht="14.25" customHeight="1"/>
    <row r="2110" spans="1:8" ht="14.25" customHeight="1">
      <c r="A2110" s="80" t="s">
        <v>0</v>
      </c>
      <c r="B2110" s="81"/>
      <c r="C2110" s="81"/>
      <c r="D2110" s="81"/>
      <c r="E2110" s="81"/>
      <c r="F2110" s="81"/>
      <c r="G2110" s="81"/>
      <c r="H2110" s="82"/>
    </row>
    <row r="2111" spans="1:8" ht="14.25" customHeight="1">
      <c r="A2111" s="80" t="s">
        <v>603</v>
      </c>
      <c r="B2111" s="81"/>
      <c r="C2111" s="81"/>
      <c r="D2111" s="81"/>
      <c r="E2111" s="81"/>
      <c r="F2111" s="81"/>
      <c r="G2111" s="81"/>
      <c r="H2111" s="82"/>
    </row>
    <row r="2112" spans="1:8" ht="14.25" customHeight="1">
      <c r="A2112" s="33" t="s">
        <v>2</v>
      </c>
      <c r="B2112" s="33" t="s">
        <v>3</v>
      </c>
      <c r="C2112" s="33" t="s">
        <v>4</v>
      </c>
      <c r="D2112" s="33" t="s">
        <v>5</v>
      </c>
      <c r="E2112" s="33" t="s">
        <v>6</v>
      </c>
      <c r="F2112" s="34" t="s">
        <v>7</v>
      </c>
      <c r="G2112" s="33" t="s">
        <v>8</v>
      </c>
      <c r="H2112" s="35"/>
    </row>
    <row r="2113" spans="1:8" ht="14.25" customHeight="1">
      <c r="A2113" s="36">
        <v>1</v>
      </c>
      <c r="B2113" s="18" t="s">
        <v>279</v>
      </c>
      <c r="C2113" s="5" t="s">
        <v>604</v>
      </c>
      <c r="D2113" s="18" t="s">
        <v>11</v>
      </c>
      <c r="E2113" s="18">
        <v>2.7</v>
      </c>
      <c r="F2113" s="6">
        <v>293000</v>
      </c>
      <c r="G2113" s="37">
        <f t="shared" ref="G2113:G2115" si="134">IFERROR(E2113*F2113,0)</f>
        <v>791100</v>
      </c>
      <c r="H2113" s="38"/>
    </row>
    <row r="2114" spans="1:8" ht="14.25" customHeight="1">
      <c r="A2114" s="36">
        <v>2</v>
      </c>
      <c r="B2114" s="12" t="s">
        <v>33</v>
      </c>
      <c r="C2114" s="10" t="s">
        <v>605</v>
      </c>
      <c r="D2114" s="12" t="s">
        <v>14</v>
      </c>
      <c r="E2114" s="12">
        <v>0.91</v>
      </c>
      <c r="F2114" s="43">
        <v>435000</v>
      </c>
      <c r="G2114" s="37">
        <f t="shared" si="134"/>
        <v>395850</v>
      </c>
      <c r="H2114" s="38"/>
    </row>
    <row r="2115" spans="1:8" ht="14.25" customHeight="1">
      <c r="A2115" s="36">
        <v>4</v>
      </c>
      <c r="B2115" s="39" t="s">
        <v>17</v>
      </c>
      <c r="C2115" s="38"/>
      <c r="D2115" s="38"/>
      <c r="E2115" s="38" t="s">
        <v>520</v>
      </c>
      <c r="F2115" s="60"/>
      <c r="G2115" s="37">
        <f t="shared" si="134"/>
        <v>0</v>
      </c>
      <c r="H2115" s="38"/>
    </row>
    <row r="2116" spans="1:8" ht="14.25" customHeight="1">
      <c r="A2116" s="83" t="s">
        <v>18</v>
      </c>
      <c r="B2116" s="81"/>
      <c r="C2116" s="81"/>
      <c r="D2116" s="81"/>
      <c r="E2116" s="81"/>
      <c r="F2116" s="81"/>
      <c r="G2116" s="82"/>
      <c r="H2116" s="41">
        <f>SUM(G2113:G2115)</f>
        <v>1186950</v>
      </c>
    </row>
    <row r="2117" spans="1:8" ht="14.25" customHeight="1">
      <c r="A2117" s="83" t="s">
        <v>19</v>
      </c>
      <c r="B2117" s="81"/>
      <c r="C2117" s="81"/>
      <c r="D2117" s="81"/>
      <c r="E2117" s="81"/>
      <c r="F2117" s="81"/>
      <c r="G2117" s="82"/>
      <c r="H2117" s="41">
        <f>MAX(0,H2116-648000)</f>
        <v>538950</v>
      </c>
    </row>
    <row r="2118" spans="1:8" ht="14.25" customHeight="1">
      <c r="A2118" s="84" t="s">
        <v>20</v>
      </c>
      <c r="B2118" s="81"/>
      <c r="C2118" s="81"/>
      <c r="D2118" s="81"/>
      <c r="E2118" s="81"/>
      <c r="F2118" s="81"/>
      <c r="G2118" s="82"/>
      <c r="H2118" s="42">
        <v>649000</v>
      </c>
    </row>
    <row r="2119" spans="1:8" ht="14.25" customHeight="1">
      <c r="A2119" s="80"/>
      <c r="B2119" s="81"/>
      <c r="C2119" s="81"/>
      <c r="D2119" s="81"/>
      <c r="E2119" s="81"/>
      <c r="F2119" s="81"/>
      <c r="G2119" s="81"/>
      <c r="H2119" s="82"/>
    </row>
    <row r="2120" spans="1:8" ht="14.25" customHeight="1"/>
    <row r="2121" spans="1:8" ht="14.25" customHeight="1"/>
    <row r="2122" spans="1:8" ht="14.25" customHeight="1"/>
    <row r="2123" spans="1:8" ht="14.25" customHeight="1">
      <c r="A2123" s="80" t="s">
        <v>0</v>
      </c>
      <c r="B2123" s="81"/>
      <c r="C2123" s="81"/>
      <c r="D2123" s="81"/>
      <c r="E2123" s="81"/>
      <c r="F2123" s="81"/>
      <c r="G2123" s="81"/>
      <c r="H2123" s="82"/>
    </row>
    <row r="2124" spans="1:8" ht="14.25" customHeight="1">
      <c r="A2124" s="80" t="s">
        <v>606</v>
      </c>
      <c r="B2124" s="81"/>
      <c r="C2124" s="81"/>
      <c r="D2124" s="81"/>
      <c r="E2124" s="81"/>
      <c r="F2124" s="81"/>
      <c r="G2124" s="81"/>
      <c r="H2124" s="82"/>
    </row>
    <row r="2125" spans="1:8" ht="14.25" customHeight="1">
      <c r="A2125" s="33" t="s">
        <v>2</v>
      </c>
      <c r="B2125" s="33" t="s">
        <v>3</v>
      </c>
      <c r="C2125" s="33" t="s">
        <v>4</v>
      </c>
      <c r="D2125" s="33" t="s">
        <v>5</v>
      </c>
      <c r="E2125" s="33" t="s">
        <v>6</v>
      </c>
      <c r="F2125" s="34" t="s">
        <v>7</v>
      </c>
      <c r="G2125" s="33" t="s">
        <v>8</v>
      </c>
      <c r="H2125" s="35"/>
    </row>
    <row r="2126" spans="1:8" ht="14.25" customHeight="1">
      <c r="A2126" s="36">
        <v>1</v>
      </c>
      <c r="B2126" s="18" t="s">
        <v>607</v>
      </c>
      <c r="C2126" s="5" t="s">
        <v>608</v>
      </c>
      <c r="D2126" s="18" t="s">
        <v>11</v>
      </c>
      <c r="E2126" s="18">
        <v>2</v>
      </c>
      <c r="F2126" s="6">
        <v>293000</v>
      </c>
      <c r="G2126" s="37">
        <f t="shared" ref="G2126:G2128" si="135">IFERROR(E2126*F2126,0)</f>
        <v>586000</v>
      </c>
      <c r="H2126" s="38"/>
    </row>
    <row r="2127" spans="1:8" ht="14.25" customHeight="1">
      <c r="A2127" s="36">
        <v>2</v>
      </c>
      <c r="B2127" s="12" t="s">
        <v>144</v>
      </c>
      <c r="C2127" s="10" t="s">
        <v>609</v>
      </c>
      <c r="D2127" s="12" t="s">
        <v>14</v>
      </c>
      <c r="E2127" s="12">
        <v>1.5</v>
      </c>
      <c r="F2127" s="43">
        <v>435000</v>
      </c>
      <c r="G2127" s="37">
        <f t="shared" si="135"/>
        <v>652500</v>
      </c>
      <c r="H2127" s="38"/>
    </row>
    <row r="2128" spans="1:8" ht="14.25" customHeight="1">
      <c r="A2128" s="36">
        <v>4</v>
      </c>
      <c r="B2128" s="39" t="s">
        <v>17</v>
      </c>
      <c r="C2128" s="38"/>
      <c r="D2128" s="38"/>
      <c r="E2128" s="38"/>
      <c r="F2128" s="60"/>
      <c r="G2128" s="37">
        <f t="shared" si="135"/>
        <v>0</v>
      </c>
      <c r="H2128" s="38"/>
    </row>
    <row r="2129" spans="1:8" ht="14.25" customHeight="1">
      <c r="A2129" s="83" t="s">
        <v>18</v>
      </c>
      <c r="B2129" s="81"/>
      <c r="C2129" s="81"/>
      <c r="D2129" s="81"/>
      <c r="E2129" s="81"/>
      <c r="F2129" s="81"/>
      <c r="G2129" s="82"/>
      <c r="H2129" s="41">
        <f>SUM(G2126:G2128)</f>
        <v>1238500</v>
      </c>
    </row>
    <row r="2130" spans="1:8" ht="14.25" customHeight="1">
      <c r="A2130" s="83" t="s">
        <v>19</v>
      </c>
      <c r="B2130" s="81"/>
      <c r="C2130" s="81"/>
      <c r="D2130" s="81"/>
      <c r="E2130" s="81"/>
      <c r="F2130" s="81"/>
      <c r="G2130" s="82"/>
      <c r="H2130" s="41">
        <f>MAX(0,H2129-648000)</f>
        <v>590500</v>
      </c>
    </row>
    <row r="2131" spans="1:8" ht="14.25" customHeight="1">
      <c r="A2131" s="84" t="s">
        <v>20</v>
      </c>
      <c r="B2131" s="81"/>
      <c r="C2131" s="81"/>
      <c r="D2131" s="81"/>
      <c r="E2131" s="81"/>
      <c r="F2131" s="81"/>
      <c r="G2131" s="82"/>
      <c r="H2131" s="42">
        <v>649000</v>
      </c>
    </row>
    <row r="2132" spans="1:8" ht="14.25" customHeight="1">
      <c r="A2132" s="80"/>
      <c r="B2132" s="81"/>
      <c r="C2132" s="81"/>
      <c r="D2132" s="81"/>
      <c r="E2132" s="81"/>
      <c r="F2132" s="81"/>
      <c r="G2132" s="81"/>
      <c r="H2132" s="82"/>
    </row>
    <row r="2133" spans="1:8" ht="14.25" customHeight="1"/>
    <row r="2134" spans="1:8" ht="14.25" customHeight="1"/>
    <row r="2135" spans="1:8" ht="14.25" customHeight="1"/>
    <row r="2136" spans="1:8" ht="14.25" customHeight="1"/>
    <row r="2137" spans="1:8" ht="14.25" customHeight="1"/>
    <row r="2138" spans="1:8" ht="14.25" customHeight="1">
      <c r="A2138" s="80" t="s">
        <v>0</v>
      </c>
      <c r="B2138" s="81"/>
      <c r="C2138" s="81"/>
      <c r="D2138" s="81"/>
      <c r="E2138" s="81"/>
      <c r="F2138" s="81"/>
      <c r="G2138" s="81"/>
      <c r="H2138" s="82"/>
    </row>
    <row r="2139" spans="1:8" ht="14.25" customHeight="1">
      <c r="A2139" s="80" t="s">
        <v>610</v>
      </c>
      <c r="B2139" s="81"/>
      <c r="C2139" s="81"/>
      <c r="D2139" s="81"/>
      <c r="E2139" s="81"/>
      <c r="F2139" s="81"/>
      <c r="G2139" s="81"/>
      <c r="H2139" s="82"/>
    </row>
    <row r="2140" spans="1:8" ht="14.25" customHeight="1">
      <c r="A2140" s="33" t="s">
        <v>2</v>
      </c>
      <c r="B2140" s="33" t="s">
        <v>3</v>
      </c>
      <c r="C2140" s="33" t="s">
        <v>4</v>
      </c>
      <c r="D2140" s="33" t="s">
        <v>5</v>
      </c>
      <c r="E2140" s="33" t="s">
        <v>6</v>
      </c>
      <c r="F2140" s="34" t="s">
        <v>7</v>
      </c>
      <c r="G2140" s="33" t="s">
        <v>8</v>
      </c>
      <c r="H2140" s="35"/>
    </row>
    <row r="2141" spans="1:8" ht="14.25" customHeight="1">
      <c r="A2141" s="36">
        <v>1</v>
      </c>
      <c r="B2141" s="18" t="s">
        <v>144</v>
      </c>
      <c r="C2141" s="5" t="s">
        <v>611</v>
      </c>
      <c r="D2141" s="18" t="s">
        <v>11</v>
      </c>
      <c r="E2141" s="18">
        <v>2.54</v>
      </c>
      <c r="F2141" s="6">
        <v>293000</v>
      </c>
      <c r="G2141" s="37">
        <f t="shared" ref="G2141:G2143" si="136">IFERROR(E2141*F2141,0)</f>
        <v>744220</v>
      </c>
      <c r="H2141" s="38"/>
    </row>
    <row r="2142" spans="1:8" ht="14.25" customHeight="1">
      <c r="A2142" s="36">
        <v>2</v>
      </c>
      <c r="B2142" s="12" t="s">
        <v>54</v>
      </c>
      <c r="C2142" s="10" t="s">
        <v>612</v>
      </c>
      <c r="D2142" s="12" t="s">
        <v>14</v>
      </c>
      <c r="E2142" s="12">
        <v>0.91</v>
      </c>
      <c r="F2142" s="43">
        <v>435000</v>
      </c>
      <c r="G2142" s="37">
        <f t="shared" si="136"/>
        <v>395850</v>
      </c>
      <c r="H2142" s="38"/>
    </row>
    <row r="2143" spans="1:8" ht="14.25" customHeight="1">
      <c r="A2143" s="36">
        <v>4</v>
      </c>
      <c r="B2143" s="39" t="s">
        <v>17</v>
      </c>
      <c r="C2143" s="38"/>
      <c r="D2143" s="38"/>
      <c r="E2143" s="38"/>
      <c r="F2143" s="60"/>
      <c r="G2143" s="37">
        <f t="shared" si="136"/>
        <v>0</v>
      </c>
      <c r="H2143" s="38"/>
    </row>
    <row r="2144" spans="1:8" ht="14.25" customHeight="1">
      <c r="A2144" s="83" t="s">
        <v>18</v>
      </c>
      <c r="B2144" s="81"/>
      <c r="C2144" s="81"/>
      <c r="D2144" s="81"/>
      <c r="E2144" s="81"/>
      <c r="F2144" s="81"/>
      <c r="G2144" s="82"/>
      <c r="H2144" s="41">
        <f>SUM(G2141:G2143)</f>
        <v>1140070</v>
      </c>
    </row>
    <row r="2145" spans="1:8" ht="14.25" customHeight="1">
      <c r="A2145" s="83" t="s">
        <v>19</v>
      </c>
      <c r="B2145" s="81"/>
      <c r="C2145" s="81"/>
      <c r="D2145" s="81"/>
      <c r="E2145" s="81"/>
      <c r="F2145" s="81"/>
      <c r="G2145" s="82"/>
      <c r="H2145" s="41">
        <f>MAX(0,H2144-648000)</f>
        <v>492070</v>
      </c>
    </row>
    <row r="2146" spans="1:8" ht="14.25" customHeight="1">
      <c r="A2146" s="84" t="s">
        <v>20</v>
      </c>
      <c r="B2146" s="81"/>
      <c r="C2146" s="81"/>
      <c r="D2146" s="81"/>
      <c r="E2146" s="81"/>
      <c r="F2146" s="81"/>
      <c r="G2146" s="82"/>
      <c r="H2146" s="42">
        <v>649000</v>
      </c>
    </row>
    <row r="2147" spans="1:8" ht="14.25" customHeight="1">
      <c r="A2147" s="80"/>
      <c r="B2147" s="81"/>
      <c r="C2147" s="81"/>
      <c r="D2147" s="81"/>
      <c r="E2147" s="81"/>
      <c r="F2147" s="81"/>
      <c r="G2147" s="81"/>
      <c r="H2147" s="82"/>
    </row>
    <row r="2148" spans="1:8" ht="14.25" customHeight="1"/>
    <row r="2149" spans="1:8" ht="14.25" customHeight="1"/>
    <row r="2150" spans="1:8" ht="14.25" customHeight="1"/>
    <row r="2151" spans="1:8" ht="14.25" customHeight="1"/>
    <row r="2152" spans="1:8" ht="14.25" customHeight="1">
      <c r="A2152" s="80" t="s">
        <v>0</v>
      </c>
      <c r="B2152" s="81"/>
      <c r="C2152" s="81"/>
      <c r="D2152" s="81"/>
      <c r="E2152" s="81"/>
      <c r="F2152" s="81"/>
      <c r="G2152" s="81"/>
      <c r="H2152" s="82"/>
    </row>
    <row r="2153" spans="1:8" ht="14.25" customHeight="1">
      <c r="A2153" s="80" t="s">
        <v>613</v>
      </c>
      <c r="B2153" s="81"/>
      <c r="C2153" s="81"/>
      <c r="D2153" s="81"/>
      <c r="E2153" s="81"/>
      <c r="F2153" s="81"/>
      <c r="G2153" s="81"/>
      <c r="H2153" s="82"/>
    </row>
    <row r="2154" spans="1:8" ht="14.25" customHeight="1">
      <c r="A2154" s="33" t="s">
        <v>2</v>
      </c>
      <c r="B2154" s="33" t="s">
        <v>3</v>
      </c>
      <c r="C2154" s="33" t="s">
        <v>4</v>
      </c>
      <c r="D2154" s="33" t="s">
        <v>5</v>
      </c>
      <c r="E2154" s="33" t="s">
        <v>6</v>
      </c>
      <c r="F2154" s="34" t="s">
        <v>7</v>
      </c>
      <c r="G2154" s="33" t="s">
        <v>8</v>
      </c>
      <c r="H2154" s="35"/>
    </row>
    <row r="2155" spans="1:8" ht="14.25" customHeight="1">
      <c r="A2155" s="36">
        <v>1</v>
      </c>
      <c r="B2155" s="18" t="s">
        <v>549</v>
      </c>
      <c r="C2155" s="5" t="s">
        <v>614</v>
      </c>
      <c r="D2155" s="18" t="s">
        <v>11</v>
      </c>
      <c r="E2155" s="18">
        <v>2</v>
      </c>
      <c r="F2155" s="6">
        <v>293000</v>
      </c>
      <c r="G2155" s="37">
        <f t="shared" ref="G2155:G2157" si="137">IFERROR(E2155*F2155,0)</f>
        <v>586000</v>
      </c>
      <c r="H2155" s="38"/>
    </row>
    <row r="2156" spans="1:8" ht="14.25" customHeight="1">
      <c r="A2156" s="36">
        <v>2</v>
      </c>
      <c r="B2156" s="12" t="s">
        <v>615</v>
      </c>
      <c r="C2156" s="10" t="s">
        <v>616</v>
      </c>
      <c r="D2156" s="12" t="s">
        <v>233</v>
      </c>
      <c r="E2156" s="12">
        <v>1.45</v>
      </c>
      <c r="F2156" s="43">
        <v>435000</v>
      </c>
      <c r="G2156" s="37">
        <f t="shared" si="137"/>
        <v>630750</v>
      </c>
      <c r="H2156" s="38"/>
    </row>
    <row r="2157" spans="1:8" ht="14.25" customHeight="1">
      <c r="A2157" s="36">
        <v>4</v>
      </c>
      <c r="B2157" s="39" t="s">
        <v>17</v>
      </c>
      <c r="C2157" s="38"/>
      <c r="D2157" s="38"/>
      <c r="E2157" s="38"/>
      <c r="F2157" s="60"/>
      <c r="G2157" s="37">
        <f t="shared" si="137"/>
        <v>0</v>
      </c>
      <c r="H2157" s="38"/>
    </row>
    <row r="2158" spans="1:8" ht="14.25" customHeight="1">
      <c r="A2158" s="83" t="s">
        <v>18</v>
      </c>
      <c r="B2158" s="81"/>
      <c r="C2158" s="81"/>
      <c r="D2158" s="81"/>
      <c r="E2158" s="81"/>
      <c r="F2158" s="81"/>
      <c r="G2158" s="82"/>
      <c r="H2158" s="41">
        <f>SUM(G2155:G2157)</f>
        <v>1216750</v>
      </c>
    </row>
    <row r="2159" spans="1:8" ht="14.25" customHeight="1">
      <c r="A2159" s="83" t="s">
        <v>19</v>
      </c>
      <c r="B2159" s="81"/>
      <c r="C2159" s="81"/>
      <c r="D2159" s="81"/>
      <c r="E2159" s="81"/>
      <c r="F2159" s="81"/>
      <c r="G2159" s="82"/>
      <c r="H2159" s="41">
        <f>MAX(0,H2158-648000)</f>
        <v>568750</v>
      </c>
    </row>
    <row r="2160" spans="1:8" ht="14.25" customHeight="1">
      <c r="A2160" s="84" t="s">
        <v>20</v>
      </c>
      <c r="B2160" s="81"/>
      <c r="C2160" s="81"/>
      <c r="D2160" s="81"/>
      <c r="E2160" s="81"/>
      <c r="F2160" s="81"/>
      <c r="G2160" s="82"/>
      <c r="H2160" s="42">
        <v>649000</v>
      </c>
    </row>
    <row r="2161" spans="1:8" ht="14.25" customHeight="1">
      <c r="A2161" s="80"/>
      <c r="B2161" s="81"/>
      <c r="C2161" s="81"/>
      <c r="D2161" s="81"/>
      <c r="E2161" s="81"/>
      <c r="F2161" s="81"/>
      <c r="G2161" s="81"/>
      <c r="H2161" s="82"/>
    </row>
    <row r="2162" spans="1:8" ht="14.25" customHeight="1"/>
    <row r="2163" spans="1:8" ht="14.25" customHeight="1"/>
    <row r="2164" spans="1:8" ht="14.25" customHeight="1"/>
    <row r="2165" spans="1:8" ht="14.25" customHeight="1"/>
    <row r="2166" spans="1:8" ht="14.25" customHeight="1"/>
    <row r="2167" spans="1:8" ht="14.25" customHeight="1">
      <c r="A2167" s="80" t="s">
        <v>0</v>
      </c>
      <c r="B2167" s="81"/>
      <c r="C2167" s="81"/>
      <c r="D2167" s="81"/>
      <c r="E2167" s="81"/>
      <c r="F2167" s="81"/>
      <c r="G2167" s="81"/>
      <c r="H2167" s="82"/>
    </row>
    <row r="2168" spans="1:8" ht="14.25" customHeight="1">
      <c r="A2168" s="80" t="s">
        <v>617</v>
      </c>
      <c r="B2168" s="81"/>
      <c r="C2168" s="81"/>
      <c r="D2168" s="81"/>
      <c r="E2168" s="81"/>
      <c r="F2168" s="81"/>
      <c r="G2168" s="81"/>
      <c r="H2168" s="82"/>
    </row>
    <row r="2169" spans="1:8" ht="14.25" customHeight="1">
      <c r="A2169" s="33" t="s">
        <v>2</v>
      </c>
      <c r="B2169" s="33" t="s">
        <v>3</v>
      </c>
      <c r="C2169" s="33" t="s">
        <v>4</v>
      </c>
      <c r="D2169" s="33" t="s">
        <v>5</v>
      </c>
      <c r="E2169" s="33" t="s">
        <v>6</v>
      </c>
      <c r="F2169" s="34" t="s">
        <v>7</v>
      </c>
      <c r="G2169" s="33" t="s">
        <v>8</v>
      </c>
      <c r="H2169" s="35"/>
    </row>
    <row r="2170" spans="1:8" ht="14.25" customHeight="1">
      <c r="A2170" s="36">
        <v>1</v>
      </c>
      <c r="B2170" s="18" t="s">
        <v>460</v>
      </c>
      <c r="C2170" s="5" t="s">
        <v>618</v>
      </c>
      <c r="D2170" s="18" t="s">
        <v>11</v>
      </c>
      <c r="E2170" s="18">
        <v>1.57</v>
      </c>
      <c r="F2170" s="6">
        <v>293000</v>
      </c>
      <c r="G2170" s="37">
        <f t="shared" ref="G2170:G2172" si="138">IFERROR(E2170*F2170,0)</f>
        <v>460010</v>
      </c>
      <c r="H2170" s="38"/>
    </row>
    <row r="2171" spans="1:8" ht="14.25" customHeight="1">
      <c r="A2171" s="36">
        <v>2</v>
      </c>
      <c r="B2171" s="12" t="s">
        <v>33</v>
      </c>
      <c r="C2171" s="10" t="s">
        <v>619</v>
      </c>
      <c r="D2171" s="12" t="s">
        <v>14</v>
      </c>
      <c r="E2171" s="12">
        <v>2</v>
      </c>
      <c r="F2171" s="43">
        <v>435000</v>
      </c>
      <c r="G2171" s="37">
        <f t="shared" si="138"/>
        <v>870000</v>
      </c>
      <c r="H2171" s="38"/>
    </row>
    <row r="2172" spans="1:8" ht="14.25" customHeight="1">
      <c r="A2172" s="36">
        <v>4</v>
      </c>
      <c r="B2172" s="39" t="s">
        <v>17</v>
      </c>
      <c r="C2172" s="38"/>
      <c r="D2172" s="38"/>
      <c r="E2172" s="38"/>
      <c r="F2172" s="60"/>
      <c r="G2172" s="37">
        <f t="shared" si="138"/>
        <v>0</v>
      </c>
      <c r="H2172" s="38"/>
    </row>
    <row r="2173" spans="1:8" ht="14.25" customHeight="1">
      <c r="A2173" s="83" t="s">
        <v>18</v>
      </c>
      <c r="B2173" s="81"/>
      <c r="C2173" s="81"/>
      <c r="D2173" s="81"/>
      <c r="E2173" s="81"/>
      <c r="F2173" s="81"/>
      <c r="G2173" s="82"/>
      <c r="H2173" s="41">
        <f>SUM(G2170:G2172)</f>
        <v>1330010</v>
      </c>
    </row>
    <row r="2174" spans="1:8" ht="14.25" customHeight="1">
      <c r="A2174" s="83" t="s">
        <v>19</v>
      </c>
      <c r="B2174" s="81"/>
      <c r="C2174" s="81"/>
      <c r="D2174" s="81"/>
      <c r="E2174" s="81"/>
      <c r="F2174" s="81"/>
      <c r="G2174" s="82"/>
      <c r="H2174" s="41">
        <f>MAX(0,H2173-648000)</f>
        <v>682010</v>
      </c>
    </row>
    <row r="2175" spans="1:8" ht="14.25" customHeight="1">
      <c r="A2175" s="84" t="s">
        <v>20</v>
      </c>
      <c r="B2175" s="81"/>
      <c r="C2175" s="81"/>
      <c r="D2175" s="81"/>
      <c r="E2175" s="81"/>
      <c r="F2175" s="81"/>
      <c r="G2175" s="82"/>
      <c r="H2175" s="42">
        <v>649000</v>
      </c>
    </row>
    <row r="2176" spans="1:8" ht="14.25" customHeight="1">
      <c r="A2176" s="80"/>
      <c r="B2176" s="81"/>
      <c r="C2176" s="81"/>
      <c r="D2176" s="81"/>
      <c r="E2176" s="81"/>
      <c r="F2176" s="81"/>
      <c r="G2176" s="81"/>
      <c r="H2176" s="82"/>
    </row>
    <row r="2177" spans="1:8" ht="14.25" customHeight="1"/>
    <row r="2178" spans="1:8" ht="14.25" customHeight="1"/>
    <row r="2179" spans="1:8" ht="14.25" customHeight="1"/>
    <row r="2180" spans="1:8" ht="14.25" customHeight="1"/>
    <row r="2181" spans="1:8" ht="14.25" customHeight="1">
      <c r="A2181" s="80" t="s">
        <v>0</v>
      </c>
      <c r="B2181" s="81"/>
      <c r="C2181" s="81"/>
      <c r="D2181" s="81"/>
      <c r="E2181" s="81"/>
      <c r="F2181" s="81"/>
      <c r="G2181" s="81"/>
      <c r="H2181" s="82"/>
    </row>
    <row r="2182" spans="1:8" ht="14.25" customHeight="1">
      <c r="A2182" s="80" t="s">
        <v>620</v>
      </c>
      <c r="B2182" s="81"/>
      <c r="C2182" s="81"/>
      <c r="D2182" s="81"/>
      <c r="E2182" s="81"/>
      <c r="F2182" s="81"/>
      <c r="G2182" s="81"/>
      <c r="H2182" s="82"/>
    </row>
    <row r="2183" spans="1:8" ht="14.25" customHeight="1">
      <c r="A2183" s="33" t="s">
        <v>2</v>
      </c>
      <c r="B2183" s="33" t="s">
        <v>3</v>
      </c>
      <c r="C2183" s="33" t="s">
        <v>4</v>
      </c>
      <c r="D2183" s="33" t="s">
        <v>5</v>
      </c>
      <c r="E2183" s="33" t="s">
        <v>6</v>
      </c>
      <c r="F2183" s="34" t="s">
        <v>7</v>
      </c>
      <c r="G2183" s="33" t="s">
        <v>8</v>
      </c>
      <c r="H2183" s="35"/>
    </row>
    <row r="2184" spans="1:8" ht="14.25" customHeight="1">
      <c r="A2184" s="36">
        <v>1</v>
      </c>
      <c r="B2184" s="18" t="s">
        <v>621</v>
      </c>
      <c r="C2184" s="5" t="s">
        <v>622</v>
      </c>
      <c r="D2184" s="18" t="s">
        <v>11</v>
      </c>
      <c r="E2184" s="18">
        <v>1.5</v>
      </c>
      <c r="F2184" s="6">
        <v>293000</v>
      </c>
      <c r="G2184" s="37">
        <f t="shared" ref="G2184:G2186" si="139">IFERROR(E2184*F2184,0)</f>
        <v>439500</v>
      </c>
      <c r="H2184" s="38"/>
    </row>
    <row r="2185" spans="1:8" ht="14.25" customHeight="1">
      <c r="A2185" s="36">
        <v>2</v>
      </c>
      <c r="B2185" s="12" t="s">
        <v>601</v>
      </c>
      <c r="C2185" s="10" t="s">
        <v>623</v>
      </c>
      <c r="D2185" s="12" t="s">
        <v>14</v>
      </c>
      <c r="E2185" s="12">
        <v>2</v>
      </c>
      <c r="F2185" s="43">
        <v>435000</v>
      </c>
      <c r="G2185" s="37">
        <f t="shared" si="139"/>
        <v>870000</v>
      </c>
      <c r="H2185" s="38"/>
    </row>
    <row r="2186" spans="1:8" ht="14.25" customHeight="1">
      <c r="A2186" s="36">
        <v>4</v>
      </c>
      <c r="B2186" s="39" t="s">
        <v>17</v>
      </c>
      <c r="C2186" s="38"/>
      <c r="D2186" s="38"/>
      <c r="E2186" s="38"/>
      <c r="F2186" s="60"/>
      <c r="G2186" s="37">
        <f t="shared" si="139"/>
        <v>0</v>
      </c>
      <c r="H2186" s="38"/>
    </row>
    <row r="2187" spans="1:8" ht="14.25" customHeight="1">
      <c r="A2187" s="83" t="s">
        <v>18</v>
      </c>
      <c r="B2187" s="81"/>
      <c r="C2187" s="81"/>
      <c r="D2187" s="81"/>
      <c r="E2187" s="81"/>
      <c r="F2187" s="81"/>
      <c r="G2187" s="82"/>
      <c r="H2187" s="41">
        <f>SUM(G2184:G2186)</f>
        <v>1309500</v>
      </c>
    </row>
    <row r="2188" spans="1:8" ht="14.25" customHeight="1">
      <c r="A2188" s="83" t="s">
        <v>19</v>
      </c>
      <c r="B2188" s="81"/>
      <c r="C2188" s="81"/>
      <c r="D2188" s="81"/>
      <c r="E2188" s="81"/>
      <c r="F2188" s="81"/>
      <c r="G2188" s="82"/>
      <c r="H2188" s="41">
        <f>MAX(0,H2187-648000)</f>
        <v>661500</v>
      </c>
    </row>
    <row r="2189" spans="1:8" ht="14.25" customHeight="1">
      <c r="A2189" s="84" t="s">
        <v>20</v>
      </c>
      <c r="B2189" s="81"/>
      <c r="C2189" s="81"/>
      <c r="D2189" s="81"/>
      <c r="E2189" s="81"/>
      <c r="F2189" s="81"/>
      <c r="G2189" s="82"/>
      <c r="H2189" s="42">
        <v>649000</v>
      </c>
    </row>
    <row r="2190" spans="1:8" ht="14.25" customHeight="1">
      <c r="A2190" s="80"/>
      <c r="B2190" s="81"/>
      <c r="C2190" s="81"/>
      <c r="D2190" s="81"/>
      <c r="E2190" s="81"/>
      <c r="F2190" s="81"/>
      <c r="G2190" s="81"/>
      <c r="H2190" s="82"/>
    </row>
    <row r="2191" spans="1:8" ht="14.25" customHeight="1"/>
    <row r="2192" spans="1:8" ht="14.25" customHeight="1"/>
    <row r="2193" spans="1:8" ht="14.25" customHeight="1"/>
    <row r="2194" spans="1:8" ht="14.25" customHeight="1">
      <c r="A2194" s="80" t="s">
        <v>0</v>
      </c>
      <c r="B2194" s="81"/>
      <c r="C2194" s="81"/>
      <c r="D2194" s="81"/>
      <c r="E2194" s="81"/>
      <c r="F2194" s="81"/>
      <c r="G2194" s="81"/>
      <c r="H2194" s="82"/>
    </row>
    <row r="2195" spans="1:8" ht="14.25" customHeight="1">
      <c r="A2195" s="80" t="s">
        <v>624</v>
      </c>
      <c r="B2195" s="81"/>
      <c r="C2195" s="81"/>
      <c r="D2195" s="81"/>
      <c r="E2195" s="81"/>
      <c r="F2195" s="81"/>
      <c r="G2195" s="81"/>
      <c r="H2195" s="82"/>
    </row>
    <row r="2196" spans="1:8" ht="14.25" customHeight="1">
      <c r="A2196" s="33" t="s">
        <v>2</v>
      </c>
      <c r="B2196" s="33" t="s">
        <v>3</v>
      </c>
      <c r="C2196" s="33" t="s">
        <v>4</v>
      </c>
      <c r="D2196" s="33" t="s">
        <v>5</v>
      </c>
      <c r="E2196" s="33" t="s">
        <v>6</v>
      </c>
      <c r="F2196" s="34" t="s">
        <v>7</v>
      </c>
      <c r="G2196" s="33" t="s">
        <v>8</v>
      </c>
      <c r="H2196" s="35"/>
    </row>
    <row r="2197" spans="1:8" ht="14.25" customHeight="1">
      <c r="A2197" s="36">
        <v>1</v>
      </c>
      <c r="B2197" s="18" t="s">
        <v>625</v>
      </c>
      <c r="C2197" s="5" t="s">
        <v>626</v>
      </c>
      <c r="D2197" s="18" t="s">
        <v>11</v>
      </c>
      <c r="E2197" s="18">
        <v>1.8</v>
      </c>
      <c r="F2197" s="6">
        <v>293000</v>
      </c>
      <c r="G2197" s="37">
        <f t="shared" ref="G2197:G2199" si="140">IFERROR(E2197*F2197,0)</f>
        <v>527400</v>
      </c>
      <c r="H2197" s="38"/>
    </row>
    <row r="2198" spans="1:8" ht="14.25" customHeight="1">
      <c r="A2198" s="36">
        <v>2</v>
      </c>
      <c r="B2198" s="12" t="s">
        <v>33</v>
      </c>
      <c r="C2198" s="10" t="s">
        <v>627</v>
      </c>
      <c r="D2198" s="12" t="s">
        <v>14</v>
      </c>
      <c r="E2198" s="12">
        <v>1.7</v>
      </c>
      <c r="F2198" s="43">
        <v>435000</v>
      </c>
      <c r="G2198" s="37">
        <f t="shared" si="140"/>
        <v>739500</v>
      </c>
      <c r="H2198" s="38"/>
    </row>
    <row r="2199" spans="1:8" ht="14.25" customHeight="1">
      <c r="A2199" s="36">
        <v>4</v>
      </c>
      <c r="B2199" s="39" t="s">
        <v>17</v>
      </c>
      <c r="C2199" s="38"/>
      <c r="D2199" s="38"/>
      <c r="E2199" s="38"/>
      <c r="F2199" s="60"/>
      <c r="G2199" s="37">
        <f t="shared" si="140"/>
        <v>0</v>
      </c>
      <c r="H2199" s="38"/>
    </row>
    <row r="2200" spans="1:8" ht="14.25" customHeight="1">
      <c r="A2200" s="83" t="s">
        <v>18</v>
      </c>
      <c r="B2200" s="81"/>
      <c r="C2200" s="81"/>
      <c r="D2200" s="81"/>
      <c r="E2200" s="81"/>
      <c r="F2200" s="81"/>
      <c r="G2200" s="82"/>
      <c r="H2200" s="41">
        <f>SUM(G2197:G2199)</f>
        <v>1266900</v>
      </c>
    </row>
    <row r="2201" spans="1:8" ht="14.25" customHeight="1">
      <c r="A2201" s="83" t="s">
        <v>19</v>
      </c>
      <c r="B2201" s="81"/>
      <c r="C2201" s="81"/>
      <c r="D2201" s="81"/>
      <c r="E2201" s="81"/>
      <c r="F2201" s="81"/>
      <c r="G2201" s="82"/>
      <c r="H2201" s="41">
        <f>MAX(0,H2200-648000)</f>
        <v>618900</v>
      </c>
    </row>
    <row r="2202" spans="1:8" ht="14.25" customHeight="1">
      <c r="A2202" s="84" t="s">
        <v>20</v>
      </c>
      <c r="B2202" s="81"/>
      <c r="C2202" s="81"/>
      <c r="D2202" s="81"/>
      <c r="E2202" s="81"/>
      <c r="F2202" s="81"/>
      <c r="G2202" s="82"/>
      <c r="H2202" s="42">
        <v>649000</v>
      </c>
    </row>
    <row r="2203" spans="1:8" ht="14.25" customHeight="1">
      <c r="A2203" s="80"/>
      <c r="B2203" s="81"/>
      <c r="C2203" s="81"/>
      <c r="D2203" s="81"/>
      <c r="E2203" s="81"/>
      <c r="F2203" s="81"/>
      <c r="G2203" s="81"/>
      <c r="H2203" s="82"/>
    </row>
    <row r="2204" spans="1:8" ht="14.25" customHeight="1"/>
    <row r="2205" spans="1:8" ht="14.25" customHeight="1"/>
    <row r="2206" spans="1:8" ht="14.25" customHeight="1"/>
    <row r="2207" spans="1:8" ht="14.25" customHeight="1"/>
    <row r="2208" spans="1:8" ht="14.25" customHeight="1">
      <c r="A2208" s="80" t="s">
        <v>0</v>
      </c>
      <c r="B2208" s="81"/>
      <c r="C2208" s="81"/>
      <c r="D2208" s="81"/>
      <c r="E2208" s="81"/>
      <c r="F2208" s="81"/>
      <c r="G2208" s="81"/>
      <c r="H2208" s="82"/>
    </row>
    <row r="2209" spans="1:8" ht="14.25" customHeight="1">
      <c r="A2209" s="80" t="s">
        <v>628</v>
      </c>
      <c r="B2209" s="81"/>
      <c r="C2209" s="81"/>
      <c r="D2209" s="81"/>
      <c r="E2209" s="81"/>
      <c r="F2209" s="81"/>
      <c r="G2209" s="81"/>
      <c r="H2209" s="82"/>
    </row>
    <row r="2210" spans="1:8" ht="14.25" customHeight="1">
      <c r="A2210" s="33" t="s">
        <v>2</v>
      </c>
      <c r="B2210" s="33" t="s">
        <v>3</v>
      </c>
      <c r="C2210" s="33" t="s">
        <v>4</v>
      </c>
      <c r="D2210" s="33" t="s">
        <v>5</v>
      </c>
      <c r="E2210" s="33" t="s">
        <v>6</v>
      </c>
      <c r="F2210" s="34" t="s">
        <v>7</v>
      </c>
      <c r="G2210" s="33" t="s">
        <v>8</v>
      </c>
      <c r="H2210" s="35"/>
    </row>
    <row r="2211" spans="1:8" ht="14.25" customHeight="1">
      <c r="A2211" s="36">
        <v>1</v>
      </c>
      <c r="B2211" s="18" t="s">
        <v>629</v>
      </c>
      <c r="C2211" s="5" t="s">
        <v>630</v>
      </c>
      <c r="D2211" s="18" t="s">
        <v>11</v>
      </c>
      <c r="E2211" s="18">
        <v>1.5</v>
      </c>
      <c r="F2211" s="6">
        <v>293000</v>
      </c>
      <c r="G2211" s="37">
        <f t="shared" ref="G2211:G2213" si="141">IFERROR(E2211*F2211,0)</f>
        <v>439500</v>
      </c>
      <c r="H2211" s="38"/>
    </row>
    <row r="2212" spans="1:8" ht="14.25" customHeight="1">
      <c r="A2212" s="36">
        <v>2</v>
      </c>
      <c r="B2212" s="12" t="s">
        <v>144</v>
      </c>
      <c r="C2212" s="10" t="s">
        <v>631</v>
      </c>
      <c r="D2212" s="12" t="s">
        <v>14</v>
      </c>
      <c r="E2212" s="12">
        <v>2</v>
      </c>
      <c r="F2212" s="43">
        <v>435000</v>
      </c>
      <c r="G2212" s="37">
        <f t="shared" si="141"/>
        <v>870000</v>
      </c>
      <c r="H2212" s="38"/>
    </row>
    <row r="2213" spans="1:8" ht="14.25" customHeight="1">
      <c r="A2213" s="36">
        <v>4</v>
      </c>
      <c r="B2213" s="39" t="s">
        <v>17</v>
      </c>
      <c r="C2213" s="38"/>
      <c r="D2213" s="38"/>
      <c r="E2213" s="38"/>
      <c r="F2213" s="60"/>
      <c r="G2213" s="37">
        <f t="shared" si="141"/>
        <v>0</v>
      </c>
      <c r="H2213" s="38"/>
    </row>
    <row r="2214" spans="1:8" ht="14.25" customHeight="1">
      <c r="A2214" s="83" t="s">
        <v>18</v>
      </c>
      <c r="B2214" s="81"/>
      <c r="C2214" s="81"/>
      <c r="D2214" s="81"/>
      <c r="E2214" s="81"/>
      <c r="F2214" s="81"/>
      <c r="G2214" s="82"/>
      <c r="H2214" s="41">
        <f>SUM(G2211:G2213)</f>
        <v>1309500</v>
      </c>
    </row>
    <row r="2215" spans="1:8" ht="14.25" customHeight="1">
      <c r="A2215" s="83" t="s">
        <v>19</v>
      </c>
      <c r="B2215" s="81"/>
      <c r="C2215" s="81"/>
      <c r="D2215" s="81"/>
      <c r="E2215" s="81"/>
      <c r="F2215" s="81"/>
      <c r="G2215" s="82"/>
      <c r="H2215" s="41">
        <f>MAX(0,H2214-648000)</f>
        <v>661500</v>
      </c>
    </row>
    <row r="2216" spans="1:8" ht="14.25" customHeight="1">
      <c r="A2216" s="84" t="s">
        <v>20</v>
      </c>
      <c r="B2216" s="81"/>
      <c r="C2216" s="81"/>
      <c r="D2216" s="81"/>
      <c r="E2216" s="81"/>
      <c r="F2216" s="81"/>
      <c r="G2216" s="82"/>
      <c r="H2216" s="42">
        <v>649000</v>
      </c>
    </row>
    <row r="2217" spans="1:8" ht="14.25" customHeight="1">
      <c r="A2217" s="80"/>
      <c r="B2217" s="81"/>
      <c r="C2217" s="81"/>
      <c r="D2217" s="81"/>
      <c r="E2217" s="81"/>
      <c r="F2217" s="81"/>
      <c r="G2217" s="81"/>
      <c r="H2217" s="82"/>
    </row>
    <row r="2218" spans="1:8" ht="14.25" customHeight="1"/>
    <row r="2219" spans="1:8" ht="14.25" customHeight="1"/>
    <row r="2220" spans="1:8" ht="14.25" customHeight="1"/>
    <row r="2221" spans="1:8" ht="14.25" customHeight="1"/>
    <row r="2222" spans="1:8" ht="14.25" customHeight="1">
      <c r="A2222" s="80" t="s">
        <v>0</v>
      </c>
      <c r="B2222" s="81"/>
      <c r="C2222" s="81"/>
      <c r="D2222" s="81"/>
      <c r="E2222" s="81"/>
      <c r="F2222" s="81"/>
      <c r="G2222" s="81"/>
      <c r="H2222" s="82"/>
    </row>
    <row r="2223" spans="1:8" ht="14.25" customHeight="1">
      <c r="A2223" s="80" t="s">
        <v>632</v>
      </c>
      <c r="B2223" s="81"/>
      <c r="C2223" s="81"/>
      <c r="D2223" s="81"/>
      <c r="E2223" s="81"/>
      <c r="F2223" s="81"/>
      <c r="G2223" s="81"/>
      <c r="H2223" s="82"/>
    </row>
    <row r="2224" spans="1:8" ht="14.25" customHeight="1">
      <c r="A2224" s="33" t="s">
        <v>2</v>
      </c>
      <c r="B2224" s="33" t="s">
        <v>3</v>
      </c>
      <c r="C2224" s="33" t="s">
        <v>4</v>
      </c>
      <c r="D2224" s="33" t="s">
        <v>5</v>
      </c>
      <c r="E2224" s="33" t="s">
        <v>6</v>
      </c>
      <c r="F2224" s="34" t="s">
        <v>7</v>
      </c>
      <c r="G2224" s="33" t="s">
        <v>8</v>
      </c>
      <c r="H2224" s="35"/>
    </row>
    <row r="2225" spans="1:8" ht="14.25" customHeight="1">
      <c r="A2225" s="36">
        <v>1</v>
      </c>
      <c r="B2225" s="18" t="s">
        <v>442</v>
      </c>
      <c r="C2225" s="5" t="s">
        <v>633</v>
      </c>
      <c r="D2225" s="18" t="s">
        <v>413</v>
      </c>
      <c r="E2225" s="18">
        <v>1.7</v>
      </c>
      <c r="F2225" s="6">
        <v>293000</v>
      </c>
      <c r="G2225" s="37">
        <f t="shared" ref="G2225:G2227" si="142">IFERROR(E2225*F2225,0)</f>
        <v>498100</v>
      </c>
      <c r="H2225" s="38"/>
    </row>
    <row r="2226" spans="1:8" ht="14.25" customHeight="1">
      <c r="A2226" s="36">
        <v>2</v>
      </c>
      <c r="B2226" s="12" t="s">
        <v>9</v>
      </c>
      <c r="C2226" s="10" t="s">
        <v>634</v>
      </c>
      <c r="D2226" s="12" t="s">
        <v>14</v>
      </c>
      <c r="E2226" s="12">
        <v>1.7</v>
      </c>
      <c r="F2226" s="43">
        <v>435000</v>
      </c>
      <c r="G2226" s="37">
        <f t="shared" si="142"/>
        <v>739500</v>
      </c>
      <c r="H2226" s="38"/>
    </row>
    <row r="2227" spans="1:8" ht="14.25" customHeight="1">
      <c r="A2227" s="36">
        <v>4</v>
      </c>
      <c r="B2227" s="39" t="s">
        <v>17</v>
      </c>
      <c r="C2227" s="38"/>
      <c r="D2227" s="38"/>
      <c r="E2227" s="38"/>
      <c r="F2227" s="60"/>
      <c r="G2227" s="37">
        <f t="shared" si="142"/>
        <v>0</v>
      </c>
      <c r="H2227" s="38"/>
    </row>
    <row r="2228" spans="1:8" ht="14.25" customHeight="1">
      <c r="A2228" s="83" t="s">
        <v>18</v>
      </c>
      <c r="B2228" s="81"/>
      <c r="C2228" s="81"/>
      <c r="D2228" s="81"/>
      <c r="E2228" s="81"/>
      <c r="F2228" s="81"/>
      <c r="G2228" s="82"/>
      <c r="H2228" s="41">
        <f>SUM(G2225:G2227)</f>
        <v>1237600</v>
      </c>
    </row>
    <row r="2229" spans="1:8" ht="14.25" customHeight="1">
      <c r="A2229" s="83" t="s">
        <v>19</v>
      </c>
      <c r="B2229" s="81"/>
      <c r="C2229" s="81"/>
      <c r="D2229" s="81"/>
      <c r="E2229" s="81"/>
      <c r="F2229" s="81"/>
      <c r="G2229" s="82"/>
      <c r="H2229" s="41">
        <f>MAX(0,H2228-648000)</f>
        <v>589600</v>
      </c>
    </row>
    <row r="2230" spans="1:8" ht="14.25" customHeight="1">
      <c r="A2230" s="84" t="s">
        <v>20</v>
      </c>
      <c r="B2230" s="81"/>
      <c r="C2230" s="81"/>
      <c r="D2230" s="81"/>
      <c r="E2230" s="81"/>
      <c r="F2230" s="81"/>
      <c r="G2230" s="82"/>
      <c r="H2230" s="42">
        <v>649000</v>
      </c>
    </row>
    <row r="2231" spans="1:8" ht="14.25" customHeight="1">
      <c r="A2231" s="80"/>
      <c r="B2231" s="81"/>
      <c r="C2231" s="81"/>
      <c r="D2231" s="81"/>
      <c r="E2231" s="81"/>
      <c r="F2231" s="81"/>
      <c r="G2231" s="81"/>
      <c r="H2231" s="82"/>
    </row>
    <row r="2232" spans="1:8" ht="14.25" customHeight="1"/>
    <row r="2233" spans="1:8" ht="14.25" customHeight="1"/>
    <row r="2234" spans="1:8" ht="14.25" customHeight="1"/>
    <row r="2235" spans="1:8" ht="14.25" customHeight="1">
      <c r="A2235" s="80" t="s">
        <v>0</v>
      </c>
      <c r="B2235" s="81"/>
      <c r="C2235" s="81"/>
      <c r="D2235" s="81"/>
      <c r="E2235" s="81"/>
      <c r="F2235" s="81"/>
      <c r="G2235" s="81"/>
      <c r="H2235" s="82"/>
    </row>
    <row r="2236" spans="1:8" ht="14.25" customHeight="1">
      <c r="A2236" s="80" t="s">
        <v>635</v>
      </c>
      <c r="B2236" s="81"/>
      <c r="C2236" s="81"/>
      <c r="D2236" s="81"/>
      <c r="E2236" s="81"/>
      <c r="F2236" s="81"/>
      <c r="G2236" s="81"/>
      <c r="H2236" s="82"/>
    </row>
    <row r="2237" spans="1:8" ht="14.25" customHeight="1">
      <c r="A2237" s="33" t="s">
        <v>2</v>
      </c>
      <c r="B2237" s="33" t="s">
        <v>3</v>
      </c>
      <c r="C2237" s="33" t="s">
        <v>4</v>
      </c>
      <c r="D2237" s="33" t="s">
        <v>5</v>
      </c>
      <c r="E2237" s="33" t="s">
        <v>6</v>
      </c>
      <c r="F2237" s="34" t="s">
        <v>7</v>
      </c>
      <c r="G2237" s="33" t="s">
        <v>8</v>
      </c>
      <c r="H2237" s="35"/>
    </row>
    <row r="2238" spans="1:8" ht="14.25" customHeight="1">
      <c r="A2238" s="36">
        <v>1</v>
      </c>
      <c r="B2238" s="18" t="s">
        <v>376</v>
      </c>
      <c r="C2238" s="5" t="s">
        <v>636</v>
      </c>
      <c r="D2238" s="18" t="s">
        <v>11</v>
      </c>
      <c r="E2238" s="18">
        <v>2.46</v>
      </c>
      <c r="F2238" s="6">
        <v>293000</v>
      </c>
      <c r="G2238" s="37">
        <f t="shared" ref="G2238:G2240" si="143">IFERROR(E2238*F2238,0)</f>
        <v>720780</v>
      </c>
      <c r="H2238" s="38"/>
    </row>
    <row r="2239" spans="1:8" ht="14.25" customHeight="1">
      <c r="A2239" s="36">
        <v>2</v>
      </c>
      <c r="B2239" s="12" t="s">
        <v>38</v>
      </c>
      <c r="C2239" s="10" t="s">
        <v>567</v>
      </c>
      <c r="D2239" s="12" t="s">
        <v>14</v>
      </c>
      <c r="E2239" s="12">
        <v>1.5</v>
      </c>
      <c r="F2239" s="43">
        <v>435000</v>
      </c>
      <c r="G2239" s="37">
        <f t="shared" si="143"/>
        <v>652500</v>
      </c>
      <c r="H2239" s="38"/>
    </row>
    <row r="2240" spans="1:8" ht="14.25" customHeight="1">
      <c r="A2240" s="36">
        <v>4</v>
      </c>
      <c r="B2240" s="39" t="s">
        <v>17</v>
      </c>
      <c r="C2240" s="38"/>
      <c r="D2240" s="38"/>
      <c r="E2240" s="38"/>
      <c r="F2240" s="60"/>
      <c r="G2240" s="37">
        <f t="shared" si="143"/>
        <v>0</v>
      </c>
      <c r="H2240" s="38"/>
    </row>
    <row r="2241" spans="1:8" ht="14.25" customHeight="1">
      <c r="A2241" s="83" t="s">
        <v>18</v>
      </c>
      <c r="B2241" s="81"/>
      <c r="C2241" s="81"/>
      <c r="D2241" s="81"/>
      <c r="E2241" s="81"/>
      <c r="F2241" s="81"/>
      <c r="G2241" s="82"/>
      <c r="H2241" s="41">
        <f>SUM(G2238:G2240)</f>
        <v>1373280</v>
      </c>
    </row>
    <row r="2242" spans="1:8" ht="14.25" customHeight="1">
      <c r="A2242" s="83" t="s">
        <v>19</v>
      </c>
      <c r="B2242" s="81"/>
      <c r="C2242" s="81"/>
      <c r="D2242" s="81"/>
      <c r="E2242" s="81"/>
      <c r="F2242" s="81"/>
      <c r="G2242" s="82"/>
      <c r="H2242" s="41">
        <f>MAX(0,H2241-648000)</f>
        <v>725280</v>
      </c>
    </row>
    <row r="2243" spans="1:8" ht="14.25" customHeight="1">
      <c r="A2243" s="84" t="s">
        <v>20</v>
      </c>
      <c r="B2243" s="81"/>
      <c r="C2243" s="81"/>
      <c r="D2243" s="81"/>
      <c r="E2243" s="81"/>
      <c r="F2243" s="81"/>
      <c r="G2243" s="82"/>
      <c r="H2243" s="42">
        <v>649000</v>
      </c>
    </row>
    <row r="2244" spans="1:8" ht="14.25" customHeight="1">
      <c r="A2244" s="80"/>
      <c r="B2244" s="81"/>
      <c r="C2244" s="81"/>
      <c r="D2244" s="81"/>
      <c r="E2244" s="81"/>
      <c r="F2244" s="81"/>
      <c r="G2244" s="81"/>
      <c r="H2244" s="82"/>
    </row>
    <row r="2245" spans="1:8" ht="14.25" customHeight="1"/>
    <row r="2246" spans="1:8" ht="14.25" customHeight="1"/>
    <row r="2247" spans="1:8" ht="14.25" customHeight="1"/>
    <row r="2248" spans="1:8" ht="14.25" customHeight="1">
      <c r="A2248" s="80" t="s">
        <v>0</v>
      </c>
      <c r="B2248" s="81"/>
      <c r="C2248" s="81"/>
      <c r="D2248" s="81"/>
      <c r="E2248" s="81"/>
      <c r="F2248" s="81"/>
      <c r="G2248" s="81"/>
      <c r="H2248" s="82"/>
    </row>
    <row r="2249" spans="1:8" ht="14.25" customHeight="1">
      <c r="A2249" s="80" t="s">
        <v>637</v>
      </c>
      <c r="B2249" s="81"/>
      <c r="C2249" s="81"/>
      <c r="D2249" s="81"/>
      <c r="E2249" s="81"/>
      <c r="F2249" s="81"/>
      <c r="G2249" s="81"/>
      <c r="H2249" s="82"/>
    </row>
    <row r="2250" spans="1:8" ht="14.25" customHeight="1">
      <c r="A2250" s="33" t="s">
        <v>2</v>
      </c>
      <c r="B2250" s="33" t="s">
        <v>3</v>
      </c>
      <c r="C2250" s="33" t="s">
        <v>4</v>
      </c>
      <c r="D2250" s="33" t="s">
        <v>5</v>
      </c>
      <c r="E2250" s="33" t="s">
        <v>6</v>
      </c>
      <c r="F2250" s="34" t="s">
        <v>7</v>
      </c>
      <c r="G2250" s="33" t="s">
        <v>8</v>
      </c>
      <c r="H2250" s="35"/>
    </row>
    <row r="2251" spans="1:8" ht="14.25" customHeight="1">
      <c r="A2251" s="36">
        <v>1</v>
      </c>
      <c r="B2251" s="18" t="s">
        <v>270</v>
      </c>
      <c r="C2251" s="5" t="s">
        <v>638</v>
      </c>
      <c r="D2251" s="18" t="s">
        <v>11</v>
      </c>
      <c r="E2251" s="18">
        <v>0.9</v>
      </c>
      <c r="F2251" s="6">
        <v>293000</v>
      </c>
      <c r="G2251" s="37">
        <f t="shared" ref="G2251:G2253" si="144">IFERROR(E2251*F2251,0)</f>
        <v>263700</v>
      </c>
      <c r="H2251" s="38"/>
    </row>
    <row r="2252" spans="1:8" ht="14.25" customHeight="1">
      <c r="A2252" s="36">
        <v>2</v>
      </c>
      <c r="B2252" s="12" t="s">
        <v>422</v>
      </c>
      <c r="C2252" s="10" t="s">
        <v>639</v>
      </c>
      <c r="D2252" s="12" t="s">
        <v>233</v>
      </c>
      <c r="E2252" s="12">
        <v>2.8</v>
      </c>
      <c r="F2252" s="43">
        <v>435000</v>
      </c>
      <c r="G2252" s="37">
        <f t="shared" si="144"/>
        <v>1218000</v>
      </c>
      <c r="H2252" s="38"/>
    </row>
    <row r="2253" spans="1:8" ht="14.25" customHeight="1">
      <c r="A2253" s="36">
        <v>4</v>
      </c>
      <c r="B2253" s="39" t="s">
        <v>17</v>
      </c>
      <c r="C2253" s="38"/>
      <c r="D2253" s="38"/>
      <c r="E2253" s="38"/>
      <c r="F2253" s="60"/>
      <c r="G2253" s="37">
        <f t="shared" si="144"/>
        <v>0</v>
      </c>
      <c r="H2253" s="38"/>
    </row>
    <row r="2254" spans="1:8" ht="14.25" customHeight="1">
      <c r="A2254" s="83" t="s">
        <v>18</v>
      </c>
      <c r="B2254" s="81"/>
      <c r="C2254" s="81"/>
      <c r="D2254" s="81"/>
      <c r="E2254" s="81"/>
      <c r="F2254" s="81"/>
      <c r="G2254" s="82"/>
      <c r="H2254" s="41">
        <f>SUM(G2251:G2253)</f>
        <v>1481700</v>
      </c>
    </row>
    <row r="2255" spans="1:8" ht="14.25" customHeight="1">
      <c r="A2255" s="83" t="s">
        <v>19</v>
      </c>
      <c r="B2255" s="81"/>
      <c r="C2255" s="81"/>
      <c r="D2255" s="81"/>
      <c r="E2255" s="81"/>
      <c r="F2255" s="81"/>
      <c r="G2255" s="82"/>
      <c r="H2255" s="41">
        <f>MAX(0,H2254-648000)</f>
        <v>833700</v>
      </c>
    </row>
    <row r="2256" spans="1:8" ht="14.25" customHeight="1">
      <c r="A2256" s="84" t="s">
        <v>20</v>
      </c>
      <c r="B2256" s="81"/>
      <c r="C2256" s="81"/>
      <c r="D2256" s="81"/>
      <c r="E2256" s="81"/>
      <c r="F2256" s="81"/>
      <c r="G2256" s="82"/>
      <c r="H2256" s="42">
        <v>649000</v>
      </c>
    </row>
    <row r="2257" spans="1:8" ht="14.25" customHeight="1">
      <c r="A2257" s="80"/>
      <c r="B2257" s="81"/>
      <c r="C2257" s="81"/>
      <c r="D2257" s="81"/>
      <c r="E2257" s="81"/>
      <c r="F2257" s="81"/>
      <c r="G2257" s="81"/>
      <c r="H2257" s="82"/>
    </row>
    <row r="2258" spans="1:8" ht="14.25" customHeight="1"/>
    <row r="2259" spans="1:8" ht="14.25" customHeight="1"/>
    <row r="2260" spans="1:8" ht="14.25" customHeight="1"/>
    <row r="2261" spans="1:8" ht="14.25" customHeight="1">
      <c r="A2261" s="80" t="s">
        <v>0</v>
      </c>
      <c r="B2261" s="81"/>
      <c r="C2261" s="81"/>
      <c r="D2261" s="81"/>
      <c r="E2261" s="81"/>
      <c r="F2261" s="81"/>
      <c r="G2261" s="81"/>
      <c r="H2261" s="82"/>
    </row>
    <row r="2262" spans="1:8" ht="14.25" customHeight="1">
      <c r="A2262" s="80" t="s">
        <v>640</v>
      </c>
      <c r="B2262" s="81"/>
      <c r="C2262" s="81"/>
      <c r="D2262" s="81"/>
      <c r="E2262" s="81"/>
      <c r="F2262" s="81"/>
      <c r="G2262" s="81"/>
      <c r="H2262" s="82"/>
    </row>
    <row r="2263" spans="1:8" ht="14.25" customHeight="1">
      <c r="A2263" s="33" t="s">
        <v>2</v>
      </c>
      <c r="B2263" s="33" t="s">
        <v>3</v>
      </c>
      <c r="C2263" s="33" t="s">
        <v>4</v>
      </c>
      <c r="D2263" s="33" t="s">
        <v>5</v>
      </c>
      <c r="E2263" s="33" t="s">
        <v>6</v>
      </c>
      <c r="F2263" s="34" t="s">
        <v>7</v>
      </c>
      <c r="G2263" s="33" t="s">
        <v>8</v>
      </c>
      <c r="H2263" s="35"/>
    </row>
    <row r="2264" spans="1:8" ht="14.25" customHeight="1">
      <c r="A2264" s="36">
        <v>1</v>
      </c>
      <c r="B2264" s="18" t="s">
        <v>641</v>
      </c>
      <c r="C2264" s="5" t="s">
        <v>642</v>
      </c>
      <c r="D2264" s="18" t="s">
        <v>11</v>
      </c>
      <c r="E2264" s="18">
        <v>2</v>
      </c>
      <c r="F2264" s="6">
        <v>293000</v>
      </c>
      <c r="G2264" s="37">
        <f t="shared" ref="G2264:G2266" si="145">IFERROR(E2264*F2264,0)</f>
        <v>586000</v>
      </c>
      <c r="H2264" s="38"/>
    </row>
    <row r="2265" spans="1:8" ht="14.25" customHeight="1">
      <c r="A2265" s="36">
        <v>2</v>
      </c>
      <c r="B2265" s="12" t="s">
        <v>33</v>
      </c>
      <c r="C2265" s="10" t="s">
        <v>643</v>
      </c>
      <c r="D2265" s="12" t="s">
        <v>233</v>
      </c>
      <c r="E2265" s="12">
        <v>1.5</v>
      </c>
      <c r="F2265" s="43">
        <v>435000</v>
      </c>
      <c r="G2265" s="37">
        <f t="shared" si="145"/>
        <v>652500</v>
      </c>
      <c r="H2265" s="38"/>
    </row>
    <row r="2266" spans="1:8" ht="14.25" customHeight="1">
      <c r="A2266" s="36">
        <v>4</v>
      </c>
      <c r="B2266" s="39" t="s">
        <v>17</v>
      </c>
      <c r="C2266" s="38"/>
      <c r="D2266" s="38"/>
      <c r="E2266" s="38"/>
      <c r="F2266" s="60"/>
      <c r="G2266" s="37">
        <f t="shared" si="145"/>
        <v>0</v>
      </c>
      <c r="H2266" s="38"/>
    </row>
    <row r="2267" spans="1:8" ht="14.25" customHeight="1">
      <c r="A2267" s="83" t="s">
        <v>18</v>
      </c>
      <c r="B2267" s="81"/>
      <c r="C2267" s="81"/>
      <c r="D2267" s="81"/>
      <c r="E2267" s="81"/>
      <c r="F2267" s="81"/>
      <c r="G2267" s="82"/>
      <c r="H2267" s="41">
        <f>SUM(G2264:G2266)</f>
        <v>1238500</v>
      </c>
    </row>
    <row r="2268" spans="1:8" ht="14.25" customHeight="1">
      <c r="A2268" s="83" t="s">
        <v>19</v>
      </c>
      <c r="B2268" s="81"/>
      <c r="C2268" s="81"/>
      <c r="D2268" s="81"/>
      <c r="E2268" s="81"/>
      <c r="F2268" s="81"/>
      <c r="G2268" s="82"/>
      <c r="H2268" s="41">
        <f>MAX(0,H2267-648000)</f>
        <v>590500</v>
      </c>
    </row>
    <row r="2269" spans="1:8" ht="14.25" customHeight="1">
      <c r="A2269" s="84" t="s">
        <v>20</v>
      </c>
      <c r="B2269" s="81"/>
      <c r="C2269" s="81"/>
      <c r="D2269" s="81"/>
      <c r="E2269" s="81"/>
      <c r="F2269" s="81"/>
      <c r="G2269" s="82"/>
      <c r="H2269" s="42">
        <v>649000</v>
      </c>
    </row>
    <row r="2270" spans="1:8" ht="14.25" customHeight="1">
      <c r="A2270" s="80"/>
      <c r="B2270" s="81"/>
      <c r="C2270" s="81"/>
      <c r="D2270" s="81"/>
      <c r="E2270" s="81"/>
      <c r="F2270" s="81"/>
      <c r="G2270" s="81"/>
      <c r="H2270" s="82"/>
    </row>
    <row r="2271" spans="1:8" ht="14.25" customHeight="1"/>
    <row r="2272" spans="1:8" ht="14.25" customHeight="1"/>
    <row r="2273" spans="1:8" ht="14.25" customHeight="1"/>
    <row r="2274" spans="1:8" ht="14.25" customHeight="1"/>
    <row r="2275" spans="1:8" ht="14.25" customHeight="1"/>
    <row r="2276" spans="1:8" ht="14.25" customHeight="1">
      <c r="A2276" s="80" t="s">
        <v>0</v>
      </c>
      <c r="B2276" s="81"/>
      <c r="C2276" s="81"/>
      <c r="D2276" s="81"/>
      <c r="E2276" s="81"/>
      <c r="F2276" s="81"/>
      <c r="G2276" s="81"/>
      <c r="H2276" s="82"/>
    </row>
    <row r="2277" spans="1:8" ht="14.25" customHeight="1">
      <c r="A2277" s="80" t="s">
        <v>644</v>
      </c>
      <c r="B2277" s="81"/>
      <c r="C2277" s="81"/>
      <c r="D2277" s="81"/>
      <c r="E2277" s="81"/>
      <c r="F2277" s="81"/>
      <c r="G2277" s="81"/>
      <c r="H2277" s="82"/>
    </row>
    <row r="2278" spans="1:8" ht="14.25" customHeight="1">
      <c r="A2278" s="33" t="s">
        <v>2</v>
      </c>
      <c r="B2278" s="33" t="s">
        <v>3</v>
      </c>
      <c r="C2278" s="33" t="s">
        <v>4</v>
      </c>
      <c r="D2278" s="33" t="s">
        <v>5</v>
      </c>
      <c r="E2278" s="33" t="s">
        <v>6</v>
      </c>
      <c r="F2278" s="34" t="s">
        <v>7</v>
      </c>
      <c r="G2278" s="33" t="s">
        <v>8</v>
      </c>
      <c r="H2278" s="35"/>
    </row>
    <row r="2279" spans="1:8" ht="14.25" customHeight="1">
      <c r="A2279" s="36">
        <v>1</v>
      </c>
      <c r="B2279" s="18" t="s">
        <v>376</v>
      </c>
      <c r="C2279" s="5" t="s">
        <v>627</v>
      </c>
      <c r="D2279" s="18" t="s">
        <v>11</v>
      </c>
      <c r="E2279" s="18">
        <v>1.7</v>
      </c>
      <c r="F2279" s="6">
        <v>293000</v>
      </c>
      <c r="G2279" s="37">
        <f t="shared" ref="G2279:G2281" si="146">IFERROR(E2279*F2279,0)</f>
        <v>498100</v>
      </c>
      <c r="H2279" s="38"/>
    </row>
    <row r="2280" spans="1:8" ht="14.25" customHeight="1">
      <c r="A2280" s="36">
        <v>2</v>
      </c>
      <c r="B2280" s="12" t="s">
        <v>144</v>
      </c>
      <c r="C2280" s="10" t="s">
        <v>645</v>
      </c>
      <c r="D2280" s="12" t="s">
        <v>14</v>
      </c>
      <c r="E2280" s="12">
        <v>1.7</v>
      </c>
      <c r="F2280" s="43">
        <v>435000</v>
      </c>
      <c r="G2280" s="37">
        <f t="shared" si="146"/>
        <v>739500</v>
      </c>
      <c r="H2280" s="38"/>
    </row>
    <row r="2281" spans="1:8" ht="14.25" customHeight="1">
      <c r="A2281" s="36">
        <v>4</v>
      </c>
      <c r="B2281" s="39" t="s">
        <v>17</v>
      </c>
      <c r="C2281" s="38"/>
      <c r="D2281" s="38"/>
      <c r="E2281" s="38"/>
      <c r="F2281" s="60"/>
      <c r="G2281" s="37">
        <f t="shared" si="146"/>
        <v>0</v>
      </c>
      <c r="H2281" s="38"/>
    </row>
    <row r="2282" spans="1:8" ht="14.25" customHeight="1">
      <c r="A2282" s="83" t="s">
        <v>18</v>
      </c>
      <c r="B2282" s="81"/>
      <c r="C2282" s="81"/>
      <c r="D2282" s="81"/>
      <c r="E2282" s="81"/>
      <c r="F2282" s="81"/>
      <c r="G2282" s="82"/>
      <c r="H2282" s="41">
        <f>SUM(G2279:G2281)</f>
        <v>1237600</v>
      </c>
    </row>
    <row r="2283" spans="1:8" ht="14.25" customHeight="1">
      <c r="A2283" s="83" t="s">
        <v>19</v>
      </c>
      <c r="B2283" s="81"/>
      <c r="C2283" s="81"/>
      <c r="D2283" s="81"/>
      <c r="E2283" s="81"/>
      <c r="F2283" s="81"/>
      <c r="G2283" s="82"/>
      <c r="H2283" s="41">
        <f>MAX(0,H2282-648000)</f>
        <v>589600</v>
      </c>
    </row>
    <row r="2284" spans="1:8" ht="14.25" customHeight="1">
      <c r="A2284" s="84" t="s">
        <v>20</v>
      </c>
      <c r="B2284" s="81"/>
      <c r="C2284" s="81"/>
      <c r="D2284" s="81"/>
      <c r="E2284" s="81"/>
      <c r="F2284" s="81"/>
      <c r="G2284" s="82"/>
      <c r="H2284" s="42">
        <v>649000</v>
      </c>
    </row>
    <row r="2285" spans="1:8" ht="14.25" customHeight="1">
      <c r="A2285" s="80"/>
      <c r="B2285" s="81"/>
      <c r="C2285" s="81"/>
      <c r="D2285" s="81"/>
      <c r="E2285" s="81"/>
      <c r="F2285" s="81"/>
      <c r="G2285" s="81"/>
      <c r="H2285" s="82"/>
    </row>
    <row r="2286" spans="1:8" ht="14.25" customHeight="1"/>
    <row r="2287" spans="1:8" ht="14.25" customHeight="1"/>
    <row r="2288" spans="1:8" ht="14.25" customHeight="1"/>
    <row r="2289" spans="1:8" ht="14.25" customHeight="1"/>
    <row r="2290" spans="1:8" ht="14.25" customHeight="1">
      <c r="A2290" s="80" t="s">
        <v>0</v>
      </c>
      <c r="B2290" s="81"/>
      <c r="C2290" s="81"/>
      <c r="D2290" s="81"/>
      <c r="E2290" s="81"/>
      <c r="F2290" s="81"/>
      <c r="G2290" s="81"/>
      <c r="H2290" s="82"/>
    </row>
    <row r="2291" spans="1:8" ht="14.25" customHeight="1">
      <c r="A2291" s="80" t="s">
        <v>646</v>
      </c>
      <c r="B2291" s="81"/>
      <c r="C2291" s="81"/>
      <c r="D2291" s="81"/>
      <c r="E2291" s="81"/>
      <c r="F2291" s="81"/>
      <c r="G2291" s="81"/>
      <c r="H2291" s="82"/>
    </row>
    <row r="2292" spans="1:8" ht="14.25" customHeight="1">
      <c r="A2292" s="33" t="s">
        <v>2</v>
      </c>
      <c r="B2292" s="33" t="s">
        <v>3</v>
      </c>
      <c r="C2292" s="33" t="s">
        <v>4</v>
      </c>
      <c r="D2292" s="33" t="s">
        <v>5</v>
      </c>
      <c r="E2292" s="33" t="s">
        <v>6</v>
      </c>
      <c r="F2292" s="34" t="s">
        <v>7</v>
      </c>
      <c r="G2292" s="33" t="s">
        <v>8</v>
      </c>
      <c r="H2292" s="35"/>
    </row>
    <row r="2293" spans="1:8" ht="14.25" customHeight="1">
      <c r="A2293" s="36">
        <v>1</v>
      </c>
      <c r="B2293" s="18" t="s">
        <v>295</v>
      </c>
      <c r="C2293" s="5" t="s">
        <v>647</v>
      </c>
      <c r="D2293" s="18" t="s">
        <v>11</v>
      </c>
      <c r="E2293" s="18">
        <v>1.5</v>
      </c>
      <c r="F2293" s="6">
        <v>293000</v>
      </c>
      <c r="G2293" s="37">
        <f t="shared" ref="G2293:G2295" si="147">IFERROR(E2293*F2293,0)</f>
        <v>439500</v>
      </c>
      <c r="H2293" s="38"/>
    </row>
    <row r="2294" spans="1:8" ht="14.25" customHeight="1">
      <c r="A2294" s="36">
        <v>2</v>
      </c>
      <c r="B2294" s="12" t="s">
        <v>648</v>
      </c>
      <c r="C2294" s="10" t="s">
        <v>649</v>
      </c>
      <c r="D2294" s="12" t="s">
        <v>14</v>
      </c>
      <c r="E2294" s="12">
        <v>2</v>
      </c>
      <c r="F2294" s="43">
        <v>435000</v>
      </c>
      <c r="G2294" s="37">
        <f t="shared" si="147"/>
        <v>870000</v>
      </c>
      <c r="H2294" s="38"/>
    </row>
    <row r="2295" spans="1:8" ht="14.25" customHeight="1">
      <c r="A2295" s="36">
        <v>4</v>
      </c>
      <c r="B2295" s="39" t="s">
        <v>17</v>
      </c>
      <c r="C2295" s="38"/>
      <c r="D2295" s="38"/>
      <c r="E2295" s="38"/>
      <c r="F2295" s="60"/>
      <c r="G2295" s="37">
        <f t="shared" si="147"/>
        <v>0</v>
      </c>
      <c r="H2295" s="38"/>
    </row>
    <row r="2296" spans="1:8" ht="14.25" customHeight="1">
      <c r="A2296" s="83" t="s">
        <v>18</v>
      </c>
      <c r="B2296" s="81"/>
      <c r="C2296" s="81"/>
      <c r="D2296" s="81"/>
      <c r="E2296" s="81"/>
      <c r="F2296" s="81"/>
      <c r="G2296" s="82"/>
      <c r="H2296" s="41">
        <f>SUM(G2293:G2295)</f>
        <v>1309500</v>
      </c>
    </row>
    <row r="2297" spans="1:8" ht="14.25" customHeight="1">
      <c r="A2297" s="83" t="s">
        <v>19</v>
      </c>
      <c r="B2297" s="81"/>
      <c r="C2297" s="81"/>
      <c r="D2297" s="81"/>
      <c r="E2297" s="81"/>
      <c r="F2297" s="81"/>
      <c r="G2297" s="82"/>
      <c r="H2297" s="41">
        <f>MAX(0,H2296-648000)</f>
        <v>661500</v>
      </c>
    </row>
    <row r="2298" spans="1:8" ht="14.25" customHeight="1">
      <c r="A2298" s="84" t="s">
        <v>20</v>
      </c>
      <c r="B2298" s="81"/>
      <c r="C2298" s="81"/>
      <c r="D2298" s="81"/>
      <c r="E2298" s="81"/>
      <c r="F2298" s="81"/>
      <c r="G2298" s="82"/>
      <c r="H2298" s="42">
        <v>649000</v>
      </c>
    </row>
    <row r="2299" spans="1:8" ht="14.25" customHeight="1">
      <c r="A2299" s="80"/>
      <c r="B2299" s="81"/>
      <c r="C2299" s="81"/>
      <c r="D2299" s="81"/>
      <c r="E2299" s="81"/>
      <c r="F2299" s="81"/>
      <c r="G2299" s="81"/>
      <c r="H2299" s="82"/>
    </row>
    <row r="2300" spans="1:8" ht="14.25" customHeight="1"/>
    <row r="2301" spans="1:8" ht="14.25" customHeight="1"/>
    <row r="2302" spans="1:8" ht="14.25" customHeight="1"/>
    <row r="2303" spans="1:8" ht="14.25" customHeight="1">
      <c r="A2303" s="80" t="s">
        <v>0</v>
      </c>
      <c r="B2303" s="81"/>
      <c r="C2303" s="81"/>
      <c r="D2303" s="81"/>
      <c r="E2303" s="81"/>
      <c r="F2303" s="81"/>
      <c r="G2303" s="81"/>
      <c r="H2303" s="82"/>
    </row>
    <row r="2304" spans="1:8" ht="14.25" customHeight="1">
      <c r="A2304" s="80" t="s">
        <v>650</v>
      </c>
      <c r="B2304" s="81"/>
      <c r="C2304" s="81"/>
      <c r="D2304" s="81"/>
      <c r="E2304" s="81"/>
      <c r="F2304" s="81"/>
      <c r="G2304" s="81"/>
      <c r="H2304" s="82"/>
    </row>
    <row r="2305" spans="1:8" ht="14.25" customHeight="1">
      <c r="A2305" s="33" t="s">
        <v>2</v>
      </c>
      <c r="B2305" s="33" t="s">
        <v>3</v>
      </c>
      <c r="C2305" s="33" t="s">
        <v>4</v>
      </c>
      <c r="D2305" s="33" t="s">
        <v>5</v>
      </c>
      <c r="E2305" s="33" t="s">
        <v>6</v>
      </c>
      <c r="F2305" s="34" t="s">
        <v>7</v>
      </c>
      <c r="G2305" s="33" t="s">
        <v>8</v>
      </c>
      <c r="H2305" s="35"/>
    </row>
    <row r="2306" spans="1:8" ht="14.25" customHeight="1">
      <c r="A2306" s="36">
        <v>1</v>
      </c>
      <c r="B2306" s="18" t="s">
        <v>166</v>
      </c>
      <c r="C2306" s="5" t="s">
        <v>651</v>
      </c>
      <c r="D2306" s="18" t="s">
        <v>11</v>
      </c>
      <c r="E2306" s="18">
        <v>2</v>
      </c>
      <c r="F2306" s="6">
        <v>293000</v>
      </c>
      <c r="G2306" s="37">
        <f t="shared" ref="G2306:G2308" si="148">IFERROR(E2306*F2306,0)</f>
        <v>586000</v>
      </c>
      <c r="H2306" s="38"/>
    </row>
    <row r="2307" spans="1:8" ht="14.25" customHeight="1">
      <c r="A2307" s="36">
        <v>2</v>
      </c>
      <c r="B2307" s="12" t="s">
        <v>652</v>
      </c>
      <c r="C2307" s="10" t="s">
        <v>653</v>
      </c>
      <c r="D2307" s="12" t="s">
        <v>233</v>
      </c>
      <c r="E2307" s="12">
        <v>1.5</v>
      </c>
      <c r="F2307" s="43">
        <v>435000</v>
      </c>
      <c r="G2307" s="37">
        <f t="shared" si="148"/>
        <v>652500</v>
      </c>
      <c r="H2307" s="38"/>
    </row>
    <row r="2308" spans="1:8" ht="14.25" customHeight="1">
      <c r="A2308" s="36">
        <v>4</v>
      </c>
      <c r="B2308" s="39" t="s">
        <v>17</v>
      </c>
      <c r="C2308" s="38"/>
      <c r="D2308" s="38"/>
      <c r="E2308" s="38"/>
      <c r="F2308" s="60"/>
      <c r="G2308" s="37">
        <f t="shared" si="148"/>
        <v>0</v>
      </c>
      <c r="H2308" s="38"/>
    </row>
    <row r="2309" spans="1:8" ht="14.25" customHeight="1">
      <c r="A2309" s="83" t="s">
        <v>18</v>
      </c>
      <c r="B2309" s="81"/>
      <c r="C2309" s="81"/>
      <c r="D2309" s="81"/>
      <c r="E2309" s="81"/>
      <c r="F2309" s="81"/>
      <c r="G2309" s="82"/>
      <c r="H2309" s="41">
        <f>SUM(G2306:G2308)</f>
        <v>1238500</v>
      </c>
    </row>
    <row r="2310" spans="1:8" ht="14.25" customHeight="1">
      <c r="A2310" s="83" t="s">
        <v>19</v>
      </c>
      <c r="B2310" s="81"/>
      <c r="C2310" s="81"/>
      <c r="D2310" s="81"/>
      <c r="E2310" s="81"/>
      <c r="F2310" s="81"/>
      <c r="G2310" s="82"/>
      <c r="H2310" s="41">
        <f>MAX(0,H2309-648000)</f>
        <v>590500</v>
      </c>
    </row>
    <row r="2311" spans="1:8" ht="14.25" customHeight="1">
      <c r="A2311" s="84" t="s">
        <v>20</v>
      </c>
      <c r="B2311" s="81"/>
      <c r="C2311" s="81"/>
      <c r="D2311" s="81"/>
      <c r="E2311" s="81"/>
      <c r="F2311" s="81"/>
      <c r="G2311" s="82"/>
      <c r="H2311" s="42">
        <v>649000</v>
      </c>
    </row>
    <row r="2312" spans="1:8" ht="14.25" customHeight="1">
      <c r="A2312" s="80"/>
      <c r="B2312" s="81"/>
      <c r="C2312" s="81"/>
      <c r="D2312" s="81"/>
      <c r="E2312" s="81"/>
      <c r="F2312" s="81"/>
      <c r="G2312" s="81"/>
      <c r="H2312" s="82"/>
    </row>
    <row r="2313" spans="1:8" ht="14.25" customHeight="1"/>
    <row r="2314" spans="1:8" ht="14.25" customHeight="1"/>
    <row r="2315" spans="1:8" ht="14.25" customHeight="1"/>
    <row r="2316" spans="1:8" ht="14.25" customHeight="1"/>
    <row r="2317" spans="1:8" ht="14.25" customHeight="1">
      <c r="A2317" s="80" t="s">
        <v>0</v>
      </c>
      <c r="B2317" s="81"/>
      <c r="C2317" s="81"/>
      <c r="D2317" s="81"/>
      <c r="E2317" s="81"/>
      <c r="F2317" s="81"/>
      <c r="G2317" s="81"/>
      <c r="H2317" s="82"/>
    </row>
    <row r="2318" spans="1:8" ht="14.25" customHeight="1">
      <c r="A2318" s="80" t="s">
        <v>654</v>
      </c>
      <c r="B2318" s="81"/>
      <c r="C2318" s="81"/>
      <c r="D2318" s="81"/>
      <c r="E2318" s="81"/>
      <c r="F2318" s="81"/>
      <c r="G2318" s="81"/>
      <c r="H2318" s="82"/>
    </row>
    <row r="2319" spans="1:8" ht="14.25" customHeight="1">
      <c r="A2319" s="33" t="s">
        <v>2</v>
      </c>
      <c r="B2319" s="33" t="s">
        <v>3</v>
      </c>
      <c r="C2319" s="33" t="s">
        <v>4</v>
      </c>
      <c r="D2319" s="33" t="s">
        <v>5</v>
      </c>
      <c r="E2319" s="33" t="s">
        <v>6</v>
      </c>
      <c r="F2319" s="34" t="s">
        <v>7</v>
      </c>
      <c r="G2319" s="33" t="s">
        <v>8</v>
      </c>
      <c r="H2319" s="35"/>
    </row>
    <row r="2320" spans="1:8" ht="14.25" customHeight="1">
      <c r="A2320" s="36">
        <v>1</v>
      </c>
      <c r="B2320" s="18" t="s">
        <v>50</v>
      </c>
      <c r="C2320" s="5" t="s">
        <v>655</v>
      </c>
      <c r="D2320" s="18" t="s">
        <v>413</v>
      </c>
      <c r="E2320" s="18">
        <v>1.3</v>
      </c>
      <c r="F2320" s="6">
        <v>293000</v>
      </c>
      <c r="G2320" s="37">
        <f t="shared" ref="G2320:G2322" si="149">IFERROR(E2320*F2320,0)</f>
        <v>380900</v>
      </c>
      <c r="H2320" s="38"/>
    </row>
    <row r="2321" spans="1:8" ht="14.25" customHeight="1">
      <c r="A2321" s="36">
        <v>2</v>
      </c>
      <c r="B2321" s="12" t="s">
        <v>279</v>
      </c>
      <c r="C2321" s="10" t="s">
        <v>656</v>
      </c>
      <c r="D2321" s="12" t="s">
        <v>14</v>
      </c>
      <c r="E2321" s="12">
        <v>2</v>
      </c>
      <c r="F2321" s="43">
        <v>435000</v>
      </c>
      <c r="G2321" s="37">
        <f t="shared" si="149"/>
        <v>870000</v>
      </c>
      <c r="H2321" s="38"/>
    </row>
    <row r="2322" spans="1:8" ht="14.25" customHeight="1">
      <c r="A2322" s="36">
        <v>4</v>
      </c>
      <c r="B2322" s="39" t="s">
        <v>17</v>
      </c>
      <c r="C2322" s="38"/>
      <c r="D2322" s="38"/>
      <c r="E2322" s="38"/>
      <c r="F2322" s="60"/>
      <c r="G2322" s="37">
        <f t="shared" si="149"/>
        <v>0</v>
      </c>
      <c r="H2322" s="38"/>
    </row>
    <row r="2323" spans="1:8" ht="14.25" customHeight="1">
      <c r="A2323" s="83" t="s">
        <v>18</v>
      </c>
      <c r="B2323" s="81"/>
      <c r="C2323" s="81"/>
      <c r="D2323" s="81"/>
      <c r="E2323" s="81"/>
      <c r="F2323" s="81"/>
      <c r="G2323" s="82"/>
      <c r="H2323" s="41">
        <f>SUM(G2320:G2322)</f>
        <v>1250900</v>
      </c>
    </row>
    <row r="2324" spans="1:8" ht="14.25" customHeight="1">
      <c r="A2324" s="83" t="s">
        <v>19</v>
      </c>
      <c r="B2324" s="81"/>
      <c r="C2324" s="81"/>
      <c r="D2324" s="81"/>
      <c r="E2324" s="81"/>
      <c r="F2324" s="81"/>
      <c r="G2324" s="82"/>
      <c r="H2324" s="41">
        <f>MAX(0,H2323-648000)</f>
        <v>602900</v>
      </c>
    </row>
    <row r="2325" spans="1:8" ht="14.25" customHeight="1">
      <c r="A2325" s="84" t="s">
        <v>20</v>
      </c>
      <c r="B2325" s="81"/>
      <c r="C2325" s="81"/>
      <c r="D2325" s="81"/>
      <c r="E2325" s="81"/>
      <c r="F2325" s="81"/>
      <c r="G2325" s="82"/>
      <c r="H2325" s="42">
        <v>649000</v>
      </c>
    </row>
    <row r="2326" spans="1:8" ht="14.25" customHeight="1">
      <c r="A2326" s="80"/>
      <c r="B2326" s="81"/>
      <c r="C2326" s="81"/>
      <c r="D2326" s="81"/>
      <c r="E2326" s="81"/>
      <c r="F2326" s="81"/>
      <c r="G2326" s="81"/>
      <c r="H2326" s="82"/>
    </row>
    <row r="2327" spans="1:8" ht="14.25" customHeight="1"/>
    <row r="2328" spans="1:8" ht="14.25" customHeight="1"/>
    <row r="2329" spans="1:8" ht="14.25" customHeight="1"/>
    <row r="2330" spans="1:8" ht="14.25" customHeight="1"/>
    <row r="2331" spans="1:8" ht="14.25" customHeight="1">
      <c r="A2331" s="80" t="s">
        <v>0</v>
      </c>
      <c r="B2331" s="81"/>
      <c r="C2331" s="81"/>
      <c r="D2331" s="81"/>
      <c r="E2331" s="81"/>
      <c r="F2331" s="81"/>
      <c r="G2331" s="81"/>
      <c r="H2331" s="82"/>
    </row>
    <row r="2332" spans="1:8" ht="14.25" customHeight="1">
      <c r="A2332" s="80" t="s">
        <v>657</v>
      </c>
      <c r="B2332" s="81"/>
      <c r="C2332" s="81"/>
      <c r="D2332" s="81"/>
      <c r="E2332" s="81"/>
      <c r="F2332" s="81"/>
      <c r="G2332" s="81"/>
      <c r="H2332" s="82"/>
    </row>
    <row r="2333" spans="1:8" ht="14.25" customHeight="1">
      <c r="A2333" s="33" t="s">
        <v>2</v>
      </c>
      <c r="B2333" s="33" t="s">
        <v>3</v>
      </c>
      <c r="C2333" s="33" t="s">
        <v>4</v>
      </c>
      <c r="D2333" s="33" t="s">
        <v>5</v>
      </c>
      <c r="E2333" s="33" t="s">
        <v>6</v>
      </c>
      <c r="F2333" s="34" t="s">
        <v>7</v>
      </c>
      <c r="G2333" s="33" t="s">
        <v>8</v>
      </c>
      <c r="H2333" s="35"/>
    </row>
    <row r="2334" spans="1:8" ht="14.25" customHeight="1">
      <c r="A2334" s="36">
        <v>1</v>
      </c>
      <c r="B2334" s="18" t="s">
        <v>43</v>
      </c>
      <c r="C2334" s="5" t="s">
        <v>658</v>
      </c>
      <c r="D2334" s="18" t="s">
        <v>413</v>
      </c>
      <c r="E2334" s="18">
        <v>1.5</v>
      </c>
      <c r="F2334" s="6">
        <v>293000</v>
      </c>
      <c r="G2334" s="37">
        <f t="shared" ref="G2334:G2336" si="150">IFERROR(E2334*F2334,0)</f>
        <v>439500</v>
      </c>
      <c r="H2334" s="38"/>
    </row>
    <row r="2335" spans="1:8" ht="14.25" customHeight="1">
      <c r="A2335" s="36">
        <v>2</v>
      </c>
      <c r="B2335" s="12" t="s">
        <v>659</v>
      </c>
      <c r="C2335" s="10">
        <v>7223</v>
      </c>
      <c r="D2335" s="12" t="s">
        <v>14</v>
      </c>
      <c r="E2335" s="12">
        <v>2</v>
      </c>
      <c r="F2335" s="43">
        <v>435000</v>
      </c>
      <c r="G2335" s="37">
        <f t="shared" si="150"/>
        <v>870000</v>
      </c>
      <c r="H2335" s="38"/>
    </row>
    <row r="2336" spans="1:8" ht="14.25" customHeight="1">
      <c r="A2336" s="36">
        <v>4</v>
      </c>
      <c r="B2336" s="39" t="s">
        <v>17</v>
      </c>
      <c r="C2336" s="38"/>
      <c r="D2336" s="38"/>
      <c r="E2336" s="38"/>
      <c r="F2336" s="60"/>
      <c r="G2336" s="37">
        <f t="shared" si="150"/>
        <v>0</v>
      </c>
      <c r="H2336" s="38"/>
    </row>
    <row r="2337" spans="1:8" ht="14.25" customHeight="1">
      <c r="A2337" s="83" t="s">
        <v>18</v>
      </c>
      <c r="B2337" s="81"/>
      <c r="C2337" s="81"/>
      <c r="D2337" s="81"/>
      <c r="E2337" s="81"/>
      <c r="F2337" s="81"/>
      <c r="G2337" s="82"/>
      <c r="H2337" s="41">
        <f>SUM(G2334:G2336)</f>
        <v>1309500</v>
      </c>
    </row>
    <row r="2338" spans="1:8" ht="14.25" customHeight="1">
      <c r="A2338" s="83" t="s">
        <v>19</v>
      </c>
      <c r="B2338" s="81"/>
      <c r="C2338" s="81"/>
      <c r="D2338" s="81"/>
      <c r="E2338" s="81"/>
      <c r="F2338" s="81"/>
      <c r="G2338" s="82"/>
      <c r="H2338" s="41">
        <f>MAX(0,H2337-648000)</f>
        <v>661500</v>
      </c>
    </row>
    <row r="2339" spans="1:8" ht="14.25" customHeight="1">
      <c r="A2339" s="84" t="s">
        <v>20</v>
      </c>
      <c r="B2339" s="81"/>
      <c r="C2339" s="81"/>
      <c r="D2339" s="81"/>
      <c r="E2339" s="81"/>
      <c r="F2339" s="81"/>
      <c r="G2339" s="82"/>
      <c r="H2339" s="42">
        <v>649000</v>
      </c>
    </row>
    <row r="2340" spans="1:8" ht="14.25" customHeight="1">
      <c r="A2340" s="80"/>
      <c r="B2340" s="81"/>
      <c r="C2340" s="81"/>
      <c r="D2340" s="81"/>
      <c r="E2340" s="81"/>
      <c r="F2340" s="81"/>
      <c r="G2340" s="81"/>
      <c r="H2340" s="82"/>
    </row>
    <row r="2341" spans="1:8" ht="14.25" customHeight="1"/>
    <row r="2342" spans="1:8" ht="14.25" customHeight="1"/>
    <row r="2343" spans="1:8" ht="14.25" customHeight="1"/>
    <row r="2344" spans="1:8" ht="14.25" customHeight="1"/>
    <row r="2345" spans="1:8" ht="14.25" customHeight="1">
      <c r="A2345" s="80" t="s">
        <v>0</v>
      </c>
      <c r="B2345" s="81"/>
      <c r="C2345" s="81"/>
      <c r="D2345" s="81"/>
      <c r="E2345" s="81"/>
      <c r="F2345" s="81"/>
      <c r="G2345" s="81"/>
      <c r="H2345" s="82"/>
    </row>
    <row r="2346" spans="1:8" ht="14.25" customHeight="1">
      <c r="A2346" s="80" t="s">
        <v>660</v>
      </c>
      <c r="B2346" s="81"/>
      <c r="C2346" s="81"/>
      <c r="D2346" s="81"/>
      <c r="E2346" s="81"/>
      <c r="F2346" s="81"/>
      <c r="G2346" s="81"/>
      <c r="H2346" s="82"/>
    </row>
    <row r="2347" spans="1:8" ht="14.25" customHeight="1">
      <c r="A2347" s="33" t="s">
        <v>2</v>
      </c>
      <c r="B2347" s="33" t="s">
        <v>3</v>
      </c>
      <c r="C2347" s="33" t="s">
        <v>4</v>
      </c>
      <c r="D2347" s="33" t="s">
        <v>5</v>
      </c>
      <c r="E2347" s="33" t="s">
        <v>6</v>
      </c>
      <c r="F2347" s="34" t="s">
        <v>7</v>
      </c>
      <c r="G2347" s="33" t="s">
        <v>8</v>
      </c>
      <c r="H2347" s="35"/>
    </row>
    <row r="2348" spans="1:8" ht="14.25" customHeight="1">
      <c r="A2348" s="36">
        <v>1</v>
      </c>
      <c r="B2348" s="18" t="s">
        <v>384</v>
      </c>
      <c r="C2348" s="5" t="s">
        <v>661</v>
      </c>
      <c r="D2348" s="18" t="s">
        <v>11</v>
      </c>
      <c r="E2348" s="18">
        <v>1.5</v>
      </c>
      <c r="F2348" s="6">
        <v>293000</v>
      </c>
      <c r="G2348" s="37">
        <f t="shared" ref="G2348:G2350" si="151">IFERROR(E2348*F2348,0)</f>
        <v>439500</v>
      </c>
      <c r="H2348" s="38"/>
    </row>
    <row r="2349" spans="1:8" ht="14.25" customHeight="1">
      <c r="A2349" s="36">
        <v>2</v>
      </c>
      <c r="B2349" s="12" t="s">
        <v>578</v>
      </c>
      <c r="C2349" s="10" t="s">
        <v>662</v>
      </c>
      <c r="D2349" s="12" t="s">
        <v>14</v>
      </c>
      <c r="E2349" s="12">
        <v>2</v>
      </c>
      <c r="F2349" s="43">
        <v>435000</v>
      </c>
      <c r="G2349" s="37">
        <f t="shared" si="151"/>
        <v>870000</v>
      </c>
      <c r="H2349" s="38"/>
    </row>
    <row r="2350" spans="1:8" ht="14.25" customHeight="1">
      <c r="A2350" s="36">
        <v>4</v>
      </c>
      <c r="B2350" s="39" t="s">
        <v>17</v>
      </c>
      <c r="C2350" s="38"/>
      <c r="D2350" s="38"/>
      <c r="E2350" s="38"/>
      <c r="F2350" s="60"/>
      <c r="G2350" s="37">
        <f t="shared" si="151"/>
        <v>0</v>
      </c>
      <c r="H2350" s="38"/>
    </row>
    <row r="2351" spans="1:8" ht="14.25" customHeight="1">
      <c r="A2351" s="83" t="s">
        <v>18</v>
      </c>
      <c r="B2351" s="81"/>
      <c r="C2351" s="81"/>
      <c r="D2351" s="81"/>
      <c r="E2351" s="81"/>
      <c r="F2351" s="81"/>
      <c r="G2351" s="82"/>
      <c r="H2351" s="41">
        <f>SUM(G2348:G2350)</f>
        <v>1309500</v>
      </c>
    </row>
    <row r="2352" spans="1:8" ht="14.25" customHeight="1">
      <c r="A2352" s="83" t="s">
        <v>19</v>
      </c>
      <c r="B2352" s="81"/>
      <c r="C2352" s="81"/>
      <c r="D2352" s="81"/>
      <c r="E2352" s="81"/>
      <c r="F2352" s="81"/>
      <c r="G2352" s="82"/>
      <c r="H2352" s="41">
        <f>MAX(0,H2351-648000)</f>
        <v>661500</v>
      </c>
    </row>
    <row r="2353" spans="1:8" ht="14.25" customHeight="1">
      <c r="A2353" s="84" t="s">
        <v>20</v>
      </c>
      <c r="B2353" s="81"/>
      <c r="C2353" s="81"/>
      <c r="D2353" s="81"/>
      <c r="E2353" s="81"/>
      <c r="F2353" s="81"/>
      <c r="G2353" s="82"/>
      <c r="H2353" s="42">
        <v>649000</v>
      </c>
    </row>
    <row r="2354" spans="1:8" ht="14.25" customHeight="1">
      <c r="A2354" s="80"/>
      <c r="B2354" s="81"/>
      <c r="C2354" s="81"/>
      <c r="D2354" s="81"/>
      <c r="E2354" s="81"/>
      <c r="F2354" s="81"/>
      <c r="G2354" s="81"/>
      <c r="H2354" s="82"/>
    </row>
    <row r="2355" spans="1:8" ht="14.25" customHeight="1"/>
    <row r="2356" spans="1:8" ht="14.25" customHeight="1"/>
    <row r="2357" spans="1:8" ht="14.25" customHeight="1"/>
    <row r="2358" spans="1:8" ht="14.25" customHeight="1"/>
    <row r="2359" spans="1:8" ht="14.25" customHeight="1">
      <c r="A2359" s="80" t="s">
        <v>0</v>
      </c>
      <c r="B2359" s="81"/>
      <c r="C2359" s="81"/>
      <c r="D2359" s="81"/>
      <c r="E2359" s="81"/>
      <c r="F2359" s="81"/>
      <c r="G2359" s="81"/>
      <c r="H2359" s="82"/>
    </row>
    <row r="2360" spans="1:8" ht="14.25" customHeight="1">
      <c r="A2360" s="80" t="s">
        <v>663</v>
      </c>
      <c r="B2360" s="81"/>
      <c r="C2360" s="81"/>
      <c r="D2360" s="81"/>
      <c r="E2360" s="81"/>
      <c r="F2360" s="81"/>
      <c r="G2360" s="81"/>
      <c r="H2360" s="82"/>
    </row>
    <row r="2361" spans="1:8" ht="14.25" customHeight="1">
      <c r="A2361" s="33" t="s">
        <v>2</v>
      </c>
      <c r="B2361" s="33" t="s">
        <v>3</v>
      </c>
      <c r="C2361" s="33" t="s">
        <v>4</v>
      </c>
      <c r="D2361" s="33" t="s">
        <v>5</v>
      </c>
      <c r="E2361" s="33" t="s">
        <v>6</v>
      </c>
      <c r="F2361" s="34" t="s">
        <v>7</v>
      </c>
      <c r="G2361" s="33" t="s">
        <v>8</v>
      </c>
      <c r="H2361" s="35"/>
    </row>
    <row r="2362" spans="1:8" ht="14.25" customHeight="1">
      <c r="A2362" s="36">
        <v>1</v>
      </c>
      <c r="B2362" s="18" t="s">
        <v>279</v>
      </c>
      <c r="C2362" s="5" t="s">
        <v>664</v>
      </c>
      <c r="D2362" s="18" t="s">
        <v>11</v>
      </c>
      <c r="E2362" s="18">
        <v>1.5</v>
      </c>
      <c r="F2362" s="6">
        <v>293000</v>
      </c>
      <c r="G2362" s="37">
        <f t="shared" ref="G2362:G2364" si="152">IFERROR(E2362*F2362,0)</f>
        <v>439500</v>
      </c>
      <c r="H2362" s="38"/>
    </row>
    <row r="2363" spans="1:8" ht="14.25" customHeight="1">
      <c r="A2363" s="36">
        <v>2</v>
      </c>
      <c r="B2363" s="12" t="s">
        <v>524</v>
      </c>
      <c r="C2363" s="10" t="s">
        <v>665</v>
      </c>
      <c r="D2363" s="12" t="s">
        <v>14</v>
      </c>
      <c r="E2363" s="12">
        <v>2</v>
      </c>
      <c r="F2363" s="43">
        <v>435000</v>
      </c>
      <c r="G2363" s="37">
        <f t="shared" si="152"/>
        <v>870000</v>
      </c>
      <c r="H2363" s="38"/>
    </row>
    <row r="2364" spans="1:8" ht="14.25" customHeight="1">
      <c r="A2364" s="36">
        <v>4</v>
      </c>
      <c r="B2364" s="39" t="s">
        <v>17</v>
      </c>
      <c r="C2364" s="38"/>
      <c r="D2364" s="38"/>
      <c r="E2364" s="38"/>
      <c r="F2364" s="60"/>
      <c r="G2364" s="37">
        <f t="shared" si="152"/>
        <v>0</v>
      </c>
      <c r="H2364" s="38"/>
    </row>
    <row r="2365" spans="1:8" ht="14.25" customHeight="1">
      <c r="A2365" s="83" t="s">
        <v>18</v>
      </c>
      <c r="B2365" s="81"/>
      <c r="C2365" s="81"/>
      <c r="D2365" s="81"/>
      <c r="E2365" s="81"/>
      <c r="F2365" s="81"/>
      <c r="G2365" s="82"/>
      <c r="H2365" s="41">
        <f>SUM(G2362:G2364)</f>
        <v>1309500</v>
      </c>
    </row>
    <row r="2366" spans="1:8" ht="14.25" customHeight="1">
      <c r="A2366" s="83" t="s">
        <v>19</v>
      </c>
      <c r="B2366" s="81"/>
      <c r="C2366" s="81"/>
      <c r="D2366" s="81"/>
      <c r="E2366" s="81"/>
      <c r="F2366" s="81"/>
      <c r="G2366" s="82"/>
      <c r="H2366" s="41">
        <f>MAX(0,H2365-648000)</f>
        <v>661500</v>
      </c>
    </row>
    <row r="2367" spans="1:8" ht="14.25" customHeight="1">
      <c r="A2367" s="84" t="s">
        <v>20</v>
      </c>
      <c r="B2367" s="81"/>
      <c r="C2367" s="81"/>
      <c r="D2367" s="81"/>
      <c r="E2367" s="81"/>
      <c r="F2367" s="81"/>
      <c r="G2367" s="82"/>
      <c r="H2367" s="42">
        <v>649000</v>
      </c>
    </row>
    <row r="2368" spans="1:8" ht="14.25" customHeight="1">
      <c r="A2368" s="80"/>
      <c r="B2368" s="81"/>
      <c r="C2368" s="81"/>
      <c r="D2368" s="81"/>
      <c r="E2368" s="81"/>
      <c r="F2368" s="81"/>
      <c r="G2368" s="81"/>
      <c r="H2368" s="82"/>
    </row>
    <row r="2369" spans="1:8" ht="14.25" customHeight="1"/>
    <row r="2370" spans="1:8" ht="14.25" customHeight="1"/>
    <row r="2371" spans="1:8" ht="14.25" customHeight="1"/>
    <row r="2372" spans="1:8" ht="14.25" customHeight="1">
      <c r="A2372" s="80" t="s">
        <v>0</v>
      </c>
      <c r="B2372" s="81"/>
      <c r="C2372" s="81"/>
      <c r="D2372" s="81"/>
      <c r="E2372" s="81"/>
      <c r="F2372" s="81"/>
      <c r="G2372" s="81"/>
      <c r="H2372" s="82"/>
    </row>
    <row r="2373" spans="1:8" ht="14.25" customHeight="1">
      <c r="A2373" s="80" t="s">
        <v>666</v>
      </c>
      <c r="B2373" s="81"/>
      <c r="C2373" s="81"/>
      <c r="D2373" s="81"/>
      <c r="E2373" s="81"/>
      <c r="F2373" s="81"/>
      <c r="G2373" s="81"/>
      <c r="H2373" s="82"/>
    </row>
    <row r="2374" spans="1:8" ht="14.25" customHeight="1">
      <c r="A2374" s="33" t="s">
        <v>2</v>
      </c>
      <c r="B2374" s="33" t="s">
        <v>3</v>
      </c>
      <c r="C2374" s="33" t="s">
        <v>4</v>
      </c>
      <c r="D2374" s="33" t="s">
        <v>5</v>
      </c>
      <c r="E2374" s="33" t="s">
        <v>6</v>
      </c>
      <c r="F2374" s="34" t="s">
        <v>7</v>
      </c>
      <c r="G2374" s="33" t="s">
        <v>8</v>
      </c>
      <c r="H2374" s="35"/>
    </row>
    <row r="2375" spans="1:8" ht="14.25" customHeight="1">
      <c r="A2375" s="36">
        <v>1</v>
      </c>
      <c r="B2375" s="18" t="s">
        <v>54</v>
      </c>
      <c r="C2375" s="5" t="s">
        <v>667</v>
      </c>
      <c r="D2375" s="18" t="s">
        <v>11</v>
      </c>
      <c r="E2375" s="18">
        <v>2.11</v>
      </c>
      <c r="F2375" s="6">
        <v>293000</v>
      </c>
      <c r="G2375" s="37">
        <f t="shared" ref="G2375:G2377" si="153">IFERROR(E2375*F2375,0)</f>
        <v>618230</v>
      </c>
      <c r="H2375" s="38"/>
    </row>
    <row r="2376" spans="1:8" ht="14.25" customHeight="1">
      <c r="A2376" s="36">
        <v>2</v>
      </c>
      <c r="B2376" s="12" t="s">
        <v>668</v>
      </c>
      <c r="C2376" s="10" t="s">
        <v>669</v>
      </c>
      <c r="D2376" s="12" t="s">
        <v>233</v>
      </c>
      <c r="E2376" s="12">
        <v>1.2</v>
      </c>
      <c r="F2376" s="43">
        <v>435000</v>
      </c>
      <c r="G2376" s="37">
        <f t="shared" si="153"/>
        <v>522000</v>
      </c>
      <c r="H2376" s="38"/>
    </row>
    <row r="2377" spans="1:8" ht="14.25" customHeight="1">
      <c r="A2377" s="36">
        <v>4</v>
      </c>
      <c r="B2377" s="39" t="s">
        <v>17</v>
      </c>
      <c r="C2377" s="38"/>
      <c r="D2377" s="38"/>
      <c r="E2377" s="38"/>
      <c r="F2377" s="60"/>
      <c r="G2377" s="37">
        <f t="shared" si="153"/>
        <v>0</v>
      </c>
      <c r="H2377" s="38"/>
    </row>
    <row r="2378" spans="1:8" ht="14.25" customHeight="1">
      <c r="A2378" s="83" t="s">
        <v>18</v>
      </c>
      <c r="B2378" s="81"/>
      <c r="C2378" s="81"/>
      <c r="D2378" s="81"/>
      <c r="E2378" s="81"/>
      <c r="F2378" s="81"/>
      <c r="G2378" s="82"/>
      <c r="H2378" s="41">
        <f>SUM(G2375:G2377)</f>
        <v>1140230</v>
      </c>
    </row>
    <row r="2379" spans="1:8" ht="14.25" customHeight="1">
      <c r="A2379" s="83" t="s">
        <v>19</v>
      </c>
      <c r="B2379" s="81"/>
      <c r="C2379" s="81"/>
      <c r="D2379" s="81"/>
      <c r="E2379" s="81"/>
      <c r="F2379" s="81"/>
      <c r="G2379" s="82"/>
      <c r="H2379" s="41">
        <f>MAX(0,H2378-648000)</f>
        <v>492230</v>
      </c>
    </row>
    <row r="2380" spans="1:8" ht="14.25" customHeight="1">
      <c r="A2380" s="84" t="s">
        <v>20</v>
      </c>
      <c r="B2380" s="81"/>
      <c r="C2380" s="81"/>
      <c r="D2380" s="81"/>
      <c r="E2380" s="81"/>
      <c r="F2380" s="81"/>
      <c r="G2380" s="82"/>
      <c r="H2380" s="42">
        <v>649000</v>
      </c>
    </row>
    <row r="2381" spans="1:8" ht="14.25" customHeight="1">
      <c r="A2381" s="80"/>
      <c r="B2381" s="81"/>
      <c r="C2381" s="81"/>
      <c r="D2381" s="81"/>
      <c r="E2381" s="81"/>
      <c r="F2381" s="81"/>
      <c r="G2381" s="81"/>
      <c r="H2381" s="82"/>
    </row>
    <row r="2382" spans="1:8" ht="14.25" customHeight="1"/>
    <row r="2383" spans="1:8" ht="14.25" customHeight="1"/>
    <row r="2384" spans="1:8" ht="14.25" customHeight="1"/>
    <row r="2385" spans="1:8" ht="14.25" customHeight="1"/>
    <row r="2386" spans="1:8" ht="14.25" customHeight="1">
      <c r="A2386" s="80" t="s">
        <v>0</v>
      </c>
      <c r="B2386" s="81"/>
      <c r="C2386" s="81"/>
      <c r="D2386" s="81"/>
      <c r="E2386" s="81"/>
      <c r="F2386" s="81"/>
      <c r="G2386" s="81"/>
      <c r="H2386" s="82"/>
    </row>
    <row r="2387" spans="1:8" ht="14.25" customHeight="1">
      <c r="A2387" s="80" t="s">
        <v>670</v>
      </c>
      <c r="B2387" s="81"/>
      <c r="C2387" s="81"/>
      <c r="D2387" s="81"/>
      <c r="E2387" s="81"/>
      <c r="F2387" s="81"/>
      <c r="G2387" s="81"/>
      <c r="H2387" s="82"/>
    </row>
    <row r="2388" spans="1:8" ht="14.25" customHeight="1">
      <c r="A2388" s="33" t="s">
        <v>2</v>
      </c>
      <c r="B2388" s="33" t="s">
        <v>3</v>
      </c>
      <c r="C2388" s="33" t="s">
        <v>4</v>
      </c>
      <c r="D2388" s="33" t="s">
        <v>5</v>
      </c>
      <c r="E2388" s="33" t="s">
        <v>6</v>
      </c>
      <c r="F2388" s="34" t="s">
        <v>7</v>
      </c>
      <c r="G2388" s="33" t="s">
        <v>8</v>
      </c>
      <c r="H2388" s="35"/>
    </row>
    <row r="2389" spans="1:8" ht="14.25" customHeight="1">
      <c r="A2389" s="36">
        <v>1</v>
      </c>
      <c r="B2389" s="18" t="s">
        <v>478</v>
      </c>
      <c r="C2389" s="5" t="s">
        <v>671</v>
      </c>
      <c r="D2389" s="18" t="s">
        <v>413</v>
      </c>
      <c r="E2389" s="18">
        <v>2.6</v>
      </c>
      <c r="F2389" s="6">
        <v>293000</v>
      </c>
      <c r="G2389" s="37">
        <f t="shared" ref="G2389:G2391" si="154">IFERROR(E2389*F2389,0)</f>
        <v>761800</v>
      </c>
      <c r="H2389" s="38"/>
    </row>
    <row r="2390" spans="1:8" ht="14.25" customHeight="1">
      <c r="A2390" s="36">
        <v>2</v>
      </c>
      <c r="B2390" s="12" t="s">
        <v>54</v>
      </c>
      <c r="C2390" s="10" t="s">
        <v>672</v>
      </c>
      <c r="D2390" s="12" t="s">
        <v>14</v>
      </c>
      <c r="E2390" s="12">
        <v>1.1000000000000001</v>
      </c>
      <c r="F2390" s="43">
        <v>435000</v>
      </c>
      <c r="G2390" s="37">
        <f t="shared" si="154"/>
        <v>478500.00000000006</v>
      </c>
      <c r="H2390" s="38"/>
    </row>
    <row r="2391" spans="1:8" ht="14.25" customHeight="1">
      <c r="A2391" s="36">
        <v>4</v>
      </c>
      <c r="B2391" s="39" t="s">
        <v>17</v>
      </c>
      <c r="C2391" s="38"/>
      <c r="D2391" s="38"/>
      <c r="E2391" s="38"/>
      <c r="F2391" s="60"/>
      <c r="G2391" s="37">
        <f t="shared" si="154"/>
        <v>0</v>
      </c>
      <c r="H2391" s="38"/>
    </row>
    <row r="2392" spans="1:8" ht="14.25" customHeight="1">
      <c r="A2392" s="83" t="s">
        <v>18</v>
      </c>
      <c r="B2392" s="81"/>
      <c r="C2392" s="81"/>
      <c r="D2392" s="81"/>
      <c r="E2392" s="81"/>
      <c r="F2392" s="81"/>
      <c r="G2392" s="82"/>
      <c r="H2392" s="41">
        <f>SUM(G2389:G2391)</f>
        <v>1240300</v>
      </c>
    </row>
    <row r="2393" spans="1:8" ht="14.25" customHeight="1">
      <c r="A2393" s="83" t="s">
        <v>19</v>
      </c>
      <c r="B2393" s="81"/>
      <c r="C2393" s="81"/>
      <c r="D2393" s="81"/>
      <c r="E2393" s="81"/>
      <c r="F2393" s="81"/>
      <c r="G2393" s="82"/>
      <c r="H2393" s="41">
        <f>MAX(0,H2392-648000)</f>
        <v>592300</v>
      </c>
    </row>
    <row r="2394" spans="1:8" ht="14.25" customHeight="1">
      <c r="A2394" s="84" t="s">
        <v>20</v>
      </c>
      <c r="B2394" s="81"/>
      <c r="C2394" s="81"/>
      <c r="D2394" s="81"/>
      <c r="E2394" s="81"/>
      <c r="F2394" s="81"/>
      <c r="G2394" s="82"/>
      <c r="H2394" s="42">
        <v>649000</v>
      </c>
    </row>
    <row r="2395" spans="1:8" ht="14.25" customHeight="1">
      <c r="A2395" s="80"/>
      <c r="B2395" s="81"/>
      <c r="C2395" s="81"/>
      <c r="D2395" s="81"/>
      <c r="E2395" s="81"/>
      <c r="F2395" s="81"/>
      <c r="G2395" s="81"/>
      <c r="H2395" s="82"/>
    </row>
    <row r="2396" spans="1:8" ht="14.25" customHeight="1"/>
    <row r="2397" spans="1:8" ht="14.25" customHeight="1"/>
    <row r="2398" spans="1:8" ht="14.25" customHeight="1"/>
    <row r="2399" spans="1:8" ht="14.25" customHeight="1">
      <c r="A2399" s="80" t="s">
        <v>0</v>
      </c>
      <c r="B2399" s="81"/>
      <c r="C2399" s="81"/>
      <c r="D2399" s="81"/>
      <c r="E2399" s="81"/>
      <c r="F2399" s="81"/>
      <c r="G2399" s="81"/>
      <c r="H2399" s="82"/>
    </row>
    <row r="2400" spans="1:8" ht="14.25" customHeight="1">
      <c r="A2400" s="80" t="s">
        <v>673</v>
      </c>
      <c r="B2400" s="81"/>
      <c r="C2400" s="81"/>
      <c r="D2400" s="81"/>
      <c r="E2400" s="81"/>
      <c r="F2400" s="81"/>
      <c r="G2400" s="81"/>
      <c r="H2400" s="82"/>
    </row>
    <row r="2401" spans="1:8" ht="14.25" customHeight="1">
      <c r="A2401" s="33" t="s">
        <v>2</v>
      </c>
      <c r="B2401" s="33" t="s">
        <v>3</v>
      </c>
      <c r="C2401" s="33" t="s">
        <v>4</v>
      </c>
      <c r="D2401" s="33" t="s">
        <v>5</v>
      </c>
      <c r="E2401" s="33" t="s">
        <v>6</v>
      </c>
      <c r="F2401" s="34" t="s">
        <v>7</v>
      </c>
      <c r="G2401" s="33" t="s">
        <v>8</v>
      </c>
      <c r="H2401" s="35"/>
    </row>
    <row r="2402" spans="1:8" ht="14.25" customHeight="1">
      <c r="A2402" s="36">
        <v>1</v>
      </c>
      <c r="B2402" s="18" t="s">
        <v>43</v>
      </c>
      <c r="C2402" s="5" t="s">
        <v>674</v>
      </c>
      <c r="D2402" s="18" t="s">
        <v>413</v>
      </c>
      <c r="E2402" s="18">
        <v>2.1800000000000002</v>
      </c>
      <c r="F2402" s="6">
        <v>293000</v>
      </c>
      <c r="G2402" s="37">
        <f t="shared" ref="G2402:G2404" si="155">IFERROR(E2402*F2402,0)</f>
        <v>638740</v>
      </c>
      <c r="H2402" s="38"/>
    </row>
    <row r="2403" spans="1:8" ht="14.25" customHeight="1">
      <c r="A2403" s="36">
        <v>2</v>
      </c>
      <c r="B2403" s="12" t="s">
        <v>33</v>
      </c>
      <c r="C2403" s="10" t="s">
        <v>675</v>
      </c>
      <c r="D2403" s="12" t="s">
        <v>233</v>
      </c>
      <c r="E2403" s="12">
        <v>1.2</v>
      </c>
      <c r="F2403" s="43">
        <v>435000</v>
      </c>
      <c r="G2403" s="37">
        <f t="shared" si="155"/>
        <v>522000</v>
      </c>
      <c r="H2403" s="38"/>
    </row>
    <row r="2404" spans="1:8" ht="14.25" customHeight="1">
      <c r="A2404" s="36">
        <v>4</v>
      </c>
      <c r="B2404" s="39" t="s">
        <v>17</v>
      </c>
      <c r="C2404" s="38"/>
      <c r="D2404" s="38"/>
      <c r="E2404" s="38"/>
      <c r="F2404" s="60"/>
      <c r="G2404" s="37">
        <f t="shared" si="155"/>
        <v>0</v>
      </c>
      <c r="H2404" s="38"/>
    </row>
    <row r="2405" spans="1:8" ht="14.25" customHeight="1">
      <c r="A2405" s="83" t="s">
        <v>18</v>
      </c>
      <c r="B2405" s="81"/>
      <c r="C2405" s="81"/>
      <c r="D2405" s="81"/>
      <c r="E2405" s="81"/>
      <c r="F2405" s="81"/>
      <c r="G2405" s="82"/>
      <c r="H2405" s="41">
        <f>SUM(G2402:G2404)</f>
        <v>1160740</v>
      </c>
    </row>
    <row r="2406" spans="1:8" ht="14.25" customHeight="1">
      <c r="A2406" s="83" t="s">
        <v>19</v>
      </c>
      <c r="B2406" s="81"/>
      <c r="C2406" s="81"/>
      <c r="D2406" s="81"/>
      <c r="E2406" s="81"/>
      <c r="F2406" s="81"/>
      <c r="G2406" s="82"/>
      <c r="H2406" s="41">
        <f>MAX(0,H2405-648000)</f>
        <v>512740</v>
      </c>
    </row>
    <row r="2407" spans="1:8" ht="14.25" customHeight="1">
      <c r="A2407" s="84" t="s">
        <v>20</v>
      </c>
      <c r="B2407" s="81"/>
      <c r="C2407" s="81"/>
      <c r="D2407" s="81"/>
      <c r="E2407" s="81"/>
      <c r="F2407" s="81"/>
      <c r="G2407" s="82"/>
      <c r="H2407" s="42">
        <v>649000</v>
      </c>
    </row>
    <row r="2408" spans="1:8" ht="14.25" customHeight="1">
      <c r="A2408" s="80"/>
      <c r="B2408" s="81"/>
      <c r="C2408" s="81"/>
      <c r="D2408" s="81"/>
      <c r="E2408" s="81"/>
      <c r="F2408" s="81"/>
      <c r="G2408" s="81"/>
      <c r="H2408" s="82"/>
    </row>
    <row r="2409" spans="1:8" ht="14.25" customHeight="1"/>
    <row r="2410" spans="1:8" ht="14.25" customHeight="1"/>
    <row r="2411" spans="1:8" ht="14.25" customHeight="1"/>
    <row r="2412" spans="1:8" ht="14.25" customHeight="1"/>
    <row r="2413" spans="1:8" ht="14.25" customHeight="1"/>
    <row r="2414" spans="1:8" ht="14.25" customHeight="1"/>
    <row r="2415" spans="1:8" ht="14.25" customHeight="1">
      <c r="A2415" s="80" t="s">
        <v>0</v>
      </c>
      <c r="B2415" s="81"/>
      <c r="C2415" s="81"/>
      <c r="D2415" s="81"/>
      <c r="E2415" s="81"/>
      <c r="F2415" s="81"/>
      <c r="G2415" s="81"/>
      <c r="H2415" s="82"/>
    </row>
    <row r="2416" spans="1:8" ht="14.25" customHeight="1">
      <c r="A2416" s="80" t="s">
        <v>676</v>
      </c>
      <c r="B2416" s="81"/>
      <c r="C2416" s="81"/>
      <c r="D2416" s="81"/>
      <c r="E2416" s="81"/>
      <c r="F2416" s="81"/>
      <c r="G2416" s="81"/>
      <c r="H2416" s="82"/>
    </row>
    <row r="2417" spans="1:8" ht="14.25" customHeight="1">
      <c r="A2417" s="33" t="s">
        <v>2</v>
      </c>
      <c r="B2417" s="33" t="s">
        <v>3</v>
      </c>
      <c r="C2417" s="33" t="s">
        <v>4</v>
      </c>
      <c r="D2417" s="33" t="s">
        <v>5</v>
      </c>
      <c r="E2417" s="33" t="s">
        <v>6</v>
      </c>
      <c r="F2417" s="34" t="s">
        <v>7</v>
      </c>
      <c r="G2417" s="33" t="s">
        <v>8</v>
      </c>
      <c r="H2417" s="35"/>
    </row>
    <row r="2418" spans="1:8" ht="14.25" customHeight="1">
      <c r="A2418" s="36">
        <v>1</v>
      </c>
      <c r="B2418" s="18" t="s">
        <v>463</v>
      </c>
      <c r="C2418" s="5" t="s">
        <v>677</v>
      </c>
      <c r="D2418" s="18" t="s">
        <v>413</v>
      </c>
      <c r="E2418" s="18">
        <v>3</v>
      </c>
      <c r="F2418" s="6">
        <v>293000</v>
      </c>
      <c r="G2418" s="37">
        <f t="shared" ref="G2418:G2420" si="156">IFERROR(E2418*F2418,0)</f>
        <v>879000</v>
      </c>
      <c r="H2418" s="38"/>
    </row>
    <row r="2419" spans="1:8" ht="14.25" customHeight="1">
      <c r="A2419" s="36">
        <v>2</v>
      </c>
      <c r="B2419" s="12" t="s">
        <v>33</v>
      </c>
      <c r="C2419" s="10" t="s">
        <v>678</v>
      </c>
      <c r="D2419" s="12" t="s">
        <v>233</v>
      </c>
      <c r="E2419" s="12">
        <v>0.6</v>
      </c>
      <c r="F2419" s="43">
        <v>435000</v>
      </c>
      <c r="G2419" s="37">
        <f t="shared" si="156"/>
        <v>261000</v>
      </c>
      <c r="H2419" s="38"/>
    </row>
    <row r="2420" spans="1:8" ht="14.25" customHeight="1">
      <c r="A2420" s="36">
        <v>4</v>
      </c>
      <c r="B2420" s="39" t="s">
        <v>17</v>
      </c>
      <c r="C2420" s="38"/>
      <c r="D2420" s="38"/>
      <c r="E2420" s="38"/>
      <c r="F2420" s="60"/>
      <c r="G2420" s="37">
        <f t="shared" si="156"/>
        <v>0</v>
      </c>
      <c r="H2420" s="38"/>
    </row>
    <row r="2421" spans="1:8" ht="14.25" customHeight="1">
      <c r="A2421" s="83" t="s">
        <v>18</v>
      </c>
      <c r="B2421" s="81"/>
      <c r="C2421" s="81"/>
      <c r="D2421" s="81"/>
      <c r="E2421" s="81"/>
      <c r="F2421" s="81"/>
      <c r="G2421" s="82"/>
      <c r="H2421" s="41">
        <f>SUM(G2418:G2420)</f>
        <v>1140000</v>
      </c>
    </row>
    <row r="2422" spans="1:8" ht="14.25" customHeight="1">
      <c r="A2422" s="83" t="s">
        <v>19</v>
      </c>
      <c r="B2422" s="81"/>
      <c r="C2422" s="81"/>
      <c r="D2422" s="81"/>
      <c r="E2422" s="81"/>
      <c r="F2422" s="81"/>
      <c r="G2422" s="82"/>
      <c r="H2422" s="41">
        <f>MAX(0,H2421-648000)</f>
        <v>492000</v>
      </c>
    </row>
    <row r="2423" spans="1:8" ht="14.25" customHeight="1">
      <c r="A2423" s="84" t="s">
        <v>20</v>
      </c>
      <c r="B2423" s="81"/>
      <c r="C2423" s="81"/>
      <c r="D2423" s="81"/>
      <c r="E2423" s="81"/>
      <c r="F2423" s="81"/>
      <c r="G2423" s="82"/>
      <c r="H2423" s="42">
        <v>649000</v>
      </c>
    </row>
    <row r="2424" spans="1:8" ht="14.25" customHeight="1">
      <c r="A2424" s="80"/>
      <c r="B2424" s="81"/>
      <c r="C2424" s="81"/>
      <c r="D2424" s="81"/>
      <c r="E2424" s="81"/>
      <c r="F2424" s="81"/>
      <c r="G2424" s="81"/>
      <c r="H2424" s="82"/>
    </row>
    <row r="2425" spans="1:8" ht="14.25" customHeight="1"/>
    <row r="2426" spans="1:8" ht="14.25" customHeight="1"/>
    <row r="2427" spans="1:8" ht="14.25" customHeight="1"/>
    <row r="2428" spans="1:8" ht="14.25" customHeight="1"/>
    <row r="2429" spans="1:8" ht="14.25" customHeight="1"/>
    <row r="2430" spans="1:8" ht="14.25" customHeight="1">
      <c r="A2430" s="80" t="s">
        <v>0</v>
      </c>
      <c r="B2430" s="81"/>
      <c r="C2430" s="81"/>
      <c r="D2430" s="81"/>
      <c r="E2430" s="81"/>
      <c r="F2430" s="81"/>
      <c r="G2430" s="81"/>
      <c r="H2430" s="82"/>
    </row>
    <row r="2431" spans="1:8" ht="14.25" customHeight="1">
      <c r="A2431" s="80" t="s">
        <v>679</v>
      </c>
      <c r="B2431" s="81"/>
      <c r="C2431" s="81"/>
      <c r="D2431" s="81"/>
      <c r="E2431" s="81"/>
      <c r="F2431" s="81"/>
      <c r="G2431" s="81"/>
      <c r="H2431" s="82"/>
    </row>
    <row r="2432" spans="1:8" ht="14.25" customHeight="1">
      <c r="A2432" s="33" t="s">
        <v>2</v>
      </c>
      <c r="B2432" s="33" t="s">
        <v>3</v>
      </c>
      <c r="C2432" s="33" t="s">
        <v>4</v>
      </c>
      <c r="D2432" s="33" t="s">
        <v>5</v>
      </c>
      <c r="E2432" s="33" t="s">
        <v>6</v>
      </c>
      <c r="F2432" s="34" t="s">
        <v>7</v>
      </c>
      <c r="G2432" s="33" t="s">
        <v>8</v>
      </c>
      <c r="H2432" s="35"/>
    </row>
    <row r="2433" spans="1:8" ht="14.25" customHeight="1">
      <c r="A2433" s="36">
        <v>1</v>
      </c>
      <c r="B2433" s="18" t="s">
        <v>680</v>
      </c>
      <c r="C2433" s="5" t="s">
        <v>681</v>
      </c>
      <c r="D2433" s="18" t="s">
        <v>413</v>
      </c>
      <c r="E2433" s="18">
        <v>3</v>
      </c>
      <c r="F2433" s="6">
        <v>293000</v>
      </c>
      <c r="G2433" s="37">
        <f t="shared" ref="G2433:G2435" si="157">IFERROR(E2433*F2433,0)</f>
        <v>879000</v>
      </c>
      <c r="H2433" s="38"/>
    </row>
    <row r="2434" spans="1:8" ht="14.25" customHeight="1">
      <c r="A2434" s="36">
        <v>2</v>
      </c>
      <c r="B2434" s="12" t="s">
        <v>33</v>
      </c>
      <c r="C2434" s="10" t="s">
        <v>682</v>
      </c>
      <c r="D2434" s="12" t="s">
        <v>233</v>
      </c>
      <c r="E2434" s="12">
        <v>0.55000000000000004</v>
      </c>
      <c r="F2434" s="43">
        <v>435000</v>
      </c>
      <c r="G2434" s="37">
        <f t="shared" si="157"/>
        <v>239250.00000000003</v>
      </c>
      <c r="H2434" s="38"/>
    </row>
    <row r="2435" spans="1:8" ht="14.25" customHeight="1">
      <c r="A2435" s="36">
        <v>4</v>
      </c>
      <c r="B2435" s="39" t="s">
        <v>17</v>
      </c>
      <c r="C2435" s="38"/>
      <c r="D2435" s="38"/>
      <c r="E2435" s="38"/>
      <c r="F2435" s="60"/>
      <c r="G2435" s="37">
        <f t="shared" si="157"/>
        <v>0</v>
      </c>
      <c r="H2435" s="38"/>
    </row>
    <row r="2436" spans="1:8" ht="14.25" customHeight="1">
      <c r="A2436" s="83" t="s">
        <v>18</v>
      </c>
      <c r="B2436" s="81"/>
      <c r="C2436" s="81"/>
      <c r="D2436" s="81"/>
      <c r="E2436" s="81"/>
      <c r="F2436" s="81"/>
      <c r="G2436" s="82"/>
      <c r="H2436" s="41">
        <f>SUM(G2433:G2435)</f>
        <v>1118250</v>
      </c>
    </row>
    <row r="2437" spans="1:8" ht="14.25" customHeight="1">
      <c r="A2437" s="83" t="s">
        <v>19</v>
      </c>
      <c r="B2437" s="81"/>
      <c r="C2437" s="81"/>
      <c r="D2437" s="81"/>
      <c r="E2437" s="81"/>
      <c r="F2437" s="81"/>
      <c r="G2437" s="82"/>
      <c r="H2437" s="41">
        <f>MAX(0,H2436-648000)</f>
        <v>470250</v>
      </c>
    </row>
    <row r="2438" spans="1:8" ht="14.25" customHeight="1">
      <c r="A2438" s="84" t="s">
        <v>20</v>
      </c>
      <c r="B2438" s="81"/>
      <c r="C2438" s="81"/>
      <c r="D2438" s="81"/>
      <c r="E2438" s="81"/>
      <c r="F2438" s="81"/>
      <c r="G2438" s="82"/>
      <c r="H2438" s="42">
        <v>649000</v>
      </c>
    </row>
    <row r="2439" spans="1:8" ht="14.25" customHeight="1">
      <c r="A2439" s="80"/>
      <c r="B2439" s="81"/>
      <c r="C2439" s="81"/>
      <c r="D2439" s="81"/>
      <c r="E2439" s="81"/>
      <c r="F2439" s="81"/>
      <c r="G2439" s="81"/>
      <c r="H2439" s="82"/>
    </row>
    <row r="2440" spans="1:8" ht="14.25" customHeight="1"/>
    <row r="2441" spans="1:8" ht="14.25" customHeight="1"/>
    <row r="2442" spans="1:8" ht="14.25" customHeight="1"/>
    <row r="2443" spans="1:8" ht="14.25" customHeight="1">
      <c r="A2443" s="80" t="s">
        <v>0</v>
      </c>
      <c r="B2443" s="81"/>
      <c r="C2443" s="81"/>
      <c r="D2443" s="81"/>
      <c r="E2443" s="81"/>
      <c r="F2443" s="81"/>
      <c r="G2443" s="81"/>
      <c r="H2443" s="82"/>
    </row>
    <row r="2444" spans="1:8" ht="14.25" customHeight="1">
      <c r="A2444" s="80" t="s">
        <v>683</v>
      </c>
      <c r="B2444" s="81"/>
      <c r="C2444" s="81"/>
      <c r="D2444" s="81"/>
      <c r="E2444" s="81"/>
      <c r="F2444" s="81"/>
      <c r="G2444" s="81"/>
      <c r="H2444" s="82"/>
    </row>
    <row r="2445" spans="1:8" ht="14.25" customHeight="1">
      <c r="A2445" s="33" t="s">
        <v>2</v>
      </c>
      <c r="B2445" s="33" t="s">
        <v>3</v>
      </c>
      <c r="C2445" s="33" t="s">
        <v>4</v>
      </c>
      <c r="D2445" s="33" t="s">
        <v>5</v>
      </c>
      <c r="E2445" s="33" t="s">
        <v>6</v>
      </c>
      <c r="F2445" s="34" t="s">
        <v>7</v>
      </c>
      <c r="G2445" s="33" t="s">
        <v>8</v>
      </c>
      <c r="H2445" s="35"/>
    </row>
    <row r="2446" spans="1:8" ht="14.25" customHeight="1">
      <c r="A2446" s="36">
        <v>1</v>
      </c>
      <c r="B2446" s="18" t="s">
        <v>684</v>
      </c>
      <c r="C2446" s="5">
        <v>7311</v>
      </c>
      <c r="D2446" s="18" t="s">
        <v>413</v>
      </c>
      <c r="E2446" s="18">
        <v>1.8</v>
      </c>
      <c r="F2446" s="6">
        <v>293000</v>
      </c>
      <c r="G2446" s="37">
        <f t="shared" ref="G2446:G2448" si="158">IFERROR(E2446*F2446,0)</f>
        <v>527400</v>
      </c>
      <c r="H2446" s="38"/>
    </row>
    <row r="2447" spans="1:8" ht="14.25" customHeight="1">
      <c r="A2447" s="36">
        <v>2</v>
      </c>
      <c r="B2447" s="12" t="s">
        <v>144</v>
      </c>
      <c r="C2447" s="10" t="s">
        <v>685</v>
      </c>
      <c r="D2447" s="12" t="s">
        <v>233</v>
      </c>
      <c r="E2447" s="12">
        <v>1.8</v>
      </c>
      <c r="F2447" s="43">
        <v>435000</v>
      </c>
      <c r="G2447" s="37">
        <f t="shared" si="158"/>
        <v>783000</v>
      </c>
      <c r="H2447" s="38"/>
    </row>
    <row r="2448" spans="1:8" ht="14.25" customHeight="1">
      <c r="A2448" s="36">
        <v>4</v>
      </c>
      <c r="B2448" s="39" t="s">
        <v>17</v>
      </c>
      <c r="C2448" s="38"/>
      <c r="D2448" s="38"/>
      <c r="E2448" s="38"/>
      <c r="F2448" s="60"/>
      <c r="G2448" s="37">
        <f t="shared" si="158"/>
        <v>0</v>
      </c>
      <c r="H2448" s="38"/>
    </row>
    <row r="2449" spans="1:8" ht="14.25" customHeight="1">
      <c r="A2449" s="83" t="s">
        <v>18</v>
      </c>
      <c r="B2449" s="81"/>
      <c r="C2449" s="81"/>
      <c r="D2449" s="81"/>
      <c r="E2449" s="81"/>
      <c r="F2449" s="81"/>
      <c r="G2449" s="82"/>
      <c r="H2449" s="41">
        <f>SUM(G2446:G2448)</f>
        <v>1310400</v>
      </c>
    </row>
    <row r="2450" spans="1:8" ht="14.25" customHeight="1">
      <c r="A2450" s="83" t="s">
        <v>19</v>
      </c>
      <c r="B2450" s="81"/>
      <c r="C2450" s="81"/>
      <c r="D2450" s="81"/>
      <c r="E2450" s="81"/>
      <c r="F2450" s="81"/>
      <c r="G2450" s="82"/>
      <c r="H2450" s="41">
        <f>MAX(0,H2449-648000)</f>
        <v>662400</v>
      </c>
    </row>
    <row r="2451" spans="1:8" ht="14.25" customHeight="1">
      <c r="A2451" s="84" t="s">
        <v>20</v>
      </c>
      <c r="B2451" s="81"/>
      <c r="C2451" s="81"/>
      <c r="D2451" s="81"/>
      <c r="E2451" s="81"/>
      <c r="F2451" s="81"/>
      <c r="G2451" s="82"/>
      <c r="H2451" s="42">
        <v>649000</v>
      </c>
    </row>
    <row r="2452" spans="1:8" ht="14.25" customHeight="1">
      <c r="A2452" s="80"/>
      <c r="B2452" s="81"/>
      <c r="C2452" s="81"/>
      <c r="D2452" s="81"/>
      <c r="E2452" s="81"/>
      <c r="F2452" s="81"/>
      <c r="G2452" s="81"/>
      <c r="H2452" s="82"/>
    </row>
    <row r="2453" spans="1:8" ht="14.25" customHeight="1"/>
    <row r="2454" spans="1:8" ht="14.25" customHeight="1"/>
    <row r="2455" spans="1:8" ht="14.25" customHeight="1"/>
    <row r="2456" spans="1:8" ht="14.25" customHeight="1"/>
    <row r="2457" spans="1:8" ht="14.25" customHeight="1"/>
    <row r="2458" spans="1:8" ht="14.25" customHeight="1">
      <c r="A2458" s="80" t="s">
        <v>0</v>
      </c>
      <c r="B2458" s="81"/>
      <c r="C2458" s="81"/>
      <c r="D2458" s="81"/>
      <c r="E2458" s="81"/>
      <c r="F2458" s="81"/>
      <c r="G2458" s="81"/>
      <c r="H2458" s="82"/>
    </row>
    <row r="2459" spans="1:8" ht="14.25" customHeight="1">
      <c r="A2459" s="80" t="s">
        <v>686</v>
      </c>
      <c r="B2459" s="81"/>
      <c r="C2459" s="81"/>
      <c r="D2459" s="81"/>
      <c r="E2459" s="81"/>
      <c r="F2459" s="81"/>
      <c r="G2459" s="81"/>
      <c r="H2459" s="82"/>
    </row>
    <row r="2460" spans="1:8" ht="14.25" customHeight="1">
      <c r="A2460" s="33" t="s">
        <v>2</v>
      </c>
      <c r="B2460" s="33" t="s">
        <v>3</v>
      </c>
      <c r="C2460" s="33" t="s">
        <v>4</v>
      </c>
      <c r="D2460" s="33" t="s">
        <v>5</v>
      </c>
      <c r="E2460" s="33" t="s">
        <v>6</v>
      </c>
      <c r="F2460" s="34" t="s">
        <v>7</v>
      </c>
      <c r="G2460" s="33" t="s">
        <v>8</v>
      </c>
      <c r="H2460" s="35"/>
    </row>
    <row r="2461" spans="1:8" ht="14.25" customHeight="1">
      <c r="A2461" s="36">
        <v>1</v>
      </c>
      <c r="B2461" s="51" t="s">
        <v>172</v>
      </c>
      <c r="C2461" s="5" t="s">
        <v>687</v>
      </c>
      <c r="D2461" s="18" t="s">
        <v>11</v>
      </c>
      <c r="E2461" s="18">
        <v>2</v>
      </c>
      <c r="F2461" s="6">
        <v>293000</v>
      </c>
      <c r="G2461" s="37">
        <f t="shared" ref="G2461:G2463" si="159">IFERROR(E2461*F2461,0)</f>
        <v>586000</v>
      </c>
      <c r="H2461" s="38"/>
    </row>
    <row r="2462" spans="1:8" ht="14.25" customHeight="1">
      <c r="A2462" s="36">
        <v>2</v>
      </c>
      <c r="B2462" s="18" t="s">
        <v>688</v>
      </c>
      <c r="C2462" s="10" t="s">
        <v>689</v>
      </c>
      <c r="D2462" s="12" t="s">
        <v>233</v>
      </c>
      <c r="E2462" s="12">
        <v>1.58</v>
      </c>
      <c r="F2462" s="43">
        <v>435000</v>
      </c>
      <c r="G2462" s="37">
        <f t="shared" si="159"/>
        <v>687300</v>
      </c>
      <c r="H2462" s="38"/>
    </row>
    <row r="2463" spans="1:8" ht="14.25" customHeight="1">
      <c r="A2463" s="36">
        <v>4</v>
      </c>
      <c r="B2463" s="39" t="s">
        <v>17</v>
      </c>
      <c r="C2463" s="38"/>
      <c r="D2463" s="38"/>
      <c r="E2463" s="38"/>
      <c r="F2463" s="60"/>
      <c r="G2463" s="37">
        <f t="shared" si="159"/>
        <v>0</v>
      </c>
      <c r="H2463" s="38"/>
    </row>
    <row r="2464" spans="1:8" ht="14.25" customHeight="1">
      <c r="A2464" s="83" t="s">
        <v>18</v>
      </c>
      <c r="B2464" s="81"/>
      <c r="C2464" s="81"/>
      <c r="D2464" s="81"/>
      <c r="E2464" s="81"/>
      <c r="F2464" s="81"/>
      <c r="G2464" s="82"/>
      <c r="H2464" s="41">
        <f>SUM(G2461:G2463)</f>
        <v>1273300</v>
      </c>
    </row>
    <row r="2465" spans="1:8" ht="14.25" customHeight="1">
      <c r="A2465" s="83" t="s">
        <v>19</v>
      </c>
      <c r="B2465" s="81"/>
      <c r="C2465" s="81"/>
      <c r="D2465" s="81"/>
      <c r="E2465" s="81"/>
      <c r="F2465" s="81"/>
      <c r="G2465" s="82"/>
      <c r="H2465" s="41">
        <f>MAX(0,H2464-648000)</f>
        <v>625300</v>
      </c>
    </row>
    <row r="2466" spans="1:8" ht="14.25" customHeight="1">
      <c r="A2466" s="84" t="s">
        <v>20</v>
      </c>
      <c r="B2466" s="81"/>
      <c r="C2466" s="81"/>
      <c r="D2466" s="81"/>
      <c r="E2466" s="81"/>
      <c r="F2466" s="81"/>
      <c r="G2466" s="82"/>
      <c r="H2466" s="42">
        <v>649000</v>
      </c>
    </row>
    <row r="2467" spans="1:8" ht="14.25" customHeight="1">
      <c r="A2467" s="80"/>
      <c r="B2467" s="81"/>
      <c r="C2467" s="81"/>
      <c r="D2467" s="81"/>
      <c r="E2467" s="81"/>
      <c r="F2467" s="81"/>
      <c r="G2467" s="81"/>
      <c r="H2467" s="82"/>
    </row>
    <row r="2468" spans="1:8" ht="14.25" customHeight="1"/>
    <row r="2469" spans="1:8" ht="14.25" customHeight="1"/>
    <row r="2470" spans="1:8" ht="14.25" customHeight="1"/>
    <row r="2471" spans="1:8" ht="14.25" customHeight="1"/>
    <row r="2472" spans="1:8" ht="14.25" customHeight="1">
      <c r="A2472" s="80" t="s">
        <v>0</v>
      </c>
      <c r="B2472" s="81"/>
      <c r="C2472" s="81"/>
      <c r="D2472" s="81"/>
      <c r="E2472" s="81"/>
      <c r="F2472" s="81"/>
      <c r="G2472" s="81"/>
      <c r="H2472" s="82"/>
    </row>
    <row r="2473" spans="1:8" ht="14.25" customHeight="1">
      <c r="A2473" s="80" t="s">
        <v>690</v>
      </c>
      <c r="B2473" s="81"/>
      <c r="C2473" s="81"/>
      <c r="D2473" s="81"/>
      <c r="E2473" s="81"/>
      <c r="F2473" s="81"/>
      <c r="G2473" s="81"/>
      <c r="H2473" s="82"/>
    </row>
    <row r="2474" spans="1:8" ht="14.25" customHeight="1">
      <c r="A2474" s="33" t="s">
        <v>2</v>
      </c>
      <c r="B2474" s="33" t="s">
        <v>3</v>
      </c>
      <c r="C2474" s="33" t="s">
        <v>4</v>
      </c>
      <c r="D2474" s="33" t="s">
        <v>5</v>
      </c>
      <c r="E2474" s="33" t="s">
        <v>6</v>
      </c>
      <c r="F2474" s="34" t="s">
        <v>7</v>
      </c>
      <c r="G2474" s="33" t="s">
        <v>8</v>
      </c>
      <c r="H2474" s="35"/>
    </row>
    <row r="2475" spans="1:8" ht="14.25" customHeight="1">
      <c r="A2475" s="36">
        <v>1</v>
      </c>
      <c r="B2475" s="18" t="s">
        <v>295</v>
      </c>
      <c r="C2475" s="5" t="s">
        <v>691</v>
      </c>
      <c r="D2475" s="18" t="s">
        <v>413</v>
      </c>
      <c r="E2475" s="18">
        <v>2.1</v>
      </c>
      <c r="F2475" s="6">
        <v>293000</v>
      </c>
      <c r="G2475" s="37">
        <f t="shared" ref="G2475:G2477" si="160">IFERROR(E2475*F2475,0)</f>
        <v>615300</v>
      </c>
      <c r="H2475" s="38"/>
    </row>
    <row r="2476" spans="1:8" ht="14.25" customHeight="1">
      <c r="A2476" s="36">
        <v>2</v>
      </c>
      <c r="B2476" s="12" t="s">
        <v>463</v>
      </c>
      <c r="C2476" s="10" t="s">
        <v>692</v>
      </c>
      <c r="D2476" s="12" t="s">
        <v>233</v>
      </c>
      <c r="E2476" s="12">
        <v>1.48</v>
      </c>
      <c r="F2476" s="43">
        <v>435000</v>
      </c>
      <c r="G2476" s="37">
        <f t="shared" si="160"/>
        <v>643800</v>
      </c>
      <c r="H2476" s="38"/>
    </row>
    <row r="2477" spans="1:8" ht="14.25" customHeight="1">
      <c r="A2477" s="36">
        <v>4</v>
      </c>
      <c r="B2477" s="39" t="s">
        <v>17</v>
      </c>
      <c r="C2477" s="38"/>
      <c r="D2477" s="38"/>
      <c r="E2477" s="38"/>
      <c r="F2477" s="60"/>
      <c r="G2477" s="37">
        <f t="shared" si="160"/>
        <v>0</v>
      </c>
      <c r="H2477" s="38"/>
    </row>
    <row r="2478" spans="1:8" ht="14.25" customHeight="1">
      <c r="A2478" s="83" t="s">
        <v>18</v>
      </c>
      <c r="B2478" s="81"/>
      <c r="C2478" s="81"/>
      <c r="D2478" s="81"/>
      <c r="E2478" s="81"/>
      <c r="F2478" s="81"/>
      <c r="G2478" s="82"/>
      <c r="H2478" s="41">
        <f>SUM(G2475:G2477)</f>
        <v>1259100</v>
      </c>
    </row>
    <row r="2479" spans="1:8" ht="14.25" customHeight="1">
      <c r="A2479" s="83" t="s">
        <v>19</v>
      </c>
      <c r="B2479" s="81"/>
      <c r="C2479" s="81"/>
      <c r="D2479" s="81"/>
      <c r="E2479" s="81"/>
      <c r="F2479" s="81"/>
      <c r="G2479" s="82"/>
      <c r="H2479" s="41">
        <f>MAX(0,H2478-648000)</f>
        <v>611100</v>
      </c>
    </row>
    <row r="2480" spans="1:8" ht="14.25" customHeight="1">
      <c r="A2480" s="84" t="s">
        <v>20</v>
      </c>
      <c r="B2480" s="81"/>
      <c r="C2480" s="81"/>
      <c r="D2480" s="81"/>
      <c r="E2480" s="81"/>
      <c r="F2480" s="81"/>
      <c r="G2480" s="82"/>
      <c r="H2480" s="42">
        <v>649000</v>
      </c>
    </row>
    <row r="2481" spans="1:8" ht="14.25" customHeight="1">
      <c r="A2481" s="80"/>
      <c r="B2481" s="81"/>
      <c r="C2481" s="81"/>
      <c r="D2481" s="81"/>
      <c r="E2481" s="81"/>
      <c r="F2481" s="81"/>
      <c r="G2481" s="81"/>
      <c r="H2481" s="82"/>
    </row>
    <row r="2482" spans="1:8" ht="14.25" customHeight="1"/>
    <row r="2483" spans="1:8" ht="14.25" customHeight="1"/>
    <row r="2484" spans="1:8" ht="14.25" customHeight="1"/>
    <row r="2485" spans="1:8" ht="14.25" customHeight="1"/>
    <row r="2486" spans="1:8" ht="14.25" customHeight="1">
      <c r="A2486" s="80" t="s">
        <v>0</v>
      </c>
      <c r="B2486" s="81"/>
      <c r="C2486" s="81"/>
      <c r="D2486" s="81"/>
      <c r="E2486" s="81"/>
      <c r="F2486" s="81"/>
      <c r="G2486" s="81"/>
      <c r="H2486" s="82"/>
    </row>
    <row r="2487" spans="1:8" ht="14.25" customHeight="1">
      <c r="A2487" s="80" t="s">
        <v>693</v>
      </c>
      <c r="B2487" s="81"/>
      <c r="C2487" s="81"/>
      <c r="D2487" s="81"/>
      <c r="E2487" s="81"/>
      <c r="F2487" s="81"/>
      <c r="G2487" s="81"/>
      <c r="H2487" s="82"/>
    </row>
    <row r="2488" spans="1:8" ht="14.25" customHeight="1">
      <c r="A2488" s="33" t="s">
        <v>2</v>
      </c>
      <c r="B2488" s="33" t="s">
        <v>3</v>
      </c>
      <c r="C2488" s="33" t="s">
        <v>4</v>
      </c>
      <c r="D2488" s="33" t="s">
        <v>5</v>
      </c>
      <c r="E2488" s="33" t="s">
        <v>6</v>
      </c>
      <c r="F2488" s="34" t="s">
        <v>7</v>
      </c>
      <c r="G2488" s="33" t="s">
        <v>8</v>
      </c>
      <c r="H2488" s="35"/>
    </row>
    <row r="2489" spans="1:8" ht="14.25" customHeight="1">
      <c r="A2489" s="36">
        <v>1</v>
      </c>
      <c r="B2489" s="18" t="s">
        <v>183</v>
      </c>
      <c r="C2489" s="5" t="s">
        <v>694</v>
      </c>
      <c r="D2489" s="18" t="s">
        <v>413</v>
      </c>
      <c r="E2489" s="18">
        <v>1.9</v>
      </c>
      <c r="F2489" s="6">
        <v>293000</v>
      </c>
      <c r="G2489" s="37">
        <f t="shared" ref="G2489:G2491" si="161">IFERROR(E2489*F2489,0)</f>
        <v>556700</v>
      </c>
      <c r="H2489" s="38"/>
    </row>
    <row r="2490" spans="1:8" ht="14.25" customHeight="1">
      <c r="A2490" s="36">
        <v>2</v>
      </c>
      <c r="B2490" s="12" t="s">
        <v>65</v>
      </c>
      <c r="C2490" s="10" t="s">
        <v>695</v>
      </c>
      <c r="D2490" s="12" t="s">
        <v>14</v>
      </c>
      <c r="E2490" s="12">
        <v>1.5</v>
      </c>
      <c r="F2490" s="43">
        <v>435000</v>
      </c>
      <c r="G2490" s="37">
        <f t="shared" si="161"/>
        <v>652500</v>
      </c>
      <c r="H2490" s="38"/>
    </row>
    <row r="2491" spans="1:8" ht="14.25" customHeight="1">
      <c r="A2491" s="36">
        <v>4</v>
      </c>
      <c r="B2491" s="39" t="s">
        <v>17</v>
      </c>
      <c r="C2491" s="38"/>
      <c r="D2491" s="38"/>
      <c r="E2491" s="38"/>
      <c r="F2491" s="60"/>
      <c r="G2491" s="37">
        <f t="shared" si="161"/>
        <v>0</v>
      </c>
      <c r="H2491" s="38"/>
    </row>
    <row r="2492" spans="1:8" ht="14.25" customHeight="1">
      <c r="A2492" s="83" t="s">
        <v>18</v>
      </c>
      <c r="B2492" s="81"/>
      <c r="C2492" s="81"/>
      <c r="D2492" s="81"/>
      <c r="E2492" s="81"/>
      <c r="F2492" s="81"/>
      <c r="G2492" s="82"/>
      <c r="H2492" s="41">
        <f>SUM(G2489:G2491)</f>
        <v>1209200</v>
      </c>
    </row>
    <row r="2493" spans="1:8" ht="14.25" customHeight="1">
      <c r="A2493" s="83" t="s">
        <v>19</v>
      </c>
      <c r="B2493" s="81"/>
      <c r="C2493" s="81"/>
      <c r="D2493" s="81"/>
      <c r="E2493" s="81"/>
      <c r="F2493" s="81"/>
      <c r="G2493" s="82"/>
      <c r="H2493" s="41">
        <f>MAX(0,H2492-648000)</f>
        <v>561200</v>
      </c>
    </row>
    <row r="2494" spans="1:8" ht="14.25" customHeight="1">
      <c r="A2494" s="84" t="s">
        <v>20</v>
      </c>
      <c r="B2494" s="81"/>
      <c r="C2494" s="81"/>
      <c r="D2494" s="81"/>
      <c r="E2494" s="81"/>
      <c r="F2494" s="81"/>
      <c r="G2494" s="82"/>
      <c r="H2494" s="42">
        <v>649000</v>
      </c>
    </row>
    <row r="2495" spans="1:8" ht="14.25" customHeight="1">
      <c r="A2495" s="80"/>
      <c r="B2495" s="81"/>
      <c r="C2495" s="81"/>
      <c r="D2495" s="81"/>
      <c r="E2495" s="81"/>
      <c r="F2495" s="81"/>
      <c r="G2495" s="81"/>
      <c r="H2495" s="82"/>
    </row>
    <row r="2496" spans="1:8" ht="14.25" customHeight="1"/>
    <row r="2497" spans="1:8" ht="14.25" customHeight="1"/>
    <row r="2498" spans="1:8" ht="14.25" customHeight="1"/>
    <row r="2499" spans="1:8" ht="14.25" customHeight="1"/>
    <row r="2500" spans="1:8" ht="14.25" customHeight="1"/>
    <row r="2501" spans="1:8" ht="14.25" customHeight="1">
      <c r="A2501" s="80" t="s">
        <v>0</v>
      </c>
      <c r="B2501" s="81"/>
      <c r="C2501" s="81"/>
      <c r="D2501" s="81"/>
      <c r="E2501" s="81"/>
      <c r="F2501" s="81"/>
      <c r="G2501" s="81"/>
      <c r="H2501" s="82"/>
    </row>
    <row r="2502" spans="1:8" ht="14.25" customHeight="1">
      <c r="A2502" s="80" t="s">
        <v>696</v>
      </c>
      <c r="B2502" s="81"/>
      <c r="C2502" s="81"/>
      <c r="D2502" s="81"/>
      <c r="E2502" s="81"/>
      <c r="F2502" s="81"/>
      <c r="G2502" s="81"/>
      <c r="H2502" s="82"/>
    </row>
    <row r="2503" spans="1:8" ht="14.25" customHeight="1">
      <c r="A2503" s="33" t="s">
        <v>2</v>
      </c>
      <c r="B2503" s="33" t="s">
        <v>3</v>
      </c>
      <c r="C2503" s="33" t="s">
        <v>4</v>
      </c>
      <c r="D2503" s="33" t="s">
        <v>5</v>
      </c>
      <c r="E2503" s="33" t="s">
        <v>6</v>
      </c>
      <c r="F2503" s="34" t="s">
        <v>7</v>
      </c>
      <c r="G2503" s="33" t="s">
        <v>8</v>
      </c>
      <c r="H2503" s="35"/>
    </row>
    <row r="2504" spans="1:8" ht="14.25" customHeight="1">
      <c r="A2504" s="36">
        <v>1</v>
      </c>
      <c r="B2504" s="18" t="s">
        <v>54</v>
      </c>
      <c r="C2504" s="5" t="s">
        <v>697</v>
      </c>
      <c r="D2504" s="18" t="s">
        <v>413</v>
      </c>
      <c r="E2504" s="18">
        <v>2</v>
      </c>
      <c r="F2504" s="6">
        <v>293000</v>
      </c>
      <c r="G2504" s="37">
        <f t="shared" ref="G2504:G2506" si="162">IFERROR(E2504*F2504,0)</f>
        <v>586000</v>
      </c>
      <c r="H2504" s="38"/>
    </row>
    <row r="2505" spans="1:8" ht="14.25" customHeight="1">
      <c r="A2505" s="36">
        <v>2</v>
      </c>
      <c r="B2505" s="12" t="s">
        <v>625</v>
      </c>
      <c r="C2505" s="10" t="s">
        <v>698</v>
      </c>
      <c r="D2505" s="12" t="s">
        <v>14</v>
      </c>
      <c r="E2505" s="12">
        <v>1.46</v>
      </c>
      <c r="F2505" s="43">
        <v>435000</v>
      </c>
      <c r="G2505" s="37">
        <f t="shared" si="162"/>
        <v>635100</v>
      </c>
      <c r="H2505" s="38"/>
    </row>
    <row r="2506" spans="1:8" ht="14.25" customHeight="1">
      <c r="A2506" s="36">
        <v>4</v>
      </c>
      <c r="B2506" s="39" t="s">
        <v>17</v>
      </c>
      <c r="C2506" s="38"/>
      <c r="D2506" s="38"/>
      <c r="E2506" s="38"/>
      <c r="F2506" s="60"/>
      <c r="G2506" s="37">
        <f t="shared" si="162"/>
        <v>0</v>
      </c>
      <c r="H2506" s="38"/>
    </row>
    <row r="2507" spans="1:8" ht="14.25" customHeight="1">
      <c r="A2507" s="83" t="s">
        <v>18</v>
      </c>
      <c r="B2507" s="81"/>
      <c r="C2507" s="81"/>
      <c r="D2507" s="81"/>
      <c r="E2507" s="81"/>
      <c r="F2507" s="81"/>
      <c r="G2507" s="82"/>
      <c r="H2507" s="41">
        <f>SUM(G2504:G2506)</f>
        <v>1221100</v>
      </c>
    </row>
    <row r="2508" spans="1:8" ht="14.25" customHeight="1">
      <c r="A2508" s="83" t="s">
        <v>19</v>
      </c>
      <c r="B2508" s="81"/>
      <c r="C2508" s="81"/>
      <c r="D2508" s="81"/>
      <c r="E2508" s="81"/>
      <c r="F2508" s="81"/>
      <c r="G2508" s="82"/>
      <c r="H2508" s="41">
        <f>MAX(0,H2507-648000)</f>
        <v>573100</v>
      </c>
    </row>
    <row r="2509" spans="1:8" ht="14.25" customHeight="1">
      <c r="A2509" s="84" t="s">
        <v>20</v>
      </c>
      <c r="B2509" s="81"/>
      <c r="C2509" s="81"/>
      <c r="D2509" s="81"/>
      <c r="E2509" s="81"/>
      <c r="F2509" s="81"/>
      <c r="G2509" s="82"/>
      <c r="H2509" s="42">
        <v>649000</v>
      </c>
    </row>
    <row r="2510" spans="1:8" ht="14.25" customHeight="1">
      <c r="A2510" s="80"/>
      <c r="B2510" s="81"/>
      <c r="C2510" s="81"/>
      <c r="D2510" s="81"/>
      <c r="E2510" s="81"/>
      <c r="F2510" s="81"/>
      <c r="G2510" s="81"/>
      <c r="H2510" s="82"/>
    </row>
    <row r="2511" spans="1:8" ht="14.25" customHeight="1"/>
    <row r="2512" spans="1:8" ht="14.25" customHeight="1"/>
    <row r="2513" spans="1:8" ht="14.25" customHeight="1"/>
    <row r="2514" spans="1:8" ht="14.25" customHeight="1"/>
    <row r="2515" spans="1:8" ht="14.25" customHeight="1"/>
    <row r="2516" spans="1:8" ht="14.25" customHeight="1">
      <c r="A2516" s="80" t="s">
        <v>0</v>
      </c>
      <c r="B2516" s="81"/>
      <c r="C2516" s="81"/>
      <c r="D2516" s="81"/>
      <c r="E2516" s="81"/>
      <c r="F2516" s="81"/>
      <c r="G2516" s="81"/>
      <c r="H2516" s="82"/>
    </row>
    <row r="2517" spans="1:8" ht="14.25" customHeight="1">
      <c r="A2517" s="80" t="s">
        <v>699</v>
      </c>
      <c r="B2517" s="81"/>
      <c r="C2517" s="81"/>
      <c r="D2517" s="81"/>
      <c r="E2517" s="81"/>
      <c r="F2517" s="81"/>
      <c r="G2517" s="81"/>
      <c r="H2517" s="82"/>
    </row>
    <row r="2518" spans="1:8" ht="14.25" customHeight="1">
      <c r="A2518" s="33" t="s">
        <v>2</v>
      </c>
      <c r="B2518" s="33" t="s">
        <v>3</v>
      </c>
      <c r="C2518" s="33" t="s">
        <v>4</v>
      </c>
      <c r="D2518" s="33" t="s">
        <v>5</v>
      </c>
      <c r="E2518" s="33" t="s">
        <v>6</v>
      </c>
      <c r="F2518" s="34" t="s">
        <v>7</v>
      </c>
      <c r="G2518" s="33" t="s">
        <v>8</v>
      </c>
      <c r="H2518" s="35"/>
    </row>
    <row r="2519" spans="1:8" ht="14.25" customHeight="1">
      <c r="A2519" s="36">
        <v>1</v>
      </c>
      <c r="B2519" s="18" t="s">
        <v>166</v>
      </c>
      <c r="C2519" s="5" t="s">
        <v>700</v>
      </c>
      <c r="D2519" s="18" t="s">
        <v>11</v>
      </c>
      <c r="E2519" s="18">
        <v>2</v>
      </c>
      <c r="F2519" s="6">
        <v>293000</v>
      </c>
      <c r="G2519" s="37">
        <f t="shared" ref="G2519:G2521" si="163">IFERROR(E2519*F2519,0)</f>
        <v>586000</v>
      </c>
      <c r="H2519" s="38"/>
    </row>
    <row r="2520" spans="1:8" ht="14.25" customHeight="1">
      <c r="A2520" s="36">
        <v>2</v>
      </c>
      <c r="B2520" s="12" t="s">
        <v>33</v>
      </c>
      <c r="C2520" s="10" t="s">
        <v>701</v>
      </c>
      <c r="D2520" s="12" t="s">
        <v>233</v>
      </c>
      <c r="E2520" s="12">
        <v>1.5</v>
      </c>
      <c r="F2520" s="43">
        <v>435000</v>
      </c>
      <c r="G2520" s="37">
        <f t="shared" si="163"/>
        <v>652500</v>
      </c>
      <c r="H2520" s="38"/>
    </row>
    <row r="2521" spans="1:8" ht="14.25" customHeight="1">
      <c r="A2521" s="36">
        <v>4</v>
      </c>
      <c r="B2521" s="39" t="s">
        <v>17</v>
      </c>
      <c r="C2521" s="38"/>
      <c r="D2521" s="38"/>
      <c r="E2521" s="38"/>
      <c r="F2521" s="60"/>
      <c r="G2521" s="37">
        <f t="shared" si="163"/>
        <v>0</v>
      </c>
      <c r="H2521" s="38"/>
    </row>
    <row r="2522" spans="1:8" ht="14.25" customHeight="1">
      <c r="A2522" s="83" t="s">
        <v>18</v>
      </c>
      <c r="B2522" s="81"/>
      <c r="C2522" s="81"/>
      <c r="D2522" s="81"/>
      <c r="E2522" s="81"/>
      <c r="F2522" s="81"/>
      <c r="G2522" s="82"/>
      <c r="H2522" s="41">
        <f>SUM(G2519:G2521)</f>
        <v>1238500</v>
      </c>
    </row>
    <row r="2523" spans="1:8" ht="14.25" customHeight="1">
      <c r="A2523" s="83" t="s">
        <v>19</v>
      </c>
      <c r="B2523" s="81"/>
      <c r="C2523" s="81"/>
      <c r="D2523" s="81"/>
      <c r="E2523" s="81"/>
      <c r="F2523" s="81"/>
      <c r="G2523" s="82"/>
      <c r="H2523" s="41">
        <f>MAX(0,H2522-648000)</f>
        <v>590500</v>
      </c>
    </row>
    <row r="2524" spans="1:8" ht="14.25" customHeight="1">
      <c r="A2524" s="84" t="s">
        <v>20</v>
      </c>
      <c r="B2524" s="81"/>
      <c r="C2524" s="81"/>
      <c r="D2524" s="81"/>
      <c r="E2524" s="81"/>
      <c r="F2524" s="81"/>
      <c r="G2524" s="82"/>
      <c r="H2524" s="42">
        <v>649000</v>
      </c>
    </row>
    <row r="2525" spans="1:8" ht="14.25" customHeight="1">
      <c r="A2525" s="80"/>
      <c r="B2525" s="81"/>
      <c r="C2525" s="81"/>
      <c r="D2525" s="81"/>
      <c r="E2525" s="81"/>
      <c r="F2525" s="81"/>
      <c r="G2525" s="81"/>
      <c r="H2525" s="82"/>
    </row>
    <row r="2526" spans="1:8" ht="14.25" customHeight="1"/>
    <row r="2527" spans="1:8" ht="14.25" customHeight="1"/>
    <row r="2528" spans="1:8" ht="14.25" customHeight="1"/>
    <row r="2529" spans="1:8" ht="14.25" customHeight="1"/>
    <row r="2530" spans="1:8" ht="14.25" customHeight="1"/>
    <row r="2531" spans="1:8" ht="14.25" customHeight="1">
      <c r="A2531" s="80" t="s">
        <v>0</v>
      </c>
      <c r="B2531" s="81"/>
      <c r="C2531" s="81"/>
      <c r="D2531" s="81"/>
      <c r="E2531" s="81"/>
      <c r="F2531" s="81"/>
      <c r="G2531" s="81"/>
      <c r="H2531" s="82"/>
    </row>
    <row r="2532" spans="1:8" ht="14.25" customHeight="1">
      <c r="A2532" s="80" t="s">
        <v>702</v>
      </c>
      <c r="B2532" s="81"/>
      <c r="C2532" s="81"/>
      <c r="D2532" s="81"/>
      <c r="E2532" s="81"/>
      <c r="F2532" s="81"/>
      <c r="G2532" s="81"/>
      <c r="H2532" s="82"/>
    </row>
    <row r="2533" spans="1:8" ht="14.25" customHeight="1">
      <c r="A2533" s="33" t="s">
        <v>2</v>
      </c>
      <c r="B2533" s="33" t="s">
        <v>3</v>
      </c>
      <c r="C2533" s="33" t="s">
        <v>4</v>
      </c>
      <c r="D2533" s="33" t="s">
        <v>5</v>
      </c>
      <c r="E2533" s="33" t="s">
        <v>6</v>
      </c>
      <c r="F2533" s="34" t="s">
        <v>7</v>
      </c>
      <c r="G2533" s="33" t="s">
        <v>8</v>
      </c>
      <c r="H2533" s="35"/>
    </row>
    <row r="2534" spans="1:8" ht="14.25" customHeight="1">
      <c r="A2534" s="36">
        <v>1</v>
      </c>
      <c r="B2534" s="18" t="s">
        <v>384</v>
      </c>
      <c r="C2534" s="5" t="s">
        <v>703</v>
      </c>
      <c r="D2534" s="18" t="s">
        <v>413</v>
      </c>
      <c r="E2534" s="18">
        <v>1.5</v>
      </c>
      <c r="F2534" s="6">
        <v>293000</v>
      </c>
      <c r="G2534" s="37">
        <f t="shared" ref="G2534:G2536" si="164">IFERROR(E2534*F2534,0)</f>
        <v>439500</v>
      </c>
      <c r="H2534" s="38"/>
    </row>
    <row r="2535" spans="1:8" ht="14.25" customHeight="1">
      <c r="A2535" s="36">
        <v>2</v>
      </c>
      <c r="B2535" s="12" t="s">
        <v>205</v>
      </c>
      <c r="C2535" s="10" t="s">
        <v>704</v>
      </c>
      <c r="D2535" s="12" t="s">
        <v>233</v>
      </c>
      <c r="E2535" s="12">
        <v>2</v>
      </c>
      <c r="F2535" s="43">
        <v>435000</v>
      </c>
      <c r="G2535" s="37">
        <f t="shared" si="164"/>
        <v>870000</v>
      </c>
      <c r="H2535" s="38"/>
    </row>
    <row r="2536" spans="1:8" ht="14.25" customHeight="1">
      <c r="A2536" s="36">
        <v>4</v>
      </c>
      <c r="B2536" s="39" t="s">
        <v>17</v>
      </c>
      <c r="C2536" s="38"/>
      <c r="D2536" s="38"/>
      <c r="E2536" s="38"/>
      <c r="F2536" s="60"/>
      <c r="G2536" s="37">
        <f t="shared" si="164"/>
        <v>0</v>
      </c>
      <c r="H2536" s="38"/>
    </row>
    <row r="2537" spans="1:8" ht="14.25" customHeight="1">
      <c r="A2537" s="83" t="s">
        <v>18</v>
      </c>
      <c r="B2537" s="81"/>
      <c r="C2537" s="81"/>
      <c r="D2537" s="81"/>
      <c r="E2537" s="81"/>
      <c r="F2537" s="81"/>
      <c r="G2537" s="82"/>
      <c r="H2537" s="41">
        <f>SUM(G2534:G2536)</f>
        <v>1309500</v>
      </c>
    </row>
    <row r="2538" spans="1:8" ht="14.25" customHeight="1">
      <c r="A2538" s="83" t="s">
        <v>19</v>
      </c>
      <c r="B2538" s="81"/>
      <c r="C2538" s="81"/>
      <c r="D2538" s="81"/>
      <c r="E2538" s="81"/>
      <c r="F2538" s="81"/>
      <c r="G2538" s="82"/>
      <c r="H2538" s="41">
        <f>MAX(0,H2537-648000)</f>
        <v>661500</v>
      </c>
    </row>
    <row r="2539" spans="1:8" ht="14.25" customHeight="1">
      <c r="A2539" s="84" t="s">
        <v>20</v>
      </c>
      <c r="B2539" s="81"/>
      <c r="C2539" s="81"/>
      <c r="D2539" s="81"/>
      <c r="E2539" s="81"/>
      <c r="F2539" s="81"/>
      <c r="G2539" s="82"/>
      <c r="H2539" s="42">
        <v>649000</v>
      </c>
    </row>
    <row r="2540" spans="1:8" ht="14.25" customHeight="1">
      <c r="A2540" s="80"/>
      <c r="B2540" s="81"/>
      <c r="C2540" s="81"/>
      <c r="D2540" s="81"/>
      <c r="E2540" s="81"/>
      <c r="F2540" s="81"/>
      <c r="G2540" s="81"/>
      <c r="H2540" s="82"/>
    </row>
    <row r="2541" spans="1:8" ht="14.25" customHeight="1"/>
    <row r="2542" spans="1:8" ht="14.25" customHeight="1"/>
    <row r="2543" spans="1:8" ht="14.25" customHeight="1"/>
    <row r="2544" spans="1:8" ht="14.25" customHeight="1"/>
    <row r="2545" spans="1:8" ht="14.25" customHeight="1">
      <c r="A2545" s="80" t="s">
        <v>0</v>
      </c>
      <c r="B2545" s="81"/>
      <c r="C2545" s="81"/>
      <c r="D2545" s="81"/>
      <c r="E2545" s="81"/>
      <c r="F2545" s="81"/>
      <c r="G2545" s="81"/>
      <c r="H2545" s="82"/>
    </row>
    <row r="2546" spans="1:8" ht="14.25" customHeight="1">
      <c r="A2546" s="80" t="s">
        <v>705</v>
      </c>
      <c r="B2546" s="81"/>
      <c r="C2546" s="81"/>
      <c r="D2546" s="81"/>
      <c r="E2546" s="81"/>
      <c r="F2546" s="81"/>
      <c r="G2546" s="81"/>
      <c r="H2546" s="82"/>
    </row>
    <row r="2547" spans="1:8" ht="14.25" customHeight="1">
      <c r="A2547" s="33" t="s">
        <v>2</v>
      </c>
      <c r="B2547" s="33" t="s">
        <v>3</v>
      </c>
      <c r="C2547" s="33" t="s">
        <v>4</v>
      </c>
      <c r="D2547" s="33" t="s">
        <v>5</v>
      </c>
      <c r="E2547" s="33" t="s">
        <v>6</v>
      </c>
      <c r="F2547" s="34" t="s">
        <v>7</v>
      </c>
      <c r="G2547" s="33" t="s">
        <v>8</v>
      </c>
      <c r="H2547" s="35"/>
    </row>
    <row r="2548" spans="1:8" ht="14.25" customHeight="1">
      <c r="A2548" s="36">
        <v>1</v>
      </c>
      <c r="B2548" s="18" t="s">
        <v>578</v>
      </c>
      <c r="C2548" s="5" t="s">
        <v>706</v>
      </c>
      <c r="D2548" s="18" t="s">
        <v>413</v>
      </c>
      <c r="E2548" s="18">
        <v>2</v>
      </c>
      <c r="F2548" s="6">
        <v>293000</v>
      </c>
      <c r="G2548" s="37">
        <f t="shared" ref="G2548:G2550" si="165">IFERROR(E2548*F2548,0)</f>
        <v>586000</v>
      </c>
      <c r="H2548" s="38"/>
    </row>
    <row r="2549" spans="1:8" ht="14.25" customHeight="1">
      <c r="A2549" s="36">
        <v>2</v>
      </c>
      <c r="B2549" s="12" t="s">
        <v>54</v>
      </c>
      <c r="C2549" s="10" t="s">
        <v>707</v>
      </c>
      <c r="D2549" s="12" t="s">
        <v>233</v>
      </c>
      <c r="E2549" s="12">
        <v>1.6</v>
      </c>
      <c r="F2549" s="43">
        <v>435000</v>
      </c>
      <c r="G2549" s="37">
        <f t="shared" si="165"/>
        <v>696000</v>
      </c>
      <c r="H2549" s="38"/>
    </row>
    <row r="2550" spans="1:8" ht="14.25" customHeight="1">
      <c r="A2550" s="36">
        <v>4</v>
      </c>
      <c r="B2550" s="39" t="s">
        <v>17</v>
      </c>
      <c r="C2550" s="38"/>
      <c r="D2550" s="38"/>
      <c r="E2550" s="38"/>
      <c r="F2550" s="60"/>
      <c r="G2550" s="37">
        <f t="shared" si="165"/>
        <v>0</v>
      </c>
      <c r="H2550" s="38"/>
    </row>
    <row r="2551" spans="1:8" ht="14.25" customHeight="1">
      <c r="A2551" s="83" t="s">
        <v>18</v>
      </c>
      <c r="B2551" s="81"/>
      <c r="C2551" s="81"/>
      <c r="D2551" s="81"/>
      <c r="E2551" s="81"/>
      <c r="F2551" s="81"/>
      <c r="G2551" s="82"/>
      <c r="H2551" s="41">
        <f>SUM(G2548:G2550)</f>
        <v>1282000</v>
      </c>
    </row>
    <row r="2552" spans="1:8" ht="14.25" customHeight="1">
      <c r="A2552" s="83" t="s">
        <v>19</v>
      </c>
      <c r="B2552" s="81"/>
      <c r="C2552" s="81"/>
      <c r="D2552" s="81"/>
      <c r="E2552" s="81"/>
      <c r="F2552" s="81"/>
      <c r="G2552" s="82"/>
      <c r="H2552" s="41">
        <f>MAX(0,H2551-648000)</f>
        <v>634000</v>
      </c>
    </row>
    <row r="2553" spans="1:8" ht="14.25" customHeight="1">
      <c r="A2553" s="84" t="s">
        <v>20</v>
      </c>
      <c r="B2553" s="81"/>
      <c r="C2553" s="81"/>
      <c r="D2553" s="81"/>
      <c r="E2553" s="81"/>
      <c r="F2553" s="81"/>
      <c r="G2553" s="82"/>
      <c r="H2553" s="42">
        <v>649000</v>
      </c>
    </row>
    <row r="2554" spans="1:8" ht="14.25" customHeight="1">
      <c r="A2554" s="80"/>
      <c r="B2554" s="81"/>
      <c r="C2554" s="81"/>
      <c r="D2554" s="81"/>
      <c r="E2554" s="81"/>
      <c r="F2554" s="81"/>
      <c r="G2554" s="81"/>
      <c r="H2554" s="82"/>
    </row>
    <row r="2555" spans="1:8" ht="14.25" customHeight="1"/>
    <row r="2556" spans="1:8" ht="14.25" customHeight="1"/>
    <row r="2557" spans="1:8" ht="14.25" customHeight="1"/>
    <row r="2558" spans="1:8" ht="14.25" customHeight="1"/>
    <row r="2559" spans="1:8" ht="14.25" customHeight="1"/>
    <row r="2560" spans="1:8" ht="14.25" customHeight="1">
      <c r="A2560" s="80" t="s">
        <v>0</v>
      </c>
      <c r="B2560" s="81"/>
      <c r="C2560" s="81"/>
      <c r="D2560" s="81"/>
      <c r="E2560" s="81"/>
      <c r="F2560" s="81"/>
      <c r="G2560" s="81"/>
      <c r="H2560" s="82"/>
    </row>
    <row r="2561" spans="1:8" ht="14.25" customHeight="1">
      <c r="A2561" s="80" t="s">
        <v>708</v>
      </c>
      <c r="B2561" s="81"/>
      <c r="C2561" s="81"/>
      <c r="D2561" s="81"/>
      <c r="E2561" s="81"/>
      <c r="F2561" s="81"/>
      <c r="G2561" s="81"/>
      <c r="H2561" s="82"/>
    </row>
    <row r="2562" spans="1:8" ht="14.25" customHeight="1">
      <c r="A2562" s="33" t="s">
        <v>2</v>
      </c>
      <c r="B2562" s="33" t="s">
        <v>3</v>
      </c>
      <c r="C2562" s="33" t="s">
        <v>4</v>
      </c>
      <c r="D2562" s="33" t="s">
        <v>5</v>
      </c>
      <c r="E2562" s="33" t="s">
        <v>6</v>
      </c>
      <c r="F2562" s="34" t="s">
        <v>7</v>
      </c>
      <c r="G2562" s="33" t="s">
        <v>8</v>
      </c>
      <c r="H2562" s="35"/>
    </row>
    <row r="2563" spans="1:8" ht="14.25" customHeight="1">
      <c r="A2563" s="36">
        <v>1</v>
      </c>
      <c r="B2563" s="18" t="s">
        <v>709</v>
      </c>
      <c r="C2563" s="5" t="s">
        <v>710</v>
      </c>
      <c r="D2563" s="18" t="s">
        <v>413</v>
      </c>
      <c r="E2563" s="18">
        <v>1.6</v>
      </c>
      <c r="F2563" s="6">
        <v>293000</v>
      </c>
      <c r="G2563" s="37">
        <f t="shared" ref="G2563:G2565" si="166">IFERROR(E2563*F2563,0)</f>
        <v>468800</v>
      </c>
      <c r="H2563" s="38"/>
    </row>
    <row r="2564" spans="1:8" ht="14.25" customHeight="1">
      <c r="A2564" s="36">
        <v>2</v>
      </c>
      <c r="B2564" s="12" t="s">
        <v>504</v>
      </c>
      <c r="C2564" s="10" t="s">
        <v>711</v>
      </c>
      <c r="D2564" s="12" t="s">
        <v>233</v>
      </c>
      <c r="E2564" s="12">
        <v>1.85</v>
      </c>
      <c r="F2564" s="43">
        <v>435000</v>
      </c>
      <c r="G2564" s="37">
        <f t="shared" si="166"/>
        <v>804750</v>
      </c>
      <c r="H2564" s="38"/>
    </row>
    <row r="2565" spans="1:8" ht="14.25" customHeight="1">
      <c r="A2565" s="36">
        <v>4</v>
      </c>
      <c r="B2565" s="39" t="s">
        <v>17</v>
      </c>
      <c r="C2565" s="38"/>
      <c r="D2565" s="38"/>
      <c r="E2565" s="38"/>
      <c r="F2565" s="60"/>
      <c r="G2565" s="37">
        <f t="shared" si="166"/>
        <v>0</v>
      </c>
      <c r="H2565" s="38"/>
    </row>
    <row r="2566" spans="1:8" ht="14.25" customHeight="1">
      <c r="A2566" s="83" t="s">
        <v>18</v>
      </c>
      <c r="B2566" s="81"/>
      <c r="C2566" s="81"/>
      <c r="D2566" s="81"/>
      <c r="E2566" s="81"/>
      <c r="F2566" s="81"/>
      <c r="G2566" s="82"/>
      <c r="H2566" s="41">
        <f>SUM(G2563:G2565)</f>
        <v>1273550</v>
      </c>
    </row>
    <row r="2567" spans="1:8" ht="14.25" customHeight="1">
      <c r="A2567" s="83" t="s">
        <v>19</v>
      </c>
      <c r="B2567" s="81"/>
      <c r="C2567" s="81"/>
      <c r="D2567" s="81"/>
      <c r="E2567" s="81"/>
      <c r="F2567" s="81"/>
      <c r="G2567" s="82"/>
      <c r="H2567" s="41">
        <f>MAX(0,H2566-648000)</f>
        <v>625550</v>
      </c>
    </row>
    <row r="2568" spans="1:8" ht="14.25" customHeight="1">
      <c r="A2568" s="84" t="s">
        <v>20</v>
      </c>
      <c r="B2568" s="81"/>
      <c r="C2568" s="81"/>
      <c r="D2568" s="81"/>
      <c r="E2568" s="81"/>
      <c r="F2568" s="81"/>
      <c r="G2568" s="82"/>
      <c r="H2568" s="42">
        <v>649000</v>
      </c>
    </row>
    <row r="2569" spans="1:8" ht="14.25" customHeight="1">
      <c r="A2569" s="80"/>
      <c r="B2569" s="81"/>
      <c r="C2569" s="81"/>
      <c r="D2569" s="81"/>
      <c r="E2569" s="81"/>
      <c r="F2569" s="81"/>
      <c r="G2569" s="81"/>
      <c r="H2569" s="82"/>
    </row>
    <row r="2570" spans="1:8" ht="14.25" customHeight="1"/>
    <row r="2571" spans="1:8" ht="14.25" customHeight="1"/>
    <row r="2572" spans="1:8" ht="14.25" customHeight="1"/>
    <row r="2573" spans="1:8" ht="14.25" customHeight="1"/>
    <row r="2574" spans="1:8" ht="14.25" customHeight="1"/>
    <row r="2575" spans="1:8" ht="14.25" customHeight="1"/>
    <row r="2576" spans="1:8" ht="14.25" customHeight="1"/>
    <row r="2577" spans="1:8" ht="14.25" customHeight="1">
      <c r="A2577" s="80" t="s">
        <v>0</v>
      </c>
      <c r="B2577" s="81"/>
      <c r="C2577" s="81"/>
      <c r="D2577" s="81"/>
      <c r="E2577" s="81"/>
      <c r="F2577" s="81"/>
      <c r="G2577" s="81"/>
      <c r="H2577" s="82"/>
    </row>
    <row r="2578" spans="1:8" ht="14.25" customHeight="1">
      <c r="A2578" s="80" t="s">
        <v>712</v>
      </c>
      <c r="B2578" s="81"/>
      <c r="C2578" s="81"/>
      <c r="D2578" s="81"/>
      <c r="E2578" s="81"/>
      <c r="F2578" s="81"/>
      <c r="G2578" s="81"/>
      <c r="H2578" s="82"/>
    </row>
    <row r="2579" spans="1:8" ht="14.25" customHeight="1">
      <c r="A2579" s="33" t="s">
        <v>2</v>
      </c>
      <c r="B2579" s="33" t="s">
        <v>3</v>
      </c>
      <c r="C2579" s="33" t="s">
        <v>4</v>
      </c>
      <c r="D2579" s="33" t="s">
        <v>5</v>
      </c>
      <c r="E2579" s="33" t="s">
        <v>6</v>
      </c>
      <c r="F2579" s="34" t="s">
        <v>7</v>
      </c>
      <c r="G2579" s="33" t="s">
        <v>8</v>
      </c>
      <c r="H2579" s="35"/>
    </row>
    <row r="2580" spans="1:8" ht="14.25" customHeight="1">
      <c r="A2580" s="36">
        <v>1</v>
      </c>
      <c r="B2580" s="18" t="s">
        <v>713</v>
      </c>
      <c r="C2580" s="5" t="s">
        <v>714</v>
      </c>
      <c r="D2580" s="18" t="s">
        <v>413</v>
      </c>
      <c r="E2580" s="18">
        <v>1.94</v>
      </c>
      <c r="F2580" s="6">
        <v>293000</v>
      </c>
      <c r="G2580" s="37">
        <f t="shared" ref="G2580:G2582" si="167">IFERROR(E2580*F2580,0)</f>
        <v>568420</v>
      </c>
      <c r="H2580" s="38"/>
    </row>
    <row r="2581" spans="1:8" ht="14.25" customHeight="1">
      <c r="A2581" s="36">
        <v>2</v>
      </c>
      <c r="B2581" s="12" t="s">
        <v>715</v>
      </c>
      <c r="C2581" s="10" t="s">
        <v>716</v>
      </c>
      <c r="D2581" s="12" t="s">
        <v>233</v>
      </c>
      <c r="E2581" s="12">
        <v>1.45</v>
      </c>
      <c r="F2581" s="43">
        <v>435000</v>
      </c>
      <c r="G2581" s="37">
        <f t="shared" si="167"/>
        <v>630750</v>
      </c>
      <c r="H2581" s="38"/>
    </row>
    <row r="2582" spans="1:8" ht="14.25" customHeight="1">
      <c r="A2582" s="36">
        <v>4</v>
      </c>
      <c r="B2582" s="39" t="s">
        <v>17</v>
      </c>
      <c r="C2582" s="38"/>
      <c r="D2582" s="38"/>
      <c r="E2582" s="38"/>
      <c r="F2582" s="60"/>
      <c r="G2582" s="37">
        <f t="shared" si="167"/>
        <v>0</v>
      </c>
      <c r="H2582" s="38"/>
    </row>
    <row r="2583" spans="1:8" ht="14.25" customHeight="1">
      <c r="A2583" s="83" t="s">
        <v>18</v>
      </c>
      <c r="B2583" s="81"/>
      <c r="C2583" s="81"/>
      <c r="D2583" s="81"/>
      <c r="E2583" s="81"/>
      <c r="F2583" s="81"/>
      <c r="G2583" s="82"/>
      <c r="H2583" s="41">
        <f>SUM(G2580:G2582)</f>
        <v>1199170</v>
      </c>
    </row>
    <row r="2584" spans="1:8" ht="14.25" customHeight="1">
      <c r="A2584" s="83" t="s">
        <v>19</v>
      </c>
      <c r="B2584" s="81"/>
      <c r="C2584" s="81"/>
      <c r="D2584" s="81"/>
      <c r="E2584" s="81"/>
      <c r="F2584" s="81"/>
      <c r="G2584" s="82"/>
      <c r="H2584" s="41">
        <f>MAX(0,H2583-648000)</f>
        <v>551170</v>
      </c>
    </row>
    <row r="2585" spans="1:8" ht="14.25" customHeight="1">
      <c r="A2585" s="84" t="s">
        <v>20</v>
      </c>
      <c r="B2585" s="81"/>
      <c r="C2585" s="81"/>
      <c r="D2585" s="81"/>
      <c r="E2585" s="81"/>
      <c r="F2585" s="81"/>
      <c r="G2585" s="82"/>
      <c r="H2585" s="42">
        <v>649000</v>
      </c>
    </row>
    <row r="2586" spans="1:8" ht="14.25" customHeight="1">
      <c r="A2586" s="80"/>
      <c r="B2586" s="81"/>
      <c r="C2586" s="81"/>
      <c r="D2586" s="81"/>
      <c r="E2586" s="81"/>
      <c r="F2586" s="81"/>
      <c r="G2586" s="81"/>
      <c r="H2586" s="82"/>
    </row>
    <row r="2587" spans="1:8" ht="14.25" customHeight="1"/>
    <row r="2588" spans="1:8" ht="14.25" customHeight="1"/>
    <row r="2589" spans="1:8" ht="14.25" customHeight="1"/>
    <row r="2590" spans="1:8" ht="14.25" customHeight="1"/>
    <row r="2591" spans="1:8" ht="14.25" customHeight="1">
      <c r="A2591" s="80" t="s">
        <v>0</v>
      </c>
      <c r="B2591" s="81"/>
      <c r="C2591" s="81"/>
      <c r="D2591" s="81"/>
      <c r="E2591" s="81"/>
      <c r="F2591" s="81"/>
      <c r="G2591" s="81"/>
      <c r="H2591" s="82"/>
    </row>
    <row r="2592" spans="1:8" ht="14.25" customHeight="1">
      <c r="A2592" s="80" t="s">
        <v>717</v>
      </c>
      <c r="B2592" s="81"/>
      <c r="C2592" s="81"/>
      <c r="D2592" s="81"/>
      <c r="E2592" s="81"/>
      <c r="F2592" s="81"/>
      <c r="G2592" s="81"/>
      <c r="H2592" s="82"/>
    </row>
    <row r="2593" spans="1:8" ht="14.25" customHeight="1">
      <c r="A2593" s="33" t="s">
        <v>2</v>
      </c>
      <c r="B2593" s="33" t="s">
        <v>3</v>
      </c>
      <c r="C2593" s="33" t="s">
        <v>4</v>
      </c>
      <c r="D2593" s="33" t="s">
        <v>5</v>
      </c>
      <c r="E2593" s="33" t="s">
        <v>6</v>
      </c>
      <c r="F2593" s="34" t="s">
        <v>7</v>
      </c>
      <c r="G2593" s="33" t="s">
        <v>8</v>
      </c>
      <c r="H2593" s="35"/>
    </row>
    <row r="2594" spans="1:8" ht="14.25" customHeight="1">
      <c r="A2594" s="36">
        <v>1</v>
      </c>
      <c r="B2594" s="18" t="s">
        <v>718</v>
      </c>
      <c r="C2594" s="5" t="s">
        <v>719</v>
      </c>
      <c r="D2594" s="18" t="s">
        <v>413</v>
      </c>
      <c r="E2594" s="18">
        <v>0.84</v>
      </c>
      <c r="F2594" s="6">
        <v>293000</v>
      </c>
      <c r="G2594" s="37">
        <f t="shared" ref="G2594:G2596" si="168">IFERROR(E2594*F2594,0)</f>
        <v>246120</v>
      </c>
      <c r="H2594" s="38"/>
    </row>
    <row r="2595" spans="1:8" ht="14.25" customHeight="1">
      <c r="A2595" s="36">
        <v>2</v>
      </c>
      <c r="B2595" s="12" t="s">
        <v>33</v>
      </c>
      <c r="C2595" s="10" t="s">
        <v>720</v>
      </c>
      <c r="D2595" s="12" t="s">
        <v>233</v>
      </c>
      <c r="E2595" s="12">
        <v>2.93</v>
      </c>
      <c r="F2595" s="43">
        <v>435000</v>
      </c>
      <c r="G2595" s="37">
        <f t="shared" si="168"/>
        <v>1274550</v>
      </c>
      <c r="H2595" s="38"/>
    </row>
    <row r="2596" spans="1:8" ht="14.25" customHeight="1">
      <c r="A2596" s="36">
        <v>4</v>
      </c>
      <c r="B2596" s="39" t="s">
        <v>17</v>
      </c>
      <c r="C2596" s="38"/>
      <c r="D2596" s="38"/>
      <c r="E2596" s="38"/>
      <c r="F2596" s="60"/>
      <c r="G2596" s="37">
        <f t="shared" si="168"/>
        <v>0</v>
      </c>
      <c r="H2596" s="38"/>
    </row>
    <row r="2597" spans="1:8" ht="14.25" customHeight="1">
      <c r="A2597" s="83" t="s">
        <v>18</v>
      </c>
      <c r="B2597" s="81"/>
      <c r="C2597" s="81"/>
      <c r="D2597" s="81"/>
      <c r="E2597" s="81"/>
      <c r="F2597" s="81"/>
      <c r="G2597" s="82"/>
      <c r="H2597" s="41">
        <f>SUM(G2594:G2596)</f>
        <v>1520670</v>
      </c>
    </row>
    <row r="2598" spans="1:8" ht="14.25" customHeight="1">
      <c r="A2598" s="83" t="s">
        <v>19</v>
      </c>
      <c r="B2598" s="81"/>
      <c r="C2598" s="81"/>
      <c r="D2598" s="81"/>
      <c r="E2598" s="81"/>
      <c r="F2598" s="81"/>
      <c r="G2598" s="82"/>
      <c r="H2598" s="41">
        <f>MAX(0,H2597-648000)</f>
        <v>872670</v>
      </c>
    </row>
    <row r="2599" spans="1:8" ht="14.25" customHeight="1">
      <c r="A2599" s="84" t="s">
        <v>20</v>
      </c>
      <c r="B2599" s="81"/>
      <c r="C2599" s="81"/>
      <c r="D2599" s="81"/>
      <c r="E2599" s="81"/>
      <c r="F2599" s="81"/>
      <c r="G2599" s="82"/>
      <c r="H2599" s="42">
        <v>649000</v>
      </c>
    </row>
    <row r="2600" spans="1:8" ht="14.25" customHeight="1">
      <c r="A2600" s="80"/>
      <c r="B2600" s="81"/>
      <c r="C2600" s="81"/>
      <c r="D2600" s="81"/>
      <c r="E2600" s="81"/>
      <c r="F2600" s="81"/>
      <c r="G2600" s="81"/>
      <c r="H2600" s="82"/>
    </row>
    <row r="2601" spans="1:8" ht="14.25" customHeight="1"/>
    <row r="2602" spans="1:8" ht="14.25" customHeight="1"/>
    <row r="2603" spans="1:8" ht="14.25" customHeight="1"/>
    <row r="2604" spans="1:8" ht="14.25" customHeight="1">
      <c r="A2604" s="80" t="s">
        <v>0</v>
      </c>
      <c r="B2604" s="81"/>
      <c r="C2604" s="81"/>
      <c r="D2604" s="81"/>
      <c r="E2604" s="81"/>
      <c r="F2604" s="81"/>
      <c r="G2604" s="81"/>
      <c r="H2604" s="82"/>
    </row>
    <row r="2605" spans="1:8" ht="14.25" customHeight="1">
      <c r="A2605" s="80" t="s">
        <v>721</v>
      </c>
      <c r="B2605" s="81"/>
      <c r="C2605" s="81"/>
      <c r="D2605" s="81"/>
      <c r="E2605" s="81"/>
      <c r="F2605" s="81"/>
      <c r="G2605" s="81"/>
      <c r="H2605" s="82"/>
    </row>
    <row r="2606" spans="1:8" ht="14.25" customHeight="1">
      <c r="A2606" s="33" t="s">
        <v>2</v>
      </c>
      <c r="B2606" s="33" t="s">
        <v>3</v>
      </c>
      <c r="C2606" s="33" t="s">
        <v>4</v>
      </c>
      <c r="D2606" s="33" t="s">
        <v>5</v>
      </c>
      <c r="E2606" s="33" t="s">
        <v>6</v>
      </c>
      <c r="F2606" s="34" t="s">
        <v>7</v>
      </c>
      <c r="G2606" s="33" t="s">
        <v>8</v>
      </c>
      <c r="H2606" s="35"/>
    </row>
    <row r="2607" spans="1:8" ht="14.25" customHeight="1">
      <c r="A2607" s="36">
        <v>1</v>
      </c>
      <c r="B2607" s="18" t="s">
        <v>136</v>
      </c>
      <c r="C2607" s="5" t="s">
        <v>722</v>
      </c>
      <c r="D2607" s="18" t="s">
        <v>413</v>
      </c>
      <c r="E2607" s="18">
        <v>2.5</v>
      </c>
      <c r="F2607" s="6">
        <v>293000</v>
      </c>
      <c r="G2607" s="37">
        <f t="shared" ref="G2607:G2609" si="169">IFERROR(E2607*F2607,0)</f>
        <v>732500</v>
      </c>
      <c r="H2607" s="38"/>
    </row>
    <row r="2608" spans="1:8" ht="14.25" customHeight="1">
      <c r="A2608" s="36">
        <v>2</v>
      </c>
      <c r="B2608" s="12" t="s">
        <v>575</v>
      </c>
      <c r="C2608" s="10" t="s">
        <v>723</v>
      </c>
      <c r="D2608" s="12" t="s">
        <v>14</v>
      </c>
      <c r="E2608" s="12">
        <v>1</v>
      </c>
      <c r="F2608" s="43">
        <v>435000</v>
      </c>
      <c r="G2608" s="37">
        <f t="shared" si="169"/>
        <v>435000</v>
      </c>
      <c r="H2608" s="38"/>
    </row>
    <row r="2609" spans="1:8" ht="14.25" customHeight="1">
      <c r="A2609" s="36">
        <v>4</v>
      </c>
      <c r="B2609" s="39" t="s">
        <v>17</v>
      </c>
      <c r="C2609" s="38"/>
      <c r="D2609" s="38"/>
      <c r="E2609" s="38"/>
      <c r="F2609" s="60"/>
      <c r="G2609" s="37">
        <f t="shared" si="169"/>
        <v>0</v>
      </c>
      <c r="H2609" s="38"/>
    </row>
    <row r="2610" spans="1:8" ht="14.25" customHeight="1">
      <c r="A2610" s="83" t="s">
        <v>18</v>
      </c>
      <c r="B2610" s="81"/>
      <c r="C2610" s="81"/>
      <c r="D2610" s="81"/>
      <c r="E2610" s="81"/>
      <c r="F2610" s="81"/>
      <c r="G2610" s="82"/>
      <c r="H2610" s="41">
        <f>SUM(G2607:G2609)</f>
        <v>1167500</v>
      </c>
    </row>
    <row r="2611" spans="1:8" ht="14.25" customHeight="1">
      <c r="A2611" s="83" t="s">
        <v>19</v>
      </c>
      <c r="B2611" s="81"/>
      <c r="C2611" s="81"/>
      <c r="D2611" s="81"/>
      <c r="E2611" s="81"/>
      <c r="F2611" s="81"/>
      <c r="G2611" s="82"/>
      <c r="H2611" s="41">
        <f>MAX(0,H2610-648000)</f>
        <v>519500</v>
      </c>
    </row>
    <row r="2612" spans="1:8" ht="14.25" customHeight="1">
      <c r="A2612" s="84" t="s">
        <v>20</v>
      </c>
      <c r="B2612" s="81"/>
      <c r="C2612" s="81"/>
      <c r="D2612" s="81"/>
      <c r="E2612" s="81"/>
      <c r="F2612" s="81"/>
      <c r="G2612" s="82"/>
      <c r="H2612" s="42">
        <v>649000</v>
      </c>
    </row>
    <row r="2613" spans="1:8" ht="14.25" customHeight="1">
      <c r="A2613" s="80"/>
      <c r="B2613" s="81"/>
      <c r="C2613" s="81"/>
      <c r="D2613" s="81"/>
      <c r="E2613" s="81"/>
      <c r="F2613" s="81"/>
      <c r="G2613" s="81"/>
      <c r="H2613" s="82"/>
    </row>
    <row r="2614" spans="1:8" ht="14.25" customHeight="1"/>
    <row r="2615" spans="1:8" ht="14.25" customHeight="1"/>
    <row r="2616" spans="1:8" ht="14.25" customHeight="1"/>
    <row r="2617" spans="1:8" ht="14.25" customHeight="1"/>
    <row r="2618" spans="1:8" ht="14.25" customHeight="1">
      <c r="A2618" s="80" t="s">
        <v>0</v>
      </c>
      <c r="B2618" s="81"/>
      <c r="C2618" s="81"/>
      <c r="D2618" s="81"/>
      <c r="E2618" s="81"/>
      <c r="F2618" s="81"/>
      <c r="G2618" s="81"/>
      <c r="H2618" s="82"/>
    </row>
    <row r="2619" spans="1:8" ht="14.25" customHeight="1">
      <c r="A2619" s="80" t="s">
        <v>724</v>
      </c>
      <c r="B2619" s="81"/>
      <c r="C2619" s="81"/>
      <c r="D2619" s="81"/>
      <c r="E2619" s="81"/>
      <c r="F2619" s="81"/>
      <c r="G2619" s="81"/>
      <c r="H2619" s="82"/>
    </row>
    <row r="2620" spans="1:8" ht="14.25" customHeight="1">
      <c r="A2620" s="33" t="s">
        <v>2</v>
      </c>
      <c r="B2620" s="33" t="s">
        <v>3</v>
      </c>
      <c r="C2620" s="33" t="s">
        <v>4</v>
      </c>
      <c r="D2620" s="33" t="s">
        <v>5</v>
      </c>
      <c r="E2620" s="33" t="s">
        <v>6</v>
      </c>
      <c r="F2620" s="34" t="s">
        <v>7</v>
      </c>
      <c r="G2620" s="33" t="s">
        <v>8</v>
      </c>
      <c r="H2620" s="35"/>
    </row>
    <row r="2621" spans="1:8" ht="14.25" customHeight="1">
      <c r="A2621" s="36">
        <v>1</v>
      </c>
      <c r="B2621" s="18" t="s">
        <v>65</v>
      </c>
      <c r="C2621" s="5" t="s">
        <v>725</v>
      </c>
      <c r="D2621" s="18" t="s">
        <v>413</v>
      </c>
      <c r="E2621" s="18">
        <v>1.9</v>
      </c>
      <c r="F2621" s="6">
        <v>293000</v>
      </c>
      <c r="G2621" s="37">
        <f t="shared" ref="G2621:G2623" si="170">IFERROR(E2621*F2621,0)</f>
        <v>556700</v>
      </c>
      <c r="H2621" s="38"/>
    </row>
    <row r="2622" spans="1:8" ht="14.25" customHeight="1">
      <c r="A2622" s="36">
        <v>2</v>
      </c>
      <c r="B2622" s="12" t="s">
        <v>726</v>
      </c>
      <c r="C2622" s="10" t="s">
        <v>727</v>
      </c>
      <c r="D2622" s="12" t="s">
        <v>233</v>
      </c>
      <c r="E2622" s="12">
        <v>1.45</v>
      </c>
      <c r="F2622" s="43">
        <v>435000</v>
      </c>
      <c r="G2622" s="37">
        <f t="shared" si="170"/>
        <v>630750</v>
      </c>
      <c r="H2622" s="38"/>
    </row>
    <row r="2623" spans="1:8" ht="14.25" customHeight="1">
      <c r="A2623" s="36">
        <v>4</v>
      </c>
      <c r="B2623" s="39" t="s">
        <v>17</v>
      </c>
      <c r="C2623" s="38"/>
      <c r="D2623" s="38"/>
      <c r="E2623" s="38"/>
      <c r="F2623" s="60"/>
      <c r="G2623" s="37">
        <f t="shared" si="170"/>
        <v>0</v>
      </c>
      <c r="H2623" s="38"/>
    </row>
    <row r="2624" spans="1:8" ht="14.25" customHeight="1">
      <c r="A2624" s="83" t="s">
        <v>18</v>
      </c>
      <c r="B2624" s="81"/>
      <c r="C2624" s="81"/>
      <c r="D2624" s="81"/>
      <c r="E2624" s="81"/>
      <c r="F2624" s="81"/>
      <c r="G2624" s="82"/>
      <c r="H2624" s="41">
        <f>SUM(G2621:G2623)</f>
        <v>1187450</v>
      </c>
    </row>
    <row r="2625" spans="1:8" ht="14.25" customHeight="1">
      <c r="A2625" s="83" t="s">
        <v>19</v>
      </c>
      <c r="B2625" s="81"/>
      <c r="C2625" s="81"/>
      <c r="D2625" s="81"/>
      <c r="E2625" s="81"/>
      <c r="F2625" s="81"/>
      <c r="G2625" s="82"/>
      <c r="H2625" s="41">
        <f>MAX(0,H2624-648000)</f>
        <v>539450</v>
      </c>
    </row>
    <row r="2626" spans="1:8" ht="14.25" customHeight="1">
      <c r="A2626" s="84" t="s">
        <v>20</v>
      </c>
      <c r="B2626" s="81"/>
      <c r="C2626" s="81"/>
      <c r="D2626" s="81"/>
      <c r="E2626" s="81"/>
      <c r="F2626" s="81"/>
      <c r="G2626" s="82"/>
      <c r="H2626" s="42">
        <v>649000</v>
      </c>
    </row>
    <row r="2627" spans="1:8" ht="14.25" customHeight="1">
      <c r="A2627" s="80"/>
      <c r="B2627" s="81"/>
      <c r="C2627" s="81"/>
      <c r="D2627" s="81"/>
      <c r="E2627" s="81"/>
      <c r="F2627" s="81"/>
      <c r="G2627" s="81"/>
      <c r="H2627" s="82"/>
    </row>
    <row r="2628" spans="1:8" ht="14.25" customHeight="1"/>
    <row r="2629" spans="1:8" ht="14.25" customHeight="1"/>
    <row r="2630" spans="1:8" ht="14.25" customHeight="1"/>
    <row r="2631" spans="1:8" ht="14.25" customHeight="1">
      <c r="A2631" s="80" t="s">
        <v>0</v>
      </c>
      <c r="B2631" s="81"/>
      <c r="C2631" s="81"/>
      <c r="D2631" s="81"/>
      <c r="E2631" s="81"/>
      <c r="F2631" s="81"/>
      <c r="G2631" s="81"/>
      <c r="H2631" s="82"/>
    </row>
    <row r="2632" spans="1:8" ht="14.25" customHeight="1">
      <c r="A2632" s="80" t="s">
        <v>728</v>
      </c>
      <c r="B2632" s="81"/>
      <c r="C2632" s="81"/>
      <c r="D2632" s="81"/>
      <c r="E2632" s="81"/>
      <c r="F2632" s="81"/>
      <c r="G2632" s="81"/>
      <c r="H2632" s="82"/>
    </row>
    <row r="2633" spans="1:8" ht="14.25" customHeight="1">
      <c r="A2633" s="33" t="s">
        <v>2</v>
      </c>
      <c r="B2633" s="33" t="s">
        <v>3</v>
      </c>
      <c r="C2633" s="33" t="s">
        <v>4</v>
      </c>
      <c r="D2633" s="33" t="s">
        <v>5</v>
      </c>
      <c r="E2633" s="33" t="s">
        <v>6</v>
      </c>
      <c r="F2633" s="34" t="s">
        <v>7</v>
      </c>
      <c r="G2633" s="33" t="s">
        <v>8</v>
      </c>
      <c r="H2633" s="35"/>
    </row>
    <row r="2634" spans="1:8" ht="14.25" customHeight="1">
      <c r="A2634" s="36">
        <v>1</v>
      </c>
      <c r="B2634" s="18" t="s">
        <v>729</v>
      </c>
      <c r="C2634" s="5" t="s">
        <v>730</v>
      </c>
      <c r="D2634" s="18" t="s">
        <v>413</v>
      </c>
      <c r="E2634" s="18">
        <v>0.63</v>
      </c>
      <c r="F2634" s="6">
        <v>293000</v>
      </c>
      <c r="G2634" s="37">
        <f t="shared" ref="G2634:G2636" si="171">IFERROR(E2634*F2634,0)</f>
        <v>184590</v>
      </c>
      <c r="H2634" s="38"/>
    </row>
    <row r="2635" spans="1:8" ht="14.25" customHeight="1">
      <c r="A2635" s="36">
        <v>2</v>
      </c>
      <c r="B2635" s="12" t="s">
        <v>575</v>
      </c>
      <c r="C2635" s="10" t="s">
        <v>731</v>
      </c>
      <c r="D2635" s="12" t="s">
        <v>14</v>
      </c>
      <c r="E2635" s="12">
        <v>3</v>
      </c>
      <c r="F2635" s="43">
        <v>435000</v>
      </c>
      <c r="G2635" s="37">
        <f t="shared" si="171"/>
        <v>1305000</v>
      </c>
      <c r="H2635" s="38"/>
    </row>
    <row r="2636" spans="1:8" ht="14.25" customHeight="1">
      <c r="A2636" s="36">
        <v>4</v>
      </c>
      <c r="B2636" s="39" t="s">
        <v>17</v>
      </c>
      <c r="C2636" s="38"/>
      <c r="D2636" s="38"/>
      <c r="E2636" s="38"/>
      <c r="F2636" s="60"/>
      <c r="G2636" s="37">
        <f t="shared" si="171"/>
        <v>0</v>
      </c>
      <c r="H2636" s="38"/>
    </row>
    <row r="2637" spans="1:8" ht="14.25" customHeight="1">
      <c r="A2637" s="83" t="s">
        <v>18</v>
      </c>
      <c r="B2637" s="81"/>
      <c r="C2637" s="81"/>
      <c r="D2637" s="81"/>
      <c r="E2637" s="81"/>
      <c r="F2637" s="81"/>
      <c r="G2637" s="82"/>
      <c r="H2637" s="41">
        <f>SUM(G2634:G2636)</f>
        <v>1489590</v>
      </c>
    </row>
    <row r="2638" spans="1:8" ht="14.25" customHeight="1">
      <c r="A2638" s="83" t="s">
        <v>19</v>
      </c>
      <c r="B2638" s="81"/>
      <c r="C2638" s="81"/>
      <c r="D2638" s="81"/>
      <c r="E2638" s="81"/>
      <c r="F2638" s="81"/>
      <c r="G2638" s="82"/>
      <c r="H2638" s="41">
        <f>MAX(0,H2637-648000)</f>
        <v>841590</v>
      </c>
    </row>
    <row r="2639" spans="1:8" ht="14.25" customHeight="1">
      <c r="A2639" s="84" t="s">
        <v>20</v>
      </c>
      <c r="B2639" s="81"/>
      <c r="C2639" s="81"/>
      <c r="D2639" s="81"/>
      <c r="E2639" s="81"/>
      <c r="F2639" s="81"/>
      <c r="G2639" s="82"/>
      <c r="H2639" s="42">
        <v>649000</v>
      </c>
    </row>
    <row r="2640" spans="1:8" ht="14.25" customHeight="1">
      <c r="A2640" s="80"/>
      <c r="B2640" s="81"/>
      <c r="C2640" s="81"/>
      <c r="D2640" s="81"/>
      <c r="E2640" s="81"/>
      <c r="F2640" s="81"/>
      <c r="G2640" s="81"/>
      <c r="H2640" s="82"/>
    </row>
    <row r="2641" spans="1:8" ht="14.25" customHeight="1"/>
    <row r="2642" spans="1:8" ht="14.25" customHeight="1"/>
    <row r="2643" spans="1:8" ht="14.25" customHeight="1"/>
    <row r="2644" spans="1:8" ht="14.25" customHeight="1"/>
    <row r="2645" spans="1:8" ht="14.25" customHeight="1"/>
    <row r="2646" spans="1:8" ht="14.25" customHeight="1"/>
    <row r="2647" spans="1:8" ht="14.25" customHeight="1">
      <c r="A2647" s="80" t="s">
        <v>0</v>
      </c>
      <c r="B2647" s="81"/>
      <c r="C2647" s="81"/>
      <c r="D2647" s="81"/>
      <c r="E2647" s="81"/>
      <c r="F2647" s="81"/>
      <c r="G2647" s="81"/>
      <c r="H2647" s="82"/>
    </row>
    <row r="2648" spans="1:8" ht="14.25" customHeight="1">
      <c r="A2648" s="80" t="s">
        <v>732</v>
      </c>
      <c r="B2648" s="81"/>
      <c r="C2648" s="81"/>
      <c r="D2648" s="81"/>
      <c r="E2648" s="81"/>
      <c r="F2648" s="81"/>
      <c r="G2648" s="81"/>
      <c r="H2648" s="82"/>
    </row>
    <row r="2649" spans="1:8" ht="14.25" customHeight="1">
      <c r="A2649" s="33" t="s">
        <v>2</v>
      </c>
      <c r="B2649" s="33" t="s">
        <v>3</v>
      </c>
      <c r="C2649" s="33" t="s">
        <v>4</v>
      </c>
      <c r="D2649" s="33" t="s">
        <v>5</v>
      </c>
      <c r="E2649" s="33" t="s">
        <v>6</v>
      </c>
      <c r="F2649" s="34" t="s">
        <v>7</v>
      </c>
      <c r="G2649" s="33" t="s">
        <v>8</v>
      </c>
      <c r="H2649" s="35"/>
    </row>
    <row r="2650" spans="1:8" ht="14.25" customHeight="1">
      <c r="A2650" s="36">
        <v>1</v>
      </c>
      <c r="B2650" s="18" t="s">
        <v>733</v>
      </c>
      <c r="C2650" s="5" t="s">
        <v>734</v>
      </c>
      <c r="D2650" s="18" t="s">
        <v>11</v>
      </c>
      <c r="E2650" s="18">
        <v>1.45</v>
      </c>
      <c r="F2650" s="6">
        <v>293000</v>
      </c>
      <c r="G2650" s="37">
        <f t="shared" ref="G2650:G2652" si="172">IFERROR(E2650*F2650,0)</f>
        <v>424850</v>
      </c>
      <c r="H2650" s="38"/>
    </row>
    <row r="2651" spans="1:8" ht="14.25" customHeight="1">
      <c r="A2651" s="36">
        <v>2</v>
      </c>
      <c r="B2651" s="12" t="s">
        <v>65</v>
      </c>
      <c r="C2651" s="10">
        <v>6356</v>
      </c>
      <c r="D2651" s="12" t="s">
        <v>14</v>
      </c>
      <c r="E2651" s="12">
        <v>2</v>
      </c>
      <c r="F2651" s="43">
        <v>435000</v>
      </c>
      <c r="G2651" s="37">
        <f t="shared" si="172"/>
        <v>870000</v>
      </c>
      <c r="H2651" s="38"/>
    </row>
    <row r="2652" spans="1:8" ht="14.25" customHeight="1">
      <c r="A2652" s="36">
        <v>4</v>
      </c>
      <c r="B2652" s="39" t="s">
        <v>17</v>
      </c>
      <c r="C2652" s="38"/>
      <c r="D2652" s="38"/>
      <c r="E2652" s="38"/>
      <c r="F2652" s="60"/>
      <c r="G2652" s="37">
        <f t="shared" si="172"/>
        <v>0</v>
      </c>
      <c r="H2652" s="38"/>
    </row>
    <row r="2653" spans="1:8" ht="14.25" customHeight="1">
      <c r="A2653" s="83" t="s">
        <v>18</v>
      </c>
      <c r="B2653" s="81"/>
      <c r="C2653" s="81"/>
      <c r="D2653" s="81"/>
      <c r="E2653" s="81"/>
      <c r="F2653" s="81"/>
      <c r="G2653" s="82"/>
      <c r="H2653" s="41">
        <f>SUM(G2650:G2652)</f>
        <v>1294850</v>
      </c>
    </row>
    <row r="2654" spans="1:8" ht="14.25" customHeight="1">
      <c r="A2654" s="83" t="s">
        <v>19</v>
      </c>
      <c r="B2654" s="81"/>
      <c r="C2654" s="81"/>
      <c r="D2654" s="81"/>
      <c r="E2654" s="81"/>
      <c r="F2654" s="81"/>
      <c r="G2654" s="82"/>
      <c r="H2654" s="41">
        <f>MAX(0,H2653-648000)</f>
        <v>646850</v>
      </c>
    </row>
    <row r="2655" spans="1:8" ht="14.25" customHeight="1">
      <c r="A2655" s="84" t="s">
        <v>20</v>
      </c>
      <c r="B2655" s="81"/>
      <c r="C2655" s="81"/>
      <c r="D2655" s="81"/>
      <c r="E2655" s="81"/>
      <c r="F2655" s="81"/>
      <c r="G2655" s="82"/>
      <c r="H2655" s="42">
        <v>649000</v>
      </c>
    </row>
    <row r="2656" spans="1:8" ht="14.25" customHeight="1">
      <c r="A2656" s="80"/>
      <c r="B2656" s="81"/>
      <c r="C2656" s="81"/>
      <c r="D2656" s="81"/>
      <c r="E2656" s="81"/>
      <c r="F2656" s="81"/>
      <c r="G2656" s="81"/>
      <c r="H2656" s="82"/>
    </row>
    <row r="2657" spans="1:8" ht="14.25" customHeight="1"/>
    <row r="2658" spans="1:8" ht="14.25" customHeight="1"/>
    <row r="2659" spans="1:8" ht="14.25" customHeight="1"/>
    <row r="2660" spans="1:8" ht="14.25" customHeight="1"/>
    <row r="2661" spans="1:8" ht="14.25" customHeight="1"/>
    <row r="2662" spans="1:8" ht="14.25" customHeight="1"/>
    <row r="2663" spans="1:8" ht="14.25" customHeight="1">
      <c r="A2663" s="80" t="s">
        <v>0</v>
      </c>
      <c r="B2663" s="81"/>
      <c r="C2663" s="81"/>
      <c r="D2663" s="81"/>
      <c r="E2663" s="81"/>
      <c r="F2663" s="81"/>
      <c r="G2663" s="81"/>
      <c r="H2663" s="82"/>
    </row>
    <row r="2664" spans="1:8" ht="14.25" customHeight="1">
      <c r="A2664" s="80" t="s">
        <v>735</v>
      </c>
      <c r="B2664" s="81"/>
      <c r="C2664" s="81"/>
      <c r="D2664" s="81"/>
      <c r="E2664" s="81"/>
      <c r="F2664" s="81"/>
      <c r="G2664" s="81"/>
      <c r="H2664" s="82"/>
    </row>
    <row r="2665" spans="1:8" ht="14.25" customHeight="1">
      <c r="A2665" s="33" t="s">
        <v>2</v>
      </c>
      <c r="B2665" s="33" t="s">
        <v>3</v>
      </c>
      <c r="C2665" s="33" t="s">
        <v>4</v>
      </c>
      <c r="D2665" s="33" t="s">
        <v>5</v>
      </c>
      <c r="E2665" s="33" t="s">
        <v>6</v>
      </c>
      <c r="F2665" s="34" t="s">
        <v>7</v>
      </c>
      <c r="G2665" s="33" t="s">
        <v>8</v>
      </c>
      <c r="H2665" s="35"/>
    </row>
    <row r="2666" spans="1:8" ht="14.25" customHeight="1">
      <c r="A2666" s="36">
        <v>1</v>
      </c>
      <c r="B2666" s="18" t="s">
        <v>736</v>
      </c>
      <c r="C2666" s="5" t="s">
        <v>737</v>
      </c>
      <c r="D2666" s="18" t="s">
        <v>413</v>
      </c>
      <c r="E2666" s="18">
        <v>2.1</v>
      </c>
      <c r="F2666" s="6">
        <v>293000</v>
      </c>
      <c r="G2666" s="37">
        <f t="shared" ref="G2666:G2668" si="173">IFERROR(E2666*F2666,0)</f>
        <v>615300</v>
      </c>
      <c r="H2666" s="38"/>
    </row>
    <row r="2667" spans="1:8" ht="14.25" customHeight="1">
      <c r="A2667" s="36">
        <v>2</v>
      </c>
      <c r="B2667" s="12" t="s">
        <v>121</v>
      </c>
      <c r="C2667" s="10" t="s">
        <v>738</v>
      </c>
      <c r="D2667" s="12" t="s">
        <v>233</v>
      </c>
      <c r="E2667" s="12">
        <v>1.5</v>
      </c>
      <c r="F2667" s="43">
        <v>435000</v>
      </c>
      <c r="G2667" s="37">
        <f t="shared" si="173"/>
        <v>652500</v>
      </c>
      <c r="H2667" s="38"/>
    </row>
    <row r="2668" spans="1:8" ht="14.25" customHeight="1">
      <c r="A2668" s="36">
        <v>4</v>
      </c>
      <c r="B2668" s="39" t="s">
        <v>17</v>
      </c>
      <c r="C2668" s="38"/>
      <c r="D2668" s="38"/>
      <c r="E2668" s="38"/>
      <c r="F2668" s="60"/>
      <c r="G2668" s="37">
        <f t="shared" si="173"/>
        <v>0</v>
      </c>
      <c r="H2668" s="38"/>
    </row>
    <row r="2669" spans="1:8" ht="14.25" customHeight="1">
      <c r="A2669" s="83" t="s">
        <v>18</v>
      </c>
      <c r="B2669" s="81"/>
      <c r="C2669" s="81"/>
      <c r="D2669" s="81"/>
      <c r="E2669" s="81"/>
      <c r="F2669" s="81"/>
      <c r="G2669" s="82"/>
      <c r="H2669" s="41">
        <f>SUM(G2666:G2668)</f>
        <v>1267800</v>
      </c>
    </row>
    <row r="2670" spans="1:8" ht="14.25" customHeight="1">
      <c r="A2670" s="83" t="s">
        <v>19</v>
      </c>
      <c r="B2670" s="81"/>
      <c r="C2670" s="81"/>
      <c r="D2670" s="81"/>
      <c r="E2670" s="81"/>
      <c r="F2670" s="81"/>
      <c r="G2670" s="82"/>
      <c r="H2670" s="41">
        <f>MAX(0,H2669-648000)</f>
        <v>619800</v>
      </c>
    </row>
    <row r="2671" spans="1:8" ht="14.25" customHeight="1">
      <c r="A2671" s="84" t="s">
        <v>20</v>
      </c>
      <c r="B2671" s="81"/>
      <c r="C2671" s="81"/>
      <c r="D2671" s="81"/>
      <c r="E2671" s="81"/>
      <c r="F2671" s="81"/>
      <c r="G2671" s="82"/>
      <c r="H2671" s="42">
        <v>649000</v>
      </c>
    </row>
    <row r="2672" spans="1:8" ht="14.25" customHeight="1">
      <c r="A2672" s="80"/>
      <c r="B2672" s="81"/>
      <c r="C2672" s="81"/>
      <c r="D2672" s="81"/>
      <c r="E2672" s="81"/>
      <c r="F2672" s="81"/>
      <c r="G2672" s="81"/>
      <c r="H2672" s="82"/>
    </row>
    <row r="2673" spans="1:8" ht="14.25" customHeight="1"/>
    <row r="2674" spans="1:8" ht="14.25" customHeight="1"/>
    <row r="2675" spans="1:8" ht="14.25" customHeight="1"/>
    <row r="2676" spans="1:8" ht="14.25" customHeight="1"/>
    <row r="2677" spans="1:8" ht="14.25" customHeight="1">
      <c r="A2677" s="80" t="s">
        <v>0</v>
      </c>
      <c r="B2677" s="81"/>
      <c r="C2677" s="81"/>
      <c r="D2677" s="81"/>
      <c r="E2677" s="81"/>
      <c r="F2677" s="81"/>
      <c r="G2677" s="81"/>
      <c r="H2677" s="82"/>
    </row>
    <row r="2678" spans="1:8" ht="14.25" customHeight="1">
      <c r="A2678" s="80" t="s">
        <v>739</v>
      </c>
      <c r="B2678" s="81"/>
      <c r="C2678" s="81"/>
      <c r="D2678" s="81"/>
      <c r="E2678" s="81"/>
      <c r="F2678" s="81"/>
      <c r="G2678" s="81"/>
      <c r="H2678" s="82"/>
    </row>
    <row r="2679" spans="1:8" ht="14.25" customHeight="1">
      <c r="A2679" s="33" t="s">
        <v>2</v>
      </c>
      <c r="B2679" s="33" t="s">
        <v>3</v>
      </c>
      <c r="C2679" s="33" t="s">
        <v>4</v>
      </c>
      <c r="D2679" s="33" t="s">
        <v>5</v>
      </c>
      <c r="E2679" s="33" t="s">
        <v>6</v>
      </c>
      <c r="F2679" s="34" t="s">
        <v>7</v>
      </c>
      <c r="G2679" s="33" t="s">
        <v>8</v>
      </c>
      <c r="H2679" s="35"/>
    </row>
    <row r="2680" spans="1:8" ht="14.25" customHeight="1">
      <c r="A2680" s="36">
        <v>1</v>
      </c>
      <c r="B2680" s="18" t="s">
        <v>278</v>
      </c>
      <c r="C2680" s="5" t="s">
        <v>740</v>
      </c>
      <c r="D2680" s="18" t="s">
        <v>413</v>
      </c>
      <c r="E2680" s="18">
        <v>2</v>
      </c>
      <c r="F2680" s="6">
        <v>293000</v>
      </c>
      <c r="G2680" s="37">
        <f t="shared" ref="G2680:G2682" si="174">IFERROR(E2680*F2680,0)</f>
        <v>586000</v>
      </c>
      <c r="H2680" s="38"/>
    </row>
    <row r="2681" spans="1:8" ht="14.25" customHeight="1">
      <c r="A2681" s="36">
        <v>2</v>
      </c>
      <c r="B2681" s="47" t="s">
        <v>741</v>
      </c>
      <c r="C2681" s="10" t="s">
        <v>742</v>
      </c>
      <c r="D2681" s="12" t="s">
        <v>233</v>
      </c>
      <c r="E2681" s="12">
        <v>1.48</v>
      </c>
      <c r="F2681" s="43">
        <v>435000</v>
      </c>
      <c r="G2681" s="37">
        <f t="shared" si="174"/>
        <v>643800</v>
      </c>
      <c r="H2681" s="38"/>
    </row>
    <row r="2682" spans="1:8" ht="14.25" customHeight="1">
      <c r="A2682" s="36">
        <v>4</v>
      </c>
      <c r="B2682" s="61"/>
      <c r="C2682" s="38"/>
      <c r="D2682" s="38"/>
      <c r="E2682" s="38"/>
      <c r="F2682" s="60"/>
      <c r="G2682" s="37">
        <f t="shared" si="174"/>
        <v>0</v>
      </c>
      <c r="H2682" s="38"/>
    </row>
    <row r="2683" spans="1:8" ht="14.25" customHeight="1">
      <c r="A2683" s="83" t="s">
        <v>18</v>
      </c>
      <c r="B2683" s="81"/>
      <c r="C2683" s="81"/>
      <c r="D2683" s="81"/>
      <c r="E2683" s="81"/>
      <c r="F2683" s="81"/>
      <c r="G2683" s="82"/>
      <c r="H2683" s="41">
        <f>SUM(G2680:G2682)</f>
        <v>1229800</v>
      </c>
    </row>
    <row r="2684" spans="1:8" ht="14.25" customHeight="1">
      <c r="A2684" s="83" t="s">
        <v>19</v>
      </c>
      <c r="B2684" s="81"/>
      <c r="C2684" s="81"/>
      <c r="D2684" s="81"/>
      <c r="E2684" s="81"/>
      <c r="F2684" s="81"/>
      <c r="G2684" s="82"/>
      <c r="H2684" s="41">
        <f>MAX(0,H2683-648000)</f>
        <v>581800</v>
      </c>
    </row>
    <row r="2685" spans="1:8" ht="14.25" customHeight="1">
      <c r="A2685" s="84" t="s">
        <v>20</v>
      </c>
      <c r="B2685" s="81"/>
      <c r="C2685" s="81"/>
      <c r="D2685" s="81"/>
      <c r="E2685" s="81"/>
      <c r="F2685" s="81"/>
      <c r="G2685" s="82"/>
      <c r="H2685" s="42">
        <v>649000</v>
      </c>
    </row>
    <row r="2686" spans="1:8" ht="14.25" customHeight="1">
      <c r="A2686" s="80"/>
      <c r="B2686" s="81"/>
      <c r="C2686" s="81"/>
      <c r="D2686" s="81"/>
      <c r="E2686" s="81"/>
      <c r="F2686" s="81"/>
      <c r="G2686" s="81"/>
      <c r="H2686" s="82"/>
    </row>
    <row r="2687" spans="1:8" ht="14.25" customHeight="1"/>
    <row r="2688" spans="1:8" ht="14.25" customHeight="1"/>
    <row r="2689" spans="1:8" ht="14.25" customHeight="1"/>
    <row r="2690" spans="1:8" ht="14.25" customHeight="1"/>
    <row r="2691" spans="1:8" ht="14.25" customHeight="1"/>
    <row r="2692" spans="1:8" ht="14.25" customHeight="1"/>
    <row r="2693" spans="1:8" ht="14.25" customHeight="1">
      <c r="A2693" s="80" t="s">
        <v>0</v>
      </c>
      <c r="B2693" s="81"/>
      <c r="C2693" s="81"/>
      <c r="D2693" s="81"/>
      <c r="E2693" s="81"/>
      <c r="F2693" s="81"/>
      <c r="G2693" s="81"/>
      <c r="H2693" s="82"/>
    </row>
    <row r="2694" spans="1:8" ht="14.25" customHeight="1">
      <c r="A2694" s="80" t="s">
        <v>743</v>
      </c>
      <c r="B2694" s="81"/>
      <c r="C2694" s="81"/>
      <c r="D2694" s="81"/>
      <c r="E2694" s="81"/>
      <c r="F2694" s="81"/>
      <c r="G2694" s="81"/>
      <c r="H2694" s="82"/>
    </row>
    <row r="2695" spans="1:8" ht="14.25" customHeight="1">
      <c r="A2695" s="33" t="s">
        <v>2</v>
      </c>
      <c r="B2695" s="33" t="s">
        <v>3</v>
      </c>
      <c r="C2695" s="33" t="s">
        <v>4</v>
      </c>
      <c r="D2695" s="33" t="s">
        <v>5</v>
      </c>
      <c r="E2695" s="33" t="s">
        <v>6</v>
      </c>
      <c r="F2695" s="34" t="s">
        <v>7</v>
      </c>
      <c r="G2695" s="33" t="s">
        <v>8</v>
      </c>
      <c r="H2695" s="35"/>
    </row>
    <row r="2696" spans="1:8" ht="14.25" customHeight="1">
      <c r="A2696" s="36">
        <v>1</v>
      </c>
      <c r="B2696" s="18" t="s">
        <v>411</v>
      </c>
      <c r="C2696" s="5" t="s">
        <v>744</v>
      </c>
      <c r="D2696" s="18" t="s">
        <v>413</v>
      </c>
      <c r="E2696" s="18">
        <v>1.5</v>
      </c>
      <c r="F2696" s="6">
        <v>293000</v>
      </c>
      <c r="G2696" s="37">
        <f t="shared" ref="G2696:G2698" si="175">IFERROR(E2696*F2696,0)</f>
        <v>439500</v>
      </c>
      <c r="H2696" s="38"/>
    </row>
    <row r="2697" spans="1:8" ht="14.25" customHeight="1">
      <c r="A2697" s="36">
        <v>2</v>
      </c>
      <c r="B2697" s="12" t="s">
        <v>745</v>
      </c>
      <c r="C2697" s="10" t="s">
        <v>746</v>
      </c>
      <c r="D2697" s="12" t="s">
        <v>233</v>
      </c>
      <c r="E2697" s="12">
        <v>2</v>
      </c>
      <c r="F2697" s="43">
        <v>435000</v>
      </c>
      <c r="G2697" s="37">
        <f t="shared" si="175"/>
        <v>870000</v>
      </c>
      <c r="H2697" s="38"/>
    </row>
    <row r="2698" spans="1:8" ht="14.25" customHeight="1">
      <c r="A2698" s="36">
        <v>4</v>
      </c>
      <c r="B2698" s="39" t="s">
        <v>17</v>
      </c>
      <c r="C2698" s="38"/>
      <c r="D2698" s="38"/>
      <c r="E2698" s="38"/>
      <c r="F2698" s="60"/>
      <c r="G2698" s="37">
        <f t="shared" si="175"/>
        <v>0</v>
      </c>
      <c r="H2698" s="38"/>
    </row>
    <row r="2699" spans="1:8" ht="14.25" customHeight="1">
      <c r="A2699" s="83" t="s">
        <v>18</v>
      </c>
      <c r="B2699" s="81"/>
      <c r="C2699" s="81"/>
      <c r="D2699" s="81"/>
      <c r="E2699" s="81"/>
      <c r="F2699" s="81"/>
      <c r="G2699" s="82"/>
      <c r="H2699" s="41">
        <f>SUM(G2696:G2698)</f>
        <v>1309500</v>
      </c>
    </row>
    <row r="2700" spans="1:8" ht="14.25" customHeight="1">
      <c r="A2700" s="83" t="s">
        <v>19</v>
      </c>
      <c r="B2700" s="81"/>
      <c r="C2700" s="81"/>
      <c r="D2700" s="81"/>
      <c r="E2700" s="81"/>
      <c r="F2700" s="81"/>
      <c r="G2700" s="82"/>
      <c r="H2700" s="41">
        <f>MAX(0,H2699-648000)</f>
        <v>661500</v>
      </c>
    </row>
    <row r="2701" spans="1:8" ht="14.25" customHeight="1">
      <c r="A2701" s="84" t="s">
        <v>20</v>
      </c>
      <c r="B2701" s="81"/>
      <c r="C2701" s="81"/>
      <c r="D2701" s="81"/>
      <c r="E2701" s="81"/>
      <c r="F2701" s="81"/>
      <c r="G2701" s="82"/>
      <c r="H2701" s="42">
        <v>649000</v>
      </c>
    </row>
    <row r="2702" spans="1:8" ht="14.25" customHeight="1">
      <c r="A2702" s="80"/>
      <c r="B2702" s="81"/>
      <c r="C2702" s="81"/>
      <c r="D2702" s="81"/>
      <c r="E2702" s="81"/>
      <c r="F2702" s="81"/>
      <c r="G2702" s="81"/>
      <c r="H2702" s="82"/>
    </row>
    <row r="2703" spans="1:8" ht="14.25" customHeight="1"/>
    <row r="2704" spans="1:8" ht="14.25" customHeight="1"/>
    <row r="2705" spans="1:8" ht="14.25" customHeight="1"/>
    <row r="2706" spans="1:8" ht="14.25" customHeight="1"/>
    <row r="2707" spans="1:8" ht="14.25" customHeight="1">
      <c r="A2707" s="85" t="s">
        <v>0</v>
      </c>
      <c r="B2707" s="81"/>
      <c r="C2707" s="81"/>
      <c r="D2707" s="81"/>
      <c r="E2707" s="81"/>
      <c r="F2707" s="81"/>
      <c r="G2707" s="81"/>
      <c r="H2707" s="82"/>
    </row>
    <row r="2708" spans="1:8" ht="14.25" customHeight="1">
      <c r="A2708" s="85" t="s">
        <v>747</v>
      </c>
      <c r="B2708" s="81"/>
      <c r="C2708" s="81"/>
      <c r="D2708" s="81"/>
      <c r="E2708" s="81"/>
      <c r="F2708" s="81"/>
      <c r="G2708" s="81"/>
      <c r="H2708" s="82"/>
    </row>
    <row r="2709" spans="1:8" ht="14.25" customHeight="1">
      <c r="A2709" s="1" t="s">
        <v>2</v>
      </c>
      <c r="B2709" s="1" t="s">
        <v>3</v>
      </c>
      <c r="C2709" s="1" t="s">
        <v>4</v>
      </c>
      <c r="D2709" s="1" t="s">
        <v>5</v>
      </c>
      <c r="E2709" s="1" t="s">
        <v>6</v>
      </c>
      <c r="F2709" s="2" t="s">
        <v>7</v>
      </c>
      <c r="G2709" s="1" t="s">
        <v>8</v>
      </c>
      <c r="H2709" s="1"/>
    </row>
    <row r="2710" spans="1:8" ht="14.25" customHeight="1">
      <c r="A2710" s="3">
        <v>1</v>
      </c>
      <c r="B2710" s="55" t="s">
        <v>560</v>
      </c>
      <c r="C2710" s="56" t="s">
        <v>748</v>
      </c>
      <c r="D2710" s="57" t="s">
        <v>413</v>
      </c>
      <c r="E2710" s="57">
        <v>1.5</v>
      </c>
      <c r="F2710" s="6">
        <v>293000</v>
      </c>
      <c r="G2710" s="7">
        <f t="shared" ref="G2710:G2711" si="176">IFERROR(E2710*F2710,0)</f>
        <v>439500</v>
      </c>
      <c r="H2710" s="8"/>
    </row>
    <row r="2711" spans="1:8" ht="14.25" customHeight="1">
      <c r="A2711" s="3">
        <v>2</v>
      </c>
      <c r="B2711" s="55" t="s">
        <v>33</v>
      </c>
      <c r="C2711" s="56" t="s">
        <v>749</v>
      </c>
      <c r="D2711" s="57" t="s">
        <v>233</v>
      </c>
      <c r="E2711" s="57">
        <v>1</v>
      </c>
      <c r="F2711" s="11">
        <v>435000</v>
      </c>
      <c r="G2711" s="7">
        <f t="shared" si="176"/>
        <v>435000</v>
      </c>
      <c r="H2711" s="8"/>
    </row>
    <row r="2712" spans="1:8" ht="14.25" customHeight="1">
      <c r="A2712" s="3">
        <v>3</v>
      </c>
      <c r="B2712" s="58" t="s">
        <v>45</v>
      </c>
      <c r="C2712" s="62" t="s">
        <v>750</v>
      </c>
      <c r="D2712" s="57" t="s">
        <v>233</v>
      </c>
      <c r="E2712" s="57">
        <v>1</v>
      </c>
      <c r="F2712" s="11">
        <v>435000</v>
      </c>
      <c r="G2712" s="7">
        <f>IFERROR(E2712*F2712,0)</f>
        <v>435000</v>
      </c>
      <c r="H2712" s="8"/>
    </row>
    <row r="2713" spans="1:8" ht="14.25" customHeight="1">
      <c r="A2713" s="3">
        <v>4</v>
      </c>
      <c r="B2713" s="8" t="s">
        <v>17</v>
      </c>
      <c r="C2713" s="8"/>
      <c r="D2713" s="8"/>
      <c r="E2713" s="8"/>
      <c r="F2713" s="8"/>
      <c r="G2713" s="13">
        <f>IFERROR(E2713*F2713,0)</f>
        <v>0</v>
      </c>
      <c r="H2713" s="8"/>
    </row>
    <row r="2714" spans="1:8" ht="14.25" customHeight="1">
      <c r="A2714" s="86" t="s">
        <v>18</v>
      </c>
      <c r="B2714" s="81"/>
      <c r="C2714" s="81"/>
      <c r="D2714" s="81"/>
      <c r="E2714" s="81"/>
      <c r="F2714" s="81"/>
      <c r="G2714" s="82"/>
      <c r="H2714" s="14">
        <f>SUM(G2710:G2713)</f>
        <v>1309500</v>
      </c>
    </row>
    <row r="2715" spans="1:8" ht="14.25" customHeight="1">
      <c r="A2715" s="86" t="s">
        <v>19</v>
      </c>
      <c r="B2715" s="81"/>
      <c r="C2715" s="81"/>
      <c r="D2715" s="81"/>
      <c r="E2715" s="81"/>
      <c r="F2715" s="81"/>
      <c r="G2715" s="82"/>
      <c r="H2715" s="14">
        <f>MAX(0,H2714-648000)</f>
        <v>661500</v>
      </c>
    </row>
    <row r="2716" spans="1:8" ht="14.25" customHeight="1">
      <c r="A2716" s="87" t="s">
        <v>20</v>
      </c>
      <c r="B2716" s="81"/>
      <c r="C2716" s="81"/>
      <c r="D2716" s="81"/>
      <c r="E2716" s="81"/>
      <c r="F2716" s="81"/>
      <c r="G2716" s="82"/>
      <c r="H2716" s="15">
        <v>649000</v>
      </c>
    </row>
    <row r="2717" spans="1:8" ht="14.25" customHeight="1"/>
    <row r="2718" spans="1:8" ht="14.25" customHeight="1"/>
    <row r="2719" spans="1:8" ht="14.25" customHeight="1"/>
    <row r="2720" spans="1:8" ht="14.25" customHeight="1"/>
    <row r="2721" spans="1:8" ht="14.25" customHeight="1"/>
    <row r="2722" spans="1:8" ht="14.25" customHeight="1"/>
    <row r="2723" spans="1:8" ht="14.25" customHeight="1">
      <c r="A2723" s="85" t="s">
        <v>0</v>
      </c>
      <c r="B2723" s="81"/>
      <c r="C2723" s="81"/>
      <c r="D2723" s="81"/>
      <c r="E2723" s="81"/>
      <c r="F2723" s="81"/>
      <c r="G2723" s="81"/>
      <c r="H2723" s="82"/>
    </row>
    <row r="2724" spans="1:8" ht="14.25" customHeight="1">
      <c r="A2724" s="85" t="s">
        <v>751</v>
      </c>
      <c r="B2724" s="81"/>
      <c r="C2724" s="81"/>
      <c r="D2724" s="81"/>
      <c r="E2724" s="81"/>
      <c r="F2724" s="81"/>
      <c r="G2724" s="81"/>
      <c r="H2724" s="82"/>
    </row>
    <row r="2725" spans="1:8" ht="14.25" customHeight="1">
      <c r="A2725" s="1"/>
      <c r="B2725" s="1" t="s">
        <v>3</v>
      </c>
      <c r="C2725" s="1" t="s">
        <v>4</v>
      </c>
      <c r="D2725" s="1" t="s">
        <v>5</v>
      </c>
      <c r="E2725" s="1" t="s">
        <v>6</v>
      </c>
      <c r="F2725" s="2" t="s">
        <v>7</v>
      </c>
      <c r="G2725" s="1" t="s">
        <v>8</v>
      </c>
      <c r="H2725" s="1"/>
    </row>
    <row r="2726" spans="1:8" ht="14.25" customHeight="1">
      <c r="A2726" s="3">
        <v>1</v>
      </c>
      <c r="B2726" s="55" t="s">
        <v>571</v>
      </c>
      <c r="C2726" s="56" t="s">
        <v>752</v>
      </c>
      <c r="D2726" s="57" t="s">
        <v>413</v>
      </c>
      <c r="E2726" s="57">
        <v>2</v>
      </c>
      <c r="F2726" s="6">
        <v>293000</v>
      </c>
      <c r="G2726" s="7">
        <f t="shared" ref="G2726:G2727" si="177">IFERROR(E2726*F2726,0)</f>
        <v>586000</v>
      </c>
      <c r="H2726" s="8"/>
    </row>
    <row r="2727" spans="1:8" ht="14.25" customHeight="1">
      <c r="A2727" s="3">
        <v>2</v>
      </c>
      <c r="B2727" s="55" t="s">
        <v>753</v>
      </c>
      <c r="C2727" s="56" t="s">
        <v>255</v>
      </c>
      <c r="D2727" s="57" t="s">
        <v>14</v>
      </c>
      <c r="E2727" s="57">
        <v>0.67</v>
      </c>
      <c r="F2727" s="11">
        <v>435000</v>
      </c>
      <c r="G2727" s="7">
        <f t="shared" si="177"/>
        <v>291450</v>
      </c>
      <c r="H2727" s="8"/>
    </row>
    <row r="2728" spans="1:8" ht="14.25" customHeight="1">
      <c r="A2728" s="3">
        <v>3</v>
      </c>
      <c r="B2728" s="63" t="s">
        <v>73</v>
      </c>
      <c r="C2728" s="62" t="s">
        <v>754</v>
      </c>
      <c r="D2728" s="57" t="s">
        <v>14</v>
      </c>
      <c r="E2728" s="57">
        <v>0.8</v>
      </c>
      <c r="F2728" s="11">
        <v>435000</v>
      </c>
      <c r="G2728" s="7">
        <f>IFERROR(E2728*F2728,0)</f>
        <v>348000</v>
      </c>
      <c r="H2728" s="8"/>
    </row>
    <row r="2729" spans="1:8" ht="14.25" customHeight="1">
      <c r="A2729" s="3">
        <v>4</v>
      </c>
      <c r="B2729" s="8" t="s">
        <v>17</v>
      </c>
      <c r="C2729" s="8"/>
      <c r="D2729" s="8"/>
      <c r="E2729" s="8"/>
      <c r="F2729" s="8"/>
      <c r="G2729" s="13">
        <f>IFERROR(E2729*F2729,0)</f>
        <v>0</v>
      </c>
      <c r="H2729" s="8"/>
    </row>
    <row r="2730" spans="1:8" ht="14.25" customHeight="1">
      <c r="A2730" s="86" t="s">
        <v>18</v>
      </c>
      <c r="B2730" s="81"/>
      <c r="C2730" s="81"/>
      <c r="D2730" s="81"/>
      <c r="E2730" s="81"/>
      <c r="F2730" s="81"/>
      <c r="G2730" s="82"/>
      <c r="H2730" s="14">
        <f>SUM(G2726:G2729)</f>
        <v>1225450</v>
      </c>
    </row>
    <row r="2731" spans="1:8" ht="14.25" customHeight="1">
      <c r="A2731" s="86" t="s">
        <v>19</v>
      </c>
      <c r="B2731" s="81"/>
      <c r="C2731" s="81"/>
      <c r="D2731" s="81"/>
      <c r="E2731" s="81"/>
      <c r="F2731" s="81"/>
      <c r="G2731" s="82"/>
      <c r="H2731" s="14">
        <f>MAX(0,H2730-648000)</f>
        <v>577450</v>
      </c>
    </row>
    <row r="2732" spans="1:8" ht="14.25" customHeight="1">
      <c r="A2732" s="87" t="s">
        <v>20</v>
      </c>
      <c r="B2732" s="81"/>
      <c r="C2732" s="81"/>
      <c r="D2732" s="81"/>
      <c r="E2732" s="81"/>
      <c r="F2732" s="81"/>
      <c r="G2732" s="82"/>
      <c r="H2732" s="15">
        <v>649000</v>
      </c>
    </row>
    <row r="2733" spans="1:8" ht="14.25" customHeight="1"/>
    <row r="2734" spans="1:8" ht="14.25" customHeight="1"/>
    <row r="2735" spans="1:8" ht="14.25" customHeight="1"/>
    <row r="2736" spans="1:8" ht="14.25" customHeight="1"/>
    <row r="2737" spans="1:8" ht="14.25" customHeight="1"/>
    <row r="2738" spans="1:8" ht="14.25" customHeight="1">
      <c r="A2738" s="85" t="s">
        <v>0</v>
      </c>
      <c r="B2738" s="81"/>
      <c r="C2738" s="81"/>
      <c r="D2738" s="81"/>
      <c r="E2738" s="81"/>
      <c r="F2738" s="81"/>
      <c r="G2738" s="81"/>
      <c r="H2738" s="82"/>
    </row>
    <row r="2739" spans="1:8" ht="14.25" customHeight="1">
      <c r="A2739" s="85" t="s">
        <v>755</v>
      </c>
      <c r="B2739" s="81"/>
      <c r="C2739" s="81"/>
      <c r="D2739" s="81"/>
      <c r="E2739" s="81"/>
      <c r="F2739" s="81"/>
      <c r="G2739" s="81"/>
      <c r="H2739" s="82"/>
    </row>
    <row r="2740" spans="1:8" ht="14.25" customHeight="1">
      <c r="A2740" s="1" t="s">
        <v>2</v>
      </c>
      <c r="B2740" s="1" t="s">
        <v>3</v>
      </c>
      <c r="C2740" s="1" t="s">
        <v>4</v>
      </c>
      <c r="D2740" s="1" t="s">
        <v>5</v>
      </c>
      <c r="E2740" s="1" t="s">
        <v>6</v>
      </c>
      <c r="F2740" s="2" t="s">
        <v>7</v>
      </c>
      <c r="G2740" s="1" t="s">
        <v>8</v>
      </c>
      <c r="H2740" s="1"/>
    </row>
    <row r="2741" spans="1:8" ht="14.25" customHeight="1">
      <c r="A2741" s="3">
        <v>1</v>
      </c>
      <c r="B2741" s="55" t="s">
        <v>648</v>
      </c>
      <c r="C2741" s="56" t="s">
        <v>756</v>
      </c>
      <c r="D2741" s="57" t="s">
        <v>413</v>
      </c>
      <c r="E2741" s="57">
        <v>1.48</v>
      </c>
      <c r="F2741" s="6">
        <v>293000</v>
      </c>
      <c r="G2741" s="7">
        <f t="shared" ref="G2741:G2742" si="178">IFERROR(E2741*F2741,0)</f>
        <v>433640</v>
      </c>
      <c r="H2741" s="8"/>
    </row>
    <row r="2742" spans="1:8" ht="14.25" customHeight="1">
      <c r="A2742" s="3">
        <v>2</v>
      </c>
      <c r="B2742" s="55" t="s">
        <v>668</v>
      </c>
      <c r="C2742" s="56" t="s">
        <v>757</v>
      </c>
      <c r="D2742" s="57" t="s">
        <v>14</v>
      </c>
      <c r="E2742" s="57">
        <v>1</v>
      </c>
      <c r="F2742" s="11">
        <v>435000</v>
      </c>
      <c r="G2742" s="7">
        <f t="shared" si="178"/>
        <v>435000</v>
      </c>
      <c r="H2742" s="8"/>
    </row>
    <row r="2743" spans="1:8" ht="14.25" customHeight="1">
      <c r="A2743" s="3">
        <v>3</v>
      </c>
      <c r="B2743" s="64" t="s">
        <v>179</v>
      </c>
      <c r="C2743" s="8" t="s">
        <v>758</v>
      </c>
      <c r="D2743" s="57" t="s">
        <v>14</v>
      </c>
      <c r="E2743" s="57">
        <v>1</v>
      </c>
      <c r="F2743" s="11">
        <v>435000</v>
      </c>
      <c r="G2743" s="7">
        <f>IFERROR(E2743*F2743,0)</f>
        <v>435000</v>
      </c>
      <c r="H2743" s="8"/>
    </row>
    <row r="2744" spans="1:8" ht="14.25" customHeight="1">
      <c r="A2744" s="3">
        <v>4</v>
      </c>
      <c r="B2744" s="8" t="s">
        <v>17</v>
      </c>
      <c r="C2744" s="8"/>
      <c r="D2744" s="8"/>
      <c r="E2744" s="8"/>
      <c r="F2744" s="8"/>
      <c r="G2744" s="13">
        <f>IFERROR(E2744*F2744,0)</f>
        <v>0</v>
      </c>
      <c r="H2744" s="8"/>
    </row>
    <row r="2745" spans="1:8" ht="14.25" customHeight="1">
      <c r="A2745" s="86" t="s">
        <v>18</v>
      </c>
      <c r="B2745" s="81"/>
      <c r="C2745" s="81"/>
      <c r="D2745" s="81"/>
      <c r="E2745" s="81"/>
      <c r="F2745" s="81"/>
      <c r="G2745" s="82"/>
      <c r="H2745" s="14">
        <f>SUM(G2741:G2744)</f>
        <v>1303640</v>
      </c>
    </row>
    <row r="2746" spans="1:8" ht="14.25" customHeight="1">
      <c r="A2746" s="86" t="s">
        <v>19</v>
      </c>
      <c r="B2746" s="81"/>
      <c r="C2746" s="81"/>
      <c r="D2746" s="81"/>
      <c r="E2746" s="81"/>
      <c r="F2746" s="81"/>
      <c r="G2746" s="82"/>
      <c r="H2746" s="14">
        <f>MAX(0,H2745-648000)</f>
        <v>655640</v>
      </c>
    </row>
    <row r="2747" spans="1:8" ht="14.25" customHeight="1">
      <c r="A2747" s="87" t="s">
        <v>20</v>
      </c>
      <c r="B2747" s="81"/>
      <c r="C2747" s="81"/>
      <c r="D2747" s="81"/>
      <c r="E2747" s="81"/>
      <c r="F2747" s="81"/>
      <c r="G2747" s="82"/>
      <c r="H2747" s="15">
        <v>649000</v>
      </c>
    </row>
    <row r="2748" spans="1:8" ht="14.25" customHeight="1"/>
    <row r="2749" spans="1:8" ht="14.25" customHeight="1"/>
    <row r="2750" spans="1:8" ht="14.25" customHeight="1"/>
    <row r="2751" spans="1:8" ht="14.25" customHeight="1"/>
    <row r="2752" spans="1:8" ht="14.25" customHeight="1"/>
    <row r="2753" spans="1:8" ht="14.25" customHeight="1"/>
    <row r="2754" spans="1:8" ht="14.25" customHeight="1"/>
    <row r="2755" spans="1:8" ht="14.25" customHeight="1"/>
    <row r="2756" spans="1:8" ht="14.25" customHeight="1">
      <c r="A2756" s="85" t="s">
        <v>0</v>
      </c>
      <c r="B2756" s="81"/>
      <c r="C2756" s="81"/>
      <c r="D2756" s="81"/>
      <c r="E2756" s="81"/>
      <c r="F2756" s="81"/>
      <c r="G2756" s="81"/>
      <c r="H2756" s="82"/>
    </row>
    <row r="2757" spans="1:8" ht="14.25" customHeight="1">
      <c r="A2757" s="85" t="s">
        <v>759</v>
      </c>
      <c r="B2757" s="81"/>
      <c r="C2757" s="81"/>
      <c r="D2757" s="81"/>
      <c r="E2757" s="81"/>
      <c r="F2757" s="81"/>
      <c r="G2757" s="81"/>
      <c r="H2757" s="82"/>
    </row>
    <row r="2758" spans="1:8" ht="14.25" customHeight="1">
      <c r="A2758" s="1" t="s">
        <v>2</v>
      </c>
      <c r="B2758" s="1" t="s">
        <v>3</v>
      </c>
      <c r="C2758" s="1" t="s">
        <v>4</v>
      </c>
      <c r="D2758" s="1" t="s">
        <v>5</v>
      </c>
      <c r="E2758" s="1" t="s">
        <v>6</v>
      </c>
      <c r="F2758" s="2" t="s">
        <v>7</v>
      </c>
      <c r="G2758" s="1" t="s">
        <v>8</v>
      </c>
      <c r="H2758" s="1"/>
    </row>
    <row r="2759" spans="1:8" ht="14.25" customHeight="1">
      <c r="A2759" s="3">
        <v>1</v>
      </c>
      <c r="B2759" s="55" t="s">
        <v>203</v>
      </c>
      <c r="C2759" s="56" t="s">
        <v>760</v>
      </c>
      <c r="D2759" s="57" t="s">
        <v>11</v>
      </c>
      <c r="E2759" s="57">
        <v>1.5</v>
      </c>
      <c r="F2759" s="6">
        <v>293000</v>
      </c>
      <c r="G2759" s="7">
        <f t="shared" ref="G2759:G2760" si="179">IFERROR(E2759*F2759,0)</f>
        <v>439500</v>
      </c>
      <c r="H2759" s="8"/>
    </row>
    <row r="2760" spans="1:8" ht="14.25" customHeight="1">
      <c r="A2760" s="3">
        <v>2</v>
      </c>
      <c r="B2760" s="55" t="s">
        <v>228</v>
      </c>
      <c r="C2760" s="56" t="s">
        <v>761</v>
      </c>
      <c r="D2760" s="57" t="s">
        <v>233</v>
      </c>
      <c r="E2760" s="57">
        <v>1</v>
      </c>
      <c r="F2760" s="11">
        <v>435000</v>
      </c>
      <c r="G2760" s="7">
        <f t="shared" si="179"/>
        <v>435000</v>
      </c>
      <c r="H2760" s="8"/>
    </row>
    <row r="2761" spans="1:8" ht="14.25" customHeight="1">
      <c r="A2761" s="3">
        <v>3</v>
      </c>
      <c r="B2761" s="63" t="s">
        <v>38</v>
      </c>
      <c r="C2761" s="65" t="s">
        <v>762</v>
      </c>
      <c r="D2761" s="57" t="s">
        <v>233</v>
      </c>
      <c r="E2761" s="57">
        <v>0.97</v>
      </c>
      <c r="F2761" s="11">
        <v>435000</v>
      </c>
      <c r="G2761" s="7">
        <f>IFERROR(E2761*F2761,0)</f>
        <v>421950</v>
      </c>
      <c r="H2761" s="8"/>
    </row>
    <row r="2762" spans="1:8" ht="14.25" customHeight="1">
      <c r="A2762" s="3">
        <v>4</v>
      </c>
      <c r="B2762" s="8" t="s">
        <v>17</v>
      </c>
      <c r="C2762" s="8"/>
      <c r="D2762" s="8"/>
      <c r="E2762" s="8"/>
      <c r="F2762" s="8"/>
      <c r="G2762" s="13">
        <f>IFERROR(E2762*F2762,0)</f>
        <v>0</v>
      </c>
      <c r="H2762" s="8"/>
    </row>
    <row r="2763" spans="1:8" ht="14.25" customHeight="1">
      <c r="A2763" s="86" t="s">
        <v>18</v>
      </c>
      <c r="B2763" s="81"/>
      <c r="C2763" s="81"/>
      <c r="D2763" s="81"/>
      <c r="E2763" s="81"/>
      <c r="F2763" s="81"/>
      <c r="G2763" s="82"/>
      <c r="H2763" s="14">
        <f>SUM(G2759:G2762)</f>
        <v>1296450</v>
      </c>
    </row>
    <row r="2764" spans="1:8" ht="14.25" customHeight="1">
      <c r="A2764" s="86" t="s">
        <v>19</v>
      </c>
      <c r="B2764" s="81"/>
      <c r="C2764" s="81"/>
      <c r="D2764" s="81"/>
      <c r="E2764" s="81"/>
      <c r="F2764" s="81"/>
      <c r="G2764" s="82"/>
      <c r="H2764" s="14">
        <f>MAX(0,H2763-648000)</f>
        <v>648450</v>
      </c>
    </row>
    <row r="2765" spans="1:8" ht="14.25" customHeight="1">
      <c r="A2765" s="87" t="s">
        <v>20</v>
      </c>
      <c r="B2765" s="81"/>
      <c r="C2765" s="81"/>
      <c r="D2765" s="81"/>
      <c r="E2765" s="81"/>
      <c r="F2765" s="81"/>
      <c r="G2765" s="82"/>
      <c r="H2765" s="15">
        <v>649000</v>
      </c>
    </row>
    <row r="2766" spans="1:8" ht="14.25" customHeight="1"/>
    <row r="2767" spans="1:8" ht="14.25" customHeight="1"/>
    <row r="2768" spans="1:8" ht="14.25" customHeight="1"/>
    <row r="2769" spans="1:8" ht="14.25" customHeight="1"/>
    <row r="2770" spans="1:8" ht="14.25" customHeight="1">
      <c r="A2770" s="85" t="s">
        <v>0</v>
      </c>
      <c r="B2770" s="81"/>
      <c r="C2770" s="81"/>
      <c r="D2770" s="81"/>
      <c r="E2770" s="81"/>
      <c r="F2770" s="81"/>
      <c r="G2770" s="81"/>
      <c r="H2770" s="82"/>
    </row>
    <row r="2771" spans="1:8" ht="14.25" customHeight="1">
      <c r="A2771" s="85" t="s">
        <v>763</v>
      </c>
      <c r="B2771" s="81"/>
      <c r="C2771" s="81"/>
      <c r="D2771" s="81"/>
      <c r="E2771" s="81"/>
      <c r="F2771" s="81"/>
      <c r="G2771" s="81"/>
      <c r="H2771" s="82"/>
    </row>
    <row r="2772" spans="1:8" ht="14.25" customHeight="1">
      <c r="A2772" s="1" t="s">
        <v>2</v>
      </c>
      <c r="B2772" s="1" t="s">
        <v>3</v>
      </c>
      <c r="C2772" s="1" t="s">
        <v>4</v>
      </c>
      <c r="D2772" s="1" t="s">
        <v>5</v>
      </c>
      <c r="E2772" s="1" t="s">
        <v>6</v>
      </c>
      <c r="F2772" s="2" t="s">
        <v>7</v>
      </c>
      <c r="G2772" s="1" t="s">
        <v>8</v>
      </c>
      <c r="H2772" s="1"/>
    </row>
    <row r="2773" spans="1:8" ht="14.25" customHeight="1">
      <c r="A2773" s="3">
        <v>1</v>
      </c>
      <c r="B2773" s="55" t="s">
        <v>764</v>
      </c>
      <c r="C2773" s="56" t="s">
        <v>765</v>
      </c>
      <c r="D2773" s="57" t="s">
        <v>413</v>
      </c>
      <c r="E2773" s="57">
        <v>1.6</v>
      </c>
      <c r="F2773" s="6">
        <v>293000</v>
      </c>
      <c r="G2773" s="7">
        <f t="shared" ref="G2773:G2774" si="180">IFERROR(E2773*F2773,0)</f>
        <v>468800</v>
      </c>
      <c r="H2773" s="8"/>
    </row>
    <row r="2774" spans="1:8" ht="14.25" customHeight="1">
      <c r="A2774" s="3">
        <v>2</v>
      </c>
      <c r="B2774" s="55" t="s">
        <v>65</v>
      </c>
      <c r="C2774" s="56" t="s">
        <v>766</v>
      </c>
      <c r="D2774" s="57" t="s">
        <v>14</v>
      </c>
      <c r="E2774" s="57">
        <v>1</v>
      </c>
      <c r="F2774" s="11">
        <v>435000</v>
      </c>
      <c r="G2774" s="7">
        <f t="shared" si="180"/>
        <v>435000</v>
      </c>
      <c r="H2774" s="8"/>
    </row>
    <row r="2775" spans="1:8" ht="14.25" customHeight="1">
      <c r="A2775" s="3">
        <v>3</v>
      </c>
      <c r="B2775" s="58" t="s">
        <v>279</v>
      </c>
      <c r="C2775" s="59" t="s">
        <v>767</v>
      </c>
      <c r="D2775" s="57" t="s">
        <v>14</v>
      </c>
      <c r="E2775" s="57">
        <v>1.05</v>
      </c>
      <c r="F2775" s="11">
        <v>435000</v>
      </c>
      <c r="G2775" s="7">
        <f>IFERROR(E2775*F2775,0)</f>
        <v>456750</v>
      </c>
      <c r="H2775" s="8"/>
    </row>
    <row r="2776" spans="1:8" ht="14.25" customHeight="1">
      <c r="A2776" s="3">
        <v>4</v>
      </c>
      <c r="B2776" s="8" t="s">
        <v>17</v>
      </c>
      <c r="C2776" s="8"/>
      <c r="D2776" s="8"/>
      <c r="E2776" s="8"/>
      <c r="F2776" s="8"/>
      <c r="G2776" s="13">
        <f>IFERROR(E2776*F2776,0)</f>
        <v>0</v>
      </c>
      <c r="H2776" s="8"/>
    </row>
    <row r="2777" spans="1:8" ht="14.25" customHeight="1">
      <c r="A2777" s="86" t="s">
        <v>18</v>
      </c>
      <c r="B2777" s="81"/>
      <c r="C2777" s="81"/>
      <c r="D2777" s="81"/>
      <c r="E2777" s="81"/>
      <c r="F2777" s="81"/>
      <c r="G2777" s="82"/>
      <c r="H2777" s="14">
        <f>SUM(G2773:G2776)</f>
        <v>1360550</v>
      </c>
    </row>
    <row r="2778" spans="1:8" ht="14.25" customHeight="1">
      <c r="A2778" s="86" t="s">
        <v>19</v>
      </c>
      <c r="B2778" s="81"/>
      <c r="C2778" s="81"/>
      <c r="D2778" s="81"/>
      <c r="E2778" s="81"/>
      <c r="F2778" s="81"/>
      <c r="G2778" s="82"/>
      <c r="H2778" s="14">
        <f>MAX(0,H2777-648000)</f>
        <v>712550</v>
      </c>
    </row>
    <row r="2779" spans="1:8" ht="14.25" customHeight="1">
      <c r="A2779" s="87" t="s">
        <v>20</v>
      </c>
      <c r="B2779" s="81"/>
      <c r="C2779" s="81"/>
      <c r="D2779" s="81"/>
      <c r="E2779" s="81"/>
      <c r="F2779" s="81"/>
      <c r="G2779" s="82"/>
      <c r="H2779" s="15">
        <v>649000</v>
      </c>
    </row>
    <row r="2780" spans="1:8" ht="14.25" customHeight="1"/>
    <row r="2781" spans="1:8" ht="14.25" customHeight="1"/>
    <row r="2782" spans="1:8" ht="14.25" customHeight="1"/>
    <row r="2783" spans="1:8" ht="14.25" customHeight="1"/>
    <row r="2784" spans="1:8" ht="14.25" customHeight="1">
      <c r="A2784" s="85" t="s">
        <v>0</v>
      </c>
      <c r="B2784" s="81"/>
      <c r="C2784" s="81"/>
      <c r="D2784" s="81"/>
      <c r="E2784" s="81"/>
      <c r="F2784" s="81"/>
      <c r="G2784" s="81"/>
      <c r="H2784" s="82"/>
    </row>
    <row r="2785" spans="1:8" ht="14.25" customHeight="1">
      <c r="A2785" s="85" t="s">
        <v>768</v>
      </c>
      <c r="B2785" s="81"/>
      <c r="C2785" s="81"/>
      <c r="D2785" s="81"/>
      <c r="E2785" s="81"/>
      <c r="F2785" s="81"/>
      <c r="G2785" s="81"/>
      <c r="H2785" s="82"/>
    </row>
    <row r="2786" spans="1:8" ht="14.25" customHeight="1">
      <c r="A2786" s="1" t="s">
        <v>2</v>
      </c>
      <c r="B2786" s="1" t="s">
        <v>3</v>
      </c>
      <c r="C2786" s="1" t="s">
        <v>4</v>
      </c>
      <c r="D2786" s="1" t="s">
        <v>5</v>
      </c>
      <c r="E2786" s="1" t="s">
        <v>6</v>
      </c>
      <c r="F2786" s="2" t="s">
        <v>7</v>
      </c>
      <c r="G2786" s="1" t="s">
        <v>8</v>
      </c>
      <c r="H2786" s="1"/>
    </row>
    <row r="2787" spans="1:8" ht="14.25" customHeight="1">
      <c r="A2787" s="3">
        <v>1</v>
      </c>
      <c r="B2787" s="55" t="s">
        <v>769</v>
      </c>
      <c r="C2787" s="56" t="s">
        <v>770</v>
      </c>
      <c r="D2787" s="57" t="s">
        <v>413</v>
      </c>
      <c r="E2787" s="57">
        <v>1.5</v>
      </c>
      <c r="F2787" s="6">
        <v>293000</v>
      </c>
      <c r="G2787" s="7">
        <f t="shared" ref="G2787:G2788" si="181">IFERROR(E2787*F2787,0)</f>
        <v>439500</v>
      </c>
      <c r="H2787" s="8"/>
    </row>
    <row r="2788" spans="1:8" ht="14.25" customHeight="1">
      <c r="A2788" s="3">
        <v>2</v>
      </c>
      <c r="B2788" s="55" t="s">
        <v>12</v>
      </c>
      <c r="C2788" s="56" t="s">
        <v>771</v>
      </c>
      <c r="D2788" s="57" t="s">
        <v>14</v>
      </c>
      <c r="E2788" s="57">
        <v>0.93</v>
      </c>
      <c r="F2788" s="11">
        <v>435000</v>
      </c>
      <c r="G2788" s="7">
        <f t="shared" si="181"/>
        <v>404550</v>
      </c>
      <c r="H2788" s="8"/>
    </row>
    <row r="2789" spans="1:8" ht="14.25" customHeight="1">
      <c r="A2789" s="3">
        <v>3</v>
      </c>
      <c r="B2789" s="58" t="s">
        <v>65</v>
      </c>
      <c r="C2789" s="59" t="s">
        <v>772</v>
      </c>
      <c r="D2789" s="57" t="s">
        <v>14</v>
      </c>
      <c r="E2789" s="57">
        <v>0.94</v>
      </c>
      <c r="F2789" s="11">
        <v>435000</v>
      </c>
      <c r="G2789" s="7">
        <f>IFERROR(E2789*F2789,0)</f>
        <v>408900</v>
      </c>
      <c r="H2789" s="8"/>
    </row>
    <row r="2790" spans="1:8" ht="14.25" customHeight="1">
      <c r="A2790" s="3">
        <v>4</v>
      </c>
      <c r="B2790" s="8" t="s">
        <v>17</v>
      </c>
      <c r="C2790" s="8"/>
      <c r="D2790" s="8"/>
      <c r="E2790" s="8"/>
      <c r="F2790" s="8"/>
      <c r="G2790" s="13">
        <f>IFERROR(E2790*F2790,0)</f>
        <v>0</v>
      </c>
      <c r="H2790" s="8"/>
    </row>
    <row r="2791" spans="1:8" ht="14.25" customHeight="1">
      <c r="A2791" s="86" t="s">
        <v>18</v>
      </c>
      <c r="B2791" s="81"/>
      <c r="C2791" s="81"/>
      <c r="D2791" s="81"/>
      <c r="E2791" s="81"/>
      <c r="F2791" s="81"/>
      <c r="G2791" s="82"/>
      <c r="H2791" s="14">
        <f>SUM(G2787:G2790)</f>
        <v>1252950</v>
      </c>
    </row>
    <row r="2792" spans="1:8" ht="14.25" customHeight="1">
      <c r="A2792" s="86" t="s">
        <v>19</v>
      </c>
      <c r="B2792" s="81"/>
      <c r="C2792" s="81"/>
      <c r="D2792" s="81"/>
      <c r="E2792" s="81"/>
      <c r="F2792" s="81"/>
      <c r="G2792" s="82"/>
      <c r="H2792" s="14">
        <f>MAX(0,H2791-648000)</f>
        <v>604950</v>
      </c>
    </row>
    <row r="2793" spans="1:8" ht="14.25" customHeight="1">
      <c r="A2793" s="87" t="s">
        <v>20</v>
      </c>
      <c r="B2793" s="81"/>
      <c r="C2793" s="81"/>
      <c r="D2793" s="81"/>
      <c r="E2793" s="81"/>
      <c r="F2793" s="81"/>
      <c r="G2793" s="82"/>
      <c r="H2793" s="15">
        <v>649000</v>
      </c>
    </row>
    <row r="2794" spans="1:8" ht="14.25" customHeight="1"/>
    <row r="2795" spans="1:8" ht="14.25" customHeight="1"/>
    <row r="2796" spans="1:8" ht="14.25" customHeight="1"/>
    <row r="2797" spans="1:8" ht="14.25" customHeight="1"/>
    <row r="2798" spans="1:8" ht="14.25" customHeight="1">
      <c r="A2798" s="85" t="s">
        <v>0</v>
      </c>
      <c r="B2798" s="81"/>
      <c r="C2798" s="81"/>
      <c r="D2798" s="81"/>
      <c r="E2798" s="81"/>
      <c r="F2798" s="81"/>
      <c r="G2798" s="81"/>
      <c r="H2798" s="82"/>
    </row>
    <row r="2799" spans="1:8" ht="14.25" customHeight="1">
      <c r="A2799" s="85" t="s">
        <v>773</v>
      </c>
      <c r="B2799" s="81"/>
      <c r="C2799" s="81"/>
      <c r="D2799" s="81"/>
      <c r="E2799" s="81"/>
      <c r="F2799" s="81"/>
      <c r="G2799" s="81"/>
      <c r="H2799" s="82"/>
    </row>
    <row r="2800" spans="1:8" ht="14.25" customHeight="1">
      <c r="A2800" s="1" t="s">
        <v>2</v>
      </c>
      <c r="B2800" s="1" t="s">
        <v>3</v>
      </c>
      <c r="C2800" s="1" t="s">
        <v>4</v>
      </c>
      <c r="D2800" s="1" t="s">
        <v>5</v>
      </c>
      <c r="E2800" s="1" t="s">
        <v>6</v>
      </c>
      <c r="F2800" s="2" t="s">
        <v>7</v>
      </c>
      <c r="G2800" s="1" t="s">
        <v>8</v>
      </c>
      <c r="H2800" s="1"/>
    </row>
    <row r="2801" spans="1:8" ht="14.25" customHeight="1">
      <c r="A2801" s="3">
        <v>1</v>
      </c>
      <c r="B2801" s="55" t="s">
        <v>774</v>
      </c>
      <c r="C2801" s="56" t="s">
        <v>775</v>
      </c>
      <c r="D2801" s="57" t="s">
        <v>11</v>
      </c>
      <c r="E2801" s="57">
        <v>1.52</v>
      </c>
      <c r="F2801" s="6">
        <v>293000</v>
      </c>
      <c r="G2801" s="7">
        <f t="shared" ref="G2801:G2802" si="182">IFERROR(E2801*F2801,0)</f>
        <v>445360</v>
      </c>
      <c r="H2801" s="8"/>
    </row>
    <row r="2802" spans="1:8" ht="14.25" customHeight="1">
      <c r="A2802" s="3">
        <v>2</v>
      </c>
      <c r="B2802" s="55" t="s">
        <v>65</v>
      </c>
      <c r="C2802" s="56" t="s">
        <v>776</v>
      </c>
      <c r="D2802" s="57" t="s">
        <v>233</v>
      </c>
      <c r="E2802" s="57">
        <v>0.9</v>
      </c>
      <c r="F2802" s="11">
        <v>435000</v>
      </c>
      <c r="G2802" s="7">
        <f t="shared" si="182"/>
        <v>391500</v>
      </c>
      <c r="H2802" s="8"/>
    </row>
    <row r="2803" spans="1:8" ht="14.25" customHeight="1">
      <c r="A2803" s="3">
        <v>3</v>
      </c>
      <c r="B2803" s="64" t="s">
        <v>177</v>
      </c>
      <c r="C2803" s="8" t="s">
        <v>777</v>
      </c>
      <c r="D2803" s="8" t="s">
        <v>233</v>
      </c>
      <c r="E2803" s="57">
        <v>0.97</v>
      </c>
      <c r="F2803" s="11">
        <v>435000</v>
      </c>
      <c r="G2803" s="7">
        <f>IFERROR(E2803*F2803,0)</f>
        <v>421950</v>
      </c>
      <c r="H2803" s="8"/>
    </row>
    <row r="2804" spans="1:8" ht="14.25" customHeight="1">
      <c r="A2804" s="3">
        <v>4</v>
      </c>
      <c r="B2804" s="8" t="s">
        <v>17</v>
      </c>
      <c r="C2804" s="8"/>
      <c r="D2804" s="8"/>
      <c r="E2804" s="8"/>
      <c r="F2804" s="8"/>
      <c r="G2804" s="13">
        <f>IFERROR(E2804*F2804,0)</f>
        <v>0</v>
      </c>
      <c r="H2804" s="8"/>
    </row>
    <row r="2805" spans="1:8" ht="14.25" customHeight="1">
      <c r="A2805" s="86" t="s">
        <v>18</v>
      </c>
      <c r="B2805" s="81"/>
      <c r="C2805" s="81"/>
      <c r="D2805" s="81"/>
      <c r="E2805" s="81"/>
      <c r="F2805" s="81"/>
      <c r="G2805" s="82"/>
      <c r="H2805" s="14">
        <f>SUM(G2801:G2804)</f>
        <v>1258810</v>
      </c>
    </row>
    <row r="2806" spans="1:8" ht="14.25" customHeight="1">
      <c r="A2806" s="86" t="s">
        <v>19</v>
      </c>
      <c r="B2806" s="81"/>
      <c r="C2806" s="81"/>
      <c r="D2806" s="81"/>
      <c r="E2806" s="81"/>
      <c r="F2806" s="81"/>
      <c r="G2806" s="82"/>
      <c r="H2806" s="14">
        <f>MAX(0,H2805-648000)</f>
        <v>610810</v>
      </c>
    </row>
    <row r="2807" spans="1:8" ht="14.25" customHeight="1">
      <c r="A2807" s="87" t="s">
        <v>20</v>
      </c>
      <c r="B2807" s="81"/>
      <c r="C2807" s="81"/>
      <c r="D2807" s="81"/>
      <c r="E2807" s="81"/>
      <c r="F2807" s="81"/>
      <c r="G2807" s="82"/>
      <c r="H2807" s="15">
        <v>649000</v>
      </c>
    </row>
    <row r="2808" spans="1:8" ht="14.25" customHeight="1"/>
    <row r="2809" spans="1:8" ht="14.25" customHeight="1"/>
    <row r="2810" spans="1:8" ht="14.25" customHeight="1"/>
    <row r="2811" spans="1:8" ht="14.25" customHeight="1"/>
    <row r="2812" spans="1:8" ht="14.25" customHeight="1">
      <c r="A2812" s="85" t="s">
        <v>0</v>
      </c>
      <c r="B2812" s="81"/>
      <c r="C2812" s="81"/>
      <c r="D2812" s="81"/>
      <c r="E2812" s="81"/>
      <c r="F2812" s="81"/>
      <c r="G2812" s="81"/>
      <c r="H2812" s="82"/>
    </row>
    <row r="2813" spans="1:8" ht="14.25" customHeight="1">
      <c r="A2813" s="85" t="s">
        <v>778</v>
      </c>
      <c r="B2813" s="81"/>
      <c r="C2813" s="81"/>
      <c r="D2813" s="81"/>
      <c r="E2813" s="81"/>
      <c r="F2813" s="81"/>
      <c r="G2813" s="81"/>
      <c r="H2813" s="82"/>
    </row>
    <row r="2814" spans="1:8" ht="14.25" customHeight="1">
      <c r="A2814" s="1"/>
      <c r="B2814" s="1" t="s">
        <v>3</v>
      </c>
      <c r="C2814" s="1" t="s">
        <v>4</v>
      </c>
      <c r="D2814" s="1" t="s">
        <v>5</v>
      </c>
      <c r="E2814" s="1" t="s">
        <v>6</v>
      </c>
      <c r="F2814" s="2" t="s">
        <v>7</v>
      </c>
      <c r="G2814" s="1" t="s">
        <v>8</v>
      </c>
      <c r="H2814" s="1"/>
    </row>
    <row r="2815" spans="1:8" ht="14.25" customHeight="1">
      <c r="A2815" s="3">
        <v>1</v>
      </c>
      <c r="B2815" s="55" t="s">
        <v>203</v>
      </c>
      <c r="C2815" s="56" t="s">
        <v>779</v>
      </c>
      <c r="D2815" s="57" t="s">
        <v>11</v>
      </c>
      <c r="E2815" s="57">
        <v>1.3</v>
      </c>
      <c r="F2815" s="6">
        <v>293000</v>
      </c>
      <c r="G2815" s="7">
        <f t="shared" ref="G2815:G2816" si="183">IFERROR(E2815*F2815,0)</f>
        <v>380900</v>
      </c>
      <c r="H2815" s="8"/>
    </row>
    <row r="2816" spans="1:8" ht="14.25" customHeight="1">
      <c r="A2816" s="3">
        <v>2</v>
      </c>
      <c r="B2816" s="55" t="s">
        <v>780</v>
      </c>
      <c r="C2816" s="56" t="s">
        <v>781</v>
      </c>
      <c r="D2816" s="57" t="s">
        <v>14</v>
      </c>
      <c r="E2816" s="57">
        <v>0.95</v>
      </c>
      <c r="F2816" s="11">
        <v>435000</v>
      </c>
      <c r="G2816" s="7">
        <f t="shared" si="183"/>
        <v>413250</v>
      </c>
      <c r="H2816" s="8"/>
    </row>
    <row r="2817" spans="1:8" ht="14.25" customHeight="1">
      <c r="A2817" s="3">
        <v>3</v>
      </c>
      <c r="B2817" s="64" t="s">
        <v>272</v>
      </c>
      <c r="C2817" s="8" t="s">
        <v>782</v>
      </c>
      <c r="D2817" s="8" t="s">
        <v>14</v>
      </c>
      <c r="E2817" s="57">
        <v>0.95</v>
      </c>
      <c r="F2817" s="11">
        <v>435000</v>
      </c>
      <c r="G2817" s="7">
        <f>IFERROR(E2817*F2817,0)</f>
        <v>413250</v>
      </c>
      <c r="H2817" s="8"/>
    </row>
    <row r="2818" spans="1:8" ht="14.25" customHeight="1">
      <c r="A2818" s="3">
        <v>4</v>
      </c>
      <c r="B2818" s="8" t="s">
        <v>17</v>
      </c>
      <c r="C2818" s="8"/>
      <c r="D2818" s="8"/>
      <c r="E2818" s="8"/>
      <c r="F2818" s="8"/>
      <c r="G2818" s="13">
        <f>IFERROR(E2818*F2818,0)</f>
        <v>0</v>
      </c>
      <c r="H2818" s="8"/>
    </row>
    <row r="2819" spans="1:8" ht="14.25" customHeight="1">
      <c r="A2819" s="86" t="s">
        <v>18</v>
      </c>
      <c r="B2819" s="81"/>
      <c r="C2819" s="81"/>
      <c r="D2819" s="81"/>
      <c r="E2819" s="81"/>
      <c r="F2819" s="81"/>
      <c r="G2819" s="82"/>
      <c r="H2819" s="14">
        <f>SUM(G2815:G2818)</f>
        <v>1207400</v>
      </c>
    </row>
    <row r="2820" spans="1:8" ht="14.25" customHeight="1">
      <c r="A2820" s="86" t="s">
        <v>19</v>
      </c>
      <c r="B2820" s="81"/>
      <c r="C2820" s="81"/>
      <c r="D2820" s="81"/>
      <c r="E2820" s="81"/>
      <c r="F2820" s="81"/>
      <c r="G2820" s="82"/>
      <c r="H2820" s="14">
        <f>MAX(0,H2819-648000)</f>
        <v>559400</v>
      </c>
    </row>
    <row r="2821" spans="1:8" ht="14.25" customHeight="1">
      <c r="A2821" s="87" t="s">
        <v>20</v>
      </c>
      <c r="B2821" s="81"/>
      <c r="C2821" s="81"/>
      <c r="D2821" s="81"/>
      <c r="E2821" s="81"/>
      <c r="F2821" s="81"/>
      <c r="G2821" s="82"/>
      <c r="H2821" s="15">
        <v>649000</v>
      </c>
    </row>
    <row r="2822" spans="1:8" ht="14.25" customHeight="1"/>
    <row r="2823" spans="1:8" ht="14.25" customHeight="1"/>
    <row r="2824" spans="1:8" ht="14.25" customHeight="1"/>
    <row r="2825" spans="1:8" ht="14.25" customHeight="1"/>
    <row r="2826" spans="1:8" ht="14.25" customHeight="1"/>
    <row r="2827" spans="1:8" ht="14.25" customHeight="1">
      <c r="A2827" s="85" t="s">
        <v>0</v>
      </c>
      <c r="B2827" s="81"/>
      <c r="C2827" s="81"/>
      <c r="D2827" s="81"/>
      <c r="E2827" s="81"/>
      <c r="F2827" s="81"/>
      <c r="G2827" s="81"/>
      <c r="H2827" s="82"/>
    </row>
    <row r="2828" spans="1:8" ht="14.25" customHeight="1">
      <c r="A2828" s="85" t="s">
        <v>783</v>
      </c>
      <c r="B2828" s="81"/>
      <c r="C2828" s="81"/>
      <c r="D2828" s="81"/>
      <c r="E2828" s="81"/>
      <c r="F2828" s="81"/>
      <c r="G2828" s="81"/>
      <c r="H2828" s="82"/>
    </row>
    <row r="2829" spans="1:8" ht="14.25" customHeight="1">
      <c r="A2829" s="1" t="s">
        <v>2</v>
      </c>
      <c r="B2829" s="1" t="s">
        <v>3</v>
      </c>
      <c r="C2829" s="1" t="s">
        <v>4</v>
      </c>
      <c r="D2829" s="1" t="s">
        <v>5</v>
      </c>
      <c r="E2829" s="1" t="s">
        <v>6</v>
      </c>
      <c r="F2829" s="2" t="s">
        <v>7</v>
      </c>
      <c r="G2829" s="1" t="s">
        <v>8</v>
      </c>
      <c r="H2829" s="1"/>
    </row>
    <row r="2830" spans="1:8" ht="14.25" customHeight="1">
      <c r="A2830" s="3">
        <v>1</v>
      </c>
      <c r="B2830" s="55" t="s">
        <v>784</v>
      </c>
      <c r="C2830" s="56" t="s">
        <v>785</v>
      </c>
      <c r="D2830" s="57" t="s">
        <v>413</v>
      </c>
      <c r="E2830" s="57">
        <v>1.7</v>
      </c>
      <c r="F2830" s="6">
        <v>293000</v>
      </c>
      <c r="G2830" s="7">
        <f t="shared" ref="G2830:G2831" si="184">IFERROR(E2830*F2830,0)</f>
        <v>498100</v>
      </c>
      <c r="H2830" s="8"/>
    </row>
    <row r="2831" spans="1:8" ht="14.25" customHeight="1">
      <c r="A2831" s="3">
        <v>2</v>
      </c>
      <c r="B2831" s="55" t="s">
        <v>786</v>
      </c>
      <c r="C2831" s="56" t="s">
        <v>787</v>
      </c>
      <c r="D2831" s="57" t="s">
        <v>233</v>
      </c>
      <c r="E2831" s="57">
        <v>1</v>
      </c>
      <c r="F2831" s="11">
        <v>435000</v>
      </c>
      <c r="G2831" s="7">
        <f t="shared" si="184"/>
        <v>435000</v>
      </c>
      <c r="H2831" s="8"/>
    </row>
    <row r="2832" spans="1:8" ht="14.25" customHeight="1">
      <c r="A2832" s="3">
        <v>3</v>
      </c>
      <c r="B2832" s="58" t="s">
        <v>33</v>
      </c>
      <c r="C2832" s="8" t="s">
        <v>788</v>
      </c>
      <c r="D2832" s="57" t="s">
        <v>233</v>
      </c>
      <c r="E2832" s="57">
        <v>0.85</v>
      </c>
      <c r="F2832" s="11">
        <v>435000</v>
      </c>
      <c r="G2832" s="7">
        <f>IFERROR(E2832*F2832,0)</f>
        <v>369750</v>
      </c>
      <c r="H2832" s="8"/>
    </row>
    <row r="2833" spans="1:8" ht="14.25" customHeight="1">
      <c r="A2833" s="3">
        <v>4</v>
      </c>
      <c r="B2833" s="8" t="s">
        <v>17</v>
      </c>
      <c r="C2833" s="8"/>
      <c r="D2833" s="8"/>
      <c r="E2833" s="8"/>
      <c r="F2833" s="8"/>
      <c r="G2833" s="13">
        <f>IFERROR(E2833*F2833,0)</f>
        <v>0</v>
      </c>
      <c r="H2833" s="8"/>
    </row>
    <row r="2834" spans="1:8" ht="14.25" customHeight="1">
      <c r="A2834" s="86" t="s">
        <v>18</v>
      </c>
      <c r="B2834" s="81"/>
      <c r="C2834" s="81"/>
      <c r="D2834" s="81"/>
      <c r="E2834" s="81"/>
      <c r="F2834" s="81"/>
      <c r="G2834" s="82"/>
      <c r="H2834" s="14">
        <f>SUM(G2830:G2833)</f>
        <v>1302850</v>
      </c>
    </row>
    <row r="2835" spans="1:8" ht="14.25" customHeight="1">
      <c r="A2835" s="86" t="s">
        <v>19</v>
      </c>
      <c r="B2835" s="81"/>
      <c r="C2835" s="81"/>
      <c r="D2835" s="81"/>
      <c r="E2835" s="81"/>
      <c r="F2835" s="81"/>
      <c r="G2835" s="82"/>
      <c r="H2835" s="14">
        <f>MAX(0,H2834-648000)</f>
        <v>654850</v>
      </c>
    </row>
    <row r="2836" spans="1:8" ht="14.25" customHeight="1">
      <c r="A2836" s="87" t="s">
        <v>20</v>
      </c>
      <c r="B2836" s="81"/>
      <c r="C2836" s="81"/>
      <c r="D2836" s="81"/>
      <c r="E2836" s="81"/>
      <c r="F2836" s="81"/>
      <c r="G2836" s="82"/>
      <c r="H2836" s="15">
        <v>649000</v>
      </c>
    </row>
    <row r="2837" spans="1:8" ht="14.25" customHeight="1"/>
    <row r="2838" spans="1:8" ht="14.25" customHeight="1"/>
    <row r="2839" spans="1:8" ht="14.25" customHeight="1"/>
    <row r="2840" spans="1:8" ht="14.25" customHeight="1">
      <c r="A2840" s="85" t="s">
        <v>0</v>
      </c>
      <c r="B2840" s="81"/>
      <c r="C2840" s="81"/>
      <c r="D2840" s="81"/>
      <c r="E2840" s="81"/>
      <c r="F2840" s="81"/>
      <c r="G2840" s="81"/>
      <c r="H2840" s="82"/>
    </row>
    <row r="2841" spans="1:8" ht="14.25" customHeight="1">
      <c r="A2841" s="85" t="s">
        <v>789</v>
      </c>
      <c r="B2841" s="81"/>
      <c r="C2841" s="81"/>
      <c r="D2841" s="81"/>
      <c r="E2841" s="81"/>
      <c r="F2841" s="81"/>
      <c r="G2841" s="81"/>
      <c r="H2841" s="82"/>
    </row>
    <row r="2842" spans="1:8" ht="14.25" customHeight="1">
      <c r="A2842" s="1" t="s">
        <v>2</v>
      </c>
      <c r="B2842" s="1" t="s">
        <v>3</v>
      </c>
      <c r="C2842" s="1" t="s">
        <v>4</v>
      </c>
      <c r="D2842" s="1" t="s">
        <v>5</v>
      </c>
      <c r="E2842" s="1" t="s">
        <v>6</v>
      </c>
      <c r="F2842" s="2" t="s">
        <v>7</v>
      </c>
      <c r="G2842" s="1" t="s">
        <v>8</v>
      </c>
      <c r="H2842" s="1"/>
    </row>
    <row r="2843" spans="1:8" ht="14.25" customHeight="1">
      <c r="A2843" s="3">
        <v>1</v>
      </c>
      <c r="B2843" s="55" t="s">
        <v>790</v>
      </c>
      <c r="C2843" s="56" t="s">
        <v>791</v>
      </c>
      <c r="D2843" s="57" t="s">
        <v>413</v>
      </c>
      <c r="E2843" s="57">
        <v>1.46</v>
      </c>
      <c r="F2843" s="6">
        <v>293000</v>
      </c>
      <c r="G2843" s="7">
        <f t="shared" ref="G2843:G2844" si="185">IFERROR(E2843*F2843,0)</f>
        <v>427780</v>
      </c>
      <c r="H2843" s="8"/>
    </row>
    <row r="2844" spans="1:8" ht="14.25" customHeight="1">
      <c r="A2844" s="3">
        <v>2</v>
      </c>
      <c r="B2844" s="55" t="s">
        <v>73</v>
      </c>
      <c r="C2844" s="56" t="s">
        <v>792</v>
      </c>
      <c r="D2844" s="57" t="s">
        <v>233</v>
      </c>
      <c r="E2844" s="57">
        <v>1.1599999999999999</v>
      </c>
      <c r="F2844" s="11">
        <v>435000</v>
      </c>
      <c r="G2844" s="7">
        <f t="shared" si="185"/>
        <v>504599.99999999994</v>
      </c>
      <c r="H2844" s="8"/>
    </row>
    <row r="2845" spans="1:8" ht="14.25" customHeight="1">
      <c r="A2845" s="3">
        <v>3</v>
      </c>
      <c r="B2845" s="63" t="s">
        <v>1802</v>
      </c>
      <c r="C2845" s="65" t="s">
        <v>793</v>
      </c>
      <c r="D2845" s="57" t="s">
        <v>233</v>
      </c>
      <c r="E2845" s="57">
        <v>1</v>
      </c>
      <c r="F2845" s="6">
        <v>293000</v>
      </c>
      <c r="G2845" s="7">
        <f>IFERROR(E2845*F2845,0)</f>
        <v>293000</v>
      </c>
      <c r="H2845" s="8"/>
    </row>
    <row r="2846" spans="1:8" ht="14.25" customHeight="1">
      <c r="A2846" s="3">
        <v>4</v>
      </c>
      <c r="B2846" s="8" t="s">
        <v>17</v>
      </c>
      <c r="C2846" s="8"/>
      <c r="D2846" s="8"/>
      <c r="E2846" s="8"/>
      <c r="F2846" s="8"/>
      <c r="G2846" s="13">
        <f>IFERROR(E2846*F2846,0)</f>
        <v>0</v>
      </c>
      <c r="H2846" s="8"/>
    </row>
    <row r="2847" spans="1:8" ht="14.25" customHeight="1">
      <c r="A2847" s="86" t="s">
        <v>18</v>
      </c>
      <c r="B2847" s="81"/>
      <c r="C2847" s="81"/>
      <c r="D2847" s="81"/>
      <c r="E2847" s="81"/>
      <c r="F2847" s="81"/>
      <c r="G2847" s="82"/>
      <c r="H2847" s="14">
        <f>SUM(G2843:G2846)</f>
        <v>1225380</v>
      </c>
    </row>
    <row r="2848" spans="1:8" ht="14.25" customHeight="1">
      <c r="A2848" s="86" t="s">
        <v>19</v>
      </c>
      <c r="B2848" s="81"/>
      <c r="C2848" s="81"/>
      <c r="D2848" s="81"/>
      <c r="E2848" s="81"/>
      <c r="F2848" s="81"/>
      <c r="G2848" s="82"/>
      <c r="H2848" s="14">
        <f>MAX(0,H2847-648000)</f>
        <v>577380</v>
      </c>
    </row>
    <row r="2849" spans="1:8" ht="14.25" customHeight="1">
      <c r="A2849" s="87" t="s">
        <v>20</v>
      </c>
      <c r="B2849" s="81"/>
      <c r="C2849" s="81"/>
      <c r="D2849" s="81"/>
      <c r="E2849" s="81"/>
      <c r="F2849" s="81"/>
      <c r="G2849" s="82"/>
      <c r="H2849" s="15">
        <v>649000</v>
      </c>
    </row>
    <row r="2850" spans="1:8" ht="14.25" customHeight="1"/>
    <row r="2851" spans="1:8" ht="14.25" customHeight="1"/>
    <row r="2852" spans="1:8" ht="14.25" customHeight="1"/>
    <row r="2853" spans="1:8" ht="14.25" customHeight="1"/>
    <row r="2854" spans="1:8" ht="14.25" customHeight="1">
      <c r="A2854" s="85" t="s">
        <v>0</v>
      </c>
      <c r="B2854" s="81"/>
      <c r="C2854" s="81"/>
      <c r="D2854" s="81"/>
      <c r="E2854" s="81"/>
      <c r="F2854" s="81"/>
      <c r="G2854" s="81"/>
      <c r="H2854" s="82"/>
    </row>
    <row r="2855" spans="1:8" ht="14.25" customHeight="1">
      <c r="A2855" s="85" t="s">
        <v>794</v>
      </c>
      <c r="B2855" s="81"/>
      <c r="C2855" s="81"/>
      <c r="D2855" s="81"/>
      <c r="E2855" s="81"/>
      <c r="F2855" s="81"/>
      <c r="G2855" s="81"/>
      <c r="H2855" s="82"/>
    </row>
    <row r="2856" spans="1:8" ht="14.25" customHeight="1">
      <c r="A2856" s="1" t="s">
        <v>2</v>
      </c>
      <c r="B2856" s="1" t="s">
        <v>3</v>
      </c>
      <c r="C2856" s="1" t="s">
        <v>4</v>
      </c>
      <c r="D2856" s="1" t="s">
        <v>5</v>
      </c>
      <c r="E2856" s="1" t="s">
        <v>6</v>
      </c>
      <c r="F2856" s="2" t="s">
        <v>7</v>
      </c>
      <c r="G2856" s="1" t="s">
        <v>8</v>
      </c>
      <c r="H2856" s="1"/>
    </row>
    <row r="2857" spans="1:8" ht="14.25" customHeight="1">
      <c r="A2857" s="3">
        <v>1</v>
      </c>
      <c r="B2857" s="55" t="s">
        <v>790</v>
      </c>
      <c r="C2857" s="56" t="s">
        <v>795</v>
      </c>
      <c r="D2857" s="57" t="s">
        <v>413</v>
      </c>
      <c r="E2857" s="57">
        <v>1.5</v>
      </c>
      <c r="F2857" s="6">
        <v>293000</v>
      </c>
      <c r="G2857" s="7">
        <f t="shared" ref="G2857:G2860" si="186">IFERROR(E2857*F2857,0)</f>
        <v>439500</v>
      </c>
      <c r="H2857" s="8"/>
    </row>
    <row r="2858" spans="1:8" ht="14.25" customHeight="1">
      <c r="A2858" s="3">
        <v>2</v>
      </c>
      <c r="B2858" s="55" t="s">
        <v>73</v>
      </c>
      <c r="C2858" s="56" t="s">
        <v>796</v>
      </c>
      <c r="D2858" s="57" t="s">
        <v>233</v>
      </c>
      <c r="E2858" s="57">
        <v>1</v>
      </c>
      <c r="F2858" s="11">
        <v>435000</v>
      </c>
      <c r="G2858" s="7">
        <f t="shared" si="186"/>
        <v>435000</v>
      </c>
      <c r="H2858" s="8"/>
    </row>
    <row r="2859" spans="1:8" ht="14.25" customHeight="1">
      <c r="A2859" s="3">
        <v>3</v>
      </c>
      <c r="B2859" s="64" t="s">
        <v>422</v>
      </c>
      <c r="C2859" s="8" t="s">
        <v>797</v>
      </c>
      <c r="D2859" s="57" t="s">
        <v>233</v>
      </c>
      <c r="E2859" s="57">
        <v>1</v>
      </c>
      <c r="F2859" s="11">
        <v>435000</v>
      </c>
      <c r="G2859" s="7">
        <f t="shared" si="186"/>
        <v>435000</v>
      </c>
      <c r="H2859" s="8"/>
    </row>
    <row r="2860" spans="1:8" ht="14.25" customHeight="1">
      <c r="A2860" s="3">
        <v>4</v>
      </c>
      <c r="B2860" s="8" t="s">
        <v>17</v>
      </c>
      <c r="C2860" s="8"/>
      <c r="D2860" s="8"/>
      <c r="E2860" s="8"/>
      <c r="F2860" s="8"/>
      <c r="G2860" s="13">
        <f t="shared" si="186"/>
        <v>0</v>
      </c>
      <c r="H2860" s="8"/>
    </row>
    <row r="2861" spans="1:8" ht="14.25" customHeight="1">
      <c r="A2861" s="86" t="s">
        <v>18</v>
      </c>
      <c r="B2861" s="81"/>
      <c r="C2861" s="81"/>
      <c r="D2861" s="81"/>
      <c r="E2861" s="81"/>
      <c r="F2861" s="81"/>
      <c r="G2861" s="82"/>
      <c r="H2861" s="14">
        <f>SUM(G2857:G2860)</f>
        <v>1309500</v>
      </c>
    </row>
    <row r="2862" spans="1:8" ht="14.25" customHeight="1">
      <c r="A2862" s="86" t="s">
        <v>19</v>
      </c>
      <c r="B2862" s="81"/>
      <c r="C2862" s="81"/>
      <c r="D2862" s="81"/>
      <c r="E2862" s="81"/>
      <c r="F2862" s="81"/>
      <c r="G2862" s="82"/>
      <c r="H2862" s="14">
        <f>MAX(0,H2861-648000)</f>
        <v>661500</v>
      </c>
    </row>
    <row r="2863" spans="1:8" ht="14.25" customHeight="1">
      <c r="A2863" s="87" t="s">
        <v>20</v>
      </c>
      <c r="B2863" s="81"/>
      <c r="C2863" s="81"/>
      <c r="D2863" s="81"/>
      <c r="E2863" s="81"/>
      <c r="F2863" s="81"/>
      <c r="G2863" s="82"/>
      <c r="H2863" s="15">
        <v>649000</v>
      </c>
    </row>
    <row r="2864" spans="1:8" ht="14.25" customHeight="1"/>
    <row r="2865" spans="1:8" ht="14.25" customHeight="1"/>
    <row r="2866" spans="1:8" ht="14.25" customHeight="1"/>
    <row r="2867" spans="1:8" ht="14.25" customHeight="1"/>
    <row r="2868" spans="1:8" ht="14.25" customHeight="1"/>
    <row r="2869" spans="1:8" ht="14.25" customHeight="1">
      <c r="A2869" s="85" t="s">
        <v>0</v>
      </c>
      <c r="B2869" s="81"/>
      <c r="C2869" s="81"/>
      <c r="D2869" s="81"/>
      <c r="E2869" s="81"/>
      <c r="F2869" s="81"/>
      <c r="G2869" s="81"/>
      <c r="H2869" s="82"/>
    </row>
    <row r="2870" spans="1:8" ht="14.25" customHeight="1">
      <c r="A2870" s="85" t="s">
        <v>798</v>
      </c>
      <c r="B2870" s="81"/>
      <c r="C2870" s="81"/>
      <c r="D2870" s="81"/>
      <c r="E2870" s="81"/>
      <c r="F2870" s="81"/>
      <c r="G2870" s="81"/>
      <c r="H2870" s="82"/>
    </row>
    <row r="2871" spans="1:8" ht="14.25" customHeight="1">
      <c r="A2871" s="1" t="s">
        <v>2</v>
      </c>
      <c r="B2871" s="1" t="s">
        <v>3</v>
      </c>
      <c r="C2871" s="1" t="s">
        <v>4</v>
      </c>
      <c r="D2871" s="1" t="s">
        <v>5</v>
      </c>
      <c r="E2871" s="1" t="s">
        <v>6</v>
      </c>
      <c r="F2871" s="2" t="s">
        <v>7</v>
      </c>
      <c r="G2871" s="1" t="s">
        <v>8</v>
      </c>
      <c r="H2871" s="1"/>
    </row>
    <row r="2872" spans="1:8" ht="14.25" customHeight="1">
      <c r="A2872" s="3">
        <v>1</v>
      </c>
      <c r="B2872" s="55" t="s">
        <v>629</v>
      </c>
      <c r="C2872" s="56">
        <v>6855</v>
      </c>
      <c r="D2872" s="57" t="s">
        <v>413</v>
      </c>
      <c r="E2872" s="57">
        <v>1.57</v>
      </c>
      <c r="F2872" s="6">
        <v>293000</v>
      </c>
      <c r="G2872" s="7">
        <f t="shared" ref="G2872:G2873" si="187">IFERROR(E2872*F2872,0)</f>
        <v>460010</v>
      </c>
      <c r="H2872" s="8"/>
    </row>
    <row r="2873" spans="1:8" ht="14.25" customHeight="1">
      <c r="A2873" s="3">
        <v>2</v>
      </c>
      <c r="B2873" s="47" t="s">
        <v>799</v>
      </c>
      <c r="C2873" s="56">
        <v>8032</v>
      </c>
      <c r="D2873" s="57" t="s">
        <v>233</v>
      </c>
      <c r="E2873" s="57">
        <v>1</v>
      </c>
      <c r="F2873" s="11">
        <v>435000</v>
      </c>
      <c r="G2873" s="7">
        <f t="shared" si="187"/>
        <v>435000</v>
      </c>
      <c r="H2873" s="8"/>
    </row>
    <row r="2874" spans="1:8" ht="14.25" customHeight="1">
      <c r="A2874" s="3">
        <v>3</v>
      </c>
      <c r="B2874" s="61" t="s">
        <v>73</v>
      </c>
      <c r="C2874" s="8" t="s">
        <v>800</v>
      </c>
      <c r="D2874" s="57" t="s">
        <v>233</v>
      </c>
      <c r="E2874" s="57">
        <v>1.1000000000000001</v>
      </c>
      <c r="F2874" s="11">
        <v>435000</v>
      </c>
      <c r="G2874" s="7">
        <f>IFERROR(E2874*F2874,0)</f>
        <v>478500.00000000006</v>
      </c>
      <c r="H2874" s="8"/>
    </row>
    <row r="2875" spans="1:8" ht="14.25" customHeight="1">
      <c r="A2875" s="3">
        <v>4</v>
      </c>
      <c r="B2875" s="8" t="s">
        <v>17</v>
      </c>
      <c r="C2875" s="8"/>
      <c r="D2875" s="8"/>
      <c r="E2875" s="8"/>
      <c r="F2875" s="8"/>
      <c r="G2875" s="13">
        <f>IFERROR(E2875*F2875,0)</f>
        <v>0</v>
      </c>
      <c r="H2875" s="8"/>
    </row>
    <row r="2876" spans="1:8" ht="14.25" customHeight="1">
      <c r="A2876" s="86" t="s">
        <v>18</v>
      </c>
      <c r="B2876" s="81"/>
      <c r="C2876" s="81"/>
      <c r="D2876" s="81"/>
      <c r="E2876" s="81"/>
      <c r="F2876" s="81"/>
      <c r="G2876" s="82"/>
      <c r="H2876" s="14">
        <f>SUM(G2872:G2875)</f>
        <v>1373510</v>
      </c>
    </row>
    <row r="2877" spans="1:8" ht="14.25" customHeight="1">
      <c r="A2877" s="86" t="s">
        <v>19</v>
      </c>
      <c r="B2877" s="81"/>
      <c r="C2877" s="81"/>
      <c r="D2877" s="81"/>
      <c r="E2877" s="81"/>
      <c r="F2877" s="81"/>
      <c r="G2877" s="82"/>
      <c r="H2877" s="14">
        <f>MAX(0,H2876-648000)</f>
        <v>725510</v>
      </c>
    </row>
    <row r="2878" spans="1:8" ht="14.25" customHeight="1">
      <c r="A2878" s="87" t="s">
        <v>20</v>
      </c>
      <c r="B2878" s="81"/>
      <c r="C2878" s="81"/>
      <c r="D2878" s="81"/>
      <c r="E2878" s="81"/>
      <c r="F2878" s="81"/>
      <c r="G2878" s="82"/>
      <c r="H2878" s="15">
        <v>649000</v>
      </c>
    </row>
    <row r="2879" spans="1:8" ht="14.25" customHeight="1"/>
    <row r="2880" spans="1:8" ht="14.25" customHeight="1"/>
    <row r="2881" spans="1:8" ht="14.25" customHeight="1"/>
    <row r="2882" spans="1:8" ht="14.25" customHeight="1"/>
    <row r="2883" spans="1:8" ht="14.25" customHeight="1">
      <c r="A2883" s="85" t="s">
        <v>0</v>
      </c>
      <c r="B2883" s="81"/>
      <c r="C2883" s="81"/>
      <c r="D2883" s="81"/>
      <c r="E2883" s="81"/>
      <c r="F2883" s="81"/>
      <c r="G2883" s="81"/>
      <c r="H2883" s="82"/>
    </row>
    <row r="2884" spans="1:8" ht="14.25" customHeight="1">
      <c r="A2884" s="85" t="s">
        <v>801</v>
      </c>
      <c r="B2884" s="81"/>
      <c r="C2884" s="81"/>
      <c r="D2884" s="81"/>
      <c r="E2884" s="81"/>
      <c r="F2884" s="81"/>
      <c r="G2884" s="81"/>
      <c r="H2884" s="82"/>
    </row>
    <row r="2885" spans="1:8" ht="14.25" customHeight="1">
      <c r="A2885" s="1" t="s">
        <v>2</v>
      </c>
      <c r="B2885" s="1" t="s">
        <v>3</v>
      </c>
      <c r="C2885" s="1" t="s">
        <v>4</v>
      </c>
      <c r="D2885" s="1" t="s">
        <v>5</v>
      </c>
      <c r="E2885" s="1" t="s">
        <v>6</v>
      </c>
      <c r="F2885" s="2" t="s">
        <v>7</v>
      </c>
      <c r="G2885" s="1" t="s">
        <v>8</v>
      </c>
      <c r="H2885" s="1"/>
    </row>
    <row r="2886" spans="1:8" ht="14.25" customHeight="1">
      <c r="A2886" s="3">
        <v>1</v>
      </c>
      <c r="B2886" s="55" t="s">
        <v>802</v>
      </c>
      <c r="C2886" s="56">
        <v>7327</v>
      </c>
      <c r="D2886" s="57" t="s">
        <v>413</v>
      </c>
      <c r="E2886" s="57">
        <v>1</v>
      </c>
      <c r="F2886" s="6">
        <v>293000</v>
      </c>
      <c r="G2886" s="7">
        <f t="shared" ref="G2886:G2887" si="188">IFERROR(E2886*F2886,0)</f>
        <v>293000</v>
      </c>
      <c r="H2886" s="8"/>
    </row>
    <row r="2887" spans="1:8" ht="14.25" customHeight="1">
      <c r="A2887" s="3">
        <v>2</v>
      </c>
      <c r="B2887" s="55" t="s">
        <v>33</v>
      </c>
      <c r="C2887" s="56" t="s">
        <v>803</v>
      </c>
      <c r="D2887" s="57" t="s">
        <v>14</v>
      </c>
      <c r="E2887" s="57">
        <v>1.4</v>
      </c>
      <c r="F2887" s="11">
        <v>435000</v>
      </c>
      <c r="G2887" s="7">
        <f t="shared" si="188"/>
        <v>609000</v>
      </c>
      <c r="H2887" s="8"/>
    </row>
    <row r="2888" spans="1:8" ht="14.25" customHeight="1">
      <c r="A2888" s="3">
        <v>3</v>
      </c>
      <c r="B2888" s="64" t="s">
        <v>283</v>
      </c>
      <c r="C2888" s="8" t="s">
        <v>804</v>
      </c>
      <c r="D2888" s="8" t="s">
        <v>11</v>
      </c>
      <c r="E2888" s="57">
        <v>1</v>
      </c>
      <c r="F2888" s="6">
        <v>293000</v>
      </c>
      <c r="G2888" s="7">
        <f>IFERROR(E2888*F2888,0)</f>
        <v>293000</v>
      </c>
      <c r="H2888" s="8"/>
    </row>
    <row r="2889" spans="1:8" ht="14.25" customHeight="1">
      <c r="A2889" s="3">
        <v>4</v>
      </c>
      <c r="B2889" s="8" t="s">
        <v>17</v>
      </c>
      <c r="C2889" s="8"/>
      <c r="D2889" s="8"/>
      <c r="E2889" s="8"/>
      <c r="F2889" s="8"/>
      <c r="G2889" s="13">
        <f>IFERROR(E2889*F2889,0)</f>
        <v>0</v>
      </c>
      <c r="H2889" s="8"/>
    </row>
    <row r="2890" spans="1:8" ht="14.25" customHeight="1">
      <c r="A2890" s="86" t="s">
        <v>18</v>
      </c>
      <c r="B2890" s="81"/>
      <c r="C2890" s="81"/>
      <c r="D2890" s="81"/>
      <c r="E2890" s="81"/>
      <c r="F2890" s="81"/>
      <c r="G2890" s="82"/>
      <c r="H2890" s="14">
        <f>SUM(G2886:G2889)</f>
        <v>1195000</v>
      </c>
    </row>
    <row r="2891" spans="1:8" ht="14.25" customHeight="1">
      <c r="A2891" s="86" t="s">
        <v>19</v>
      </c>
      <c r="B2891" s="81"/>
      <c r="C2891" s="81"/>
      <c r="D2891" s="81"/>
      <c r="E2891" s="81"/>
      <c r="F2891" s="81"/>
      <c r="G2891" s="82"/>
      <c r="H2891" s="14">
        <f>MAX(0,H2890-648000)</f>
        <v>547000</v>
      </c>
    </row>
    <row r="2892" spans="1:8" ht="14.25" customHeight="1">
      <c r="A2892" s="87" t="s">
        <v>20</v>
      </c>
      <c r="B2892" s="81"/>
      <c r="C2892" s="81"/>
      <c r="D2892" s="81"/>
      <c r="E2892" s="81"/>
      <c r="F2892" s="81"/>
      <c r="G2892" s="82"/>
      <c r="H2892" s="15">
        <v>649000</v>
      </c>
    </row>
    <row r="2893" spans="1:8" ht="14.25" customHeight="1"/>
    <row r="2894" spans="1:8" ht="14.25" customHeight="1"/>
    <row r="2895" spans="1:8" ht="14.25" customHeight="1"/>
    <row r="2896" spans="1:8" ht="14.25" customHeight="1"/>
    <row r="2897" spans="1:8" ht="14.25" customHeight="1"/>
    <row r="2898" spans="1:8" ht="14.25" customHeight="1"/>
    <row r="2899" spans="1:8" ht="14.25" customHeight="1">
      <c r="A2899" s="85" t="s">
        <v>0</v>
      </c>
      <c r="B2899" s="81"/>
      <c r="C2899" s="81"/>
      <c r="D2899" s="81"/>
      <c r="E2899" s="81"/>
      <c r="F2899" s="81"/>
      <c r="G2899" s="81"/>
      <c r="H2899" s="82"/>
    </row>
    <row r="2900" spans="1:8" ht="14.25" customHeight="1">
      <c r="A2900" s="85" t="s">
        <v>805</v>
      </c>
      <c r="B2900" s="81"/>
      <c r="C2900" s="81"/>
      <c r="D2900" s="81"/>
      <c r="E2900" s="81"/>
      <c r="F2900" s="81"/>
      <c r="G2900" s="81"/>
      <c r="H2900" s="82"/>
    </row>
    <row r="2901" spans="1:8" ht="14.25" customHeight="1">
      <c r="A2901" s="1" t="s">
        <v>2</v>
      </c>
      <c r="B2901" s="1" t="s">
        <v>3</v>
      </c>
      <c r="C2901" s="1" t="s">
        <v>4</v>
      </c>
      <c r="D2901" s="1" t="s">
        <v>5</v>
      </c>
      <c r="E2901" s="1" t="s">
        <v>6</v>
      </c>
      <c r="F2901" s="2" t="s">
        <v>7</v>
      </c>
      <c r="G2901" s="1" t="s">
        <v>8</v>
      </c>
      <c r="H2901" s="1"/>
    </row>
    <row r="2902" spans="1:8" ht="14.25" customHeight="1">
      <c r="A2902" s="3">
        <v>1</v>
      </c>
      <c r="B2902" s="55" t="s">
        <v>33</v>
      </c>
      <c r="C2902" s="56" t="s">
        <v>806</v>
      </c>
      <c r="D2902" s="57" t="s">
        <v>413</v>
      </c>
      <c r="E2902" s="57">
        <v>1</v>
      </c>
      <c r="F2902" s="6">
        <v>293000</v>
      </c>
      <c r="G2902" s="7">
        <f t="shared" ref="G2902:G2903" si="189">IFERROR(E2902*F2902,0)</f>
        <v>293000</v>
      </c>
      <c r="H2902" s="8"/>
    </row>
    <row r="2903" spans="1:8" ht="14.25" customHeight="1">
      <c r="A2903" s="3">
        <v>2</v>
      </c>
      <c r="B2903" s="55" t="s">
        <v>278</v>
      </c>
      <c r="C2903" s="56" t="s">
        <v>807</v>
      </c>
      <c r="D2903" s="57" t="s">
        <v>233</v>
      </c>
      <c r="E2903" s="57">
        <v>1.5</v>
      </c>
      <c r="F2903" s="11">
        <v>435000</v>
      </c>
      <c r="G2903" s="7">
        <f t="shared" si="189"/>
        <v>652500</v>
      </c>
      <c r="H2903" s="8"/>
    </row>
    <row r="2904" spans="1:8" ht="14.25" customHeight="1">
      <c r="A2904" s="3">
        <v>3</v>
      </c>
      <c r="B2904" s="64" t="s">
        <v>226</v>
      </c>
      <c r="C2904" s="8" t="s">
        <v>808</v>
      </c>
      <c r="D2904" s="8" t="s">
        <v>413</v>
      </c>
      <c r="E2904" s="57">
        <v>0.97</v>
      </c>
      <c r="F2904" s="6">
        <v>293000</v>
      </c>
      <c r="G2904" s="7">
        <f>IFERROR(E2904*F2904,0)</f>
        <v>284210</v>
      </c>
      <c r="H2904" s="8"/>
    </row>
    <row r="2905" spans="1:8" ht="14.25" customHeight="1">
      <c r="A2905" s="3">
        <v>4</v>
      </c>
      <c r="B2905" s="8" t="s">
        <v>17</v>
      </c>
      <c r="C2905" s="8"/>
      <c r="D2905" s="8"/>
      <c r="E2905" s="8"/>
      <c r="F2905" s="8"/>
      <c r="G2905" s="13">
        <f>IFERROR(E2905*F2905,0)</f>
        <v>0</v>
      </c>
      <c r="H2905" s="8"/>
    </row>
    <row r="2906" spans="1:8" ht="14.25" customHeight="1">
      <c r="A2906" s="86" t="s">
        <v>18</v>
      </c>
      <c r="B2906" s="81"/>
      <c r="C2906" s="81"/>
      <c r="D2906" s="81"/>
      <c r="E2906" s="81"/>
      <c r="F2906" s="81"/>
      <c r="G2906" s="82"/>
      <c r="H2906" s="14">
        <f>SUM(G2902:G2905)</f>
        <v>1229710</v>
      </c>
    </row>
    <row r="2907" spans="1:8" ht="14.25" customHeight="1">
      <c r="A2907" s="86" t="s">
        <v>19</v>
      </c>
      <c r="B2907" s="81"/>
      <c r="C2907" s="81"/>
      <c r="D2907" s="81"/>
      <c r="E2907" s="81"/>
      <c r="F2907" s="81"/>
      <c r="G2907" s="82"/>
      <c r="H2907" s="14">
        <f>MAX(0,H2906-648000)</f>
        <v>581710</v>
      </c>
    </row>
    <row r="2908" spans="1:8" ht="14.25" customHeight="1">
      <c r="A2908" s="87" t="s">
        <v>20</v>
      </c>
      <c r="B2908" s="81"/>
      <c r="C2908" s="81"/>
      <c r="D2908" s="81"/>
      <c r="E2908" s="81"/>
      <c r="F2908" s="81"/>
      <c r="G2908" s="82"/>
      <c r="H2908" s="15">
        <v>649000</v>
      </c>
    </row>
    <row r="2909" spans="1:8" ht="14.25" customHeight="1"/>
    <row r="2910" spans="1:8" ht="14.25" customHeight="1"/>
    <row r="2911" spans="1:8" ht="14.25" customHeight="1"/>
    <row r="2912" spans="1:8" ht="14.25" customHeight="1">
      <c r="A2912" s="85" t="s">
        <v>0</v>
      </c>
      <c r="B2912" s="81"/>
      <c r="C2912" s="81"/>
      <c r="D2912" s="81"/>
      <c r="E2912" s="81"/>
      <c r="F2912" s="81"/>
      <c r="G2912" s="81"/>
      <c r="H2912" s="82"/>
    </row>
    <row r="2913" spans="1:8" ht="14.25" customHeight="1">
      <c r="A2913" s="85" t="s">
        <v>809</v>
      </c>
      <c r="B2913" s="81"/>
      <c r="C2913" s="81"/>
      <c r="D2913" s="81"/>
      <c r="E2913" s="81"/>
      <c r="F2913" s="81"/>
      <c r="G2913" s="81"/>
      <c r="H2913" s="82"/>
    </row>
    <row r="2914" spans="1:8" ht="14.25" customHeight="1">
      <c r="A2914" s="1" t="s">
        <v>2</v>
      </c>
      <c r="B2914" s="1" t="s">
        <v>3</v>
      </c>
      <c r="C2914" s="1" t="s">
        <v>4</v>
      </c>
      <c r="D2914" s="1" t="s">
        <v>5</v>
      </c>
      <c r="E2914" s="1" t="s">
        <v>6</v>
      </c>
      <c r="F2914" s="2" t="s">
        <v>7</v>
      </c>
      <c r="G2914" s="1" t="s">
        <v>8</v>
      </c>
      <c r="H2914" s="1"/>
    </row>
    <row r="2915" spans="1:8" ht="14.25" customHeight="1">
      <c r="A2915" s="3">
        <v>1</v>
      </c>
      <c r="B2915" s="55" t="s">
        <v>228</v>
      </c>
      <c r="C2915" s="56" t="s">
        <v>810</v>
      </c>
      <c r="D2915" s="57" t="s">
        <v>11</v>
      </c>
      <c r="E2915" s="57">
        <v>1</v>
      </c>
      <c r="F2915" s="6">
        <v>293000</v>
      </c>
      <c r="G2915" s="7">
        <f t="shared" ref="G2915:G2916" si="190">IFERROR(E2915*F2915,0)</f>
        <v>293000</v>
      </c>
      <c r="H2915" s="8"/>
    </row>
    <row r="2916" spans="1:8" ht="14.25" customHeight="1">
      <c r="A2916" s="3">
        <v>2</v>
      </c>
      <c r="B2916" s="55" t="s">
        <v>575</v>
      </c>
      <c r="C2916" s="56" t="s">
        <v>811</v>
      </c>
      <c r="D2916" s="57" t="s">
        <v>233</v>
      </c>
      <c r="E2916" s="57">
        <v>1.6</v>
      </c>
      <c r="F2916" s="11">
        <v>435000</v>
      </c>
      <c r="G2916" s="7">
        <f t="shared" si="190"/>
        <v>696000</v>
      </c>
      <c r="H2916" s="8"/>
    </row>
    <row r="2917" spans="1:8" ht="14.25" customHeight="1">
      <c r="A2917" s="3">
        <v>3</v>
      </c>
      <c r="B2917" s="65" t="s">
        <v>715</v>
      </c>
      <c r="C2917" s="65" t="s">
        <v>812</v>
      </c>
      <c r="D2917" s="51" t="s">
        <v>11</v>
      </c>
      <c r="E2917" s="57">
        <v>0.96</v>
      </c>
      <c r="F2917" s="6">
        <v>293000</v>
      </c>
      <c r="G2917" s="7">
        <f>IFERROR(E2917*F2917,0)</f>
        <v>281280</v>
      </c>
      <c r="H2917" s="8"/>
    </row>
    <row r="2918" spans="1:8" ht="14.25" customHeight="1">
      <c r="A2918" s="3">
        <v>4</v>
      </c>
      <c r="B2918" s="8" t="s">
        <v>17</v>
      </c>
      <c r="C2918" s="8"/>
      <c r="D2918" s="8"/>
      <c r="E2918" s="8"/>
      <c r="F2918" s="8"/>
      <c r="G2918" s="13">
        <f>IFERROR(E2918*F2918,0)</f>
        <v>0</v>
      </c>
      <c r="H2918" s="8"/>
    </row>
    <row r="2919" spans="1:8" ht="14.25" customHeight="1">
      <c r="A2919" s="86" t="s">
        <v>18</v>
      </c>
      <c r="B2919" s="81"/>
      <c r="C2919" s="81"/>
      <c r="D2919" s="81"/>
      <c r="E2919" s="81"/>
      <c r="F2919" s="81"/>
      <c r="G2919" s="82"/>
      <c r="H2919" s="14">
        <f>SUM(G2915:G2918)</f>
        <v>1270280</v>
      </c>
    </row>
    <row r="2920" spans="1:8" ht="14.25" customHeight="1">
      <c r="A2920" s="86" t="s">
        <v>19</v>
      </c>
      <c r="B2920" s="81"/>
      <c r="C2920" s="81"/>
      <c r="D2920" s="81"/>
      <c r="E2920" s="81"/>
      <c r="F2920" s="81"/>
      <c r="G2920" s="82"/>
      <c r="H2920" s="14">
        <f>MAX(0,H2919-648000)</f>
        <v>622280</v>
      </c>
    </row>
    <row r="2921" spans="1:8" ht="14.25" customHeight="1">
      <c r="A2921" s="87" t="s">
        <v>20</v>
      </c>
      <c r="B2921" s="81"/>
      <c r="C2921" s="81"/>
      <c r="D2921" s="81"/>
      <c r="E2921" s="81"/>
      <c r="F2921" s="81"/>
      <c r="G2921" s="82"/>
      <c r="H2921" s="15">
        <v>649000</v>
      </c>
    </row>
    <row r="2922" spans="1:8" ht="14.25" customHeight="1"/>
    <row r="2923" spans="1:8" ht="14.25" customHeight="1"/>
    <row r="2924" spans="1:8" ht="14.25" customHeight="1"/>
    <row r="2925" spans="1:8" ht="14.25" customHeight="1">
      <c r="A2925" s="80" t="s">
        <v>0</v>
      </c>
      <c r="B2925" s="81"/>
      <c r="C2925" s="81"/>
      <c r="D2925" s="81"/>
      <c r="E2925" s="81"/>
      <c r="F2925" s="81"/>
      <c r="G2925" s="81"/>
      <c r="H2925" s="82"/>
    </row>
    <row r="2926" spans="1:8" ht="14.25" customHeight="1">
      <c r="A2926" s="80" t="s">
        <v>813</v>
      </c>
      <c r="B2926" s="81"/>
      <c r="C2926" s="81"/>
      <c r="D2926" s="81"/>
      <c r="E2926" s="81"/>
      <c r="F2926" s="81"/>
      <c r="G2926" s="81"/>
      <c r="H2926" s="82"/>
    </row>
    <row r="2927" spans="1:8" ht="14.25" customHeight="1">
      <c r="A2927" s="33" t="s">
        <v>2</v>
      </c>
      <c r="B2927" s="33" t="s">
        <v>3</v>
      </c>
      <c r="C2927" s="33" t="s">
        <v>4</v>
      </c>
      <c r="D2927" s="33" t="s">
        <v>5</v>
      </c>
      <c r="E2927" s="33" t="s">
        <v>6</v>
      </c>
      <c r="F2927" s="34" t="s">
        <v>7</v>
      </c>
      <c r="G2927" s="33" t="s">
        <v>8</v>
      </c>
      <c r="H2927" s="35"/>
    </row>
    <row r="2928" spans="1:8" ht="14.25" customHeight="1">
      <c r="A2928" s="36">
        <v>1</v>
      </c>
      <c r="B2928" s="18" t="s">
        <v>411</v>
      </c>
      <c r="C2928" s="5" t="s">
        <v>814</v>
      </c>
      <c r="D2928" s="18" t="s">
        <v>413</v>
      </c>
      <c r="E2928" s="18">
        <v>2.4700000000000002</v>
      </c>
      <c r="F2928" s="6">
        <v>293000</v>
      </c>
      <c r="G2928" s="37">
        <f t="shared" ref="G2928:G2930" si="191">IFERROR(E2928*F2928,0)</f>
        <v>723710</v>
      </c>
      <c r="H2928" s="38"/>
    </row>
    <row r="2929" spans="1:8" ht="14.25" customHeight="1">
      <c r="A2929" s="36">
        <v>2</v>
      </c>
      <c r="B2929" s="12" t="s">
        <v>769</v>
      </c>
      <c r="C2929" s="10" t="s">
        <v>815</v>
      </c>
      <c r="D2929" s="12" t="s">
        <v>233</v>
      </c>
      <c r="E2929" s="12">
        <v>1</v>
      </c>
      <c r="F2929" s="43">
        <v>435000</v>
      </c>
      <c r="G2929" s="37">
        <f t="shared" si="191"/>
        <v>435000</v>
      </c>
      <c r="H2929" s="38"/>
    </row>
    <row r="2930" spans="1:8" ht="14.25" customHeight="1">
      <c r="A2930" s="36">
        <v>4</v>
      </c>
      <c r="B2930" s="39" t="s">
        <v>17</v>
      </c>
      <c r="C2930" s="38"/>
      <c r="D2930" s="38"/>
      <c r="E2930" s="38"/>
      <c r="F2930" s="60"/>
      <c r="G2930" s="37">
        <f t="shared" si="191"/>
        <v>0</v>
      </c>
      <c r="H2930" s="38"/>
    </row>
    <row r="2931" spans="1:8" ht="14.25" customHeight="1">
      <c r="A2931" s="83" t="s">
        <v>18</v>
      </c>
      <c r="B2931" s="81"/>
      <c r="C2931" s="81"/>
      <c r="D2931" s="81"/>
      <c r="E2931" s="81"/>
      <c r="F2931" s="81"/>
      <c r="G2931" s="82"/>
      <c r="H2931" s="41">
        <f>SUM(G2928:G2930)</f>
        <v>1158710</v>
      </c>
    </row>
    <row r="2932" spans="1:8" ht="14.25" customHeight="1">
      <c r="A2932" s="83" t="s">
        <v>19</v>
      </c>
      <c r="B2932" s="81"/>
      <c r="C2932" s="81"/>
      <c r="D2932" s="81"/>
      <c r="E2932" s="81"/>
      <c r="F2932" s="81"/>
      <c r="G2932" s="82"/>
      <c r="H2932" s="41">
        <f>MAX(0,H2931-648000)</f>
        <v>510710</v>
      </c>
    </row>
    <row r="2933" spans="1:8" ht="14.25" customHeight="1">
      <c r="A2933" s="84" t="s">
        <v>20</v>
      </c>
      <c r="B2933" s="81"/>
      <c r="C2933" s="81"/>
      <c r="D2933" s="81"/>
      <c r="E2933" s="81"/>
      <c r="F2933" s="81"/>
      <c r="G2933" s="82"/>
      <c r="H2933" s="42">
        <v>649000</v>
      </c>
    </row>
    <row r="2934" spans="1:8" ht="14.25" customHeight="1">
      <c r="A2934" s="80"/>
      <c r="B2934" s="81"/>
      <c r="C2934" s="81"/>
      <c r="D2934" s="81"/>
      <c r="E2934" s="81"/>
      <c r="F2934" s="81"/>
      <c r="G2934" s="81"/>
      <c r="H2934" s="82"/>
    </row>
    <row r="2935" spans="1:8" ht="14.25" customHeight="1"/>
    <row r="2936" spans="1:8" ht="14.25" customHeight="1"/>
    <row r="2937" spans="1:8" ht="14.25" customHeight="1"/>
    <row r="2938" spans="1:8" ht="14.25" customHeight="1"/>
    <row r="2939" spans="1:8" ht="14.25" customHeight="1">
      <c r="A2939" s="80" t="s">
        <v>0</v>
      </c>
      <c r="B2939" s="81"/>
      <c r="C2939" s="81"/>
      <c r="D2939" s="81"/>
      <c r="E2939" s="81"/>
      <c r="F2939" s="81"/>
      <c r="G2939" s="81"/>
      <c r="H2939" s="82"/>
    </row>
    <row r="2940" spans="1:8" ht="14.25" customHeight="1">
      <c r="A2940" s="80" t="s">
        <v>816</v>
      </c>
      <c r="B2940" s="81"/>
      <c r="C2940" s="81"/>
      <c r="D2940" s="81"/>
      <c r="E2940" s="81"/>
      <c r="F2940" s="81"/>
      <c r="G2940" s="81"/>
      <c r="H2940" s="82"/>
    </row>
    <row r="2941" spans="1:8" ht="14.25" customHeight="1">
      <c r="A2941" s="33" t="s">
        <v>2</v>
      </c>
      <c r="B2941" s="33" t="s">
        <v>3</v>
      </c>
      <c r="C2941" s="33" t="s">
        <v>4</v>
      </c>
      <c r="D2941" s="33" t="s">
        <v>5</v>
      </c>
      <c r="E2941" s="33" t="s">
        <v>6</v>
      </c>
      <c r="F2941" s="34" t="s">
        <v>7</v>
      </c>
      <c r="G2941" s="33" t="s">
        <v>8</v>
      </c>
      <c r="H2941" s="35"/>
    </row>
    <row r="2942" spans="1:8" ht="14.25" customHeight="1">
      <c r="A2942" s="36">
        <v>1</v>
      </c>
      <c r="B2942" s="18" t="s">
        <v>183</v>
      </c>
      <c r="C2942" s="5" t="s">
        <v>817</v>
      </c>
      <c r="D2942" s="18" t="s">
        <v>413</v>
      </c>
      <c r="E2942" s="18">
        <v>1.97</v>
      </c>
      <c r="F2942" s="6">
        <v>293000</v>
      </c>
      <c r="G2942" s="37">
        <f t="shared" ref="G2942:G2944" si="192">IFERROR(E2942*F2942,0)</f>
        <v>577210</v>
      </c>
      <c r="H2942" s="38"/>
    </row>
    <row r="2943" spans="1:8" ht="14.25" customHeight="1">
      <c r="A2943" s="36">
        <v>2</v>
      </c>
      <c r="B2943" s="12" t="s">
        <v>73</v>
      </c>
      <c r="C2943" s="10" t="s">
        <v>818</v>
      </c>
      <c r="D2943" s="12" t="s">
        <v>14</v>
      </c>
      <c r="E2943" s="12">
        <v>1.5</v>
      </c>
      <c r="F2943" s="43">
        <v>435000</v>
      </c>
      <c r="G2943" s="37">
        <f t="shared" si="192"/>
        <v>652500</v>
      </c>
      <c r="H2943" s="38"/>
    </row>
    <row r="2944" spans="1:8" ht="14.25" customHeight="1">
      <c r="A2944" s="36">
        <v>4</v>
      </c>
      <c r="B2944" s="39" t="s">
        <v>17</v>
      </c>
      <c r="C2944" s="38"/>
      <c r="D2944" s="38"/>
      <c r="E2944" s="38"/>
      <c r="F2944" s="60"/>
      <c r="G2944" s="37">
        <f t="shared" si="192"/>
        <v>0</v>
      </c>
      <c r="H2944" s="38"/>
    </row>
    <row r="2945" spans="1:8" ht="14.25" customHeight="1">
      <c r="A2945" s="83" t="s">
        <v>18</v>
      </c>
      <c r="B2945" s="81"/>
      <c r="C2945" s="81"/>
      <c r="D2945" s="81"/>
      <c r="E2945" s="81"/>
      <c r="F2945" s="81"/>
      <c r="G2945" s="82"/>
      <c r="H2945" s="41">
        <f>SUM(G2942:G2944)</f>
        <v>1229710</v>
      </c>
    </row>
    <row r="2946" spans="1:8" ht="14.25" customHeight="1">
      <c r="A2946" s="83" t="s">
        <v>19</v>
      </c>
      <c r="B2946" s="81"/>
      <c r="C2946" s="81"/>
      <c r="D2946" s="81"/>
      <c r="E2946" s="81"/>
      <c r="F2946" s="81"/>
      <c r="G2946" s="82"/>
      <c r="H2946" s="41">
        <f>MAX(0,H2945-648000)</f>
        <v>581710</v>
      </c>
    </row>
    <row r="2947" spans="1:8" ht="14.25" customHeight="1">
      <c r="A2947" s="84" t="s">
        <v>20</v>
      </c>
      <c r="B2947" s="81"/>
      <c r="C2947" s="81"/>
      <c r="D2947" s="81"/>
      <c r="E2947" s="81"/>
      <c r="F2947" s="81"/>
      <c r="G2947" s="82"/>
      <c r="H2947" s="42">
        <v>649000</v>
      </c>
    </row>
    <row r="2948" spans="1:8" ht="14.25" customHeight="1">
      <c r="A2948" s="80"/>
      <c r="B2948" s="81"/>
      <c r="C2948" s="81"/>
      <c r="D2948" s="81"/>
      <c r="E2948" s="81"/>
      <c r="F2948" s="81"/>
      <c r="G2948" s="81"/>
      <c r="H2948" s="82"/>
    </row>
    <row r="2949" spans="1:8" ht="14.25" customHeight="1"/>
    <row r="2950" spans="1:8" ht="14.25" customHeight="1"/>
    <row r="2951" spans="1:8" ht="14.25" customHeight="1"/>
    <row r="2952" spans="1:8" ht="14.25" customHeight="1"/>
    <row r="2953" spans="1:8" ht="14.25" customHeight="1"/>
    <row r="2954" spans="1:8" ht="14.25" customHeight="1">
      <c r="A2954" s="80" t="s">
        <v>0</v>
      </c>
      <c r="B2954" s="81"/>
      <c r="C2954" s="81"/>
      <c r="D2954" s="81"/>
      <c r="E2954" s="81"/>
      <c r="F2954" s="81"/>
      <c r="G2954" s="81"/>
      <c r="H2954" s="82"/>
    </row>
    <row r="2955" spans="1:8" ht="14.25" customHeight="1">
      <c r="A2955" s="80" t="s">
        <v>819</v>
      </c>
      <c r="B2955" s="81"/>
      <c r="C2955" s="81"/>
      <c r="D2955" s="81"/>
      <c r="E2955" s="81"/>
      <c r="F2955" s="81"/>
      <c r="G2955" s="81"/>
      <c r="H2955" s="82"/>
    </row>
    <row r="2956" spans="1:8" ht="14.25" customHeight="1">
      <c r="A2956" s="33" t="s">
        <v>2</v>
      </c>
      <c r="B2956" s="33" t="s">
        <v>3</v>
      </c>
      <c r="C2956" s="33" t="s">
        <v>4</v>
      </c>
      <c r="D2956" s="33" t="s">
        <v>5</v>
      </c>
      <c r="E2956" s="33" t="s">
        <v>6</v>
      </c>
      <c r="F2956" s="34" t="s">
        <v>7</v>
      </c>
      <c r="G2956" s="33" t="s">
        <v>8</v>
      </c>
      <c r="H2956" s="35"/>
    </row>
    <row r="2957" spans="1:8" ht="14.25" customHeight="1">
      <c r="A2957" s="36">
        <v>1</v>
      </c>
      <c r="B2957" s="18" t="s">
        <v>571</v>
      </c>
      <c r="C2957" s="5">
        <v>7549</v>
      </c>
      <c r="D2957" s="18" t="s">
        <v>413</v>
      </c>
      <c r="E2957" s="18">
        <v>1</v>
      </c>
      <c r="F2957" s="6">
        <v>293000</v>
      </c>
      <c r="G2957" s="37">
        <f t="shared" ref="G2957:G2959" si="193">IFERROR(E2957*F2957,0)</f>
        <v>293000</v>
      </c>
      <c r="H2957" s="38"/>
    </row>
    <row r="2958" spans="1:8" ht="14.25" customHeight="1">
      <c r="A2958" s="36">
        <v>2</v>
      </c>
      <c r="B2958" s="12" t="s">
        <v>820</v>
      </c>
      <c r="C2958" s="10" t="s">
        <v>821</v>
      </c>
      <c r="D2958" s="12" t="s">
        <v>233</v>
      </c>
      <c r="E2958" s="12">
        <v>2.4</v>
      </c>
      <c r="F2958" s="43">
        <v>435000</v>
      </c>
      <c r="G2958" s="37">
        <f t="shared" si="193"/>
        <v>1044000</v>
      </c>
      <c r="H2958" s="38"/>
    </row>
    <row r="2959" spans="1:8" ht="14.25" customHeight="1">
      <c r="A2959" s="36">
        <v>4</v>
      </c>
      <c r="B2959" s="39" t="s">
        <v>17</v>
      </c>
      <c r="C2959" s="38"/>
      <c r="D2959" s="38"/>
      <c r="E2959" s="38"/>
      <c r="F2959" s="60"/>
      <c r="G2959" s="37">
        <f t="shared" si="193"/>
        <v>0</v>
      </c>
      <c r="H2959" s="38"/>
    </row>
    <row r="2960" spans="1:8" ht="14.25" customHeight="1">
      <c r="A2960" s="83" t="s">
        <v>18</v>
      </c>
      <c r="B2960" s="81"/>
      <c r="C2960" s="81"/>
      <c r="D2960" s="81"/>
      <c r="E2960" s="81"/>
      <c r="F2960" s="81"/>
      <c r="G2960" s="82"/>
      <c r="H2960" s="41">
        <f>SUM(G2957:G2959)</f>
        <v>1337000</v>
      </c>
    </row>
    <row r="2961" spans="1:8" ht="14.25" customHeight="1">
      <c r="A2961" s="83" t="s">
        <v>19</v>
      </c>
      <c r="B2961" s="81"/>
      <c r="C2961" s="81"/>
      <c r="D2961" s="81"/>
      <c r="E2961" s="81"/>
      <c r="F2961" s="81"/>
      <c r="G2961" s="82"/>
      <c r="H2961" s="41">
        <f>MAX(0,H2960-648000)</f>
        <v>689000</v>
      </c>
    </row>
    <row r="2962" spans="1:8" ht="14.25" customHeight="1">
      <c r="A2962" s="84" t="s">
        <v>20</v>
      </c>
      <c r="B2962" s="81"/>
      <c r="C2962" s="81"/>
      <c r="D2962" s="81"/>
      <c r="E2962" s="81"/>
      <c r="F2962" s="81"/>
      <c r="G2962" s="82"/>
      <c r="H2962" s="42">
        <v>649000</v>
      </c>
    </row>
    <row r="2963" spans="1:8" ht="14.25" customHeight="1">
      <c r="A2963" s="80"/>
      <c r="B2963" s="81"/>
      <c r="C2963" s="81"/>
      <c r="D2963" s="81"/>
      <c r="E2963" s="81"/>
      <c r="F2963" s="81"/>
      <c r="G2963" s="81"/>
      <c r="H2963" s="82"/>
    </row>
    <row r="2964" spans="1:8" ht="14.25" customHeight="1"/>
    <row r="2965" spans="1:8" ht="14.25" customHeight="1"/>
    <row r="2966" spans="1:8" ht="14.25" customHeight="1"/>
    <row r="2967" spans="1:8" ht="14.25" customHeight="1"/>
    <row r="2968" spans="1:8" ht="14.25" customHeight="1">
      <c r="A2968" s="80" t="s">
        <v>0</v>
      </c>
      <c r="B2968" s="81"/>
      <c r="C2968" s="81"/>
      <c r="D2968" s="81"/>
      <c r="E2968" s="81"/>
      <c r="F2968" s="81"/>
      <c r="G2968" s="81"/>
      <c r="H2968" s="82"/>
    </row>
    <row r="2969" spans="1:8" ht="14.25" customHeight="1">
      <c r="A2969" s="80" t="s">
        <v>822</v>
      </c>
      <c r="B2969" s="81"/>
      <c r="C2969" s="81"/>
      <c r="D2969" s="81"/>
      <c r="E2969" s="81"/>
      <c r="F2969" s="81"/>
      <c r="G2969" s="81"/>
      <c r="H2969" s="82"/>
    </row>
    <row r="2970" spans="1:8" ht="14.25" customHeight="1">
      <c r="A2970" s="33" t="s">
        <v>2</v>
      </c>
      <c r="B2970" s="33" t="s">
        <v>3</v>
      </c>
      <c r="C2970" s="33" t="s">
        <v>4</v>
      </c>
      <c r="D2970" s="33" t="s">
        <v>5</v>
      </c>
      <c r="E2970" s="33" t="s">
        <v>6</v>
      </c>
      <c r="F2970" s="34" t="s">
        <v>7</v>
      </c>
      <c r="G2970" s="33" t="s">
        <v>8</v>
      </c>
      <c r="H2970" s="35"/>
    </row>
    <row r="2971" spans="1:8" ht="14.25" customHeight="1">
      <c r="A2971" s="36">
        <v>1</v>
      </c>
      <c r="B2971" s="18" t="s">
        <v>823</v>
      </c>
      <c r="C2971" s="5" t="s">
        <v>824</v>
      </c>
      <c r="D2971" s="18" t="s">
        <v>413</v>
      </c>
      <c r="E2971" s="18">
        <v>2.7</v>
      </c>
      <c r="F2971" s="6">
        <v>293000</v>
      </c>
      <c r="G2971" s="37">
        <f t="shared" ref="G2971:G2973" si="194">IFERROR(E2971*F2971,0)</f>
        <v>791100</v>
      </c>
      <c r="H2971" s="38"/>
    </row>
    <row r="2972" spans="1:8" ht="14.25" customHeight="1">
      <c r="A2972" s="36">
        <v>2</v>
      </c>
      <c r="B2972" s="12" t="s">
        <v>252</v>
      </c>
      <c r="C2972" s="10" t="s">
        <v>825</v>
      </c>
      <c r="D2972" s="12" t="s">
        <v>14</v>
      </c>
      <c r="E2972" s="12">
        <v>0.95</v>
      </c>
      <c r="F2972" s="43">
        <v>435000</v>
      </c>
      <c r="G2972" s="37">
        <f t="shared" si="194"/>
        <v>413250</v>
      </c>
      <c r="H2972" s="38"/>
    </row>
    <row r="2973" spans="1:8" ht="14.25" customHeight="1">
      <c r="A2973" s="36">
        <v>4</v>
      </c>
      <c r="B2973" s="39" t="s">
        <v>17</v>
      </c>
      <c r="C2973" s="38"/>
      <c r="D2973" s="38"/>
      <c r="E2973" s="38"/>
      <c r="F2973" s="60"/>
      <c r="G2973" s="37">
        <f t="shared" si="194"/>
        <v>0</v>
      </c>
      <c r="H2973" s="38"/>
    </row>
    <row r="2974" spans="1:8" ht="14.25" customHeight="1">
      <c r="A2974" s="83" t="s">
        <v>18</v>
      </c>
      <c r="B2974" s="81"/>
      <c r="C2974" s="81"/>
      <c r="D2974" s="81"/>
      <c r="E2974" s="81"/>
      <c r="F2974" s="81"/>
      <c r="G2974" s="82"/>
      <c r="H2974" s="41">
        <f>SUM(G2971:G2973)</f>
        <v>1204350</v>
      </c>
    </row>
    <row r="2975" spans="1:8" ht="14.25" customHeight="1">
      <c r="A2975" s="83" t="s">
        <v>19</v>
      </c>
      <c r="B2975" s="81"/>
      <c r="C2975" s="81"/>
      <c r="D2975" s="81"/>
      <c r="E2975" s="81"/>
      <c r="F2975" s="81"/>
      <c r="G2975" s="82"/>
      <c r="H2975" s="41">
        <f>MAX(0,H2974-648000)</f>
        <v>556350</v>
      </c>
    </row>
    <row r="2976" spans="1:8" ht="14.25" customHeight="1">
      <c r="A2976" s="84" t="s">
        <v>20</v>
      </c>
      <c r="B2976" s="81"/>
      <c r="C2976" s="81"/>
      <c r="D2976" s="81"/>
      <c r="E2976" s="81"/>
      <c r="F2976" s="81"/>
      <c r="G2976" s="82"/>
      <c r="H2976" s="42">
        <v>649000</v>
      </c>
    </row>
    <row r="2977" spans="1:8" ht="14.25" customHeight="1">
      <c r="A2977" s="80"/>
      <c r="B2977" s="81"/>
      <c r="C2977" s="81"/>
      <c r="D2977" s="81"/>
      <c r="E2977" s="81"/>
      <c r="F2977" s="81"/>
      <c r="G2977" s="81"/>
      <c r="H2977" s="82"/>
    </row>
    <row r="2978" spans="1:8" ht="14.25" customHeight="1"/>
    <row r="2979" spans="1:8" ht="14.25" customHeight="1"/>
    <row r="2980" spans="1:8" ht="14.25" customHeight="1"/>
    <row r="2981" spans="1:8" ht="14.25" customHeight="1"/>
    <row r="2982" spans="1:8" ht="14.25" customHeight="1"/>
    <row r="2983" spans="1:8" ht="14.25" customHeight="1">
      <c r="A2983" s="80" t="s">
        <v>0</v>
      </c>
      <c r="B2983" s="81"/>
      <c r="C2983" s="81"/>
      <c r="D2983" s="81"/>
      <c r="E2983" s="81"/>
      <c r="F2983" s="81"/>
      <c r="G2983" s="81"/>
      <c r="H2983" s="82"/>
    </row>
    <row r="2984" spans="1:8" ht="14.25" customHeight="1">
      <c r="A2984" s="80" t="s">
        <v>826</v>
      </c>
      <c r="B2984" s="81"/>
      <c r="C2984" s="81"/>
      <c r="D2984" s="81"/>
      <c r="E2984" s="81"/>
      <c r="F2984" s="81"/>
      <c r="G2984" s="81"/>
      <c r="H2984" s="82"/>
    </row>
    <row r="2985" spans="1:8" ht="14.25" customHeight="1">
      <c r="A2985" s="33" t="s">
        <v>2</v>
      </c>
      <c r="B2985" s="33" t="s">
        <v>3</v>
      </c>
      <c r="C2985" s="33" t="s">
        <v>4</v>
      </c>
      <c r="D2985" s="33" t="s">
        <v>5</v>
      </c>
      <c r="E2985" s="33" t="s">
        <v>6</v>
      </c>
      <c r="F2985" s="34" t="s">
        <v>7</v>
      </c>
      <c r="G2985" s="33" t="s">
        <v>8</v>
      </c>
      <c r="H2985" s="35"/>
    </row>
    <row r="2986" spans="1:8" ht="14.25" customHeight="1">
      <c r="A2986" s="36">
        <v>1</v>
      </c>
      <c r="B2986" s="18" t="s">
        <v>351</v>
      </c>
      <c r="C2986" s="5" t="s">
        <v>827</v>
      </c>
      <c r="D2986" s="18" t="s">
        <v>413</v>
      </c>
      <c r="E2986" s="18">
        <v>1.59</v>
      </c>
      <c r="F2986" s="6">
        <v>293000</v>
      </c>
      <c r="G2986" s="37">
        <f t="shared" ref="G2986:G2988" si="195">IFERROR(E2986*F2986,0)</f>
        <v>465870</v>
      </c>
      <c r="H2986" s="38"/>
    </row>
    <row r="2987" spans="1:8" ht="14.25" customHeight="1">
      <c r="A2987" s="36">
        <v>2</v>
      </c>
      <c r="B2987" s="12" t="s">
        <v>73</v>
      </c>
      <c r="C2987" s="10" t="s">
        <v>828</v>
      </c>
      <c r="D2987" s="12" t="s">
        <v>14</v>
      </c>
      <c r="E2987" s="12">
        <v>1.52</v>
      </c>
      <c r="F2987" s="43">
        <v>435000</v>
      </c>
      <c r="G2987" s="37">
        <f t="shared" si="195"/>
        <v>661200</v>
      </c>
      <c r="H2987" s="38"/>
    </row>
    <row r="2988" spans="1:8" ht="14.25" customHeight="1">
      <c r="A2988" s="36">
        <v>4</v>
      </c>
      <c r="B2988" s="39" t="s">
        <v>17</v>
      </c>
      <c r="C2988" s="38"/>
      <c r="D2988" s="38"/>
      <c r="E2988" s="38"/>
      <c r="F2988" s="60"/>
      <c r="G2988" s="37">
        <f t="shared" si="195"/>
        <v>0</v>
      </c>
      <c r="H2988" s="38"/>
    </row>
    <row r="2989" spans="1:8" ht="14.25" customHeight="1">
      <c r="A2989" s="83" t="s">
        <v>18</v>
      </c>
      <c r="B2989" s="81"/>
      <c r="C2989" s="81"/>
      <c r="D2989" s="81"/>
      <c r="E2989" s="81"/>
      <c r="F2989" s="81"/>
      <c r="G2989" s="82"/>
      <c r="H2989" s="41">
        <f>SUM(G2986:G2988)</f>
        <v>1127070</v>
      </c>
    </row>
    <row r="2990" spans="1:8" ht="14.25" customHeight="1">
      <c r="A2990" s="83" t="s">
        <v>19</v>
      </c>
      <c r="B2990" s="81"/>
      <c r="C2990" s="81"/>
      <c r="D2990" s="81"/>
      <c r="E2990" s="81"/>
      <c r="F2990" s="81"/>
      <c r="G2990" s="82"/>
      <c r="H2990" s="41">
        <f>MAX(0,H2989-648000)</f>
        <v>479070</v>
      </c>
    </row>
    <row r="2991" spans="1:8" ht="14.25" customHeight="1">
      <c r="A2991" s="84" t="s">
        <v>20</v>
      </c>
      <c r="B2991" s="81"/>
      <c r="C2991" s="81"/>
      <c r="D2991" s="81"/>
      <c r="E2991" s="81"/>
      <c r="F2991" s="81"/>
      <c r="G2991" s="82"/>
      <c r="H2991" s="42">
        <v>649000</v>
      </c>
    </row>
    <row r="2992" spans="1:8" ht="14.25" customHeight="1">
      <c r="A2992" s="80"/>
      <c r="B2992" s="81"/>
      <c r="C2992" s="81"/>
      <c r="D2992" s="81"/>
      <c r="E2992" s="81"/>
      <c r="F2992" s="81"/>
      <c r="G2992" s="81"/>
      <c r="H2992" s="82"/>
    </row>
    <row r="2997" spans="1:8" ht="14.25" customHeight="1"/>
    <row r="2998" spans="1:8" ht="14.25" customHeight="1">
      <c r="A2998" s="80" t="s">
        <v>0</v>
      </c>
      <c r="B2998" s="81"/>
      <c r="C2998" s="81"/>
      <c r="D2998" s="81"/>
      <c r="E2998" s="81"/>
      <c r="F2998" s="81"/>
      <c r="G2998" s="81"/>
      <c r="H2998" s="82"/>
    </row>
    <row r="2999" spans="1:8" ht="14.25" customHeight="1">
      <c r="A2999" s="80" t="s">
        <v>829</v>
      </c>
      <c r="B2999" s="81"/>
      <c r="C2999" s="81"/>
      <c r="D2999" s="81"/>
      <c r="E2999" s="81"/>
      <c r="F2999" s="81"/>
      <c r="G2999" s="81"/>
      <c r="H2999" s="82"/>
    </row>
    <row r="3000" spans="1:8" ht="14.25" customHeight="1">
      <c r="A3000" s="33" t="s">
        <v>2</v>
      </c>
      <c r="B3000" s="33" t="s">
        <v>3</v>
      </c>
      <c r="C3000" s="33" t="s">
        <v>4</v>
      </c>
      <c r="D3000" s="33" t="s">
        <v>5</v>
      </c>
      <c r="E3000" s="33" t="s">
        <v>6</v>
      </c>
      <c r="F3000" s="34" t="s">
        <v>7</v>
      </c>
      <c r="G3000" s="33" t="s">
        <v>8</v>
      </c>
      <c r="H3000" s="35"/>
    </row>
    <row r="3001" spans="1:8" ht="14.25" customHeight="1">
      <c r="A3001" s="36">
        <v>1</v>
      </c>
      <c r="B3001" s="18" t="s">
        <v>43</v>
      </c>
      <c r="C3001" s="5" t="s">
        <v>830</v>
      </c>
      <c r="D3001" s="18" t="s">
        <v>413</v>
      </c>
      <c r="E3001" s="18">
        <v>1</v>
      </c>
      <c r="F3001" s="6">
        <v>293000</v>
      </c>
      <c r="G3001" s="37">
        <f t="shared" ref="G3001:G3003" si="196">IFERROR(E3001*F3001,0)</f>
        <v>293000</v>
      </c>
      <c r="H3001" s="38"/>
    </row>
    <row r="3002" spans="1:8" ht="14.25" customHeight="1">
      <c r="A3002" s="36">
        <v>2</v>
      </c>
      <c r="B3002" s="12" t="s">
        <v>549</v>
      </c>
      <c r="C3002" s="10" t="s">
        <v>831</v>
      </c>
      <c r="D3002" s="12" t="s">
        <v>233</v>
      </c>
      <c r="E3002" s="12">
        <v>2.4300000000000002</v>
      </c>
      <c r="F3002" s="43">
        <v>435000</v>
      </c>
      <c r="G3002" s="37">
        <f t="shared" si="196"/>
        <v>1057050</v>
      </c>
      <c r="H3002" s="38"/>
    </row>
    <row r="3003" spans="1:8" ht="14.25" customHeight="1">
      <c r="A3003" s="36">
        <v>4</v>
      </c>
      <c r="B3003" s="39" t="s">
        <v>17</v>
      </c>
      <c r="C3003" s="38"/>
      <c r="D3003" s="38"/>
      <c r="E3003" s="38"/>
      <c r="F3003" s="60"/>
      <c r="G3003" s="37">
        <f t="shared" si="196"/>
        <v>0</v>
      </c>
      <c r="H3003" s="38"/>
    </row>
    <row r="3004" spans="1:8" ht="14.25" customHeight="1">
      <c r="A3004" s="83" t="s">
        <v>18</v>
      </c>
      <c r="B3004" s="81"/>
      <c r="C3004" s="81"/>
      <c r="D3004" s="81"/>
      <c r="E3004" s="81"/>
      <c r="F3004" s="81"/>
      <c r="G3004" s="82"/>
      <c r="H3004" s="41">
        <f>SUM(G3001:G3003)</f>
        <v>1350050</v>
      </c>
    </row>
    <row r="3005" spans="1:8" ht="14.25" customHeight="1">
      <c r="A3005" s="83" t="s">
        <v>19</v>
      </c>
      <c r="B3005" s="81"/>
      <c r="C3005" s="81"/>
      <c r="D3005" s="81"/>
      <c r="E3005" s="81"/>
      <c r="F3005" s="81"/>
      <c r="G3005" s="82"/>
      <c r="H3005" s="41">
        <f>MAX(0,H3004-648000)</f>
        <v>702050</v>
      </c>
    </row>
    <row r="3006" spans="1:8" ht="14.25" customHeight="1">
      <c r="A3006" s="84" t="s">
        <v>20</v>
      </c>
      <c r="B3006" s="81"/>
      <c r="C3006" s="81"/>
      <c r="D3006" s="81"/>
      <c r="E3006" s="81"/>
      <c r="F3006" s="81"/>
      <c r="G3006" s="82"/>
      <c r="H3006" s="42">
        <v>649000</v>
      </c>
    </row>
    <row r="3007" spans="1:8" ht="14.25" customHeight="1">
      <c r="A3007" s="80"/>
      <c r="B3007" s="81"/>
      <c r="C3007" s="81"/>
      <c r="D3007" s="81"/>
      <c r="E3007" s="81"/>
      <c r="F3007" s="81"/>
      <c r="G3007" s="81"/>
      <c r="H3007" s="82"/>
    </row>
    <row r="3008" spans="1:8" ht="14.25" customHeight="1"/>
    <row r="3009" spans="1:8" ht="14.25" customHeight="1"/>
    <row r="3010" spans="1:8" ht="14.25" customHeight="1"/>
    <row r="3011" spans="1:8" ht="14.25" customHeight="1"/>
    <row r="3012" spans="1:8" ht="14.25" customHeight="1"/>
    <row r="3013" spans="1:8" ht="14.25" customHeight="1"/>
    <row r="3014" spans="1:8" ht="14.25" customHeight="1">
      <c r="A3014" s="80" t="s">
        <v>0</v>
      </c>
      <c r="B3014" s="81"/>
      <c r="C3014" s="81"/>
      <c r="D3014" s="81"/>
      <c r="E3014" s="81"/>
      <c r="F3014" s="81"/>
      <c r="G3014" s="81"/>
      <c r="H3014" s="82"/>
    </row>
    <row r="3015" spans="1:8" ht="14.25" customHeight="1">
      <c r="A3015" s="80" t="s">
        <v>832</v>
      </c>
      <c r="B3015" s="81"/>
      <c r="C3015" s="81"/>
      <c r="D3015" s="81"/>
      <c r="E3015" s="81"/>
      <c r="F3015" s="81"/>
      <c r="G3015" s="81"/>
      <c r="H3015" s="82"/>
    </row>
    <row r="3016" spans="1:8" ht="14.25" customHeight="1">
      <c r="A3016" s="33" t="s">
        <v>2</v>
      </c>
      <c r="B3016" s="33" t="s">
        <v>3</v>
      </c>
      <c r="C3016" s="33" t="s">
        <v>4</v>
      </c>
      <c r="D3016" s="33" t="s">
        <v>5</v>
      </c>
      <c r="E3016" s="33" t="s">
        <v>6</v>
      </c>
      <c r="F3016" s="34" t="s">
        <v>7</v>
      </c>
      <c r="G3016" s="33" t="s">
        <v>8</v>
      </c>
      <c r="H3016" s="35"/>
    </row>
    <row r="3017" spans="1:8" ht="14.25" customHeight="1">
      <c r="A3017" s="36">
        <v>1</v>
      </c>
      <c r="B3017" s="18" t="s">
        <v>582</v>
      </c>
      <c r="C3017" s="5" t="s">
        <v>833</v>
      </c>
      <c r="D3017" s="18" t="s">
        <v>413</v>
      </c>
      <c r="E3017" s="18">
        <v>1.93</v>
      </c>
      <c r="F3017" s="6">
        <v>293000</v>
      </c>
      <c r="G3017" s="37">
        <f t="shared" ref="G3017:G3019" si="197">IFERROR(E3017*F3017,0)</f>
        <v>565490</v>
      </c>
      <c r="H3017" s="38"/>
    </row>
    <row r="3018" spans="1:8" ht="14.25" customHeight="1">
      <c r="A3018" s="36">
        <v>2</v>
      </c>
      <c r="B3018" s="12" t="s">
        <v>177</v>
      </c>
      <c r="C3018" s="10" t="s">
        <v>834</v>
      </c>
      <c r="D3018" s="12" t="s">
        <v>14</v>
      </c>
      <c r="E3018" s="12">
        <v>1.45</v>
      </c>
      <c r="F3018" s="43">
        <v>435000</v>
      </c>
      <c r="G3018" s="37">
        <f t="shared" si="197"/>
        <v>630750</v>
      </c>
      <c r="H3018" s="38"/>
    </row>
    <row r="3019" spans="1:8" ht="14.25" customHeight="1">
      <c r="A3019" s="36">
        <v>4</v>
      </c>
      <c r="B3019" s="39" t="s">
        <v>17</v>
      </c>
      <c r="C3019" s="38"/>
      <c r="D3019" s="38"/>
      <c r="E3019" s="38"/>
      <c r="F3019" s="60"/>
      <c r="G3019" s="37">
        <f t="shared" si="197"/>
        <v>0</v>
      </c>
      <c r="H3019" s="38"/>
    </row>
    <row r="3020" spans="1:8" ht="14.25" customHeight="1">
      <c r="A3020" s="83" t="s">
        <v>18</v>
      </c>
      <c r="B3020" s="81"/>
      <c r="C3020" s="81"/>
      <c r="D3020" s="81"/>
      <c r="E3020" s="81"/>
      <c r="F3020" s="81"/>
      <c r="G3020" s="82"/>
      <c r="H3020" s="41">
        <f>SUM(G3017:G3019)</f>
        <v>1196240</v>
      </c>
    </row>
    <row r="3021" spans="1:8" ht="14.25" customHeight="1">
      <c r="A3021" s="83" t="s">
        <v>19</v>
      </c>
      <c r="B3021" s="81"/>
      <c r="C3021" s="81"/>
      <c r="D3021" s="81"/>
      <c r="E3021" s="81"/>
      <c r="F3021" s="81"/>
      <c r="G3021" s="82"/>
      <c r="H3021" s="41">
        <f>MAX(0,H3020-648000)</f>
        <v>548240</v>
      </c>
    </row>
    <row r="3022" spans="1:8" ht="14.25" customHeight="1">
      <c r="A3022" s="84" t="s">
        <v>20</v>
      </c>
      <c r="B3022" s="81"/>
      <c r="C3022" s="81"/>
      <c r="D3022" s="81"/>
      <c r="E3022" s="81"/>
      <c r="F3022" s="81"/>
      <c r="G3022" s="82"/>
      <c r="H3022" s="42">
        <v>649000</v>
      </c>
    </row>
    <row r="3023" spans="1:8" ht="14.25" customHeight="1">
      <c r="A3023" s="80"/>
      <c r="B3023" s="81"/>
      <c r="C3023" s="81"/>
      <c r="D3023" s="81"/>
      <c r="E3023" s="81"/>
      <c r="F3023" s="81"/>
      <c r="G3023" s="81"/>
      <c r="H3023" s="82"/>
    </row>
    <row r="3024" spans="1:8" ht="14.25" customHeight="1"/>
    <row r="3025" spans="1:9" ht="14.25" customHeight="1"/>
    <row r="3026" spans="1:9" ht="14.25" customHeight="1"/>
    <row r="3027" spans="1:9" ht="14.25" customHeight="1"/>
    <row r="3028" spans="1:9" ht="14.25" customHeight="1"/>
    <row r="3029" spans="1:9" ht="14.25" customHeight="1"/>
    <row r="3030" spans="1:9" ht="14.25" customHeight="1">
      <c r="A3030" s="80" t="s">
        <v>0</v>
      </c>
      <c r="B3030" s="81"/>
      <c r="C3030" s="81"/>
      <c r="D3030" s="81"/>
      <c r="E3030" s="81"/>
      <c r="F3030" s="81"/>
      <c r="G3030" s="81"/>
      <c r="H3030" s="82"/>
      <c r="I3030" s="51"/>
    </row>
    <row r="3031" spans="1:9" ht="14.25" customHeight="1">
      <c r="A3031" s="80" t="s">
        <v>835</v>
      </c>
      <c r="B3031" s="81"/>
      <c r="C3031" s="81"/>
      <c r="D3031" s="81"/>
      <c r="E3031" s="81"/>
      <c r="F3031" s="81"/>
      <c r="G3031" s="81"/>
      <c r="H3031" s="82"/>
      <c r="I3031" s="51"/>
    </row>
    <row r="3032" spans="1:9" ht="14.25" customHeight="1">
      <c r="A3032" s="33" t="s">
        <v>2</v>
      </c>
      <c r="B3032" s="33" t="s">
        <v>3</v>
      </c>
      <c r="C3032" s="33" t="s">
        <v>4</v>
      </c>
      <c r="D3032" s="33" t="s">
        <v>5</v>
      </c>
      <c r="E3032" s="33" t="s">
        <v>6</v>
      </c>
      <c r="F3032" s="34" t="s">
        <v>7</v>
      </c>
      <c r="G3032" s="33" t="s">
        <v>8</v>
      </c>
      <c r="H3032" s="35"/>
      <c r="I3032" s="51"/>
    </row>
    <row r="3033" spans="1:9" ht="14.25" customHeight="1">
      <c r="A3033" s="36">
        <v>1</v>
      </c>
      <c r="B3033" s="18" t="s">
        <v>1802</v>
      </c>
      <c r="C3033" s="5" t="s">
        <v>836</v>
      </c>
      <c r="D3033" s="18" t="s">
        <v>413</v>
      </c>
      <c r="E3033" s="18">
        <v>1.48</v>
      </c>
      <c r="F3033" s="6">
        <v>293000</v>
      </c>
      <c r="G3033" s="37">
        <f t="shared" ref="G3033:G3035" si="198">IFERROR(E3033*F3033,0)</f>
        <v>433640</v>
      </c>
      <c r="H3033" s="38"/>
      <c r="I3033" s="51"/>
    </row>
    <row r="3034" spans="1:9" ht="14.25" customHeight="1">
      <c r="A3034" s="36">
        <v>2</v>
      </c>
      <c r="B3034" s="12" t="s">
        <v>621</v>
      </c>
      <c r="C3034" s="10" t="s">
        <v>837</v>
      </c>
      <c r="D3034" s="12" t="s">
        <v>233</v>
      </c>
      <c r="E3034" s="12">
        <v>2</v>
      </c>
      <c r="F3034" s="43">
        <v>435000</v>
      </c>
      <c r="G3034" s="37">
        <f t="shared" si="198"/>
        <v>870000</v>
      </c>
      <c r="H3034" s="38"/>
      <c r="I3034" s="51"/>
    </row>
    <row r="3035" spans="1:9" ht="14.25" customHeight="1">
      <c r="A3035" s="36">
        <v>4</v>
      </c>
      <c r="B3035" s="39" t="s">
        <v>17</v>
      </c>
      <c r="C3035" s="38"/>
      <c r="D3035" s="38"/>
      <c r="E3035" s="38"/>
      <c r="F3035" s="60"/>
      <c r="G3035" s="37">
        <f t="shared" si="198"/>
        <v>0</v>
      </c>
      <c r="H3035" s="38"/>
      <c r="I3035" s="51"/>
    </row>
    <row r="3036" spans="1:9" ht="14.25" customHeight="1">
      <c r="A3036" s="83" t="s">
        <v>18</v>
      </c>
      <c r="B3036" s="81"/>
      <c r="C3036" s="81"/>
      <c r="D3036" s="81"/>
      <c r="E3036" s="81"/>
      <c r="F3036" s="81"/>
      <c r="G3036" s="82"/>
      <c r="H3036" s="41">
        <f>SUM(G3033:G3035)</f>
        <v>1303640</v>
      </c>
      <c r="I3036" s="51"/>
    </row>
    <row r="3037" spans="1:9" ht="14.25" customHeight="1">
      <c r="A3037" s="83" t="s">
        <v>19</v>
      </c>
      <c r="B3037" s="81"/>
      <c r="C3037" s="81"/>
      <c r="D3037" s="81"/>
      <c r="E3037" s="81"/>
      <c r="F3037" s="81"/>
      <c r="G3037" s="82"/>
      <c r="H3037" s="41">
        <f>MAX(0,H3036-648000)</f>
        <v>655640</v>
      </c>
      <c r="I3037" s="51"/>
    </row>
    <row r="3038" spans="1:9" ht="14.25" customHeight="1">
      <c r="A3038" s="84" t="s">
        <v>20</v>
      </c>
      <c r="B3038" s="81"/>
      <c r="C3038" s="81"/>
      <c r="D3038" s="81"/>
      <c r="E3038" s="81"/>
      <c r="F3038" s="81"/>
      <c r="G3038" s="82"/>
      <c r="H3038" s="42">
        <v>649000</v>
      </c>
      <c r="I3038" s="51"/>
    </row>
    <row r="3039" spans="1:9" ht="14.25" customHeight="1">
      <c r="A3039" s="80"/>
      <c r="B3039" s="81"/>
      <c r="C3039" s="81"/>
      <c r="D3039" s="81"/>
      <c r="E3039" s="81"/>
      <c r="F3039" s="81"/>
      <c r="G3039" s="81"/>
      <c r="H3039" s="82"/>
      <c r="I3039" s="51"/>
    </row>
    <row r="3040" spans="1:9" ht="14.25" customHeight="1">
      <c r="I3040" s="51"/>
    </row>
    <row r="3041" spans="1:26" ht="14.25" customHeight="1">
      <c r="I3041" s="51"/>
    </row>
    <row r="3042" spans="1:26" ht="14.25" customHeight="1">
      <c r="I3042" s="51"/>
    </row>
    <row r="3043" spans="1:26" ht="14.25" customHeight="1">
      <c r="I3043" s="51"/>
    </row>
    <row r="3044" spans="1:26" ht="14.25" customHeight="1">
      <c r="A3044" s="80" t="s">
        <v>0</v>
      </c>
      <c r="B3044" s="81"/>
      <c r="C3044" s="81"/>
      <c r="D3044" s="81"/>
      <c r="E3044" s="81"/>
      <c r="F3044" s="81"/>
      <c r="G3044" s="81"/>
      <c r="H3044" s="82"/>
      <c r="I3044" s="51"/>
      <c r="J3044" s="32"/>
      <c r="K3044" s="32"/>
      <c r="L3044" s="32"/>
      <c r="M3044" s="32"/>
      <c r="N3044" s="32"/>
      <c r="O3044" s="32"/>
      <c r="P3044" s="32"/>
      <c r="Q3044" s="32"/>
      <c r="R3044" s="32"/>
      <c r="S3044" s="32"/>
      <c r="T3044" s="32"/>
      <c r="U3044" s="32"/>
      <c r="V3044" s="32"/>
      <c r="W3044" s="32"/>
      <c r="X3044" s="32"/>
      <c r="Y3044" s="32"/>
      <c r="Z3044" s="32"/>
    </row>
    <row r="3045" spans="1:26" ht="14.25" customHeight="1">
      <c r="A3045" s="80" t="s">
        <v>838</v>
      </c>
      <c r="B3045" s="81"/>
      <c r="C3045" s="81"/>
      <c r="D3045" s="81"/>
      <c r="E3045" s="81"/>
      <c r="F3045" s="81"/>
      <c r="G3045" s="81"/>
      <c r="H3045" s="82"/>
      <c r="I3045" s="51"/>
      <c r="J3045" s="32"/>
      <c r="K3045" s="32"/>
      <c r="L3045" s="32"/>
      <c r="M3045" s="32"/>
      <c r="N3045" s="32"/>
      <c r="O3045" s="32"/>
      <c r="P3045" s="32"/>
      <c r="Q3045" s="32"/>
      <c r="R3045" s="32"/>
      <c r="S3045" s="32"/>
      <c r="T3045" s="32"/>
      <c r="U3045" s="32"/>
      <c r="V3045" s="32"/>
      <c r="W3045" s="32"/>
      <c r="X3045" s="32"/>
      <c r="Y3045" s="32"/>
      <c r="Z3045" s="32"/>
    </row>
    <row r="3046" spans="1:26" ht="14.25" customHeight="1">
      <c r="A3046" s="33" t="s">
        <v>2</v>
      </c>
      <c r="B3046" s="33" t="s">
        <v>3</v>
      </c>
      <c r="C3046" s="33" t="s">
        <v>4</v>
      </c>
      <c r="D3046" s="33" t="s">
        <v>5</v>
      </c>
      <c r="E3046" s="33" t="s">
        <v>6</v>
      </c>
      <c r="F3046" s="34" t="s">
        <v>7</v>
      </c>
      <c r="G3046" s="33" t="s">
        <v>8</v>
      </c>
      <c r="H3046" s="35"/>
      <c r="I3046" s="51"/>
      <c r="J3046" s="32"/>
      <c r="K3046" s="32"/>
      <c r="L3046" s="32"/>
      <c r="M3046" s="32"/>
      <c r="N3046" s="32"/>
      <c r="O3046" s="32"/>
      <c r="P3046" s="32"/>
      <c r="Q3046" s="32"/>
      <c r="R3046" s="32"/>
      <c r="S3046" s="32"/>
      <c r="T3046" s="32"/>
      <c r="U3046" s="32"/>
      <c r="V3046" s="32"/>
      <c r="W3046" s="32"/>
      <c r="X3046" s="32"/>
      <c r="Y3046" s="32"/>
      <c r="Z3046" s="32"/>
    </row>
    <row r="3047" spans="1:26" ht="14.25" customHeight="1">
      <c r="A3047" s="36">
        <v>1</v>
      </c>
      <c r="B3047" s="4" t="s">
        <v>73</v>
      </c>
      <c r="C3047" s="5" t="s">
        <v>839</v>
      </c>
      <c r="D3047" s="4" t="s">
        <v>413</v>
      </c>
      <c r="E3047" s="4">
        <v>1.5</v>
      </c>
      <c r="F3047" s="6">
        <v>293000</v>
      </c>
      <c r="G3047" s="37">
        <f t="shared" ref="G3047:G3049" si="199">IFERROR(E3047*F3047,0)</f>
        <v>439500</v>
      </c>
      <c r="H3047" s="38"/>
      <c r="I3047" s="51"/>
      <c r="J3047" s="32"/>
      <c r="K3047" s="32"/>
      <c r="L3047" s="32"/>
      <c r="M3047" s="32"/>
      <c r="N3047" s="32"/>
      <c r="O3047" s="32"/>
      <c r="P3047" s="32"/>
      <c r="Q3047" s="32"/>
      <c r="R3047" s="32"/>
      <c r="S3047" s="32"/>
      <c r="T3047" s="32"/>
      <c r="U3047" s="32"/>
      <c r="V3047" s="32"/>
      <c r="W3047" s="32"/>
      <c r="X3047" s="32"/>
      <c r="Y3047" s="32"/>
      <c r="Z3047" s="32"/>
    </row>
    <row r="3048" spans="1:26" ht="14.25" customHeight="1">
      <c r="A3048" s="36">
        <v>2</v>
      </c>
      <c r="B3048" s="9" t="s">
        <v>840</v>
      </c>
      <c r="C3048" s="10" t="s">
        <v>841</v>
      </c>
      <c r="D3048" s="9" t="s">
        <v>233</v>
      </c>
      <c r="E3048" s="9">
        <v>2</v>
      </c>
      <c r="F3048" s="43">
        <v>435000</v>
      </c>
      <c r="G3048" s="37">
        <f t="shared" si="199"/>
        <v>870000</v>
      </c>
      <c r="H3048" s="38"/>
      <c r="I3048" s="51"/>
      <c r="J3048" s="32"/>
      <c r="K3048" s="32"/>
      <c r="L3048" s="32"/>
      <c r="M3048" s="32"/>
      <c r="N3048" s="32"/>
      <c r="O3048" s="32"/>
      <c r="P3048" s="32"/>
      <c r="Q3048" s="32"/>
      <c r="R3048" s="32"/>
      <c r="S3048" s="32"/>
      <c r="T3048" s="32"/>
      <c r="U3048" s="32"/>
      <c r="V3048" s="32"/>
      <c r="W3048" s="32"/>
      <c r="X3048" s="32"/>
      <c r="Y3048" s="32"/>
      <c r="Z3048" s="32"/>
    </row>
    <row r="3049" spans="1:26" ht="14.25" customHeight="1">
      <c r="A3049" s="36">
        <v>4</v>
      </c>
      <c r="B3049" s="39" t="s">
        <v>17</v>
      </c>
      <c r="C3049" s="38"/>
      <c r="D3049" s="38"/>
      <c r="E3049" s="38"/>
      <c r="F3049" s="60"/>
      <c r="G3049" s="37">
        <f t="shared" si="199"/>
        <v>0</v>
      </c>
      <c r="H3049" s="38"/>
      <c r="I3049" s="51"/>
      <c r="J3049" s="32"/>
      <c r="K3049" s="32"/>
      <c r="L3049" s="32"/>
      <c r="M3049" s="32"/>
      <c r="N3049" s="32"/>
      <c r="O3049" s="32"/>
      <c r="P3049" s="32"/>
      <c r="Q3049" s="32"/>
      <c r="R3049" s="32"/>
      <c r="S3049" s="32"/>
      <c r="T3049" s="32"/>
      <c r="U3049" s="32"/>
      <c r="V3049" s="32"/>
      <c r="W3049" s="32"/>
      <c r="X3049" s="32"/>
      <c r="Y3049" s="32"/>
      <c r="Z3049" s="32"/>
    </row>
    <row r="3050" spans="1:26" ht="14.25" customHeight="1">
      <c r="A3050" s="83" t="s">
        <v>18</v>
      </c>
      <c r="B3050" s="81"/>
      <c r="C3050" s="81"/>
      <c r="D3050" s="81"/>
      <c r="E3050" s="81"/>
      <c r="F3050" s="81"/>
      <c r="G3050" s="82"/>
      <c r="H3050" s="41">
        <f>SUM(G3047:G3049)</f>
        <v>1309500</v>
      </c>
      <c r="I3050" s="51"/>
      <c r="J3050" s="32"/>
      <c r="K3050" s="32"/>
      <c r="L3050" s="32"/>
      <c r="M3050" s="32"/>
      <c r="N3050" s="32"/>
      <c r="O3050" s="32"/>
      <c r="P3050" s="32"/>
      <c r="Q3050" s="32"/>
      <c r="R3050" s="32"/>
      <c r="S3050" s="32"/>
      <c r="T3050" s="32"/>
      <c r="U3050" s="32"/>
      <c r="V3050" s="32"/>
      <c r="W3050" s="32"/>
      <c r="X3050" s="32"/>
      <c r="Y3050" s="32"/>
      <c r="Z3050" s="32"/>
    </row>
    <row r="3051" spans="1:26" ht="14.25" customHeight="1">
      <c r="A3051" s="83" t="s">
        <v>19</v>
      </c>
      <c r="B3051" s="81"/>
      <c r="C3051" s="81"/>
      <c r="D3051" s="81"/>
      <c r="E3051" s="81"/>
      <c r="F3051" s="81"/>
      <c r="G3051" s="82"/>
      <c r="H3051" s="41">
        <f>MAX(0,H3050-648000)</f>
        <v>661500</v>
      </c>
      <c r="I3051" s="51"/>
      <c r="J3051" s="32"/>
      <c r="K3051" s="32"/>
      <c r="L3051" s="32"/>
      <c r="M3051" s="32"/>
      <c r="N3051" s="32"/>
      <c r="O3051" s="32"/>
      <c r="P3051" s="32"/>
      <c r="Q3051" s="32"/>
      <c r="R3051" s="32"/>
      <c r="S3051" s="32"/>
      <c r="T3051" s="32"/>
      <c r="U3051" s="32"/>
      <c r="V3051" s="32"/>
      <c r="W3051" s="32"/>
      <c r="X3051" s="32"/>
      <c r="Y3051" s="32"/>
      <c r="Z3051" s="32"/>
    </row>
    <row r="3052" spans="1:26" ht="14.25" customHeight="1">
      <c r="A3052" s="84" t="s">
        <v>20</v>
      </c>
      <c r="B3052" s="81"/>
      <c r="C3052" s="81"/>
      <c r="D3052" s="81"/>
      <c r="E3052" s="81"/>
      <c r="F3052" s="81"/>
      <c r="G3052" s="82"/>
      <c r="H3052" s="42">
        <v>649000</v>
      </c>
      <c r="I3052" s="51"/>
      <c r="J3052" s="32"/>
      <c r="K3052" s="32"/>
      <c r="L3052" s="32"/>
      <c r="M3052" s="32"/>
      <c r="N3052" s="32"/>
      <c r="O3052" s="32"/>
      <c r="P3052" s="32"/>
      <c r="Q3052" s="32"/>
      <c r="R3052" s="32"/>
      <c r="S3052" s="32"/>
      <c r="T3052" s="32"/>
      <c r="U3052" s="32"/>
      <c r="V3052" s="32"/>
      <c r="W3052" s="32"/>
      <c r="X3052" s="32"/>
      <c r="Y3052" s="32"/>
      <c r="Z3052" s="32"/>
    </row>
    <row r="3053" spans="1:26" ht="14.25" customHeight="1">
      <c r="A3053" s="80"/>
      <c r="B3053" s="81"/>
      <c r="C3053" s="81"/>
      <c r="D3053" s="81"/>
      <c r="E3053" s="81"/>
      <c r="F3053" s="81"/>
      <c r="G3053" s="81"/>
      <c r="H3053" s="82"/>
      <c r="I3053" s="51"/>
      <c r="J3053" s="32"/>
      <c r="K3053" s="32"/>
      <c r="L3053" s="32"/>
      <c r="M3053" s="32"/>
      <c r="N3053" s="32"/>
      <c r="O3053" s="32"/>
      <c r="P3053" s="32"/>
      <c r="Q3053" s="32"/>
      <c r="R3053" s="32"/>
      <c r="S3053" s="32"/>
      <c r="T3053" s="32"/>
      <c r="U3053" s="32"/>
      <c r="V3053" s="32"/>
      <c r="W3053" s="32"/>
      <c r="X3053" s="32"/>
      <c r="Y3053" s="32"/>
      <c r="Z3053" s="32"/>
    </row>
    <row r="3054" spans="1:26" ht="14.25" customHeight="1">
      <c r="I3054" s="51"/>
    </row>
    <row r="3055" spans="1:26" ht="14.25" customHeight="1">
      <c r="I3055" s="51"/>
    </row>
    <row r="3056" spans="1:26" ht="14.25" customHeight="1">
      <c r="I3056" s="51"/>
    </row>
    <row r="3057" spans="1:26" ht="14.25" customHeight="1">
      <c r="I3057" s="51"/>
    </row>
    <row r="3058" spans="1:26" ht="14.25" customHeight="1">
      <c r="I3058" s="51"/>
    </row>
    <row r="3059" spans="1:26" ht="14.25" customHeight="1">
      <c r="I3059" s="51"/>
    </row>
    <row r="3060" spans="1:26" ht="14.25" customHeight="1">
      <c r="A3060" s="80" t="s">
        <v>0</v>
      </c>
      <c r="B3060" s="81"/>
      <c r="C3060" s="81"/>
      <c r="D3060" s="81"/>
      <c r="E3060" s="81"/>
      <c r="F3060" s="81"/>
      <c r="G3060" s="81"/>
      <c r="H3060" s="82"/>
      <c r="I3060" s="51"/>
      <c r="J3060" s="32"/>
      <c r="K3060" s="32"/>
      <c r="L3060" s="32"/>
      <c r="M3060" s="32"/>
      <c r="N3060" s="32"/>
      <c r="O3060" s="32"/>
      <c r="P3060" s="32"/>
      <c r="Q3060" s="32"/>
      <c r="R3060" s="32"/>
      <c r="S3060" s="32"/>
      <c r="T3060" s="32"/>
      <c r="U3060" s="32"/>
      <c r="V3060" s="32"/>
      <c r="W3060" s="32"/>
      <c r="X3060" s="32"/>
      <c r="Y3060" s="32"/>
      <c r="Z3060" s="32"/>
    </row>
    <row r="3061" spans="1:26" ht="14.25" customHeight="1">
      <c r="A3061" s="80" t="s">
        <v>842</v>
      </c>
      <c r="B3061" s="81"/>
      <c r="C3061" s="81"/>
      <c r="D3061" s="81"/>
      <c r="E3061" s="81"/>
      <c r="F3061" s="81"/>
      <c r="G3061" s="81"/>
      <c r="H3061" s="82"/>
      <c r="I3061" s="51"/>
      <c r="J3061" s="32"/>
      <c r="K3061" s="32"/>
      <c r="L3061" s="32"/>
      <c r="M3061" s="32"/>
      <c r="N3061" s="32"/>
      <c r="O3061" s="32"/>
      <c r="P3061" s="32"/>
      <c r="Q3061" s="32"/>
      <c r="R3061" s="32"/>
      <c r="S3061" s="32"/>
      <c r="T3061" s="32"/>
      <c r="U3061" s="32"/>
      <c r="V3061" s="32"/>
      <c r="W3061" s="32"/>
      <c r="X3061" s="32"/>
      <c r="Y3061" s="32"/>
      <c r="Z3061" s="32"/>
    </row>
    <row r="3062" spans="1:26" ht="14.25" customHeight="1">
      <c r="A3062" s="33" t="s">
        <v>2</v>
      </c>
      <c r="B3062" s="33" t="s">
        <v>3</v>
      </c>
      <c r="C3062" s="33" t="s">
        <v>4</v>
      </c>
      <c r="D3062" s="33" t="s">
        <v>5</v>
      </c>
      <c r="E3062" s="33" t="s">
        <v>6</v>
      </c>
      <c r="F3062" s="34" t="s">
        <v>7</v>
      </c>
      <c r="G3062" s="33" t="s">
        <v>8</v>
      </c>
      <c r="H3062" s="35"/>
      <c r="I3062" s="51"/>
      <c r="J3062" s="32"/>
      <c r="K3062" s="32"/>
      <c r="L3062" s="32"/>
      <c r="M3062" s="32"/>
      <c r="N3062" s="32"/>
      <c r="O3062" s="32"/>
      <c r="P3062" s="32"/>
      <c r="Q3062" s="32"/>
      <c r="R3062" s="32"/>
      <c r="S3062" s="32"/>
      <c r="T3062" s="32"/>
      <c r="U3062" s="32"/>
      <c r="V3062" s="32"/>
      <c r="W3062" s="32"/>
      <c r="X3062" s="32"/>
      <c r="Y3062" s="32"/>
      <c r="Z3062" s="32"/>
    </row>
    <row r="3063" spans="1:26" ht="14.25" customHeight="1">
      <c r="A3063" s="36">
        <v>1</v>
      </c>
      <c r="B3063" s="4" t="s">
        <v>422</v>
      </c>
      <c r="C3063" s="5" t="s">
        <v>843</v>
      </c>
      <c r="D3063" s="4" t="s">
        <v>413</v>
      </c>
      <c r="E3063" s="4">
        <v>1.45</v>
      </c>
      <c r="F3063" s="6">
        <v>293000</v>
      </c>
      <c r="G3063" s="37">
        <f t="shared" ref="G3063:G3065" si="200">IFERROR(E3063*F3063,0)</f>
        <v>424850</v>
      </c>
      <c r="H3063" s="38"/>
      <c r="I3063" s="51"/>
      <c r="J3063" s="32"/>
      <c r="K3063" s="32"/>
      <c r="L3063" s="32"/>
      <c r="M3063" s="32"/>
      <c r="N3063" s="32"/>
      <c r="O3063" s="32"/>
      <c r="P3063" s="32"/>
      <c r="Q3063" s="32"/>
      <c r="R3063" s="32"/>
      <c r="S3063" s="32"/>
      <c r="T3063" s="32"/>
      <c r="U3063" s="32"/>
      <c r="V3063" s="32"/>
      <c r="W3063" s="32"/>
      <c r="X3063" s="32"/>
      <c r="Y3063" s="32"/>
      <c r="Z3063" s="32"/>
    </row>
    <row r="3064" spans="1:26" ht="14.25" customHeight="1">
      <c r="A3064" s="36">
        <v>2</v>
      </c>
      <c r="B3064" s="9" t="s">
        <v>844</v>
      </c>
      <c r="C3064" s="10" t="s">
        <v>845</v>
      </c>
      <c r="D3064" s="9" t="s">
        <v>233</v>
      </c>
      <c r="E3064" s="9">
        <v>1.97</v>
      </c>
      <c r="F3064" s="43">
        <v>435000</v>
      </c>
      <c r="G3064" s="37">
        <f t="shared" si="200"/>
        <v>856950</v>
      </c>
      <c r="H3064" s="38"/>
      <c r="I3064" s="51"/>
      <c r="J3064" s="32"/>
      <c r="K3064" s="32"/>
      <c r="L3064" s="32"/>
      <c r="M3064" s="32"/>
      <c r="N3064" s="32"/>
      <c r="O3064" s="32"/>
      <c r="P3064" s="32"/>
      <c r="Q3064" s="32"/>
      <c r="R3064" s="32"/>
      <c r="S3064" s="32"/>
      <c r="T3064" s="32"/>
      <c r="U3064" s="32"/>
      <c r="V3064" s="32"/>
      <c r="W3064" s="32"/>
      <c r="X3064" s="32"/>
      <c r="Y3064" s="32"/>
      <c r="Z3064" s="32"/>
    </row>
    <row r="3065" spans="1:26" ht="14.25" customHeight="1">
      <c r="A3065" s="36">
        <v>4</v>
      </c>
      <c r="B3065" s="39" t="s">
        <v>17</v>
      </c>
      <c r="C3065" s="38"/>
      <c r="D3065" s="38"/>
      <c r="E3065" s="38"/>
      <c r="F3065" s="60"/>
      <c r="G3065" s="37">
        <f t="shared" si="200"/>
        <v>0</v>
      </c>
      <c r="H3065" s="38"/>
      <c r="I3065" s="51"/>
      <c r="J3065" s="32"/>
      <c r="K3065" s="32"/>
      <c r="L3065" s="32"/>
      <c r="M3065" s="32"/>
      <c r="N3065" s="32"/>
      <c r="O3065" s="32"/>
      <c r="P3065" s="32"/>
      <c r="Q3065" s="32"/>
      <c r="R3065" s="32"/>
      <c r="S3065" s="32"/>
      <c r="T3065" s="32"/>
      <c r="U3065" s="32"/>
      <c r="V3065" s="32"/>
      <c r="W3065" s="32"/>
      <c r="X3065" s="32"/>
      <c r="Y3065" s="32"/>
      <c r="Z3065" s="32"/>
    </row>
    <row r="3066" spans="1:26" ht="14.25" customHeight="1">
      <c r="A3066" s="83" t="s">
        <v>18</v>
      </c>
      <c r="B3066" s="81"/>
      <c r="C3066" s="81"/>
      <c r="D3066" s="81"/>
      <c r="E3066" s="81"/>
      <c r="F3066" s="81"/>
      <c r="G3066" s="82"/>
      <c r="H3066" s="41">
        <f>SUM(G3063:G3065)</f>
        <v>1281800</v>
      </c>
      <c r="I3066" s="51"/>
      <c r="J3066" s="32"/>
      <c r="K3066" s="32"/>
      <c r="L3066" s="32"/>
      <c r="M3066" s="32"/>
      <c r="N3066" s="32"/>
      <c r="O3066" s="32"/>
      <c r="P3066" s="32"/>
      <c r="Q3066" s="32"/>
      <c r="R3066" s="32"/>
      <c r="S3066" s="32"/>
      <c r="T3066" s="32"/>
      <c r="U3066" s="32"/>
      <c r="V3066" s="32"/>
      <c r="W3066" s="32"/>
      <c r="X3066" s="32"/>
      <c r="Y3066" s="32"/>
      <c r="Z3066" s="32"/>
    </row>
    <row r="3067" spans="1:26" ht="14.25" customHeight="1">
      <c r="A3067" s="83" t="s">
        <v>19</v>
      </c>
      <c r="B3067" s="81"/>
      <c r="C3067" s="81"/>
      <c r="D3067" s="81"/>
      <c r="E3067" s="81"/>
      <c r="F3067" s="81"/>
      <c r="G3067" s="82"/>
      <c r="H3067" s="41">
        <f>MAX(0,H3066-648000)</f>
        <v>633800</v>
      </c>
      <c r="I3067" s="51"/>
      <c r="J3067" s="32"/>
      <c r="K3067" s="32"/>
      <c r="L3067" s="32"/>
      <c r="M3067" s="32"/>
      <c r="N3067" s="32"/>
      <c r="O3067" s="32"/>
      <c r="P3067" s="32"/>
      <c r="Q3067" s="32"/>
      <c r="R3067" s="32"/>
      <c r="S3067" s="32"/>
      <c r="T3067" s="32"/>
      <c r="U3067" s="32"/>
      <c r="V3067" s="32"/>
      <c r="W3067" s="32"/>
      <c r="X3067" s="32"/>
      <c r="Y3067" s="32"/>
      <c r="Z3067" s="32"/>
    </row>
    <row r="3068" spans="1:26" ht="14.25" customHeight="1">
      <c r="A3068" s="84" t="s">
        <v>20</v>
      </c>
      <c r="B3068" s="81"/>
      <c r="C3068" s="81"/>
      <c r="D3068" s="81"/>
      <c r="E3068" s="81"/>
      <c r="F3068" s="81"/>
      <c r="G3068" s="82"/>
      <c r="H3068" s="42">
        <v>649000</v>
      </c>
      <c r="I3068" s="51"/>
      <c r="J3068" s="32"/>
      <c r="K3068" s="32"/>
      <c r="L3068" s="32"/>
      <c r="M3068" s="32"/>
      <c r="N3068" s="32"/>
      <c r="O3068" s="32"/>
      <c r="P3068" s="32"/>
      <c r="Q3068" s="32"/>
      <c r="R3068" s="32"/>
      <c r="S3068" s="32"/>
      <c r="T3068" s="32"/>
      <c r="U3068" s="32"/>
      <c r="V3068" s="32"/>
      <c r="W3068" s="32"/>
      <c r="X3068" s="32"/>
      <c r="Y3068" s="32"/>
      <c r="Z3068" s="32"/>
    </row>
    <row r="3069" spans="1:26" ht="14.25" customHeight="1">
      <c r="A3069" s="80"/>
      <c r="B3069" s="81"/>
      <c r="C3069" s="81"/>
      <c r="D3069" s="81"/>
      <c r="E3069" s="81"/>
      <c r="F3069" s="81"/>
      <c r="G3069" s="81"/>
      <c r="H3069" s="82"/>
      <c r="I3069" s="51"/>
      <c r="J3069" s="32"/>
      <c r="K3069" s="32"/>
      <c r="L3069" s="32"/>
      <c r="M3069" s="32"/>
      <c r="N3069" s="32"/>
      <c r="O3069" s="32"/>
      <c r="P3069" s="32"/>
      <c r="Q3069" s="32"/>
      <c r="R3069" s="32"/>
      <c r="S3069" s="32"/>
      <c r="T3069" s="32"/>
      <c r="U3069" s="32"/>
      <c r="V3069" s="32"/>
      <c r="W3069" s="32"/>
      <c r="X3069" s="32"/>
      <c r="Y3069" s="32"/>
      <c r="Z3069" s="32"/>
    </row>
    <row r="3070" spans="1:26" ht="14.25" customHeight="1">
      <c r="I3070" s="51"/>
    </row>
    <row r="3071" spans="1:26" ht="14.25" customHeight="1">
      <c r="I3071" s="51"/>
    </row>
    <row r="3072" spans="1:26" ht="14.25" customHeight="1">
      <c r="I3072" s="51"/>
    </row>
    <row r="3073" spans="1:26" ht="14.25" customHeight="1">
      <c r="I3073" s="51"/>
    </row>
    <row r="3074" spans="1:26" ht="14.25" customHeight="1">
      <c r="I3074" s="51"/>
    </row>
    <row r="3075" spans="1:26" ht="14.25" customHeight="1">
      <c r="I3075" s="51"/>
    </row>
    <row r="3076" spans="1:26" ht="14.25" customHeight="1">
      <c r="I3076" s="51"/>
    </row>
    <row r="3077" spans="1:26" ht="14.25" customHeight="1">
      <c r="I3077" s="51"/>
    </row>
    <row r="3078" spans="1:26" ht="14.25" customHeight="1">
      <c r="A3078" s="80" t="s">
        <v>0</v>
      </c>
      <c r="B3078" s="81"/>
      <c r="C3078" s="81"/>
      <c r="D3078" s="81"/>
      <c r="E3078" s="81"/>
      <c r="F3078" s="81"/>
      <c r="G3078" s="81"/>
      <c r="H3078" s="82"/>
      <c r="I3078" s="51"/>
      <c r="J3078" s="32"/>
      <c r="K3078" s="32"/>
      <c r="L3078" s="32"/>
      <c r="M3078" s="32"/>
      <c r="N3078" s="32"/>
      <c r="O3078" s="32"/>
      <c r="P3078" s="32"/>
      <c r="Q3078" s="32"/>
      <c r="R3078" s="32"/>
      <c r="S3078" s="32"/>
      <c r="T3078" s="32"/>
      <c r="U3078" s="32"/>
      <c r="V3078" s="32"/>
      <c r="W3078" s="32"/>
      <c r="X3078" s="32"/>
      <c r="Y3078" s="32"/>
      <c r="Z3078" s="32"/>
    </row>
    <row r="3079" spans="1:26" ht="14.25" customHeight="1">
      <c r="A3079" s="80" t="s">
        <v>846</v>
      </c>
      <c r="B3079" s="81"/>
      <c r="C3079" s="81"/>
      <c r="D3079" s="81"/>
      <c r="E3079" s="81"/>
      <c r="F3079" s="81"/>
      <c r="G3079" s="81"/>
      <c r="H3079" s="82"/>
      <c r="I3079" s="51"/>
      <c r="J3079" s="32"/>
      <c r="K3079" s="32"/>
      <c r="L3079" s="32"/>
      <c r="M3079" s="32"/>
      <c r="N3079" s="32"/>
      <c r="O3079" s="32"/>
      <c r="P3079" s="32"/>
      <c r="Q3079" s="32"/>
      <c r="R3079" s="32"/>
      <c r="S3079" s="32"/>
      <c r="T3079" s="32"/>
      <c r="U3079" s="32"/>
      <c r="V3079" s="32"/>
      <c r="W3079" s="32"/>
      <c r="X3079" s="32"/>
      <c r="Y3079" s="32"/>
      <c r="Z3079" s="32"/>
    </row>
    <row r="3080" spans="1:26" ht="14.25" customHeight="1">
      <c r="A3080" s="33" t="s">
        <v>2</v>
      </c>
      <c r="B3080" s="33" t="s">
        <v>3</v>
      </c>
      <c r="C3080" s="33" t="s">
        <v>4</v>
      </c>
      <c r="D3080" s="33" t="s">
        <v>5</v>
      </c>
      <c r="E3080" s="33" t="s">
        <v>6</v>
      </c>
      <c r="F3080" s="34" t="s">
        <v>7</v>
      </c>
      <c r="G3080" s="33" t="s">
        <v>8</v>
      </c>
      <c r="H3080" s="35"/>
      <c r="I3080" s="51"/>
      <c r="J3080" s="32"/>
      <c r="K3080" s="32"/>
      <c r="L3080" s="32"/>
      <c r="M3080" s="32"/>
      <c r="N3080" s="32"/>
      <c r="O3080" s="32"/>
      <c r="P3080" s="32"/>
      <c r="Q3080" s="32"/>
      <c r="R3080" s="32"/>
      <c r="S3080" s="32"/>
      <c r="T3080" s="32"/>
      <c r="U3080" s="32"/>
      <c r="V3080" s="32"/>
      <c r="W3080" s="32"/>
      <c r="X3080" s="32"/>
      <c r="Y3080" s="32"/>
      <c r="Z3080" s="32"/>
    </row>
    <row r="3081" spans="1:26" ht="14.25" customHeight="1">
      <c r="A3081" s="36">
        <v>1</v>
      </c>
      <c r="B3081" s="4" t="s">
        <v>43</v>
      </c>
      <c r="C3081" s="5" t="s">
        <v>847</v>
      </c>
      <c r="D3081" s="4" t="s">
        <v>413</v>
      </c>
      <c r="E3081" s="4">
        <v>1.5</v>
      </c>
      <c r="F3081" s="6">
        <v>293000</v>
      </c>
      <c r="G3081" s="37">
        <f t="shared" ref="G3081:G3083" si="201">IFERROR(E3081*F3081,0)</f>
        <v>439500</v>
      </c>
      <c r="H3081" s="38"/>
      <c r="I3081" s="51"/>
      <c r="J3081" s="32"/>
      <c r="K3081" s="32"/>
      <c r="L3081" s="32"/>
      <c r="M3081" s="32"/>
      <c r="N3081" s="32"/>
      <c r="O3081" s="32"/>
      <c r="P3081" s="32"/>
      <c r="Q3081" s="32"/>
      <c r="R3081" s="32"/>
      <c r="S3081" s="32"/>
      <c r="T3081" s="32"/>
      <c r="U3081" s="32"/>
      <c r="V3081" s="32"/>
      <c r="W3081" s="32"/>
      <c r="X3081" s="32"/>
      <c r="Y3081" s="32"/>
      <c r="Z3081" s="32"/>
    </row>
    <row r="3082" spans="1:26" ht="14.25" customHeight="1">
      <c r="A3082" s="36">
        <v>2</v>
      </c>
      <c r="B3082" s="9" t="s">
        <v>549</v>
      </c>
      <c r="C3082" s="10" t="s">
        <v>848</v>
      </c>
      <c r="D3082" s="9" t="s">
        <v>233</v>
      </c>
      <c r="E3082" s="9">
        <v>2</v>
      </c>
      <c r="F3082" s="43">
        <v>435000</v>
      </c>
      <c r="G3082" s="37">
        <f t="shared" si="201"/>
        <v>870000</v>
      </c>
      <c r="H3082" s="38"/>
      <c r="I3082" s="51"/>
      <c r="J3082" s="32"/>
      <c r="K3082" s="32"/>
      <c r="L3082" s="32"/>
      <c r="M3082" s="32"/>
      <c r="N3082" s="32"/>
      <c r="O3082" s="32"/>
      <c r="P3082" s="32"/>
      <c r="Q3082" s="32"/>
      <c r="R3082" s="32"/>
      <c r="S3082" s="32"/>
      <c r="T3082" s="32"/>
      <c r="U3082" s="32"/>
      <c r="V3082" s="32"/>
      <c r="W3082" s="32"/>
      <c r="X3082" s="32"/>
      <c r="Y3082" s="32"/>
      <c r="Z3082" s="32"/>
    </row>
    <row r="3083" spans="1:26" ht="14.25" customHeight="1">
      <c r="A3083" s="36">
        <v>4</v>
      </c>
      <c r="B3083" s="39" t="s">
        <v>17</v>
      </c>
      <c r="C3083" s="38"/>
      <c r="D3083" s="38"/>
      <c r="E3083" s="38"/>
      <c r="F3083" s="60"/>
      <c r="G3083" s="37">
        <f t="shared" si="201"/>
        <v>0</v>
      </c>
      <c r="H3083" s="38"/>
      <c r="I3083" s="51"/>
      <c r="J3083" s="32"/>
      <c r="K3083" s="32"/>
      <c r="L3083" s="32"/>
      <c r="M3083" s="32"/>
      <c r="N3083" s="32"/>
      <c r="O3083" s="32"/>
      <c r="P3083" s="32"/>
      <c r="Q3083" s="32"/>
      <c r="R3083" s="32"/>
      <c r="S3083" s="32"/>
      <c r="T3083" s="32"/>
      <c r="U3083" s="32"/>
      <c r="V3083" s="32"/>
      <c r="W3083" s="32"/>
      <c r="X3083" s="32"/>
      <c r="Y3083" s="32"/>
      <c r="Z3083" s="32"/>
    </row>
    <row r="3084" spans="1:26" ht="14.25" customHeight="1">
      <c r="A3084" s="83" t="s">
        <v>18</v>
      </c>
      <c r="B3084" s="81"/>
      <c r="C3084" s="81"/>
      <c r="D3084" s="81"/>
      <c r="E3084" s="81"/>
      <c r="F3084" s="81"/>
      <c r="G3084" s="82"/>
      <c r="H3084" s="41">
        <f>SUM(G3081:G3083)</f>
        <v>1309500</v>
      </c>
      <c r="I3084" s="51"/>
      <c r="J3084" s="32"/>
      <c r="K3084" s="32"/>
      <c r="L3084" s="32"/>
      <c r="M3084" s="32"/>
      <c r="N3084" s="32"/>
      <c r="O3084" s="32"/>
      <c r="P3084" s="32"/>
      <c r="Q3084" s="32"/>
      <c r="R3084" s="32"/>
      <c r="S3084" s="32"/>
      <c r="T3084" s="32"/>
      <c r="U3084" s="32"/>
      <c r="V3084" s="32"/>
      <c r="W3084" s="32"/>
      <c r="X3084" s="32"/>
      <c r="Y3084" s="32"/>
      <c r="Z3084" s="32"/>
    </row>
    <row r="3085" spans="1:26" ht="14.25" customHeight="1">
      <c r="A3085" s="83" t="s">
        <v>19</v>
      </c>
      <c r="B3085" s="81"/>
      <c r="C3085" s="81"/>
      <c r="D3085" s="81"/>
      <c r="E3085" s="81"/>
      <c r="F3085" s="81"/>
      <c r="G3085" s="82"/>
      <c r="H3085" s="41">
        <f>MAX(0,H3084-648000)</f>
        <v>661500</v>
      </c>
      <c r="I3085" s="51"/>
      <c r="J3085" s="32"/>
      <c r="K3085" s="32"/>
      <c r="L3085" s="32"/>
      <c r="M3085" s="32"/>
      <c r="N3085" s="32"/>
      <c r="O3085" s="32"/>
      <c r="P3085" s="32"/>
      <c r="Q3085" s="32"/>
      <c r="R3085" s="32"/>
      <c r="S3085" s="32"/>
      <c r="T3085" s="32"/>
      <c r="U3085" s="32"/>
      <c r="V3085" s="32"/>
      <c r="W3085" s="32"/>
      <c r="X3085" s="32"/>
      <c r="Y3085" s="32"/>
      <c r="Z3085" s="32"/>
    </row>
    <row r="3086" spans="1:26" ht="14.25" customHeight="1">
      <c r="A3086" s="84" t="s">
        <v>20</v>
      </c>
      <c r="B3086" s="81"/>
      <c r="C3086" s="81"/>
      <c r="D3086" s="81"/>
      <c r="E3086" s="81"/>
      <c r="F3086" s="81"/>
      <c r="G3086" s="82"/>
      <c r="H3086" s="42">
        <v>649000</v>
      </c>
      <c r="I3086" s="51"/>
      <c r="J3086" s="32"/>
      <c r="K3086" s="32"/>
      <c r="L3086" s="32"/>
      <c r="M3086" s="32"/>
      <c r="N3086" s="32"/>
      <c r="O3086" s="32"/>
      <c r="P3086" s="32"/>
      <c r="Q3086" s="32"/>
      <c r="R3086" s="32"/>
      <c r="S3086" s="32"/>
      <c r="T3086" s="32"/>
      <c r="U3086" s="32"/>
      <c r="V3086" s="32"/>
      <c r="W3086" s="32"/>
      <c r="X3086" s="32"/>
      <c r="Y3086" s="32"/>
      <c r="Z3086" s="32"/>
    </row>
    <row r="3087" spans="1:26" ht="14.25" customHeight="1">
      <c r="A3087" s="80"/>
      <c r="B3087" s="81"/>
      <c r="C3087" s="81"/>
      <c r="D3087" s="81"/>
      <c r="E3087" s="81"/>
      <c r="F3087" s="81"/>
      <c r="G3087" s="81"/>
      <c r="H3087" s="82"/>
      <c r="I3087" s="51"/>
      <c r="J3087" s="32"/>
      <c r="K3087" s="32"/>
      <c r="L3087" s="32"/>
      <c r="M3087" s="32"/>
      <c r="N3087" s="32"/>
      <c r="O3087" s="32"/>
      <c r="P3087" s="32"/>
      <c r="Q3087" s="32"/>
      <c r="R3087" s="32"/>
      <c r="S3087" s="32"/>
      <c r="T3087" s="32"/>
      <c r="U3087" s="32"/>
      <c r="V3087" s="32"/>
      <c r="W3087" s="32"/>
      <c r="X3087" s="32"/>
      <c r="Y3087" s="32"/>
      <c r="Z3087" s="32"/>
    </row>
    <row r="3088" spans="1:26" ht="14.25" customHeight="1">
      <c r="I3088" s="51"/>
    </row>
    <row r="3089" spans="1:26" ht="14.25" customHeight="1">
      <c r="I3089" s="51"/>
    </row>
    <row r="3090" spans="1:26" ht="14.25" customHeight="1">
      <c r="I3090" s="51"/>
    </row>
    <row r="3091" spans="1:26" ht="14.25" customHeight="1">
      <c r="I3091" s="51"/>
    </row>
    <row r="3092" spans="1:26" ht="14.25" customHeight="1">
      <c r="I3092" s="51"/>
    </row>
    <row r="3093" spans="1:26" ht="14.25" customHeight="1">
      <c r="I3093" s="51"/>
    </row>
    <row r="3094" spans="1:26" ht="14.25" customHeight="1">
      <c r="I3094" s="51"/>
    </row>
    <row r="3095" spans="1:26" ht="14.25" customHeight="1">
      <c r="I3095" s="51"/>
    </row>
    <row r="3096" spans="1:26" ht="14.25" customHeight="1">
      <c r="A3096" s="80" t="s">
        <v>0</v>
      </c>
      <c r="B3096" s="81"/>
      <c r="C3096" s="81"/>
      <c r="D3096" s="81"/>
      <c r="E3096" s="81"/>
      <c r="F3096" s="81"/>
      <c r="G3096" s="81"/>
      <c r="H3096" s="82"/>
      <c r="I3096" s="51"/>
      <c r="J3096" s="32"/>
      <c r="K3096" s="32"/>
      <c r="L3096" s="32"/>
      <c r="M3096" s="32"/>
      <c r="N3096" s="32"/>
      <c r="O3096" s="32"/>
      <c r="P3096" s="32"/>
      <c r="Q3096" s="32"/>
      <c r="R3096" s="32"/>
      <c r="S3096" s="32"/>
      <c r="T3096" s="32"/>
      <c r="U3096" s="32"/>
      <c r="V3096" s="32"/>
      <c r="W3096" s="32"/>
      <c r="X3096" s="32"/>
      <c r="Y3096" s="32"/>
      <c r="Z3096" s="32"/>
    </row>
    <row r="3097" spans="1:26" ht="14.25" customHeight="1">
      <c r="A3097" s="80" t="s">
        <v>849</v>
      </c>
      <c r="B3097" s="81"/>
      <c r="C3097" s="81"/>
      <c r="D3097" s="81"/>
      <c r="E3097" s="81"/>
      <c r="F3097" s="81"/>
      <c r="G3097" s="81"/>
      <c r="H3097" s="82"/>
      <c r="I3097" s="51"/>
      <c r="J3097" s="32"/>
      <c r="K3097" s="32"/>
      <c r="L3097" s="32"/>
      <c r="M3097" s="32"/>
      <c r="N3097" s="32"/>
      <c r="O3097" s="32"/>
      <c r="P3097" s="32"/>
      <c r="Q3097" s="32"/>
      <c r="R3097" s="32"/>
      <c r="S3097" s="32"/>
      <c r="T3097" s="32"/>
      <c r="U3097" s="32"/>
      <c r="V3097" s="32"/>
      <c r="W3097" s="32"/>
      <c r="X3097" s="32"/>
      <c r="Y3097" s="32"/>
      <c r="Z3097" s="32"/>
    </row>
    <row r="3098" spans="1:26" ht="14.25" customHeight="1">
      <c r="A3098" s="33" t="s">
        <v>2</v>
      </c>
      <c r="B3098" s="33" t="s">
        <v>3</v>
      </c>
      <c r="C3098" s="33" t="s">
        <v>4</v>
      </c>
      <c r="D3098" s="33" t="s">
        <v>5</v>
      </c>
      <c r="E3098" s="33" t="s">
        <v>6</v>
      </c>
      <c r="F3098" s="34" t="s">
        <v>7</v>
      </c>
      <c r="G3098" s="33" t="s">
        <v>8</v>
      </c>
      <c r="H3098" s="35"/>
      <c r="I3098" s="51"/>
      <c r="J3098" s="32"/>
      <c r="K3098" s="32"/>
      <c r="L3098" s="32"/>
      <c r="M3098" s="32"/>
      <c r="N3098" s="32"/>
      <c r="O3098" s="32"/>
      <c r="P3098" s="32"/>
      <c r="Q3098" s="32"/>
      <c r="R3098" s="32"/>
      <c r="S3098" s="32"/>
      <c r="T3098" s="32"/>
      <c r="U3098" s="32"/>
      <c r="V3098" s="32"/>
      <c r="W3098" s="32"/>
      <c r="X3098" s="32"/>
      <c r="Y3098" s="32"/>
      <c r="Z3098" s="32"/>
    </row>
    <row r="3099" spans="1:26" ht="14.25" customHeight="1">
      <c r="A3099" s="36">
        <v>1</v>
      </c>
      <c r="B3099" s="4" t="s">
        <v>578</v>
      </c>
      <c r="C3099" s="5" t="s">
        <v>850</v>
      </c>
      <c r="D3099" s="4" t="s">
        <v>413</v>
      </c>
      <c r="E3099" s="4">
        <v>1.5</v>
      </c>
      <c r="F3099" s="6">
        <v>293000</v>
      </c>
      <c r="G3099" s="37">
        <f t="shared" ref="G3099:G3101" si="202">IFERROR(E3099*F3099,0)</f>
        <v>439500</v>
      </c>
      <c r="H3099" s="38"/>
      <c r="I3099" s="51"/>
      <c r="J3099" s="32"/>
      <c r="K3099" s="32"/>
      <c r="L3099" s="32"/>
      <c r="M3099" s="32"/>
      <c r="N3099" s="32"/>
      <c r="O3099" s="32"/>
      <c r="P3099" s="32"/>
      <c r="Q3099" s="32"/>
      <c r="R3099" s="32"/>
      <c r="S3099" s="32"/>
      <c r="T3099" s="32"/>
      <c r="U3099" s="32"/>
      <c r="V3099" s="32"/>
      <c r="W3099" s="32"/>
      <c r="X3099" s="32"/>
      <c r="Y3099" s="32"/>
      <c r="Z3099" s="32"/>
    </row>
    <row r="3100" spans="1:26" ht="14.25" customHeight="1">
      <c r="A3100" s="36">
        <v>2</v>
      </c>
      <c r="B3100" s="9" t="s">
        <v>851</v>
      </c>
      <c r="C3100" s="10" t="s">
        <v>852</v>
      </c>
      <c r="D3100" s="9" t="s">
        <v>233</v>
      </c>
      <c r="E3100" s="9">
        <v>2</v>
      </c>
      <c r="F3100" s="43">
        <v>435000</v>
      </c>
      <c r="G3100" s="37">
        <f t="shared" si="202"/>
        <v>870000</v>
      </c>
      <c r="H3100" s="38"/>
      <c r="I3100" s="51"/>
      <c r="J3100" s="32"/>
      <c r="K3100" s="32"/>
      <c r="L3100" s="32"/>
      <c r="M3100" s="32"/>
      <c r="N3100" s="32"/>
      <c r="O3100" s="32"/>
      <c r="P3100" s="32"/>
      <c r="Q3100" s="32"/>
      <c r="R3100" s="32"/>
      <c r="S3100" s="32"/>
      <c r="T3100" s="32"/>
      <c r="U3100" s="32"/>
      <c r="V3100" s="32"/>
      <c r="W3100" s="32"/>
      <c r="X3100" s="32"/>
      <c r="Y3100" s="32"/>
      <c r="Z3100" s="32"/>
    </row>
    <row r="3101" spans="1:26" ht="14.25" customHeight="1">
      <c r="A3101" s="36">
        <v>4</v>
      </c>
      <c r="B3101" s="39" t="s">
        <v>17</v>
      </c>
      <c r="C3101" s="38"/>
      <c r="D3101" s="38"/>
      <c r="E3101" s="38"/>
      <c r="F3101" s="60"/>
      <c r="G3101" s="37">
        <f t="shared" si="202"/>
        <v>0</v>
      </c>
      <c r="H3101" s="38"/>
      <c r="I3101" s="51"/>
      <c r="J3101" s="32"/>
      <c r="K3101" s="32"/>
      <c r="L3101" s="32"/>
      <c r="M3101" s="32"/>
      <c r="N3101" s="32"/>
      <c r="O3101" s="32"/>
      <c r="P3101" s="32"/>
      <c r="Q3101" s="32"/>
      <c r="R3101" s="32"/>
      <c r="S3101" s="32"/>
      <c r="T3101" s="32"/>
      <c r="U3101" s="32"/>
      <c r="V3101" s="32"/>
      <c r="W3101" s="32"/>
      <c r="X3101" s="32"/>
      <c r="Y3101" s="32"/>
      <c r="Z3101" s="32"/>
    </row>
    <row r="3102" spans="1:26" ht="14.25" customHeight="1">
      <c r="A3102" s="83" t="s">
        <v>18</v>
      </c>
      <c r="B3102" s="81"/>
      <c r="C3102" s="81"/>
      <c r="D3102" s="81"/>
      <c r="E3102" s="81"/>
      <c r="F3102" s="81"/>
      <c r="G3102" s="82"/>
      <c r="H3102" s="41">
        <f>SUM(G3099:G3101)</f>
        <v>1309500</v>
      </c>
      <c r="I3102" s="51"/>
      <c r="J3102" s="32"/>
      <c r="K3102" s="32"/>
      <c r="L3102" s="32"/>
      <c r="M3102" s="32"/>
      <c r="N3102" s="32"/>
      <c r="O3102" s="32"/>
      <c r="P3102" s="32"/>
      <c r="Q3102" s="32"/>
      <c r="R3102" s="32"/>
      <c r="S3102" s="32"/>
      <c r="T3102" s="32"/>
      <c r="U3102" s="32"/>
      <c r="V3102" s="32"/>
      <c r="W3102" s="32"/>
      <c r="X3102" s="32"/>
      <c r="Y3102" s="32"/>
      <c r="Z3102" s="32"/>
    </row>
    <row r="3103" spans="1:26" ht="14.25" customHeight="1">
      <c r="A3103" s="83" t="s">
        <v>19</v>
      </c>
      <c r="B3103" s="81"/>
      <c r="C3103" s="81"/>
      <c r="D3103" s="81"/>
      <c r="E3103" s="81"/>
      <c r="F3103" s="81"/>
      <c r="G3103" s="82"/>
      <c r="H3103" s="41">
        <f>MAX(0,H3102-648000)</f>
        <v>661500</v>
      </c>
      <c r="I3103" s="51"/>
      <c r="J3103" s="32"/>
      <c r="K3103" s="32"/>
      <c r="L3103" s="32"/>
      <c r="M3103" s="32"/>
      <c r="N3103" s="32"/>
      <c r="O3103" s="32"/>
      <c r="P3103" s="32"/>
      <c r="Q3103" s="32"/>
      <c r="R3103" s="32"/>
      <c r="S3103" s="32"/>
      <c r="T3103" s="32"/>
      <c r="U3103" s="32"/>
      <c r="V3103" s="32"/>
      <c r="W3103" s="32"/>
      <c r="X3103" s="32"/>
      <c r="Y3103" s="32"/>
      <c r="Z3103" s="32"/>
    </row>
    <row r="3104" spans="1:26" ht="14.25" customHeight="1">
      <c r="A3104" s="84" t="s">
        <v>20</v>
      </c>
      <c r="B3104" s="81"/>
      <c r="C3104" s="81"/>
      <c r="D3104" s="81"/>
      <c r="E3104" s="81"/>
      <c r="F3104" s="81"/>
      <c r="G3104" s="82"/>
      <c r="H3104" s="42">
        <v>649000</v>
      </c>
      <c r="I3104" s="51"/>
      <c r="J3104" s="32"/>
      <c r="K3104" s="32"/>
      <c r="L3104" s="32"/>
      <c r="M3104" s="32"/>
      <c r="N3104" s="32"/>
      <c r="O3104" s="32"/>
      <c r="P3104" s="32"/>
      <c r="Q3104" s="32"/>
      <c r="R3104" s="32"/>
      <c r="S3104" s="32"/>
      <c r="T3104" s="32"/>
      <c r="U3104" s="32"/>
      <c r="V3104" s="32"/>
      <c r="W3104" s="32"/>
      <c r="X3104" s="32"/>
      <c r="Y3104" s="32"/>
      <c r="Z3104" s="32"/>
    </row>
    <row r="3105" spans="1:26" ht="14.25" customHeight="1">
      <c r="A3105" s="80"/>
      <c r="B3105" s="81"/>
      <c r="C3105" s="81"/>
      <c r="D3105" s="81"/>
      <c r="E3105" s="81"/>
      <c r="F3105" s="81"/>
      <c r="G3105" s="81"/>
      <c r="H3105" s="82"/>
      <c r="I3105" s="51"/>
      <c r="J3105" s="32"/>
      <c r="K3105" s="32"/>
      <c r="L3105" s="32"/>
      <c r="M3105" s="32"/>
      <c r="N3105" s="32"/>
      <c r="O3105" s="32"/>
      <c r="P3105" s="32"/>
      <c r="Q3105" s="32"/>
      <c r="R3105" s="32"/>
      <c r="S3105" s="32"/>
      <c r="T3105" s="32"/>
      <c r="U3105" s="32"/>
      <c r="V3105" s="32"/>
      <c r="W3105" s="32"/>
      <c r="X3105" s="32"/>
      <c r="Y3105" s="32"/>
      <c r="Z3105" s="32"/>
    </row>
    <row r="3106" spans="1:26" ht="14.25" customHeight="1">
      <c r="I3106" s="51"/>
    </row>
    <row r="3107" spans="1:26" ht="14.25" customHeight="1">
      <c r="I3107" s="51"/>
    </row>
    <row r="3108" spans="1:26" ht="14.25" customHeight="1">
      <c r="I3108" s="51"/>
    </row>
    <row r="3109" spans="1:26" ht="14.25" customHeight="1">
      <c r="I3109" s="51"/>
    </row>
    <row r="3110" spans="1:26" ht="14.25" customHeight="1">
      <c r="I3110" s="51"/>
    </row>
    <row r="3111" spans="1:26" ht="14.25" customHeight="1">
      <c r="I3111" s="51"/>
    </row>
    <row r="3112" spans="1:26" ht="14.25" customHeight="1">
      <c r="I3112" s="51"/>
    </row>
    <row r="3113" spans="1:26" ht="14.25" customHeight="1">
      <c r="A3113" s="80" t="s">
        <v>0</v>
      </c>
      <c r="B3113" s="81"/>
      <c r="C3113" s="81"/>
      <c r="D3113" s="81"/>
      <c r="E3113" s="81"/>
      <c r="F3113" s="81"/>
      <c r="G3113" s="81"/>
      <c r="H3113" s="82"/>
      <c r="I3113" s="51"/>
      <c r="J3113" s="32"/>
      <c r="K3113" s="32"/>
      <c r="L3113" s="32"/>
      <c r="M3113" s="32"/>
      <c r="N3113" s="32"/>
      <c r="O3113" s="32"/>
      <c r="P3113" s="32"/>
      <c r="Q3113" s="32"/>
      <c r="R3113" s="32"/>
      <c r="S3113" s="32"/>
      <c r="T3113" s="32"/>
      <c r="U3113" s="32"/>
      <c r="V3113" s="32"/>
      <c r="W3113" s="32"/>
      <c r="X3113" s="32"/>
      <c r="Y3113" s="32"/>
      <c r="Z3113" s="32"/>
    </row>
    <row r="3114" spans="1:26" ht="14.25" customHeight="1">
      <c r="A3114" s="80" t="s">
        <v>853</v>
      </c>
      <c r="B3114" s="81"/>
      <c r="C3114" s="81"/>
      <c r="D3114" s="81"/>
      <c r="E3114" s="81"/>
      <c r="F3114" s="81"/>
      <c r="G3114" s="81"/>
      <c r="H3114" s="82"/>
      <c r="I3114" s="51"/>
      <c r="J3114" s="32"/>
      <c r="K3114" s="32"/>
      <c r="L3114" s="32"/>
      <c r="M3114" s="32"/>
      <c r="N3114" s="32"/>
      <c r="O3114" s="32"/>
      <c r="P3114" s="32"/>
      <c r="Q3114" s="32"/>
      <c r="R3114" s="32"/>
      <c r="S3114" s="32"/>
      <c r="T3114" s="32"/>
      <c r="U3114" s="32"/>
      <c r="V3114" s="32"/>
      <c r="W3114" s="32"/>
      <c r="X3114" s="32"/>
      <c r="Y3114" s="32"/>
      <c r="Z3114" s="32"/>
    </row>
    <row r="3115" spans="1:26" ht="14.25" customHeight="1">
      <c r="A3115" s="33" t="s">
        <v>2</v>
      </c>
      <c r="B3115" s="33" t="s">
        <v>3</v>
      </c>
      <c r="C3115" s="33" t="s">
        <v>4</v>
      </c>
      <c r="D3115" s="33" t="s">
        <v>5</v>
      </c>
      <c r="E3115" s="33" t="s">
        <v>6</v>
      </c>
      <c r="F3115" s="34" t="s">
        <v>7</v>
      </c>
      <c r="G3115" s="33" t="s">
        <v>8</v>
      </c>
      <c r="H3115" s="35"/>
      <c r="I3115" s="51"/>
      <c r="J3115" s="32"/>
      <c r="K3115" s="32"/>
      <c r="L3115" s="32"/>
      <c r="M3115" s="32"/>
      <c r="N3115" s="32"/>
      <c r="O3115" s="32"/>
      <c r="P3115" s="32"/>
      <c r="Q3115" s="32"/>
      <c r="R3115" s="32"/>
      <c r="S3115" s="32"/>
      <c r="T3115" s="32"/>
      <c r="U3115" s="32"/>
      <c r="V3115" s="32"/>
      <c r="W3115" s="32"/>
      <c r="X3115" s="32"/>
      <c r="Y3115" s="32"/>
      <c r="Z3115" s="32"/>
    </row>
    <row r="3116" spans="1:26" ht="14.25" customHeight="1">
      <c r="A3116" s="36">
        <v>1</v>
      </c>
      <c r="B3116" s="4" t="s">
        <v>601</v>
      </c>
      <c r="C3116" s="5" t="s">
        <v>854</v>
      </c>
      <c r="D3116" s="4" t="s">
        <v>413</v>
      </c>
      <c r="E3116" s="4">
        <v>1.37</v>
      </c>
      <c r="F3116" s="6">
        <v>293000</v>
      </c>
      <c r="G3116" s="37">
        <f t="shared" ref="G3116:G3118" si="203">IFERROR(E3116*F3116,0)</f>
        <v>401410.00000000006</v>
      </c>
      <c r="H3116" s="38"/>
      <c r="I3116" s="51"/>
      <c r="J3116" s="32"/>
      <c r="K3116" s="32"/>
      <c r="L3116" s="32"/>
      <c r="M3116" s="32"/>
      <c r="N3116" s="32"/>
      <c r="O3116" s="32"/>
      <c r="P3116" s="32"/>
      <c r="Q3116" s="32"/>
      <c r="R3116" s="32"/>
      <c r="S3116" s="32"/>
      <c r="T3116" s="32"/>
      <c r="U3116" s="32"/>
      <c r="V3116" s="32"/>
      <c r="W3116" s="32"/>
      <c r="X3116" s="32"/>
      <c r="Y3116" s="32"/>
      <c r="Z3116" s="32"/>
    </row>
    <row r="3117" spans="1:26" ht="14.25" customHeight="1">
      <c r="A3117" s="36">
        <v>2</v>
      </c>
      <c r="B3117" s="9" t="s">
        <v>855</v>
      </c>
      <c r="C3117" s="10" t="s">
        <v>856</v>
      </c>
      <c r="D3117" s="9" t="s">
        <v>233</v>
      </c>
      <c r="E3117" s="9">
        <v>2.38</v>
      </c>
      <c r="F3117" s="43">
        <v>435000</v>
      </c>
      <c r="G3117" s="37">
        <f t="shared" si="203"/>
        <v>1035300</v>
      </c>
      <c r="H3117" s="38"/>
      <c r="I3117" s="51"/>
      <c r="J3117" s="32"/>
      <c r="K3117" s="32"/>
      <c r="L3117" s="32"/>
      <c r="M3117" s="32"/>
      <c r="N3117" s="32"/>
      <c r="O3117" s="32"/>
      <c r="P3117" s="32"/>
      <c r="Q3117" s="32"/>
      <c r="R3117" s="32"/>
      <c r="S3117" s="32"/>
      <c r="T3117" s="32"/>
      <c r="U3117" s="32"/>
      <c r="V3117" s="32"/>
      <c r="W3117" s="32"/>
      <c r="X3117" s="32"/>
      <c r="Y3117" s="32"/>
      <c r="Z3117" s="32"/>
    </row>
    <row r="3118" spans="1:26" ht="14.25" customHeight="1">
      <c r="A3118" s="36">
        <v>4</v>
      </c>
      <c r="B3118" s="39" t="s">
        <v>17</v>
      </c>
      <c r="C3118" s="38"/>
      <c r="D3118" s="38"/>
      <c r="E3118" s="38"/>
      <c r="F3118" s="60"/>
      <c r="G3118" s="37">
        <f t="shared" si="203"/>
        <v>0</v>
      </c>
      <c r="H3118" s="38"/>
      <c r="I3118" s="51"/>
      <c r="J3118" s="32"/>
      <c r="K3118" s="32"/>
      <c r="L3118" s="32"/>
      <c r="M3118" s="32"/>
      <c r="N3118" s="32"/>
      <c r="O3118" s="32"/>
      <c r="P3118" s="32"/>
      <c r="Q3118" s="32"/>
      <c r="R3118" s="32"/>
      <c r="S3118" s="32"/>
      <c r="T3118" s="32"/>
      <c r="U3118" s="32"/>
      <c r="V3118" s="32"/>
      <c r="W3118" s="32"/>
      <c r="X3118" s="32"/>
      <c r="Y3118" s="32"/>
      <c r="Z3118" s="32"/>
    </row>
    <row r="3119" spans="1:26" ht="14.25" customHeight="1">
      <c r="A3119" s="83" t="s">
        <v>18</v>
      </c>
      <c r="B3119" s="81"/>
      <c r="C3119" s="81"/>
      <c r="D3119" s="81"/>
      <c r="E3119" s="81"/>
      <c r="F3119" s="81"/>
      <c r="G3119" s="82"/>
      <c r="H3119" s="41">
        <f>SUM(G3116:G3118)</f>
        <v>1436710</v>
      </c>
      <c r="I3119" s="51"/>
      <c r="J3119" s="32"/>
      <c r="K3119" s="32"/>
      <c r="L3119" s="32"/>
      <c r="M3119" s="32"/>
      <c r="N3119" s="32"/>
      <c r="O3119" s="32"/>
      <c r="P3119" s="32"/>
      <c r="Q3119" s="32"/>
      <c r="R3119" s="32"/>
      <c r="S3119" s="32"/>
      <c r="T3119" s="32"/>
      <c r="U3119" s="32"/>
      <c r="V3119" s="32"/>
      <c r="W3119" s="32"/>
      <c r="X3119" s="32"/>
      <c r="Y3119" s="32"/>
      <c r="Z3119" s="32"/>
    </row>
    <row r="3120" spans="1:26" ht="14.25" customHeight="1">
      <c r="A3120" s="83" t="s">
        <v>19</v>
      </c>
      <c r="B3120" s="81"/>
      <c r="C3120" s="81"/>
      <c r="D3120" s="81"/>
      <c r="E3120" s="81"/>
      <c r="F3120" s="81"/>
      <c r="G3120" s="82"/>
      <c r="H3120" s="41">
        <f>MAX(0,H3119-648000)</f>
        <v>788710</v>
      </c>
      <c r="I3120" s="51"/>
      <c r="J3120" s="32"/>
      <c r="K3120" s="32"/>
      <c r="L3120" s="32"/>
      <c r="M3120" s="32"/>
      <c r="N3120" s="32"/>
      <c r="O3120" s="32"/>
      <c r="P3120" s="32"/>
      <c r="Q3120" s="32"/>
      <c r="R3120" s="32"/>
      <c r="S3120" s="32"/>
      <c r="T3120" s="32"/>
      <c r="U3120" s="32"/>
      <c r="V3120" s="32"/>
      <c r="W3120" s="32"/>
      <c r="X3120" s="32"/>
      <c r="Y3120" s="32"/>
      <c r="Z3120" s="32"/>
    </row>
    <row r="3121" spans="1:26" ht="14.25" customHeight="1">
      <c r="A3121" s="84" t="s">
        <v>20</v>
      </c>
      <c r="B3121" s="81"/>
      <c r="C3121" s="81"/>
      <c r="D3121" s="81"/>
      <c r="E3121" s="81"/>
      <c r="F3121" s="81"/>
      <c r="G3121" s="82"/>
      <c r="H3121" s="42">
        <v>649000</v>
      </c>
      <c r="I3121" s="51"/>
      <c r="J3121" s="32"/>
      <c r="K3121" s="32"/>
      <c r="L3121" s="32"/>
      <c r="M3121" s="32"/>
      <c r="N3121" s="32"/>
      <c r="O3121" s="32"/>
      <c r="P3121" s="32"/>
      <c r="Q3121" s="32"/>
      <c r="R3121" s="32"/>
      <c r="S3121" s="32"/>
      <c r="T3121" s="32"/>
      <c r="U3121" s="32"/>
      <c r="V3121" s="32"/>
      <c r="W3121" s="32"/>
      <c r="X3121" s="32"/>
      <c r="Y3121" s="32"/>
      <c r="Z3121" s="32"/>
    </row>
    <row r="3122" spans="1:26" ht="14.25" customHeight="1">
      <c r="A3122" s="80"/>
      <c r="B3122" s="81"/>
      <c r="C3122" s="81"/>
      <c r="D3122" s="81"/>
      <c r="E3122" s="81"/>
      <c r="F3122" s="81"/>
      <c r="G3122" s="81"/>
      <c r="H3122" s="82"/>
      <c r="I3122" s="51"/>
      <c r="J3122" s="32"/>
      <c r="K3122" s="32"/>
      <c r="L3122" s="32"/>
      <c r="M3122" s="32"/>
      <c r="N3122" s="32"/>
      <c r="O3122" s="32"/>
      <c r="P3122" s="32"/>
      <c r="Q3122" s="32"/>
      <c r="R3122" s="32"/>
      <c r="S3122" s="32"/>
      <c r="T3122" s="32"/>
      <c r="U3122" s="32"/>
      <c r="V3122" s="32"/>
      <c r="W3122" s="32"/>
      <c r="X3122" s="32"/>
      <c r="Y3122" s="32"/>
      <c r="Z3122" s="32"/>
    </row>
    <row r="3123" spans="1:26" ht="14.25" customHeight="1">
      <c r="I3123" s="51"/>
    </row>
    <row r="3124" spans="1:26" ht="14.25" customHeight="1">
      <c r="I3124" s="51"/>
    </row>
    <row r="3125" spans="1:26" ht="14.25" customHeight="1">
      <c r="I3125" s="51"/>
    </row>
    <row r="3126" spans="1:26" ht="14.25" customHeight="1">
      <c r="I3126" s="51"/>
    </row>
    <row r="3127" spans="1:26" ht="14.25" customHeight="1">
      <c r="I3127" s="51"/>
    </row>
    <row r="3128" spans="1:26" ht="14.25" customHeight="1">
      <c r="I3128" s="51"/>
    </row>
    <row r="3129" spans="1:26" ht="14.25" customHeight="1">
      <c r="I3129" s="51"/>
    </row>
    <row r="3130" spans="1:26" ht="14.25" customHeight="1">
      <c r="A3130" s="80" t="s">
        <v>0</v>
      </c>
      <c r="B3130" s="81"/>
      <c r="C3130" s="81"/>
      <c r="D3130" s="81"/>
      <c r="E3130" s="81"/>
      <c r="F3130" s="81"/>
      <c r="G3130" s="81"/>
      <c r="H3130" s="82"/>
      <c r="I3130" s="51"/>
      <c r="J3130" s="32"/>
      <c r="K3130" s="32"/>
      <c r="L3130" s="32"/>
      <c r="M3130" s="32"/>
      <c r="N3130" s="32"/>
      <c r="O3130" s="32"/>
      <c r="P3130" s="32"/>
      <c r="Q3130" s="32"/>
      <c r="R3130" s="32"/>
      <c r="S3130" s="32"/>
      <c r="T3130" s="32"/>
      <c r="U3130" s="32"/>
      <c r="V3130" s="32"/>
      <c r="W3130" s="32"/>
      <c r="X3130" s="32"/>
      <c r="Y3130" s="32"/>
      <c r="Z3130" s="32"/>
    </row>
    <row r="3131" spans="1:26" ht="14.25" customHeight="1">
      <c r="A3131" s="80" t="s">
        <v>857</v>
      </c>
      <c r="B3131" s="81"/>
      <c r="C3131" s="81"/>
      <c r="D3131" s="81"/>
      <c r="E3131" s="81"/>
      <c r="F3131" s="81"/>
      <c r="G3131" s="81"/>
      <c r="H3131" s="82"/>
      <c r="I3131" s="51"/>
      <c r="J3131" s="32"/>
      <c r="K3131" s="32"/>
      <c r="L3131" s="32"/>
      <c r="M3131" s="32"/>
      <c r="N3131" s="32"/>
      <c r="O3131" s="32"/>
      <c r="P3131" s="32"/>
      <c r="Q3131" s="32"/>
      <c r="R3131" s="32"/>
      <c r="S3131" s="32"/>
      <c r="T3131" s="32"/>
      <c r="U3131" s="32"/>
      <c r="V3131" s="32"/>
      <c r="W3131" s="32"/>
      <c r="X3131" s="32"/>
      <c r="Y3131" s="32"/>
      <c r="Z3131" s="32"/>
    </row>
    <row r="3132" spans="1:26" ht="14.25" customHeight="1">
      <c r="A3132" s="33" t="s">
        <v>2</v>
      </c>
      <c r="B3132" s="33" t="s">
        <v>3</v>
      </c>
      <c r="C3132" s="33" t="s">
        <v>4</v>
      </c>
      <c r="D3132" s="33" t="s">
        <v>5</v>
      </c>
      <c r="E3132" s="33" t="s">
        <v>6</v>
      </c>
      <c r="F3132" s="34" t="s">
        <v>7</v>
      </c>
      <c r="G3132" s="33" t="s">
        <v>8</v>
      </c>
      <c r="H3132" s="35"/>
      <c r="I3132" s="51"/>
      <c r="J3132" s="32"/>
      <c r="K3132" s="32"/>
      <c r="L3132" s="32"/>
      <c r="M3132" s="32"/>
      <c r="N3132" s="32"/>
      <c r="O3132" s="32"/>
      <c r="P3132" s="32"/>
      <c r="Q3132" s="32"/>
      <c r="R3132" s="32"/>
      <c r="S3132" s="32"/>
      <c r="T3132" s="32"/>
      <c r="U3132" s="32"/>
      <c r="V3132" s="32"/>
      <c r="W3132" s="32"/>
      <c r="X3132" s="32"/>
      <c r="Y3132" s="32"/>
      <c r="Z3132" s="32"/>
    </row>
    <row r="3133" spans="1:26" ht="14.25" customHeight="1">
      <c r="A3133" s="36">
        <v>1</v>
      </c>
      <c r="B3133" s="4" t="s">
        <v>9</v>
      </c>
      <c r="C3133" s="5" t="s">
        <v>858</v>
      </c>
      <c r="D3133" s="4" t="s">
        <v>413</v>
      </c>
      <c r="E3133" s="4">
        <v>2.2000000000000002</v>
      </c>
      <c r="F3133" s="6">
        <v>293000</v>
      </c>
      <c r="G3133" s="37">
        <f t="shared" ref="G3133:G3135" si="204">IFERROR(E3133*F3133,0)</f>
        <v>644600</v>
      </c>
      <c r="H3133" s="38"/>
      <c r="I3133" s="51"/>
      <c r="J3133" s="32"/>
      <c r="K3133" s="32"/>
      <c r="L3133" s="32"/>
      <c r="M3133" s="32"/>
      <c r="N3133" s="32"/>
      <c r="O3133" s="32"/>
      <c r="P3133" s="32"/>
      <c r="Q3133" s="32"/>
      <c r="R3133" s="32"/>
      <c r="S3133" s="32"/>
      <c r="T3133" s="32"/>
      <c r="U3133" s="32"/>
      <c r="V3133" s="32"/>
      <c r="W3133" s="32"/>
      <c r="X3133" s="32"/>
      <c r="Y3133" s="32"/>
      <c r="Z3133" s="32"/>
    </row>
    <row r="3134" spans="1:26" ht="14.25" customHeight="1">
      <c r="A3134" s="36">
        <v>2</v>
      </c>
      <c r="B3134" s="9" t="s">
        <v>205</v>
      </c>
      <c r="C3134" s="10" t="s">
        <v>859</v>
      </c>
      <c r="D3134" s="9" t="s">
        <v>233</v>
      </c>
      <c r="E3134" s="9">
        <v>1.4</v>
      </c>
      <c r="F3134" s="43">
        <v>435000</v>
      </c>
      <c r="G3134" s="37">
        <f t="shared" si="204"/>
        <v>609000</v>
      </c>
      <c r="H3134" s="38"/>
      <c r="I3134" s="51"/>
      <c r="J3134" s="32"/>
      <c r="K3134" s="32"/>
      <c r="L3134" s="32"/>
      <c r="M3134" s="32"/>
      <c r="N3134" s="32"/>
      <c r="O3134" s="32"/>
      <c r="P3134" s="32"/>
      <c r="Q3134" s="32"/>
      <c r="R3134" s="32"/>
      <c r="S3134" s="32"/>
      <c r="T3134" s="32"/>
      <c r="U3134" s="32"/>
      <c r="V3134" s="32"/>
      <c r="W3134" s="32"/>
      <c r="X3134" s="32"/>
      <c r="Y3134" s="32"/>
      <c r="Z3134" s="32"/>
    </row>
    <row r="3135" spans="1:26" ht="14.25" customHeight="1">
      <c r="A3135" s="36">
        <v>4</v>
      </c>
      <c r="B3135" s="39" t="s">
        <v>17</v>
      </c>
      <c r="C3135" s="38"/>
      <c r="D3135" s="38"/>
      <c r="E3135" s="38"/>
      <c r="F3135" s="60"/>
      <c r="G3135" s="37">
        <f t="shared" si="204"/>
        <v>0</v>
      </c>
      <c r="H3135" s="38"/>
      <c r="I3135" s="51"/>
      <c r="J3135" s="32"/>
      <c r="K3135" s="32"/>
      <c r="L3135" s="32"/>
      <c r="M3135" s="32"/>
      <c r="N3135" s="32"/>
      <c r="O3135" s="32"/>
      <c r="P3135" s="32"/>
      <c r="Q3135" s="32"/>
      <c r="R3135" s="32"/>
      <c r="S3135" s="32"/>
      <c r="T3135" s="32"/>
      <c r="U3135" s="32"/>
      <c r="V3135" s="32"/>
      <c r="W3135" s="32"/>
      <c r="X3135" s="32"/>
      <c r="Y3135" s="32"/>
      <c r="Z3135" s="32"/>
    </row>
    <row r="3136" spans="1:26" ht="14.25" customHeight="1">
      <c r="A3136" s="83" t="s">
        <v>18</v>
      </c>
      <c r="B3136" s="81"/>
      <c r="C3136" s="81"/>
      <c r="D3136" s="81"/>
      <c r="E3136" s="81"/>
      <c r="F3136" s="81"/>
      <c r="G3136" s="82"/>
      <c r="H3136" s="41">
        <f>SUM(G3133:G3135)</f>
        <v>1253600</v>
      </c>
      <c r="I3136" s="51"/>
      <c r="J3136" s="32"/>
      <c r="K3136" s="32"/>
      <c r="L3136" s="32"/>
      <c r="M3136" s="32"/>
      <c r="N3136" s="32"/>
      <c r="O3136" s="32"/>
      <c r="P3136" s="32"/>
      <c r="Q3136" s="32"/>
      <c r="R3136" s="32"/>
      <c r="S3136" s="32"/>
      <c r="T3136" s="32"/>
      <c r="U3136" s="32"/>
      <c r="V3136" s="32"/>
      <c r="W3136" s="32"/>
      <c r="X3136" s="32"/>
      <c r="Y3136" s="32"/>
      <c r="Z3136" s="32"/>
    </row>
    <row r="3137" spans="1:26" ht="14.25" customHeight="1">
      <c r="A3137" s="83" t="s">
        <v>19</v>
      </c>
      <c r="B3137" s="81"/>
      <c r="C3137" s="81"/>
      <c r="D3137" s="81"/>
      <c r="E3137" s="81"/>
      <c r="F3137" s="81"/>
      <c r="G3137" s="82"/>
      <c r="H3137" s="41">
        <f>MAX(0,H3136-648000)</f>
        <v>605600</v>
      </c>
      <c r="I3137" s="51"/>
      <c r="J3137" s="32"/>
      <c r="K3137" s="32"/>
      <c r="L3137" s="32"/>
      <c r="M3137" s="32"/>
      <c r="N3137" s="32"/>
      <c r="O3137" s="32"/>
      <c r="P3137" s="32"/>
      <c r="Q3137" s="32"/>
      <c r="R3137" s="32"/>
      <c r="S3137" s="32"/>
      <c r="T3137" s="32"/>
      <c r="U3137" s="32"/>
      <c r="V3137" s="32"/>
      <c r="W3137" s="32"/>
      <c r="X3137" s="32"/>
      <c r="Y3137" s="32"/>
      <c r="Z3137" s="32"/>
    </row>
    <row r="3138" spans="1:26" ht="14.25" customHeight="1">
      <c r="A3138" s="84" t="s">
        <v>20</v>
      </c>
      <c r="B3138" s="81"/>
      <c r="C3138" s="81"/>
      <c r="D3138" s="81"/>
      <c r="E3138" s="81"/>
      <c r="F3138" s="81"/>
      <c r="G3138" s="82"/>
      <c r="H3138" s="42">
        <v>649000</v>
      </c>
      <c r="I3138" s="51"/>
      <c r="J3138" s="32"/>
      <c r="K3138" s="32"/>
      <c r="L3138" s="32"/>
      <c r="M3138" s="32"/>
      <c r="N3138" s="32"/>
      <c r="O3138" s="32"/>
      <c r="P3138" s="32"/>
      <c r="Q3138" s="32"/>
      <c r="R3138" s="32"/>
      <c r="S3138" s="32"/>
      <c r="T3138" s="32"/>
      <c r="U3138" s="32"/>
      <c r="V3138" s="32"/>
      <c r="W3138" s="32"/>
      <c r="X3138" s="32"/>
      <c r="Y3138" s="32"/>
      <c r="Z3138" s="32"/>
    </row>
    <row r="3139" spans="1:26" ht="14.25" customHeight="1">
      <c r="A3139" s="80"/>
      <c r="B3139" s="81"/>
      <c r="C3139" s="81"/>
      <c r="D3139" s="81"/>
      <c r="E3139" s="81"/>
      <c r="F3139" s="81"/>
      <c r="G3139" s="81"/>
      <c r="H3139" s="82"/>
      <c r="I3139" s="51"/>
      <c r="J3139" s="32"/>
      <c r="K3139" s="32"/>
      <c r="L3139" s="32"/>
      <c r="M3139" s="32"/>
      <c r="N3139" s="32"/>
      <c r="O3139" s="32"/>
      <c r="P3139" s="32"/>
      <c r="Q3139" s="32"/>
      <c r="R3139" s="32"/>
      <c r="S3139" s="32"/>
      <c r="T3139" s="32"/>
      <c r="U3139" s="32"/>
      <c r="V3139" s="32"/>
      <c r="W3139" s="32"/>
      <c r="X3139" s="32"/>
      <c r="Y3139" s="32"/>
      <c r="Z3139" s="32"/>
    </row>
    <row r="3140" spans="1:26" ht="14.25" customHeight="1">
      <c r="I3140" s="51"/>
    </row>
    <row r="3141" spans="1:26" ht="14.25" customHeight="1">
      <c r="I3141" s="51"/>
    </row>
    <row r="3142" spans="1:26" ht="14.25" customHeight="1">
      <c r="I3142" s="51"/>
    </row>
    <row r="3143" spans="1:26" ht="14.25" customHeight="1">
      <c r="I3143" s="51"/>
    </row>
    <row r="3144" spans="1:26" ht="14.25" customHeight="1">
      <c r="I3144" s="51"/>
    </row>
    <row r="3145" spans="1:26" ht="14.25" customHeight="1">
      <c r="A3145" s="80" t="s">
        <v>0</v>
      </c>
      <c r="B3145" s="81"/>
      <c r="C3145" s="81"/>
      <c r="D3145" s="81"/>
      <c r="E3145" s="81"/>
      <c r="F3145" s="81"/>
      <c r="G3145" s="81"/>
      <c r="H3145" s="82"/>
      <c r="I3145" s="51"/>
      <c r="J3145" s="32"/>
      <c r="K3145" s="32"/>
      <c r="L3145" s="32"/>
      <c r="M3145" s="32"/>
      <c r="N3145" s="32"/>
      <c r="O3145" s="32"/>
      <c r="P3145" s="32"/>
      <c r="Q3145" s="32"/>
      <c r="R3145" s="32"/>
      <c r="S3145" s="32"/>
      <c r="T3145" s="32"/>
      <c r="U3145" s="32"/>
      <c r="V3145" s="32"/>
      <c r="W3145" s="32"/>
      <c r="X3145" s="32"/>
      <c r="Y3145" s="32"/>
      <c r="Z3145" s="32"/>
    </row>
    <row r="3146" spans="1:26" ht="14.25" customHeight="1">
      <c r="A3146" s="80" t="s">
        <v>860</v>
      </c>
      <c r="B3146" s="81"/>
      <c r="C3146" s="81"/>
      <c r="D3146" s="81"/>
      <c r="E3146" s="81"/>
      <c r="F3146" s="81"/>
      <c r="G3146" s="81"/>
      <c r="H3146" s="82"/>
      <c r="I3146" s="51"/>
      <c r="J3146" s="32"/>
      <c r="K3146" s="32"/>
      <c r="L3146" s="32"/>
      <c r="M3146" s="32"/>
      <c r="N3146" s="32"/>
      <c r="O3146" s="32"/>
      <c r="P3146" s="32"/>
      <c r="Q3146" s="32"/>
      <c r="R3146" s="32"/>
      <c r="S3146" s="32"/>
      <c r="T3146" s="32"/>
      <c r="U3146" s="32"/>
      <c r="V3146" s="32"/>
      <c r="W3146" s="32"/>
      <c r="X3146" s="32"/>
      <c r="Y3146" s="32"/>
      <c r="Z3146" s="32"/>
    </row>
    <row r="3147" spans="1:26" ht="14.25" customHeight="1">
      <c r="A3147" s="33" t="s">
        <v>2</v>
      </c>
      <c r="B3147" s="33" t="s">
        <v>3</v>
      </c>
      <c r="C3147" s="33" t="s">
        <v>4</v>
      </c>
      <c r="D3147" s="33" t="s">
        <v>5</v>
      </c>
      <c r="E3147" s="33" t="s">
        <v>6</v>
      </c>
      <c r="F3147" s="34" t="s">
        <v>7</v>
      </c>
      <c r="G3147" s="33" t="s">
        <v>8</v>
      </c>
      <c r="H3147" s="35"/>
      <c r="I3147" s="51"/>
      <c r="J3147" s="32"/>
      <c r="K3147" s="32"/>
      <c r="L3147" s="32"/>
      <c r="M3147" s="32"/>
      <c r="N3147" s="32"/>
      <c r="O3147" s="32"/>
      <c r="P3147" s="32"/>
      <c r="Q3147" s="32"/>
      <c r="R3147" s="32"/>
      <c r="S3147" s="32"/>
      <c r="T3147" s="32"/>
      <c r="U3147" s="32"/>
      <c r="V3147" s="32"/>
      <c r="W3147" s="32"/>
      <c r="X3147" s="32"/>
      <c r="Y3147" s="32"/>
      <c r="Z3147" s="32"/>
    </row>
    <row r="3148" spans="1:26" ht="14.25" customHeight="1">
      <c r="A3148" s="36">
        <v>1</v>
      </c>
      <c r="B3148" s="18" t="s">
        <v>175</v>
      </c>
      <c r="C3148" s="5" t="s">
        <v>861</v>
      </c>
      <c r="D3148" s="18" t="s">
        <v>413</v>
      </c>
      <c r="E3148" s="18">
        <v>0.47</v>
      </c>
      <c r="F3148" s="6">
        <v>293000</v>
      </c>
      <c r="G3148" s="37">
        <f t="shared" ref="G3148:G3150" si="205">IFERROR(E3148*F3148,0)</f>
        <v>137710</v>
      </c>
      <c r="H3148" s="38"/>
      <c r="I3148" s="51"/>
      <c r="J3148" s="32"/>
      <c r="K3148" s="32"/>
      <c r="L3148" s="32"/>
      <c r="M3148" s="32"/>
      <c r="N3148" s="32"/>
      <c r="O3148" s="32"/>
      <c r="P3148" s="32"/>
      <c r="Q3148" s="32"/>
      <c r="R3148" s="32"/>
      <c r="S3148" s="32"/>
      <c r="T3148" s="32"/>
      <c r="U3148" s="32"/>
      <c r="V3148" s="32"/>
      <c r="W3148" s="32"/>
      <c r="X3148" s="32"/>
      <c r="Y3148" s="32"/>
      <c r="Z3148" s="32"/>
    </row>
    <row r="3149" spans="1:26" ht="14.25" customHeight="1">
      <c r="A3149" s="36">
        <v>2</v>
      </c>
      <c r="B3149" s="12" t="s">
        <v>144</v>
      </c>
      <c r="C3149" s="10" t="s">
        <v>862</v>
      </c>
      <c r="D3149" s="12" t="s">
        <v>233</v>
      </c>
      <c r="E3149" s="12">
        <v>3</v>
      </c>
      <c r="F3149" s="43">
        <v>435000</v>
      </c>
      <c r="G3149" s="37">
        <f t="shared" si="205"/>
        <v>1305000</v>
      </c>
      <c r="H3149" s="38"/>
      <c r="I3149" s="51"/>
      <c r="J3149" s="32"/>
      <c r="K3149" s="32"/>
      <c r="L3149" s="32"/>
      <c r="M3149" s="32"/>
      <c r="N3149" s="32"/>
      <c r="O3149" s="32"/>
      <c r="P3149" s="32"/>
      <c r="Q3149" s="32"/>
      <c r="R3149" s="32"/>
      <c r="S3149" s="32"/>
      <c r="T3149" s="32"/>
      <c r="U3149" s="32"/>
      <c r="V3149" s="32"/>
      <c r="W3149" s="32"/>
      <c r="X3149" s="32"/>
      <c r="Y3149" s="32"/>
      <c r="Z3149" s="32"/>
    </row>
    <row r="3150" spans="1:26" ht="14.25" customHeight="1">
      <c r="A3150" s="36">
        <v>4</v>
      </c>
      <c r="B3150" s="39" t="s">
        <v>17</v>
      </c>
      <c r="C3150" s="38"/>
      <c r="D3150" s="38"/>
      <c r="E3150" s="38"/>
      <c r="F3150" s="60"/>
      <c r="G3150" s="37">
        <f t="shared" si="205"/>
        <v>0</v>
      </c>
      <c r="H3150" s="38"/>
      <c r="I3150" s="51"/>
      <c r="J3150" s="32"/>
      <c r="K3150" s="32"/>
      <c r="L3150" s="32"/>
      <c r="M3150" s="32"/>
      <c r="N3150" s="32"/>
      <c r="O3150" s="32"/>
      <c r="P3150" s="32"/>
      <c r="Q3150" s="32"/>
      <c r="R3150" s="32"/>
      <c r="S3150" s="32"/>
      <c r="T3150" s="32"/>
      <c r="U3150" s="32"/>
      <c r="V3150" s="32"/>
      <c r="W3150" s="32"/>
      <c r="X3150" s="32"/>
      <c r="Y3150" s="32"/>
      <c r="Z3150" s="32"/>
    </row>
    <row r="3151" spans="1:26" ht="14.25" customHeight="1">
      <c r="A3151" s="83" t="s">
        <v>18</v>
      </c>
      <c r="B3151" s="81"/>
      <c r="C3151" s="81"/>
      <c r="D3151" s="81"/>
      <c r="E3151" s="81"/>
      <c r="F3151" s="81"/>
      <c r="G3151" s="82"/>
      <c r="H3151" s="41">
        <f>SUM(G3148:G3150)</f>
        <v>1442710</v>
      </c>
      <c r="I3151" s="51"/>
      <c r="J3151" s="32"/>
      <c r="K3151" s="32"/>
      <c r="L3151" s="32"/>
      <c r="M3151" s="32"/>
      <c r="N3151" s="32"/>
      <c r="O3151" s="32"/>
      <c r="P3151" s="32"/>
      <c r="Q3151" s="32"/>
      <c r="R3151" s="32"/>
      <c r="S3151" s="32"/>
      <c r="T3151" s="32"/>
      <c r="U3151" s="32"/>
      <c r="V3151" s="32"/>
      <c r="W3151" s="32"/>
      <c r="X3151" s="32"/>
      <c r="Y3151" s="32"/>
      <c r="Z3151" s="32"/>
    </row>
    <row r="3152" spans="1:26" ht="14.25" customHeight="1">
      <c r="A3152" s="83" t="s">
        <v>19</v>
      </c>
      <c r="B3152" s="81"/>
      <c r="C3152" s="81"/>
      <c r="D3152" s="81"/>
      <c r="E3152" s="81"/>
      <c r="F3152" s="81"/>
      <c r="G3152" s="82"/>
      <c r="H3152" s="41">
        <f>MAX(0,H3151-648000)</f>
        <v>794710</v>
      </c>
      <c r="I3152" s="51"/>
      <c r="J3152" s="32"/>
      <c r="K3152" s="32"/>
      <c r="L3152" s="32"/>
      <c r="M3152" s="32"/>
      <c r="N3152" s="32"/>
      <c r="O3152" s="32"/>
      <c r="P3152" s="32"/>
      <c r="Q3152" s="32"/>
      <c r="R3152" s="32"/>
      <c r="S3152" s="32"/>
      <c r="T3152" s="32"/>
      <c r="U3152" s="32"/>
      <c r="V3152" s="32"/>
      <c r="W3152" s="32"/>
      <c r="X3152" s="32"/>
      <c r="Y3152" s="32"/>
      <c r="Z3152" s="32"/>
    </row>
    <row r="3153" spans="1:26" ht="14.25" customHeight="1">
      <c r="A3153" s="84" t="s">
        <v>20</v>
      </c>
      <c r="B3153" s="81"/>
      <c r="C3153" s="81"/>
      <c r="D3153" s="81"/>
      <c r="E3153" s="81"/>
      <c r="F3153" s="81"/>
      <c r="G3153" s="82"/>
      <c r="H3153" s="42">
        <v>649000</v>
      </c>
      <c r="I3153" s="51"/>
      <c r="J3153" s="32"/>
      <c r="K3153" s="32"/>
      <c r="L3153" s="32"/>
      <c r="M3153" s="32"/>
      <c r="N3153" s="32"/>
      <c r="O3153" s="32"/>
      <c r="P3153" s="32"/>
      <c r="Q3153" s="32"/>
      <c r="R3153" s="32"/>
      <c r="S3153" s="32"/>
      <c r="T3153" s="32"/>
      <c r="U3153" s="32"/>
      <c r="V3153" s="32"/>
      <c r="W3153" s="32"/>
      <c r="X3153" s="32"/>
      <c r="Y3153" s="32"/>
      <c r="Z3153" s="32"/>
    </row>
    <row r="3154" spans="1:26" ht="14.25" customHeight="1">
      <c r="A3154" s="80"/>
      <c r="B3154" s="81"/>
      <c r="C3154" s="81"/>
      <c r="D3154" s="81"/>
      <c r="E3154" s="81"/>
      <c r="F3154" s="81"/>
      <c r="G3154" s="81"/>
      <c r="H3154" s="82"/>
      <c r="I3154" s="51"/>
      <c r="J3154" s="32"/>
      <c r="K3154" s="32"/>
      <c r="L3154" s="32"/>
      <c r="M3154" s="32"/>
      <c r="N3154" s="32"/>
      <c r="O3154" s="32"/>
      <c r="P3154" s="32"/>
      <c r="Q3154" s="32"/>
      <c r="R3154" s="32"/>
      <c r="S3154" s="32"/>
      <c r="T3154" s="32"/>
      <c r="U3154" s="32"/>
      <c r="V3154" s="32"/>
      <c r="W3154" s="32"/>
      <c r="X3154" s="32"/>
      <c r="Y3154" s="32"/>
      <c r="Z3154" s="32"/>
    </row>
    <row r="3155" spans="1:26" ht="14.25" customHeight="1">
      <c r="I3155" s="51"/>
    </row>
    <row r="3156" spans="1:26" ht="14.25" customHeight="1">
      <c r="I3156" s="51"/>
    </row>
    <row r="3157" spans="1:26" ht="14.25" customHeight="1">
      <c r="I3157" s="51"/>
    </row>
    <row r="3158" spans="1:26" ht="14.25" customHeight="1">
      <c r="I3158" s="51"/>
    </row>
    <row r="3159" spans="1:26" ht="14.25" customHeight="1">
      <c r="I3159" s="51"/>
    </row>
    <row r="3160" spans="1:26" ht="14.25" customHeight="1">
      <c r="I3160" s="51"/>
    </row>
    <row r="3161" spans="1:26" ht="14.25" customHeight="1">
      <c r="A3161" s="80" t="s">
        <v>0</v>
      </c>
      <c r="B3161" s="81"/>
      <c r="C3161" s="81"/>
      <c r="D3161" s="81"/>
      <c r="E3161" s="81"/>
      <c r="F3161" s="81"/>
      <c r="G3161" s="81"/>
      <c r="H3161" s="82"/>
      <c r="I3161" s="51"/>
      <c r="J3161" s="32"/>
      <c r="K3161" s="32"/>
      <c r="L3161" s="32"/>
      <c r="M3161" s="32"/>
      <c r="N3161" s="32"/>
      <c r="O3161" s="32"/>
      <c r="P3161" s="32"/>
      <c r="Q3161" s="32"/>
      <c r="R3161" s="32"/>
      <c r="S3161" s="32"/>
      <c r="T3161" s="32"/>
      <c r="U3161" s="32"/>
      <c r="V3161" s="32"/>
      <c r="W3161" s="32"/>
      <c r="X3161" s="32"/>
      <c r="Y3161" s="32"/>
      <c r="Z3161" s="32"/>
    </row>
    <row r="3162" spans="1:26" ht="14.25" customHeight="1">
      <c r="A3162" s="80" t="s">
        <v>863</v>
      </c>
      <c r="B3162" s="81"/>
      <c r="C3162" s="81"/>
      <c r="D3162" s="81"/>
      <c r="E3162" s="81"/>
      <c r="F3162" s="81"/>
      <c r="G3162" s="81"/>
      <c r="H3162" s="82"/>
      <c r="I3162" s="51"/>
      <c r="J3162" s="32"/>
      <c r="K3162" s="32"/>
      <c r="L3162" s="32"/>
      <c r="M3162" s="32"/>
      <c r="N3162" s="32"/>
      <c r="O3162" s="32"/>
      <c r="P3162" s="32"/>
      <c r="Q3162" s="32"/>
      <c r="R3162" s="32"/>
      <c r="S3162" s="32"/>
      <c r="T3162" s="32"/>
      <c r="U3162" s="32"/>
      <c r="V3162" s="32"/>
      <c r="W3162" s="32"/>
      <c r="X3162" s="32"/>
      <c r="Y3162" s="32"/>
      <c r="Z3162" s="32"/>
    </row>
    <row r="3163" spans="1:26" ht="14.25" customHeight="1">
      <c r="A3163" s="33" t="s">
        <v>2</v>
      </c>
      <c r="B3163" s="33" t="s">
        <v>3</v>
      </c>
      <c r="C3163" s="33" t="s">
        <v>4</v>
      </c>
      <c r="D3163" s="33" t="s">
        <v>5</v>
      </c>
      <c r="E3163" s="33" t="s">
        <v>6</v>
      </c>
      <c r="F3163" s="34" t="s">
        <v>7</v>
      </c>
      <c r="G3163" s="33" t="s">
        <v>8</v>
      </c>
      <c r="H3163" s="35"/>
      <c r="I3163" s="51"/>
      <c r="J3163" s="32"/>
      <c r="K3163" s="32"/>
      <c r="L3163" s="32"/>
      <c r="M3163" s="32"/>
      <c r="N3163" s="32"/>
      <c r="O3163" s="32"/>
      <c r="P3163" s="32"/>
      <c r="Q3163" s="32"/>
      <c r="R3163" s="32"/>
      <c r="S3163" s="32"/>
      <c r="T3163" s="32"/>
      <c r="U3163" s="32"/>
      <c r="V3163" s="32"/>
      <c r="W3163" s="32"/>
      <c r="X3163" s="32"/>
      <c r="Y3163" s="32"/>
      <c r="Z3163" s="32"/>
    </row>
    <row r="3164" spans="1:26" ht="14.25" customHeight="1">
      <c r="A3164" s="36">
        <v>1</v>
      </c>
      <c r="B3164" s="18" t="s">
        <v>864</v>
      </c>
      <c r="C3164" s="5" t="s">
        <v>865</v>
      </c>
      <c r="D3164" s="18" t="s">
        <v>413</v>
      </c>
      <c r="E3164" s="18">
        <v>2.13</v>
      </c>
      <c r="F3164" s="6">
        <v>293000</v>
      </c>
      <c r="G3164" s="37">
        <f t="shared" ref="G3164:G3166" si="206">IFERROR(E3164*F3164,0)</f>
        <v>624090</v>
      </c>
      <c r="H3164" s="38"/>
      <c r="I3164" s="51"/>
      <c r="J3164" s="32"/>
      <c r="K3164" s="32"/>
      <c r="L3164" s="32"/>
      <c r="M3164" s="32"/>
      <c r="N3164" s="32"/>
      <c r="O3164" s="32"/>
      <c r="P3164" s="32"/>
      <c r="Q3164" s="32"/>
      <c r="R3164" s="32"/>
      <c r="S3164" s="32"/>
      <c r="T3164" s="32"/>
      <c r="U3164" s="32"/>
      <c r="V3164" s="32"/>
      <c r="W3164" s="32"/>
      <c r="X3164" s="32"/>
      <c r="Y3164" s="32"/>
      <c r="Z3164" s="32"/>
    </row>
    <row r="3165" spans="1:26" ht="14.25" customHeight="1">
      <c r="A3165" s="36">
        <v>2</v>
      </c>
      <c r="B3165" s="12" t="s">
        <v>65</v>
      </c>
      <c r="C3165" s="10" t="s">
        <v>866</v>
      </c>
      <c r="D3165" s="12" t="s">
        <v>14</v>
      </c>
      <c r="E3165" s="12">
        <v>1.5</v>
      </c>
      <c r="F3165" s="43">
        <v>435000</v>
      </c>
      <c r="G3165" s="37">
        <f t="shared" si="206"/>
        <v>652500</v>
      </c>
      <c r="H3165" s="38"/>
      <c r="I3165" s="51"/>
      <c r="J3165" s="32"/>
      <c r="K3165" s="32"/>
      <c r="L3165" s="32"/>
      <c r="M3165" s="32"/>
      <c r="N3165" s="32"/>
      <c r="O3165" s="32"/>
      <c r="P3165" s="32"/>
      <c r="Q3165" s="32"/>
      <c r="R3165" s="32"/>
      <c r="S3165" s="32"/>
      <c r="T3165" s="32"/>
      <c r="U3165" s="32"/>
      <c r="V3165" s="32"/>
      <c r="W3165" s="32"/>
      <c r="X3165" s="32"/>
      <c r="Y3165" s="32"/>
      <c r="Z3165" s="32"/>
    </row>
    <row r="3166" spans="1:26" ht="14.25" customHeight="1">
      <c r="A3166" s="36">
        <v>4</v>
      </c>
      <c r="B3166" s="39" t="s">
        <v>17</v>
      </c>
      <c r="C3166" s="38"/>
      <c r="D3166" s="38"/>
      <c r="E3166" s="38"/>
      <c r="F3166" s="60"/>
      <c r="G3166" s="37">
        <f t="shared" si="206"/>
        <v>0</v>
      </c>
      <c r="H3166" s="38"/>
      <c r="I3166" s="51"/>
      <c r="J3166" s="32"/>
      <c r="K3166" s="32"/>
      <c r="L3166" s="32"/>
      <c r="M3166" s="32"/>
      <c r="N3166" s="32"/>
      <c r="O3166" s="32"/>
      <c r="P3166" s="32"/>
      <c r="Q3166" s="32"/>
      <c r="R3166" s="32"/>
      <c r="S3166" s="32"/>
      <c r="T3166" s="32"/>
      <c r="U3166" s="32"/>
      <c r="V3166" s="32"/>
      <c r="W3166" s="32"/>
      <c r="X3166" s="32"/>
      <c r="Y3166" s="32"/>
      <c r="Z3166" s="32"/>
    </row>
    <row r="3167" spans="1:26" ht="14.25" customHeight="1">
      <c r="A3167" s="83" t="s">
        <v>18</v>
      </c>
      <c r="B3167" s="81"/>
      <c r="C3167" s="81"/>
      <c r="D3167" s="81"/>
      <c r="E3167" s="81"/>
      <c r="F3167" s="81"/>
      <c r="G3167" s="82"/>
      <c r="H3167" s="41">
        <f>SUM(G3164:G3166)</f>
        <v>1276590</v>
      </c>
      <c r="I3167" s="51"/>
      <c r="J3167" s="32"/>
      <c r="K3167" s="32"/>
      <c r="L3167" s="32"/>
      <c r="M3167" s="32"/>
      <c r="N3167" s="32"/>
      <c r="O3167" s="32"/>
      <c r="P3167" s="32"/>
      <c r="Q3167" s="32"/>
      <c r="R3167" s="32"/>
      <c r="S3167" s="32"/>
      <c r="T3167" s="32"/>
      <c r="U3167" s="32"/>
      <c r="V3167" s="32"/>
      <c r="W3167" s="32"/>
      <c r="X3167" s="32"/>
      <c r="Y3167" s="32"/>
      <c r="Z3167" s="32"/>
    </row>
    <row r="3168" spans="1:26" ht="14.25" customHeight="1">
      <c r="A3168" s="83" t="s">
        <v>19</v>
      </c>
      <c r="B3168" s="81"/>
      <c r="C3168" s="81"/>
      <c r="D3168" s="81"/>
      <c r="E3168" s="81"/>
      <c r="F3168" s="81"/>
      <c r="G3168" s="82"/>
      <c r="H3168" s="41">
        <f>MAX(0,H3167-648000)</f>
        <v>628590</v>
      </c>
      <c r="I3168" s="51"/>
      <c r="J3168" s="32"/>
      <c r="K3168" s="32"/>
      <c r="L3168" s="32"/>
      <c r="M3168" s="32"/>
      <c r="N3168" s="32"/>
      <c r="O3168" s="32"/>
      <c r="P3168" s="32"/>
      <c r="Q3168" s="32"/>
      <c r="R3168" s="32"/>
      <c r="S3168" s="32"/>
      <c r="T3168" s="32"/>
      <c r="U3168" s="32"/>
      <c r="V3168" s="32"/>
      <c r="W3168" s="32"/>
      <c r="X3168" s="32"/>
      <c r="Y3168" s="32"/>
      <c r="Z3168" s="32"/>
    </row>
    <row r="3169" spans="1:26" ht="14.25" customHeight="1">
      <c r="A3169" s="84" t="s">
        <v>20</v>
      </c>
      <c r="B3169" s="81"/>
      <c r="C3169" s="81"/>
      <c r="D3169" s="81"/>
      <c r="E3169" s="81"/>
      <c r="F3169" s="81"/>
      <c r="G3169" s="82"/>
      <c r="H3169" s="42">
        <v>649000</v>
      </c>
      <c r="I3169" s="51"/>
      <c r="J3169" s="32"/>
      <c r="K3169" s="32"/>
      <c r="L3169" s="32"/>
      <c r="M3169" s="32"/>
      <c r="N3169" s="32"/>
      <c r="O3169" s="32"/>
      <c r="P3169" s="32"/>
      <c r="Q3169" s="32"/>
      <c r="R3169" s="32"/>
      <c r="S3169" s="32"/>
      <c r="T3169" s="32"/>
      <c r="U3169" s="32"/>
      <c r="V3169" s="32"/>
      <c r="W3169" s="32"/>
      <c r="X3169" s="32"/>
      <c r="Y3169" s="32"/>
      <c r="Z3169" s="32"/>
    </row>
    <row r="3170" spans="1:26" ht="14.25" customHeight="1">
      <c r="A3170" s="80"/>
      <c r="B3170" s="81"/>
      <c r="C3170" s="81"/>
      <c r="D3170" s="81"/>
      <c r="E3170" s="81"/>
      <c r="F3170" s="81"/>
      <c r="G3170" s="81"/>
      <c r="H3170" s="82"/>
      <c r="I3170" s="51"/>
      <c r="J3170" s="32"/>
      <c r="K3170" s="32"/>
      <c r="L3170" s="32"/>
      <c r="M3170" s="32"/>
      <c r="N3170" s="32"/>
      <c r="O3170" s="32"/>
      <c r="P3170" s="32"/>
      <c r="Q3170" s="32"/>
      <c r="R3170" s="32"/>
      <c r="S3170" s="32"/>
      <c r="T3170" s="32"/>
      <c r="U3170" s="32"/>
      <c r="V3170" s="32"/>
      <c r="W3170" s="32"/>
      <c r="X3170" s="32"/>
      <c r="Y3170" s="32"/>
      <c r="Z3170" s="32"/>
    </row>
    <row r="3171" spans="1:26" ht="14.25" customHeight="1">
      <c r="I3171" s="51"/>
    </row>
    <row r="3172" spans="1:26" ht="14.25" customHeight="1">
      <c r="I3172" s="51"/>
    </row>
    <row r="3173" spans="1:26" ht="14.25" customHeight="1">
      <c r="I3173" s="51"/>
    </row>
    <row r="3174" spans="1:26" ht="14.25" customHeight="1">
      <c r="I3174" s="51"/>
    </row>
    <row r="3175" spans="1:26" ht="14.25" customHeight="1">
      <c r="I3175" s="51"/>
    </row>
    <row r="3176" spans="1:26" ht="14.25" customHeight="1">
      <c r="I3176" s="51"/>
    </row>
    <row r="3177" spans="1:26" ht="14.25" customHeight="1">
      <c r="I3177" s="51"/>
    </row>
    <row r="3178" spans="1:26" ht="14.25" customHeight="1">
      <c r="I3178" s="51"/>
    </row>
    <row r="3179" spans="1:26" ht="14.25" customHeight="1">
      <c r="A3179" s="80" t="s">
        <v>0</v>
      </c>
      <c r="B3179" s="81"/>
      <c r="C3179" s="81"/>
      <c r="D3179" s="81"/>
      <c r="E3179" s="81"/>
      <c r="F3179" s="81"/>
      <c r="G3179" s="81"/>
      <c r="H3179" s="82"/>
      <c r="I3179" s="51"/>
      <c r="J3179" s="32"/>
      <c r="K3179" s="32"/>
      <c r="L3179" s="32"/>
      <c r="M3179" s="32"/>
      <c r="N3179" s="32"/>
      <c r="O3179" s="32"/>
      <c r="P3179" s="32"/>
      <c r="Q3179" s="32"/>
      <c r="R3179" s="32"/>
      <c r="S3179" s="32"/>
      <c r="T3179" s="32"/>
      <c r="U3179" s="32"/>
      <c r="V3179" s="32"/>
      <c r="W3179" s="32"/>
      <c r="X3179" s="32"/>
      <c r="Y3179" s="32"/>
      <c r="Z3179" s="32"/>
    </row>
    <row r="3180" spans="1:26" ht="14.25" customHeight="1">
      <c r="A3180" s="80" t="s">
        <v>867</v>
      </c>
      <c r="B3180" s="81"/>
      <c r="C3180" s="81"/>
      <c r="D3180" s="81"/>
      <c r="E3180" s="81"/>
      <c r="F3180" s="81"/>
      <c r="G3180" s="81"/>
      <c r="H3180" s="82"/>
      <c r="I3180" s="51"/>
      <c r="J3180" s="32"/>
      <c r="K3180" s="32"/>
      <c r="L3180" s="32"/>
      <c r="M3180" s="32"/>
      <c r="N3180" s="32"/>
      <c r="O3180" s="32"/>
      <c r="P3180" s="32"/>
      <c r="Q3180" s="32"/>
      <c r="R3180" s="32"/>
      <c r="S3180" s="32"/>
      <c r="T3180" s="32"/>
      <c r="U3180" s="32"/>
      <c r="V3180" s="32"/>
      <c r="W3180" s="32"/>
      <c r="X3180" s="32"/>
      <c r="Y3180" s="32"/>
      <c r="Z3180" s="32"/>
    </row>
    <row r="3181" spans="1:26" ht="14.25" customHeight="1">
      <c r="A3181" s="33" t="s">
        <v>2</v>
      </c>
      <c r="B3181" s="33" t="s">
        <v>3</v>
      </c>
      <c r="C3181" s="33" t="s">
        <v>4</v>
      </c>
      <c r="D3181" s="33" t="s">
        <v>5</v>
      </c>
      <c r="E3181" s="33" t="s">
        <v>6</v>
      </c>
      <c r="F3181" s="34" t="s">
        <v>7</v>
      </c>
      <c r="G3181" s="33" t="s">
        <v>8</v>
      </c>
      <c r="H3181" s="35"/>
      <c r="I3181" s="51"/>
      <c r="J3181" s="32"/>
      <c r="K3181" s="32"/>
      <c r="L3181" s="32"/>
      <c r="M3181" s="32"/>
      <c r="N3181" s="32"/>
      <c r="O3181" s="32"/>
      <c r="P3181" s="32"/>
      <c r="Q3181" s="32"/>
      <c r="R3181" s="32"/>
      <c r="S3181" s="32"/>
      <c r="T3181" s="32"/>
      <c r="U3181" s="32"/>
      <c r="V3181" s="32"/>
      <c r="W3181" s="32"/>
      <c r="X3181" s="32"/>
      <c r="Y3181" s="32"/>
      <c r="Z3181" s="32"/>
    </row>
    <row r="3182" spans="1:26" ht="14.25" customHeight="1">
      <c r="A3182" s="36">
        <v>1</v>
      </c>
      <c r="B3182" s="18" t="s">
        <v>578</v>
      </c>
      <c r="C3182" s="5" t="s">
        <v>868</v>
      </c>
      <c r="D3182" s="18" t="s">
        <v>413</v>
      </c>
      <c r="E3182" s="18">
        <v>2.9</v>
      </c>
      <c r="F3182" s="6">
        <v>293000</v>
      </c>
      <c r="G3182" s="37">
        <f t="shared" ref="G3182:G3184" si="207">IFERROR(E3182*F3182,0)</f>
        <v>849700</v>
      </c>
      <c r="H3182" s="38"/>
      <c r="I3182" s="51"/>
      <c r="J3182" s="32"/>
      <c r="K3182" s="32"/>
      <c r="L3182" s="32"/>
      <c r="M3182" s="32"/>
      <c r="N3182" s="32"/>
      <c r="O3182" s="32"/>
      <c r="P3182" s="32"/>
      <c r="Q3182" s="32"/>
      <c r="R3182" s="32"/>
      <c r="S3182" s="32"/>
      <c r="T3182" s="32"/>
      <c r="U3182" s="32"/>
      <c r="V3182" s="32"/>
      <c r="W3182" s="32"/>
      <c r="X3182" s="32"/>
      <c r="Y3182" s="32"/>
      <c r="Z3182" s="32"/>
    </row>
    <row r="3183" spans="1:26" ht="14.25" customHeight="1">
      <c r="A3183" s="36">
        <v>2</v>
      </c>
      <c r="B3183" s="12" t="s">
        <v>601</v>
      </c>
      <c r="C3183" s="10" t="s">
        <v>869</v>
      </c>
      <c r="D3183" s="12" t="s">
        <v>233</v>
      </c>
      <c r="E3183" s="12">
        <v>0.53</v>
      </c>
      <c r="F3183" s="43">
        <v>435000</v>
      </c>
      <c r="G3183" s="37">
        <f t="shared" si="207"/>
        <v>230550</v>
      </c>
      <c r="H3183" s="38"/>
      <c r="I3183" s="51"/>
      <c r="J3183" s="32"/>
      <c r="K3183" s="32"/>
      <c r="L3183" s="32"/>
      <c r="M3183" s="32"/>
      <c r="N3183" s="32"/>
      <c r="O3183" s="32"/>
      <c r="P3183" s="32"/>
      <c r="Q3183" s="32"/>
      <c r="R3183" s="32"/>
      <c r="S3183" s="32"/>
      <c r="T3183" s="32"/>
      <c r="U3183" s="32"/>
      <c r="V3183" s="32"/>
      <c r="W3183" s="32"/>
      <c r="X3183" s="32"/>
      <c r="Y3183" s="32"/>
      <c r="Z3183" s="32"/>
    </row>
    <row r="3184" spans="1:26" ht="14.25" customHeight="1">
      <c r="A3184" s="36">
        <v>4</v>
      </c>
      <c r="B3184" s="39" t="s">
        <v>17</v>
      </c>
      <c r="C3184" s="38"/>
      <c r="D3184" s="38"/>
      <c r="E3184" s="38"/>
      <c r="F3184" s="60"/>
      <c r="G3184" s="37">
        <f t="shared" si="207"/>
        <v>0</v>
      </c>
      <c r="H3184" s="38"/>
      <c r="I3184" s="51"/>
      <c r="J3184" s="32"/>
      <c r="K3184" s="32"/>
      <c r="L3184" s="32"/>
      <c r="M3184" s="32"/>
      <c r="N3184" s="32"/>
      <c r="O3184" s="32"/>
      <c r="P3184" s="32"/>
      <c r="Q3184" s="32"/>
      <c r="R3184" s="32"/>
      <c r="S3184" s="32"/>
      <c r="T3184" s="32"/>
      <c r="U3184" s="32"/>
      <c r="V3184" s="32"/>
      <c r="W3184" s="32"/>
      <c r="X3184" s="32"/>
      <c r="Y3184" s="32"/>
      <c r="Z3184" s="32"/>
    </row>
    <row r="3185" spans="1:26" ht="14.25" customHeight="1">
      <c r="A3185" s="83" t="s">
        <v>18</v>
      </c>
      <c r="B3185" s="81"/>
      <c r="C3185" s="81"/>
      <c r="D3185" s="81"/>
      <c r="E3185" s="81"/>
      <c r="F3185" s="81"/>
      <c r="G3185" s="82"/>
      <c r="H3185" s="41">
        <f>SUM(G3182:G3184)</f>
        <v>1080250</v>
      </c>
      <c r="I3185" s="51"/>
      <c r="J3185" s="32"/>
      <c r="K3185" s="32"/>
      <c r="L3185" s="32"/>
      <c r="M3185" s="32"/>
      <c r="N3185" s="32"/>
      <c r="O3185" s="32"/>
      <c r="P3185" s="32"/>
      <c r="Q3185" s="32"/>
      <c r="R3185" s="32"/>
      <c r="S3185" s="32"/>
      <c r="T3185" s="32"/>
      <c r="U3185" s="32"/>
      <c r="V3185" s="32"/>
      <c r="W3185" s="32"/>
      <c r="X3185" s="32"/>
      <c r="Y3185" s="32"/>
      <c r="Z3185" s="32"/>
    </row>
    <row r="3186" spans="1:26" ht="14.25" customHeight="1">
      <c r="A3186" s="83" t="s">
        <v>19</v>
      </c>
      <c r="B3186" s="81"/>
      <c r="C3186" s="81"/>
      <c r="D3186" s="81"/>
      <c r="E3186" s="81"/>
      <c r="F3186" s="81"/>
      <c r="G3186" s="82"/>
      <c r="H3186" s="41">
        <f>MAX(0,H3185-648000)</f>
        <v>432250</v>
      </c>
      <c r="I3186" s="51"/>
      <c r="J3186" s="32"/>
      <c r="K3186" s="32"/>
      <c r="L3186" s="32"/>
      <c r="M3186" s="32"/>
      <c r="N3186" s="32"/>
      <c r="O3186" s="32"/>
      <c r="P3186" s="32"/>
      <c r="Q3186" s="32"/>
      <c r="R3186" s="32"/>
      <c r="S3186" s="32"/>
      <c r="T3186" s="32"/>
      <c r="U3186" s="32"/>
      <c r="V3186" s="32"/>
      <c r="W3186" s="32"/>
      <c r="X3186" s="32"/>
      <c r="Y3186" s="32"/>
      <c r="Z3186" s="32"/>
    </row>
    <row r="3187" spans="1:26" ht="14.25" customHeight="1">
      <c r="A3187" s="84" t="s">
        <v>20</v>
      </c>
      <c r="B3187" s="81"/>
      <c r="C3187" s="81"/>
      <c r="D3187" s="81"/>
      <c r="E3187" s="81"/>
      <c r="F3187" s="81"/>
      <c r="G3187" s="82"/>
      <c r="H3187" s="42">
        <v>649000</v>
      </c>
      <c r="I3187" s="51"/>
      <c r="J3187" s="32"/>
      <c r="K3187" s="32"/>
      <c r="L3187" s="32"/>
      <c r="M3187" s="32"/>
      <c r="N3187" s="32"/>
      <c r="O3187" s="32"/>
      <c r="P3187" s="32"/>
      <c r="Q3187" s="32"/>
      <c r="R3187" s="32"/>
      <c r="S3187" s="32"/>
      <c r="T3187" s="32"/>
      <c r="U3187" s="32"/>
      <c r="V3187" s="32"/>
      <c r="W3187" s="32"/>
      <c r="X3187" s="32"/>
      <c r="Y3187" s="32"/>
      <c r="Z3187" s="32"/>
    </row>
    <row r="3188" spans="1:26" ht="14.25" customHeight="1">
      <c r="A3188" s="80"/>
      <c r="B3188" s="81"/>
      <c r="C3188" s="81"/>
      <c r="D3188" s="81"/>
      <c r="E3188" s="81"/>
      <c r="F3188" s="81"/>
      <c r="G3188" s="81"/>
      <c r="H3188" s="82"/>
      <c r="I3188" s="51"/>
      <c r="J3188" s="32"/>
      <c r="K3188" s="32"/>
      <c r="L3188" s="32"/>
      <c r="M3188" s="32"/>
      <c r="N3188" s="32"/>
      <c r="O3188" s="32"/>
      <c r="P3188" s="32"/>
      <c r="Q3188" s="32"/>
      <c r="R3188" s="32"/>
      <c r="S3188" s="32"/>
      <c r="T3188" s="32"/>
      <c r="U3188" s="32"/>
      <c r="V3188" s="32"/>
      <c r="W3188" s="32"/>
      <c r="X3188" s="32"/>
      <c r="Y3188" s="32"/>
      <c r="Z3188" s="32"/>
    </row>
    <row r="3189" spans="1:26" ht="14.25" customHeight="1">
      <c r="I3189" s="51"/>
    </row>
    <row r="3190" spans="1:26" ht="14.25" customHeight="1">
      <c r="I3190" s="51"/>
    </row>
    <row r="3191" spans="1:26" ht="14.25" customHeight="1">
      <c r="I3191" s="51"/>
    </row>
    <row r="3192" spans="1:26" ht="14.25" customHeight="1">
      <c r="I3192" s="51"/>
    </row>
    <row r="3193" spans="1:26" ht="14.25" customHeight="1">
      <c r="I3193" s="51"/>
    </row>
    <row r="3194" spans="1:26" ht="14.25" customHeight="1">
      <c r="I3194" s="51"/>
    </row>
    <row r="3195" spans="1:26" ht="14.25" customHeight="1">
      <c r="A3195" s="80" t="s">
        <v>0</v>
      </c>
      <c r="B3195" s="81"/>
      <c r="C3195" s="81"/>
      <c r="D3195" s="81"/>
      <c r="E3195" s="81"/>
      <c r="F3195" s="81"/>
      <c r="G3195" s="81"/>
      <c r="H3195" s="82"/>
      <c r="I3195" s="51"/>
      <c r="J3195" s="32"/>
      <c r="K3195" s="32"/>
      <c r="L3195" s="32"/>
      <c r="M3195" s="32"/>
      <c r="N3195" s="32"/>
      <c r="O3195" s="32"/>
      <c r="P3195" s="32"/>
      <c r="Q3195" s="32"/>
      <c r="R3195" s="32"/>
      <c r="S3195" s="32"/>
      <c r="T3195" s="32"/>
      <c r="U3195" s="32"/>
      <c r="V3195" s="32"/>
      <c r="W3195" s="32"/>
      <c r="X3195" s="32"/>
      <c r="Y3195" s="32"/>
      <c r="Z3195" s="32"/>
    </row>
    <row r="3196" spans="1:26" ht="14.25" customHeight="1">
      <c r="A3196" s="80" t="s">
        <v>870</v>
      </c>
      <c r="B3196" s="81"/>
      <c r="C3196" s="81"/>
      <c r="D3196" s="81"/>
      <c r="E3196" s="81"/>
      <c r="F3196" s="81"/>
      <c r="G3196" s="81"/>
      <c r="H3196" s="82"/>
      <c r="I3196" s="51"/>
      <c r="J3196" s="32"/>
      <c r="K3196" s="32"/>
      <c r="L3196" s="32"/>
      <c r="M3196" s="32"/>
      <c r="N3196" s="32"/>
      <c r="O3196" s="32"/>
      <c r="P3196" s="32"/>
      <c r="Q3196" s="32"/>
      <c r="R3196" s="32"/>
      <c r="S3196" s="32"/>
      <c r="T3196" s="32"/>
      <c r="U3196" s="32"/>
      <c r="V3196" s="32"/>
      <c r="W3196" s="32"/>
      <c r="X3196" s="32"/>
      <c r="Y3196" s="32"/>
      <c r="Z3196" s="32"/>
    </row>
    <row r="3197" spans="1:26" ht="14.25" customHeight="1">
      <c r="A3197" s="33" t="s">
        <v>2</v>
      </c>
      <c r="B3197" s="33" t="s">
        <v>3</v>
      </c>
      <c r="C3197" s="33" t="s">
        <v>4</v>
      </c>
      <c r="D3197" s="33" t="s">
        <v>5</v>
      </c>
      <c r="E3197" s="33" t="s">
        <v>6</v>
      </c>
      <c r="F3197" s="34" t="s">
        <v>7</v>
      </c>
      <c r="G3197" s="33" t="s">
        <v>8</v>
      </c>
      <c r="H3197" s="35"/>
      <c r="I3197" s="51"/>
      <c r="J3197" s="32"/>
      <c r="K3197" s="32"/>
      <c r="L3197" s="32"/>
      <c r="M3197" s="32"/>
      <c r="N3197" s="32"/>
      <c r="O3197" s="32"/>
      <c r="P3197" s="32"/>
      <c r="Q3197" s="32"/>
      <c r="R3197" s="32"/>
      <c r="S3197" s="32"/>
      <c r="T3197" s="32"/>
      <c r="U3197" s="32"/>
      <c r="V3197" s="32"/>
      <c r="W3197" s="32"/>
      <c r="X3197" s="32"/>
      <c r="Y3197" s="32"/>
      <c r="Z3197" s="32"/>
    </row>
    <row r="3198" spans="1:26" ht="14.25" customHeight="1">
      <c r="A3198" s="36">
        <v>1</v>
      </c>
      <c r="B3198" s="18" t="s">
        <v>871</v>
      </c>
      <c r="C3198" s="5" t="s">
        <v>872</v>
      </c>
      <c r="D3198" s="18" t="s">
        <v>11</v>
      </c>
      <c r="E3198" s="18">
        <v>2</v>
      </c>
      <c r="F3198" s="6">
        <v>293000</v>
      </c>
      <c r="G3198" s="37">
        <f t="shared" ref="G3198:G3200" si="208">IFERROR(E3198*F3198,0)</f>
        <v>586000</v>
      </c>
      <c r="H3198" s="38"/>
      <c r="I3198" s="51"/>
      <c r="J3198" s="32"/>
      <c r="K3198" s="32"/>
      <c r="L3198" s="32"/>
      <c r="M3198" s="32"/>
      <c r="N3198" s="32"/>
      <c r="O3198" s="32"/>
      <c r="P3198" s="32"/>
      <c r="Q3198" s="32"/>
      <c r="R3198" s="32"/>
      <c r="S3198" s="32"/>
      <c r="T3198" s="32"/>
      <c r="U3198" s="32"/>
      <c r="V3198" s="32"/>
      <c r="W3198" s="32"/>
      <c r="X3198" s="32"/>
      <c r="Y3198" s="32"/>
      <c r="Z3198" s="32"/>
    </row>
    <row r="3199" spans="1:26" ht="14.25" customHeight="1">
      <c r="A3199" s="36">
        <v>2</v>
      </c>
      <c r="B3199" s="12" t="s">
        <v>873</v>
      </c>
      <c r="C3199" s="10" t="s">
        <v>874</v>
      </c>
      <c r="D3199" s="12" t="s">
        <v>233</v>
      </c>
      <c r="E3199" s="12">
        <v>1.5</v>
      </c>
      <c r="F3199" s="43">
        <v>435000</v>
      </c>
      <c r="G3199" s="37">
        <f t="shared" si="208"/>
        <v>652500</v>
      </c>
      <c r="H3199" s="38"/>
      <c r="I3199" s="51"/>
      <c r="J3199" s="32"/>
      <c r="K3199" s="32"/>
      <c r="L3199" s="32"/>
      <c r="M3199" s="32"/>
      <c r="N3199" s="32"/>
      <c r="O3199" s="32"/>
      <c r="P3199" s="32"/>
      <c r="Q3199" s="32"/>
      <c r="R3199" s="32"/>
      <c r="S3199" s="32"/>
      <c r="T3199" s="32"/>
      <c r="U3199" s="32"/>
      <c r="V3199" s="32"/>
      <c r="W3199" s="32"/>
      <c r="X3199" s="32"/>
      <c r="Y3199" s="32"/>
      <c r="Z3199" s="32"/>
    </row>
    <row r="3200" spans="1:26" ht="14.25" customHeight="1">
      <c r="A3200" s="36">
        <v>4</v>
      </c>
      <c r="B3200" s="39" t="s">
        <v>17</v>
      </c>
      <c r="C3200" s="38"/>
      <c r="D3200" s="38"/>
      <c r="E3200" s="38"/>
      <c r="F3200" s="60"/>
      <c r="G3200" s="37">
        <f t="shared" si="208"/>
        <v>0</v>
      </c>
      <c r="H3200" s="38"/>
      <c r="I3200" s="51"/>
      <c r="J3200" s="32"/>
      <c r="K3200" s="32"/>
      <c r="L3200" s="32"/>
      <c r="M3200" s="32"/>
      <c r="N3200" s="32"/>
      <c r="O3200" s="32"/>
      <c r="P3200" s="32"/>
      <c r="Q3200" s="32"/>
      <c r="R3200" s="32"/>
      <c r="S3200" s="32"/>
      <c r="T3200" s="32"/>
      <c r="U3200" s="32"/>
      <c r="V3200" s="32"/>
      <c r="W3200" s="32"/>
      <c r="X3200" s="32"/>
      <c r="Y3200" s="32"/>
      <c r="Z3200" s="32"/>
    </row>
    <row r="3201" spans="1:26" ht="14.25" customHeight="1">
      <c r="A3201" s="83" t="s">
        <v>18</v>
      </c>
      <c r="B3201" s="81"/>
      <c r="C3201" s="81"/>
      <c r="D3201" s="81"/>
      <c r="E3201" s="81"/>
      <c r="F3201" s="81"/>
      <c r="G3201" s="82"/>
      <c r="H3201" s="41">
        <f>SUM(G3198:G3200)</f>
        <v>1238500</v>
      </c>
      <c r="I3201" s="51"/>
      <c r="J3201" s="32"/>
      <c r="K3201" s="32"/>
      <c r="L3201" s="32"/>
      <c r="M3201" s="32"/>
      <c r="N3201" s="32"/>
      <c r="O3201" s="32"/>
      <c r="P3201" s="32"/>
      <c r="Q3201" s="32"/>
      <c r="R3201" s="32"/>
      <c r="S3201" s="32"/>
      <c r="T3201" s="32"/>
      <c r="U3201" s="32"/>
      <c r="V3201" s="32"/>
      <c r="W3201" s="32"/>
      <c r="X3201" s="32"/>
      <c r="Y3201" s="32"/>
      <c r="Z3201" s="32"/>
    </row>
    <row r="3202" spans="1:26" ht="14.25" customHeight="1">
      <c r="A3202" s="83" t="s">
        <v>19</v>
      </c>
      <c r="B3202" s="81"/>
      <c r="C3202" s="81"/>
      <c r="D3202" s="81"/>
      <c r="E3202" s="81"/>
      <c r="F3202" s="81"/>
      <c r="G3202" s="82"/>
      <c r="H3202" s="41">
        <f>MAX(0,H3201-648000)</f>
        <v>590500</v>
      </c>
      <c r="I3202" s="51"/>
      <c r="J3202" s="32"/>
      <c r="K3202" s="32"/>
      <c r="L3202" s="32"/>
      <c r="M3202" s="32"/>
      <c r="N3202" s="32"/>
      <c r="O3202" s="32"/>
      <c r="P3202" s="32"/>
      <c r="Q3202" s="32"/>
      <c r="R3202" s="32"/>
      <c r="S3202" s="32"/>
      <c r="T3202" s="32"/>
      <c r="U3202" s="32"/>
      <c r="V3202" s="32"/>
      <c r="W3202" s="32"/>
      <c r="X3202" s="32"/>
      <c r="Y3202" s="32"/>
      <c r="Z3202" s="32"/>
    </row>
    <row r="3203" spans="1:26" ht="14.25" customHeight="1">
      <c r="A3203" s="84" t="s">
        <v>20</v>
      </c>
      <c r="B3203" s="81"/>
      <c r="C3203" s="81"/>
      <c r="D3203" s="81"/>
      <c r="E3203" s="81"/>
      <c r="F3203" s="81"/>
      <c r="G3203" s="82"/>
      <c r="H3203" s="42">
        <v>649000</v>
      </c>
      <c r="I3203" s="51"/>
      <c r="J3203" s="32"/>
      <c r="K3203" s="32"/>
      <c r="L3203" s="32"/>
      <c r="M3203" s="32"/>
      <c r="N3203" s="32"/>
      <c r="O3203" s="32"/>
      <c r="P3203" s="32"/>
      <c r="Q3203" s="32"/>
      <c r="R3203" s="32"/>
      <c r="S3203" s="32"/>
      <c r="T3203" s="32"/>
      <c r="U3203" s="32"/>
      <c r="V3203" s="32"/>
      <c r="W3203" s="32"/>
      <c r="X3203" s="32"/>
      <c r="Y3203" s="32"/>
      <c r="Z3203" s="32"/>
    </row>
    <row r="3204" spans="1:26" ht="14.25" customHeight="1">
      <c r="A3204" s="80"/>
      <c r="B3204" s="81"/>
      <c r="C3204" s="81"/>
      <c r="D3204" s="81"/>
      <c r="E3204" s="81"/>
      <c r="F3204" s="81"/>
      <c r="G3204" s="81"/>
      <c r="H3204" s="82"/>
      <c r="I3204" s="51"/>
      <c r="J3204" s="32"/>
      <c r="K3204" s="32"/>
      <c r="L3204" s="32"/>
      <c r="M3204" s="32"/>
      <c r="N3204" s="32"/>
      <c r="O3204" s="32"/>
      <c r="P3204" s="32"/>
      <c r="Q3204" s="32"/>
      <c r="R3204" s="32"/>
      <c r="S3204" s="32"/>
      <c r="T3204" s="32"/>
      <c r="U3204" s="32"/>
      <c r="V3204" s="32"/>
      <c r="W3204" s="32"/>
      <c r="X3204" s="32"/>
      <c r="Y3204" s="32"/>
      <c r="Z3204" s="32"/>
    </row>
    <row r="3205" spans="1:26" ht="14.25" customHeight="1">
      <c r="I3205" s="51"/>
    </row>
    <row r="3206" spans="1:26" ht="14.25" customHeight="1">
      <c r="I3206" s="51"/>
    </row>
    <row r="3207" spans="1:26" ht="14.25" customHeight="1">
      <c r="I3207" s="51"/>
    </row>
    <row r="3208" spans="1:26" ht="14.25" customHeight="1">
      <c r="I3208" s="51"/>
    </row>
    <row r="3209" spans="1:26" ht="14.25" customHeight="1">
      <c r="I3209" s="51"/>
    </row>
    <row r="3210" spans="1:26" ht="14.25" customHeight="1">
      <c r="I3210" s="51"/>
    </row>
    <row r="3211" spans="1:26" ht="14.25" customHeight="1">
      <c r="I3211" s="51"/>
    </row>
    <row r="3212" spans="1:26" ht="14.25" customHeight="1">
      <c r="A3212" s="80" t="s">
        <v>0</v>
      </c>
      <c r="B3212" s="81"/>
      <c r="C3212" s="81"/>
      <c r="D3212" s="81"/>
      <c r="E3212" s="81"/>
      <c r="F3212" s="81"/>
      <c r="G3212" s="81"/>
      <c r="H3212" s="82"/>
      <c r="I3212" s="51"/>
      <c r="J3212" s="32"/>
      <c r="K3212" s="32"/>
      <c r="L3212" s="32"/>
      <c r="M3212" s="32"/>
      <c r="N3212" s="32"/>
      <c r="O3212" s="32"/>
      <c r="P3212" s="32"/>
      <c r="Q3212" s="32"/>
      <c r="R3212" s="32"/>
      <c r="S3212" s="32"/>
      <c r="T3212" s="32"/>
      <c r="U3212" s="32"/>
      <c r="V3212" s="32"/>
      <c r="W3212" s="32"/>
      <c r="X3212" s="32"/>
      <c r="Y3212" s="32"/>
      <c r="Z3212" s="32"/>
    </row>
    <row r="3213" spans="1:26" ht="14.25" customHeight="1">
      <c r="A3213" s="80" t="s">
        <v>875</v>
      </c>
      <c r="B3213" s="81"/>
      <c r="C3213" s="81"/>
      <c r="D3213" s="81"/>
      <c r="E3213" s="81"/>
      <c r="F3213" s="81"/>
      <c r="G3213" s="81"/>
      <c r="H3213" s="82"/>
      <c r="I3213" s="51"/>
      <c r="J3213" s="32"/>
      <c r="K3213" s="32"/>
      <c r="L3213" s="32"/>
      <c r="M3213" s="32"/>
      <c r="N3213" s="32"/>
      <c r="O3213" s="32"/>
      <c r="P3213" s="32"/>
      <c r="Q3213" s="32"/>
      <c r="R3213" s="32"/>
      <c r="S3213" s="32"/>
      <c r="T3213" s="32"/>
      <c r="U3213" s="32"/>
      <c r="V3213" s="32"/>
      <c r="W3213" s="32"/>
      <c r="X3213" s="32"/>
      <c r="Y3213" s="32"/>
      <c r="Z3213" s="32"/>
    </row>
    <row r="3214" spans="1:26" ht="14.25" customHeight="1">
      <c r="A3214" s="33" t="s">
        <v>2</v>
      </c>
      <c r="B3214" s="33" t="s">
        <v>3</v>
      </c>
      <c r="C3214" s="33" t="s">
        <v>4</v>
      </c>
      <c r="D3214" s="33" t="s">
        <v>5</v>
      </c>
      <c r="E3214" s="33" t="s">
        <v>6</v>
      </c>
      <c r="F3214" s="34" t="s">
        <v>7</v>
      </c>
      <c r="G3214" s="33" t="s">
        <v>8</v>
      </c>
      <c r="H3214" s="35"/>
      <c r="I3214" s="51"/>
      <c r="J3214" s="32"/>
      <c r="K3214" s="32"/>
      <c r="L3214" s="32"/>
      <c r="M3214" s="32"/>
      <c r="N3214" s="32"/>
      <c r="O3214" s="32"/>
      <c r="P3214" s="32"/>
      <c r="Q3214" s="32"/>
      <c r="R3214" s="32"/>
      <c r="S3214" s="32"/>
      <c r="T3214" s="32"/>
      <c r="U3214" s="32"/>
      <c r="V3214" s="32"/>
      <c r="W3214" s="32"/>
      <c r="X3214" s="32"/>
      <c r="Y3214" s="32"/>
      <c r="Z3214" s="32"/>
    </row>
    <row r="3215" spans="1:26" ht="14.25" customHeight="1">
      <c r="A3215" s="36">
        <v>1</v>
      </c>
      <c r="B3215" s="18" t="s">
        <v>876</v>
      </c>
      <c r="C3215" s="5" t="s">
        <v>877</v>
      </c>
      <c r="D3215" s="18" t="s">
        <v>413</v>
      </c>
      <c r="E3215" s="18">
        <v>2</v>
      </c>
      <c r="F3215" s="6">
        <v>293000</v>
      </c>
      <c r="G3215" s="37">
        <f t="shared" ref="G3215:G3217" si="209">IFERROR(E3215*F3215,0)</f>
        <v>586000</v>
      </c>
      <c r="H3215" s="38"/>
      <c r="I3215" s="51"/>
      <c r="J3215" s="32"/>
      <c r="K3215" s="32"/>
      <c r="L3215" s="32"/>
      <c r="M3215" s="32"/>
      <c r="N3215" s="32"/>
      <c r="O3215" s="32"/>
      <c r="P3215" s="32"/>
      <c r="Q3215" s="32"/>
      <c r="R3215" s="32"/>
      <c r="S3215" s="32"/>
      <c r="T3215" s="32"/>
      <c r="U3215" s="32"/>
      <c r="V3215" s="32"/>
      <c r="W3215" s="32"/>
      <c r="X3215" s="32"/>
      <c r="Y3215" s="32"/>
      <c r="Z3215" s="32"/>
    </row>
    <row r="3216" spans="1:26" ht="14.25" customHeight="1">
      <c r="A3216" s="36">
        <v>2</v>
      </c>
      <c r="B3216" s="12" t="s">
        <v>361</v>
      </c>
      <c r="C3216" s="10">
        <v>7952</v>
      </c>
      <c r="D3216" s="12" t="s">
        <v>233</v>
      </c>
      <c r="E3216" s="12">
        <v>1.5</v>
      </c>
      <c r="F3216" s="43">
        <v>435000</v>
      </c>
      <c r="G3216" s="37">
        <f t="shared" si="209"/>
        <v>652500</v>
      </c>
      <c r="H3216" s="38"/>
      <c r="I3216" s="51"/>
      <c r="J3216" s="32"/>
      <c r="K3216" s="32"/>
      <c r="L3216" s="32"/>
      <c r="M3216" s="32"/>
      <c r="N3216" s="32"/>
      <c r="O3216" s="32"/>
      <c r="P3216" s="32"/>
      <c r="Q3216" s="32"/>
      <c r="R3216" s="32"/>
      <c r="S3216" s="32"/>
      <c r="T3216" s="32"/>
      <c r="U3216" s="32"/>
      <c r="V3216" s="32"/>
      <c r="W3216" s="32"/>
      <c r="X3216" s="32"/>
      <c r="Y3216" s="32"/>
      <c r="Z3216" s="32"/>
    </row>
    <row r="3217" spans="1:26" ht="14.25" customHeight="1">
      <c r="A3217" s="36">
        <v>4</v>
      </c>
      <c r="B3217" s="39" t="s">
        <v>17</v>
      </c>
      <c r="C3217" s="38"/>
      <c r="D3217" s="38"/>
      <c r="E3217" s="38"/>
      <c r="F3217" s="60"/>
      <c r="G3217" s="37">
        <f t="shared" si="209"/>
        <v>0</v>
      </c>
      <c r="H3217" s="38"/>
      <c r="I3217" s="51"/>
      <c r="J3217" s="32"/>
      <c r="K3217" s="32"/>
      <c r="L3217" s="32"/>
      <c r="M3217" s="32"/>
      <c r="N3217" s="32"/>
      <c r="O3217" s="32"/>
      <c r="P3217" s="32"/>
      <c r="Q3217" s="32"/>
      <c r="R3217" s="32"/>
      <c r="S3217" s="32"/>
      <c r="T3217" s="32"/>
      <c r="U3217" s="32"/>
      <c r="V3217" s="32"/>
      <c r="W3217" s="32"/>
      <c r="X3217" s="32"/>
      <c r="Y3217" s="32"/>
      <c r="Z3217" s="32"/>
    </row>
    <row r="3218" spans="1:26" ht="14.25" customHeight="1">
      <c r="A3218" s="83" t="s">
        <v>18</v>
      </c>
      <c r="B3218" s="81"/>
      <c r="C3218" s="81"/>
      <c r="D3218" s="81"/>
      <c r="E3218" s="81"/>
      <c r="F3218" s="81"/>
      <c r="G3218" s="82"/>
      <c r="H3218" s="41">
        <f>SUM(G3215:G3217)</f>
        <v>1238500</v>
      </c>
      <c r="I3218" s="51"/>
      <c r="J3218" s="32"/>
      <c r="K3218" s="32"/>
      <c r="L3218" s="32"/>
      <c r="M3218" s="32"/>
      <c r="N3218" s="32"/>
      <c r="O3218" s="32"/>
      <c r="P3218" s="32"/>
      <c r="Q3218" s="32"/>
      <c r="R3218" s="32"/>
      <c r="S3218" s="32"/>
      <c r="T3218" s="32"/>
      <c r="U3218" s="32"/>
      <c r="V3218" s="32"/>
      <c r="W3218" s="32"/>
      <c r="X3218" s="32"/>
      <c r="Y3218" s="32"/>
      <c r="Z3218" s="32"/>
    </row>
    <row r="3219" spans="1:26" ht="14.25" customHeight="1">
      <c r="A3219" s="83" t="s">
        <v>19</v>
      </c>
      <c r="B3219" s="81"/>
      <c r="C3219" s="81"/>
      <c r="D3219" s="81"/>
      <c r="E3219" s="81"/>
      <c r="F3219" s="81"/>
      <c r="G3219" s="82"/>
      <c r="H3219" s="41">
        <f>MAX(0,H3218-648000)</f>
        <v>590500</v>
      </c>
      <c r="I3219" s="51"/>
      <c r="J3219" s="32"/>
      <c r="K3219" s="32"/>
      <c r="L3219" s="32"/>
      <c r="M3219" s="32"/>
      <c r="N3219" s="32"/>
      <c r="O3219" s="32"/>
      <c r="P3219" s="32"/>
      <c r="Q3219" s="32"/>
      <c r="R3219" s="32"/>
      <c r="S3219" s="32"/>
      <c r="T3219" s="32"/>
      <c r="U3219" s="32"/>
      <c r="V3219" s="32"/>
      <c r="W3219" s="32"/>
      <c r="X3219" s="32"/>
      <c r="Y3219" s="32"/>
      <c r="Z3219" s="32"/>
    </row>
    <row r="3220" spans="1:26" ht="14.25" customHeight="1">
      <c r="A3220" s="84" t="s">
        <v>20</v>
      </c>
      <c r="B3220" s="81"/>
      <c r="C3220" s="81"/>
      <c r="D3220" s="81"/>
      <c r="E3220" s="81"/>
      <c r="F3220" s="81"/>
      <c r="G3220" s="82"/>
      <c r="H3220" s="42">
        <v>649000</v>
      </c>
      <c r="I3220" s="51"/>
      <c r="J3220" s="32"/>
      <c r="K3220" s="32"/>
      <c r="L3220" s="32"/>
      <c r="M3220" s="32"/>
      <c r="N3220" s="32"/>
      <c r="O3220" s="32"/>
      <c r="P3220" s="32"/>
      <c r="Q3220" s="32"/>
      <c r="R3220" s="32"/>
      <c r="S3220" s="32"/>
      <c r="T3220" s="32"/>
      <c r="U3220" s="32"/>
      <c r="V3220" s="32"/>
      <c r="W3220" s="32"/>
      <c r="X3220" s="32"/>
      <c r="Y3220" s="32"/>
      <c r="Z3220" s="32"/>
    </row>
    <row r="3221" spans="1:26" ht="14.25" customHeight="1">
      <c r="A3221" s="80"/>
      <c r="B3221" s="81"/>
      <c r="C3221" s="81"/>
      <c r="D3221" s="81"/>
      <c r="E3221" s="81"/>
      <c r="F3221" s="81"/>
      <c r="G3221" s="81"/>
      <c r="H3221" s="82"/>
      <c r="I3221" s="51"/>
      <c r="J3221" s="32"/>
      <c r="K3221" s="32"/>
      <c r="L3221" s="32"/>
      <c r="M3221" s="32"/>
      <c r="N3221" s="32"/>
      <c r="O3221" s="32"/>
      <c r="P3221" s="32"/>
      <c r="Q3221" s="32"/>
      <c r="R3221" s="32"/>
      <c r="S3221" s="32"/>
      <c r="T3221" s="32"/>
      <c r="U3221" s="32"/>
      <c r="V3221" s="32"/>
      <c r="W3221" s="32"/>
      <c r="X3221" s="32"/>
      <c r="Y3221" s="32"/>
      <c r="Z3221" s="32"/>
    </row>
    <row r="3222" spans="1:26" ht="14.25" customHeight="1">
      <c r="I3222" s="51"/>
    </row>
    <row r="3223" spans="1:26" ht="14.25" customHeight="1">
      <c r="I3223" s="51"/>
    </row>
    <row r="3224" spans="1:26" ht="14.25" customHeight="1">
      <c r="I3224" s="51"/>
    </row>
    <row r="3225" spans="1:26" ht="14.25" customHeight="1">
      <c r="I3225" s="51"/>
    </row>
    <row r="3226" spans="1:26" ht="14.25" customHeight="1">
      <c r="I3226" s="51"/>
    </row>
    <row r="3227" spans="1:26" ht="14.25" customHeight="1">
      <c r="I3227" s="51"/>
    </row>
    <row r="3228" spans="1:26" ht="14.25" customHeight="1">
      <c r="A3228" s="80" t="s">
        <v>0</v>
      </c>
      <c r="B3228" s="81"/>
      <c r="C3228" s="81"/>
      <c r="D3228" s="81"/>
      <c r="E3228" s="81"/>
      <c r="F3228" s="81"/>
      <c r="G3228" s="81"/>
      <c r="H3228" s="82"/>
      <c r="I3228" s="51"/>
      <c r="J3228" s="32"/>
      <c r="K3228" s="32"/>
      <c r="L3228" s="32"/>
      <c r="M3228" s="32"/>
      <c r="N3228" s="32"/>
      <c r="O3228" s="32"/>
      <c r="P3228" s="32"/>
      <c r="Q3228" s="32"/>
      <c r="R3228" s="32"/>
      <c r="S3228" s="32"/>
      <c r="T3228" s="32"/>
      <c r="U3228" s="32"/>
      <c r="V3228" s="32"/>
      <c r="W3228" s="32"/>
      <c r="X3228" s="32"/>
      <c r="Y3228" s="32"/>
      <c r="Z3228" s="32"/>
    </row>
    <row r="3229" spans="1:26" ht="14.25" customHeight="1">
      <c r="A3229" s="80" t="s">
        <v>878</v>
      </c>
      <c r="B3229" s="81"/>
      <c r="C3229" s="81"/>
      <c r="D3229" s="81"/>
      <c r="E3229" s="81"/>
      <c r="F3229" s="81"/>
      <c r="G3229" s="81"/>
      <c r="H3229" s="82"/>
      <c r="I3229" s="51"/>
      <c r="J3229" s="32"/>
      <c r="K3229" s="32"/>
      <c r="L3229" s="32"/>
      <c r="M3229" s="32"/>
      <c r="N3229" s="32"/>
      <c r="O3229" s="32"/>
      <c r="P3229" s="32"/>
      <c r="Q3229" s="32"/>
      <c r="R3229" s="32"/>
      <c r="S3229" s="32"/>
      <c r="T3229" s="32"/>
      <c r="U3229" s="32"/>
      <c r="V3229" s="32"/>
      <c r="W3229" s="32"/>
      <c r="X3229" s="32"/>
      <c r="Y3229" s="32"/>
      <c r="Z3229" s="32"/>
    </row>
    <row r="3230" spans="1:26" ht="14.25" customHeight="1">
      <c r="A3230" s="33" t="s">
        <v>2</v>
      </c>
      <c r="B3230" s="33" t="s">
        <v>3</v>
      </c>
      <c r="C3230" s="33" t="s">
        <v>4</v>
      </c>
      <c r="D3230" s="33" t="s">
        <v>5</v>
      </c>
      <c r="E3230" s="33" t="s">
        <v>6</v>
      </c>
      <c r="F3230" s="34" t="s">
        <v>7</v>
      </c>
      <c r="G3230" s="33" t="s">
        <v>8</v>
      </c>
      <c r="H3230" s="35"/>
      <c r="I3230" s="51"/>
      <c r="J3230" s="32"/>
      <c r="K3230" s="32"/>
      <c r="L3230" s="32"/>
      <c r="M3230" s="32"/>
      <c r="N3230" s="32"/>
      <c r="O3230" s="32"/>
      <c r="P3230" s="32"/>
      <c r="Q3230" s="32"/>
      <c r="R3230" s="32"/>
      <c r="S3230" s="32"/>
      <c r="T3230" s="32"/>
      <c r="U3230" s="32"/>
      <c r="V3230" s="32"/>
      <c r="W3230" s="32"/>
      <c r="X3230" s="32"/>
      <c r="Y3230" s="32"/>
      <c r="Z3230" s="32"/>
    </row>
    <row r="3231" spans="1:26" ht="14.25" customHeight="1">
      <c r="A3231" s="36">
        <v>1</v>
      </c>
      <c r="B3231" s="18" t="s">
        <v>272</v>
      </c>
      <c r="C3231" s="5" t="s">
        <v>879</v>
      </c>
      <c r="D3231" s="18" t="s">
        <v>413</v>
      </c>
      <c r="E3231" s="18">
        <v>2</v>
      </c>
      <c r="F3231" s="6">
        <v>293000</v>
      </c>
      <c r="G3231" s="37">
        <f t="shared" ref="G3231:G3233" si="210">IFERROR(E3231*F3231,0)</f>
        <v>586000</v>
      </c>
      <c r="H3231" s="38"/>
      <c r="I3231" s="51"/>
      <c r="J3231" s="32"/>
      <c r="K3231" s="32"/>
      <c r="L3231" s="32"/>
      <c r="M3231" s="32"/>
      <c r="N3231" s="32"/>
      <c r="O3231" s="32"/>
      <c r="P3231" s="32"/>
      <c r="Q3231" s="32"/>
      <c r="R3231" s="32"/>
      <c r="S3231" s="32"/>
      <c r="T3231" s="32"/>
      <c r="U3231" s="32"/>
      <c r="V3231" s="32"/>
      <c r="W3231" s="32"/>
      <c r="X3231" s="32"/>
      <c r="Y3231" s="32"/>
      <c r="Z3231" s="32"/>
    </row>
    <row r="3232" spans="1:26" ht="14.25" customHeight="1">
      <c r="A3232" s="36">
        <v>2</v>
      </c>
      <c r="B3232" s="12" t="s">
        <v>73</v>
      </c>
      <c r="C3232" s="10" t="s">
        <v>880</v>
      </c>
      <c r="D3232" s="12" t="s">
        <v>233</v>
      </c>
      <c r="E3232" s="12">
        <v>1.5</v>
      </c>
      <c r="F3232" s="43">
        <v>435000</v>
      </c>
      <c r="G3232" s="37">
        <f t="shared" si="210"/>
        <v>652500</v>
      </c>
      <c r="H3232" s="38"/>
      <c r="I3232" s="51"/>
      <c r="J3232" s="32"/>
      <c r="K3232" s="32"/>
      <c r="L3232" s="32"/>
      <c r="M3232" s="32"/>
      <c r="N3232" s="32"/>
      <c r="O3232" s="32"/>
      <c r="P3232" s="32"/>
      <c r="Q3232" s="32"/>
      <c r="R3232" s="32"/>
      <c r="S3232" s="32"/>
      <c r="T3232" s="32"/>
      <c r="U3232" s="32"/>
      <c r="V3232" s="32"/>
      <c r="W3232" s="32"/>
      <c r="X3232" s="32"/>
      <c r="Y3232" s="32"/>
      <c r="Z3232" s="32"/>
    </row>
    <row r="3233" spans="1:26" ht="14.25" customHeight="1">
      <c r="A3233" s="36">
        <v>4</v>
      </c>
      <c r="B3233" s="39" t="s">
        <v>17</v>
      </c>
      <c r="C3233" s="38"/>
      <c r="D3233" s="38"/>
      <c r="E3233" s="38"/>
      <c r="F3233" s="60"/>
      <c r="G3233" s="37">
        <f t="shared" si="210"/>
        <v>0</v>
      </c>
      <c r="H3233" s="38"/>
      <c r="I3233" s="51"/>
      <c r="J3233" s="32"/>
      <c r="K3233" s="32"/>
      <c r="L3233" s="32"/>
      <c r="M3233" s="32"/>
      <c r="N3233" s="32"/>
      <c r="O3233" s="32"/>
      <c r="P3233" s="32"/>
      <c r="Q3233" s="32"/>
      <c r="R3233" s="32"/>
      <c r="S3233" s="32"/>
      <c r="T3233" s="32"/>
      <c r="U3233" s="32"/>
      <c r="V3233" s="32"/>
      <c r="W3233" s="32"/>
      <c r="X3233" s="32"/>
      <c r="Y3233" s="32"/>
      <c r="Z3233" s="32"/>
    </row>
    <row r="3234" spans="1:26" ht="14.25" customHeight="1">
      <c r="A3234" s="83" t="s">
        <v>18</v>
      </c>
      <c r="B3234" s="81"/>
      <c r="C3234" s="81"/>
      <c r="D3234" s="81"/>
      <c r="E3234" s="81"/>
      <c r="F3234" s="81"/>
      <c r="G3234" s="82"/>
      <c r="H3234" s="41">
        <f>SUM(G3231:G3233)</f>
        <v>1238500</v>
      </c>
      <c r="I3234" s="51"/>
      <c r="J3234" s="32"/>
      <c r="K3234" s="32"/>
      <c r="L3234" s="32"/>
      <c r="M3234" s="32"/>
      <c r="N3234" s="32"/>
      <c r="O3234" s="32"/>
      <c r="P3234" s="32"/>
      <c r="Q3234" s="32"/>
      <c r="R3234" s="32"/>
      <c r="S3234" s="32"/>
      <c r="T3234" s="32"/>
      <c r="U3234" s="32"/>
      <c r="V3234" s="32"/>
      <c r="W3234" s="32"/>
      <c r="X3234" s="32"/>
      <c r="Y3234" s="32"/>
      <c r="Z3234" s="32"/>
    </row>
    <row r="3235" spans="1:26" ht="14.25" customHeight="1">
      <c r="A3235" s="83" t="s">
        <v>19</v>
      </c>
      <c r="B3235" s="81"/>
      <c r="C3235" s="81"/>
      <c r="D3235" s="81"/>
      <c r="E3235" s="81"/>
      <c r="F3235" s="81"/>
      <c r="G3235" s="82"/>
      <c r="H3235" s="41">
        <f>MAX(0,H3234-648000)</f>
        <v>590500</v>
      </c>
      <c r="I3235" s="51"/>
      <c r="J3235" s="32"/>
      <c r="K3235" s="32"/>
      <c r="L3235" s="32"/>
      <c r="M3235" s="32"/>
      <c r="N3235" s="32"/>
      <c r="O3235" s="32"/>
      <c r="P3235" s="32"/>
      <c r="Q3235" s="32"/>
      <c r="R3235" s="32"/>
      <c r="S3235" s="32"/>
      <c r="T3235" s="32"/>
      <c r="U3235" s="32"/>
      <c r="V3235" s="32"/>
      <c r="W3235" s="32"/>
      <c r="X3235" s="32"/>
      <c r="Y3235" s="32"/>
      <c r="Z3235" s="32"/>
    </row>
    <row r="3236" spans="1:26" ht="14.25" customHeight="1">
      <c r="A3236" s="84" t="s">
        <v>20</v>
      </c>
      <c r="B3236" s="81"/>
      <c r="C3236" s="81"/>
      <c r="D3236" s="81"/>
      <c r="E3236" s="81"/>
      <c r="F3236" s="81"/>
      <c r="G3236" s="82"/>
      <c r="H3236" s="42">
        <v>649000</v>
      </c>
      <c r="I3236" s="51"/>
      <c r="J3236" s="32"/>
      <c r="K3236" s="32"/>
      <c r="L3236" s="32"/>
      <c r="M3236" s="32"/>
      <c r="N3236" s="32"/>
      <c r="O3236" s="32"/>
      <c r="P3236" s="32"/>
      <c r="Q3236" s="32"/>
      <c r="R3236" s="32"/>
      <c r="S3236" s="32"/>
      <c r="T3236" s="32"/>
      <c r="U3236" s="32"/>
      <c r="V3236" s="32"/>
      <c r="W3236" s="32"/>
      <c r="X3236" s="32"/>
      <c r="Y3236" s="32"/>
      <c r="Z3236" s="32"/>
    </row>
    <row r="3237" spans="1:26" ht="14.25" customHeight="1">
      <c r="A3237" s="80"/>
      <c r="B3237" s="81"/>
      <c r="C3237" s="81"/>
      <c r="D3237" s="81"/>
      <c r="E3237" s="81"/>
      <c r="F3237" s="81"/>
      <c r="G3237" s="81"/>
      <c r="H3237" s="82"/>
      <c r="I3237" s="51"/>
      <c r="J3237" s="32"/>
      <c r="K3237" s="32"/>
      <c r="L3237" s="32"/>
      <c r="M3237" s="32"/>
      <c r="N3237" s="32"/>
      <c r="O3237" s="32"/>
      <c r="P3237" s="32"/>
      <c r="Q3237" s="32"/>
      <c r="R3237" s="32"/>
      <c r="S3237" s="32"/>
      <c r="T3237" s="32"/>
      <c r="U3237" s="32"/>
      <c r="V3237" s="32"/>
      <c r="W3237" s="32"/>
      <c r="X3237" s="32"/>
      <c r="Y3237" s="32"/>
      <c r="Z3237" s="32"/>
    </row>
    <row r="3238" spans="1:26" ht="14.25" customHeight="1">
      <c r="I3238" s="51"/>
    </row>
    <row r="3239" spans="1:26" ht="14.25" customHeight="1">
      <c r="I3239" s="51"/>
    </row>
    <row r="3240" spans="1:26" ht="14.25" customHeight="1">
      <c r="I3240" s="51"/>
    </row>
    <row r="3241" spans="1:26" ht="14.25" customHeight="1">
      <c r="I3241" s="51"/>
    </row>
    <row r="3242" spans="1:26" ht="14.25" customHeight="1">
      <c r="I3242" s="51"/>
    </row>
    <row r="3243" spans="1:26" ht="14.25" customHeight="1">
      <c r="I3243" s="51"/>
    </row>
    <row r="3244" spans="1:26" ht="14.25" customHeight="1">
      <c r="I3244" s="51"/>
    </row>
    <row r="3245" spans="1:26" ht="14.25" customHeight="1">
      <c r="A3245" s="80" t="s">
        <v>0</v>
      </c>
      <c r="B3245" s="81"/>
      <c r="C3245" s="81"/>
      <c r="D3245" s="81"/>
      <c r="E3245" s="81"/>
      <c r="F3245" s="81"/>
      <c r="G3245" s="81"/>
      <c r="H3245" s="82"/>
      <c r="I3245" s="51"/>
      <c r="J3245" s="32"/>
      <c r="K3245" s="32"/>
      <c r="L3245" s="32"/>
      <c r="M3245" s="32"/>
      <c r="N3245" s="32"/>
      <c r="O3245" s="32"/>
      <c r="P3245" s="32"/>
      <c r="Q3245" s="32"/>
      <c r="R3245" s="32"/>
      <c r="S3245" s="32"/>
      <c r="T3245" s="32"/>
      <c r="U3245" s="32"/>
      <c r="V3245" s="32"/>
      <c r="W3245" s="32"/>
      <c r="X3245" s="32"/>
      <c r="Y3245" s="32"/>
      <c r="Z3245" s="32"/>
    </row>
    <row r="3246" spans="1:26" ht="14.25" customHeight="1">
      <c r="A3246" s="80" t="s">
        <v>881</v>
      </c>
      <c r="B3246" s="81"/>
      <c r="C3246" s="81"/>
      <c r="D3246" s="81"/>
      <c r="E3246" s="81"/>
      <c r="F3246" s="81"/>
      <c r="G3246" s="81"/>
      <c r="H3246" s="82"/>
      <c r="I3246" s="51"/>
      <c r="J3246" s="32"/>
      <c r="K3246" s="32"/>
      <c r="L3246" s="32"/>
      <c r="M3246" s="32"/>
      <c r="N3246" s="32"/>
      <c r="O3246" s="32"/>
      <c r="P3246" s="32"/>
      <c r="Q3246" s="32"/>
      <c r="R3246" s="32"/>
      <c r="S3246" s="32"/>
      <c r="T3246" s="32"/>
      <c r="U3246" s="32"/>
      <c r="V3246" s="32"/>
      <c r="W3246" s="32"/>
      <c r="X3246" s="32"/>
      <c r="Y3246" s="32"/>
      <c r="Z3246" s="32"/>
    </row>
    <row r="3247" spans="1:26" ht="14.25" customHeight="1">
      <c r="A3247" s="33" t="s">
        <v>2</v>
      </c>
      <c r="B3247" s="33" t="s">
        <v>3</v>
      </c>
      <c r="C3247" s="33" t="s">
        <v>4</v>
      </c>
      <c r="D3247" s="33" t="s">
        <v>5</v>
      </c>
      <c r="E3247" s="33" t="s">
        <v>6</v>
      </c>
      <c r="F3247" s="34" t="s">
        <v>7</v>
      </c>
      <c r="G3247" s="33" t="s">
        <v>8</v>
      </c>
      <c r="H3247" s="35"/>
      <c r="I3247" s="51"/>
      <c r="J3247" s="32"/>
      <c r="K3247" s="32"/>
      <c r="L3247" s="32"/>
      <c r="M3247" s="32"/>
      <c r="N3247" s="32"/>
      <c r="O3247" s="32"/>
      <c r="P3247" s="32"/>
      <c r="Q3247" s="32"/>
      <c r="R3247" s="32"/>
      <c r="S3247" s="32"/>
      <c r="T3247" s="32"/>
      <c r="U3247" s="32"/>
      <c r="V3247" s="32"/>
      <c r="W3247" s="32"/>
      <c r="X3247" s="32"/>
      <c r="Y3247" s="32"/>
      <c r="Z3247" s="32"/>
    </row>
    <row r="3248" spans="1:26" ht="14.25" customHeight="1">
      <c r="A3248" s="36">
        <v>1</v>
      </c>
      <c r="B3248" s="18" t="s">
        <v>882</v>
      </c>
      <c r="C3248" s="5" t="s">
        <v>883</v>
      </c>
      <c r="D3248" s="18" t="s">
        <v>413</v>
      </c>
      <c r="E3248" s="18">
        <v>1</v>
      </c>
      <c r="F3248" s="6">
        <v>293000</v>
      </c>
      <c r="G3248" s="37">
        <f t="shared" ref="G3248:G3250" si="211">IFERROR(E3248*F3248,0)</f>
        <v>293000</v>
      </c>
      <c r="H3248" s="38"/>
      <c r="I3248" s="51"/>
      <c r="J3248" s="32"/>
      <c r="K3248" s="32"/>
      <c r="L3248" s="32"/>
      <c r="M3248" s="32"/>
      <c r="N3248" s="32"/>
      <c r="O3248" s="32"/>
      <c r="P3248" s="32"/>
      <c r="Q3248" s="32"/>
      <c r="R3248" s="32"/>
      <c r="S3248" s="32"/>
      <c r="T3248" s="32"/>
      <c r="U3248" s="32"/>
      <c r="V3248" s="32"/>
      <c r="W3248" s="32"/>
      <c r="X3248" s="32"/>
      <c r="Y3248" s="32"/>
      <c r="Z3248" s="32"/>
    </row>
    <row r="3249" spans="1:26" ht="14.25" customHeight="1">
      <c r="A3249" s="36">
        <v>2</v>
      </c>
      <c r="B3249" s="12" t="s">
        <v>205</v>
      </c>
      <c r="C3249" s="10" t="s">
        <v>884</v>
      </c>
      <c r="D3249" s="12" t="s">
        <v>233</v>
      </c>
      <c r="E3249" s="12">
        <v>2.5</v>
      </c>
      <c r="F3249" s="43">
        <v>435000</v>
      </c>
      <c r="G3249" s="37">
        <f t="shared" si="211"/>
        <v>1087500</v>
      </c>
      <c r="H3249" s="38"/>
      <c r="I3249" s="51"/>
      <c r="J3249" s="32"/>
      <c r="K3249" s="32"/>
      <c r="L3249" s="32"/>
      <c r="M3249" s="32"/>
      <c r="N3249" s="32"/>
      <c r="O3249" s="32"/>
      <c r="P3249" s="32"/>
      <c r="Q3249" s="32"/>
      <c r="R3249" s="32"/>
      <c r="S3249" s="32"/>
      <c r="T3249" s="32"/>
      <c r="U3249" s="32"/>
      <c r="V3249" s="32"/>
      <c r="W3249" s="32"/>
      <c r="X3249" s="32"/>
      <c r="Y3249" s="32"/>
      <c r="Z3249" s="32"/>
    </row>
    <row r="3250" spans="1:26" ht="14.25" customHeight="1">
      <c r="A3250" s="36">
        <v>4</v>
      </c>
      <c r="B3250" s="39" t="s">
        <v>17</v>
      </c>
      <c r="C3250" s="38"/>
      <c r="D3250" s="38"/>
      <c r="E3250" s="38"/>
      <c r="F3250" s="60"/>
      <c r="G3250" s="37">
        <f t="shared" si="211"/>
        <v>0</v>
      </c>
      <c r="H3250" s="38"/>
      <c r="I3250" s="51"/>
      <c r="J3250" s="32"/>
      <c r="K3250" s="32"/>
      <c r="L3250" s="32"/>
      <c r="M3250" s="32"/>
      <c r="N3250" s="32"/>
      <c r="O3250" s="32"/>
      <c r="P3250" s="32"/>
      <c r="Q3250" s="32"/>
      <c r="R3250" s="32"/>
      <c r="S3250" s="32"/>
      <c r="T3250" s="32"/>
      <c r="U3250" s="32"/>
      <c r="V3250" s="32"/>
      <c r="W3250" s="32"/>
      <c r="X3250" s="32"/>
      <c r="Y3250" s="32"/>
      <c r="Z3250" s="32"/>
    </row>
    <row r="3251" spans="1:26" ht="14.25" customHeight="1">
      <c r="A3251" s="83" t="s">
        <v>18</v>
      </c>
      <c r="B3251" s="81"/>
      <c r="C3251" s="81"/>
      <c r="D3251" s="81"/>
      <c r="E3251" s="81"/>
      <c r="F3251" s="81"/>
      <c r="G3251" s="82"/>
      <c r="H3251" s="41">
        <f>SUM(G3248:G3250)</f>
        <v>1380500</v>
      </c>
      <c r="I3251" s="51"/>
      <c r="J3251" s="32"/>
      <c r="K3251" s="32"/>
      <c r="L3251" s="32"/>
      <c r="M3251" s="32"/>
      <c r="N3251" s="32"/>
      <c r="O3251" s="32"/>
      <c r="P3251" s="32"/>
      <c r="Q3251" s="32"/>
      <c r="R3251" s="32"/>
      <c r="S3251" s="32"/>
      <c r="T3251" s="32"/>
      <c r="U3251" s="32"/>
      <c r="V3251" s="32"/>
      <c r="W3251" s="32"/>
      <c r="X3251" s="32"/>
      <c r="Y3251" s="32"/>
      <c r="Z3251" s="32"/>
    </row>
    <row r="3252" spans="1:26" ht="14.25" customHeight="1">
      <c r="A3252" s="83" t="s">
        <v>19</v>
      </c>
      <c r="B3252" s="81"/>
      <c r="C3252" s="81"/>
      <c r="D3252" s="81"/>
      <c r="E3252" s="81"/>
      <c r="F3252" s="81"/>
      <c r="G3252" s="82"/>
      <c r="H3252" s="41">
        <f>MAX(0,H3251-648000)</f>
        <v>732500</v>
      </c>
      <c r="I3252" s="51"/>
      <c r="J3252" s="32"/>
      <c r="K3252" s="32"/>
      <c r="L3252" s="32"/>
      <c r="M3252" s="32"/>
      <c r="N3252" s="32"/>
      <c r="O3252" s="32"/>
      <c r="P3252" s="32"/>
      <c r="Q3252" s="32"/>
      <c r="R3252" s="32"/>
      <c r="S3252" s="32"/>
      <c r="T3252" s="32"/>
      <c r="U3252" s="32"/>
      <c r="V3252" s="32"/>
      <c r="W3252" s="32"/>
      <c r="X3252" s="32"/>
      <c r="Y3252" s="32"/>
      <c r="Z3252" s="32"/>
    </row>
    <row r="3253" spans="1:26" ht="14.25" customHeight="1">
      <c r="A3253" s="84" t="s">
        <v>20</v>
      </c>
      <c r="B3253" s="81"/>
      <c r="C3253" s="81"/>
      <c r="D3253" s="81"/>
      <c r="E3253" s="81"/>
      <c r="F3253" s="81"/>
      <c r="G3253" s="82"/>
      <c r="H3253" s="42">
        <v>649000</v>
      </c>
      <c r="I3253" s="51"/>
      <c r="J3253" s="32"/>
      <c r="K3253" s="32"/>
      <c r="L3253" s="32"/>
      <c r="M3253" s="32"/>
      <c r="N3253" s="32"/>
      <c r="O3253" s="32"/>
      <c r="P3253" s="32"/>
      <c r="Q3253" s="32"/>
      <c r="R3253" s="32"/>
      <c r="S3253" s="32"/>
      <c r="T3253" s="32"/>
      <c r="U3253" s="32"/>
      <c r="V3253" s="32"/>
      <c r="W3253" s="32"/>
      <c r="X3253" s="32"/>
      <c r="Y3253" s="32"/>
      <c r="Z3253" s="32"/>
    </row>
    <row r="3254" spans="1:26" ht="14.25" customHeight="1">
      <c r="A3254" s="80"/>
      <c r="B3254" s="81"/>
      <c r="C3254" s="81"/>
      <c r="D3254" s="81"/>
      <c r="E3254" s="81"/>
      <c r="F3254" s="81"/>
      <c r="G3254" s="81"/>
      <c r="H3254" s="82"/>
      <c r="I3254" s="51"/>
      <c r="J3254" s="32"/>
      <c r="K3254" s="32"/>
      <c r="L3254" s="32"/>
      <c r="M3254" s="32"/>
      <c r="N3254" s="32"/>
      <c r="O3254" s="32"/>
      <c r="P3254" s="32"/>
      <c r="Q3254" s="32"/>
      <c r="R3254" s="32"/>
      <c r="S3254" s="32"/>
      <c r="T3254" s="32"/>
      <c r="U3254" s="32"/>
      <c r="V3254" s="32"/>
      <c r="W3254" s="32"/>
      <c r="X3254" s="32"/>
      <c r="Y3254" s="32"/>
      <c r="Z3254" s="32"/>
    </row>
    <row r="3255" spans="1:26" ht="14.25" customHeight="1">
      <c r="I3255" s="51"/>
    </row>
    <row r="3256" spans="1:26" ht="14.25" customHeight="1">
      <c r="I3256" s="51"/>
    </row>
    <row r="3257" spans="1:26" ht="14.25" customHeight="1">
      <c r="I3257" s="51"/>
    </row>
    <row r="3258" spans="1:26" ht="14.25" customHeight="1">
      <c r="I3258" s="51"/>
    </row>
    <row r="3259" spans="1:26" ht="14.25" customHeight="1">
      <c r="I3259" s="51"/>
    </row>
    <row r="3260" spans="1:26" ht="14.25" customHeight="1">
      <c r="I3260" s="51"/>
    </row>
    <row r="3261" spans="1:26" ht="14.25" customHeight="1">
      <c r="I3261" s="51"/>
    </row>
    <row r="3262" spans="1:26" ht="14.25" customHeight="1">
      <c r="A3262" s="80" t="s">
        <v>0</v>
      </c>
      <c r="B3262" s="81"/>
      <c r="C3262" s="81"/>
      <c r="D3262" s="81"/>
      <c r="E3262" s="81"/>
      <c r="F3262" s="81"/>
      <c r="G3262" s="81"/>
      <c r="H3262" s="82"/>
      <c r="I3262" s="51"/>
      <c r="J3262" s="32"/>
      <c r="K3262" s="32"/>
      <c r="L3262" s="32"/>
      <c r="M3262" s="32"/>
      <c r="N3262" s="32"/>
      <c r="O3262" s="32"/>
      <c r="P3262" s="32"/>
      <c r="Q3262" s="32"/>
      <c r="R3262" s="32"/>
      <c r="S3262" s="32"/>
      <c r="T3262" s="32"/>
      <c r="U3262" s="32"/>
      <c r="V3262" s="32"/>
      <c r="W3262" s="32"/>
      <c r="X3262" s="32"/>
      <c r="Y3262" s="32"/>
      <c r="Z3262" s="32"/>
    </row>
    <row r="3263" spans="1:26" ht="14.25" customHeight="1">
      <c r="A3263" s="80" t="s">
        <v>885</v>
      </c>
      <c r="B3263" s="81"/>
      <c r="C3263" s="81"/>
      <c r="D3263" s="81"/>
      <c r="E3263" s="81"/>
      <c r="F3263" s="81"/>
      <c r="G3263" s="81"/>
      <c r="H3263" s="82"/>
      <c r="I3263" s="51"/>
      <c r="J3263" s="32"/>
      <c r="K3263" s="32"/>
      <c r="L3263" s="32"/>
      <c r="M3263" s="32"/>
      <c r="N3263" s="32"/>
      <c r="O3263" s="32"/>
      <c r="P3263" s="32"/>
      <c r="Q3263" s="32"/>
      <c r="R3263" s="32"/>
      <c r="S3263" s="32"/>
      <c r="T3263" s="32"/>
      <c r="U3263" s="32"/>
      <c r="V3263" s="32"/>
      <c r="W3263" s="32"/>
      <c r="X3263" s="32"/>
      <c r="Y3263" s="32"/>
      <c r="Z3263" s="32"/>
    </row>
    <row r="3264" spans="1:26" ht="14.25" customHeight="1">
      <c r="A3264" s="33" t="s">
        <v>2</v>
      </c>
      <c r="B3264" s="33" t="s">
        <v>3</v>
      </c>
      <c r="C3264" s="33" t="s">
        <v>4</v>
      </c>
      <c r="D3264" s="33" t="s">
        <v>5</v>
      </c>
      <c r="E3264" s="33" t="s">
        <v>6</v>
      </c>
      <c r="F3264" s="34" t="s">
        <v>7</v>
      </c>
      <c r="G3264" s="33" t="s">
        <v>8</v>
      </c>
      <c r="H3264" s="35"/>
      <c r="I3264" s="51"/>
      <c r="J3264" s="32"/>
      <c r="K3264" s="32"/>
      <c r="L3264" s="32"/>
      <c r="M3264" s="32"/>
      <c r="N3264" s="32"/>
      <c r="O3264" s="32"/>
      <c r="P3264" s="32"/>
      <c r="Q3264" s="32"/>
      <c r="R3264" s="32"/>
      <c r="S3264" s="32"/>
      <c r="T3264" s="32"/>
      <c r="U3264" s="32"/>
      <c r="V3264" s="32"/>
      <c r="W3264" s="32"/>
      <c r="X3264" s="32"/>
      <c r="Y3264" s="32"/>
      <c r="Z3264" s="32"/>
    </row>
    <row r="3265" spans="1:26" ht="14.25" customHeight="1">
      <c r="A3265" s="36">
        <v>1</v>
      </c>
      <c r="B3265" s="18" t="s">
        <v>886</v>
      </c>
      <c r="C3265" s="5" t="s">
        <v>887</v>
      </c>
      <c r="D3265" s="18" t="s">
        <v>413</v>
      </c>
      <c r="E3265" s="18">
        <v>2.5</v>
      </c>
      <c r="F3265" s="6">
        <v>293000</v>
      </c>
      <c r="G3265" s="37">
        <f t="shared" ref="G3265:G3267" si="212">IFERROR(E3265*F3265,0)</f>
        <v>732500</v>
      </c>
      <c r="H3265" s="38"/>
      <c r="I3265" s="51"/>
      <c r="J3265" s="32"/>
      <c r="K3265" s="32"/>
      <c r="L3265" s="32"/>
      <c r="M3265" s="32"/>
      <c r="N3265" s="32"/>
      <c r="O3265" s="32"/>
      <c r="P3265" s="32"/>
      <c r="Q3265" s="32"/>
      <c r="R3265" s="32"/>
      <c r="S3265" s="32"/>
      <c r="T3265" s="32"/>
      <c r="U3265" s="32"/>
      <c r="V3265" s="32"/>
      <c r="W3265" s="32"/>
      <c r="X3265" s="32"/>
      <c r="Y3265" s="32"/>
      <c r="Z3265" s="32"/>
    </row>
    <row r="3266" spans="1:26" ht="14.25" customHeight="1">
      <c r="A3266" s="36">
        <v>2</v>
      </c>
      <c r="B3266" s="12" t="s">
        <v>33</v>
      </c>
      <c r="C3266" s="10">
        <v>2718</v>
      </c>
      <c r="D3266" s="12" t="s">
        <v>233</v>
      </c>
      <c r="E3266" s="12">
        <v>1</v>
      </c>
      <c r="F3266" s="43">
        <v>435000</v>
      </c>
      <c r="G3266" s="37">
        <f t="shared" si="212"/>
        <v>435000</v>
      </c>
      <c r="H3266" s="38"/>
      <c r="I3266" s="51"/>
      <c r="J3266" s="32"/>
      <c r="K3266" s="32"/>
      <c r="L3266" s="32"/>
      <c r="M3266" s="32"/>
      <c r="N3266" s="32"/>
      <c r="O3266" s="32"/>
      <c r="P3266" s="32"/>
      <c r="Q3266" s="32"/>
      <c r="R3266" s="32"/>
      <c r="S3266" s="32"/>
      <c r="T3266" s="32"/>
      <c r="U3266" s="32"/>
      <c r="V3266" s="32"/>
      <c r="W3266" s="32"/>
      <c r="X3266" s="32"/>
      <c r="Y3266" s="32"/>
      <c r="Z3266" s="32"/>
    </row>
    <row r="3267" spans="1:26" ht="14.25" customHeight="1">
      <c r="A3267" s="36">
        <v>4</v>
      </c>
      <c r="B3267" s="39" t="s">
        <v>17</v>
      </c>
      <c r="C3267" s="38"/>
      <c r="D3267" s="38"/>
      <c r="E3267" s="38"/>
      <c r="F3267" s="60"/>
      <c r="G3267" s="37">
        <f t="shared" si="212"/>
        <v>0</v>
      </c>
      <c r="H3267" s="38"/>
      <c r="I3267" s="51"/>
      <c r="J3267" s="32"/>
      <c r="K3267" s="32"/>
      <c r="L3267" s="32"/>
      <c r="M3267" s="32"/>
      <c r="N3267" s="32"/>
      <c r="O3267" s="32"/>
      <c r="P3267" s="32"/>
      <c r="Q3267" s="32"/>
      <c r="R3267" s="32"/>
      <c r="S3267" s="32"/>
      <c r="T3267" s="32"/>
      <c r="U3267" s="32"/>
      <c r="V3267" s="32"/>
      <c r="W3267" s="32"/>
      <c r="X3267" s="32"/>
      <c r="Y3267" s="32"/>
      <c r="Z3267" s="32"/>
    </row>
    <row r="3268" spans="1:26" ht="14.25" customHeight="1">
      <c r="A3268" s="83" t="s">
        <v>18</v>
      </c>
      <c r="B3268" s="81"/>
      <c r="C3268" s="81"/>
      <c r="D3268" s="81"/>
      <c r="E3268" s="81"/>
      <c r="F3268" s="81"/>
      <c r="G3268" s="82"/>
      <c r="H3268" s="41">
        <f>SUM(G3265:G3267)</f>
        <v>1167500</v>
      </c>
      <c r="I3268" s="51"/>
      <c r="J3268" s="32"/>
      <c r="K3268" s="32"/>
      <c r="L3268" s="32"/>
      <c r="M3268" s="32"/>
      <c r="N3268" s="32"/>
      <c r="O3268" s="32"/>
      <c r="P3268" s="32"/>
      <c r="Q3268" s="32"/>
      <c r="R3268" s="32"/>
      <c r="S3268" s="32"/>
      <c r="T3268" s="32"/>
      <c r="U3268" s="32"/>
      <c r="V3268" s="32"/>
      <c r="W3268" s="32"/>
      <c r="X3268" s="32"/>
      <c r="Y3268" s="32"/>
      <c r="Z3268" s="32"/>
    </row>
    <row r="3269" spans="1:26" ht="14.25" customHeight="1">
      <c r="A3269" s="83" t="s">
        <v>19</v>
      </c>
      <c r="B3269" s="81"/>
      <c r="C3269" s="81"/>
      <c r="D3269" s="81"/>
      <c r="E3269" s="81"/>
      <c r="F3269" s="81"/>
      <c r="G3269" s="82"/>
      <c r="H3269" s="41">
        <f>MAX(0,H3268-648000)</f>
        <v>519500</v>
      </c>
      <c r="I3269" s="51"/>
      <c r="J3269" s="32"/>
      <c r="K3269" s="32"/>
      <c r="L3269" s="32"/>
      <c r="M3269" s="32"/>
      <c r="N3269" s="32"/>
      <c r="O3269" s="32"/>
      <c r="P3269" s="32"/>
      <c r="Q3269" s="32"/>
      <c r="R3269" s="32"/>
      <c r="S3269" s="32"/>
      <c r="T3269" s="32"/>
      <c r="U3269" s="32"/>
      <c r="V3269" s="32"/>
      <c r="W3269" s="32"/>
      <c r="X3269" s="32"/>
      <c r="Y3269" s="32"/>
      <c r="Z3269" s="32"/>
    </row>
    <row r="3270" spans="1:26" ht="14.25" customHeight="1">
      <c r="A3270" s="84" t="s">
        <v>20</v>
      </c>
      <c r="B3270" s="81"/>
      <c r="C3270" s="81"/>
      <c r="D3270" s="81"/>
      <c r="E3270" s="81"/>
      <c r="F3270" s="81"/>
      <c r="G3270" s="82"/>
      <c r="H3270" s="42">
        <v>649000</v>
      </c>
      <c r="I3270" s="51"/>
      <c r="J3270" s="32"/>
      <c r="K3270" s="32"/>
      <c r="L3270" s="32"/>
      <c r="M3270" s="32"/>
      <c r="N3270" s="32"/>
      <c r="O3270" s="32"/>
      <c r="P3270" s="32"/>
      <c r="Q3270" s="32"/>
      <c r="R3270" s="32"/>
      <c r="S3270" s="32"/>
      <c r="T3270" s="32"/>
      <c r="U3270" s="32"/>
      <c r="V3270" s="32"/>
      <c r="W3270" s="32"/>
      <c r="X3270" s="32"/>
      <c r="Y3270" s="32"/>
      <c r="Z3270" s="32"/>
    </row>
    <row r="3271" spans="1:26" ht="14.25" customHeight="1">
      <c r="A3271" s="80"/>
      <c r="B3271" s="81"/>
      <c r="C3271" s="81"/>
      <c r="D3271" s="81"/>
      <c r="E3271" s="81"/>
      <c r="F3271" s="81"/>
      <c r="G3271" s="81"/>
      <c r="H3271" s="82"/>
      <c r="I3271" s="51"/>
      <c r="J3271" s="32"/>
      <c r="K3271" s="32"/>
      <c r="L3271" s="32"/>
      <c r="M3271" s="32"/>
      <c r="N3271" s="32"/>
      <c r="O3271" s="32"/>
      <c r="P3271" s="32"/>
      <c r="Q3271" s="32"/>
      <c r="R3271" s="32"/>
      <c r="S3271" s="32"/>
      <c r="T3271" s="32"/>
      <c r="U3271" s="32"/>
      <c r="V3271" s="32"/>
      <c r="W3271" s="32"/>
      <c r="X3271" s="32"/>
      <c r="Y3271" s="32"/>
      <c r="Z3271" s="32"/>
    </row>
    <row r="3272" spans="1:26" ht="14.25" customHeight="1">
      <c r="I3272" s="51"/>
    </row>
    <row r="3273" spans="1:26" ht="14.25" customHeight="1">
      <c r="I3273" s="51"/>
    </row>
    <row r="3274" spans="1:26" ht="14.25" customHeight="1">
      <c r="I3274" s="51"/>
    </row>
    <row r="3275" spans="1:26" ht="14.25" customHeight="1">
      <c r="I3275" s="51"/>
    </row>
    <row r="3276" spans="1:26" ht="14.25" customHeight="1">
      <c r="I3276" s="51"/>
    </row>
    <row r="3277" spans="1:26" ht="14.25" customHeight="1">
      <c r="I3277" s="51"/>
    </row>
    <row r="3278" spans="1:26" ht="14.25" customHeight="1">
      <c r="I3278" s="51"/>
    </row>
    <row r="3279" spans="1:26" ht="14.25" customHeight="1">
      <c r="I3279" s="51"/>
    </row>
    <row r="3280" spans="1:26" ht="14.25" customHeight="1">
      <c r="A3280" s="80" t="s">
        <v>0</v>
      </c>
      <c r="B3280" s="81"/>
      <c r="C3280" s="81"/>
      <c r="D3280" s="81"/>
      <c r="E3280" s="81"/>
      <c r="F3280" s="81"/>
      <c r="G3280" s="81"/>
      <c r="H3280" s="82"/>
      <c r="I3280" s="51"/>
      <c r="J3280" s="32"/>
      <c r="K3280" s="32"/>
      <c r="L3280" s="32"/>
      <c r="M3280" s="32"/>
      <c r="N3280" s="32"/>
      <c r="O3280" s="32"/>
      <c r="P3280" s="32"/>
      <c r="Q3280" s="32"/>
      <c r="R3280" s="32"/>
      <c r="S3280" s="32"/>
      <c r="T3280" s="32"/>
      <c r="U3280" s="32"/>
      <c r="V3280" s="32"/>
      <c r="W3280" s="32"/>
      <c r="X3280" s="32"/>
      <c r="Y3280" s="32"/>
      <c r="Z3280" s="32"/>
    </row>
    <row r="3281" spans="1:26" ht="14.25" customHeight="1">
      <c r="A3281" s="80" t="s">
        <v>888</v>
      </c>
      <c r="B3281" s="81"/>
      <c r="C3281" s="81"/>
      <c r="D3281" s="81"/>
      <c r="E3281" s="81"/>
      <c r="F3281" s="81"/>
      <c r="G3281" s="81"/>
      <c r="H3281" s="82"/>
      <c r="I3281" s="51"/>
      <c r="J3281" s="32"/>
      <c r="K3281" s="32"/>
      <c r="L3281" s="32"/>
      <c r="M3281" s="32"/>
      <c r="N3281" s="32"/>
      <c r="O3281" s="32"/>
      <c r="P3281" s="32"/>
      <c r="Q3281" s="32"/>
      <c r="R3281" s="32"/>
      <c r="S3281" s="32"/>
      <c r="T3281" s="32"/>
      <c r="U3281" s="32"/>
      <c r="V3281" s="32"/>
      <c r="W3281" s="32"/>
      <c r="X3281" s="32"/>
      <c r="Y3281" s="32"/>
      <c r="Z3281" s="32"/>
    </row>
    <row r="3282" spans="1:26" ht="14.25" customHeight="1">
      <c r="A3282" s="33" t="s">
        <v>2</v>
      </c>
      <c r="B3282" s="33" t="s">
        <v>3</v>
      </c>
      <c r="C3282" s="33" t="s">
        <v>4</v>
      </c>
      <c r="D3282" s="33" t="s">
        <v>5</v>
      </c>
      <c r="E3282" s="33" t="s">
        <v>6</v>
      </c>
      <c r="F3282" s="34" t="s">
        <v>7</v>
      </c>
      <c r="G3282" s="33" t="s">
        <v>8</v>
      </c>
      <c r="H3282" s="35"/>
      <c r="I3282" s="51"/>
      <c r="J3282" s="32"/>
      <c r="K3282" s="32"/>
      <c r="L3282" s="32"/>
      <c r="M3282" s="32"/>
      <c r="N3282" s="32"/>
      <c r="O3282" s="32"/>
      <c r="P3282" s="32"/>
      <c r="Q3282" s="32"/>
      <c r="R3282" s="32"/>
      <c r="S3282" s="32"/>
      <c r="T3282" s="32"/>
      <c r="U3282" s="32"/>
      <c r="V3282" s="32"/>
      <c r="W3282" s="32"/>
      <c r="X3282" s="32"/>
      <c r="Y3282" s="32"/>
      <c r="Z3282" s="32"/>
    </row>
    <row r="3283" spans="1:26" ht="14.25" customHeight="1">
      <c r="A3283" s="36">
        <v>1</v>
      </c>
      <c r="B3283" s="18" t="s">
        <v>889</v>
      </c>
      <c r="C3283" s="5" t="s">
        <v>890</v>
      </c>
      <c r="D3283" s="18" t="s">
        <v>11</v>
      </c>
      <c r="E3283" s="18">
        <v>1</v>
      </c>
      <c r="F3283" s="6">
        <v>293000</v>
      </c>
      <c r="G3283" s="37">
        <f t="shared" ref="G3283:G3285" si="213">IFERROR(E3283*F3283,0)</f>
        <v>293000</v>
      </c>
      <c r="H3283" s="38"/>
      <c r="I3283" s="51"/>
      <c r="J3283" s="32"/>
      <c r="K3283" s="32"/>
      <c r="L3283" s="32"/>
      <c r="M3283" s="32"/>
      <c r="N3283" s="32"/>
      <c r="O3283" s="32"/>
      <c r="P3283" s="32"/>
      <c r="Q3283" s="32"/>
      <c r="R3283" s="32"/>
      <c r="S3283" s="32"/>
      <c r="T3283" s="32"/>
      <c r="U3283" s="32"/>
      <c r="V3283" s="32"/>
      <c r="W3283" s="32"/>
      <c r="X3283" s="32"/>
      <c r="Y3283" s="32"/>
      <c r="Z3283" s="32"/>
    </row>
    <row r="3284" spans="1:26" ht="14.25" customHeight="1">
      <c r="A3284" s="36">
        <v>2</v>
      </c>
      <c r="B3284" s="12" t="s">
        <v>33</v>
      </c>
      <c r="C3284" s="10" t="s">
        <v>891</v>
      </c>
      <c r="D3284" s="12" t="s">
        <v>233</v>
      </c>
      <c r="E3284" s="12">
        <v>2.4</v>
      </c>
      <c r="F3284" s="43">
        <v>435000</v>
      </c>
      <c r="G3284" s="37">
        <f t="shared" si="213"/>
        <v>1044000</v>
      </c>
      <c r="H3284" s="38"/>
      <c r="I3284" s="51"/>
      <c r="J3284" s="32"/>
      <c r="K3284" s="32"/>
      <c r="L3284" s="32"/>
      <c r="M3284" s="32"/>
      <c r="N3284" s="32"/>
      <c r="O3284" s="32"/>
      <c r="P3284" s="32"/>
      <c r="Q3284" s="32"/>
      <c r="R3284" s="32"/>
      <c r="S3284" s="32"/>
      <c r="T3284" s="32"/>
      <c r="U3284" s="32"/>
      <c r="V3284" s="32"/>
      <c r="W3284" s="32"/>
      <c r="X3284" s="32"/>
      <c r="Y3284" s="32"/>
      <c r="Z3284" s="32"/>
    </row>
    <row r="3285" spans="1:26" ht="14.25" customHeight="1">
      <c r="A3285" s="36">
        <v>4</v>
      </c>
      <c r="B3285" s="39" t="s">
        <v>17</v>
      </c>
      <c r="C3285" s="38"/>
      <c r="D3285" s="38"/>
      <c r="E3285" s="38"/>
      <c r="F3285" s="60"/>
      <c r="G3285" s="37">
        <f t="shared" si="213"/>
        <v>0</v>
      </c>
      <c r="H3285" s="38"/>
      <c r="I3285" s="51"/>
      <c r="J3285" s="32"/>
      <c r="K3285" s="32"/>
      <c r="L3285" s="32"/>
      <c r="M3285" s="32"/>
      <c r="N3285" s="32"/>
      <c r="O3285" s="32"/>
      <c r="P3285" s="32"/>
      <c r="Q3285" s="32"/>
      <c r="R3285" s="32"/>
      <c r="S3285" s="32"/>
      <c r="T3285" s="32"/>
      <c r="U3285" s="32"/>
      <c r="V3285" s="32"/>
      <c r="W3285" s="32"/>
      <c r="X3285" s="32"/>
      <c r="Y3285" s="32"/>
      <c r="Z3285" s="32"/>
    </row>
    <row r="3286" spans="1:26" ht="14.25" customHeight="1">
      <c r="A3286" s="83" t="s">
        <v>18</v>
      </c>
      <c r="B3286" s="81"/>
      <c r="C3286" s="81"/>
      <c r="D3286" s="81"/>
      <c r="E3286" s="81"/>
      <c r="F3286" s="81"/>
      <c r="G3286" s="82"/>
      <c r="H3286" s="41">
        <f>SUM(G3283:G3285)</f>
        <v>1337000</v>
      </c>
      <c r="I3286" s="51"/>
      <c r="J3286" s="32"/>
      <c r="K3286" s="32"/>
      <c r="L3286" s="32"/>
      <c r="M3286" s="32"/>
      <c r="N3286" s="32"/>
      <c r="O3286" s="32"/>
      <c r="P3286" s="32"/>
      <c r="Q3286" s="32"/>
      <c r="R3286" s="32"/>
      <c r="S3286" s="32"/>
      <c r="T3286" s="32"/>
      <c r="U3286" s="32"/>
      <c r="V3286" s="32"/>
      <c r="W3286" s="32"/>
      <c r="X3286" s="32"/>
      <c r="Y3286" s="32"/>
      <c r="Z3286" s="32"/>
    </row>
    <row r="3287" spans="1:26" ht="14.25" customHeight="1">
      <c r="A3287" s="83" t="s">
        <v>19</v>
      </c>
      <c r="B3287" s="81"/>
      <c r="C3287" s="81"/>
      <c r="D3287" s="81"/>
      <c r="E3287" s="81"/>
      <c r="F3287" s="81"/>
      <c r="G3287" s="82"/>
      <c r="H3287" s="41">
        <f>MAX(0,H3286-648000)</f>
        <v>689000</v>
      </c>
      <c r="I3287" s="51"/>
      <c r="J3287" s="32"/>
      <c r="K3287" s="32"/>
      <c r="L3287" s="32"/>
      <c r="M3287" s="32"/>
      <c r="N3287" s="32"/>
      <c r="O3287" s="32"/>
      <c r="P3287" s="32"/>
      <c r="Q3287" s="32"/>
      <c r="R3287" s="32"/>
      <c r="S3287" s="32"/>
      <c r="T3287" s="32"/>
      <c r="U3287" s="32"/>
      <c r="V3287" s="32"/>
      <c r="W3287" s="32"/>
      <c r="X3287" s="32"/>
      <c r="Y3287" s="32"/>
      <c r="Z3287" s="32"/>
    </row>
    <row r="3288" spans="1:26" ht="14.25" customHeight="1">
      <c r="A3288" s="84" t="s">
        <v>20</v>
      </c>
      <c r="B3288" s="81"/>
      <c r="C3288" s="81"/>
      <c r="D3288" s="81"/>
      <c r="E3288" s="81"/>
      <c r="F3288" s="81"/>
      <c r="G3288" s="82"/>
      <c r="H3288" s="42">
        <v>649000</v>
      </c>
      <c r="I3288" s="51"/>
      <c r="J3288" s="32"/>
      <c r="K3288" s="32"/>
      <c r="L3288" s="32"/>
      <c r="M3288" s="32"/>
      <c r="N3288" s="32"/>
      <c r="O3288" s="32"/>
      <c r="P3288" s="32"/>
      <c r="Q3288" s="32"/>
      <c r="R3288" s="32"/>
      <c r="S3288" s="32"/>
      <c r="T3288" s="32"/>
      <c r="U3288" s="32"/>
      <c r="V3288" s="32"/>
      <c r="W3288" s="32"/>
      <c r="X3288" s="32"/>
      <c r="Y3288" s="32"/>
      <c r="Z3288" s="32"/>
    </row>
    <row r="3289" spans="1:26" ht="14.25" customHeight="1">
      <c r="A3289" s="80"/>
      <c r="B3289" s="81"/>
      <c r="C3289" s="81"/>
      <c r="D3289" s="81"/>
      <c r="E3289" s="81"/>
      <c r="F3289" s="81"/>
      <c r="G3289" s="81"/>
      <c r="H3289" s="82"/>
      <c r="I3289" s="51"/>
      <c r="J3289" s="32"/>
      <c r="K3289" s="32"/>
      <c r="L3289" s="32"/>
      <c r="M3289" s="32"/>
      <c r="N3289" s="32"/>
      <c r="O3289" s="32"/>
      <c r="P3289" s="32"/>
      <c r="Q3289" s="32"/>
      <c r="R3289" s="32"/>
      <c r="S3289" s="32"/>
      <c r="T3289" s="32"/>
      <c r="U3289" s="32"/>
      <c r="V3289" s="32"/>
      <c r="W3289" s="32"/>
      <c r="X3289" s="32"/>
      <c r="Y3289" s="32"/>
      <c r="Z3289" s="32"/>
    </row>
    <row r="3290" spans="1:26" ht="14.25" customHeight="1">
      <c r="I3290" s="51"/>
    </row>
    <row r="3291" spans="1:26" ht="14.25" customHeight="1">
      <c r="I3291" s="51"/>
    </row>
    <row r="3292" spans="1:26" ht="14.25" customHeight="1">
      <c r="I3292" s="51"/>
    </row>
    <row r="3293" spans="1:26" ht="14.25" customHeight="1">
      <c r="I3293" s="51"/>
    </row>
    <row r="3294" spans="1:26" ht="14.25" customHeight="1">
      <c r="I3294" s="51"/>
    </row>
    <row r="3295" spans="1:26" ht="14.25" customHeight="1">
      <c r="A3295" s="80" t="s">
        <v>0</v>
      </c>
      <c r="B3295" s="81"/>
      <c r="C3295" s="81"/>
      <c r="D3295" s="81"/>
      <c r="E3295" s="81"/>
      <c r="F3295" s="81"/>
      <c r="G3295" s="81"/>
      <c r="H3295" s="82"/>
      <c r="I3295" s="51"/>
      <c r="J3295" s="32"/>
      <c r="K3295" s="32"/>
      <c r="L3295" s="32"/>
      <c r="M3295" s="32"/>
      <c r="N3295" s="32"/>
      <c r="O3295" s="32"/>
      <c r="P3295" s="32"/>
      <c r="Q3295" s="32"/>
      <c r="R3295" s="32"/>
      <c r="S3295" s="32"/>
      <c r="T3295" s="32"/>
      <c r="U3295" s="32"/>
      <c r="V3295" s="32"/>
      <c r="W3295" s="32"/>
      <c r="X3295" s="32"/>
      <c r="Y3295" s="32"/>
      <c r="Z3295" s="32"/>
    </row>
    <row r="3296" spans="1:26" ht="14.25" customHeight="1">
      <c r="A3296" s="80" t="s">
        <v>892</v>
      </c>
      <c r="B3296" s="81"/>
      <c r="C3296" s="81"/>
      <c r="D3296" s="81"/>
      <c r="E3296" s="81"/>
      <c r="F3296" s="81"/>
      <c r="G3296" s="81"/>
      <c r="H3296" s="82"/>
      <c r="I3296" s="51"/>
      <c r="J3296" s="32"/>
      <c r="K3296" s="32"/>
      <c r="L3296" s="32"/>
      <c r="M3296" s="32"/>
      <c r="N3296" s="32"/>
      <c r="O3296" s="32"/>
      <c r="P3296" s="32"/>
      <c r="Q3296" s="32"/>
      <c r="R3296" s="32"/>
      <c r="S3296" s="32"/>
      <c r="T3296" s="32"/>
      <c r="U3296" s="32"/>
      <c r="V3296" s="32"/>
      <c r="W3296" s="32"/>
      <c r="X3296" s="32"/>
      <c r="Y3296" s="32"/>
      <c r="Z3296" s="32"/>
    </row>
    <row r="3297" spans="1:26" ht="14.25" customHeight="1">
      <c r="A3297" s="33" t="s">
        <v>2</v>
      </c>
      <c r="B3297" s="33" t="s">
        <v>3</v>
      </c>
      <c r="C3297" s="33" t="s">
        <v>4</v>
      </c>
      <c r="D3297" s="33" t="s">
        <v>5</v>
      </c>
      <c r="E3297" s="33" t="s">
        <v>6</v>
      </c>
      <c r="F3297" s="34" t="s">
        <v>7</v>
      </c>
      <c r="G3297" s="33" t="s">
        <v>8</v>
      </c>
      <c r="H3297" s="35"/>
      <c r="I3297" s="51"/>
      <c r="J3297" s="32"/>
      <c r="K3297" s="32"/>
      <c r="L3297" s="32"/>
      <c r="M3297" s="32"/>
      <c r="N3297" s="32"/>
      <c r="O3297" s="32"/>
      <c r="P3297" s="32"/>
      <c r="Q3297" s="32"/>
      <c r="R3297" s="32"/>
      <c r="S3297" s="32"/>
      <c r="T3297" s="32"/>
      <c r="U3297" s="32"/>
      <c r="V3297" s="32"/>
      <c r="W3297" s="32"/>
      <c r="X3297" s="32"/>
      <c r="Y3297" s="32"/>
      <c r="Z3297" s="32"/>
    </row>
    <row r="3298" spans="1:26" ht="14.25" customHeight="1">
      <c r="A3298" s="36">
        <v>1</v>
      </c>
      <c r="B3298" s="18" t="s">
        <v>1802</v>
      </c>
      <c r="C3298" s="5" t="s">
        <v>893</v>
      </c>
      <c r="D3298" s="18" t="s">
        <v>413</v>
      </c>
      <c r="E3298" s="18">
        <v>0.97</v>
      </c>
      <c r="F3298" s="6">
        <v>293000</v>
      </c>
      <c r="G3298" s="37">
        <f t="shared" ref="G3298:G3300" si="214">IFERROR(E3298*F3298,0)</f>
        <v>284210</v>
      </c>
      <c r="H3298" s="38"/>
      <c r="I3298" s="51"/>
      <c r="J3298" s="32"/>
      <c r="K3298" s="32"/>
      <c r="L3298" s="32"/>
      <c r="M3298" s="32"/>
      <c r="N3298" s="32"/>
      <c r="O3298" s="32"/>
      <c r="P3298" s="32"/>
      <c r="Q3298" s="32"/>
      <c r="R3298" s="32"/>
      <c r="S3298" s="32"/>
      <c r="T3298" s="32"/>
      <c r="U3298" s="32"/>
      <c r="V3298" s="32"/>
      <c r="W3298" s="32"/>
      <c r="X3298" s="32"/>
      <c r="Y3298" s="32"/>
      <c r="Z3298" s="32"/>
    </row>
    <row r="3299" spans="1:26" ht="14.25" customHeight="1">
      <c r="A3299" s="36">
        <v>2</v>
      </c>
      <c r="B3299" s="12" t="s">
        <v>601</v>
      </c>
      <c r="C3299" s="10" t="s">
        <v>894</v>
      </c>
      <c r="D3299" s="12" t="s">
        <v>233</v>
      </c>
      <c r="E3299" s="12">
        <v>2.48</v>
      </c>
      <c r="F3299" s="43">
        <v>435000</v>
      </c>
      <c r="G3299" s="37">
        <f t="shared" si="214"/>
        <v>1078800</v>
      </c>
      <c r="H3299" s="38"/>
      <c r="I3299" s="51"/>
      <c r="J3299" s="32"/>
      <c r="K3299" s="32"/>
      <c r="L3299" s="32"/>
      <c r="M3299" s="32"/>
      <c r="N3299" s="32"/>
      <c r="O3299" s="32"/>
      <c r="P3299" s="32"/>
      <c r="Q3299" s="32"/>
      <c r="R3299" s="32"/>
      <c r="S3299" s="32"/>
      <c r="T3299" s="32"/>
      <c r="U3299" s="32"/>
      <c r="V3299" s="32"/>
      <c r="W3299" s="32"/>
      <c r="X3299" s="32"/>
      <c r="Y3299" s="32"/>
      <c r="Z3299" s="32"/>
    </row>
    <row r="3300" spans="1:26" ht="14.25" customHeight="1">
      <c r="A3300" s="36">
        <v>4</v>
      </c>
      <c r="B3300" s="39" t="s">
        <v>17</v>
      </c>
      <c r="C3300" s="38"/>
      <c r="D3300" s="38"/>
      <c r="E3300" s="38"/>
      <c r="F3300" s="60"/>
      <c r="G3300" s="37">
        <f t="shared" si="214"/>
        <v>0</v>
      </c>
      <c r="H3300" s="38"/>
      <c r="I3300" s="51"/>
      <c r="J3300" s="32"/>
      <c r="K3300" s="32"/>
      <c r="L3300" s="32"/>
      <c r="M3300" s="32"/>
      <c r="N3300" s="32"/>
      <c r="O3300" s="32"/>
      <c r="P3300" s="32"/>
      <c r="Q3300" s="32"/>
      <c r="R3300" s="32"/>
      <c r="S3300" s="32"/>
      <c r="T3300" s="32"/>
      <c r="U3300" s="32"/>
      <c r="V3300" s="32"/>
      <c r="W3300" s="32"/>
      <c r="X3300" s="32"/>
      <c r="Y3300" s="32"/>
      <c r="Z3300" s="32"/>
    </row>
    <row r="3301" spans="1:26" ht="14.25" customHeight="1">
      <c r="A3301" s="83" t="s">
        <v>18</v>
      </c>
      <c r="B3301" s="81"/>
      <c r="C3301" s="81"/>
      <c r="D3301" s="81"/>
      <c r="E3301" s="81"/>
      <c r="F3301" s="81"/>
      <c r="G3301" s="82"/>
      <c r="H3301" s="41">
        <f>SUM(G3298:G3300)</f>
        <v>1363010</v>
      </c>
      <c r="I3301" s="51"/>
      <c r="J3301" s="32"/>
      <c r="K3301" s="32"/>
      <c r="L3301" s="32"/>
      <c r="M3301" s="32"/>
      <c r="N3301" s="32"/>
      <c r="O3301" s="32"/>
      <c r="P3301" s="32"/>
      <c r="Q3301" s="32"/>
      <c r="R3301" s="32"/>
      <c r="S3301" s="32"/>
      <c r="T3301" s="32"/>
      <c r="U3301" s="32"/>
      <c r="V3301" s="32"/>
      <c r="W3301" s="32"/>
      <c r="X3301" s="32"/>
      <c r="Y3301" s="32"/>
      <c r="Z3301" s="32"/>
    </row>
    <row r="3302" spans="1:26" ht="14.25" customHeight="1">
      <c r="A3302" s="83" t="s">
        <v>19</v>
      </c>
      <c r="B3302" s="81"/>
      <c r="C3302" s="81"/>
      <c r="D3302" s="81"/>
      <c r="E3302" s="81"/>
      <c r="F3302" s="81"/>
      <c r="G3302" s="82"/>
      <c r="H3302" s="41">
        <f>MAX(0,H3301-648000)</f>
        <v>715010</v>
      </c>
      <c r="I3302" s="51"/>
      <c r="J3302" s="32"/>
      <c r="K3302" s="32"/>
      <c r="L3302" s="32"/>
      <c r="M3302" s="32"/>
      <c r="N3302" s="32"/>
      <c r="O3302" s="32"/>
      <c r="P3302" s="32"/>
      <c r="Q3302" s="32"/>
      <c r="R3302" s="32"/>
      <c r="S3302" s="32"/>
      <c r="T3302" s="32"/>
      <c r="U3302" s="32"/>
      <c r="V3302" s="32"/>
      <c r="W3302" s="32"/>
      <c r="X3302" s="32"/>
      <c r="Y3302" s="32"/>
      <c r="Z3302" s="32"/>
    </row>
    <row r="3303" spans="1:26" ht="14.25" customHeight="1">
      <c r="A3303" s="84" t="s">
        <v>20</v>
      </c>
      <c r="B3303" s="81"/>
      <c r="C3303" s="81"/>
      <c r="D3303" s="81"/>
      <c r="E3303" s="81"/>
      <c r="F3303" s="81"/>
      <c r="G3303" s="82"/>
      <c r="H3303" s="42">
        <v>649000</v>
      </c>
      <c r="I3303" s="51"/>
      <c r="J3303" s="32"/>
      <c r="K3303" s="32"/>
      <c r="L3303" s="32"/>
      <c r="M3303" s="32"/>
      <c r="N3303" s="32"/>
      <c r="O3303" s="32"/>
      <c r="P3303" s="32"/>
      <c r="Q3303" s="32"/>
      <c r="R3303" s="32"/>
      <c r="S3303" s="32"/>
      <c r="T3303" s="32"/>
      <c r="U3303" s="32"/>
      <c r="V3303" s="32"/>
      <c r="W3303" s="32"/>
      <c r="X3303" s="32"/>
      <c r="Y3303" s="32"/>
      <c r="Z3303" s="32"/>
    </row>
    <row r="3304" spans="1:26" ht="14.25" customHeight="1">
      <c r="A3304" s="80"/>
      <c r="B3304" s="81"/>
      <c r="C3304" s="81"/>
      <c r="D3304" s="81"/>
      <c r="E3304" s="81"/>
      <c r="F3304" s="81"/>
      <c r="G3304" s="81"/>
      <c r="H3304" s="82"/>
      <c r="I3304" s="51"/>
      <c r="J3304" s="32"/>
      <c r="K3304" s="32"/>
      <c r="L3304" s="32"/>
      <c r="M3304" s="32"/>
      <c r="N3304" s="32"/>
      <c r="O3304" s="32"/>
      <c r="P3304" s="32"/>
      <c r="Q3304" s="32"/>
      <c r="R3304" s="32"/>
      <c r="S3304" s="32"/>
      <c r="T3304" s="32"/>
      <c r="U3304" s="32"/>
      <c r="V3304" s="32"/>
      <c r="W3304" s="32"/>
      <c r="X3304" s="32"/>
      <c r="Y3304" s="32"/>
      <c r="Z3304" s="32"/>
    </row>
    <row r="3305" spans="1:26" ht="14.25" customHeight="1">
      <c r="I3305" s="51"/>
    </row>
    <row r="3306" spans="1:26" ht="14.25" customHeight="1">
      <c r="I3306" s="51"/>
    </row>
    <row r="3307" spans="1:26" ht="14.25" customHeight="1">
      <c r="I3307" s="51"/>
    </row>
    <row r="3308" spans="1:26" ht="14.25" customHeight="1">
      <c r="I3308" s="51"/>
    </row>
    <row r="3309" spans="1:26" ht="14.25" customHeight="1">
      <c r="I3309" s="51"/>
    </row>
    <row r="3310" spans="1:26" ht="14.25" customHeight="1">
      <c r="I3310" s="51"/>
    </row>
    <row r="3311" spans="1:26" ht="14.25" customHeight="1">
      <c r="I3311" s="51"/>
    </row>
    <row r="3312" spans="1:26" ht="14.25" customHeight="1">
      <c r="I3312" s="51"/>
    </row>
    <row r="3313" spans="1:26" ht="14.25" customHeight="1">
      <c r="I3313" s="51"/>
    </row>
    <row r="3314" spans="1:26" ht="14.25" customHeight="1">
      <c r="I3314" s="51"/>
    </row>
    <row r="3315" spans="1:26" ht="14.25" customHeight="1">
      <c r="A3315" s="80" t="s">
        <v>0</v>
      </c>
      <c r="B3315" s="81"/>
      <c r="C3315" s="81"/>
      <c r="D3315" s="81"/>
      <c r="E3315" s="81"/>
      <c r="F3315" s="81"/>
      <c r="G3315" s="81"/>
      <c r="H3315" s="82"/>
      <c r="I3315" s="51"/>
      <c r="J3315" s="32"/>
      <c r="K3315" s="32"/>
      <c r="L3315" s="32"/>
      <c r="M3315" s="32"/>
      <c r="N3315" s="32"/>
      <c r="O3315" s="32"/>
      <c r="P3315" s="32"/>
      <c r="Q3315" s="32"/>
      <c r="R3315" s="32"/>
      <c r="S3315" s="32"/>
      <c r="T3315" s="32"/>
      <c r="U3315" s="32"/>
      <c r="V3315" s="32"/>
      <c r="W3315" s="32"/>
      <c r="X3315" s="32"/>
      <c r="Y3315" s="32"/>
      <c r="Z3315" s="32"/>
    </row>
    <row r="3316" spans="1:26" ht="14.25" customHeight="1">
      <c r="A3316" s="80" t="s">
        <v>895</v>
      </c>
      <c r="B3316" s="81"/>
      <c r="C3316" s="81"/>
      <c r="D3316" s="81"/>
      <c r="E3316" s="81"/>
      <c r="F3316" s="81"/>
      <c r="G3316" s="81"/>
      <c r="H3316" s="82"/>
      <c r="I3316" s="51"/>
      <c r="J3316" s="32"/>
      <c r="K3316" s="32"/>
      <c r="L3316" s="32"/>
      <c r="M3316" s="32"/>
      <c r="N3316" s="32"/>
      <c r="O3316" s="32"/>
      <c r="P3316" s="32"/>
      <c r="Q3316" s="32"/>
      <c r="R3316" s="32"/>
      <c r="S3316" s="32"/>
      <c r="T3316" s="32"/>
      <c r="U3316" s="32"/>
      <c r="V3316" s="32"/>
      <c r="W3316" s="32"/>
      <c r="X3316" s="32"/>
      <c r="Y3316" s="32"/>
      <c r="Z3316" s="32"/>
    </row>
    <row r="3317" spans="1:26" ht="14.25" customHeight="1">
      <c r="A3317" s="33" t="s">
        <v>2</v>
      </c>
      <c r="B3317" s="33" t="s">
        <v>3</v>
      </c>
      <c r="C3317" s="33" t="s">
        <v>4</v>
      </c>
      <c r="D3317" s="33" t="s">
        <v>5</v>
      </c>
      <c r="E3317" s="33" t="s">
        <v>6</v>
      </c>
      <c r="F3317" s="34" t="s">
        <v>7</v>
      </c>
      <c r="G3317" s="33" t="s">
        <v>8</v>
      </c>
      <c r="H3317" s="35"/>
      <c r="I3317" s="51"/>
      <c r="J3317" s="32"/>
      <c r="K3317" s="32"/>
      <c r="L3317" s="32"/>
      <c r="M3317" s="32"/>
      <c r="N3317" s="32"/>
      <c r="O3317" s="32"/>
      <c r="P3317" s="32"/>
      <c r="Q3317" s="32"/>
      <c r="R3317" s="32"/>
      <c r="S3317" s="32"/>
      <c r="T3317" s="32"/>
      <c r="U3317" s="32"/>
      <c r="V3317" s="32"/>
      <c r="W3317" s="32"/>
      <c r="X3317" s="32"/>
      <c r="Y3317" s="32"/>
      <c r="Z3317" s="32"/>
    </row>
    <row r="3318" spans="1:26" ht="14.25" customHeight="1">
      <c r="A3318" s="36">
        <v>1</v>
      </c>
      <c r="B3318" s="18" t="s">
        <v>896</v>
      </c>
      <c r="C3318" s="5" t="s">
        <v>897</v>
      </c>
      <c r="D3318" s="18" t="s">
        <v>413</v>
      </c>
      <c r="E3318" s="18">
        <v>2.9</v>
      </c>
      <c r="F3318" s="6">
        <v>293000</v>
      </c>
      <c r="G3318" s="37">
        <f t="shared" ref="G3318:G3320" si="215">IFERROR(E3318*F3318,0)</f>
        <v>849700</v>
      </c>
      <c r="H3318" s="38"/>
      <c r="I3318" s="51"/>
      <c r="J3318" s="32"/>
      <c r="K3318" s="32"/>
      <c r="L3318" s="32"/>
      <c r="M3318" s="32"/>
      <c r="N3318" s="32"/>
      <c r="O3318" s="32"/>
      <c r="P3318" s="32"/>
      <c r="Q3318" s="32"/>
      <c r="R3318" s="32"/>
      <c r="S3318" s="32"/>
      <c r="T3318" s="32"/>
      <c r="U3318" s="32"/>
      <c r="V3318" s="32"/>
      <c r="W3318" s="32"/>
      <c r="X3318" s="32"/>
      <c r="Y3318" s="32"/>
      <c r="Z3318" s="32"/>
    </row>
    <row r="3319" spans="1:26" ht="14.25" customHeight="1">
      <c r="A3319" s="36">
        <v>2</v>
      </c>
      <c r="B3319" s="12" t="s">
        <v>33</v>
      </c>
      <c r="C3319" s="10" t="s">
        <v>898</v>
      </c>
      <c r="D3319" s="12" t="s">
        <v>233</v>
      </c>
      <c r="E3319" s="12">
        <v>0.48</v>
      </c>
      <c r="F3319" s="43">
        <v>435000</v>
      </c>
      <c r="G3319" s="37">
        <f t="shared" si="215"/>
        <v>208800</v>
      </c>
      <c r="H3319" s="38"/>
      <c r="I3319" s="51"/>
      <c r="J3319" s="32"/>
      <c r="K3319" s="32"/>
      <c r="L3319" s="32"/>
      <c r="M3319" s="32"/>
      <c r="N3319" s="32"/>
      <c r="O3319" s="32"/>
      <c r="P3319" s="32"/>
      <c r="Q3319" s="32"/>
      <c r="R3319" s="32"/>
      <c r="S3319" s="32"/>
      <c r="T3319" s="32"/>
      <c r="U3319" s="32"/>
      <c r="V3319" s="32"/>
      <c r="W3319" s="32"/>
      <c r="X3319" s="32"/>
      <c r="Y3319" s="32"/>
      <c r="Z3319" s="32"/>
    </row>
    <row r="3320" spans="1:26" ht="14.25" customHeight="1">
      <c r="A3320" s="36">
        <v>4</v>
      </c>
      <c r="B3320" s="39" t="s">
        <v>17</v>
      </c>
      <c r="C3320" s="38"/>
      <c r="D3320" s="38"/>
      <c r="E3320" s="38"/>
      <c r="F3320" s="60"/>
      <c r="G3320" s="37">
        <f t="shared" si="215"/>
        <v>0</v>
      </c>
      <c r="H3320" s="38"/>
      <c r="I3320" s="51"/>
      <c r="J3320" s="32"/>
      <c r="K3320" s="32"/>
      <c r="L3320" s="32"/>
      <c r="M3320" s="32"/>
      <c r="N3320" s="32"/>
      <c r="O3320" s="32"/>
      <c r="P3320" s="32"/>
      <c r="Q3320" s="32"/>
      <c r="R3320" s="32"/>
      <c r="S3320" s="32"/>
      <c r="T3320" s="32"/>
      <c r="U3320" s="32"/>
      <c r="V3320" s="32"/>
      <c r="W3320" s="32"/>
      <c r="X3320" s="32"/>
      <c r="Y3320" s="32"/>
      <c r="Z3320" s="32"/>
    </row>
    <row r="3321" spans="1:26" ht="14.25" customHeight="1">
      <c r="A3321" s="83" t="s">
        <v>18</v>
      </c>
      <c r="B3321" s="81"/>
      <c r="C3321" s="81"/>
      <c r="D3321" s="81"/>
      <c r="E3321" s="81"/>
      <c r="F3321" s="81"/>
      <c r="G3321" s="82"/>
      <c r="H3321" s="41">
        <f>SUM(G3318:G3320)</f>
        <v>1058500</v>
      </c>
      <c r="I3321" s="51"/>
      <c r="J3321" s="32"/>
      <c r="K3321" s="32"/>
      <c r="L3321" s="32"/>
      <c r="M3321" s="32"/>
      <c r="N3321" s="32"/>
      <c r="O3321" s="32"/>
      <c r="P3321" s="32"/>
      <c r="Q3321" s="32"/>
      <c r="R3321" s="32"/>
      <c r="S3321" s="32"/>
      <c r="T3321" s="32"/>
      <c r="U3321" s="32"/>
      <c r="V3321" s="32"/>
      <c r="W3321" s="32"/>
      <c r="X3321" s="32"/>
      <c r="Y3321" s="32"/>
      <c r="Z3321" s="32"/>
    </row>
    <row r="3322" spans="1:26" ht="14.25" customHeight="1">
      <c r="A3322" s="83" t="s">
        <v>19</v>
      </c>
      <c r="B3322" s="81"/>
      <c r="C3322" s="81"/>
      <c r="D3322" s="81"/>
      <c r="E3322" s="81"/>
      <c r="F3322" s="81"/>
      <c r="G3322" s="82"/>
      <c r="H3322" s="41">
        <f>MAX(0,H3321-648000)</f>
        <v>410500</v>
      </c>
      <c r="I3322" s="51"/>
      <c r="J3322" s="32"/>
      <c r="K3322" s="32"/>
      <c r="L3322" s="32"/>
      <c r="M3322" s="32"/>
      <c r="N3322" s="32"/>
      <c r="O3322" s="32"/>
      <c r="P3322" s="32"/>
      <c r="Q3322" s="32"/>
      <c r="R3322" s="32"/>
      <c r="S3322" s="32"/>
      <c r="T3322" s="32"/>
      <c r="U3322" s="32"/>
      <c r="V3322" s="32"/>
      <c r="W3322" s="32"/>
      <c r="X3322" s="32"/>
      <c r="Y3322" s="32"/>
      <c r="Z3322" s="32"/>
    </row>
    <row r="3323" spans="1:26" ht="14.25" customHeight="1">
      <c r="A3323" s="84" t="s">
        <v>20</v>
      </c>
      <c r="B3323" s="81"/>
      <c r="C3323" s="81"/>
      <c r="D3323" s="81"/>
      <c r="E3323" s="81"/>
      <c r="F3323" s="81"/>
      <c r="G3323" s="82"/>
      <c r="H3323" s="42">
        <v>649000</v>
      </c>
      <c r="I3323" s="51"/>
      <c r="J3323" s="32"/>
      <c r="K3323" s="32"/>
      <c r="L3323" s="32"/>
      <c r="M3323" s="32"/>
      <c r="N3323" s="32"/>
      <c r="O3323" s="32"/>
      <c r="P3323" s="32"/>
      <c r="Q3323" s="32"/>
      <c r="R3323" s="32"/>
      <c r="S3323" s="32"/>
      <c r="T3323" s="32"/>
      <c r="U3323" s="32"/>
      <c r="V3323" s="32"/>
      <c r="W3323" s="32"/>
      <c r="X3323" s="32"/>
      <c r="Y3323" s="32"/>
      <c r="Z3323" s="32"/>
    </row>
    <row r="3324" spans="1:26" ht="14.25" customHeight="1">
      <c r="A3324" s="80"/>
      <c r="B3324" s="81"/>
      <c r="C3324" s="81"/>
      <c r="D3324" s="81"/>
      <c r="E3324" s="81"/>
      <c r="F3324" s="81"/>
      <c r="G3324" s="81"/>
      <c r="H3324" s="82"/>
      <c r="I3324" s="51"/>
      <c r="J3324" s="32"/>
      <c r="K3324" s="32"/>
      <c r="L3324" s="32"/>
      <c r="M3324" s="32"/>
      <c r="N3324" s="32"/>
      <c r="O3324" s="32"/>
      <c r="P3324" s="32"/>
      <c r="Q3324" s="32"/>
      <c r="R3324" s="32"/>
      <c r="S3324" s="32"/>
      <c r="T3324" s="32"/>
      <c r="U3324" s="32"/>
      <c r="V3324" s="32"/>
      <c r="W3324" s="32"/>
      <c r="X3324" s="32"/>
      <c r="Y3324" s="32"/>
      <c r="Z3324" s="32"/>
    </row>
    <row r="3325" spans="1:26" ht="14.25" customHeight="1">
      <c r="I3325" s="51"/>
    </row>
    <row r="3326" spans="1:26" ht="14.25" customHeight="1">
      <c r="I3326" s="51"/>
    </row>
    <row r="3327" spans="1:26" ht="14.25" customHeight="1">
      <c r="I3327" s="51"/>
    </row>
    <row r="3328" spans="1:26" ht="14.25" customHeight="1">
      <c r="I3328" s="51"/>
    </row>
    <row r="3329" spans="1:26" ht="14.25" customHeight="1">
      <c r="I3329" s="51"/>
    </row>
    <row r="3330" spans="1:26" ht="14.25" customHeight="1">
      <c r="I3330" s="51"/>
    </row>
    <row r="3331" spans="1:26" ht="14.25" customHeight="1">
      <c r="I3331" s="51"/>
    </row>
    <row r="3332" spans="1:26" ht="14.25" customHeight="1">
      <c r="A3332" s="80" t="s">
        <v>0</v>
      </c>
      <c r="B3332" s="81"/>
      <c r="C3332" s="81"/>
      <c r="D3332" s="81"/>
      <c r="E3332" s="81"/>
      <c r="F3332" s="81"/>
      <c r="G3332" s="81"/>
      <c r="H3332" s="82"/>
      <c r="I3332" s="51"/>
      <c r="J3332" s="32"/>
      <c r="K3332" s="32"/>
      <c r="L3332" s="32"/>
      <c r="M3332" s="32"/>
      <c r="N3332" s="32"/>
      <c r="O3332" s="32"/>
      <c r="P3332" s="32"/>
      <c r="Q3332" s="32"/>
      <c r="R3332" s="32"/>
      <c r="S3332" s="32"/>
      <c r="T3332" s="32"/>
      <c r="U3332" s="32"/>
      <c r="V3332" s="32"/>
      <c r="W3332" s="32"/>
      <c r="X3332" s="32"/>
      <c r="Y3332" s="32"/>
      <c r="Z3332" s="32"/>
    </row>
    <row r="3333" spans="1:26" ht="14.25" customHeight="1">
      <c r="A3333" s="80" t="s">
        <v>899</v>
      </c>
      <c r="B3333" s="81"/>
      <c r="C3333" s="81"/>
      <c r="D3333" s="81"/>
      <c r="E3333" s="81"/>
      <c r="F3333" s="81"/>
      <c r="G3333" s="81"/>
      <c r="H3333" s="82"/>
      <c r="I3333" s="51"/>
      <c r="J3333" s="32"/>
      <c r="K3333" s="32"/>
      <c r="L3333" s="32"/>
      <c r="M3333" s="32"/>
      <c r="N3333" s="32"/>
      <c r="O3333" s="32"/>
      <c r="P3333" s="32"/>
      <c r="Q3333" s="32"/>
      <c r="R3333" s="32"/>
      <c r="S3333" s="32"/>
      <c r="T3333" s="32"/>
      <c r="U3333" s="32"/>
      <c r="V3333" s="32"/>
      <c r="W3333" s="32"/>
      <c r="X3333" s="32"/>
      <c r="Y3333" s="32"/>
      <c r="Z3333" s="32"/>
    </row>
    <row r="3334" spans="1:26" ht="14.25" customHeight="1">
      <c r="A3334" s="33" t="s">
        <v>2</v>
      </c>
      <c r="B3334" s="33" t="s">
        <v>3</v>
      </c>
      <c r="C3334" s="33" t="s">
        <v>4</v>
      </c>
      <c r="D3334" s="33" t="s">
        <v>5</v>
      </c>
      <c r="E3334" s="33" t="s">
        <v>6</v>
      </c>
      <c r="F3334" s="34" t="s">
        <v>7</v>
      </c>
      <c r="G3334" s="33" t="s">
        <v>8</v>
      </c>
      <c r="H3334" s="35"/>
      <c r="I3334" s="51"/>
      <c r="J3334" s="32"/>
      <c r="K3334" s="32"/>
      <c r="L3334" s="32"/>
      <c r="M3334" s="32"/>
      <c r="N3334" s="32"/>
      <c r="O3334" s="32"/>
      <c r="P3334" s="32"/>
      <c r="Q3334" s="32"/>
      <c r="R3334" s="32"/>
      <c r="S3334" s="32"/>
      <c r="T3334" s="32"/>
      <c r="U3334" s="32"/>
      <c r="V3334" s="32"/>
      <c r="W3334" s="32"/>
      <c r="X3334" s="32"/>
      <c r="Y3334" s="32"/>
      <c r="Z3334" s="32"/>
    </row>
    <row r="3335" spans="1:26" ht="14.25" customHeight="1">
      <c r="A3335" s="36">
        <v>1</v>
      </c>
      <c r="B3335" s="18" t="s">
        <v>900</v>
      </c>
      <c r="C3335" s="5" t="s">
        <v>901</v>
      </c>
      <c r="D3335" s="18" t="s">
        <v>413</v>
      </c>
      <c r="E3335" s="18">
        <v>3</v>
      </c>
      <c r="F3335" s="6">
        <v>293000</v>
      </c>
      <c r="G3335" s="37">
        <f t="shared" ref="G3335:G3337" si="216">IFERROR(E3335*F3335,0)</f>
        <v>879000</v>
      </c>
      <c r="H3335" s="38"/>
      <c r="I3335" s="51"/>
      <c r="J3335" s="32"/>
      <c r="K3335" s="32"/>
      <c r="L3335" s="32"/>
      <c r="M3335" s="32"/>
      <c r="N3335" s="32"/>
      <c r="O3335" s="32"/>
      <c r="P3335" s="32"/>
      <c r="Q3335" s="32"/>
      <c r="R3335" s="32"/>
      <c r="S3335" s="32"/>
      <c r="T3335" s="32"/>
      <c r="U3335" s="32"/>
      <c r="V3335" s="32"/>
      <c r="W3335" s="32"/>
      <c r="X3335" s="32"/>
      <c r="Y3335" s="32"/>
      <c r="Z3335" s="32"/>
    </row>
    <row r="3336" spans="1:26" ht="14.25" customHeight="1">
      <c r="A3336" s="36">
        <v>2</v>
      </c>
      <c r="B3336" s="12" t="s">
        <v>33</v>
      </c>
      <c r="C3336" s="10" t="s">
        <v>902</v>
      </c>
      <c r="D3336" s="12" t="s">
        <v>233</v>
      </c>
      <c r="E3336" s="12">
        <v>0.48</v>
      </c>
      <c r="F3336" s="43">
        <v>435000</v>
      </c>
      <c r="G3336" s="37">
        <f t="shared" si="216"/>
        <v>208800</v>
      </c>
      <c r="H3336" s="38"/>
      <c r="I3336" s="51"/>
      <c r="J3336" s="32"/>
      <c r="K3336" s="32"/>
      <c r="L3336" s="32"/>
      <c r="M3336" s="32"/>
      <c r="N3336" s="32"/>
      <c r="O3336" s="32"/>
      <c r="P3336" s="32"/>
      <c r="Q3336" s="32"/>
      <c r="R3336" s="32"/>
      <c r="S3336" s="32"/>
      <c r="T3336" s="32"/>
      <c r="U3336" s="32"/>
      <c r="V3336" s="32"/>
      <c r="W3336" s="32"/>
      <c r="X3336" s="32"/>
      <c r="Y3336" s="32"/>
      <c r="Z3336" s="32"/>
    </row>
    <row r="3337" spans="1:26" ht="14.25" customHeight="1">
      <c r="A3337" s="36">
        <v>4</v>
      </c>
      <c r="B3337" s="39" t="s">
        <v>17</v>
      </c>
      <c r="C3337" s="38"/>
      <c r="D3337" s="38"/>
      <c r="E3337" s="38"/>
      <c r="F3337" s="60"/>
      <c r="G3337" s="37">
        <f t="shared" si="216"/>
        <v>0</v>
      </c>
      <c r="H3337" s="38"/>
      <c r="I3337" s="51"/>
      <c r="J3337" s="32"/>
      <c r="K3337" s="32"/>
      <c r="L3337" s="32"/>
      <c r="M3337" s="32"/>
      <c r="N3337" s="32"/>
      <c r="O3337" s="32"/>
      <c r="P3337" s="32"/>
      <c r="Q3337" s="32"/>
      <c r="R3337" s="32"/>
      <c r="S3337" s="32"/>
      <c r="T3337" s="32"/>
      <c r="U3337" s="32"/>
      <c r="V3337" s="32"/>
      <c r="W3337" s="32"/>
      <c r="X3337" s="32"/>
      <c r="Y3337" s="32"/>
      <c r="Z3337" s="32"/>
    </row>
    <row r="3338" spans="1:26" ht="14.25" customHeight="1">
      <c r="A3338" s="83" t="s">
        <v>18</v>
      </c>
      <c r="B3338" s="81"/>
      <c r="C3338" s="81"/>
      <c r="D3338" s="81"/>
      <c r="E3338" s="81"/>
      <c r="F3338" s="81"/>
      <c r="G3338" s="82"/>
      <c r="H3338" s="41">
        <f>SUM(G3335:G3337)</f>
        <v>1087800</v>
      </c>
      <c r="I3338" s="51"/>
      <c r="J3338" s="32"/>
      <c r="K3338" s="32"/>
      <c r="L3338" s="32"/>
      <c r="M3338" s="32"/>
      <c r="N3338" s="32"/>
      <c r="O3338" s="32"/>
      <c r="P3338" s="32"/>
      <c r="Q3338" s="32"/>
      <c r="R3338" s="32"/>
      <c r="S3338" s="32"/>
      <c r="T3338" s="32"/>
      <c r="U3338" s="32"/>
      <c r="V3338" s="32"/>
      <c r="W3338" s="32"/>
      <c r="X3338" s="32"/>
      <c r="Y3338" s="32"/>
      <c r="Z3338" s="32"/>
    </row>
    <row r="3339" spans="1:26" ht="14.25" customHeight="1">
      <c r="A3339" s="83" t="s">
        <v>19</v>
      </c>
      <c r="B3339" s="81"/>
      <c r="C3339" s="81"/>
      <c r="D3339" s="81"/>
      <c r="E3339" s="81"/>
      <c r="F3339" s="81"/>
      <c r="G3339" s="82"/>
      <c r="H3339" s="41">
        <f>MAX(0,H3338-648000)</f>
        <v>439800</v>
      </c>
      <c r="I3339" s="51"/>
      <c r="J3339" s="32"/>
      <c r="K3339" s="32"/>
      <c r="L3339" s="32"/>
      <c r="M3339" s="32"/>
      <c r="N3339" s="32"/>
      <c r="O3339" s="32"/>
      <c r="P3339" s="32"/>
      <c r="Q3339" s="32"/>
      <c r="R3339" s="32"/>
      <c r="S3339" s="32"/>
      <c r="T3339" s="32"/>
      <c r="U3339" s="32"/>
      <c r="V3339" s="32"/>
      <c r="W3339" s="32"/>
      <c r="X3339" s="32"/>
      <c r="Y3339" s="32"/>
      <c r="Z3339" s="32"/>
    </row>
    <row r="3340" spans="1:26" ht="14.25" customHeight="1">
      <c r="A3340" s="84" t="s">
        <v>20</v>
      </c>
      <c r="B3340" s="81"/>
      <c r="C3340" s="81"/>
      <c r="D3340" s="81"/>
      <c r="E3340" s="81"/>
      <c r="F3340" s="81"/>
      <c r="G3340" s="82"/>
      <c r="H3340" s="42">
        <v>649000</v>
      </c>
      <c r="I3340" s="51"/>
      <c r="J3340" s="32"/>
      <c r="K3340" s="32"/>
      <c r="L3340" s="32"/>
      <c r="M3340" s="32"/>
      <c r="N3340" s="32"/>
      <c r="O3340" s="32"/>
      <c r="P3340" s="32"/>
      <c r="Q3340" s="32"/>
      <c r="R3340" s="32"/>
      <c r="S3340" s="32"/>
      <c r="T3340" s="32"/>
      <c r="U3340" s="32"/>
      <c r="V3340" s="32"/>
      <c r="W3340" s="32"/>
      <c r="X3340" s="32"/>
      <c r="Y3340" s="32"/>
      <c r="Z3340" s="32"/>
    </row>
    <row r="3341" spans="1:26" ht="14.25" customHeight="1">
      <c r="A3341" s="80"/>
      <c r="B3341" s="81"/>
      <c r="C3341" s="81"/>
      <c r="D3341" s="81"/>
      <c r="E3341" s="81"/>
      <c r="F3341" s="81"/>
      <c r="G3341" s="81"/>
      <c r="H3341" s="82"/>
      <c r="I3341" s="51"/>
      <c r="J3341" s="32"/>
      <c r="K3341" s="32"/>
      <c r="L3341" s="32"/>
      <c r="M3341" s="32"/>
      <c r="N3341" s="32"/>
      <c r="O3341" s="32"/>
      <c r="P3341" s="32"/>
      <c r="Q3341" s="32"/>
      <c r="R3341" s="32"/>
      <c r="S3341" s="32"/>
      <c r="T3341" s="32"/>
      <c r="U3341" s="32"/>
      <c r="V3341" s="32"/>
      <c r="W3341" s="32"/>
      <c r="X3341" s="32"/>
      <c r="Y3341" s="32"/>
      <c r="Z3341" s="32"/>
    </row>
    <row r="3342" spans="1:26" ht="14.25" customHeight="1">
      <c r="I3342" s="51"/>
    </row>
    <row r="3343" spans="1:26" ht="14.25" customHeight="1">
      <c r="I3343" s="51"/>
    </row>
    <row r="3344" spans="1:26" ht="14.25" customHeight="1">
      <c r="I3344" s="51"/>
    </row>
    <row r="3345" spans="1:26" ht="14.25" customHeight="1">
      <c r="I3345" s="51"/>
    </row>
    <row r="3346" spans="1:26" ht="14.25" customHeight="1">
      <c r="I3346" s="51"/>
    </row>
    <row r="3347" spans="1:26" ht="14.25" customHeight="1">
      <c r="I3347" s="51"/>
    </row>
    <row r="3348" spans="1:26" ht="14.25" customHeight="1">
      <c r="A3348" s="80" t="s">
        <v>0</v>
      </c>
      <c r="B3348" s="81"/>
      <c r="C3348" s="81"/>
      <c r="D3348" s="81"/>
      <c r="E3348" s="81"/>
      <c r="F3348" s="81"/>
      <c r="G3348" s="81"/>
      <c r="H3348" s="82"/>
      <c r="I3348" s="51"/>
      <c r="J3348" s="32"/>
      <c r="K3348" s="32"/>
      <c r="L3348" s="32"/>
      <c r="M3348" s="32"/>
      <c r="N3348" s="32"/>
      <c r="O3348" s="32"/>
      <c r="P3348" s="32"/>
      <c r="Q3348" s="32"/>
      <c r="R3348" s="32"/>
      <c r="S3348" s="32"/>
      <c r="T3348" s="32"/>
      <c r="U3348" s="32"/>
      <c r="V3348" s="32"/>
      <c r="W3348" s="32"/>
      <c r="X3348" s="32"/>
      <c r="Y3348" s="32"/>
      <c r="Z3348" s="32"/>
    </row>
    <row r="3349" spans="1:26" ht="14.25" customHeight="1">
      <c r="A3349" s="80" t="s">
        <v>903</v>
      </c>
      <c r="B3349" s="81"/>
      <c r="C3349" s="81"/>
      <c r="D3349" s="81"/>
      <c r="E3349" s="81"/>
      <c r="F3349" s="81"/>
      <c r="G3349" s="81"/>
      <c r="H3349" s="82"/>
      <c r="I3349" s="51"/>
      <c r="J3349" s="32"/>
      <c r="K3349" s="32"/>
      <c r="L3349" s="32"/>
      <c r="M3349" s="32"/>
      <c r="N3349" s="32"/>
      <c r="O3349" s="32"/>
      <c r="P3349" s="32"/>
      <c r="Q3349" s="32"/>
      <c r="R3349" s="32"/>
      <c r="S3349" s="32"/>
      <c r="T3349" s="32"/>
      <c r="U3349" s="32"/>
      <c r="V3349" s="32"/>
      <c r="W3349" s="32"/>
      <c r="X3349" s="32"/>
      <c r="Y3349" s="32"/>
      <c r="Z3349" s="32"/>
    </row>
    <row r="3350" spans="1:26" ht="14.25" customHeight="1">
      <c r="A3350" s="33" t="s">
        <v>2</v>
      </c>
      <c r="B3350" s="33" t="s">
        <v>3</v>
      </c>
      <c r="C3350" s="33" t="s">
        <v>4</v>
      </c>
      <c r="D3350" s="33" t="s">
        <v>5</v>
      </c>
      <c r="E3350" s="33" t="s">
        <v>6</v>
      </c>
      <c r="F3350" s="34" t="s">
        <v>7</v>
      </c>
      <c r="G3350" s="33" t="s">
        <v>8</v>
      </c>
      <c r="H3350" s="35"/>
      <c r="I3350" s="51"/>
      <c r="J3350" s="32"/>
      <c r="K3350" s="32"/>
      <c r="L3350" s="32"/>
      <c r="M3350" s="32"/>
      <c r="N3350" s="32"/>
      <c r="O3350" s="32"/>
      <c r="P3350" s="32"/>
      <c r="Q3350" s="32"/>
      <c r="R3350" s="32"/>
      <c r="S3350" s="32"/>
      <c r="T3350" s="32"/>
      <c r="U3350" s="32"/>
      <c r="V3350" s="32"/>
      <c r="W3350" s="32"/>
      <c r="X3350" s="32"/>
      <c r="Y3350" s="32"/>
      <c r="Z3350" s="32"/>
    </row>
    <row r="3351" spans="1:26" ht="14.25" customHeight="1">
      <c r="A3351" s="36">
        <v>1</v>
      </c>
      <c r="B3351" s="18" t="s">
        <v>422</v>
      </c>
      <c r="C3351" s="5" t="s">
        <v>904</v>
      </c>
      <c r="D3351" s="18" t="s">
        <v>413</v>
      </c>
      <c r="E3351" s="18">
        <v>2.1</v>
      </c>
      <c r="F3351" s="6">
        <v>293000</v>
      </c>
      <c r="G3351" s="37">
        <f t="shared" ref="G3351:G3353" si="217">IFERROR(E3351*F3351,0)</f>
        <v>615300</v>
      </c>
      <c r="H3351" s="38"/>
      <c r="I3351" s="51"/>
      <c r="J3351" s="32"/>
      <c r="K3351" s="32"/>
      <c r="L3351" s="32"/>
      <c r="M3351" s="32"/>
      <c r="N3351" s="32"/>
      <c r="O3351" s="32"/>
      <c r="P3351" s="32"/>
      <c r="Q3351" s="32"/>
      <c r="R3351" s="32"/>
      <c r="S3351" s="32"/>
      <c r="T3351" s="32"/>
      <c r="U3351" s="32"/>
      <c r="V3351" s="32"/>
      <c r="W3351" s="32"/>
      <c r="X3351" s="32"/>
      <c r="Y3351" s="32"/>
      <c r="Z3351" s="32"/>
    </row>
    <row r="3352" spans="1:26" ht="14.25" customHeight="1">
      <c r="A3352" s="36">
        <v>2</v>
      </c>
      <c r="B3352" s="12" t="s">
        <v>905</v>
      </c>
      <c r="C3352" s="10" t="s">
        <v>906</v>
      </c>
      <c r="D3352" s="12" t="s">
        <v>233</v>
      </c>
      <c r="E3352" s="12">
        <v>1.45</v>
      </c>
      <c r="F3352" s="43">
        <v>435000</v>
      </c>
      <c r="G3352" s="37">
        <f t="shared" si="217"/>
        <v>630750</v>
      </c>
      <c r="H3352" s="38"/>
      <c r="I3352" s="51"/>
      <c r="J3352" s="32"/>
      <c r="K3352" s="32"/>
      <c r="L3352" s="32"/>
      <c r="M3352" s="32"/>
      <c r="N3352" s="32"/>
      <c r="O3352" s="32"/>
      <c r="P3352" s="32"/>
      <c r="Q3352" s="32"/>
      <c r="R3352" s="32"/>
      <c r="S3352" s="32"/>
      <c r="T3352" s="32"/>
      <c r="U3352" s="32"/>
      <c r="V3352" s="32"/>
      <c r="W3352" s="32"/>
      <c r="X3352" s="32"/>
      <c r="Y3352" s="32"/>
      <c r="Z3352" s="32"/>
    </row>
    <row r="3353" spans="1:26" ht="14.25" customHeight="1">
      <c r="A3353" s="36">
        <v>4</v>
      </c>
      <c r="B3353" s="39" t="s">
        <v>17</v>
      </c>
      <c r="C3353" s="38"/>
      <c r="D3353" s="38"/>
      <c r="E3353" s="38"/>
      <c r="F3353" s="60"/>
      <c r="G3353" s="37">
        <f t="shared" si="217"/>
        <v>0</v>
      </c>
      <c r="H3353" s="38"/>
      <c r="I3353" s="51"/>
      <c r="J3353" s="32"/>
      <c r="K3353" s="32"/>
      <c r="L3353" s="32"/>
      <c r="M3353" s="32"/>
      <c r="N3353" s="32"/>
      <c r="O3353" s="32"/>
      <c r="P3353" s="32"/>
      <c r="Q3353" s="32"/>
      <c r="R3353" s="32"/>
      <c r="S3353" s="32"/>
      <c r="T3353" s="32"/>
      <c r="U3353" s="32"/>
      <c r="V3353" s="32"/>
      <c r="W3353" s="32"/>
      <c r="X3353" s="32"/>
      <c r="Y3353" s="32"/>
      <c r="Z3353" s="32"/>
    </row>
    <row r="3354" spans="1:26" ht="14.25" customHeight="1">
      <c r="A3354" s="83" t="s">
        <v>18</v>
      </c>
      <c r="B3354" s="81"/>
      <c r="C3354" s="81"/>
      <c r="D3354" s="81"/>
      <c r="E3354" s="81"/>
      <c r="F3354" s="81"/>
      <c r="G3354" s="82"/>
      <c r="H3354" s="41">
        <f>SUM(G3351:G3353)</f>
        <v>1246050</v>
      </c>
      <c r="I3354" s="51"/>
      <c r="J3354" s="32"/>
      <c r="K3354" s="32"/>
      <c r="L3354" s="32"/>
      <c r="M3354" s="32"/>
      <c r="N3354" s="32"/>
      <c r="O3354" s="32"/>
      <c r="P3354" s="32"/>
      <c r="Q3354" s="32"/>
      <c r="R3354" s="32"/>
      <c r="S3354" s="32"/>
      <c r="T3354" s="32"/>
      <c r="U3354" s="32"/>
      <c r="V3354" s="32"/>
      <c r="W3354" s="32"/>
      <c r="X3354" s="32"/>
      <c r="Y3354" s="32"/>
      <c r="Z3354" s="32"/>
    </row>
    <row r="3355" spans="1:26" ht="14.25" customHeight="1">
      <c r="A3355" s="83" t="s">
        <v>19</v>
      </c>
      <c r="B3355" s="81"/>
      <c r="C3355" s="81"/>
      <c r="D3355" s="81"/>
      <c r="E3355" s="81"/>
      <c r="F3355" s="81"/>
      <c r="G3355" s="82"/>
      <c r="H3355" s="41">
        <f>MAX(0,H3354-648000)</f>
        <v>598050</v>
      </c>
      <c r="I3355" s="51"/>
      <c r="J3355" s="32"/>
      <c r="K3355" s="32"/>
      <c r="L3355" s="32"/>
      <c r="M3355" s="32"/>
      <c r="N3355" s="32"/>
      <c r="O3355" s="32"/>
      <c r="P3355" s="32"/>
      <c r="Q3355" s="32"/>
      <c r="R3355" s="32"/>
      <c r="S3355" s="32"/>
      <c r="T3355" s="32"/>
      <c r="U3355" s="32"/>
      <c r="V3355" s="32"/>
      <c r="W3355" s="32"/>
      <c r="X3355" s="32"/>
      <c r="Y3355" s="32"/>
      <c r="Z3355" s="32"/>
    </row>
    <row r="3356" spans="1:26" ht="14.25" customHeight="1">
      <c r="A3356" s="84" t="s">
        <v>20</v>
      </c>
      <c r="B3356" s="81"/>
      <c r="C3356" s="81"/>
      <c r="D3356" s="81"/>
      <c r="E3356" s="81"/>
      <c r="F3356" s="81"/>
      <c r="G3356" s="82"/>
      <c r="H3356" s="42">
        <v>649000</v>
      </c>
      <c r="I3356" s="51"/>
      <c r="J3356" s="32"/>
      <c r="K3356" s="32"/>
      <c r="L3356" s="32"/>
      <c r="M3356" s="32"/>
      <c r="N3356" s="32"/>
      <c r="O3356" s="32"/>
      <c r="P3356" s="32"/>
      <c r="Q3356" s="32"/>
      <c r="R3356" s="32"/>
      <c r="S3356" s="32"/>
      <c r="T3356" s="32"/>
      <c r="U3356" s="32"/>
      <c r="V3356" s="32"/>
      <c r="W3356" s="32"/>
      <c r="X3356" s="32"/>
      <c r="Y3356" s="32"/>
      <c r="Z3356" s="32"/>
    </row>
    <row r="3357" spans="1:26" ht="14.25" customHeight="1">
      <c r="A3357" s="80"/>
      <c r="B3357" s="81"/>
      <c r="C3357" s="81"/>
      <c r="D3357" s="81"/>
      <c r="E3357" s="81"/>
      <c r="F3357" s="81"/>
      <c r="G3357" s="81"/>
      <c r="H3357" s="82"/>
      <c r="I3357" s="51"/>
      <c r="J3357" s="32"/>
      <c r="K3357" s="32"/>
      <c r="L3357" s="32"/>
      <c r="M3357" s="32"/>
      <c r="N3357" s="32"/>
      <c r="O3357" s="32"/>
      <c r="P3357" s="32"/>
      <c r="Q3357" s="32"/>
      <c r="R3357" s="32"/>
      <c r="S3357" s="32"/>
      <c r="T3357" s="32"/>
      <c r="U3357" s="32"/>
      <c r="V3357" s="32"/>
      <c r="W3357" s="32"/>
      <c r="X3357" s="32"/>
      <c r="Y3357" s="32"/>
      <c r="Z3357" s="32"/>
    </row>
    <row r="3358" spans="1:26" ht="14.25" customHeight="1">
      <c r="I3358" s="51"/>
    </row>
    <row r="3359" spans="1:26" ht="14.25" customHeight="1">
      <c r="I3359" s="51"/>
    </row>
    <row r="3360" spans="1:26" ht="14.25" customHeight="1">
      <c r="I3360" s="51"/>
    </row>
    <row r="3361" spans="1:26" ht="14.25" customHeight="1">
      <c r="I3361" s="51"/>
    </row>
    <row r="3362" spans="1:26" ht="14.25" customHeight="1">
      <c r="I3362" s="51"/>
    </row>
    <row r="3363" spans="1:26" ht="14.25" customHeight="1">
      <c r="I3363" s="51"/>
    </row>
    <row r="3364" spans="1:26" ht="14.25" customHeight="1">
      <c r="I3364" s="51"/>
    </row>
    <row r="3365" spans="1:26" ht="14.25" customHeight="1">
      <c r="I3365" s="51"/>
    </row>
    <row r="3366" spans="1:26" ht="14.25" customHeight="1">
      <c r="I3366" s="51"/>
    </row>
    <row r="3367" spans="1:26" ht="14.25" customHeight="1">
      <c r="I3367" s="51"/>
    </row>
    <row r="3368" spans="1:26" ht="14.25" customHeight="1">
      <c r="A3368" s="80" t="s">
        <v>0</v>
      </c>
      <c r="B3368" s="81"/>
      <c r="C3368" s="81"/>
      <c r="D3368" s="81"/>
      <c r="E3368" s="81"/>
      <c r="F3368" s="81"/>
      <c r="G3368" s="81"/>
      <c r="H3368" s="82"/>
      <c r="I3368" s="51"/>
      <c r="J3368" s="32"/>
      <c r="K3368" s="32"/>
      <c r="L3368" s="32"/>
      <c r="M3368" s="32"/>
      <c r="N3368" s="32"/>
      <c r="O3368" s="32"/>
      <c r="P3368" s="32"/>
      <c r="Q3368" s="32"/>
      <c r="R3368" s="32"/>
      <c r="S3368" s="32"/>
      <c r="T3368" s="32"/>
      <c r="U3368" s="32"/>
      <c r="V3368" s="32"/>
      <c r="W3368" s="32"/>
      <c r="X3368" s="32"/>
      <c r="Y3368" s="32"/>
      <c r="Z3368" s="32"/>
    </row>
    <row r="3369" spans="1:26" ht="14.25" customHeight="1">
      <c r="A3369" s="80" t="s">
        <v>907</v>
      </c>
      <c r="B3369" s="81"/>
      <c r="C3369" s="81"/>
      <c r="D3369" s="81"/>
      <c r="E3369" s="81"/>
      <c r="F3369" s="81"/>
      <c r="G3369" s="81"/>
      <c r="H3369" s="82"/>
      <c r="I3369" s="51"/>
      <c r="J3369" s="32"/>
      <c r="K3369" s="32"/>
      <c r="L3369" s="32"/>
      <c r="M3369" s="32"/>
      <c r="N3369" s="32"/>
      <c r="O3369" s="32"/>
      <c r="P3369" s="32"/>
      <c r="Q3369" s="32"/>
      <c r="R3369" s="32"/>
      <c r="S3369" s="32"/>
      <c r="T3369" s="32"/>
      <c r="U3369" s="32"/>
      <c r="V3369" s="32"/>
      <c r="W3369" s="32"/>
      <c r="X3369" s="32"/>
      <c r="Y3369" s="32"/>
      <c r="Z3369" s="32"/>
    </row>
    <row r="3370" spans="1:26" ht="14.25" customHeight="1">
      <c r="A3370" s="33" t="s">
        <v>2</v>
      </c>
      <c r="B3370" s="33" t="s">
        <v>3</v>
      </c>
      <c r="C3370" s="33" t="s">
        <v>4</v>
      </c>
      <c r="D3370" s="33" t="s">
        <v>5</v>
      </c>
      <c r="E3370" s="33" t="s">
        <v>6</v>
      </c>
      <c r="F3370" s="34" t="s">
        <v>7</v>
      </c>
      <c r="G3370" s="33" t="s">
        <v>8</v>
      </c>
      <c r="H3370" s="35"/>
      <c r="I3370" s="51"/>
      <c r="J3370" s="32"/>
      <c r="K3370" s="32"/>
      <c r="L3370" s="32"/>
      <c r="M3370" s="32"/>
      <c r="N3370" s="32"/>
      <c r="O3370" s="32"/>
      <c r="P3370" s="32"/>
      <c r="Q3370" s="32"/>
      <c r="R3370" s="32"/>
      <c r="S3370" s="32"/>
      <c r="T3370" s="32"/>
      <c r="U3370" s="32"/>
      <c r="V3370" s="32"/>
      <c r="W3370" s="32"/>
      <c r="X3370" s="32"/>
      <c r="Y3370" s="32"/>
      <c r="Z3370" s="32"/>
    </row>
    <row r="3371" spans="1:26" ht="14.25" customHeight="1">
      <c r="A3371" s="36">
        <v>1</v>
      </c>
      <c r="B3371" s="18" t="s">
        <v>185</v>
      </c>
      <c r="C3371" s="5" t="s">
        <v>908</v>
      </c>
      <c r="D3371" s="18" t="s">
        <v>413</v>
      </c>
      <c r="E3371" s="18">
        <v>2.4</v>
      </c>
      <c r="F3371" s="6">
        <v>293000</v>
      </c>
      <c r="G3371" s="37">
        <f t="shared" ref="G3371:G3373" si="218">IFERROR(E3371*F3371,0)</f>
        <v>703200</v>
      </c>
      <c r="H3371" s="38"/>
      <c r="I3371" s="51"/>
      <c r="J3371" s="32"/>
      <c r="K3371" s="32"/>
      <c r="L3371" s="32"/>
      <c r="M3371" s="32"/>
      <c r="N3371" s="32"/>
      <c r="O3371" s="32"/>
      <c r="P3371" s="32"/>
      <c r="Q3371" s="32"/>
      <c r="R3371" s="32"/>
      <c r="S3371" s="32"/>
      <c r="T3371" s="32"/>
      <c r="U3371" s="32"/>
      <c r="V3371" s="32"/>
      <c r="W3371" s="32"/>
      <c r="X3371" s="32"/>
      <c r="Y3371" s="32"/>
      <c r="Z3371" s="32"/>
    </row>
    <row r="3372" spans="1:26" ht="14.25" customHeight="1">
      <c r="A3372" s="36">
        <v>2</v>
      </c>
      <c r="B3372" s="12" t="s">
        <v>625</v>
      </c>
      <c r="C3372" s="10" t="s">
        <v>909</v>
      </c>
      <c r="D3372" s="12" t="s">
        <v>233</v>
      </c>
      <c r="E3372" s="12">
        <v>1</v>
      </c>
      <c r="F3372" s="43">
        <v>435000</v>
      </c>
      <c r="G3372" s="37">
        <f t="shared" si="218"/>
        <v>435000</v>
      </c>
      <c r="H3372" s="38"/>
      <c r="I3372" s="51"/>
      <c r="J3372" s="32"/>
      <c r="K3372" s="32"/>
      <c r="L3372" s="32"/>
      <c r="M3372" s="32"/>
      <c r="N3372" s="32"/>
      <c r="O3372" s="32"/>
      <c r="P3372" s="32"/>
      <c r="Q3372" s="32"/>
      <c r="R3372" s="32"/>
      <c r="S3372" s="32"/>
      <c r="T3372" s="32"/>
      <c r="U3372" s="32"/>
      <c r="V3372" s="32"/>
      <c r="W3372" s="32"/>
      <c r="X3372" s="32"/>
      <c r="Y3372" s="32"/>
      <c r="Z3372" s="32"/>
    </row>
    <row r="3373" spans="1:26" ht="14.25" customHeight="1">
      <c r="A3373" s="36">
        <v>4</v>
      </c>
      <c r="B3373" s="39" t="s">
        <v>17</v>
      </c>
      <c r="C3373" s="38"/>
      <c r="D3373" s="38"/>
      <c r="E3373" s="38"/>
      <c r="F3373" s="60"/>
      <c r="G3373" s="37">
        <f t="shared" si="218"/>
        <v>0</v>
      </c>
      <c r="H3373" s="38"/>
      <c r="I3373" s="51"/>
      <c r="J3373" s="32"/>
      <c r="K3373" s="32"/>
      <c r="L3373" s="32"/>
      <c r="M3373" s="32"/>
      <c r="N3373" s="32"/>
      <c r="O3373" s="32"/>
      <c r="P3373" s="32"/>
      <c r="Q3373" s="32"/>
      <c r="R3373" s="32"/>
      <c r="S3373" s="32"/>
      <c r="T3373" s="32"/>
      <c r="U3373" s="32"/>
      <c r="V3373" s="32"/>
      <c r="W3373" s="32"/>
      <c r="X3373" s="32"/>
      <c r="Y3373" s="32"/>
      <c r="Z3373" s="32"/>
    </row>
    <row r="3374" spans="1:26" ht="14.25" customHeight="1">
      <c r="A3374" s="83" t="s">
        <v>18</v>
      </c>
      <c r="B3374" s="81"/>
      <c r="C3374" s="81"/>
      <c r="D3374" s="81"/>
      <c r="E3374" s="81"/>
      <c r="F3374" s="81"/>
      <c r="G3374" s="82"/>
      <c r="H3374" s="41">
        <f>SUM(G3371:G3373)</f>
        <v>1138200</v>
      </c>
      <c r="I3374" s="51"/>
      <c r="J3374" s="32"/>
      <c r="K3374" s="32"/>
      <c r="L3374" s="32"/>
      <c r="M3374" s="32"/>
      <c r="N3374" s="32"/>
      <c r="O3374" s="32"/>
      <c r="P3374" s="32"/>
      <c r="Q3374" s="32"/>
      <c r="R3374" s="32"/>
      <c r="S3374" s="32"/>
      <c r="T3374" s="32"/>
      <c r="U3374" s="32"/>
      <c r="V3374" s="32"/>
      <c r="W3374" s="32"/>
      <c r="X3374" s="32"/>
      <c r="Y3374" s="32"/>
      <c r="Z3374" s="32"/>
    </row>
    <row r="3375" spans="1:26" ht="14.25" customHeight="1">
      <c r="A3375" s="83" t="s">
        <v>19</v>
      </c>
      <c r="B3375" s="81"/>
      <c r="C3375" s="81"/>
      <c r="D3375" s="81"/>
      <c r="E3375" s="81"/>
      <c r="F3375" s="81"/>
      <c r="G3375" s="82"/>
      <c r="H3375" s="41">
        <f>MAX(0,H3374-648000)</f>
        <v>490200</v>
      </c>
      <c r="I3375" s="51"/>
      <c r="J3375" s="32"/>
      <c r="K3375" s="32"/>
      <c r="L3375" s="32"/>
      <c r="M3375" s="32"/>
      <c r="N3375" s="32"/>
      <c r="O3375" s="32"/>
      <c r="P3375" s="32"/>
      <c r="Q3375" s="32"/>
      <c r="R3375" s="32"/>
      <c r="S3375" s="32"/>
      <c r="T3375" s="32"/>
      <c r="U3375" s="32"/>
      <c r="V3375" s="32"/>
      <c r="W3375" s="32"/>
      <c r="X3375" s="32"/>
      <c r="Y3375" s="32"/>
      <c r="Z3375" s="32"/>
    </row>
    <row r="3376" spans="1:26" ht="14.25" customHeight="1">
      <c r="A3376" s="84" t="s">
        <v>20</v>
      </c>
      <c r="B3376" s="81"/>
      <c r="C3376" s="81"/>
      <c r="D3376" s="81"/>
      <c r="E3376" s="81"/>
      <c r="F3376" s="81"/>
      <c r="G3376" s="82"/>
      <c r="H3376" s="42">
        <v>649000</v>
      </c>
      <c r="I3376" s="51"/>
      <c r="J3376" s="32"/>
      <c r="K3376" s="32"/>
      <c r="L3376" s="32"/>
      <c r="M3376" s="32"/>
      <c r="N3376" s="32"/>
      <c r="O3376" s="32"/>
      <c r="P3376" s="32"/>
      <c r="Q3376" s="32"/>
      <c r="R3376" s="32"/>
      <c r="S3376" s="32"/>
      <c r="T3376" s="32"/>
      <c r="U3376" s="32"/>
      <c r="V3376" s="32"/>
      <c r="W3376" s="32"/>
      <c r="X3376" s="32"/>
      <c r="Y3376" s="32"/>
      <c r="Z3376" s="32"/>
    </row>
    <row r="3377" spans="1:26" ht="14.25" customHeight="1">
      <c r="A3377" s="80"/>
      <c r="B3377" s="81"/>
      <c r="C3377" s="81"/>
      <c r="D3377" s="81"/>
      <c r="E3377" s="81"/>
      <c r="F3377" s="81"/>
      <c r="G3377" s="81"/>
      <c r="H3377" s="82"/>
      <c r="I3377" s="51"/>
      <c r="J3377" s="32"/>
      <c r="K3377" s="32"/>
      <c r="L3377" s="32"/>
      <c r="M3377" s="32"/>
      <c r="N3377" s="32"/>
      <c r="O3377" s="32"/>
      <c r="P3377" s="32"/>
      <c r="Q3377" s="32"/>
      <c r="R3377" s="32"/>
      <c r="S3377" s="32"/>
      <c r="T3377" s="32"/>
      <c r="U3377" s="32"/>
      <c r="V3377" s="32"/>
      <c r="W3377" s="32"/>
      <c r="X3377" s="32"/>
      <c r="Y3377" s="32"/>
      <c r="Z3377" s="32"/>
    </row>
    <row r="3378" spans="1:26" ht="14.25" customHeight="1">
      <c r="I3378" s="51"/>
    </row>
    <row r="3379" spans="1:26" ht="14.25" customHeight="1">
      <c r="I3379" s="51"/>
    </row>
    <row r="3380" spans="1:26" ht="14.25" customHeight="1">
      <c r="I3380" s="51"/>
    </row>
    <row r="3381" spans="1:26" ht="14.25" customHeight="1">
      <c r="I3381" s="51"/>
    </row>
    <row r="3382" spans="1:26" ht="14.25" customHeight="1">
      <c r="I3382" s="51"/>
    </row>
    <row r="3383" spans="1:26" ht="14.25" customHeight="1">
      <c r="I3383" s="51"/>
    </row>
    <row r="3384" spans="1:26" ht="14.25" customHeight="1">
      <c r="I3384" s="51"/>
    </row>
    <row r="3385" spans="1:26" ht="14.25" customHeight="1">
      <c r="I3385" s="51"/>
    </row>
    <row r="3386" spans="1:26" ht="14.25" customHeight="1">
      <c r="I3386" s="51"/>
    </row>
    <row r="3387" spans="1:26" ht="14.25" customHeight="1">
      <c r="A3387" s="80" t="s">
        <v>0</v>
      </c>
      <c r="B3387" s="81"/>
      <c r="C3387" s="81"/>
      <c r="D3387" s="81"/>
      <c r="E3387" s="81"/>
      <c r="F3387" s="81"/>
      <c r="G3387" s="81"/>
      <c r="H3387" s="82"/>
      <c r="I3387" s="51"/>
      <c r="J3387" s="32"/>
      <c r="K3387" s="32"/>
      <c r="L3387" s="32"/>
      <c r="M3387" s="32"/>
      <c r="N3387" s="32"/>
      <c r="O3387" s="32"/>
      <c r="P3387" s="32"/>
      <c r="Q3387" s="32"/>
      <c r="R3387" s="32"/>
      <c r="S3387" s="32"/>
      <c r="T3387" s="32"/>
      <c r="U3387" s="32"/>
      <c r="V3387" s="32"/>
      <c r="W3387" s="32"/>
      <c r="X3387" s="32"/>
      <c r="Y3387" s="32"/>
      <c r="Z3387" s="32"/>
    </row>
    <row r="3388" spans="1:26" ht="14.25" customHeight="1">
      <c r="A3388" s="80" t="s">
        <v>910</v>
      </c>
      <c r="B3388" s="81"/>
      <c r="C3388" s="81"/>
      <c r="D3388" s="81"/>
      <c r="E3388" s="81"/>
      <c r="F3388" s="81"/>
      <c r="G3388" s="81"/>
      <c r="H3388" s="82"/>
      <c r="I3388" s="51"/>
      <c r="J3388" s="32"/>
      <c r="K3388" s="32"/>
      <c r="L3388" s="32"/>
      <c r="M3388" s="32"/>
      <c r="N3388" s="32"/>
      <c r="O3388" s="32"/>
      <c r="P3388" s="32"/>
      <c r="Q3388" s="32"/>
      <c r="R3388" s="32"/>
      <c r="S3388" s="32"/>
      <c r="T3388" s="32"/>
      <c r="U3388" s="32"/>
      <c r="V3388" s="32"/>
      <c r="W3388" s="32"/>
      <c r="X3388" s="32"/>
      <c r="Y3388" s="32"/>
      <c r="Z3388" s="32"/>
    </row>
    <row r="3389" spans="1:26" ht="14.25" customHeight="1">
      <c r="A3389" s="33" t="s">
        <v>2</v>
      </c>
      <c r="B3389" s="33" t="s">
        <v>3</v>
      </c>
      <c r="C3389" s="33" t="s">
        <v>4</v>
      </c>
      <c r="D3389" s="33" t="s">
        <v>5</v>
      </c>
      <c r="E3389" s="33" t="s">
        <v>6</v>
      </c>
      <c r="F3389" s="34" t="s">
        <v>7</v>
      </c>
      <c r="G3389" s="33" t="s">
        <v>8</v>
      </c>
      <c r="H3389" s="35"/>
      <c r="I3389" s="51"/>
      <c r="J3389" s="32"/>
      <c r="K3389" s="32"/>
      <c r="L3389" s="32"/>
      <c r="M3389" s="32"/>
      <c r="N3389" s="32"/>
      <c r="O3389" s="32"/>
      <c r="P3389" s="32"/>
      <c r="Q3389" s="32"/>
      <c r="R3389" s="32"/>
      <c r="S3389" s="32"/>
      <c r="T3389" s="32"/>
      <c r="U3389" s="32"/>
      <c r="V3389" s="32"/>
      <c r="W3389" s="32"/>
      <c r="X3389" s="32"/>
      <c r="Y3389" s="32"/>
      <c r="Z3389" s="32"/>
    </row>
    <row r="3390" spans="1:26" ht="14.25" customHeight="1">
      <c r="A3390" s="36">
        <v>1</v>
      </c>
      <c r="B3390" s="18" t="s">
        <v>911</v>
      </c>
      <c r="C3390" s="5" t="s">
        <v>912</v>
      </c>
      <c r="D3390" s="18" t="s">
        <v>413</v>
      </c>
      <c r="E3390" s="18">
        <v>2.16</v>
      </c>
      <c r="F3390" s="6">
        <v>293000</v>
      </c>
      <c r="G3390" s="37">
        <f t="shared" ref="G3390:G3392" si="219">IFERROR(E3390*F3390,0)</f>
        <v>632880</v>
      </c>
      <c r="H3390" s="38"/>
      <c r="I3390" s="51"/>
      <c r="J3390" s="32"/>
      <c r="K3390" s="32"/>
      <c r="L3390" s="32"/>
      <c r="M3390" s="32"/>
      <c r="N3390" s="32"/>
      <c r="O3390" s="32"/>
      <c r="P3390" s="32"/>
      <c r="Q3390" s="32"/>
      <c r="R3390" s="32"/>
      <c r="S3390" s="32"/>
      <c r="T3390" s="32"/>
      <c r="U3390" s="32"/>
      <c r="V3390" s="32"/>
      <c r="W3390" s="32"/>
      <c r="X3390" s="32"/>
      <c r="Y3390" s="32"/>
      <c r="Z3390" s="32"/>
    </row>
    <row r="3391" spans="1:26" ht="14.25" customHeight="1">
      <c r="A3391" s="36">
        <v>2</v>
      </c>
      <c r="B3391" s="12" t="s">
        <v>913</v>
      </c>
      <c r="C3391" s="10" t="s">
        <v>914</v>
      </c>
      <c r="D3391" s="12" t="s">
        <v>233</v>
      </c>
      <c r="E3391" s="12">
        <v>0.92</v>
      </c>
      <c r="F3391" s="43">
        <v>435000</v>
      </c>
      <c r="G3391" s="37">
        <f t="shared" si="219"/>
        <v>400200</v>
      </c>
      <c r="H3391" s="38"/>
      <c r="I3391" s="51"/>
      <c r="J3391" s="32"/>
      <c r="K3391" s="32"/>
      <c r="L3391" s="32"/>
      <c r="M3391" s="32"/>
      <c r="N3391" s="32"/>
      <c r="O3391" s="32"/>
      <c r="P3391" s="32"/>
      <c r="Q3391" s="32"/>
      <c r="R3391" s="32"/>
      <c r="S3391" s="32"/>
      <c r="T3391" s="32"/>
      <c r="U3391" s="32"/>
      <c r="V3391" s="32"/>
      <c r="W3391" s="32"/>
      <c r="X3391" s="32"/>
      <c r="Y3391" s="32"/>
      <c r="Z3391" s="32"/>
    </row>
    <row r="3392" spans="1:26" ht="14.25" customHeight="1">
      <c r="A3392" s="36">
        <v>4</v>
      </c>
      <c r="B3392" s="39" t="s">
        <v>17</v>
      </c>
      <c r="C3392" s="38"/>
      <c r="D3392" s="38"/>
      <c r="E3392" s="38"/>
      <c r="F3392" s="60"/>
      <c r="G3392" s="37">
        <f t="shared" si="219"/>
        <v>0</v>
      </c>
      <c r="H3392" s="38"/>
      <c r="I3392" s="51"/>
      <c r="J3392" s="32"/>
      <c r="K3392" s="32"/>
      <c r="L3392" s="32"/>
      <c r="M3392" s="32"/>
      <c r="N3392" s="32"/>
      <c r="O3392" s="32"/>
      <c r="P3392" s="32"/>
      <c r="Q3392" s="32"/>
      <c r="R3392" s="32"/>
      <c r="S3392" s="32"/>
      <c r="T3392" s="32"/>
      <c r="U3392" s="32"/>
      <c r="V3392" s="32"/>
      <c r="W3392" s="32"/>
      <c r="X3392" s="32"/>
      <c r="Y3392" s="32"/>
      <c r="Z3392" s="32"/>
    </row>
    <row r="3393" spans="1:26" ht="14.25" customHeight="1">
      <c r="A3393" s="83" t="s">
        <v>18</v>
      </c>
      <c r="B3393" s="81"/>
      <c r="C3393" s="81"/>
      <c r="D3393" s="81"/>
      <c r="E3393" s="81"/>
      <c r="F3393" s="81"/>
      <c r="G3393" s="82"/>
      <c r="H3393" s="41">
        <f>SUM(G3390:G3392)</f>
        <v>1033080</v>
      </c>
      <c r="I3393" s="51"/>
      <c r="J3393" s="32"/>
      <c r="K3393" s="32"/>
      <c r="L3393" s="32"/>
      <c r="M3393" s="32"/>
      <c r="N3393" s="32"/>
      <c r="O3393" s="32"/>
      <c r="P3393" s="32"/>
      <c r="Q3393" s="32"/>
      <c r="R3393" s="32"/>
      <c r="S3393" s="32"/>
      <c r="T3393" s="32"/>
      <c r="U3393" s="32"/>
      <c r="V3393" s="32"/>
      <c r="W3393" s="32"/>
      <c r="X3393" s="32"/>
      <c r="Y3393" s="32"/>
      <c r="Z3393" s="32"/>
    </row>
    <row r="3394" spans="1:26" ht="14.25" customHeight="1">
      <c r="A3394" s="83" t="s">
        <v>19</v>
      </c>
      <c r="B3394" s="81"/>
      <c r="C3394" s="81"/>
      <c r="D3394" s="81"/>
      <c r="E3394" s="81"/>
      <c r="F3394" s="81"/>
      <c r="G3394" s="82"/>
      <c r="H3394" s="41">
        <f>MAX(0,H3393-648000)</f>
        <v>385080</v>
      </c>
      <c r="I3394" s="51"/>
      <c r="J3394" s="32"/>
      <c r="K3394" s="32"/>
      <c r="L3394" s="32"/>
      <c r="M3394" s="32"/>
      <c r="N3394" s="32"/>
      <c r="O3394" s="32"/>
      <c r="P3394" s="32"/>
      <c r="Q3394" s="32"/>
      <c r="R3394" s="32"/>
      <c r="S3394" s="32"/>
      <c r="T3394" s="32"/>
      <c r="U3394" s="32"/>
      <c r="V3394" s="32"/>
      <c r="W3394" s="32"/>
      <c r="X3394" s="32"/>
      <c r="Y3394" s="32"/>
      <c r="Z3394" s="32"/>
    </row>
    <row r="3395" spans="1:26" ht="14.25" customHeight="1">
      <c r="A3395" s="84" t="s">
        <v>20</v>
      </c>
      <c r="B3395" s="81"/>
      <c r="C3395" s="81"/>
      <c r="D3395" s="81"/>
      <c r="E3395" s="81"/>
      <c r="F3395" s="81"/>
      <c r="G3395" s="82"/>
      <c r="H3395" s="42">
        <v>649000</v>
      </c>
      <c r="I3395" s="51"/>
      <c r="J3395" s="32"/>
      <c r="K3395" s="32"/>
      <c r="L3395" s="32"/>
      <c r="M3395" s="32"/>
      <c r="N3395" s="32"/>
      <c r="O3395" s="32"/>
      <c r="P3395" s="32"/>
      <c r="Q3395" s="32"/>
      <c r="R3395" s="32"/>
      <c r="S3395" s="32"/>
      <c r="T3395" s="32"/>
      <c r="U3395" s="32"/>
      <c r="V3395" s="32"/>
      <c r="W3395" s="32"/>
      <c r="X3395" s="32"/>
      <c r="Y3395" s="32"/>
      <c r="Z3395" s="32"/>
    </row>
    <row r="3396" spans="1:26" ht="14.25" customHeight="1">
      <c r="A3396" s="80"/>
      <c r="B3396" s="81"/>
      <c r="C3396" s="81"/>
      <c r="D3396" s="81"/>
      <c r="E3396" s="81"/>
      <c r="F3396" s="81"/>
      <c r="G3396" s="81"/>
      <c r="H3396" s="82"/>
      <c r="I3396" s="51"/>
      <c r="J3396" s="32"/>
      <c r="K3396" s="32"/>
      <c r="L3396" s="32"/>
      <c r="M3396" s="32"/>
      <c r="N3396" s="32"/>
      <c r="O3396" s="32"/>
      <c r="P3396" s="32"/>
      <c r="Q3396" s="32"/>
      <c r="R3396" s="32"/>
      <c r="S3396" s="32"/>
      <c r="T3396" s="32"/>
      <c r="U3396" s="32"/>
      <c r="V3396" s="32"/>
      <c r="W3396" s="32"/>
      <c r="X3396" s="32"/>
      <c r="Y3396" s="32"/>
      <c r="Z3396" s="32"/>
    </row>
    <row r="3397" spans="1:26" ht="14.25" customHeight="1">
      <c r="I3397" s="51"/>
    </row>
    <row r="3398" spans="1:26" ht="14.25" customHeight="1">
      <c r="I3398" s="51"/>
    </row>
    <row r="3399" spans="1:26" ht="14.25" customHeight="1">
      <c r="I3399" s="51"/>
    </row>
    <row r="3400" spans="1:26" ht="14.25" customHeight="1">
      <c r="I3400" s="51"/>
    </row>
    <row r="3401" spans="1:26" ht="14.25" customHeight="1">
      <c r="I3401" s="51"/>
    </row>
    <row r="3402" spans="1:26" ht="14.25" customHeight="1">
      <c r="I3402" s="51"/>
    </row>
    <row r="3403" spans="1:26" ht="14.25" customHeight="1">
      <c r="I3403" s="51"/>
    </row>
    <row r="3404" spans="1:26" ht="14.25" customHeight="1">
      <c r="I3404" s="51"/>
    </row>
    <row r="3405" spans="1:26" ht="14.25" customHeight="1">
      <c r="A3405" s="80" t="s">
        <v>0</v>
      </c>
      <c r="B3405" s="81"/>
      <c r="C3405" s="81"/>
      <c r="D3405" s="81"/>
      <c r="E3405" s="81"/>
      <c r="F3405" s="81"/>
      <c r="G3405" s="81"/>
      <c r="H3405" s="82"/>
      <c r="I3405" s="51"/>
      <c r="J3405" s="32"/>
      <c r="K3405" s="32"/>
      <c r="L3405" s="32"/>
      <c r="M3405" s="32"/>
      <c r="N3405" s="32"/>
      <c r="O3405" s="32"/>
      <c r="P3405" s="32"/>
      <c r="Q3405" s="32"/>
      <c r="R3405" s="32"/>
      <c r="S3405" s="32"/>
      <c r="T3405" s="32"/>
      <c r="U3405" s="32"/>
      <c r="V3405" s="32"/>
      <c r="W3405" s="32"/>
      <c r="X3405" s="32"/>
      <c r="Y3405" s="32"/>
      <c r="Z3405" s="32"/>
    </row>
    <row r="3406" spans="1:26" ht="14.25" customHeight="1">
      <c r="A3406" s="80" t="s">
        <v>915</v>
      </c>
      <c r="B3406" s="81"/>
      <c r="C3406" s="81"/>
      <c r="D3406" s="81"/>
      <c r="E3406" s="81"/>
      <c r="F3406" s="81"/>
      <c r="G3406" s="81"/>
      <c r="H3406" s="82"/>
      <c r="I3406" s="51"/>
      <c r="J3406" s="32"/>
      <c r="K3406" s="32"/>
      <c r="L3406" s="32"/>
      <c r="M3406" s="32"/>
      <c r="N3406" s="32"/>
      <c r="O3406" s="32"/>
      <c r="P3406" s="32"/>
      <c r="Q3406" s="32"/>
      <c r="R3406" s="32"/>
      <c r="S3406" s="32"/>
      <c r="T3406" s="32"/>
      <c r="U3406" s="32"/>
      <c r="V3406" s="32"/>
      <c r="W3406" s="32"/>
      <c r="X3406" s="32"/>
      <c r="Y3406" s="32"/>
      <c r="Z3406" s="32"/>
    </row>
    <row r="3407" spans="1:26" ht="14.25" customHeight="1">
      <c r="A3407" s="33" t="s">
        <v>2</v>
      </c>
      <c r="B3407" s="33" t="s">
        <v>3</v>
      </c>
      <c r="C3407" s="33" t="s">
        <v>4</v>
      </c>
      <c r="D3407" s="33" t="s">
        <v>5</v>
      </c>
      <c r="E3407" s="33" t="s">
        <v>6</v>
      </c>
      <c r="F3407" s="34" t="s">
        <v>7</v>
      </c>
      <c r="G3407" s="33" t="s">
        <v>8</v>
      </c>
      <c r="H3407" s="35"/>
      <c r="I3407" s="51"/>
      <c r="J3407" s="32"/>
      <c r="K3407" s="32"/>
      <c r="L3407" s="32"/>
      <c r="M3407" s="32"/>
      <c r="N3407" s="32"/>
      <c r="O3407" s="32"/>
      <c r="P3407" s="32"/>
      <c r="Q3407" s="32"/>
      <c r="R3407" s="32"/>
      <c r="S3407" s="32"/>
      <c r="T3407" s="32"/>
      <c r="U3407" s="32"/>
      <c r="V3407" s="32"/>
      <c r="W3407" s="32"/>
      <c r="X3407" s="32"/>
      <c r="Y3407" s="32"/>
      <c r="Z3407" s="32"/>
    </row>
    <row r="3408" spans="1:26" ht="14.25" customHeight="1">
      <c r="A3408" s="36">
        <v>1</v>
      </c>
      <c r="B3408" s="18" t="s">
        <v>916</v>
      </c>
      <c r="C3408" s="5" t="s">
        <v>917</v>
      </c>
      <c r="D3408" s="18" t="s">
        <v>11</v>
      </c>
      <c r="E3408" s="18">
        <v>2.2000000000000002</v>
      </c>
      <c r="F3408" s="6">
        <v>293000</v>
      </c>
      <c r="G3408" s="37">
        <f t="shared" ref="G3408:G3410" si="220">IFERROR(E3408*F3408,0)</f>
        <v>644600</v>
      </c>
      <c r="H3408" s="38"/>
      <c r="I3408" s="51"/>
      <c r="J3408" s="32"/>
      <c r="K3408" s="32"/>
      <c r="L3408" s="32"/>
      <c r="M3408" s="32"/>
      <c r="N3408" s="32"/>
      <c r="O3408" s="32"/>
      <c r="P3408" s="32"/>
      <c r="Q3408" s="32"/>
      <c r="R3408" s="32"/>
      <c r="S3408" s="32"/>
      <c r="T3408" s="32"/>
      <c r="U3408" s="32"/>
      <c r="V3408" s="32"/>
      <c r="W3408" s="32"/>
      <c r="X3408" s="32"/>
      <c r="Y3408" s="32"/>
      <c r="Z3408" s="32"/>
    </row>
    <row r="3409" spans="1:26" ht="14.25" customHeight="1">
      <c r="A3409" s="36">
        <v>2</v>
      </c>
      <c r="B3409" s="12" t="s">
        <v>918</v>
      </c>
      <c r="C3409" s="10" t="s">
        <v>919</v>
      </c>
      <c r="D3409" s="12" t="s">
        <v>233</v>
      </c>
      <c r="E3409" s="12">
        <v>1.44</v>
      </c>
      <c r="F3409" s="43">
        <v>435000</v>
      </c>
      <c r="G3409" s="37">
        <f t="shared" si="220"/>
        <v>626400</v>
      </c>
      <c r="H3409" s="38"/>
      <c r="I3409" s="51"/>
      <c r="J3409" s="32"/>
      <c r="K3409" s="32"/>
      <c r="L3409" s="32"/>
      <c r="M3409" s="32"/>
      <c r="N3409" s="32"/>
      <c r="O3409" s="32"/>
      <c r="P3409" s="32"/>
      <c r="Q3409" s="32"/>
      <c r="R3409" s="32"/>
      <c r="S3409" s="32"/>
      <c r="T3409" s="32"/>
      <c r="U3409" s="32"/>
      <c r="V3409" s="32"/>
      <c r="W3409" s="32"/>
      <c r="X3409" s="32"/>
      <c r="Y3409" s="32"/>
      <c r="Z3409" s="32"/>
    </row>
    <row r="3410" spans="1:26" ht="14.25" customHeight="1">
      <c r="A3410" s="36">
        <v>4</v>
      </c>
      <c r="B3410" s="39" t="s">
        <v>17</v>
      </c>
      <c r="C3410" s="38"/>
      <c r="D3410" s="38"/>
      <c r="E3410" s="38"/>
      <c r="F3410" s="60"/>
      <c r="G3410" s="37">
        <f t="shared" si="220"/>
        <v>0</v>
      </c>
      <c r="H3410" s="38"/>
      <c r="I3410" s="51"/>
      <c r="J3410" s="32"/>
      <c r="K3410" s="32"/>
      <c r="L3410" s="32"/>
      <c r="M3410" s="32"/>
      <c r="N3410" s="32"/>
      <c r="O3410" s="32"/>
      <c r="P3410" s="32"/>
      <c r="Q3410" s="32"/>
      <c r="R3410" s="32"/>
      <c r="S3410" s="32"/>
      <c r="T3410" s="32"/>
      <c r="U3410" s="32"/>
      <c r="V3410" s="32"/>
      <c r="W3410" s="32"/>
      <c r="X3410" s="32"/>
      <c r="Y3410" s="32"/>
      <c r="Z3410" s="32"/>
    </row>
    <row r="3411" spans="1:26" ht="14.25" customHeight="1">
      <c r="A3411" s="83" t="s">
        <v>18</v>
      </c>
      <c r="B3411" s="81"/>
      <c r="C3411" s="81"/>
      <c r="D3411" s="81"/>
      <c r="E3411" s="81"/>
      <c r="F3411" s="81"/>
      <c r="G3411" s="82"/>
      <c r="H3411" s="41">
        <f>SUM(G3408:G3410)</f>
        <v>1271000</v>
      </c>
      <c r="I3411" s="51"/>
      <c r="J3411" s="32"/>
      <c r="K3411" s="32"/>
      <c r="L3411" s="32"/>
      <c r="M3411" s="32"/>
      <c r="N3411" s="32"/>
      <c r="O3411" s="32"/>
      <c r="P3411" s="32"/>
      <c r="Q3411" s="32"/>
      <c r="R3411" s="32"/>
      <c r="S3411" s="32"/>
      <c r="T3411" s="32"/>
      <c r="U3411" s="32"/>
      <c r="V3411" s="32"/>
      <c r="W3411" s="32"/>
      <c r="X3411" s="32"/>
      <c r="Y3411" s="32"/>
      <c r="Z3411" s="32"/>
    </row>
    <row r="3412" spans="1:26" ht="14.25" customHeight="1">
      <c r="A3412" s="83" t="s">
        <v>19</v>
      </c>
      <c r="B3412" s="81"/>
      <c r="C3412" s="81"/>
      <c r="D3412" s="81"/>
      <c r="E3412" s="81"/>
      <c r="F3412" s="81"/>
      <c r="G3412" s="82"/>
      <c r="H3412" s="41">
        <f>MAX(0,H3411-648000)</f>
        <v>623000</v>
      </c>
      <c r="I3412" s="51"/>
      <c r="J3412" s="32"/>
      <c r="K3412" s="32"/>
      <c r="L3412" s="32"/>
      <c r="M3412" s="32"/>
      <c r="N3412" s="32"/>
      <c r="O3412" s="32"/>
      <c r="P3412" s="32"/>
      <c r="Q3412" s="32"/>
      <c r="R3412" s="32"/>
      <c r="S3412" s="32"/>
      <c r="T3412" s="32"/>
      <c r="U3412" s="32"/>
      <c r="V3412" s="32"/>
      <c r="W3412" s="32"/>
      <c r="X3412" s="32"/>
      <c r="Y3412" s="32"/>
      <c r="Z3412" s="32"/>
    </row>
    <row r="3413" spans="1:26" ht="14.25" customHeight="1">
      <c r="A3413" s="84" t="s">
        <v>20</v>
      </c>
      <c r="B3413" s="81"/>
      <c r="C3413" s="81"/>
      <c r="D3413" s="81"/>
      <c r="E3413" s="81"/>
      <c r="F3413" s="81"/>
      <c r="G3413" s="82"/>
      <c r="H3413" s="42">
        <v>649000</v>
      </c>
      <c r="I3413" s="51"/>
      <c r="J3413" s="32"/>
      <c r="K3413" s="32"/>
      <c r="L3413" s="32"/>
      <c r="M3413" s="32"/>
      <c r="N3413" s="32"/>
      <c r="O3413" s="32"/>
      <c r="P3413" s="32"/>
      <c r="Q3413" s="32"/>
      <c r="R3413" s="32"/>
      <c r="S3413" s="32"/>
      <c r="T3413" s="32"/>
      <c r="U3413" s="32"/>
      <c r="V3413" s="32"/>
      <c r="W3413" s="32"/>
      <c r="X3413" s="32"/>
      <c r="Y3413" s="32"/>
      <c r="Z3413" s="32"/>
    </row>
    <row r="3414" spans="1:26" ht="14.25" customHeight="1">
      <c r="A3414" s="80"/>
      <c r="B3414" s="81"/>
      <c r="C3414" s="81"/>
      <c r="D3414" s="81"/>
      <c r="E3414" s="81"/>
      <c r="F3414" s="81"/>
      <c r="G3414" s="81"/>
      <c r="H3414" s="82"/>
      <c r="I3414" s="51"/>
      <c r="J3414" s="32"/>
      <c r="K3414" s="32"/>
      <c r="L3414" s="32"/>
      <c r="M3414" s="32"/>
      <c r="N3414" s="32"/>
      <c r="O3414" s="32"/>
      <c r="P3414" s="32"/>
      <c r="Q3414" s="32"/>
      <c r="R3414" s="32"/>
      <c r="S3414" s="32"/>
      <c r="T3414" s="32"/>
      <c r="U3414" s="32"/>
      <c r="V3414" s="32"/>
      <c r="W3414" s="32"/>
      <c r="X3414" s="32"/>
      <c r="Y3414" s="32"/>
      <c r="Z3414" s="32"/>
    </row>
    <row r="3415" spans="1:26" ht="14.25" customHeight="1">
      <c r="I3415" s="51"/>
    </row>
    <row r="3416" spans="1:26" ht="14.25" customHeight="1">
      <c r="I3416" s="51"/>
    </row>
    <row r="3417" spans="1:26" ht="14.25" customHeight="1">
      <c r="I3417" s="51"/>
    </row>
    <row r="3418" spans="1:26" ht="14.25" customHeight="1">
      <c r="I3418" s="51"/>
    </row>
    <row r="3419" spans="1:26" ht="14.25" customHeight="1">
      <c r="I3419" s="51"/>
    </row>
    <row r="3420" spans="1:26" ht="14.25" customHeight="1">
      <c r="I3420" s="51"/>
    </row>
    <row r="3421" spans="1:26" ht="14.25" customHeight="1">
      <c r="I3421" s="51"/>
    </row>
    <row r="3422" spans="1:26" ht="14.25" customHeight="1">
      <c r="I3422" s="51"/>
    </row>
    <row r="3423" spans="1:26" ht="14.25" customHeight="1">
      <c r="A3423" s="80" t="s">
        <v>0</v>
      </c>
      <c r="B3423" s="81"/>
      <c r="C3423" s="81"/>
      <c r="D3423" s="81"/>
      <c r="E3423" s="81"/>
      <c r="F3423" s="81"/>
      <c r="G3423" s="81"/>
      <c r="H3423" s="82"/>
      <c r="I3423" s="51"/>
      <c r="J3423" s="32"/>
      <c r="K3423" s="32"/>
      <c r="L3423" s="32"/>
      <c r="M3423" s="32"/>
      <c r="N3423" s="32"/>
      <c r="O3423" s="32"/>
      <c r="P3423" s="32"/>
      <c r="Q3423" s="32"/>
      <c r="R3423" s="32"/>
      <c r="S3423" s="32"/>
      <c r="T3423" s="32"/>
      <c r="U3423" s="32"/>
      <c r="V3423" s="32"/>
      <c r="W3423" s="32"/>
      <c r="X3423" s="32"/>
      <c r="Y3423" s="32"/>
      <c r="Z3423" s="32"/>
    </row>
    <row r="3424" spans="1:26" ht="14.25" customHeight="1">
      <c r="A3424" s="80" t="s">
        <v>920</v>
      </c>
      <c r="B3424" s="81"/>
      <c r="C3424" s="81"/>
      <c r="D3424" s="81"/>
      <c r="E3424" s="81"/>
      <c r="F3424" s="81"/>
      <c r="G3424" s="81"/>
      <c r="H3424" s="82"/>
      <c r="I3424" s="51"/>
      <c r="J3424" s="32"/>
      <c r="K3424" s="32"/>
      <c r="L3424" s="32"/>
      <c r="M3424" s="32"/>
      <c r="N3424" s="32"/>
      <c r="O3424" s="32"/>
      <c r="P3424" s="32"/>
      <c r="Q3424" s="32"/>
      <c r="R3424" s="32"/>
      <c r="S3424" s="32"/>
      <c r="T3424" s="32"/>
      <c r="U3424" s="32"/>
      <c r="V3424" s="32"/>
      <c r="W3424" s="32"/>
      <c r="X3424" s="32"/>
      <c r="Y3424" s="32"/>
      <c r="Z3424" s="32"/>
    </row>
    <row r="3425" spans="1:26" ht="14.25" customHeight="1">
      <c r="A3425" s="33" t="s">
        <v>2</v>
      </c>
      <c r="B3425" s="33" t="s">
        <v>3</v>
      </c>
      <c r="C3425" s="33" t="s">
        <v>4</v>
      </c>
      <c r="D3425" s="33" t="s">
        <v>5</v>
      </c>
      <c r="E3425" s="33" t="s">
        <v>6</v>
      </c>
      <c r="F3425" s="34" t="s">
        <v>7</v>
      </c>
      <c r="G3425" s="33" t="s">
        <v>8</v>
      </c>
      <c r="H3425" s="35"/>
      <c r="I3425" s="51"/>
      <c r="J3425" s="32"/>
      <c r="K3425" s="32"/>
      <c r="L3425" s="32"/>
      <c r="M3425" s="32"/>
      <c r="N3425" s="32"/>
      <c r="O3425" s="32"/>
      <c r="P3425" s="32"/>
      <c r="Q3425" s="32"/>
      <c r="R3425" s="32"/>
      <c r="S3425" s="32"/>
      <c r="T3425" s="32"/>
      <c r="U3425" s="32"/>
      <c r="V3425" s="32"/>
      <c r="W3425" s="32"/>
      <c r="X3425" s="32"/>
      <c r="Y3425" s="32"/>
      <c r="Z3425" s="32"/>
    </row>
    <row r="3426" spans="1:26" ht="14.25" customHeight="1">
      <c r="A3426" s="36">
        <v>1</v>
      </c>
      <c r="B3426" s="18" t="s">
        <v>575</v>
      </c>
      <c r="C3426" s="5" t="s">
        <v>921</v>
      </c>
      <c r="D3426" s="18" t="s">
        <v>413</v>
      </c>
      <c r="E3426" s="18">
        <v>1.74</v>
      </c>
      <c r="F3426" s="6">
        <v>293000</v>
      </c>
      <c r="G3426" s="37">
        <f t="shared" ref="G3426:G3428" si="221">IFERROR(E3426*F3426,0)</f>
        <v>509820</v>
      </c>
      <c r="H3426" s="38"/>
      <c r="I3426" s="51"/>
      <c r="J3426" s="32"/>
      <c r="K3426" s="32"/>
      <c r="L3426" s="32"/>
      <c r="M3426" s="32"/>
      <c r="N3426" s="32"/>
      <c r="O3426" s="32"/>
      <c r="P3426" s="32"/>
      <c r="Q3426" s="32"/>
      <c r="R3426" s="32"/>
      <c r="S3426" s="32"/>
      <c r="T3426" s="32"/>
      <c r="U3426" s="32"/>
      <c r="V3426" s="32"/>
      <c r="W3426" s="32"/>
      <c r="X3426" s="32"/>
      <c r="Y3426" s="32"/>
      <c r="Z3426" s="32"/>
    </row>
    <row r="3427" spans="1:26" ht="14.25" customHeight="1">
      <c r="A3427" s="36">
        <v>2</v>
      </c>
      <c r="B3427" s="12" t="s">
        <v>45</v>
      </c>
      <c r="C3427" s="10" t="s">
        <v>922</v>
      </c>
      <c r="D3427" s="12" t="s">
        <v>233</v>
      </c>
      <c r="E3427" s="12">
        <v>1.88</v>
      </c>
      <c r="F3427" s="43">
        <v>435000</v>
      </c>
      <c r="G3427" s="37">
        <f t="shared" si="221"/>
        <v>817800</v>
      </c>
      <c r="H3427" s="38"/>
      <c r="I3427" s="51"/>
      <c r="J3427" s="32"/>
      <c r="K3427" s="32"/>
      <c r="L3427" s="32"/>
      <c r="M3427" s="32"/>
      <c r="N3427" s="32"/>
      <c r="O3427" s="32"/>
      <c r="P3427" s="32"/>
      <c r="Q3427" s="32"/>
      <c r="R3427" s="32"/>
      <c r="S3427" s="32"/>
      <c r="T3427" s="32"/>
      <c r="U3427" s="32"/>
      <c r="V3427" s="32"/>
      <c r="W3427" s="32"/>
      <c r="X3427" s="32"/>
      <c r="Y3427" s="32"/>
      <c r="Z3427" s="32"/>
    </row>
    <row r="3428" spans="1:26" ht="14.25" customHeight="1">
      <c r="A3428" s="36">
        <v>4</v>
      </c>
      <c r="B3428" s="39" t="s">
        <v>17</v>
      </c>
      <c r="C3428" s="38"/>
      <c r="D3428" s="38"/>
      <c r="E3428" s="38"/>
      <c r="F3428" s="60"/>
      <c r="G3428" s="37">
        <f t="shared" si="221"/>
        <v>0</v>
      </c>
      <c r="H3428" s="38"/>
      <c r="I3428" s="51"/>
      <c r="J3428" s="32"/>
      <c r="K3428" s="32"/>
      <c r="L3428" s="32"/>
      <c r="M3428" s="32"/>
      <c r="N3428" s="32"/>
      <c r="O3428" s="32"/>
      <c r="P3428" s="32"/>
      <c r="Q3428" s="32"/>
      <c r="R3428" s="32"/>
      <c r="S3428" s="32"/>
      <c r="T3428" s="32"/>
      <c r="U3428" s="32"/>
      <c r="V3428" s="32"/>
      <c r="W3428" s="32"/>
      <c r="X3428" s="32"/>
      <c r="Y3428" s="32"/>
      <c r="Z3428" s="32"/>
    </row>
    <row r="3429" spans="1:26" ht="14.25" customHeight="1">
      <c r="A3429" s="83" t="s">
        <v>18</v>
      </c>
      <c r="B3429" s="81"/>
      <c r="C3429" s="81"/>
      <c r="D3429" s="81"/>
      <c r="E3429" s="81"/>
      <c r="F3429" s="81"/>
      <c r="G3429" s="82"/>
      <c r="H3429" s="41">
        <f>SUM(G3426:G3428)</f>
        <v>1327620</v>
      </c>
      <c r="I3429" s="51"/>
      <c r="J3429" s="32"/>
      <c r="K3429" s="32"/>
      <c r="L3429" s="32"/>
      <c r="M3429" s="32"/>
      <c r="N3429" s="32"/>
      <c r="O3429" s="32"/>
      <c r="P3429" s="32"/>
      <c r="Q3429" s="32"/>
      <c r="R3429" s="32"/>
      <c r="S3429" s="32"/>
      <c r="T3429" s="32"/>
      <c r="U3429" s="32"/>
      <c r="V3429" s="32"/>
      <c r="W3429" s="32"/>
      <c r="X3429" s="32"/>
      <c r="Y3429" s="32"/>
      <c r="Z3429" s="32"/>
    </row>
    <row r="3430" spans="1:26" ht="14.25" customHeight="1">
      <c r="A3430" s="83" t="s">
        <v>19</v>
      </c>
      <c r="B3430" s="81"/>
      <c r="C3430" s="81"/>
      <c r="D3430" s="81"/>
      <c r="E3430" s="81"/>
      <c r="F3430" s="81"/>
      <c r="G3430" s="82"/>
      <c r="H3430" s="41">
        <f>MAX(0,H3429-648000)</f>
        <v>679620</v>
      </c>
      <c r="I3430" s="51"/>
      <c r="J3430" s="32"/>
      <c r="K3430" s="32"/>
      <c r="L3430" s="32"/>
      <c r="M3430" s="32"/>
      <c r="N3430" s="32"/>
      <c r="O3430" s="32"/>
      <c r="P3430" s="32"/>
      <c r="Q3430" s="32"/>
      <c r="R3430" s="32"/>
      <c r="S3430" s="32"/>
      <c r="T3430" s="32"/>
      <c r="U3430" s="32"/>
      <c r="V3430" s="32"/>
      <c r="W3430" s="32"/>
      <c r="X3430" s="32"/>
      <c r="Y3430" s="32"/>
      <c r="Z3430" s="32"/>
    </row>
    <row r="3431" spans="1:26" ht="14.25" customHeight="1">
      <c r="A3431" s="84" t="s">
        <v>20</v>
      </c>
      <c r="B3431" s="81"/>
      <c r="C3431" s="81"/>
      <c r="D3431" s="81"/>
      <c r="E3431" s="81"/>
      <c r="F3431" s="81"/>
      <c r="G3431" s="82"/>
      <c r="H3431" s="42">
        <v>649000</v>
      </c>
      <c r="I3431" s="51"/>
      <c r="J3431" s="32"/>
      <c r="K3431" s="32"/>
      <c r="L3431" s="32"/>
      <c r="M3431" s="32"/>
      <c r="N3431" s="32"/>
      <c r="O3431" s="32"/>
      <c r="P3431" s="32"/>
      <c r="Q3431" s="32"/>
      <c r="R3431" s="32"/>
      <c r="S3431" s="32"/>
      <c r="T3431" s="32"/>
      <c r="U3431" s="32"/>
      <c r="V3431" s="32"/>
      <c r="W3431" s="32"/>
      <c r="X3431" s="32"/>
      <c r="Y3431" s="32"/>
      <c r="Z3431" s="32"/>
    </row>
    <row r="3432" spans="1:26" ht="14.25" customHeight="1">
      <c r="A3432" s="80"/>
      <c r="B3432" s="81"/>
      <c r="C3432" s="81"/>
      <c r="D3432" s="81"/>
      <c r="E3432" s="81"/>
      <c r="F3432" s="81"/>
      <c r="G3432" s="81"/>
      <c r="H3432" s="82"/>
      <c r="I3432" s="51"/>
      <c r="J3432" s="32"/>
      <c r="K3432" s="32"/>
      <c r="L3432" s="32"/>
      <c r="M3432" s="32"/>
      <c r="N3432" s="32"/>
      <c r="O3432" s="32"/>
      <c r="P3432" s="32"/>
      <c r="Q3432" s="32"/>
      <c r="R3432" s="32"/>
      <c r="S3432" s="32"/>
      <c r="T3432" s="32"/>
      <c r="U3432" s="32"/>
      <c r="V3432" s="32"/>
      <c r="W3432" s="32"/>
      <c r="X3432" s="32"/>
      <c r="Y3432" s="32"/>
      <c r="Z3432" s="32"/>
    </row>
    <row r="3433" spans="1:26" ht="14.25" customHeight="1">
      <c r="I3433" s="51"/>
    </row>
    <row r="3434" spans="1:26" ht="14.25" customHeight="1">
      <c r="I3434" s="51"/>
    </row>
    <row r="3435" spans="1:26" ht="14.25" customHeight="1">
      <c r="I3435" s="51"/>
    </row>
    <row r="3436" spans="1:26" ht="14.25" customHeight="1">
      <c r="I3436" s="51"/>
    </row>
    <row r="3437" spans="1:26" ht="14.25" customHeight="1">
      <c r="I3437" s="51"/>
    </row>
    <row r="3438" spans="1:26" ht="14.25" customHeight="1">
      <c r="I3438" s="51"/>
    </row>
    <row r="3439" spans="1:26" ht="14.25" customHeight="1">
      <c r="I3439" s="51"/>
    </row>
    <row r="3440" spans="1:26" ht="14.25" customHeight="1">
      <c r="A3440" s="80" t="s">
        <v>0</v>
      </c>
      <c r="B3440" s="81"/>
      <c r="C3440" s="81"/>
      <c r="D3440" s="81"/>
      <c r="E3440" s="81"/>
      <c r="F3440" s="81"/>
      <c r="G3440" s="81"/>
      <c r="H3440" s="82"/>
      <c r="I3440" s="51"/>
      <c r="J3440" s="32"/>
      <c r="K3440" s="32"/>
      <c r="L3440" s="32"/>
      <c r="M3440" s="32"/>
      <c r="N3440" s="32"/>
      <c r="O3440" s="32"/>
      <c r="P3440" s="32"/>
      <c r="Q3440" s="32"/>
      <c r="R3440" s="32"/>
      <c r="S3440" s="32"/>
      <c r="T3440" s="32"/>
      <c r="U3440" s="32"/>
      <c r="V3440" s="32"/>
      <c r="W3440" s="32"/>
      <c r="X3440" s="32"/>
      <c r="Y3440" s="32"/>
      <c r="Z3440" s="32"/>
    </row>
    <row r="3441" spans="1:26" ht="14.25" customHeight="1">
      <c r="A3441" s="80" t="s">
        <v>923</v>
      </c>
      <c r="B3441" s="81"/>
      <c r="C3441" s="81"/>
      <c r="D3441" s="81"/>
      <c r="E3441" s="81"/>
      <c r="F3441" s="81"/>
      <c r="G3441" s="81"/>
      <c r="H3441" s="82"/>
      <c r="I3441" s="51"/>
      <c r="J3441" s="32"/>
      <c r="K3441" s="32"/>
      <c r="L3441" s="32"/>
      <c r="M3441" s="32"/>
      <c r="N3441" s="32"/>
      <c r="O3441" s="32"/>
      <c r="P3441" s="32"/>
      <c r="Q3441" s="32"/>
      <c r="R3441" s="32"/>
      <c r="S3441" s="32"/>
      <c r="T3441" s="32"/>
      <c r="U3441" s="32"/>
      <c r="V3441" s="32"/>
      <c r="W3441" s="32"/>
      <c r="X3441" s="32"/>
      <c r="Y3441" s="32"/>
      <c r="Z3441" s="32"/>
    </row>
    <row r="3442" spans="1:26" ht="14.25" customHeight="1">
      <c r="A3442" s="33" t="s">
        <v>2</v>
      </c>
      <c r="B3442" s="33" t="s">
        <v>3</v>
      </c>
      <c r="C3442" s="33" t="s">
        <v>4</v>
      </c>
      <c r="D3442" s="33" t="s">
        <v>5</v>
      </c>
      <c r="E3442" s="33" t="s">
        <v>6</v>
      </c>
      <c r="F3442" s="34" t="s">
        <v>7</v>
      </c>
      <c r="G3442" s="33" t="s">
        <v>8</v>
      </c>
      <c r="H3442" s="35"/>
      <c r="I3442" s="51"/>
      <c r="J3442" s="32"/>
      <c r="K3442" s="32"/>
      <c r="L3442" s="32"/>
      <c r="M3442" s="32"/>
      <c r="N3442" s="32"/>
      <c r="O3442" s="32"/>
      <c r="P3442" s="32"/>
      <c r="Q3442" s="32"/>
      <c r="R3442" s="32"/>
      <c r="S3442" s="32"/>
      <c r="T3442" s="32"/>
      <c r="U3442" s="32"/>
      <c r="V3442" s="32"/>
      <c r="W3442" s="32"/>
      <c r="X3442" s="32"/>
      <c r="Y3442" s="32"/>
      <c r="Z3442" s="32"/>
    </row>
    <row r="3443" spans="1:26" ht="14.25" customHeight="1">
      <c r="A3443" s="36">
        <v>1</v>
      </c>
      <c r="B3443" s="18" t="s">
        <v>65</v>
      </c>
      <c r="C3443" s="5" t="s">
        <v>924</v>
      </c>
      <c r="D3443" s="18" t="s">
        <v>413</v>
      </c>
      <c r="E3443" s="18">
        <v>1.6</v>
      </c>
      <c r="F3443" s="6">
        <v>293000</v>
      </c>
      <c r="G3443" s="37">
        <f t="shared" ref="G3443:G3445" si="222">IFERROR(E3443*F3443,0)</f>
        <v>468800</v>
      </c>
      <c r="H3443" s="38"/>
      <c r="I3443" s="51"/>
      <c r="J3443" s="32"/>
      <c r="K3443" s="32"/>
      <c r="L3443" s="32"/>
      <c r="M3443" s="32"/>
      <c r="N3443" s="32"/>
      <c r="O3443" s="32"/>
      <c r="P3443" s="32"/>
      <c r="Q3443" s="32"/>
      <c r="R3443" s="32"/>
      <c r="S3443" s="32"/>
      <c r="T3443" s="32"/>
      <c r="U3443" s="32"/>
      <c r="V3443" s="32"/>
      <c r="W3443" s="32"/>
      <c r="X3443" s="32"/>
      <c r="Y3443" s="32"/>
      <c r="Z3443" s="32"/>
    </row>
    <row r="3444" spans="1:26" ht="14.25" customHeight="1">
      <c r="A3444" s="36">
        <v>2</v>
      </c>
      <c r="B3444" s="12" t="s">
        <v>205</v>
      </c>
      <c r="C3444" s="10" t="s">
        <v>925</v>
      </c>
      <c r="D3444" s="12" t="s">
        <v>233</v>
      </c>
      <c r="E3444" s="12">
        <v>1.7</v>
      </c>
      <c r="F3444" s="43">
        <v>435000</v>
      </c>
      <c r="G3444" s="37">
        <f t="shared" si="222"/>
        <v>739500</v>
      </c>
      <c r="H3444" s="38"/>
      <c r="I3444" s="51"/>
      <c r="J3444" s="32"/>
      <c r="K3444" s="32"/>
      <c r="L3444" s="32"/>
      <c r="M3444" s="32"/>
      <c r="N3444" s="32"/>
      <c r="O3444" s="32"/>
      <c r="P3444" s="32"/>
      <c r="Q3444" s="32"/>
      <c r="R3444" s="32"/>
      <c r="S3444" s="32"/>
      <c r="T3444" s="32"/>
      <c r="U3444" s="32"/>
      <c r="V3444" s="32"/>
      <c r="W3444" s="32"/>
      <c r="X3444" s="32"/>
      <c r="Y3444" s="32"/>
      <c r="Z3444" s="32"/>
    </row>
    <row r="3445" spans="1:26" ht="14.25" customHeight="1">
      <c r="A3445" s="36">
        <v>4</v>
      </c>
      <c r="B3445" s="39" t="s">
        <v>17</v>
      </c>
      <c r="C3445" s="38"/>
      <c r="D3445" s="38"/>
      <c r="E3445" s="38"/>
      <c r="F3445" s="60"/>
      <c r="G3445" s="37">
        <f t="shared" si="222"/>
        <v>0</v>
      </c>
      <c r="H3445" s="38"/>
      <c r="I3445" s="51"/>
      <c r="J3445" s="32"/>
      <c r="K3445" s="32"/>
      <c r="L3445" s="32"/>
      <c r="M3445" s="32"/>
      <c r="N3445" s="32"/>
      <c r="O3445" s="32"/>
      <c r="P3445" s="32"/>
      <c r="Q3445" s="32"/>
      <c r="R3445" s="32"/>
      <c r="S3445" s="32"/>
      <c r="T3445" s="32"/>
      <c r="U3445" s="32"/>
      <c r="V3445" s="32"/>
      <c r="W3445" s="32"/>
      <c r="X3445" s="32"/>
      <c r="Y3445" s="32"/>
      <c r="Z3445" s="32"/>
    </row>
    <row r="3446" spans="1:26" ht="14.25" customHeight="1">
      <c r="A3446" s="83" t="s">
        <v>18</v>
      </c>
      <c r="B3446" s="81"/>
      <c r="C3446" s="81"/>
      <c r="D3446" s="81"/>
      <c r="E3446" s="81"/>
      <c r="F3446" s="81"/>
      <c r="G3446" s="82"/>
      <c r="H3446" s="41">
        <f>SUM(G3443:G3445)</f>
        <v>1208300</v>
      </c>
      <c r="I3446" s="51"/>
      <c r="J3446" s="32"/>
      <c r="K3446" s="32"/>
      <c r="L3446" s="32"/>
      <c r="M3446" s="32"/>
      <c r="N3446" s="32"/>
      <c r="O3446" s="32"/>
      <c r="P3446" s="32"/>
      <c r="Q3446" s="32"/>
      <c r="R3446" s="32"/>
      <c r="S3446" s="32"/>
      <c r="T3446" s="32"/>
      <c r="U3446" s="32"/>
      <c r="V3446" s="32"/>
      <c r="W3446" s="32"/>
      <c r="X3446" s="32"/>
      <c r="Y3446" s="32"/>
      <c r="Z3446" s="32"/>
    </row>
    <row r="3447" spans="1:26" ht="14.25" customHeight="1">
      <c r="A3447" s="83" t="s">
        <v>19</v>
      </c>
      <c r="B3447" s="81"/>
      <c r="C3447" s="81"/>
      <c r="D3447" s="81"/>
      <c r="E3447" s="81"/>
      <c r="F3447" s="81"/>
      <c r="G3447" s="82"/>
      <c r="H3447" s="41">
        <f>MAX(0,H3446-648000)</f>
        <v>560300</v>
      </c>
      <c r="I3447" s="51"/>
      <c r="J3447" s="32"/>
      <c r="K3447" s="32"/>
      <c r="L3447" s="32"/>
      <c r="M3447" s="32"/>
      <c r="N3447" s="32"/>
      <c r="O3447" s="32"/>
      <c r="P3447" s="32"/>
      <c r="Q3447" s="32"/>
      <c r="R3447" s="32"/>
      <c r="S3447" s="32"/>
      <c r="T3447" s="32"/>
      <c r="U3447" s="32"/>
      <c r="V3447" s="32"/>
      <c r="W3447" s="32"/>
      <c r="X3447" s="32"/>
      <c r="Y3447" s="32"/>
      <c r="Z3447" s="32"/>
    </row>
    <row r="3448" spans="1:26" ht="14.25" customHeight="1">
      <c r="A3448" s="84" t="s">
        <v>20</v>
      </c>
      <c r="B3448" s="81"/>
      <c r="C3448" s="81"/>
      <c r="D3448" s="81"/>
      <c r="E3448" s="81"/>
      <c r="F3448" s="81"/>
      <c r="G3448" s="82"/>
      <c r="H3448" s="42">
        <v>649000</v>
      </c>
      <c r="I3448" s="51"/>
      <c r="J3448" s="32"/>
      <c r="K3448" s="32"/>
      <c r="L3448" s="32"/>
      <c r="M3448" s="32"/>
      <c r="N3448" s="32"/>
      <c r="O3448" s="32"/>
      <c r="P3448" s="32"/>
      <c r="Q3448" s="32"/>
      <c r="R3448" s="32"/>
      <c r="S3448" s="32"/>
      <c r="T3448" s="32"/>
      <c r="U3448" s="32"/>
      <c r="V3448" s="32"/>
      <c r="W3448" s="32"/>
      <c r="X3448" s="32"/>
      <c r="Y3448" s="32"/>
      <c r="Z3448" s="32"/>
    </row>
    <row r="3449" spans="1:26" ht="14.25" customHeight="1">
      <c r="A3449" s="80"/>
      <c r="B3449" s="81"/>
      <c r="C3449" s="81"/>
      <c r="D3449" s="81"/>
      <c r="E3449" s="81"/>
      <c r="F3449" s="81"/>
      <c r="G3449" s="81"/>
      <c r="H3449" s="82"/>
      <c r="I3449" s="51"/>
      <c r="J3449" s="32"/>
      <c r="K3449" s="32"/>
      <c r="L3449" s="32"/>
      <c r="M3449" s="32"/>
      <c r="N3449" s="32"/>
      <c r="O3449" s="32"/>
      <c r="P3449" s="32"/>
      <c r="Q3449" s="32"/>
      <c r="R3449" s="32"/>
      <c r="S3449" s="32"/>
      <c r="T3449" s="32"/>
      <c r="U3449" s="32"/>
      <c r="V3449" s="32"/>
      <c r="W3449" s="32"/>
      <c r="X3449" s="32"/>
      <c r="Y3449" s="32"/>
      <c r="Z3449" s="32"/>
    </row>
    <row r="3450" spans="1:26" ht="14.25" customHeight="1">
      <c r="I3450" s="51"/>
    </row>
    <row r="3451" spans="1:26" ht="14.25" customHeight="1">
      <c r="I3451" s="51"/>
    </row>
    <row r="3452" spans="1:26" ht="14.25" customHeight="1">
      <c r="I3452" s="51"/>
    </row>
    <row r="3453" spans="1:26" ht="14.25" customHeight="1">
      <c r="I3453" s="51"/>
    </row>
    <row r="3454" spans="1:26" ht="14.25" customHeight="1">
      <c r="I3454" s="51"/>
    </row>
    <row r="3455" spans="1:26" ht="14.25" customHeight="1">
      <c r="I3455" s="51"/>
    </row>
    <row r="3456" spans="1:26" ht="14.25" customHeight="1">
      <c r="I3456" s="51"/>
    </row>
    <row r="3457" spans="1:26" ht="14.25" customHeight="1">
      <c r="I3457" s="51"/>
    </row>
    <row r="3458" spans="1:26" ht="14.25" customHeight="1">
      <c r="A3458" s="80" t="s">
        <v>0</v>
      </c>
      <c r="B3458" s="81"/>
      <c r="C3458" s="81"/>
      <c r="D3458" s="81"/>
      <c r="E3458" s="81"/>
      <c r="F3458" s="81"/>
      <c r="G3458" s="81"/>
      <c r="H3458" s="82"/>
      <c r="I3458" s="51"/>
      <c r="J3458" s="32"/>
      <c r="K3458" s="32"/>
      <c r="L3458" s="32"/>
      <c r="M3458" s="32"/>
      <c r="N3458" s="32"/>
      <c r="O3458" s="32"/>
      <c r="P3458" s="32"/>
      <c r="Q3458" s="32"/>
      <c r="R3458" s="32"/>
      <c r="S3458" s="32"/>
      <c r="T3458" s="32"/>
      <c r="U3458" s="32"/>
      <c r="V3458" s="32"/>
      <c r="W3458" s="32"/>
      <c r="X3458" s="32"/>
      <c r="Y3458" s="32"/>
      <c r="Z3458" s="32"/>
    </row>
    <row r="3459" spans="1:26" ht="14.25" customHeight="1">
      <c r="A3459" s="80" t="s">
        <v>926</v>
      </c>
      <c r="B3459" s="81"/>
      <c r="C3459" s="81"/>
      <c r="D3459" s="81"/>
      <c r="E3459" s="81"/>
      <c r="F3459" s="81"/>
      <c r="G3459" s="81"/>
      <c r="H3459" s="82"/>
      <c r="I3459" s="51"/>
      <c r="J3459" s="32"/>
      <c r="K3459" s="32"/>
      <c r="L3459" s="32"/>
      <c r="M3459" s="32"/>
      <c r="N3459" s="32"/>
      <c r="O3459" s="32"/>
      <c r="P3459" s="32"/>
      <c r="Q3459" s="32"/>
      <c r="R3459" s="32"/>
      <c r="S3459" s="32"/>
      <c r="T3459" s="32"/>
      <c r="U3459" s="32"/>
      <c r="V3459" s="32"/>
      <c r="W3459" s="32"/>
      <c r="X3459" s="32"/>
      <c r="Y3459" s="32"/>
      <c r="Z3459" s="32"/>
    </row>
    <row r="3460" spans="1:26" ht="14.25" customHeight="1">
      <c r="A3460" s="33" t="s">
        <v>2</v>
      </c>
      <c r="B3460" s="33" t="s">
        <v>3</v>
      </c>
      <c r="C3460" s="33" t="s">
        <v>4</v>
      </c>
      <c r="D3460" s="33" t="s">
        <v>5</v>
      </c>
      <c r="E3460" s="33" t="s">
        <v>6</v>
      </c>
      <c r="F3460" s="34" t="s">
        <v>7</v>
      </c>
      <c r="G3460" s="33" t="s">
        <v>8</v>
      </c>
      <c r="H3460" s="35"/>
      <c r="I3460" s="51"/>
      <c r="J3460" s="32"/>
      <c r="K3460" s="32"/>
      <c r="L3460" s="32"/>
      <c r="M3460" s="32"/>
      <c r="N3460" s="32"/>
      <c r="O3460" s="32"/>
      <c r="P3460" s="32"/>
      <c r="Q3460" s="32"/>
      <c r="R3460" s="32"/>
      <c r="S3460" s="32"/>
      <c r="T3460" s="32"/>
      <c r="U3460" s="32"/>
      <c r="V3460" s="32"/>
      <c r="W3460" s="32"/>
      <c r="X3460" s="32"/>
      <c r="Y3460" s="32"/>
      <c r="Z3460" s="32"/>
    </row>
    <row r="3461" spans="1:26" ht="14.25" customHeight="1">
      <c r="A3461" s="36">
        <v>1</v>
      </c>
      <c r="B3461" s="18" t="s">
        <v>625</v>
      </c>
      <c r="C3461" s="5">
        <v>7421</v>
      </c>
      <c r="D3461" s="18" t="s">
        <v>413</v>
      </c>
      <c r="E3461" s="18">
        <v>1.8</v>
      </c>
      <c r="F3461" s="6">
        <v>293000</v>
      </c>
      <c r="G3461" s="37">
        <f t="shared" ref="G3461:G3463" si="223">IFERROR(E3461*F3461,0)</f>
        <v>527400</v>
      </c>
      <c r="H3461" s="38"/>
      <c r="I3461" s="51"/>
      <c r="J3461" s="32"/>
      <c r="K3461" s="32"/>
      <c r="L3461" s="32"/>
      <c r="M3461" s="32"/>
      <c r="N3461" s="32"/>
      <c r="O3461" s="32"/>
      <c r="P3461" s="32"/>
      <c r="Q3461" s="32"/>
      <c r="R3461" s="32"/>
      <c r="S3461" s="32"/>
      <c r="T3461" s="32"/>
      <c r="U3461" s="32"/>
      <c r="V3461" s="32"/>
      <c r="W3461" s="32"/>
      <c r="X3461" s="32"/>
      <c r="Y3461" s="32"/>
      <c r="Z3461" s="32"/>
    </row>
    <row r="3462" spans="1:26" ht="14.25" customHeight="1">
      <c r="A3462" s="36">
        <v>2</v>
      </c>
      <c r="B3462" s="12" t="s">
        <v>130</v>
      </c>
      <c r="C3462" s="10" t="s">
        <v>927</v>
      </c>
      <c r="D3462" s="12" t="s">
        <v>233</v>
      </c>
      <c r="E3462" s="12">
        <v>1.6</v>
      </c>
      <c r="F3462" s="43">
        <v>435000</v>
      </c>
      <c r="G3462" s="37">
        <f t="shared" si="223"/>
        <v>696000</v>
      </c>
      <c r="H3462" s="38"/>
      <c r="I3462" s="51"/>
      <c r="J3462" s="32"/>
      <c r="K3462" s="32"/>
      <c r="L3462" s="32"/>
      <c r="M3462" s="32"/>
      <c r="N3462" s="32"/>
      <c r="O3462" s="32"/>
      <c r="P3462" s="32"/>
      <c r="Q3462" s="32"/>
      <c r="R3462" s="32"/>
      <c r="S3462" s="32"/>
      <c r="T3462" s="32"/>
      <c r="U3462" s="32"/>
      <c r="V3462" s="32"/>
      <c r="W3462" s="32"/>
      <c r="X3462" s="32"/>
      <c r="Y3462" s="32"/>
      <c r="Z3462" s="32"/>
    </row>
    <row r="3463" spans="1:26" ht="14.25" customHeight="1">
      <c r="A3463" s="36">
        <v>4</v>
      </c>
      <c r="B3463" s="39" t="s">
        <v>17</v>
      </c>
      <c r="C3463" s="38"/>
      <c r="D3463" s="38"/>
      <c r="E3463" s="38"/>
      <c r="F3463" s="60"/>
      <c r="G3463" s="37">
        <f t="shared" si="223"/>
        <v>0</v>
      </c>
      <c r="H3463" s="38"/>
      <c r="I3463" s="51"/>
      <c r="J3463" s="32"/>
      <c r="K3463" s="32"/>
      <c r="L3463" s="32"/>
      <c r="M3463" s="32"/>
      <c r="N3463" s="32"/>
      <c r="O3463" s="32"/>
      <c r="P3463" s="32"/>
      <c r="Q3463" s="32"/>
      <c r="R3463" s="32"/>
      <c r="S3463" s="32"/>
      <c r="T3463" s="32"/>
      <c r="U3463" s="32"/>
      <c r="V3463" s="32"/>
      <c r="W3463" s="32"/>
      <c r="X3463" s="32"/>
      <c r="Y3463" s="32"/>
      <c r="Z3463" s="32"/>
    </row>
    <row r="3464" spans="1:26" ht="14.25" customHeight="1">
      <c r="A3464" s="83" t="s">
        <v>18</v>
      </c>
      <c r="B3464" s="81"/>
      <c r="C3464" s="81"/>
      <c r="D3464" s="81"/>
      <c r="E3464" s="81"/>
      <c r="F3464" s="81"/>
      <c r="G3464" s="82"/>
      <c r="H3464" s="41">
        <f>SUM(G3461:G3463)</f>
        <v>1223400</v>
      </c>
      <c r="I3464" s="51"/>
      <c r="J3464" s="32"/>
      <c r="K3464" s="32"/>
      <c r="L3464" s="32"/>
      <c r="M3464" s="32"/>
      <c r="N3464" s="32"/>
      <c r="O3464" s="32"/>
      <c r="P3464" s="32"/>
      <c r="Q3464" s="32"/>
      <c r="R3464" s="32"/>
      <c r="S3464" s="32"/>
      <c r="T3464" s="32"/>
      <c r="U3464" s="32"/>
      <c r="V3464" s="32"/>
      <c r="W3464" s="32"/>
      <c r="X3464" s="32"/>
      <c r="Y3464" s="32"/>
      <c r="Z3464" s="32"/>
    </row>
    <row r="3465" spans="1:26" ht="14.25" customHeight="1">
      <c r="A3465" s="83" t="s">
        <v>19</v>
      </c>
      <c r="B3465" s="81"/>
      <c r="C3465" s="81"/>
      <c r="D3465" s="81"/>
      <c r="E3465" s="81"/>
      <c r="F3465" s="81"/>
      <c r="G3465" s="82"/>
      <c r="H3465" s="41">
        <f>MAX(0,H3464-648000)</f>
        <v>575400</v>
      </c>
      <c r="I3465" s="51"/>
      <c r="J3465" s="32"/>
      <c r="K3465" s="32"/>
      <c r="L3465" s="32"/>
      <c r="M3465" s="32"/>
      <c r="N3465" s="32"/>
      <c r="O3465" s="32"/>
      <c r="P3465" s="32"/>
      <c r="Q3465" s="32"/>
      <c r="R3465" s="32"/>
      <c r="S3465" s="32"/>
      <c r="T3465" s="32"/>
      <c r="U3465" s="32"/>
      <c r="V3465" s="32"/>
      <c r="W3465" s="32"/>
      <c r="X3465" s="32"/>
      <c r="Y3465" s="32"/>
      <c r="Z3465" s="32"/>
    </row>
    <row r="3466" spans="1:26" ht="14.25" customHeight="1">
      <c r="A3466" s="84" t="s">
        <v>20</v>
      </c>
      <c r="B3466" s="81"/>
      <c r="C3466" s="81"/>
      <c r="D3466" s="81"/>
      <c r="E3466" s="81"/>
      <c r="F3466" s="81"/>
      <c r="G3466" s="82"/>
      <c r="H3466" s="42">
        <v>649000</v>
      </c>
      <c r="I3466" s="51"/>
      <c r="J3466" s="32"/>
      <c r="K3466" s="32"/>
      <c r="L3466" s="32"/>
      <c r="M3466" s="32"/>
      <c r="N3466" s="32"/>
      <c r="O3466" s="32"/>
      <c r="P3466" s="32"/>
      <c r="Q3466" s="32"/>
      <c r="R3466" s="32"/>
      <c r="S3466" s="32"/>
      <c r="T3466" s="32"/>
      <c r="U3466" s="32"/>
      <c r="V3466" s="32"/>
      <c r="W3466" s="32"/>
      <c r="X3466" s="32"/>
      <c r="Y3466" s="32"/>
      <c r="Z3466" s="32"/>
    </row>
    <row r="3467" spans="1:26" ht="14.25" customHeight="1">
      <c r="A3467" s="80"/>
      <c r="B3467" s="81"/>
      <c r="C3467" s="81"/>
      <c r="D3467" s="81"/>
      <c r="E3467" s="81"/>
      <c r="F3467" s="81"/>
      <c r="G3467" s="81"/>
      <c r="H3467" s="82"/>
      <c r="I3467" s="51"/>
      <c r="J3467" s="32"/>
      <c r="K3467" s="32"/>
      <c r="L3467" s="32"/>
      <c r="M3467" s="32"/>
      <c r="N3467" s="32"/>
      <c r="O3467" s="32"/>
      <c r="P3467" s="32"/>
      <c r="Q3467" s="32"/>
      <c r="R3467" s="32"/>
      <c r="S3467" s="32"/>
      <c r="T3467" s="32"/>
      <c r="U3467" s="32"/>
      <c r="V3467" s="32"/>
      <c r="W3467" s="32"/>
      <c r="X3467" s="32"/>
      <c r="Y3467" s="32"/>
      <c r="Z3467" s="32"/>
    </row>
    <row r="3468" spans="1:26" ht="14.25" customHeight="1">
      <c r="I3468" s="51"/>
    </row>
    <row r="3469" spans="1:26" ht="14.25" customHeight="1">
      <c r="I3469" s="51"/>
    </row>
    <row r="3470" spans="1:26" ht="14.25" customHeight="1">
      <c r="I3470" s="51"/>
    </row>
    <row r="3471" spans="1:26" ht="14.25" customHeight="1">
      <c r="I3471" s="51"/>
    </row>
    <row r="3472" spans="1:26" ht="14.25" customHeight="1">
      <c r="I3472" s="51"/>
    </row>
    <row r="3473" spans="1:26" ht="14.25" customHeight="1">
      <c r="I3473" s="51"/>
    </row>
    <row r="3474" spans="1:26" ht="14.25" customHeight="1">
      <c r="I3474" s="51"/>
    </row>
    <row r="3475" spans="1:26" ht="14.25" customHeight="1">
      <c r="A3475" s="80" t="s">
        <v>0</v>
      </c>
      <c r="B3475" s="81"/>
      <c r="C3475" s="81"/>
      <c r="D3475" s="81"/>
      <c r="E3475" s="81"/>
      <c r="F3475" s="81"/>
      <c r="G3475" s="81"/>
      <c r="H3475" s="82"/>
      <c r="I3475" s="51"/>
      <c r="J3475" s="32"/>
      <c r="K3475" s="32"/>
      <c r="L3475" s="32"/>
      <c r="M3475" s="32"/>
      <c r="N3475" s="32"/>
      <c r="O3475" s="32"/>
      <c r="P3475" s="32"/>
      <c r="Q3475" s="32"/>
      <c r="R3475" s="32"/>
      <c r="S3475" s="32"/>
      <c r="T3475" s="32"/>
      <c r="U3475" s="32"/>
      <c r="V3475" s="32"/>
      <c r="W3475" s="32"/>
      <c r="X3475" s="32"/>
      <c r="Y3475" s="32"/>
      <c r="Z3475" s="32"/>
    </row>
    <row r="3476" spans="1:26" ht="14.25" customHeight="1">
      <c r="A3476" s="80" t="s">
        <v>928</v>
      </c>
      <c r="B3476" s="81"/>
      <c r="C3476" s="81"/>
      <c r="D3476" s="81"/>
      <c r="E3476" s="81"/>
      <c r="F3476" s="81"/>
      <c r="G3476" s="81"/>
      <c r="H3476" s="82"/>
      <c r="I3476" s="51"/>
      <c r="J3476" s="32"/>
      <c r="K3476" s="32"/>
      <c r="L3476" s="32"/>
      <c r="M3476" s="32"/>
      <c r="N3476" s="32"/>
      <c r="O3476" s="32"/>
      <c r="P3476" s="32"/>
      <c r="Q3476" s="32"/>
      <c r="R3476" s="32"/>
      <c r="S3476" s="32"/>
      <c r="T3476" s="32"/>
      <c r="U3476" s="32"/>
      <c r="V3476" s="32"/>
      <c r="W3476" s="32"/>
      <c r="X3476" s="32"/>
      <c r="Y3476" s="32"/>
      <c r="Z3476" s="32"/>
    </row>
    <row r="3477" spans="1:26" ht="14.25" customHeight="1">
      <c r="A3477" s="33" t="s">
        <v>2</v>
      </c>
      <c r="B3477" s="33" t="s">
        <v>3</v>
      </c>
      <c r="C3477" s="33" t="s">
        <v>4</v>
      </c>
      <c r="D3477" s="33" t="s">
        <v>5</v>
      </c>
      <c r="E3477" s="33" t="s">
        <v>6</v>
      </c>
      <c r="F3477" s="34" t="s">
        <v>7</v>
      </c>
      <c r="G3477" s="33" t="s">
        <v>8</v>
      </c>
      <c r="H3477" s="35"/>
      <c r="I3477" s="51"/>
      <c r="J3477" s="32"/>
      <c r="K3477" s="32"/>
      <c r="L3477" s="32"/>
      <c r="M3477" s="32"/>
      <c r="N3477" s="32"/>
      <c r="O3477" s="32"/>
      <c r="P3477" s="32"/>
      <c r="Q3477" s="32"/>
      <c r="R3477" s="32"/>
      <c r="S3477" s="32"/>
      <c r="T3477" s="32"/>
      <c r="U3477" s="32"/>
      <c r="V3477" s="32"/>
      <c r="W3477" s="32"/>
      <c r="X3477" s="32"/>
      <c r="Y3477" s="32"/>
      <c r="Z3477" s="32"/>
    </row>
    <row r="3478" spans="1:26" ht="14.25" customHeight="1">
      <c r="A3478" s="36">
        <v>1</v>
      </c>
      <c r="B3478" s="18" t="s">
        <v>179</v>
      </c>
      <c r="C3478" s="5" t="s">
        <v>929</v>
      </c>
      <c r="D3478" s="18" t="s">
        <v>413</v>
      </c>
      <c r="E3478" s="18">
        <v>1.04</v>
      </c>
      <c r="F3478" s="6">
        <v>293000</v>
      </c>
      <c r="G3478" s="37">
        <f t="shared" ref="G3478:G3480" si="224">IFERROR(E3478*F3478,0)</f>
        <v>304720</v>
      </c>
      <c r="H3478" s="38"/>
      <c r="I3478" s="51"/>
      <c r="J3478" s="32"/>
      <c r="K3478" s="32"/>
      <c r="L3478" s="32"/>
      <c r="M3478" s="32"/>
      <c r="N3478" s="32"/>
      <c r="O3478" s="32"/>
      <c r="P3478" s="32"/>
      <c r="Q3478" s="32"/>
      <c r="R3478" s="32"/>
      <c r="S3478" s="32"/>
      <c r="T3478" s="32"/>
      <c r="U3478" s="32"/>
      <c r="V3478" s="32"/>
      <c r="W3478" s="32"/>
      <c r="X3478" s="32"/>
      <c r="Y3478" s="32"/>
      <c r="Z3478" s="32"/>
    </row>
    <row r="3479" spans="1:26" ht="14.25" customHeight="1">
      <c r="A3479" s="36">
        <v>2</v>
      </c>
      <c r="B3479" s="12" t="s">
        <v>65</v>
      </c>
      <c r="C3479" s="10" t="s">
        <v>930</v>
      </c>
      <c r="D3479" s="12" t="s">
        <v>233</v>
      </c>
      <c r="E3479" s="12">
        <v>2.63</v>
      </c>
      <c r="F3479" s="43">
        <v>435000</v>
      </c>
      <c r="G3479" s="37">
        <f t="shared" si="224"/>
        <v>1144050</v>
      </c>
      <c r="H3479" s="38"/>
      <c r="I3479" s="51"/>
      <c r="J3479" s="32"/>
      <c r="K3479" s="32"/>
      <c r="L3479" s="32"/>
      <c r="M3479" s="32"/>
      <c r="N3479" s="32"/>
      <c r="O3479" s="32"/>
      <c r="P3479" s="32"/>
      <c r="Q3479" s="32"/>
      <c r="R3479" s="32"/>
      <c r="S3479" s="32"/>
      <c r="T3479" s="32"/>
      <c r="U3479" s="32"/>
      <c r="V3479" s="32"/>
      <c r="W3479" s="32"/>
      <c r="X3479" s="32"/>
      <c r="Y3479" s="32"/>
      <c r="Z3479" s="32"/>
    </row>
    <row r="3480" spans="1:26" ht="14.25" customHeight="1">
      <c r="A3480" s="36">
        <v>4</v>
      </c>
      <c r="B3480" s="39" t="s">
        <v>17</v>
      </c>
      <c r="C3480" s="38"/>
      <c r="D3480" s="38"/>
      <c r="E3480" s="38"/>
      <c r="F3480" s="60"/>
      <c r="G3480" s="37">
        <f t="shared" si="224"/>
        <v>0</v>
      </c>
      <c r="H3480" s="38"/>
      <c r="I3480" s="51"/>
      <c r="J3480" s="32"/>
      <c r="K3480" s="32"/>
      <c r="L3480" s="32"/>
      <c r="M3480" s="32"/>
      <c r="N3480" s="32"/>
      <c r="O3480" s="32"/>
      <c r="P3480" s="32"/>
      <c r="Q3480" s="32"/>
      <c r="R3480" s="32"/>
      <c r="S3480" s="32"/>
      <c r="T3480" s="32"/>
      <c r="U3480" s="32"/>
      <c r="V3480" s="32"/>
      <c r="W3480" s="32"/>
      <c r="X3480" s="32"/>
      <c r="Y3480" s="32"/>
      <c r="Z3480" s="32"/>
    </row>
    <row r="3481" spans="1:26" ht="14.25" customHeight="1">
      <c r="A3481" s="83" t="s">
        <v>18</v>
      </c>
      <c r="B3481" s="81"/>
      <c r="C3481" s="81"/>
      <c r="D3481" s="81"/>
      <c r="E3481" s="81"/>
      <c r="F3481" s="81"/>
      <c r="G3481" s="82"/>
      <c r="H3481" s="41">
        <f>SUM(G3478:G3480)</f>
        <v>1448770</v>
      </c>
      <c r="I3481" s="51"/>
      <c r="J3481" s="32"/>
      <c r="K3481" s="32"/>
      <c r="L3481" s="32"/>
      <c r="M3481" s="32"/>
      <c r="N3481" s="32"/>
      <c r="O3481" s="32"/>
      <c r="P3481" s="32"/>
      <c r="Q3481" s="32"/>
      <c r="R3481" s="32"/>
      <c r="S3481" s="32"/>
      <c r="T3481" s="32"/>
      <c r="U3481" s="32"/>
      <c r="V3481" s="32"/>
      <c r="W3481" s="32"/>
      <c r="X3481" s="32"/>
      <c r="Y3481" s="32"/>
      <c r="Z3481" s="32"/>
    </row>
    <row r="3482" spans="1:26" ht="14.25" customHeight="1">
      <c r="A3482" s="83" t="s">
        <v>19</v>
      </c>
      <c r="B3482" s="81"/>
      <c r="C3482" s="81"/>
      <c r="D3482" s="81"/>
      <c r="E3482" s="81"/>
      <c r="F3482" s="81"/>
      <c r="G3482" s="82"/>
      <c r="H3482" s="41">
        <f>MAX(0,H3481-648000)</f>
        <v>800770</v>
      </c>
      <c r="I3482" s="51"/>
      <c r="J3482" s="32"/>
      <c r="K3482" s="32"/>
      <c r="L3482" s="32"/>
      <c r="M3482" s="32"/>
      <c r="N3482" s="32"/>
      <c r="O3482" s="32"/>
      <c r="P3482" s="32"/>
      <c r="Q3482" s="32"/>
      <c r="R3482" s="32"/>
      <c r="S3482" s="32"/>
      <c r="T3482" s="32"/>
      <c r="U3482" s="32"/>
      <c r="V3482" s="32"/>
      <c r="W3482" s="32"/>
      <c r="X3482" s="32"/>
      <c r="Y3482" s="32"/>
      <c r="Z3482" s="32"/>
    </row>
    <row r="3483" spans="1:26" ht="14.25" customHeight="1">
      <c r="A3483" s="84" t="s">
        <v>20</v>
      </c>
      <c r="B3483" s="81"/>
      <c r="C3483" s="81"/>
      <c r="D3483" s="81"/>
      <c r="E3483" s="81"/>
      <c r="F3483" s="81"/>
      <c r="G3483" s="82"/>
      <c r="H3483" s="42">
        <v>649000</v>
      </c>
      <c r="I3483" s="51"/>
      <c r="J3483" s="32"/>
      <c r="K3483" s="32"/>
      <c r="L3483" s="32"/>
      <c r="M3483" s="32"/>
      <c r="N3483" s="32"/>
      <c r="O3483" s="32"/>
      <c r="P3483" s="32"/>
      <c r="Q3483" s="32"/>
      <c r="R3483" s="32"/>
      <c r="S3483" s="32"/>
      <c r="T3483" s="32"/>
      <c r="U3483" s="32"/>
      <c r="V3483" s="32"/>
      <c r="W3483" s="32"/>
      <c r="X3483" s="32"/>
      <c r="Y3483" s="32"/>
      <c r="Z3483" s="32"/>
    </row>
    <row r="3484" spans="1:26" ht="14.25" customHeight="1">
      <c r="A3484" s="80"/>
      <c r="B3484" s="81"/>
      <c r="C3484" s="81"/>
      <c r="D3484" s="81"/>
      <c r="E3484" s="81"/>
      <c r="F3484" s="81"/>
      <c r="G3484" s="81"/>
      <c r="H3484" s="82"/>
      <c r="I3484" s="51"/>
      <c r="J3484" s="32"/>
      <c r="K3484" s="32"/>
      <c r="L3484" s="32"/>
      <c r="M3484" s="32"/>
      <c r="N3484" s="32"/>
      <c r="O3484" s="32"/>
      <c r="P3484" s="32"/>
      <c r="Q3484" s="32"/>
      <c r="R3484" s="32"/>
      <c r="S3484" s="32"/>
      <c r="T3484" s="32"/>
      <c r="U3484" s="32"/>
      <c r="V3484" s="32"/>
      <c r="W3484" s="32"/>
      <c r="X3484" s="32"/>
      <c r="Y3484" s="32"/>
      <c r="Z3484" s="32"/>
    </row>
    <row r="3485" spans="1:26" ht="14.25" customHeight="1">
      <c r="I3485" s="51"/>
    </row>
    <row r="3486" spans="1:26" ht="14.25" customHeight="1">
      <c r="I3486" s="51"/>
    </row>
    <row r="3487" spans="1:26" ht="14.25" customHeight="1">
      <c r="I3487" s="51"/>
    </row>
    <row r="3488" spans="1:26" ht="14.25" customHeight="1">
      <c r="I3488" s="51"/>
    </row>
    <row r="3489" spans="1:26" ht="14.25" customHeight="1">
      <c r="I3489" s="51"/>
    </row>
    <row r="3490" spans="1:26" ht="14.25" customHeight="1">
      <c r="I3490" s="51"/>
    </row>
    <row r="3491" spans="1:26" ht="14.25" customHeight="1">
      <c r="I3491" s="51"/>
    </row>
    <row r="3492" spans="1:26" ht="14.25" customHeight="1">
      <c r="I3492" s="51"/>
    </row>
    <row r="3493" spans="1:26" ht="14.25" customHeight="1">
      <c r="I3493" s="51"/>
    </row>
    <row r="3494" spans="1:26" ht="14.25" customHeight="1">
      <c r="A3494" s="80" t="s">
        <v>0</v>
      </c>
      <c r="B3494" s="81"/>
      <c r="C3494" s="81"/>
      <c r="D3494" s="81"/>
      <c r="E3494" s="81"/>
      <c r="F3494" s="81"/>
      <c r="G3494" s="81"/>
      <c r="H3494" s="82"/>
      <c r="I3494" s="51"/>
      <c r="J3494" s="32"/>
      <c r="K3494" s="32"/>
      <c r="L3494" s="32"/>
      <c r="M3494" s="32"/>
      <c r="N3494" s="32"/>
      <c r="O3494" s="32"/>
      <c r="P3494" s="32"/>
      <c r="Q3494" s="32"/>
      <c r="R3494" s="32"/>
      <c r="S3494" s="32"/>
      <c r="T3494" s="32"/>
      <c r="U3494" s="32"/>
      <c r="V3494" s="32"/>
      <c r="W3494" s="32"/>
      <c r="X3494" s="32"/>
      <c r="Y3494" s="32"/>
      <c r="Z3494" s="32"/>
    </row>
    <row r="3495" spans="1:26" ht="14.25" customHeight="1">
      <c r="A3495" s="80" t="s">
        <v>931</v>
      </c>
      <c r="B3495" s="81"/>
      <c r="C3495" s="81"/>
      <c r="D3495" s="81"/>
      <c r="E3495" s="81"/>
      <c r="F3495" s="81"/>
      <c r="G3495" s="81"/>
      <c r="H3495" s="82"/>
      <c r="I3495" s="51"/>
      <c r="J3495" s="32"/>
      <c r="K3495" s="32"/>
      <c r="L3495" s="32"/>
      <c r="M3495" s="32"/>
      <c r="N3495" s="32"/>
      <c r="O3495" s="32"/>
      <c r="P3495" s="32"/>
      <c r="Q3495" s="32"/>
      <c r="R3495" s="32"/>
      <c r="S3495" s="32"/>
      <c r="T3495" s="32"/>
      <c r="U3495" s="32"/>
      <c r="V3495" s="32"/>
      <c r="W3495" s="32"/>
      <c r="X3495" s="32"/>
      <c r="Y3495" s="32"/>
      <c r="Z3495" s="32"/>
    </row>
    <row r="3496" spans="1:26" ht="14.25" customHeight="1">
      <c r="A3496" s="33" t="s">
        <v>2</v>
      </c>
      <c r="B3496" s="33" t="s">
        <v>3</v>
      </c>
      <c r="C3496" s="33" t="s">
        <v>4</v>
      </c>
      <c r="D3496" s="33" t="s">
        <v>5</v>
      </c>
      <c r="E3496" s="33" t="s">
        <v>6</v>
      </c>
      <c r="F3496" s="34" t="s">
        <v>7</v>
      </c>
      <c r="G3496" s="33" t="s">
        <v>8</v>
      </c>
      <c r="H3496" s="35"/>
      <c r="I3496" s="51"/>
      <c r="J3496" s="32"/>
      <c r="K3496" s="32"/>
      <c r="L3496" s="32"/>
      <c r="M3496" s="32"/>
      <c r="N3496" s="32"/>
      <c r="O3496" s="32"/>
      <c r="P3496" s="32"/>
      <c r="Q3496" s="32"/>
      <c r="R3496" s="32"/>
      <c r="S3496" s="32"/>
      <c r="T3496" s="32"/>
      <c r="U3496" s="32"/>
      <c r="V3496" s="32"/>
      <c r="W3496" s="32"/>
      <c r="X3496" s="32"/>
      <c r="Y3496" s="32"/>
      <c r="Z3496" s="32"/>
    </row>
    <row r="3497" spans="1:26" ht="14.25" customHeight="1">
      <c r="A3497" s="36">
        <v>1</v>
      </c>
      <c r="B3497" s="18" t="s">
        <v>213</v>
      </c>
      <c r="C3497" s="5" t="s">
        <v>932</v>
      </c>
      <c r="D3497" s="18" t="s">
        <v>413</v>
      </c>
      <c r="E3497" s="18">
        <v>1.66</v>
      </c>
      <c r="F3497" s="6">
        <v>293000</v>
      </c>
      <c r="G3497" s="37">
        <f t="shared" ref="G3497:G3499" si="225">IFERROR(E3497*F3497,0)</f>
        <v>486380</v>
      </c>
      <c r="H3497" s="38"/>
      <c r="I3497" s="51"/>
      <c r="J3497" s="32"/>
      <c r="K3497" s="32"/>
      <c r="L3497" s="32"/>
      <c r="M3497" s="32"/>
      <c r="N3497" s="32"/>
      <c r="O3497" s="32"/>
      <c r="P3497" s="32"/>
      <c r="Q3497" s="32"/>
      <c r="R3497" s="32"/>
      <c r="S3497" s="32"/>
      <c r="T3497" s="32"/>
      <c r="U3497" s="32"/>
      <c r="V3497" s="32"/>
      <c r="W3497" s="32"/>
      <c r="X3497" s="32"/>
      <c r="Y3497" s="32"/>
      <c r="Z3497" s="32"/>
    </row>
    <row r="3498" spans="1:26" ht="14.25" customHeight="1">
      <c r="A3498" s="36">
        <v>2</v>
      </c>
      <c r="B3498" s="12" t="s">
        <v>169</v>
      </c>
      <c r="C3498" s="10" t="s">
        <v>933</v>
      </c>
      <c r="D3498" s="12" t="s">
        <v>233</v>
      </c>
      <c r="E3498" s="12">
        <v>1.75</v>
      </c>
      <c r="F3498" s="43">
        <v>435000</v>
      </c>
      <c r="G3498" s="37">
        <f t="shared" si="225"/>
        <v>761250</v>
      </c>
      <c r="H3498" s="38"/>
      <c r="I3498" s="51"/>
      <c r="J3498" s="32"/>
      <c r="K3498" s="32"/>
      <c r="L3498" s="32"/>
      <c r="M3498" s="32"/>
      <c r="N3498" s="32"/>
      <c r="O3498" s="32"/>
      <c r="P3498" s="32"/>
      <c r="Q3498" s="32"/>
      <c r="R3498" s="32"/>
      <c r="S3498" s="32"/>
      <c r="T3498" s="32"/>
      <c r="U3498" s="32"/>
      <c r="V3498" s="32"/>
      <c r="W3498" s="32"/>
      <c r="X3498" s="32"/>
      <c r="Y3498" s="32"/>
      <c r="Z3498" s="32"/>
    </row>
    <row r="3499" spans="1:26" ht="14.25" customHeight="1">
      <c r="A3499" s="36">
        <v>4</v>
      </c>
      <c r="B3499" s="39" t="s">
        <v>17</v>
      </c>
      <c r="C3499" s="38"/>
      <c r="D3499" s="38"/>
      <c r="E3499" s="38"/>
      <c r="F3499" s="60"/>
      <c r="G3499" s="37">
        <f t="shared" si="225"/>
        <v>0</v>
      </c>
      <c r="H3499" s="38"/>
      <c r="I3499" s="51"/>
      <c r="J3499" s="32"/>
      <c r="K3499" s="32"/>
      <c r="L3499" s="32"/>
      <c r="M3499" s="32"/>
      <c r="N3499" s="32"/>
      <c r="O3499" s="32"/>
      <c r="P3499" s="32"/>
      <c r="Q3499" s="32"/>
      <c r="R3499" s="32"/>
      <c r="S3499" s="32"/>
      <c r="T3499" s="32"/>
      <c r="U3499" s="32"/>
      <c r="V3499" s="32"/>
      <c r="W3499" s="32"/>
      <c r="X3499" s="32"/>
      <c r="Y3499" s="32"/>
      <c r="Z3499" s="32"/>
    </row>
    <row r="3500" spans="1:26" ht="14.25" customHeight="1">
      <c r="A3500" s="83" t="s">
        <v>18</v>
      </c>
      <c r="B3500" s="81"/>
      <c r="C3500" s="81"/>
      <c r="D3500" s="81"/>
      <c r="E3500" s="81"/>
      <c r="F3500" s="81"/>
      <c r="G3500" s="82"/>
      <c r="H3500" s="41">
        <f>SUM(G3497:G3499)</f>
        <v>1247630</v>
      </c>
      <c r="I3500" s="51"/>
      <c r="J3500" s="32"/>
      <c r="K3500" s="32"/>
      <c r="L3500" s="32"/>
      <c r="M3500" s="32"/>
      <c r="N3500" s="32"/>
      <c r="O3500" s="32"/>
      <c r="P3500" s="32"/>
      <c r="Q3500" s="32"/>
      <c r="R3500" s="32"/>
      <c r="S3500" s="32"/>
      <c r="T3500" s="32"/>
      <c r="U3500" s="32"/>
      <c r="V3500" s="32"/>
      <c r="W3500" s="32"/>
      <c r="X3500" s="32"/>
      <c r="Y3500" s="32"/>
      <c r="Z3500" s="32"/>
    </row>
    <row r="3501" spans="1:26" ht="14.25" customHeight="1">
      <c r="A3501" s="83" t="s">
        <v>19</v>
      </c>
      <c r="B3501" s="81"/>
      <c r="C3501" s="81"/>
      <c r="D3501" s="81"/>
      <c r="E3501" s="81"/>
      <c r="F3501" s="81"/>
      <c r="G3501" s="82"/>
      <c r="H3501" s="41">
        <f>MAX(0,H3500-648000)</f>
        <v>599630</v>
      </c>
      <c r="I3501" s="51"/>
      <c r="J3501" s="32"/>
      <c r="K3501" s="32"/>
      <c r="L3501" s="32"/>
      <c r="M3501" s="32"/>
      <c r="N3501" s="32"/>
      <c r="O3501" s="32"/>
      <c r="P3501" s="32"/>
      <c r="Q3501" s="32"/>
      <c r="R3501" s="32"/>
      <c r="S3501" s="32"/>
      <c r="T3501" s="32"/>
      <c r="U3501" s="32"/>
      <c r="V3501" s="32"/>
      <c r="W3501" s="32"/>
      <c r="X3501" s="32"/>
      <c r="Y3501" s="32"/>
      <c r="Z3501" s="32"/>
    </row>
    <row r="3502" spans="1:26" ht="14.25" customHeight="1">
      <c r="A3502" s="84" t="s">
        <v>20</v>
      </c>
      <c r="B3502" s="81"/>
      <c r="C3502" s="81"/>
      <c r="D3502" s="81"/>
      <c r="E3502" s="81"/>
      <c r="F3502" s="81"/>
      <c r="G3502" s="82"/>
      <c r="H3502" s="42">
        <v>649000</v>
      </c>
      <c r="I3502" s="51"/>
      <c r="J3502" s="32"/>
      <c r="K3502" s="32"/>
      <c r="L3502" s="32"/>
      <c r="M3502" s="32"/>
      <c r="N3502" s="32"/>
      <c r="O3502" s="32"/>
      <c r="P3502" s="32"/>
      <c r="Q3502" s="32"/>
      <c r="R3502" s="32"/>
      <c r="S3502" s="32"/>
      <c r="T3502" s="32"/>
      <c r="U3502" s="32"/>
      <c r="V3502" s="32"/>
      <c r="W3502" s="32"/>
      <c r="X3502" s="32"/>
      <c r="Y3502" s="32"/>
      <c r="Z3502" s="32"/>
    </row>
    <row r="3503" spans="1:26" ht="14.25" customHeight="1">
      <c r="A3503" s="80"/>
      <c r="B3503" s="81"/>
      <c r="C3503" s="81"/>
      <c r="D3503" s="81"/>
      <c r="E3503" s="81"/>
      <c r="F3503" s="81"/>
      <c r="G3503" s="81"/>
      <c r="H3503" s="82"/>
      <c r="I3503" s="51"/>
      <c r="J3503" s="32"/>
      <c r="K3503" s="32"/>
      <c r="L3503" s="32"/>
      <c r="M3503" s="32"/>
      <c r="N3503" s="32"/>
      <c r="O3503" s="32"/>
      <c r="P3503" s="32"/>
      <c r="Q3503" s="32"/>
      <c r="R3503" s="32"/>
      <c r="S3503" s="32"/>
      <c r="T3503" s="32"/>
      <c r="U3503" s="32"/>
      <c r="V3503" s="32"/>
      <c r="W3503" s="32"/>
      <c r="X3503" s="32"/>
      <c r="Y3503" s="32"/>
      <c r="Z3503" s="32"/>
    </row>
    <row r="3504" spans="1:26" ht="14.25" customHeight="1">
      <c r="I3504" s="51"/>
    </row>
    <row r="3505" spans="1:26" ht="14.25" customHeight="1">
      <c r="I3505" s="51"/>
    </row>
    <row r="3506" spans="1:26" ht="14.25" customHeight="1">
      <c r="I3506" s="51"/>
    </row>
    <row r="3507" spans="1:26" ht="14.25" customHeight="1">
      <c r="I3507" s="51"/>
    </row>
    <row r="3508" spans="1:26" ht="14.25" customHeight="1">
      <c r="I3508" s="51"/>
    </row>
    <row r="3509" spans="1:26" ht="14.25" customHeight="1">
      <c r="I3509" s="51"/>
    </row>
    <row r="3510" spans="1:26" ht="14.25" customHeight="1">
      <c r="I3510" s="51"/>
    </row>
    <row r="3511" spans="1:26" ht="14.25" customHeight="1">
      <c r="A3511" s="80" t="s">
        <v>0</v>
      </c>
      <c r="B3511" s="81"/>
      <c r="C3511" s="81"/>
      <c r="D3511" s="81"/>
      <c r="E3511" s="81"/>
      <c r="F3511" s="81"/>
      <c r="G3511" s="81"/>
      <c r="H3511" s="82"/>
      <c r="I3511" s="51"/>
      <c r="J3511" s="32"/>
      <c r="K3511" s="32"/>
      <c r="L3511" s="32"/>
      <c r="M3511" s="32"/>
      <c r="N3511" s="32"/>
      <c r="O3511" s="32"/>
      <c r="P3511" s="32"/>
      <c r="Q3511" s="32"/>
      <c r="R3511" s="32"/>
      <c r="S3511" s="32"/>
      <c r="T3511" s="32"/>
      <c r="U3511" s="32"/>
      <c r="V3511" s="32"/>
      <c r="W3511" s="32"/>
      <c r="X3511" s="32"/>
      <c r="Y3511" s="32"/>
      <c r="Z3511" s="32"/>
    </row>
    <row r="3512" spans="1:26" ht="14.25" customHeight="1">
      <c r="A3512" s="80" t="s">
        <v>934</v>
      </c>
      <c r="B3512" s="81"/>
      <c r="C3512" s="81"/>
      <c r="D3512" s="81"/>
      <c r="E3512" s="81"/>
      <c r="F3512" s="81"/>
      <c r="G3512" s="81"/>
      <c r="H3512" s="82"/>
      <c r="I3512" s="51"/>
      <c r="J3512" s="32"/>
      <c r="K3512" s="32"/>
      <c r="L3512" s="32"/>
      <c r="M3512" s="32"/>
      <c r="N3512" s="32"/>
      <c r="O3512" s="32"/>
      <c r="P3512" s="32"/>
      <c r="Q3512" s="32"/>
      <c r="R3512" s="32"/>
      <c r="S3512" s="32"/>
      <c r="T3512" s="32"/>
      <c r="U3512" s="32"/>
      <c r="V3512" s="32"/>
      <c r="W3512" s="32"/>
      <c r="X3512" s="32"/>
      <c r="Y3512" s="32"/>
      <c r="Z3512" s="32"/>
    </row>
    <row r="3513" spans="1:26" ht="14.25" customHeight="1">
      <c r="A3513" s="33" t="s">
        <v>2</v>
      </c>
      <c r="B3513" s="33" t="s">
        <v>3</v>
      </c>
      <c r="C3513" s="33" t="s">
        <v>4</v>
      </c>
      <c r="D3513" s="33" t="s">
        <v>5</v>
      </c>
      <c r="E3513" s="33" t="s">
        <v>6</v>
      </c>
      <c r="F3513" s="34" t="s">
        <v>7</v>
      </c>
      <c r="G3513" s="33" t="s">
        <v>8</v>
      </c>
      <c r="H3513" s="35"/>
      <c r="I3513" s="51"/>
      <c r="J3513" s="32"/>
      <c r="K3513" s="32"/>
      <c r="L3513" s="32"/>
      <c r="M3513" s="32"/>
      <c r="N3513" s="32"/>
      <c r="O3513" s="32"/>
      <c r="P3513" s="32"/>
      <c r="Q3513" s="32"/>
      <c r="R3513" s="32"/>
      <c r="S3513" s="32"/>
      <c r="T3513" s="32"/>
      <c r="U3513" s="32"/>
      <c r="V3513" s="32"/>
      <c r="W3513" s="32"/>
      <c r="X3513" s="32"/>
      <c r="Y3513" s="32"/>
      <c r="Z3513" s="32"/>
    </row>
    <row r="3514" spans="1:26" ht="14.25" customHeight="1">
      <c r="A3514" s="36">
        <v>1</v>
      </c>
      <c r="B3514" s="18" t="s">
        <v>65</v>
      </c>
      <c r="C3514" s="5" t="s">
        <v>935</v>
      </c>
      <c r="D3514" s="18" t="s">
        <v>413</v>
      </c>
      <c r="E3514" s="18">
        <v>1.53</v>
      </c>
      <c r="F3514" s="6">
        <v>293000</v>
      </c>
      <c r="G3514" s="37">
        <f t="shared" ref="G3514:G3516" si="226">IFERROR(E3514*F3514,0)</f>
        <v>448290</v>
      </c>
      <c r="H3514" s="38"/>
      <c r="I3514" s="51"/>
      <c r="J3514" s="32"/>
      <c r="K3514" s="32"/>
      <c r="L3514" s="32"/>
      <c r="M3514" s="32"/>
      <c r="N3514" s="32"/>
      <c r="O3514" s="32"/>
      <c r="P3514" s="32"/>
      <c r="Q3514" s="32"/>
      <c r="R3514" s="32"/>
      <c r="S3514" s="32"/>
      <c r="T3514" s="32"/>
      <c r="U3514" s="32"/>
      <c r="V3514" s="32"/>
      <c r="W3514" s="32"/>
      <c r="X3514" s="32"/>
      <c r="Y3514" s="32"/>
      <c r="Z3514" s="32"/>
    </row>
    <row r="3515" spans="1:26" ht="14.25" customHeight="1">
      <c r="A3515" s="36">
        <v>2</v>
      </c>
      <c r="B3515" s="12" t="s">
        <v>621</v>
      </c>
      <c r="C3515" s="10" t="s">
        <v>936</v>
      </c>
      <c r="D3515" s="12" t="s">
        <v>233</v>
      </c>
      <c r="E3515" s="12">
        <v>2</v>
      </c>
      <c r="F3515" s="43">
        <v>435000</v>
      </c>
      <c r="G3515" s="37">
        <f t="shared" si="226"/>
        <v>870000</v>
      </c>
      <c r="H3515" s="38"/>
      <c r="I3515" s="51"/>
      <c r="J3515" s="32"/>
      <c r="K3515" s="32"/>
      <c r="L3515" s="32"/>
      <c r="M3515" s="32"/>
      <c r="N3515" s="32"/>
      <c r="O3515" s="32"/>
      <c r="P3515" s="32"/>
      <c r="Q3515" s="32"/>
      <c r="R3515" s="32"/>
      <c r="S3515" s="32"/>
      <c r="T3515" s="32"/>
      <c r="U3515" s="32"/>
      <c r="V3515" s="32"/>
      <c r="W3515" s="32"/>
      <c r="X3515" s="32"/>
      <c r="Y3515" s="32"/>
      <c r="Z3515" s="32"/>
    </row>
    <row r="3516" spans="1:26" ht="14.25" customHeight="1">
      <c r="A3516" s="36">
        <v>4</v>
      </c>
      <c r="B3516" s="39" t="s">
        <v>17</v>
      </c>
      <c r="C3516" s="38"/>
      <c r="D3516" s="38"/>
      <c r="E3516" s="38"/>
      <c r="F3516" s="60"/>
      <c r="G3516" s="37">
        <f t="shared" si="226"/>
        <v>0</v>
      </c>
      <c r="H3516" s="38"/>
      <c r="I3516" s="51"/>
      <c r="J3516" s="32"/>
      <c r="K3516" s="32"/>
      <c r="L3516" s="32"/>
      <c r="M3516" s="32"/>
      <c r="N3516" s="32"/>
      <c r="O3516" s="32"/>
      <c r="P3516" s="32"/>
      <c r="Q3516" s="32"/>
      <c r="R3516" s="32"/>
      <c r="S3516" s="32"/>
      <c r="T3516" s="32"/>
      <c r="U3516" s="32"/>
      <c r="V3516" s="32"/>
      <c r="W3516" s="32"/>
      <c r="X3516" s="32"/>
      <c r="Y3516" s="32"/>
      <c r="Z3516" s="32"/>
    </row>
    <row r="3517" spans="1:26" ht="14.25" customHeight="1">
      <c r="A3517" s="83" t="s">
        <v>18</v>
      </c>
      <c r="B3517" s="81"/>
      <c r="C3517" s="81"/>
      <c r="D3517" s="81"/>
      <c r="E3517" s="81"/>
      <c r="F3517" s="81"/>
      <c r="G3517" s="82"/>
      <c r="H3517" s="41">
        <f>SUM(G3514:G3516)</f>
        <v>1318290</v>
      </c>
      <c r="I3517" s="51"/>
      <c r="J3517" s="32"/>
      <c r="K3517" s="32"/>
      <c r="L3517" s="32"/>
      <c r="M3517" s="32"/>
      <c r="N3517" s="32"/>
      <c r="O3517" s="32"/>
      <c r="P3517" s="32"/>
      <c r="Q3517" s="32"/>
      <c r="R3517" s="32"/>
      <c r="S3517" s="32"/>
      <c r="T3517" s="32"/>
      <c r="U3517" s="32"/>
      <c r="V3517" s="32"/>
      <c r="W3517" s="32"/>
      <c r="X3517" s="32"/>
      <c r="Y3517" s="32"/>
      <c r="Z3517" s="32"/>
    </row>
    <row r="3518" spans="1:26" ht="14.25" customHeight="1">
      <c r="A3518" s="83" t="s">
        <v>19</v>
      </c>
      <c r="B3518" s="81"/>
      <c r="C3518" s="81"/>
      <c r="D3518" s="81"/>
      <c r="E3518" s="81"/>
      <c r="F3518" s="81"/>
      <c r="G3518" s="82"/>
      <c r="H3518" s="41">
        <f>MAX(0,H3517-648000)</f>
        <v>670290</v>
      </c>
      <c r="I3518" s="51"/>
      <c r="J3518" s="32"/>
      <c r="K3518" s="32"/>
      <c r="L3518" s="32"/>
      <c r="M3518" s="32"/>
      <c r="N3518" s="32"/>
      <c r="O3518" s="32"/>
      <c r="P3518" s="32"/>
      <c r="Q3518" s="32"/>
      <c r="R3518" s="32"/>
      <c r="S3518" s="32"/>
      <c r="T3518" s="32"/>
      <c r="U3518" s="32"/>
      <c r="V3518" s="32"/>
      <c r="W3518" s="32"/>
      <c r="X3518" s="32"/>
      <c r="Y3518" s="32"/>
      <c r="Z3518" s="32"/>
    </row>
    <row r="3519" spans="1:26" ht="14.25" customHeight="1">
      <c r="A3519" s="84" t="s">
        <v>20</v>
      </c>
      <c r="B3519" s="81"/>
      <c r="C3519" s="81"/>
      <c r="D3519" s="81"/>
      <c r="E3519" s="81"/>
      <c r="F3519" s="81"/>
      <c r="G3519" s="82"/>
      <c r="H3519" s="42">
        <v>649000</v>
      </c>
      <c r="I3519" s="51"/>
      <c r="J3519" s="32"/>
      <c r="K3519" s="32"/>
      <c r="L3519" s="32"/>
      <c r="M3519" s="32"/>
      <c r="N3519" s="32"/>
      <c r="O3519" s="32"/>
      <c r="P3519" s="32"/>
      <c r="Q3519" s="32"/>
      <c r="R3519" s="32"/>
      <c r="S3519" s="32"/>
      <c r="T3519" s="32"/>
      <c r="U3519" s="32"/>
      <c r="V3519" s="32"/>
      <c r="W3519" s="32"/>
      <c r="X3519" s="32"/>
      <c r="Y3519" s="32"/>
      <c r="Z3519" s="32"/>
    </row>
    <row r="3520" spans="1:26" ht="14.25" customHeight="1">
      <c r="A3520" s="80"/>
      <c r="B3520" s="81"/>
      <c r="C3520" s="81"/>
      <c r="D3520" s="81"/>
      <c r="E3520" s="81"/>
      <c r="F3520" s="81"/>
      <c r="G3520" s="81"/>
      <c r="H3520" s="82"/>
      <c r="I3520" s="51"/>
      <c r="J3520" s="32"/>
      <c r="K3520" s="32"/>
      <c r="L3520" s="32"/>
      <c r="M3520" s="32"/>
      <c r="N3520" s="32"/>
      <c r="O3520" s="32"/>
      <c r="P3520" s="32"/>
      <c r="Q3520" s="32"/>
      <c r="R3520" s="32"/>
      <c r="S3520" s="32"/>
      <c r="T3520" s="32"/>
      <c r="U3520" s="32"/>
      <c r="V3520" s="32"/>
      <c r="W3520" s="32"/>
      <c r="X3520" s="32"/>
      <c r="Y3520" s="32"/>
      <c r="Z3520" s="32"/>
    </row>
    <row r="3521" spans="1:26" ht="14.25" customHeight="1">
      <c r="I3521" s="51"/>
    </row>
    <row r="3522" spans="1:26" ht="14.25" customHeight="1">
      <c r="I3522" s="51"/>
    </row>
    <row r="3523" spans="1:26" ht="14.25" customHeight="1">
      <c r="I3523" s="51"/>
    </row>
    <row r="3524" spans="1:26" ht="14.25" customHeight="1">
      <c r="I3524" s="51"/>
    </row>
    <row r="3525" spans="1:26" ht="14.25" customHeight="1">
      <c r="I3525" s="51"/>
    </row>
    <row r="3526" spans="1:26" ht="14.25" customHeight="1">
      <c r="I3526" s="51"/>
    </row>
    <row r="3527" spans="1:26" ht="14.25" customHeight="1">
      <c r="I3527" s="51"/>
    </row>
    <row r="3528" spans="1:26" ht="14.25" customHeight="1">
      <c r="A3528" s="80" t="s">
        <v>0</v>
      </c>
      <c r="B3528" s="81"/>
      <c r="C3528" s="81"/>
      <c r="D3528" s="81"/>
      <c r="E3528" s="81"/>
      <c r="F3528" s="81"/>
      <c r="G3528" s="81"/>
      <c r="H3528" s="82"/>
      <c r="I3528" s="51"/>
      <c r="J3528" s="32"/>
      <c r="K3528" s="32"/>
      <c r="L3528" s="32"/>
      <c r="M3528" s="32"/>
      <c r="N3528" s="32"/>
      <c r="O3528" s="32"/>
      <c r="P3528" s="32"/>
      <c r="Q3528" s="32"/>
      <c r="R3528" s="32"/>
      <c r="S3528" s="32"/>
      <c r="T3528" s="32"/>
      <c r="U3528" s="32"/>
      <c r="V3528" s="32"/>
      <c r="W3528" s="32"/>
      <c r="X3528" s="32"/>
      <c r="Y3528" s="32"/>
      <c r="Z3528" s="32"/>
    </row>
    <row r="3529" spans="1:26" ht="14.25" customHeight="1">
      <c r="A3529" s="80" t="s">
        <v>937</v>
      </c>
      <c r="B3529" s="81"/>
      <c r="C3529" s="81"/>
      <c r="D3529" s="81"/>
      <c r="E3529" s="81"/>
      <c r="F3529" s="81"/>
      <c r="G3529" s="81"/>
      <c r="H3529" s="82"/>
      <c r="I3529" s="51"/>
      <c r="J3529" s="32"/>
      <c r="K3529" s="32"/>
      <c r="L3529" s="32"/>
      <c r="M3529" s="32"/>
      <c r="N3529" s="32"/>
      <c r="O3529" s="32"/>
      <c r="P3529" s="32"/>
      <c r="Q3529" s="32"/>
      <c r="R3529" s="32"/>
      <c r="S3529" s="32"/>
      <c r="T3529" s="32"/>
      <c r="U3529" s="32"/>
      <c r="V3529" s="32"/>
      <c r="W3529" s="32"/>
      <c r="X3529" s="32"/>
      <c r="Y3529" s="32"/>
      <c r="Z3529" s="32"/>
    </row>
    <row r="3530" spans="1:26" ht="14.25" customHeight="1">
      <c r="A3530" s="33" t="s">
        <v>2</v>
      </c>
      <c r="B3530" s="33" t="s">
        <v>3</v>
      </c>
      <c r="C3530" s="33" t="s">
        <v>4</v>
      </c>
      <c r="D3530" s="33" t="s">
        <v>5</v>
      </c>
      <c r="E3530" s="33" t="s">
        <v>6</v>
      </c>
      <c r="F3530" s="34" t="s">
        <v>7</v>
      </c>
      <c r="G3530" s="33" t="s">
        <v>8</v>
      </c>
      <c r="H3530" s="35"/>
      <c r="I3530" s="51"/>
      <c r="J3530" s="32"/>
      <c r="K3530" s="32"/>
      <c r="L3530" s="32"/>
      <c r="M3530" s="32"/>
      <c r="N3530" s="32"/>
      <c r="O3530" s="32"/>
      <c r="P3530" s="32"/>
      <c r="Q3530" s="32"/>
      <c r="R3530" s="32"/>
      <c r="S3530" s="32"/>
      <c r="T3530" s="32"/>
      <c r="U3530" s="32"/>
      <c r="V3530" s="32"/>
      <c r="W3530" s="32"/>
      <c r="X3530" s="32"/>
      <c r="Y3530" s="32"/>
      <c r="Z3530" s="32"/>
    </row>
    <row r="3531" spans="1:26" ht="14.25" customHeight="1">
      <c r="A3531" s="36">
        <v>1</v>
      </c>
      <c r="B3531" s="18" t="s">
        <v>422</v>
      </c>
      <c r="C3531" s="5" t="s">
        <v>938</v>
      </c>
      <c r="D3531" s="18" t="s">
        <v>413</v>
      </c>
      <c r="E3531" s="18">
        <v>2</v>
      </c>
      <c r="F3531" s="6">
        <v>293000</v>
      </c>
      <c r="G3531" s="37">
        <f t="shared" ref="G3531:G3533" si="227">IFERROR(E3531*F3531,0)</f>
        <v>586000</v>
      </c>
      <c r="H3531" s="38"/>
      <c r="I3531" s="51"/>
      <c r="J3531" s="32"/>
      <c r="K3531" s="32"/>
      <c r="L3531" s="32"/>
      <c r="M3531" s="32"/>
      <c r="N3531" s="32"/>
      <c r="O3531" s="32"/>
      <c r="P3531" s="32"/>
      <c r="Q3531" s="32"/>
      <c r="R3531" s="32"/>
      <c r="S3531" s="32"/>
      <c r="T3531" s="32"/>
      <c r="U3531" s="32"/>
      <c r="V3531" s="32"/>
      <c r="W3531" s="32"/>
      <c r="X3531" s="32"/>
      <c r="Y3531" s="32"/>
      <c r="Z3531" s="32"/>
    </row>
    <row r="3532" spans="1:26" ht="14.25" customHeight="1">
      <c r="A3532" s="36">
        <v>2</v>
      </c>
      <c r="B3532" s="12" t="s">
        <v>38</v>
      </c>
      <c r="C3532" s="10" t="s">
        <v>939</v>
      </c>
      <c r="D3532" s="12" t="s">
        <v>233</v>
      </c>
      <c r="E3532" s="12">
        <v>1.1499999999999999</v>
      </c>
      <c r="F3532" s="43">
        <v>435000</v>
      </c>
      <c r="G3532" s="37">
        <f t="shared" si="227"/>
        <v>500249.99999999994</v>
      </c>
      <c r="H3532" s="38"/>
      <c r="I3532" s="51"/>
      <c r="J3532" s="32"/>
      <c r="K3532" s="32"/>
      <c r="L3532" s="32"/>
      <c r="M3532" s="32"/>
      <c r="N3532" s="32"/>
      <c r="O3532" s="32"/>
      <c r="P3532" s="32"/>
      <c r="Q3532" s="32"/>
      <c r="R3532" s="32"/>
      <c r="S3532" s="32"/>
      <c r="T3532" s="32"/>
      <c r="U3532" s="32"/>
      <c r="V3532" s="32"/>
      <c r="W3532" s="32"/>
      <c r="X3532" s="32"/>
      <c r="Y3532" s="32"/>
      <c r="Z3532" s="32"/>
    </row>
    <row r="3533" spans="1:26" ht="14.25" customHeight="1">
      <c r="A3533" s="36">
        <v>4</v>
      </c>
      <c r="B3533" s="39" t="s">
        <v>17</v>
      </c>
      <c r="C3533" s="38"/>
      <c r="D3533" s="38"/>
      <c r="E3533" s="38"/>
      <c r="F3533" s="60"/>
      <c r="G3533" s="37">
        <f t="shared" si="227"/>
        <v>0</v>
      </c>
      <c r="H3533" s="38"/>
      <c r="I3533" s="51"/>
      <c r="J3533" s="32"/>
      <c r="K3533" s="32"/>
      <c r="L3533" s="32"/>
      <c r="M3533" s="32"/>
      <c r="N3533" s="32"/>
      <c r="O3533" s="32"/>
      <c r="P3533" s="32"/>
      <c r="Q3533" s="32"/>
      <c r="R3533" s="32"/>
      <c r="S3533" s="32"/>
      <c r="T3533" s="32"/>
      <c r="U3533" s="32"/>
      <c r="V3533" s="32"/>
      <c r="W3533" s="32"/>
      <c r="X3533" s="32"/>
      <c r="Y3533" s="32"/>
      <c r="Z3533" s="32"/>
    </row>
    <row r="3534" spans="1:26" ht="14.25" customHeight="1">
      <c r="A3534" s="83" t="s">
        <v>18</v>
      </c>
      <c r="B3534" s="81"/>
      <c r="C3534" s="81"/>
      <c r="D3534" s="81"/>
      <c r="E3534" s="81"/>
      <c r="F3534" s="81"/>
      <c r="G3534" s="82"/>
      <c r="H3534" s="41">
        <f>SUM(G3531:G3533)</f>
        <v>1086250</v>
      </c>
      <c r="I3534" s="51"/>
      <c r="J3534" s="32"/>
      <c r="K3534" s="32"/>
      <c r="L3534" s="32"/>
      <c r="M3534" s="32"/>
      <c r="N3534" s="32"/>
      <c r="O3534" s="32"/>
      <c r="P3534" s="32"/>
      <c r="Q3534" s="32"/>
      <c r="R3534" s="32"/>
      <c r="S3534" s="32"/>
      <c r="T3534" s="32"/>
      <c r="U3534" s="32"/>
      <c r="V3534" s="32"/>
      <c r="W3534" s="32"/>
      <c r="X3534" s="32"/>
      <c r="Y3534" s="32"/>
      <c r="Z3534" s="32"/>
    </row>
    <row r="3535" spans="1:26" ht="14.25" customHeight="1">
      <c r="A3535" s="83" t="s">
        <v>19</v>
      </c>
      <c r="B3535" s="81"/>
      <c r="C3535" s="81"/>
      <c r="D3535" s="81"/>
      <c r="E3535" s="81"/>
      <c r="F3535" s="81"/>
      <c r="G3535" s="82"/>
      <c r="H3535" s="41">
        <f>MAX(0,H3534-648000)</f>
        <v>438250</v>
      </c>
      <c r="I3535" s="51"/>
      <c r="J3535" s="32"/>
      <c r="K3535" s="32"/>
      <c r="L3535" s="32"/>
      <c r="M3535" s="32"/>
      <c r="N3535" s="32"/>
      <c r="O3535" s="32"/>
      <c r="P3535" s="32"/>
      <c r="Q3535" s="32"/>
      <c r="R3535" s="32"/>
      <c r="S3535" s="32"/>
      <c r="T3535" s="32"/>
      <c r="U3535" s="32"/>
      <c r="V3535" s="32"/>
      <c r="W3535" s="32"/>
      <c r="X3535" s="32"/>
      <c r="Y3535" s="32"/>
      <c r="Z3535" s="32"/>
    </row>
    <row r="3536" spans="1:26" ht="14.25" customHeight="1">
      <c r="A3536" s="84" t="s">
        <v>20</v>
      </c>
      <c r="B3536" s="81"/>
      <c r="C3536" s="81"/>
      <c r="D3536" s="81"/>
      <c r="E3536" s="81"/>
      <c r="F3536" s="81"/>
      <c r="G3536" s="82"/>
      <c r="H3536" s="42">
        <v>649000</v>
      </c>
      <c r="I3536" s="51"/>
      <c r="J3536" s="32"/>
      <c r="K3536" s="32"/>
      <c r="L3536" s="32"/>
      <c r="M3536" s="32"/>
      <c r="N3536" s="32"/>
      <c r="O3536" s="32"/>
      <c r="P3536" s="32"/>
      <c r="Q3536" s="32"/>
      <c r="R3536" s="32"/>
      <c r="S3536" s="32"/>
      <c r="T3536" s="32"/>
      <c r="U3536" s="32"/>
      <c r="V3536" s="32"/>
      <c r="W3536" s="32"/>
      <c r="X3536" s="32"/>
      <c r="Y3536" s="32"/>
      <c r="Z3536" s="32"/>
    </row>
    <row r="3537" spans="1:26" ht="14.25" customHeight="1">
      <c r="A3537" s="80"/>
      <c r="B3537" s="81"/>
      <c r="C3537" s="81"/>
      <c r="D3537" s="81"/>
      <c r="E3537" s="81"/>
      <c r="F3537" s="81"/>
      <c r="G3537" s="81"/>
      <c r="H3537" s="82"/>
      <c r="I3537" s="51"/>
      <c r="J3537" s="32"/>
      <c r="K3537" s="32"/>
      <c r="L3537" s="32"/>
      <c r="M3537" s="32"/>
      <c r="N3537" s="32"/>
      <c r="O3537" s="32"/>
      <c r="P3537" s="32"/>
      <c r="Q3537" s="32"/>
      <c r="R3537" s="32"/>
      <c r="S3537" s="32"/>
      <c r="T3537" s="32"/>
      <c r="U3537" s="32"/>
      <c r="V3537" s="32"/>
      <c r="W3537" s="32"/>
      <c r="X3537" s="32"/>
      <c r="Y3537" s="32"/>
      <c r="Z3537" s="32"/>
    </row>
    <row r="3538" spans="1:26" ht="14.25" customHeight="1">
      <c r="I3538" s="51"/>
    </row>
    <row r="3539" spans="1:26" ht="14.25" customHeight="1">
      <c r="I3539" s="51"/>
    </row>
    <row r="3540" spans="1:26" ht="14.25" customHeight="1">
      <c r="I3540" s="51"/>
    </row>
    <row r="3541" spans="1:26" ht="14.25" customHeight="1">
      <c r="I3541" s="51"/>
    </row>
    <row r="3542" spans="1:26" ht="14.25" customHeight="1">
      <c r="I3542" s="51"/>
    </row>
    <row r="3543" spans="1:26" ht="14.25" customHeight="1">
      <c r="I3543" s="51"/>
    </row>
    <row r="3544" spans="1:26" ht="14.25" customHeight="1">
      <c r="A3544" s="80" t="s">
        <v>0</v>
      </c>
      <c r="B3544" s="81"/>
      <c r="C3544" s="81"/>
      <c r="D3544" s="81"/>
      <c r="E3544" s="81"/>
      <c r="F3544" s="81"/>
      <c r="G3544" s="81"/>
      <c r="H3544" s="82"/>
      <c r="I3544" s="51"/>
      <c r="J3544" s="32"/>
      <c r="K3544" s="32"/>
      <c r="L3544" s="32"/>
      <c r="M3544" s="32"/>
      <c r="N3544" s="32"/>
      <c r="O3544" s="32"/>
      <c r="P3544" s="32"/>
      <c r="Q3544" s="32"/>
      <c r="R3544" s="32"/>
      <c r="S3544" s="32"/>
      <c r="T3544" s="32"/>
      <c r="U3544" s="32"/>
      <c r="V3544" s="32"/>
      <c r="W3544" s="32"/>
      <c r="X3544" s="32"/>
      <c r="Y3544" s="32"/>
      <c r="Z3544" s="32"/>
    </row>
    <row r="3545" spans="1:26" ht="14.25" customHeight="1">
      <c r="A3545" s="80" t="s">
        <v>940</v>
      </c>
      <c r="B3545" s="81"/>
      <c r="C3545" s="81"/>
      <c r="D3545" s="81"/>
      <c r="E3545" s="81"/>
      <c r="F3545" s="81"/>
      <c r="G3545" s="81"/>
      <c r="H3545" s="82"/>
      <c r="I3545" s="51"/>
      <c r="J3545" s="32"/>
      <c r="K3545" s="32"/>
      <c r="L3545" s="32"/>
      <c r="M3545" s="32"/>
      <c r="N3545" s="32"/>
      <c r="O3545" s="32"/>
      <c r="P3545" s="32"/>
      <c r="Q3545" s="32"/>
      <c r="R3545" s="32"/>
      <c r="S3545" s="32"/>
      <c r="T3545" s="32"/>
      <c r="U3545" s="32"/>
      <c r="V3545" s="32"/>
      <c r="W3545" s="32"/>
      <c r="X3545" s="32"/>
      <c r="Y3545" s="32"/>
      <c r="Z3545" s="32"/>
    </row>
    <row r="3546" spans="1:26" ht="14.25" customHeight="1">
      <c r="A3546" s="33" t="s">
        <v>2</v>
      </c>
      <c r="B3546" s="33" t="s">
        <v>3</v>
      </c>
      <c r="C3546" s="33" t="s">
        <v>4</v>
      </c>
      <c r="D3546" s="33" t="s">
        <v>5</v>
      </c>
      <c r="E3546" s="33" t="s">
        <v>6</v>
      </c>
      <c r="F3546" s="34" t="s">
        <v>7</v>
      </c>
      <c r="G3546" s="33" t="s">
        <v>8</v>
      </c>
      <c r="H3546" s="35"/>
      <c r="I3546" s="51"/>
      <c r="J3546" s="32"/>
      <c r="K3546" s="32"/>
      <c r="L3546" s="32"/>
      <c r="M3546" s="32"/>
      <c r="N3546" s="32"/>
      <c r="O3546" s="32"/>
      <c r="P3546" s="32"/>
      <c r="Q3546" s="32"/>
      <c r="R3546" s="32"/>
      <c r="S3546" s="32"/>
      <c r="T3546" s="32"/>
      <c r="U3546" s="32"/>
      <c r="V3546" s="32"/>
      <c r="W3546" s="32"/>
      <c r="X3546" s="32"/>
      <c r="Y3546" s="32"/>
      <c r="Z3546" s="32"/>
    </row>
    <row r="3547" spans="1:26" ht="14.25" customHeight="1">
      <c r="A3547" s="36">
        <v>1</v>
      </c>
      <c r="B3547" s="18" t="s">
        <v>33</v>
      </c>
      <c r="C3547" s="5" t="s">
        <v>941</v>
      </c>
      <c r="D3547" s="18" t="s">
        <v>413</v>
      </c>
      <c r="E3547" s="18">
        <v>1.54</v>
      </c>
      <c r="F3547" s="6">
        <v>293000</v>
      </c>
      <c r="G3547" s="37">
        <f t="shared" ref="G3547:G3549" si="228">IFERROR(E3547*F3547,0)</f>
        <v>451220</v>
      </c>
      <c r="H3547" s="38"/>
      <c r="I3547" s="51"/>
      <c r="J3547" s="32"/>
      <c r="K3547" s="32"/>
      <c r="L3547" s="32"/>
      <c r="M3547" s="32"/>
      <c r="N3547" s="32"/>
      <c r="O3547" s="32"/>
      <c r="P3547" s="32"/>
      <c r="Q3547" s="32"/>
      <c r="R3547" s="32"/>
      <c r="S3547" s="32"/>
      <c r="T3547" s="32"/>
      <c r="U3547" s="32"/>
      <c r="V3547" s="32"/>
      <c r="W3547" s="32"/>
      <c r="X3547" s="32"/>
      <c r="Y3547" s="32"/>
      <c r="Z3547" s="32"/>
    </row>
    <row r="3548" spans="1:26" ht="14.25" customHeight="1">
      <c r="A3548" s="36">
        <v>2</v>
      </c>
      <c r="B3548" s="12" t="s">
        <v>12</v>
      </c>
      <c r="C3548" s="10" t="s">
        <v>942</v>
      </c>
      <c r="D3548" s="12" t="s">
        <v>233</v>
      </c>
      <c r="E3548" s="12">
        <v>2.0299999999999998</v>
      </c>
      <c r="F3548" s="43">
        <v>435000</v>
      </c>
      <c r="G3548" s="37">
        <f t="shared" si="228"/>
        <v>883049.99999999988</v>
      </c>
      <c r="H3548" s="38"/>
      <c r="I3548" s="51"/>
      <c r="J3548" s="32"/>
      <c r="K3548" s="32"/>
      <c r="L3548" s="32"/>
      <c r="M3548" s="32"/>
      <c r="N3548" s="32"/>
      <c r="O3548" s="32"/>
      <c r="P3548" s="32"/>
      <c r="Q3548" s="32"/>
      <c r="R3548" s="32"/>
      <c r="S3548" s="32"/>
      <c r="T3548" s="32"/>
      <c r="U3548" s="32"/>
      <c r="V3548" s="32"/>
      <c r="W3548" s="32"/>
      <c r="X3548" s="32"/>
      <c r="Y3548" s="32"/>
      <c r="Z3548" s="32"/>
    </row>
    <row r="3549" spans="1:26" ht="14.25" customHeight="1">
      <c r="A3549" s="36">
        <v>4</v>
      </c>
      <c r="B3549" s="39" t="s">
        <v>17</v>
      </c>
      <c r="C3549" s="38"/>
      <c r="D3549" s="38"/>
      <c r="E3549" s="38"/>
      <c r="F3549" s="60"/>
      <c r="G3549" s="37">
        <f t="shared" si="228"/>
        <v>0</v>
      </c>
      <c r="H3549" s="38"/>
      <c r="I3549" s="51"/>
      <c r="J3549" s="32"/>
      <c r="K3549" s="32"/>
      <c r="L3549" s="32"/>
      <c r="M3549" s="32"/>
      <c r="N3549" s="32"/>
      <c r="O3549" s="32"/>
      <c r="P3549" s="32"/>
      <c r="Q3549" s="32"/>
      <c r="R3549" s="32"/>
      <c r="S3549" s="32"/>
      <c r="T3549" s="32"/>
      <c r="U3549" s="32"/>
      <c r="V3549" s="32"/>
      <c r="W3549" s="32"/>
      <c r="X3549" s="32"/>
      <c r="Y3549" s="32"/>
      <c r="Z3549" s="32"/>
    </row>
    <row r="3550" spans="1:26" ht="14.25" customHeight="1">
      <c r="A3550" s="83" t="s">
        <v>18</v>
      </c>
      <c r="B3550" s="81"/>
      <c r="C3550" s="81"/>
      <c r="D3550" s="81"/>
      <c r="E3550" s="81"/>
      <c r="F3550" s="81"/>
      <c r="G3550" s="82"/>
      <c r="H3550" s="41">
        <f>SUM(G3547:G3549)</f>
        <v>1334270</v>
      </c>
      <c r="I3550" s="51"/>
      <c r="J3550" s="32"/>
      <c r="K3550" s="32"/>
      <c r="L3550" s="32"/>
      <c r="M3550" s="32"/>
      <c r="N3550" s="32"/>
      <c r="O3550" s="32"/>
      <c r="P3550" s="32"/>
      <c r="Q3550" s="32"/>
      <c r="R3550" s="32"/>
      <c r="S3550" s="32"/>
      <c r="T3550" s="32"/>
      <c r="U3550" s="32"/>
      <c r="V3550" s="32"/>
      <c r="W3550" s="32"/>
      <c r="X3550" s="32"/>
      <c r="Y3550" s="32"/>
      <c r="Z3550" s="32"/>
    </row>
    <row r="3551" spans="1:26" ht="14.25" customHeight="1">
      <c r="A3551" s="83" t="s">
        <v>19</v>
      </c>
      <c r="B3551" s="81"/>
      <c r="C3551" s="81"/>
      <c r="D3551" s="81"/>
      <c r="E3551" s="81"/>
      <c r="F3551" s="81"/>
      <c r="G3551" s="82"/>
      <c r="H3551" s="41">
        <f>MAX(0,H3550-648000)</f>
        <v>686270</v>
      </c>
      <c r="I3551" s="51"/>
      <c r="J3551" s="32"/>
      <c r="K3551" s="32"/>
      <c r="L3551" s="32"/>
      <c r="M3551" s="32"/>
      <c r="N3551" s="32"/>
      <c r="O3551" s="32"/>
      <c r="P3551" s="32"/>
      <c r="Q3551" s="32"/>
      <c r="R3551" s="32"/>
      <c r="S3551" s="32"/>
      <c r="T3551" s="32"/>
      <c r="U3551" s="32"/>
      <c r="V3551" s="32"/>
      <c r="W3551" s="32"/>
      <c r="X3551" s="32"/>
      <c r="Y3551" s="32"/>
      <c r="Z3551" s="32"/>
    </row>
    <row r="3552" spans="1:26" ht="14.25" customHeight="1">
      <c r="A3552" s="84" t="s">
        <v>20</v>
      </c>
      <c r="B3552" s="81"/>
      <c r="C3552" s="81"/>
      <c r="D3552" s="81"/>
      <c r="E3552" s="81"/>
      <c r="F3552" s="81"/>
      <c r="G3552" s="82"/>
      <c r="H3552" s="42">
        <v>649000</v>
      </c>
      <c r="I3552" s="51"/>
      <c r="J3552" s="32"/>
      <c r="K3552" s="32"/>
      <c r="L3552" s="32"/>
      <c r="M3552" s="32"/>
      <c r="N3552" s="32"/>
      <c r="O3552" s="32"/>
      <c r="P3552" s="32"/>
      <c r="Q3552" s="32"/>
      <c r="R3552" s="32"/>
      <c r="S3552" s="32"/>
      <c r="T3552" s="32"/>
      <c r="U3552" s="32"/>
      <c r="V3552" s="32"/>
      <c r="W3552" s="32"/>
      <c r="X3552" s="32"/>
      <c r="Y3552" s="32"/>
      <c r="Z3552" s="32"/>
    </row>
    <row r="3553" spans="1:26" ht="14.25" customHeight="1">
      <c r="A3553" s="80"/>
      <c r="B3553" s="81"/>
      <c r="C3553" s="81"/>
      <c r="D3553" s="81"/>
      <c r="E3553" s="81"/>
      <c r="F3553" s="81"/>
      <c r="G3553" s="81"/>
      <c r="H3553" s="82"/>
      <c r="I3553" s="51"/>
      <c r="J3553" s="32"/>
      <c r="K3553" s="32"/>
      <c r="L3553" s="32"/>
      <c r="M3553" s="32"/>
      <c r="N3553" s="32"/>
      <c r="O3553" s="32"/>
      <c r="P3553" s="32"/>
      <c r="Q3553" s="32"/>
      <c r="R3553" s="32"/>
      <c r="S3553" s="32"/>
      <c r="T3553" s="32"/>
      <c r="U3553" s="32"/>
      <c r="V3553" s="32"/>
      <c r="W3553" s="32"/>
      <c r="X3553" s="32"/>
      <c r="Y3553" s="32"/>
      <c r="Z3553" s="32"/>
    </row>
    <row r="3554" spans="1:26" ht="14.25" customHeight="1">
      <c r="I3554" s="51"/>
    </row>
    <row r="3555" spans="1:26" ht="14.25" customHeight="1">
      <c r="I3555" s="51"/>
    </row>
    <row r="3556" spans="1:26" ht="14.25" customHeight="1">
      <c r="I3556" s="51"/>
    </row>
    <row r="3557" spans="1:26" ht="14.25" customHeight="1">
      <c r="I3557" s="51"/>
    </row>
    <row r="3558" spans="1:26" ht="14.25" customHeight="1">
      <c r="I3558" s="51"/>
    </row>
    <row r="3559" spans="1:26" ht="14.25" customHeight="1">
      <c r="I3559" s="51"/>
    </row>
    <row r="3560" spans="1:26" ht="14.25" customHeight="1">
      <c r="I3560" s="51"/>
    </row>
    <row r="3561" spans="1:26" ht="14.25" customHeight="1">
      <c r="A3561" s="80" t="s">
        <v>0</v>
      </c>
      <c r="B3561" s="81"/>
      <c r="C3561" s="81"/>
      <c r="D3561" s="81"/>
      <c r="E3561" s="81"/>
      <c r="F3561" s="81"/>
      <c r="G3561" s="81"/>
      <c r="H3561" s="82"/>
      <c r="I3561" s="51"/>
      <c r="J3561" s="32"/>
      <c r="K3561" s="32"/>
      <c r="L3561" s="32"/>
      <c r="M3561" s="32"/>
      <c r="N3561" s="32"/>
      <c r="O3561" s="32"/>
      <c r="P3561" s="32"/>
      <c r="Q3561" s="32"/>
      <c r="R3561" s="32"/>
      <c r="S3561" s="32"/>
      <c r="T3561" s="32"/>
      <c r="U3561" s="32"/>
      <c r="V3561" s="32"/>
      <c r="W3561" s="32"/>
      <c r="X3561" s="32"/>
      <c r="Y3561" s="32"/>
      <c r="Z3561" s="32"/>
    </row>
    <row r="3562" spans="1:26" ht="14.25" customHeight="1">
      <c r="A3562" s="80" t="s">
        <v>943</v>
      </c>
      <c r="B3562" s="81"/>
      <c r="C3562" s="81"/>
      <c r="D3562" s="81"/>
      <c r="E3562" s="81"/>
      <c r="F3562" s="81"/>
      <c r="G3562" s="81"/>
      <c r="H3562" s="82"/>
      <c r="I3562" s="51"/>
      <c r="J3562" s="32"/>
      <c r="K3562" s="32"/>
      <c r="L3562" s="32"/>
      <c r="M3562" s="32"/>
      <c r="N3562" s="32"/>
      <c r="O3562" s="32"/>
      <c r="P3562" s="32"/>
      <c r="Q3562" s="32"/>
      <c r="R3562" s="32"/>
      <c r="S3562" s="32"/>
      <c r="T3562" s="32"/>
      <c r="U3562" s="32"/>
      <c r="V3562" s="32"/>
      <c r="W3562" s="32"/>
      <c r="X3562" s="32"/>
      <c r="Y3562" s="32"/>
      <c r="Z3562" s="32"/>
    </row>
    <row r="3563" spans="1:26" ht="14.25" customHeight="1">
      <c r="A3563" s="33" t="s">
        <v>2</v>
      </c>
      <c r="B3563" s="33" t="s">
        <v>3</v>
      </c>
      <c r="C3563" s="33" t="s">
        <v>4</v>
      </c>
      <c r="D3563" s="33" t="s">
        <v>5</v>
      </c>
      <c r="E3563" s="33" t="s">
        <v>6</v>
      </c>
      <c r="F3563" s="34" t="s">
        <v>7</v>
      </c>
      <c r="G3563" s="33" t="s">
        <v>8</v>
      </c>
      <c r="H3563" s="35"/>
      <c r="I3563" s="51"/>
      <c r="J3563" s="32"/>
      <c r="K3563" s="32"/>
      <c r="L3563" s="32"/>
      <c r="M3563" s="32"/>
      <c r="N3563" s="32"/>
      <c r="O3563" s="32"/>
      <c r="P3563" s="32"/>
      <c r="Q3563" s="32"/>
      <c r="R3563" s="32"/>
      <c r="S3563" s="32"/>
      <c r="T3563" s="32"/>
      <c r="U3563" s="32"/>
      <c r="V3563" s="32"/>
      <c r="W3563" s="32"/>
      <c r="X3563" s="32"/>
      <c r="Y3563" s="32"/>
      <c r="Z3563" s="32"/>
    </row>
    <row r="3564" spans="1:26" ht="14.25" customHeight="1">
      <c r="A3564" s="36">
        <v>1</v>
      </c>
      <c r="B3564" s="18" t="s">
        <v>575</v>
      </c>
      <c r="C3564" s="5" t="s">
        <v>944</v>
      </c>
      <c r="D3564" s="18" t="s">
        <v>413</v>
      </c>
      <c r="E3564" s="18">
        <v>2.58</v>
      </c>
      <c r="F3564" s="6">
        <v>293000</v>
      </c>
      <c r="G3564" s="37">
        <f t="shared" ref="G3564:G3566" si="229">IFERROR(E3564*F3564,0)</f>
        <v>755940</v>
      </c>
      <c r="H3564" s="38"/>
      <c r="I3564" s="51"/>
      <c r="J3564" s="32"/>
      <c r="K3564" s="32"/>
      <c r="L3564" s="32"/>
      <c r="M3564" s="32"/>
      <c r="N3564" s="32"/>
      <c r="O3564" s="32"/>
      <c r="P3564" s="32"/>
      <c r="Q3564" s="32"/>
      <c r="R3564" s="32"/>
      <c r="S3564" s="32"/>
      <c r="T3564" s="32"/>
      <c r="U3564" s="32"/>
      <c r="V3564" s="32"/>
      <c r="W3564" s="32"/>
      <c r="X3564" s="32"/>
      <c r="Y3564" s="32"/>
      <c r="Z3564" s="32"/>
    </row>
    <row r="3565" spans="1:26" ht="14.25" customHeight="1">
      <c r="A3565" s="36">
        <v>2</v>
      </c>
      <c r="B3565" s="12" t="s">
        <v>769</v>
      </c>
      <c r="C3565" s="10" t="s">
        <v>945</v>
      </c>
      <c r="D3565" s="12" t="s">
        <v>233</v>
      </c>
      <c r="E3565" s="12">
        <v>1.1000000000000001</v>
      </c>
      <c r="F3565" s="43">
        <v>435000</v>
      </c>
      <c r="G3565" s="37">
        <f t="shared" si="229"/>
        <v>478500.00000000006</v>
      </c>
      <c r="H3565" s="38"/>
      <c r="I3565" s="51"/>
      <c r="J3565" s="32"/>
      <c r="K3565" s="32"/>
      <c r="L3565" s="32"/>
      <c r="M3565" s="32"/>
      <c r="N3565" s="32"/>
      <c r="O3565" s="32"/>
      <c r="P3565" s="32"/>
      <c r="Q3565" s="32"/>
      <c r="R3565" s="32"/>
      <c r="S3565" s="32"/>
      <c r="T3565" s="32"/>
      <c r="U3565" s="32"/>
      <c r="V3565" s="32"/>
      <c r="W3565" s="32"/>
      <c r="X3565" s="32"/>
      <c r="Y3565" s="32"/>
      <c r="Z3565" s="32"/>
    </row>
    <row r="3566" spans="1:26" ht="14.25" customHeight="1">
      <c r="A3566" s="36">
        <v>4</v>
      </c>
      <c r="B3566" s="39" t="s">
        <v>17</v>
      </c>
      <c r="C3566" s="38"/>
      <c r="D3566" s="38"/>
      <c r="E3566" s="38"/>
      <c r="F3566" s="60"/>
      <c r="G3566" s="37">
        <f t="shared" si="229"/>
        <v>0</v>
      </c>
      <c r="H3566" s="38"/>
      <c r="I3566" s="51"/>
      <c r="J3566" s="32"/>
      <c r="K3566" s="32"/>
      <c r="L3566" s="32"/>
      <c r="M3566" s="32"/>
      <c r="N3566" s="32"/>
      <c r="O3566" s="32"/>
      <c r="P3566" s="32"/>
      <c r="Q3566" s="32"/>
      <c r="R3566" s="32"/>
      <c r="S3566" s="32"/>
      <c r="T3566" s="32"/>
      <c r="U3566" s="32"/>
      <c r="V3566" s="32"/>
      <c r="W3566" s="32"/>
      <c r="X3566" s="32"/>
      <c r="Y3566" s="32"/>
      <c r="Z3566" s="32"/>
    </row>
    <row r="3567" spans="1:26" ht="14.25" customHeight="1">
      <c r="A3567" s="83" t="s">
        <v>18</v>
      </c>
      <c r="B3567" s="81"/>
      <c r="C3567" s="81"/>
      <c r="D3567" s="81"/>
      <c r="E3567" s="81"/>
      <c r="F3567" s="81"/>
      <c r="G3567" s="82"/>
      <c r="H3567" s="41">
        <f>SUM(G3564:G3566)</f>
        <v>1234440</v>
      </c>
      <c r="I3567" s="51"/>
      <c r="J3567" s="32"/>
      <c r="K3567" s="32"/>
      <c r="L3567" s="32"/>
      <c r="M3567" s="32"/>
      <c r="N3567" s="32"/>
      <c r="O3567" s="32"/>
      <c r="P3567" s="32"/>
      <c r="Q3567" s="32"/>
      <c r="R3567" s="32"/>
      <c r="S3567" s="32"/>
      <c r="T3567" s="32"/>
      <c r="U3567" s="32"/>
      <c r="V3567" s="32"/>
      <c r="W3567" s="32"/>
      <c r="X3567" s="32"/>
      <c r="Y3567" s="32"/>
      <c r="Z3567" s="32"/>
    </row>
    <row r="3568" spans="1:26" ht="14.25" customHeight="1">
      <c r="A3568" s="83" t="s">
        <v>19</v>
      </c>
      <c r="B3568" s="81"/>
      <c r="C3568" s="81"/>
      <c r="D3568" s="81"/>
      <c r="E3568" s="81"/>
      <c r="F3568" s="81"/>
      <c r="G3568" s="82"/>
      <c r="H3568" s="41">
        <f>MAX(0,H3567-648000)</f>
        <v>586440</v>
      </c>
      <c r="I3568" s="51"/>
      <c r="J3568" s="32"/>
      <c r="K3568" s="32"/>
      <c r="L3568" s="32"/>
      <c r="M3568" s="32"/>
      <c r="N3568" s="32"/>
      <c r="O3568" s="32"/>
      <c r="P3568" s="32"/>
      <c r="Q3568" s="32"/>
      <c r="R3568" s="32"/>
      <c r="S3568" s="32"/>
      <c r="T3568" s="32"/>
      <c r="U3568" s="32"/>
      <c r="V3568" s="32"/>
      <c r="W3568" s="32"/>
      <c r="X3568" s="32"/>
      <c r="Y3568" s="32"/>
      <c r="Z3568" s="32"/>
    </row>
    <row r="3569" spans="1:26" ht="14.25" customHeight="1">
      <c r="A3569" s="84" t="s">
        <v>20</v>
      </c>
      <c r="B3569" s="81"/>
      <c r="C3569" s="81"/>
      <c r="D3569" s="81"/>
      <c r="E3569" s="81"/>
      <c r="F3569" s="81"/>
      <c r="G3569" s="82"/>
      <c r="H3569" s="42">
        <v>649000</v>
      </c>
      <c r="I3569" s="51"/>
      <c r="J3569" s="32"/>
      <c r="K3569" s="32"/>
      <c r="L3569" s="32"/>
      <c r="M3569" s="32"/>
      <c r="N3569" s="32"/>
      <c r="O3569" s="32"/>
      <c r="P3569" s="32"/>
      <c r="Q3569" s="32"/>
      <c r="R3569" s="32"/>
      <c r="S3569" s="32"/>
      <c r="T3569" s="32"/>
      <c r="U3569" s="32"/>
      <c r="V3569" s="32"/>
      <c r="W3569" s="32"/>
      <c r="X3569" s="32"/>
      <c r="Y3569" s="32"/>
      <c r="Z3569" s="32"/>
    </row>
    <row r="3570" spans="1:26" ht="14.25" customHeight="1">
      <c r="A3570" s="80"/>
      <c r="B3570" s="81"/>
      <c r="C3570" s="81"/>
      <c r="D3570" s="81"/>
      <c r="E3570" s="81"/>
      <c r="F3570" s="81"/>
      <c r="G3570" s="81"/>
      <c r="H3570" s="82"/>
      <c r="I3570" s="51"/>
      <c r="J3570" s="32"/>
      <c r="K3570" s="32"/>
      <c r="L3570" s="32"/>
      <c r="M3570" s="32"/>
      <c r="N3570" s="32"/>
      <c r="O3570" s="32"/>
      <c r="P3570" s="32"/>
      <c r="Q3570" s="32"/>
      <c r="R3570" s="32"/>
      <c r="S3570" s="32"/>
      <c r="T3570" s="32"/>
      <c r="U3570" s="32"/>
      <c r="V3570" s="32"/>
      <c r="W3570" s="32"/>
      <c r="X3570" s="32"/>
      <c r="Y3570" s="32"/>
      <c r="Z3570" s="32"/>
    </row>
    <row r="3571" spans="1:26" ht="14.25" customHeight="1">
      <c r="I3571" s="51"/>
    </row>
    <row r="3572" spans="1:26" ht="14.25" customHeight="1">
      <c r="I3572" s="51"/>
    </row>
    <row r="3573" spans="1:26" ht="14.25" customHeight="1">
      <c r="I3573" s="51"/>
    </row>
    <row r="3574" spans="1:26" ht="14.25" customHeight="1">
      <c r="I3574" s="51"/>
    </row>
    <row r="3575" spans="1:26" ht="14.25" customHeight="1">
      <c r="I3575" s="51"/>
    </row>
    <row r="3576" spans="1:26" ht="14.25" customHeight="1">
      <c r="I3576" s="51"/>
    </row>
    <row r="3577" spans="1:26" ht="14.25" customHeight="1">
      <c r="I3577" s="51"/>
    </row>
    <row r="3578" spans="1:26" ht="14.25" customHeight="1">
      <c r="I3578" s="51"/>
    </row>
    <row r="3579" spans="1:26" ht="14.25" customHeight="1">
      <c r="I3579" s="51"/>
    </row>
    <row r="3580" spans="1:26" ht="14.25" customHeight="1">
      <c r="A3580" s="80" t="s">
        <v>0</v>
      </c>
      <c r="B3580" s="81"/>
      <c r="C3580" s="81"/>
      <c r="D3580" s="81"/>
      <c r="E3580" s="81"/>
      <c r="F3580" s="81"/>
      <c r="G3580" s="81"/>
      <c r="H3580" s="82"/>
      <c r="I3580" s="51"/>
      <c r="J3580" s="32"/>
      <c r="K3580" s="32"/>
      <c r="L3580" s="32"/>
      <c r="M3580" s="32"/>
      <c r="N3580" s="32"/>
      <c r="O3580" s="32"/>
      <c r="P3580" s="32"/>
      <c r="Q3580" s="32"/>
      <c r="R3580" s="32"/>
      <c r="S3580" s="32"/>
      <c r="T3580" s="32"/>
      <c r="U3580" s="32"/>
      <c r="V3580" s="32"/>
      <c r="W3580" s="32"/>
      <c r="X3580" s="32"/>
      <c r="Y3580" s="32"/>
      <c r="Z3580" s="32"/>
    </row>
    <row r="3581" spans="1:26" ht="14.25" customHeight="1">
      <c r="A3581" s="80" t="s">
        <v>946</v>
      </c>
      <c r="B3581" s="81"/>
      <c r="C3581" s="81"/>
      <c r="D3581" s="81"/>
      <c r="E3581" s="81"/>
      <c r="F3581" s="81"/>
      <c r="G3581" s="81"/>
      <c r="H3581" s="82"/>
      <c r="I3581" s="51"/>
      <c r="J3581" s="32"/>
      <c r="K3581" s="32"/>
      <c r="L3581" s="32"/>
      <c r="M3581" s="32"/>
      <c r="N3581" s="32"/>
      <c r="O3581" s="32"/>
      <c r="P3581" s="32"/>
      <c r="Q3581" s="32"/>
      <c r="R3581" s="32"/>
      <c r="S3581" s="32"/>
      <c r="T3581" s="32"/>
      <c r="U3581" s="32"/>
      <c r="V3581" s="32"/>
      <c r="W3581" s="32"/>
      <c r="X3581" s="32"/>
      <c r="Y3581" s="32"/>
      <c r="Z3581" s="32"/>
    </row>
    <row r="3582" spans="1:26" ht="14.25" customHeight="1">
      <c r="A3582" s="33" t="s">
        <v>2</v>
      </c>
      <c r="B3582" s="33" t="s">
        <v>3</v>
      </c>
      <c r="C3582" s="33" t="s">
        <v>4</v>
      </c>
      <c r="D3582" s="33" t="s">
        <v>5</v>
      </c>
      <c r="E3582" s="33" t="s">
        <v>6</v>
      </c>
      <c r="F3582" s="34" t="s">
        <v>7</v>
      </c>
      <c r="G3582" s="33" t="s">
        <v>8</v>
      </c>
      <c r="H3582" s="35"/>
      <c r="I3582" s="51"/>
      <c r="J3582" s="32"/>
      <c r="K3582" s="32"/>
      <c r="L3582" s="32"/>
      <c r="M3582" s="32"/>
      <c r="N3582" s="32"/>
      <c r="O3582" s="32"/>
      <c r="P3582" s="32"/>
      <c r="Q3582" s="32"/>
      <c r="R3582" s="32"/>
      <c r="S3582" s="32"/>
      <c r="T3582" s="32"/>
      <c r="U3582" s="32"/>
      <c r="V3582" s="32"/>
      <c r="W3582" s="32"/>
      <c r="X3582" s="32"/>
      <c r="Y3582" s="32"/>
      <c r="Z3582" s="32"/>
    </row>
    <row r="3583" spans="1:26" ht="14.25" customHeight="1">
      <c r="A3583" s="36">
        <v>1</v>
      </c>
      <c r="B3583" s="18" t="s">
        <v>175</v>
      </c>
      <c r="C3583" s="5" t="s">
        <v>947</v>
      </c>
      <c r="D3583" s="18" t="s">
        <v>413</v>
      </c>
      <c r="E3583" s="18">
        <v>1.47</v>
      </c>
      <c r="F3583" s="6">
        <v>293000</v>
      </c>
      <c r="G3583" s="37">
        <f t="shared" ref="G3583:G3585" si="230">IFERROR(E3583*F3583,0)</f>
        <v>430710</v>
      </c>
      <c r="H3583" s="38"/>
      <c r="I3583" s="51"/>
      <c r="J3583" s="32"/>
      <c r="K3583" s="32"/>
      <c r="L3583" s="32"/>
      <c r="M3583" s="32"/>
      <c r="N3583" s="32"/>
      <c r="O3583" s="32"/>
      <c r="P3583" s="32"/>
      <c r="Q3583" s="32"/>
      <c r="R3583" s="32"/>
      <c r="S3583" s="32"/>
      <c r="T3583" s="32"/>
      <c r="U3583" s="32"/>
      <c r="V3583" s="32"/>
      <c r="W3583" s="32"/>
      <c r="X3583" s="32"/>
      <c r="Y3583" s="32"/>
      <c r="Z3583" s="32"/>
    </row>
    <row r="3584" spans="1:26" ht="14.25" customHeight="1">
      <c r="A3584" s="36">
        <v>2</v>
      </c>
      <c r="B3584" s="12" t="s">
        <v>12</v>
      </c>
      <c r="C3584" s="10" t="s">
        <v>948</v>
      </c>
      <c r="D3584" s="12" t="s">
        <v>233</v>
      </c>
      <c r="E3584" s="12">
        <v>2.08</v>
      </c>
      <c r="F3584" s="43">
        <v>435000</v>
      </c>
      <c r="G3584" s="37">
        <f t="shared" si="230"/>
        <v>904800</v>
      </c>
      <c r="H3584" s="38"/>
      <c r="I3584" s="51"/>
      <c r="J3584" s="32"/>
      <c r="K3584" s="32"/>
      <c r="L3584" s="32"/>
      <c r="M3584" s="32"/>
      <c r="N3584" s="32"/>
      <c r="O3584" s="32"/>
      <c r="P3584" s="32"/>
      <c r="Q3584" s="32"/>
      <c r="R3584" s="32"/>
      <c r="S3584" s="32"/>
      <c r="T3584" s="32"/>
      <c r="U3584" s="32"/>
      <c r="V3584" s="32"/>
      <c r="W3584" s="32"/>
      <c r="X3584" s="32"/>
      <c r="Y3584" s="32"/>
      <c r="Z3584" s="32"/>
    </row>
    <row r="3585" spans="1:26" ht="14.25" customHeight="1">
      <c r="A3585" s="36">
        <v>4</v>
      </c>
      <c r="B3585" s="39" t="s">
        <v>17</v>
      </c>
      <c r="C3585" s="38"/>
      <c r="D3585" s="38"/>
      <c r="E3585" s="38"/>
      <c r="F3585" s="60"/>
      <c r="G3585" s="37">
        <f t="shared" si="230"/>
        <v>0</v>
      </c>
      <c r="H3585" s="38"/>
      <c r="I3585" s="51"/>
      <c r="J3585" s="32"/>
      <c r="K3585" s="32"/>
      <c r="L3585" s="32"/>
      <c r="M3585" s="32"/>
      <c r="N3585" s="32"/>
      <c r="O3585" s="32"/>
      <c r="P3585" s="32"/>
      <c r="Q3585" s="32"/>
      <c r="R3585" s="32"/>
      <c r="S3585" s="32"/>
      <c r="T3585" s="32"/>
      <c r="U3585" s="32"/>
      <c r="V3585" s="32"/>
      <c r="W3585" s="32"/>
      <c r="X3585" s="32"/>
      <c r="Y3585" s="32"/>
      <c r="Z3585" s="32"/>
    </row>
    <row r="3586" spans="1:26" ht="14.25" customHeight="1">
      <c r="A3586" s="83" t="s">
        <v>18</v>
      </c>
      <c r="B3586" s="81"/>
      <c r="C3586" s="81"/>
      <c r="D3586" s="81"/>
      <c r="E3586" s="81"/>
      <c r="F3586" s="81"/>
      <c r="G3586" s="82"/>
      <c r="H3586" s="41">
        <f>SUM(G3583:G3585)</f>
        <v>1335510</v>
      </c>
      <c r="I3586" s="51"/>
      <c r="J3586" s="32"/>
      <c r="K3586" s="32"/>
      <c r="L3586" s="32"/>
      <c r="M3586" s="32"/>
      <c r="N3586" s="32"/>
      <c r="O3586" s="32"/>
      <c r="P3586" s="32"/>
      <c r="Q3586" s="32"/>
      <c r="R3586" s="32"/>
      <c r="S3586" s="32"/>
      <c r="T3586" s="32"/>
      <c r="U3586" s="32"/>
      <c r="V3586" s="32"/>
      <c r="W3586" s="32"/>
      <c r="X3586" s="32"/>
      <c r="Y3586" s="32"/>
      <c r="Z3586" s="32"/>
    </row>
    <row r="3587" spans="1:26" ht="14.25" customHeight="1">
      <c r="A3587" s="83" t="s">
        <v>19</v>
      </c>
      <c r="B3587" s="81"/>
      <c r="C3587" s="81"/>
      <c r="D3587" s="81"/>
      <c r="E3587" s="81"/>
      <c r="F3587" s="81"/>
      <c r="G3587" s="82"/>
      <c r="H3587" s="41">
        <f>MAX(0,H3586-648000)</f>
        <v>687510</v>
      </c>
      <c r="I3587" s="51"/>
      <c r="J3587" s="32"/>
      <c r="K3587" s="32"/>
      <c r="L3587" s="32"/>
      <c r="M3587" s="32"/>
      <c r="N3587" s="32"/>
      <c r="O3587" s="32"/>
      <c r="P3587" s="32"/>
      <c r="Q3587" s="32"/>
      <c r="R3587" s="32"/>
      <c r="S3587" s="32"/>
      <c r="T3587" s="32"/>
      <c r="U3587" s="32"/>
      <c r="V3587" s="32"/>
      <c r="W3587" s="32"/>
      <c r="X3587" s="32"/>
      <c r="Y3587" s="32"/>
      <c r="Z3587" s="32"/>
    </row>
    <row r="3588" spans="1:26" ht="14.25" customHeight="1">
      <c r="A3588" s="84" t="s">
        <v>20</v>
      </c>
      <c r="B3588" s="81"/>
      <c r="C3588" s="81"/>
      <c r="D3588" s="81"/>
      <c r="E3588" s="81"/>
      <c r="F3588" s="81"/>
      <c r="G3588" s="82"/>
      <c r="H3588" s="42">
        <v>649000</v>
      </c>
      <c r="I3588" s="51"/>
      <c r="J3588" s="32"/>
      <c r="K3588" s="32"/>
      <c r="L3588" s="32"/>
      <c r="M3588" s="32"/>
      <c r="N3588" s="32"/>
      <c r="O3588" s="32"/>
      <c r="P3588" s="32"/>
      <c r="Q3588" s="32"/>
      <c r="R3588" s="32"/>
      <c r="S3588" s="32"/>
      <c r="T3588" s="32"/>
      <c r="U3588" s="32"/>
      <c r="V3588" s="32"/>
      <c r="W3588" s="32"/>
      <c r="X3588" s="32"/>
      <c r="Y3588" s="32"/>
      <c r="Z3588" s="32"/>
    </row>
    <row r="3589" spans="1:26" ht="14.25" customHeight="1">
      <c r="A3589" s="80"/>
      <c r="B3589" s="81"/>
      <c r="C3589" s="81"/>
      <c r="D3589" s="81"/>
      <c r="E3589" s="81"/>
      <c r="F3589" s="81"/>
      <c r="G3589" s="81"/>
      <c r="H3589" s="82"/>
      <c r="I3589" s="51"/>
      <c r="J3589" s="32"/>
      <c r="K3589" s="32"/>
      <c r="L3589" s="32"/>
      <c r="M3589" s="32"/>
      <c r="N3589" s="32"/>
      <c r="O3589" s="32"/>
      <c r="P3589" s="32"/>
      <c r="Q3589" s="32"/>
      <c r="R3589" s="32"/>
      <c r="S3589" s="32"/>
      <c r="T3589" s="32"/>
      <c r="U3589" s="32"/>
      <c r="V3589" s="32"/>
      <c r="W3589" s="32"/>
      <c r="X3589" s="32"/>
      <c r="Y3589" s="32"/>
      <c r="Z3589" s="32"/>
    </row>
    <row r="3590" spans="1:26" ht="14.25" customHeight="1">
      <c r="I3590" s="51"/>
    </row>
    <row r="3591" spans="1:26" ht="14.25" customHeight="1">
      <c r="I3591" s="51"/>
    </row>
    <row r="3592" spans="1:26" ht="14.25" customHeight="1">
      <c r="I3592" s="51"/>
    </row>
    <row r="3593" spans="1:26" ht="14.25" customHeight="1">
      <c r="I3593" s="51"/>
    </row>
    <row r="3594" spans="1:26" ht="14.25" customHeight="1">
      <c r="I3594" s="51"/>
    </row>
    <row r="3595" spans="1:26" ht="14.25" customHeight="1">
      <c r="I3595" s="51"/>
    </row>
    <row r="3596" spans="1:26" ht="14.25" customHeight="1">
      <c r="I3596" s="51"/>
    </row>
    <row r="3597" spans="1:26" ht="14.25" customHeight="1">
      <c r="I3597" s="51"/>
    </row>
    <row r="3598" spans="1:26" ht="14.25" customHeight="1">
      <c r="I3598" s="51"/>
    </row>
    <row r="3599" spans="1:26" ht="14.25" customHeight="1">
      <c r="I3599" s="51"/>
    </row>
    <row r="3600" spans="1:26" ht="14.25" customHeight="1">
      <c r="I3600" s="51"/>
    </row>
    <row r="3601" spans="1:26" ht="14.25" customHeight="1">
      <c r="I3601" s="51"/>
    </row>
    <row r="3602" spans="1:26" ht="14.25" customHeight="1">
      <c r="I3602" s="51"/>
    </row>
    <row r="3603" spans="1:26" ht="14.25" customHeight="1">
      <c r="I3603" s="51"/>
    </row>
    <row r="3604" spans="1:26" ht="14.25" customHeight="1">
      <c r="I3604" s="51"/>
    </row>
    <row r="3605" spans="1:26" ht="14.25" customHeight="1">
      <c r="I3605" s="51"/>
    </row>
    <row r="3606" spans="1:26" ht="14.25" customHeight="1">
      <c r="I3606" s="51"/>
    </row>
    <row r="3607" spans="1:26" ht="14.25" customHeight="1">
      <c r="A3607" s="80" t="s">
        <v>0</v>
      </c>
      <c r="B3607" s="81"/>
      <c r="C3607" s="81"/>
      <c r="D3607" s="81"/>
      <c r="E3607" s="81"/>
      <c r="F3607" s="81"/>
      <c r="G3607" s="81"/>
      <c r="H3607" s="82"/>
      <c r="I3607" s="51"/>
      <c r="J3607" s="32"/>
      <c r="K3607" s="32"/>
      <c r="L3607" s="32"/>
      <c r="M3607" s="32"/>
      <c r="N3607" s="32"/>
      <c r="O3607" s="32"/>
      <c r="P3607" s="32"/>
      <c r="Q3607" s="32"/>
      <c r="R3607" s="32"/>
      <c r="S3607" s="32"/>
      <c r="T3607" s="32"/>
      <c r="U3607" s="32"/>
      <c r="V3607" s="32"/>
      <c r="W3607" s="32"/>
      <c r="X3607" s="32"/>
      <c r="Y3607" s="32"/>
      <c r="Z3607" s="32"/>
    </row>
    <row r="3608" spans="1:26" ht="14.25" customHeight="1">
      <c r="A3608" s="80" t="s">
        <v>949</v>
      </c>
      <c r="B3608" s="81"/>
      <c r="C3608" s="81"/>
      <c r="D3608" s="81"/>
      <c r="E3608" s="81"/>
      <c r="F3608" s="81"/>
      <c r="G3608" s="81"/>
      <c r="H3608" s="82"/>
      <c r="I3608" s="51"/>
      <c r="J3608" s="32"/>
      <c r="K3608" s="32"/>
      <c r="L3608" s="32"/>
      <c r="M3608" s="32"/>
      <c r="N3608" s="32"/>
      <c r="O3608" s="32"/>
      <c r="P3608" s="32"/>
      <c r="Q3608" s="32"/>
      <c r="R3608" s="32"/>
      <c r="S3608" s="32"/>
      <c r="T3608" s="32"/>
      <c r="U3608" s="32"/>
      <c r="V3608" s="32"/>
      <c r="W3608" s="32"/>
      <c r="X3608" s="32"/>
      <c r="Y3608" s="32"/>
      <c r="Z3608" s="32"/>
    </row>
    <row r="3609" spans="1:26" ht="14.25" customHeight="1">
      <c r="A3609" s="33" t="s">
        <v>2</v>
      </c>
      <c r="B3609" s="33" t="s">
        <v>3</v>
      </c>
      <c r="C3609" s="33" t="s">
        <v>4</v>
      </c>
      <c r="D3609" s="33" t="s">
        <v>5</v>
      </c>
      <c r="E3609" s="33" t="s">
        <v>6</v>
      </c>
      <c r="F3609" s="34" t="s">
        <v>7</v>
      </c>
      <c r="G3609" s="33" t="s">
        <v>8</v>
      </c>
      <c r="H3609" s="35"/>
      <c r="I3609" s="51"/>
      <c r="J3609" s="32"/>
      <c r="K3609" s="32"/>
      <c r="L3609" s="32"/>
      <c r="M3609" s="32"/>
      <c r="N3609" s="32"/>
      <c r="O3609" s="32"/>
      <c r="P3609" s="32"/>
      <c r="Q3609" s="32"/>
      <c r="R3609" s="32"/>
      <c r="S3609" s="32"/>
      <c r="T3609" s="32"/>
      <c r="U3609" s="32"/>
      <c r="V3609" s="32"/>
      <c r="W3609" s="32"/>
      <c r="X3609" s="32"/>
      <c r="Y3609" s="32"/>
      <c r="Z3609" s="32"/>
    </row>
    <row r="3610" spans="1:26" ht="14.25" customHeight="1">
      <c r="A3610" s="36">
        <v>1</v>
      </c>
      <c r="B3610" s="18" t="s">
        <v>950</v>
      </c>
      <c r="C3610" s="5" t="s">
        <v>951</v>
      </c>
      <c r="D3610" s="18" t="s">
        <v>413</v>
      </c>
      <c r="E3610" s="18">
        <v>1.45</v>
      </c>
      <c r="F3610" s="6">
        <v>293000</v>
      </c>
      <c r="G3610" s="37">
        <f t="shared" ref="G3610:G3612" si="231">IFERROR(E3610*F3610,0)</f>
        <v>424850</v>
      </c>
      <c r="H3610" s="38"/>
      <c r="I3610" s="51"/>
      <c r="J3610" s="32"/>
      <c r="K3610" s="32"/>
      <c r="L3610" s="32"/>
      <c r="M3610" s="32"/>
      <c r="N3610" s="32"/>
      <c r="O3610" s="32"/>
      <c r="P3610" s="32"/>
      <c r="Q3610" s="32"/>
      <c r="R3610" s="32"/>
      <c r="S3610" s="32"/>
      <c r="T3610" s="32"/>
      <c r="U3610" s="32"/>
      <c r="V3610" s="32"/>
      <c r="W3610" s="32"/>
      <c r="X3610" s="32"/>
      <c r="Y3610" s="32"/>
      <c r="Z3610" s="32"/>
    </row>
    <row r="3611" spans="1:26" ht="14.25" customHeight="1">
      <c r="A3611" s="36">
        <v>2</v>
      </c>
      <c r="B3611" s="12" t="s">
        <v>12</v>
      </c>
      <c r="C3611" s="10" t="s">
        <v>952</v>
      </c>
      <c r="D3611" s="12" t="s">
        <v>233</v>
      </c>
      <c r="E3611" s="12">
        <v>2.0099999999999998</v>
      </c>
      <c r="F3611" s="43">
        <v>435000</v>
      </c>
      <c r="G3611" s="37">
        <f t="shared" si="231"/>
        <v>874349.99999999988</v>
      </c>
      <c r="H3611" s="38"/>
      <c r="I3611" s="51"/>
      <c r="J3611" s="32"/>
      <c r="K3611" s="32"/>
      <c r="L3611" s="32"/>
      <c r="M3611" s="32"/>
      <c r="N3611" s="32"/>
      <c r="O3611" s="32"/>
      <c r="P3611" s="32"/>
      <c r="Q3611" s="32"/>
      <c r="R3611" s="32"/>
      <c r="S3611" s="32"/>
      <c r="T3611" s="32"/>
      <c r="U3611" s="32"/>
      <c r="V3611" s="32"/>
      <c r="W3611" s="32"/>
      <c r="X3611" s="32"/>
      <c r="Y3611" s="32"/>
      <c r="Z3611" s="32"/>
    </row>
    <row r="3612" spans="1:26" ht="14.25" customHeight="1">
      <c r="A3612" s="36">
        <v>4</v>
      </c>
      <c r="B3612" s="39" t="s">
        <v>17</v>
      </c>
      <c r="C3612" s="38"/>
      <c r="D3612" s="38"/>
      <c r="E3612" s="38"/>
      <c r="F3612" s="60"/>
      <c r="G3612" s="37">
        <f t="shared" si="231"/>
        <v>0</v>
      </c>
      <c r="H3612" s="38"/>
      <c r="I3612" s="51"/>
      <c r="J3612" s="32"/>
      <c r="K3612" s="32"/>
      <c r="L3612" s="32"/>
      <c r="M3612" s="32"/>
      <c r="N3612" s="32"/>
      <c r="O3612" s="32"/>
      <c r="P3612" s="32"/>
      <c r="Q3612" s="32"/>
      <c r="R3612" s="32"/>
      <c r="S3612" s="32"/>
      <c r="T3612" s="32"/>
      <c r="U3612" s="32"/>
      <c r="V3612" s="32"/>
      <c r="W3612" s="32"/>
      <c r="X3612" s="32"/>
      <c r="Y3612" s="32"/>
      <c r="Z3612" s="32"/>
    </row>
    <row r="3613" spans="1:26" ht="14.25" customHeight="1">
      <c r="A3613" s="83" t="s">
        <v>18</v>
      </c>
      <c r="B3613" s="81"/>
      <c r="C3613" s="81"/>
      <c r="D3613" s="81"/>
      <c r="E3613" s="81"/>
      <c r="F3613" s="81"/>
      <c r="G3613" s="82"/>
      <c r="H3613" s="41">
        <f>SUM(G3610:G3612)</f>
        <v>1299200</v>
      </c>
      <c r="I3613" s="51"/>
      <c r="J3613" s="32"/>
      <c r="K3613" s="32"/>
      <c r="L3613" s="32"/>
      <c r="M3613" s="32"/>
      <c r="N3613" s="32"/>
      <c r="O3613" s="32"/>
      <c r="P3613" s="32"/>
      <c r="Q3613" s="32"/>
      <c r="R3613" s="32"/>
      <c r="S3613" s="32"/>
      <c r="T3613" s="32"/>
      <c r="U3613" s="32"/>
      <c r="V3613" s="32"/>
      <c r="W3613" s="32"/>
      <c r="X3613" s="32"/>
      <c r="Y3613" s="32"/>
      <c r="Z3613" s="32"/>
    </row>
    <row r="3614" spans="1:26" ht="14.25" customHeight="1">
      <c r="A3614" s="83" t="s">
        <v>19</v>
      </c>
      <c r="B3614" s="81"/>
      <c r="C3614" s="81"/>
      <c r="D3614" s="81"/>
      <c r="E3614" s="81"/>
      <c r="F3614" s="81"/>
      <c r="G3614" s="82"/>
      <c r="H3614" s="41">
        <f>MAX(0,H3613-648000)</f>
        <v>651200</v>
      </c>
      <c r="I3614" s="51"/>
      <c r="J3614" s="32"/>
      <c r="K3614" s="32"/>
      <c r="L3614" s="32"/>
      <c r="M3614" s="32"/>
      <c r="N3614" s="32"/>
      <c r="O3614" s="32"/>
      <c r="P3614" s="32"/>
      <c r="Q3614" s="32"/>
      <c r="R3614" s="32"/>
      <c r="S3614" s="32"/>
      <c r="T3614" s="32"/>
      <c r="U3614" s="32"/>
      <c r="V3614" s="32"/>
      <c r="W3614" s="32"/>
      <c r="X3614" s="32"/>
      <c r="Y3614" s="32"/>
      <c r="Z3614" s="32"/>
    </row>
    <row r="3615" spans="1:26" ht="14.25" customHeight="1">
      <c r="A3615" s="84" t="s">
        <v>20</v>
      </c>
      <c r="B3615" s="81"/>
      <c r="C3615" s="81"/>
      <c r="D3615" s="81"/>
      <c r="E3615" s="81"/>
      <c r="F3615" s="81"/>
      <c r="G3615" s="82"/>
      <c r="H3615" s="42">
        <v>649000</v>
      </c>
      <c r="I3615" s="51"/>
      <c r="J3615" s="32"/>
      <c r="K3615" s="32"/>
      <c r="L3615" s="32"/>
      <c r="M3615" s="32"/>
      <c r="N3615" s="32"/>
      <c r="O3615" s="32"/>
      <c r="P3615" s="32"/>
      <c r="Q3615" s="32"/>
      <c r="R3615" s="32"/>
      <c r="S3615" s="32"/>
      <c r="T3615" s="32"/>
      <c r="U3615" s="32"/>
      <c r="V3615" s="32"/>
      <c r="W3615" s="32"/>
      <c r="X3615" s="32"/>
      <c r="Y3615" s="32"/>
      <c r="Z3615" s="32"/>
    </row>
    <row r="3616" spans="1:26" ht="14.25" customHeight="1">
      <c r="A3616" s="80"/>
      <c r="B3616" s="81"/>
      <c r="C3616" s="81"/>
      <c r="D3616" s="81"/>
      <c r="E3616" s="81"/>
      <c r="F3616" s="81"/>
      <c r="G3616" s="81"/>
      <c r="H3616" s="82"/>
      <c r="I3616" s="51"/>
      <c r="J3616" s="32"/>
      <c r="K3616" s="32"/>
      <c r="L3616" s="32"/>
      <c r="M3616" s="32"/>
      <c r="N3616" s="32"/>
      <c r="O3616" s="32"/>
      <c r="P3616" s="32"/>
      <c r="Q3616" s="32"/>
      <c r="R3616" s="32"/>
      <c r="S3616" s="32"/>
      <c r="T3616" s="32"/>
      <c r="U3616" s="32"/>
      <c r="V3616" s="32"/>
      <c r="W3616" s="32"/>
      <c r="X3616" s="32"/>
      <c r="Y3616" s="32"/>
      <c r="Z3616" s="32"/>
    </row>
    <row r="3617" spans="1:26" ht="14.25" customHeight="1">
      <c r="I3617" s="51"/>
    </row>
    <row r="3618" spans="1:26" ht="14.25" customHeight="1">
      <c r="I3618" s="51"/>
    </row>
    <row r="3619" spans="1:26" ht="14.25" customHeight="1">
      <c r="I3619" s="51"/>
    </row>
    <row r="3620" spans="1:26" ht="14.25" customHeight="1">
      <c r="I3620" s="51"/>
    </row>
    <row r="3621" spans="1:26" ht="14.25" customHeight="1">
      <c r="I3621" s="51"/>
    </row>
    <row r="3622" spans="1:26" ht="14.25" customHeight="1">
      <c r="I3622" s="51"/>
    </row>
    <row r="3623" spans="1:26" ht="14.25" customHeight="1">
      <c r="A3623" s="80" t="s">
        <v>0</v>
      </c>
      <c r="B3623" s="81"/>
      <c r="C3623" s="81"/>
      <c r="D3623" s="81"/>
      <c r="E3623" s="81"/>
      <c r="F3623" s="81"/>
      <c r="G3623" s="81"/>
      <c r="H3623" s="82"/>
      <c r="I3623" s="51"/>
      <c r="J3623" s="32"/>
      <c r="K3623" s="32"/>
      <c r="L3623" s="32"/>
      <c r="M3623" s="32"/>
      <c r="N3623" s="32"/>
      <c r="O3623" s="32"/>
      <c r="P3623" s="32"/>
      <c r="Q3623" s="32"/>
      <c r="R3623" s="32"/>
      <c r="S3623" s="32"/>
      <c r="T3623" s="32"/>
      <c r="U3623" s="32"/>
      <c r="V3623" s="32"/>
      <c r="W3623" s="32"/>
      <c r="X3623" s="32"/>
      <c r="Y3623" s="32"/>
      <c r="Z3623" s="32"/>
    </row>
    <row r="3624" spans="1:26" ht="14.25" customHeight="1">
      <c r="A3624" s="80" t="s">
        <v>953</v>
      </c>
      <c r="B3624" s="81"/>
      <c r="C3624" s="81"/>
      <c r="D3624" s="81"/>
      <c r="E3624" s="81"/>
      <c r="F3624" s="81"/>
      <c r="G3624" s="81"/>
      <c r="H3624" s="82"/>
      <c r="I3624" s="51"/>
      <c r="J3624" s="32"/>
      <c r="K3624" s="32"/>
      <c r="L3624" s="32"/>
      <c r="M3624" s="32"/>
      <c r="N3624" s="32"/>
      <c r="O3624" s="32"/>
      <c r="P3624" s="32"/>
      <c r="Q3624" s="32"/>
      <c r="R3624" s="32"/>
      <c r="S3624" s="32"/>
      <c r="T3624" s="32"/>
      <c r="U3624" s="32"/>
      <c r="V3624" s="32"/>
      <c r="W3624" s="32"/>
      <c r="X3624" s="32"/>
      <c r="Y3624" s="32"/>
      <c r="Z3624" s="32"/>
    </row>
    <row r="3625" spans="1:26" ht="14.25" customHeight="1">
      <c r="A3625" s="33" t="s">
        <v>2</v>
      </c>
      <c r="B3625" s="33" t="s">
        <v>3</v>
      </c>
      <c r="C3625" s="33" t="s">
        <v>4</v>
      </c>
      <c r="D3625" s="33" t="s">
        <v>5</v>
      </c>
      <c r="E3625" s="33" t="s">
        <v>6</v>
      </c>
      <c r="F3625" s="34" t="s">
        <v>7</v>
      </c>
      <c r="G3625" s="33" t="s">
        <v>8</v>
      </c>
      <c r="H3625" s="35"/>
      <c r="I3625" s="51"/>
      <c r="J3625" s="32"/>
      <c r="K3625" s="32"/>
      <c r="L3625" s="32"/>
      <c r="M3625" s="32"/>
      <c r="N3625" s="32"/>
      <c r="O3625" s="32"/>
      <c r="P3625" s="32"/>
      <c r="Q3625" s="32"/>
      <c r="R3625" s="32"/>
      <c r="S3625" s="32"/>
      <c r="T3625" s="32"/>
      <c r="U3625" s="32"/>
      <c r="V3625" s="32"/>
      <c r="W3625" s="32"/>
      <c r="X3625" s="32"/>
      <c r="Y3625" s="32"/>
      <c r="Z3625" s="32"/>
    </row>
    <row r="3626" spans="1:26" ht="14.25" customHeight="1">
      <c r="A3626" s="36">
        <v>1</v>
      </c>
      <c r="B3626" s="18" t="s">
        <v>121</v>
      </c>
      <c r="C3626" s="5" t="s">
        <v>954</v>
      </c>
      <c r="D3626" s="18" t="s">
        <v>413</v>
      </c>
      <c r="E3626" s="18">
        <v>1.4</v>
      </c>
      <c r="F3626" s="6">
        <v>293000</v>
      </c>
      <c r="G3626" s="37">
        <f t="shared" ref="G3626:G3628" si="232">IFERROR(E3626*F3626,0)</f>
        <v>410200</v>
      </c>
      <c r="H3626" s="38"/>
      <c r="I3626" s="51"/>
      <c r="J3626" s="32"/>
      <c r="K3626" s="32"/>
      <c r="L3626" s="32"/>
      <c r="M3626" s="32"/>
      <c r="N3626" s="32"/>
      <c r="O3626" s="32"/>
      <c r="P3626" s="32"/>
      <c r="Q3626" s="32"/>
      <c r="R3626" s="32"/>
      <c r="S3626" s="32"/>
      <c r="T3626" s="32"/>
      <c r="U3626" s="32"/>
      <c r="V3626" s="32"/>
      <c r="W3626" s="32"/>
      <c r="X3626" s="32"/>
      <c r="Y3626" s="32"/>
      <c r="Z3626" s="32"/>
    </row>
    <row r="3627" spans="1:26" ht="14.25" customHeight="1">
      <c r="A3627" s="36">
        <v>2</v>
      </c>
      <c r="B3627" s="12" t="s">
        <v>515</v>
      </c>
      <c r="C3627" s="10" t="s">
        <v>955</v>
      </c>
      <c r="D3627" s="12" t="s">
        <v>233</v>
      </c>
      <c r="E3627" s="12">
        <v>2</v>
      </c>
      <c r="F3627" s="43">
        <v>435000</v>
      </c>
      <c r="G3627" s="37">
        <f t="shared" si="232"/>
        <v>870000</v>
      </c>
      <c r="H3627" s="38"/>
      <c r="I3627" s="51"/>
      <c r="J3627" s="32"/>
      <c r="K3627" s="32"/>
      <c r="L3627" s="32"/>
      <c r="M3627" s="32"/>
      <c r="N3627" s="32"/>
      <c r="O3627" s="32"/>
      <c r="P3627" s="32"/>
      <c r="Q3627" s="32"/>
      <c r="R3627" s="32"/>
      <c r="S3627" s="32"/>
      <c r="T3627" s="32"/>
      <c r="U3627" s="32"/>
      <c r="V3627" s="32"/>
      <c r="W3627" s="32"/>
      <c r="X3627" s="32"/>
      <c r="Y3627" s="32"/>
      <c r="Z3627" s="32"/>
    </row>
    <row r="3628" spans="1:26" ht="14.25" customHeight="1">
      <c r="A3628" s="36">
        <v>4</v>
      </c>
      <c r="B3628" s="39" t="s">
        <v>17</v>
      </c>
      <c r="C3628" s="38"/>
      <c r="D3628" s="38"/>
      <c r="E3628" s="38"/>
      <c r="F3628" s="60"/>
      <c r="G3628" s="37">
        <f t="shared" si="232"/>
        <v>0</v>
      </c>
      <c r="H3628" s="38"/>
      <c r="I3628" s="51"/>
      <c r="J3628" s="32"/>
      <c r="K3628" s="32"/>
      <c r="L3628" s="32"/>
      <c r="M3628" s="32"/>
      <c r="N3628" s="32"/>
      <c r="O3628" s="32"/>
      <c r="P3628" s="32"/>
      <c r="Q3628" s="32"/>
      <c r="R3628" s="32"/>
      <c r="S3628" s="32"/>
      <c r="T3628" s="32"/>
      <c r="U3628" s="32"/>
      <c r="V3628" s="32"/>
      <c r="W3628" s="32"/>
      <c r="X3628" s="32"/>
      <c r="Y3628" s="32"/>
      <c r="Z3628" s="32"/>
    </row>
    <row r="3629" spans="1:26" ht="14.25" customHeight="1">
      <c r="A3629" s="83" t="s">
        <v>18</v>
      </c>
      <c r="B3629" s="81"/>
      <c r="C3629" s="81"/>
      <c r="D3629" s="81"/>
      <c r="E3629" s="81"/>
      <c r="F3629" s="81"/>
      <c r="G3629" s="82"/>
      <c r="H3629" s="41">
        <f>SUM(G3626:G3628)</f>
        <v>1280200</v>
      </c>
      <c r="I3629" s="51"/>
      <c r="J3629" s="32"/>
      <c r="K3629" s="32"/>
      <c r="L3629" s="32"/>
      <c r="M3629" s="32"/>
      <c r="N3629" s="32"/>
      <c r="O3629" s="32"/>
      <c r="P3629" s="32"/>
      <c r="Q3629" s="32"/>
      <c r="R3629" s="32"/>
      <c r="S3629" s="32"/>
      <c r="T3629" s="32"/>
      <c r="U3629" s="32"/>
      <c r="V3629" s="32"/>
      <c r="W3629" s="32"/>
      <c r="X3629" s="32"/>
      <c r="Y3629" s="32"/>
      <c r="Z3629" s="32"/>
    </row>
    <row r="3630" spans="1:26" ht="14.25" customHeight="1">
      <c r="A3630" s="83" t="s">
        <v>19</v>
      </c>
      <c r="B3630" s="81"/>
      <c r="C3630" s="81"/>
      <c r="D3630" s="81"/>
      <c r="E3630" s="81"/>
      <c r="F3630" s="81"/>
      <c r="G3630" s="82"/>
      <c r="H3630" s="41">
        <f>MAX(0,H3629-648000)</f>
        <v>632200</v>
      </c>
      <c r="I3630" s="51"/>
      <c r="J3630" s="32"/>
      <c r="K3630" s="32"/>
      <c r="L3630" s="32"/>
      <c r="M3630" s="32"/>
      <c r="N3630" s="32"/>
      <c r="O3630" s="32"/>
      <c r="P3630" s="32"/>
      <c r="Q3630" s="32"/>
      <c r="R3630" s="32"/>
      <c r="S3630" s="32"/>
      <c r="T3630" s="32"/>
      <c r="U3630" s="32"/>
      <c r="V3630" s="32"/>
      <c r="W3630" s="32"/>
      <c r="X3630" s="32"/>
      <c r="Y3630" s="32"/>
      <c r="Z3630" s="32"/>
    </row>
    <row r="3631" spans="1:26" ht="14.25" customHeight="1">
      <c r="A3631" s="84" t="s">
        <v>20</v>
      </c>
      <c r="B3631" s="81"/>
      <c r="C3631" s="81"/>
      <c r="D3631" s="81"/>
      <c r="E3631" s="81"/>
      <c r="F3631" s="81"/>
      <c r="G3631" s="82"/>
      <c r="H3631" s="42">
        <v>649000</v>
      </c>
      <c r="I3631" s="51"/>
      <c r="J3631" s="32"/>
      <c r="K3631" s="32"/>
      <c r="L3631" s="32"/>
      <c r="M3631" s="32"/>
      <c r="N3631" s="32"/>
      <c r="O3631" s="32"/>
      <c r="P3631" s="32"/>
      <c r="Q3631" s="32"/>
      <c r="R3631" s="32"/>
      <c r="S3631" s="32"/>
      <c r="T3631" s="32"/>
      <c r="U3631" s="32"/>
      <c r="V3631" s="32"/>
      <c r="W3631" s="32"/>
      <c r="X3631" s="32"/>
      <c r="Y3631" s="32"/>
      <c r="Z3631" s="32"/>
    </row>
    <row r="3632" spans="1:26" ht="14.25" customHeight="1">
      <c r="A3632" s="80"/>
      <c r="B3632" s="81"/>
      <c r="C3632" s="81"/>
      <c r="D3632" s="81"/>
      <c r="E3632" s="81"/>
      <c r="F3632" s="81"/>
      <c r="G3632" s="81"/>
      <c r="H3632" s="82"/>
      <c r="I3632" s="51"/>
      <c r="J3632" s="32"/>
      <c r="K3632" s="32"/>
      <c r="L3632" s="32"/>
      <c r="M3632" s="32"/>
      <c r="N3632" s="32"/>
      <c r="O3632" s="32"/>
      <c r="P3632" s="32"/>
      <c r="Q3632" s="32"/>
      <c r="R3632" s="32"/>
      <c r="S3632" s="32"/>
      <c r="T3632" s="32"/>
      <c r="U3632" s="32"/>
      <c r="V3632" s="32"/>
      <c r="W3632" s="32"/>
      <c r="X3632" s="32"/>
      <c r="Y3632" s="32"/>
      <c r="Z3632" s="32"/>
    </row>
    <row r="3633" spans="1:26" ht="14.25" customHeight="1">
      <c r="I3633" s="51"/>
    </row>
    <row r="3634" spans="1:26" ht="14.25" customHeight="1">
      <c r="I3634" s="51"/>
    </row>
    <row r="3635" spans="1:26" ht="14.25" customHeight="1">
      <c r="I3635" s="51"/>
    </row>
    <row r="3636" spans="1:26" ht="14.25" customHeight="1">
      <c r="I3636" s="51"/>
    </row>
    <row r="3637" spans="1:26" ht="14.25" customHeight="1">
      <c r="I3637" s="51"/>
    </row>
    <row r="3638" spans="1:26" ht="14.25" customHeight="1">
      <c r="I3638" s="51"/>
    </row>
    <row r="3639" spans="1:26" ht="14.25" customHeight="1">
      <c r="I3639" s="51"/>
    </row>
    <row r="3640" spans="1:26" ht="14.25" customHeight="1">
      <c r="I3640" s="51"/>
    </row>
    <row r="3641" spans="1:26" ht="14.25" customHeight="1">
      <c r="A3641" s="80" t="s">
        <v>0</v>
      </c>
      <c r="B3641" s="81"/>
      <c r="C3641" s="81"/>
      <c r="D3641" s="81"/>
      <c r="E3641" s="81"/>
      <c r="F3641" s="81"/>
      <c r="G3641" s="81"/>
      <c r="H3641" s="82"/>
      <c r="I3641" s="51"/>
      <c r="J3641" s="32"/>
      <c r="K3641" s="32"/>
      <c r="L3641" s="32"/>
      <c r="M3641" s="32"/>
      <c r="N3641" s="32"/>
      <c r="O3641" s="32"/>
      <c r="P3641" s="32"/>
      <c r="Q3641" s="32"/>
      <c r="R3641" s="32"/>
      <c r="S3641" s="32"/>
      <c r="T3641" s="32"/>
      <c r="U3641" s="32"/>
      <c r="V3641" s="32"/>
      <c r="W3641" s="32"/>
      <c r="X3641" s="32"/>
      <c r="Y3641" s="32"/>
      <c r="Z3641" s="32"/>
    </row>
    <row r="3642" spans="1:26" ht="14.25" customHeight="1">
      <c r="A3642" s="80" t="s">
        <v>956</v>
      </c>
      <c r="B3642" s="81"/>
      <c r="C3642" s="81"/>
      <c r="D3642" s="81"/>
      <c r="E3642" s="81"/>
      <c r="F3642" s="81"/>
      <c r="G3642" s="81"/>
      <c r="H3642" s="82"/>
      <c r="I3642" s="51"/>
      <c r="J3642" s="32"/>
      <c r="K3642" s="32"/>
      <c r="L3642" s="32"/>
      <c r="M3642" s="32"/>
      <c r="N3642" s="32"/>
      <c r="O3642" s="32"/>
      <c r="P3642" s="32"/>
      <c r="Q3642" s="32"/>
      <c r="R3642" s="32"/>
      <c r="S3642" s="32"/>
      <c r="T3642" s="32"/>
      <c r="U3642" s="32"/>
      <c r="V3642" s="32"/>
      <c r="W3642" s="32"/>
      <c r="X3642" s="32"/>
      <c r="Y3642" s="32"/>
      <c r="Z3642" s="32"/>
    </row>
    <row r="3643" spans="1:26" ht="14.25" customHeight="1">
      <c r="A3643" s="33" t="s">
        <v>2</v>
      </c>
      <c r="B3643" s="33" t="s">
        <v>3</v>
      </c>
      <c r="C3643" s="33" t="s">
        <v>4</v>
      </c>
      <c r="D3643" s="33" t="s">
        <v>5</v>
      </c>
      <c r="E3643" s="33" t="s">
        <v>6</v>
      </c>
      <c r="F3643" s="34" t="s">
        <v>7</v>
      </c>
      <c r="G3643" s="33" t="s">
        <v>8</v>
      </c>
      <c r="H3643" s="35"/>
      <c r="I3643" s="51"/>
      <c r="J3643" s="32"/>
      <c r="K3643" s="32"/>
      <c r="L3643" s="32"/>
      <c r="M3643" s="32"/>
      <c r="N3643" s="32"/>
      <c r="O3643" s="32"/>
      <c r="P3643" s="32"/>
      <c r="Q3643" s="32"/>
      <c r="R3643" s="32"/>
      <c r="S3643" s="32"/>
      <c r="T3643" s="32"/>
      <c r="U3643" s="32"/>
      <c r="V3643" s="32"/>
      <c r="W3643" s="32"/>
      <c r="X3643" s="32"/>
      <c r="Y3643" s="32"/>
      <c r="Z3643" s="32"/>
    </row>
    <row r="3644" spans="1:26" ht="14.25" customHeight="1">
      <c r="A3644" s="36">
        <v>1</v>
      </c>
      <c r="B3644" s="18" t="s">
        <v>99</v>
      </c>
      <c r="C3644" s="5">
        <v>7648</v>
      </c>
      <c r="D3644" s="18" t="s">
        <v>413</v>
      </c>
      <c r="E3644" s="18">
        <v>1.45</v>
      </c>
      <c r="F3644" s="6">
        <v>293000</v>
      </c>
      <c r="G3644" s="37">
        <f t="shared" ref="G3644:G3646" si="233">IFERROR(E3644*F3644,0)</f>
        <v>424850</v>
      </c>
      <c r="H3644" s="38"/>
      <c r="I3644" s="51"/>
      <c r="J3644" s="32"/>
      <c r="K3644" s="32"/>
      <c r="L3644" s="32"/>
      <c r="M3644" s="32"/>
      <c r="N3644" s="32"/>
      <c r="O3644" s="32"/>
      <c r="P3644" s="32"/>
      <c r="Q3644" s="32"/>
      <c r="R3644" s="32"/>
      <c r="S3644" s="32"/>
      <c r="T3644" s="32"/>
      <c r="U3644" s="32"/>
      <c r="V3644" s="32"/>
      <c r="W3644" s="32"/>
      <c r="X3644" s="32"/>
      <c r="Y3644" s="32"/>
      <c r="Z3644" s="32"/>
    </row>
    <row r="3645" spans="1:26" ht="14.25" customHeight="1">
      <c r="A3645" s="36">
        <v>2</v>
      </c>
      <c r="B3645" s="12" t="s">
        <v>12</v>
      </c>
      <c r="C3645" s="10" t="s">
        <v>957</v>
      </c>
      <c r="D3645" s="12" t="s">
        <v>233</v>
      </c>
      <c r="E3645" s="12">
        <v>2</v>
      </c>
      <c r="F3645" s="43">
        <v>435000</v>
      </c>
      <c r="G3645" s="37">
        <f t="shared" si="233"/>
        <v>870000</v>
      </c>
      <c r="H3645" s="38"/>
      <c r="I3645" s="51"/>
      <c r="J3645" s="32"/>
      <c r="K3645" s="32"/>
      <c r="L3645" s="32"/>
      <c r="M3645" s="32"/>
      <c r="N3645" s="32"/>
      <c r="O3645" s="32"/>
      <c r="P3645" s="32"/>
      <c r="Q3645" s="32"/>
      <c r="R3645" s="32"/>
      <c r="S3645" s="32"/>
      <c r="T3645" s="32"/>
      <c r="U3645" s="32"/>
      <c r="V3645" s="32"/>
      <c r="W3645" s="32"/>
      <c r="X3645" s="32"/>
      <c r="Y3645" s="32"/>
      <c r="Z3645" s="32"/>
    </row>
    <row r="3646" spans="1:26" ht="14.25" customHeight="1">
      <c r="A3646" s="36">
        <v>4</v>
      </c>
      <c r="B3646" s="39" t="s">
        <v>17</v>
      </c>
      <c r="C3646" s="38"/>
      <c r="D3646" s="38"/>
      <c r="E3646" s="38"/>
      <c r="F3646" s="60"/>
      <c r="G3646" s="37">
        <f t="shared" si="233"/>
        <v>0</v>
      </c>
      <c r="H3646" s="38"/>
      <c r="I3646" s="51"/>
      <c r="J3646" s="32"/>
      <c r="K3646" s="32"/>
      <c r="L3646" s="32"/>
      <c r="M3646" s="32"/>
      <c r="N3646" s="32"/>
      <c r="O3646" s="32"/>
      <c r="P3646" s="32"/>
      <c r="Q3646" s="32"/>
      <c r="R3646" s="32"/>
      <c r="S3646" s="32"/>
      <c r="T3646" s="32"/>
      <c r="U3646" s="32"/>
      <c r="V3646" s="32"/>
      <c r="W3646" s="32"/>
      <c r="X3646" s="32"/>
      <c r="Y3646" s="32"/>
      <c r="Z3646" s="32"/>
    </row>
    <row r="3647" spans="1:26" ht="14.25" customHeight="1">
      <c r="A3647" s="83" t="s">
        <v>18</v>
      </c>
      <c r="B3647" s="81"/>
      <c r="C3647" s="81"/>
      <c r="D3647" s="81"/>
      <c r="E3647" s="81"/>
      <c r="F3647" s="81"/>
      <c r="G3647" s="82"/>
      <c r="H3647" s="41">
        <f>SUM(G3644:G3646)</f>
        <v>1294850</v>
      </c>
      <c r="I3647" s="51"/>
      <c r="J3647" s="32"/>
      <c r="K3647" s="32"/>
      <c r="L3647" s="32"/>
      <c r="M3647" s="32"/>
      <c r="N3647" s="32"/>
      <c r="O3647" s="32"/>
      <c r="P3647" s="32"/>
      <c r="Q3647" s="32"/>
      <c r="R3647" s="32"/>
      <c r="S3647" s="32"/>
      <c r="T3647" s="32"/>
      <c r="U3647" s="32"/>
      <c r="V3647" s="32"/>
      <c r="W3647" s="32"/>
      <c r="X3647" s="32"/>
      <c r="Y3647" s="32"/>
      <c r="Z3647" s="32"/>
    </row>
    <row r="3648" spans="1:26" ht="14.25" customHeight="1">
      <c r="A3648" s="83" t="s">
        <v>19</v>
      </c>
      <c r="B3648" s="81"/>
      <c r="C3648" s="81"/>
      <c r="D3648" s="81"/>
      <c r="E3648" s="81"/>
      <c r="F3648" s="81"/>
      <c r="G3648" s="82"/>
      <c r="H3648" s="41">
        <f>MAX(0,H3647-648000)</f>
        <v>646850</v>
      </c>
      <c r="I3648" s="51"/>
      <c r="J3648" s="32"/>
      <c r="K3648" s="32"/>
      <c r="L3648" s="32"/>
      <c r="M3648" s="32"/>
      <c r="N3648" s="32"/>
      <c r="O3648" s="32"/>
      <c r="P3648" s="32"/>
      <c r="Q3648" s="32"/>
      <c r="R3648" s="32"/>
      <c r="S3648" s="32"/>
      <c r="T3648" s="32"/>
      <c r="U3648" s="32"/>
      <c r="V3648" s="32"/>
      <c r="W3648" s="32"/>
      <c r="X3648" s="32"/>
      <c r="Y3648" s="32"/>
      <c r="Z3648" s="32"/>
    </row>
    <row r="3649" spans="1:26" ht="14.25" customHeight="1">
      <c r="A3649" s="84" t="s">
        <v>20</v>
      </c>
      <c r="B3649" s="81"/>
      <c r="C3649" s="81"/>
      <c r="D3649" s="81"/>
      <c r="E3649" s="81"/>
      <c r="F3649" s="81"/>
      <c r="G3649" s="82"/>
      <c r="H3649" s="42">
        <v>649000</v>
      </c>
      <c r="I3649" s="51"/>
      <c r="J3649" s="32"/>
      <c r="K3649" s="32"/>
      <c r="L3649" s="32"/>
      <c r="M3649" s="32"/>
      <c r="N3649" s="32"/>
      <c r="O3649" s="32"/>
      <c r="P3649" s="32"/>
      <c r="Q3649" s="32"/>
      <c r="R3649" s="32"/>
      <c r="S3649" s="32"/>
      <c r="T3649" s="32"/>
      <c r="U3649" s="32"/>
      <c r="V3649" s="32"/>
      <c r="W3649" s="32"/>
      <c r="X3649" s="32"/>
      <c r="Y3649" s="32"/>
      <c r="Z3649" s="32"/>
    </row>
    <row r="3650" spans="1:26" ht="14.25" customHeight="1">
      <c r="A3650" s="80"/>
      <c r="B3650" s="81"/>
      <c r="C3650" s="81"/>
      <c r="D3650" s="81"/>
      <c r="E3650" s="81"/>
      <c r="F3650" s="81"/>
      <c r="G3650" s="81"/>
      <c r="H3650" s="82"/>
      <c r="I3650" s="51"/>
      <c r="J3650" s="32"/>
      <c r="K3650" s="32"/>
      <c r="L3650" s="32"/>
      <c r="M3650" s="32"/>
      <c r="N3650" s="32"/>
      <c r="O3650" s="32"/>
      <c r="P3650" s="32"/>
      <c r="Q3650" s="32"/>
      <c r="R3650" s="32"/>
      <c r="S3650" s="32"/>
      <c r="T3650" s="32"/>
      <c r="U3650" s="32"/>
      <c r="V3650" s="32"/>
      <c r="W3650" s="32"/>
      <c r="X3650" s="32"/>
      <c r="Y3650" s="32"/>
      <c r="Z3650" s="32"/>
    </row>
    <row r="3651" spans="1:26" ht="14.25" customHeight="1">
      <c r="I3651" s="51"/>
    </row>
    <row r="3652" spans="1:26" ht="14.25" customHeight="1">
      <c r="I3652" s="51"/>
    </row>
    <row r="3653" spans="1:26" ht="14.25" customHeight="1">
      <c r="I3653" s="51"/>
    </row>
    <row r="3654" spans="1:26" ht="14.25" customHeight="1">
      <c r="I3654" s="51"/>
    </row>
    <row r="3655" spans="1:26" ht="14.25" customHeight="1">
      <c r="I3655" s="51"/>
    </row>
    <row r="3656" spans="1:26" ht="14.25" customHeight="1">
      <c r="I3656" s="51"/>
    </row>
    <row r="3657" spans="1:26" ht="14.25" customHeight="1">
      <c r="A3657" s="80" t="s">
        <v>0</v>
      </c>
      <c r="B3657" s="81"/>
      <c r="C3657" s="81"/>
      <c r="D3657" s="81"/>
      <c r="E3657" s="81"/>
      <c r="F3657" s="81"/>
      <c r="G3657" s="81"/>
      <c r="H3657" s="82"/>
      <c r="I3657" s="51"/>
      <c r="J3657" s="32"/>
      <c r="K3657" s="32"/>
      <c r="L3657" s="32"/>
      <c r="M3657" s="32"/>
      <c r="N3657" s="32"/>
      <c r="O3657" s="32"/>
      <c r="P3657" s="32"/>
      <c r="Q3657" s="32"/>
      <c r="R3657" s="32"/>
      <c r="S3657" s="32"/>
      <c r="T3657" s="32"/>
      <c r="U3657" s="32"/>
      <c r="V3657" s="32"/>
      <c r="W3657" s="32"/>
      <c r="X3657" s="32"/>
      <c r="Y3657" s="32"/>
      <c r="Z3657" s="32"/>
    </row>
    <row r="3658" spans="1:26" ht="14.25" customHeight="1">
      <c r="A3658" s="80" t="s">
        <v>958</v>
      </c>
      <c r="B3658" s="81"/>
      <c r="C3658" s="81"/>
      <c r="D3658" s="81"/>
      <c r="E3658" s="81"/>
      <c r="F3658" s="81"/>
      <c r="G3658" s="81"/>
      <c r="H3658" s="82"/>
      <c r="I3658" s="51"/>
      <c r="J3658" s="32"/>
      <c r="K3658" s="32"/>
      <c r="L3658" s="32"/>
      <c r="M3658" s="32"/>
      <c r="N3658" s="32"/>
      <c r="O3658" s="32"/>
      <c r="P3658" s="32"/>
      <c r="Q3658" s="32"/>
      <c r="R3658" s="32"/>
      <c r="S3658" s="32"/>
      <c r="T3658" s="32"/>
      <c r="U3658" s="32"/>
      <c r="V3658" s="32"/>
      <c r="W3658" s="32"/>
      <c r="X3658" s="32"/>
      <c r="Y3658" s="32"/>
      <c r="Z3658" s="32"/>
    </row>
    <row r="3659" spans="1:26" ht="14.25" customHeight="1">
      <c r="A3659" s="33" t="s">
        <v>2</v>
      </c>
      <c r="B3659" s="33" t="s">
        <v>3</v>
      </c>
      <c r="C3659" s="33" t="s">
        <v>4</v>
      </c>
      <c r="D3659" s="33" t="s">
        <v>5</v>
      </c>
      <c r="E3659" s="33" t="s">
        <v>6</v>
      </c>
      <c r="F3659" s="34" t="s">
        <v>7</v>
      </c>
      <c r="G3659" s="33" t="s">
        <v>8</v>
      </c>
      <c r="H3659" s="35"/>
      <c r="I3659" s="51"/>
      <c r="J3659" s="32"/>
      <c r="K3659" s="32"/>
      <c r="L3659" s="32"/>
      <c r="M3659" s="32"/>
      <c r="N3659" s="32"/>
      <c r="O3659" s="32"/>
      <c r="P3659" s="32"/>
      <c r="Q3659" s="32"/>
      <c r="R3659" s="32"/>
      <c r="S3659" s="32"/>
      <c r="T3659" s="32"/>
      <c r="U3659" s="32"/>
      <c r="V3659" s="32"/>
      <c r="W3659" s="32"/>
      <c r="X3659" s="32"/>
      <c r="Y3659" s="32"/>
      <c r="Z3659" s="32"/>
    </row>
    <row r="3660" spans="1:26" ht="14.25" customHeight="1">
      <c r="A3660" s="36">
        <v>1</v>
      </c>
      <c r="B3660" s="18" t="s">
        <v>65</v>
      </c>
      <c r="C3660" s="5" t="s">
        <v>959</v>
      </c>
      <c r="D3660" s="18" t="s">
        <v>413</v>
      </c>
      <c r="E3660" s="18">
        <v>1.44</v>
      </c>
      <c r="F3660" s="6">
        <v>293000</v>
      </c>
      <c r="G3660" s="37">
        <f t="shared" ref="G3660:G3662" si="234">IFERROR(E3660*F3660,0)</f>
        <v>421920</v>
      </c>
      <c r="H3660" s="38"/>
      <c r="I3660" s="51"/>
      <c r="J3660" s="32"/>
      <c r="K3660" s="32"/>
      <c r="L3660" s="32"/>
      <c r="M3660" s="32"/>
      <c r="N3660" s="32"/>
      <c r="O3660" s="32"/>
      <c r="P3660" s="32"/>
      <c r="Q3660" s="32"/>
      <c r="R3660" s="32"/>
      <c r="S3660" s="32"/>
      <c r="T3660" s="32"/>
      <c r="U3660" s="32"/>
      <c r="V3660" s="32"/>
      <c r="W3660" s="32"/>
      <c r="X3660" s="32"/>
      <c r="Y3660" s="32"/>
      <c r="Z3660" s="32"/>
    </row>
    <row r="3661" spans="1:26" ht="14.25" customHeight="1">
      <c r="A3661" s="36">
        <v>2</v>
      </c>
      <c r="B3661" s="12" t="s">
        <v>12</v>
      </c>
      <c r="C3661" s="10" t="s">
        <v>960</v>
      </c>
      <c r="D3661" s="12" t="s">
        <v>233</v>
      </c>
      <c r="E3661" s="12">
        <v>2</v>
      </c>
      <c r="F3661" s="43">
        <v>435000</v>
      </c>
      <c r="G3661" s="37">
        <f t="shared" si="234"/>
        <v>870000</v>
      </c>
      <c r="H3661" s="38"/>
      <c r="I3661" s="51"/>
      <c r="J3661" s="32"/>
      <c r="K3661" s="32"/>
      <c r="L3661" s="32"/>
      <c r="M3661" s="32"/>
      <c r="N3661" s="32"/>
      <c r="O3661" s="32"/>
      <c r="P3661" s="32"/>
      <c r="Q3661" s="32"/>
      <c r="R3661" s="32"/>
      <c r="S3661" s="32"/>
      <c r="T3661" s="32"/>
      <c r="U3661" s="32"/>
      <c r="V3661" s="32"/>
      <c r="W3661" s="32"/>
      <c r="X3661" s="32"/>
      <c r="Y3661" s="32"/>
      <c r="Z3661" s="32"/>
    </row>
    <row r="3662" spans="1:26" ht="14.25" customHeight="1">
      <c r="A3662" s="36">
        <v>4</v>
      </c>
      <c r="B3662" s="39" t="s">
        <v>17</v>
      </c>
      <c r="C3662" s="38"/>
      <c r="D3662" s="38"/>
      <c r="E3662" s="38"/>
      <c r="F3662" s="60"/>
      <c r="G3662" s="37">
        <f t="shared" si="234"/>
        <v>0</v>
      </c>
      <c r="H3662" s="38"/>
      <c r="I3662" s="51"/>
      <c r="J3662" s="32"/>
      <c r="K3662" s="32"/>
      <c r="L3662" s="32"/>
      <c r="M3662" s="32"/>
      <c r="N3662" s="32"/>
      <c r="O3662" s="32"/>
      <c r="P3662" s="32"/>
      <c r="Q3662" s="32"/>
      <c r="R3662" s="32"/>
      <c r="S3662" s="32"/>
      <c r="T3662" s="32"/>
      <c r="U3662" s="32"/>
      <c r="V3662" s="32"/>
      <c r="W3662" s="32"/>
      <c r="X3662" s="32"/>
      <c r="Y3662" s="32"/>
      <c r="Z3662" s="32"/>
    </row>
    <row r="3663" spans="1:26" ht="14.25" customHeight="1">
      <c r="A3663" s="83" t="s">
        <v>18</v>
      </c>
      <c r="B3663" s="81"/>
      <c r="C3663" s="81"/>
      <c r="D3663" s="81"/>
      <c r="E3663" s="81"/>
      <c r="F3663" s="81"/>
      <c r="G3663" s="82"/>
      <c r="H3663" s="41">
        <f>SUM(G3660:G3662)</f>
        <v>1291920</v>
      </c>
      <c r="I3663" s="51"/>
      <c r="J3663" s="32"/>
      <c r="K3663" s="32"/>
      <c r="L3663" s="32"/>
      <c r="M3663" s="32"/>
      <c r="N3663" s="32"/>
      <c r="O3663" s="32"/>
      <c r="P3663" s="32"/>
      <c r="Q3663" s="32"/>
      <c r="R3663" s="32"/>
      <c r="S3663" s="32"/>
      <c r="T3663" s="32"/>
      <c r="U3663" s="32"/>
      <c r="V3663" s="32"/>
      <c r="W3663" s="32"/>
      <c r="X3663" s="32"/>
      <c r="Y3663" s="32"/>
      <c r="Z3663" s="32"/>
    </row>
    <row r="3664" spans="1:26" ht="14.25" customHeight="1">
      <c r="A3664" s="83" t="s">
        <v>19</v>
      </c>
      <c r="B3664" s="81"/>
      <c r="C3664" s="81"/>
      <c r="D3664" s="81"/>
      <c r="E3664" s="81"/>
      <c r="F3664" s="81"/>
      <c r="G3664" s="82"/>
      <c r="H3664" s="41">
        <f>MAX(0,H3663-648000)</f>
        <v>643920</v>
      </c>
      <c r="I3664" s="51"/>
      <c r="J3664" s="32"/>
      <c r="K3664" s="32"/>
      <c r="L3664" s="32"/>
      <c r="M3664" s="32"/>
      <c r="N3664" s="32"/>
      <c r="O3664" s="32"/>
      <c r="P3664" s="32"/>
      <c r="Q3664" s="32"/>
      <c r="R3664" s="32"/>
      <c r="S3664" s="32"/>
      <c r="T3664" s="32"/>
      <c r="U3664" s="32"/>
      <c r="V3664" s="32"/>
      <c r="W3664" s="32"/>
      <c r="X3664" s="32"/>
      <c r="Y3664" s="32"/>
      <c r="Z3664" s="32"/>
    </row>
    <row r="3665" spans="1:26" ht="14.25" customHeight="1">
      <c r="A3665" s="84" t="s">
        <v>20</v>
      </c>
      <c r="B3665" s="81"/>
      <c r="C3665" s="81"/>
      <c r="D3665" s="81"/>
      <c r="E3665" s="81"/>
      <c r="F3665" s="81"/>
      <c r="G3665" s="82"/>
      <c r="H3665" s="42">
        <v>649000</v>
      </c>
      <c r="I3665" s="51"/>
      <c r="J3665" s="32"/>
      <c r="K3665" s="32"/>
      <c r="L3665" s="32"/>
      <c r="M3665" s="32"/>
      <c r="N3665" s="32"/>
      <c r="O3665" s="32"/>
      <c r="P3665" s="32"/>
      <c r="Q3665" s="32"/>
      <c r="R3665" s="32"/>
      <c r="S3665" s="32"/>
      <c r="T3665" s="32"/>
      <c r="U3665" s="32"/>
      <c r="V3665" s="32"/>
      <c r="W3665" s="32"/>
      <c r="X3665" s="32"/>
      <c r="Y3665" s="32"/>
      <c r="Z3665" s="32"/>
    </row>
    <row r="3666" spans="1:26" ht="14.25" customHeight="1">
      <c r="A3666" s="80"/>
      <c r="B3666" s="81"/>
      <c r="C3666" s="81"/>
      <c r="D3666" s="81"/>
      <c r="E3666" s="81"/>
      <c r="F3666" s="81"/>
      <c r="G3666" s="81"/>
      <c r="H3666" s="82"/>
      <c r="I3666" s="51"/>
      <c r="J3666" s="32"/>
      <c r="K3666" s="32"/>
      <c r="L3666" s="32"/>
      <c r="M3666" s="32"/>
      <c r="N3666" s="32"/>
      <c r="O3666" s="32"/>
      <c r="P3666" s="32"/>
      <c r="Q3666" s="32"/>
      <c r="R3666" s="32"/>
      <c r="S3666" s="32"/>
      <c r="T3666" s="32"/>
      <c r="U3666" s="32"/>
      <c r="V3666" s="32"/>
      <c r="W3666" s="32"/>
      <c r="X3666" s="32"/>
      <c r="Y3666" s="32"/>
      <c r="Z3666" s="32"/>
    </row>
    <row r="3667" spans="1:26" ht="14.25" customHeight="1">
      <c r="I3667" s="51"/>
    </row>
    <row r="3668" spans="1:26" ht="14.25" customHeight="1">
      <c r="I3668" s="51"/>
    </row>
    <row r="3669" spans="1:26" ht="14.25" customHeight="1">
      <c r="I3669" s="51"/>
    </row>
    <row r="3670" spans="1:26" ht="14.25" customHeight="1">
      <c r="I3670" s="51"/>
    </row>
    <row r="3671" spans="1:26" ht="14.25" customHeight="1">
      <c r="I3671" s="51"/>
    </row>
    <row r="3672" spans="1:26" ht="14.25" customHeight="1">
      <c r="I3672" s="51"/>
    </row>
    <row r="3673" spans="1:26" ht="14.25" customHeight="1">
      <c r="I3673" s="51"/>
    </row>
    <row r="3674" spans="1:26" ht="14.25" customHeight="1">
      <c r="A3674" s="80" t="s">
        <v>0</v>
      </c>
      <c r="B3674" s="81"/>
      <c r="C3674" s="81"/>
      <c r="D3674" s="81"/>
      <c r="E3674" s="81"/>
      <c r="F3674" s="81"/>
      <c r="G3674" s="81"/>
      <c r="H3674" s="82"/>
      <c r="I3674" s="51"/>
      <c r="J3674" s="32"/>
      <c r="K3674" s="32"/>
      <c r="L3674" s="32"/>
      <c r="M3674" s="32"/>
      <c r="N3674" s="32"/>
      <c r="O3674" s="32"/>
      <c r="P3674" s="32"/>
      <c r="Q3674" s="32"/>
      <c r="R3674" s="32"/>
      <c r="S3674" s="32"/>
      <c r="T3674" s="32"/>
      <c r="U3674" s="32"/>
      <c r="V3674" s="32"/>
      <c r="W3674" s="32"/>
      <c r="X3674" s="32"/>
      <c r="Y3674" s="32"/>
      <c r="Z3674" s="32"/>
    </row>
    <row r="3675" spans="1:26" ht="14.25" customHeight="1">
      <c r="A3675" s="80" t="s">
        <v>961</v>
      </c>
      <c r="B3675" s="81"/>
      <c r="C3675" s="81"/>
      <c r="D3675" s="81"/>
      <c r="E3675" s="81"/>
      <c r="F3675" s="81"/>
      <c r="G3675" s="81"/>
      <c r="H3675" s="82"/>
      <c r="I3675" s="51"/>
      <c r="J3675" s="32"/>
      <c r="K3675" s="32"/>
      <c r="L3675" s="32"/>
      <c r="M3675" s="32"/>
      <c r="N3675" s="32"/>
      <c r="O3675" s="32"/>
      <c r="P3675" s="32"/>
      <c r="Q3675" s="32"/>
      <c r="R3675" s="32"/>
      <c r="S3675" s="32"/>
      <c r="T3675" s="32"/>
      <c r="U3675" s="32"/>
      <c r="V3675" s="32"/>
      <c r="W3675" s="32"/>
      <c r="X3675" s="32"/>
      <c r="Y3675" s="32"/>
      <c r="Z3675" s="32"/>
    </row>
    <row r="3676" spans="1:26" ht="14.25" customHeight="1">
      <c r="A3676" s="33" t="s">
        <v>2</v>
      </c>
      <c r="B3676" s="33" t="s">
        <v>3</v>
      </c>
      <c r="C3676" s="33" t="s">
        <v>4</v>
      </c>
      <c r="D3676" s="33" t="s">
        <v>5</v>
      </c>
      <c r="E3676" s="33" t="s">
        <v>6</v>
      </c>
      <c r="F3676" s="34" t="s">
        <v>7</v>
      </c>
      <c r="G3676" s="33" t="s">
        <v>8</v>
      </c>
      <c r="H3676" s="35"/>
      <c r="I3676" s="51"/>
      <c r="J3676" s="32"/>
      <c r="K3676" s="32"/>
      <c r="L3676" s="32"/>
      <c r="M3676" s="32"/>
      <c r="N3676" s="32"/>
      <c r="O3676" s="32"/>
      <c r="P3676" s="32"/>
      <c r="Q3676" s="32"/>
      <c r="R3676" s="32"/>
      <c r="S3676" s="32"/>
      <c r="T3676" s="32"/>
      <c r="U3676" s="32"/>
      <c r="V3676" s="32"/>
      <c r="W3676" s="32"/>
      <c r="X3676" s="32"/>
      <c r="Y3676" s="32"/>
      <c r="Z3676" s="32"/>
    </row>
    <row r="3677" spans="1:26" ht="14.25" customHeight="1">
      <c r="A3677" s="36">
        <v>1</v>
      </c>
      <c r="B3677" s="18" t="s">
        <v>962</v>
      </c>
      <c r="C3677" s="5" t="s">
        <v>963</v>
      </c>
      <c r="D3677" s="18" t="s">
        <v>413</v>
      </c>
      <c r="E3677" s="18">
        <v>1.67</v>
      </c>
      <c r="F3677" s="6">
        <v>293000</v>
      </c>
      <c r="G3677" s="37">
        <f t="shared" ref="G3677:G3679" si="235">IFERROR(E3677*F3677,0)</f>
        <v>489310</v>
      </c>
      <c r="H3677" s="38"/>
      <c r="I3677" s="51"/>
      <c r="J3677" s="32"/>
      <c r="K3677" s="32"/>
      <c r="L3677" s="32"/>
      <c r="M3677" s="32"/>
      <c r="N3677" s="32"/>
      <c r="O3677" s="32"/>
      <c r="P3677" s="32"/>
      <c r="Q3677" s="32"/>
      <c r="R3677" s="32"/>
      <c r="S3677" s="32"/>
      <c r="T3677" s="32"/>
      <c r="U3677" s="32"/>
      <c r="V3677" s="32"/>
      <c r="W3677" s="32"/>
      <c r="X3677" s="32"/>
      <c r="Y3677" s="32"/>
      <c r="Z3677" s="32"/>
    </row>
    <row r="3678" spans="1:26" ht="14.25" customHeight="1">
      <c r="A3678" s="36">
        <v>2</v>
      </c>
      <c r="B3678" s="12" t="s">
        <v>498</v>
      </c>
      <c r="C3678" s="10" t="s">
        <v>964</v>
      </c>
      <c r="D3678" s="12" t="s">
        <v>233</v>
      </c>
      <c r="E3678" s="12">
        <v>1.7</v>
      </c>
      <c r="F3678" s="43">
        <v>435000</v>
      </c>
      <c r="G3678" s="37">
        <f t="shared" si="235"/>
        <v>739500</v>
      </c>
      <c r="H3678" s="38"/>
      <c r="I3678" s="51"/>
      <c r="J3678" s="32"/>
      <c r="K3678" s="32"/>
      <c r="L3678" s="32"/>
      <c r="M3678" s="32"/>
      <c r="N3678" s="32"/>
      <c r="O3678" s="32"/>
      <c r="P3678" s="32"/>
      <c r="Q3678" s="32"/>
      <c r="R3678" s="32"/>
      <c r="S3678" s="32"/>
      <c r="T3678" s="32"/>
      <c r="U3678" s="32"/>
      <c r="V3678" s="32"/>
      <c r="W3678" s="32"/>
      <c r="X3678" s="32"/>
      <c r="Y3678" s="32"/>
      <c r="Z3678" s="32"/>
    </row>
    <row r="3679" spans="1:26" ht="14.25" customHeight="1">
      <c r="A3679" s="36">
        <v>4</v>
      </c>
      <c r="B3679" s="39" t="s">
        <v>17</v>
      </c>
      <c r="C3679" s="38"/>
      <c r="D3679" s="38"/>
      <c r="E3679" s="38"/>
      <c r="F3679" s="60"/>
      <c r="G3679" s="37">
        <f t="shared" si="235"/>
        <v>0</v>
      </c>
      <c r="H3679" s="38"/>
      <c r="I3679" s="51"/>
      <c r="J3679" s="32"/>
      <c r="K3679" s="32"/>
      <c r="L3679" s="32"/>
      <c r="M3679" s="32"/>
      <c r="N3679" s="32"/>
      <c r="O3679" s="32"/>
      <c r="P3679" s="32"/>
      <c r="Q3679" s="32"/>
      <c r="R3679" s="32"/>
      <c r="S3679" s="32"/>
      <c r="T3679" s="32"/>
      <c r="U3679" s="32"/>
      <c r="V3679" s="32"/>
      <c r="W3679" s="32"/>
      <c r="X3679" s="32"/>
      <c r="Y3679" s="32"/>
      <c r="Z3679" s="32"/>
    </row>
    <row r="3680" spans="1:26" ht="14.25" customHeight="1">
      <c r="A3680" s="83" t="s">
        <v>18</v>
      </c>
      <c r="B3680" s="81"/>
      <c r="C3680" s="81"/>
      <c r="D3680" s="81"/>
      <c r="E3680" s="81"/>
      <c r="F3680" s="81"/>
      <c r="G3680" s="82"/>
      <c r="H3680" s="41">
        <f>SUM(G3677:G3679)</f>
        <v>1228810</v>
      </c>
      <c r="I3680" s="51"/>
      <c r="J3680" s="32"/>
      <c r="K3680" s="32"/>
      <c r="L3680" s="32"/>
      <c r="M3680" s="32"/>
      <c r="N3680" s="32"/>
      <c r="O3680" s="32"/>
      <c r="P3680" s="32"/>
      <c r="Q3680" s="32"/>
      <c r="R3680" s="32"/>
      <c r="S3680" s="32"/>
      <c r="T3680" s="32"/>
      <c r="U3680" s="32"/>
      <c r="V3680" s="32"/>
      <c r="W3680" s="32"/>
      <c r="X3680" s="32"/>
      <c r="Y3680" s="32"/>
      <c r="Z3680" s="32"/>
    </row>
    <row r="3681" spans="1:26" ht="14.25" customHeight="1">
      <c r="A3681" s="83" t="s">
        <v>19</v>
      </c>
      <c r="B3681" s="81"/>
      <c r="C3681" s="81"/>
      <c r="D3681" s="81"/>
      <c r="E3681" s="81"/>
      <c r="F3681" s="81"/>
      <c r="G3681" s="82"/>
      <c r="H3681" s="41">
        <f>MAX(0,H3680-648000)</f>
        <v>580810</v>
      </c>
      <c r="I3681" s="51"/>
      <c r="J3681" s="32"/>
      <c r="K3681" s="32"/>
      <c r="L3681" s="32"/>
      <c r="M3681" s="32"/>
      <c r="N3681" s="32"/>
      <c r="O3681" s="32"/>
      <c r="P3681" s="32"/>
      <c r="Q3681" s="32"/>
      <c r="R3681" s="32"/>
      <c r="S3681" s="32"/>
      <c r="T3681" s="32"/>
      <c r="U3681" s="32"/>
      <c r="V3681" s="32"/>
      <c r="W3681" s="32"/>
      <c r="X3681" s="32"/>
      <c r="Y3681" s="32"/>
      <c r="Z3681" s="32"/>
    </row>
    <row r="3682" spans="1:26" ht="14.25" customHeight="1">
      <c r="A3682" s="84" t="s">
        <v>20</v>
      </c>
      <c r="B3682" s="81"/>
      <c r="C3682" s="81"/>
      <c r="D3682" s="81"/>
      <c r="E3682" s="81"/>
      <c r="F3682" s="81"/>
      <c r="G3682" s="82"/>
      <c r="H3682" s="42">
        <v>649000</v>
      </c>
      <c r="I3682" s="51"/>
      <c r="J3682" s="32"/>
      <c r="K3682" s="32"/>
      <c r="L3682" s="32"/>
      <c r="M3682" s="32"/>
      <c r="N3682" s="32"/>
      <c r="O3682" s="32"/>
      <c r="P3682" s="32"/>
      <c r="Q3682" s="32"/>
      <c r="R3682" s="32"/>
      <c r="S3682" s="32"/>
      <c r="T3682" s="32"/>
      <c r="U3682" s="32"/>
      <c r="V3682" s="32"/>
      <c r="W3682" s="32"/>
      <c r="X3682" s="32"/>
      <c r="Y3682" s="32"/>
      <c r="Z3682" s="32"/>
    </row>
    <row r="3683" spans="1:26" ht="14.25" customHeight="1">
      <c r="A3683" s="80"/>
      <c r="B3683" s="81"/>
      <c r="C3683" s="81"/>
      <c r="D3683" s="81"/>
      <c r="E3683" s="81"/>
      <c r="F3683" s="81"/>
      <c r="G3683" s="81"/>
      <c r="H3683" s="82"/>
      <c r="I3683" s="51"/>
      <c r="J3683" s="32"/>
      <c r="K3683" s="32"/>
      <c r="L3683" s="32"/>
      <c r="M3683" s="32"/>
      <c r="N3683" s="32"/>
      <c r="O3683" s="32"/>
      <c r="P3683" s="32"/>
      <c r="Q3683" s="32"/>
      <c r="R3683" s="32"/>
      <c r="S3683" s="32"/>
      <c r="T3683" s="32"/>
      <c r="U3683" s="32"/>
      <c r="V3683" s="32"/>
      <c r="W3683" s="32"/>
      <c r="X3683" s="32"/>
      <c r="Y3683" s="32"/>
      <c r="Z3683" s="32"/>
    </row>
    <row r="3684" spans="1:26" ht="14.25" customHeight="1">
      <c r="I3684" s="51"/>
    </row>
    <row r="3685" spans="1:26" ht="14.25" customHeight="1">
      <c r="I3685" s="51"/>
    </row>
    <row r="3686" spans="1:26" ht="14.25" customHeight="1">
      <c r="I3686" s="51"/>
    </row>
    <row r="3687" spans="1:26" ht="14.25" customHeight="1">
      <c r="I3687" s="51"/>
    </row>
    <row r="3688" spans="1:26" ht="14.25" customHeight="1">
      <c r="I3688" s="51"/>
    </row>
    <row r="3689" spans="1:26" ht="14.25" customHeight="1">
      <c r="I3689" s="51"/>
    </row>
    <row r="3690" spans="1:26" ht="14.25" customHeight="1">
      <c r="I3690" s="51"/>
    </row>
    <row r="3691" spans="1:26" ht="14.25" customHeight="1">
      <c r="I3691" s="51"/>
    </row>
    <row r="3692" spans="1:26" ht="14.25" customHeight="1">
      <c r="A3692" s="80" t="s">
        <v>0</v>
      </c>
      <c r="B3692" s="81"/>
      <c r="C3692" s="81"/>
      <c r="D3692" s="81"/>
      <c r="E3692" s="81"/>
      <c r="F3692" s="81"/>
      <c r="G3692" s="81"/>
      <c r="H3692" s="82"/>
      <c r="I3692" s="51"/>
      <c r="J3692" s="32"/>
      <c r="K3692" s="32"/>
      <c r="L3692" s="32"/>
      <c r="M3692" s="32"/>
      <c r="N3692" s="32"/>
      <c r="O3692" s="32"/>
      <c r="P3692" s="32"/>
      <c r="Q3692" s="32"/>
      <c r="R3692" s="32"/>
      <c r="S3692" s="32"/>
      <c r="T3692" s="32"/>
      <c r="U3692" s="32"/>
      <c r="V3692" s="32"/>
      <c r="W3692" s="32"/>
      <c r="X3692" s="32"/>
      <c r="Y3692" s="32"/>
      <c r="Z3692" s="32"/>
    </row>
    <row r="3693" spans="1:26" ht="14.25" customHeight="1">
      <c r="A3693" s="80" t="s">
        <v>965</v>
      </c>
      <c r="B3693" s="81"/>
      <c r="C3693" s="81"/>
      <c r="D3693" s="81"/>
      <c r="E3693" s="81"/>
      <c r="F3693" s="81"/>
      <c r="G3693" s="81"/>
      <c r="H3693" s="82"/>
      <c r="I3693" s="51"/>
      <c r="J3693" s="32"/>
      <c r="K3693" s="32"/>
      <c r="L3693" s="32"/>
      <c r="M3693" s="32"/>
      <c r="N3693" s="32"/>
      <c r="O3693" s="32"/>
      <c r="P3693" s="32"/>
      <c r="Q3693" s="32"/>
      <c r="R3693" s="32"/>
      <c r="S3693" s="32"/>
      <c r="T3693" s="32"/>
      <c r="U3693" s="32"/>
      <c r="V3693" s="32"/>
      <c r="W3693" s="32"/>
      <c r="X3693" s="32"/>
      <c r="Y3693" s="32"/>
      <c r="Z3693" s="32"/>
    </row>
    <row r="3694" spans="1:26" ht="14.25" customHeight="1">
      <c r="A3694" s="33" t="s">
        <v>2</v>
      </c>
      <c r="B3694" s="33" t="s">
        <v>3</v>
      </c>
      <c r="C3694" s="33" t="s">
        <v>4</v>
      </c>
      <c r="D3694" s="33" t="s">
        <v>5</v>
      </c>
      <c r="E3694" s="33" t="s">
        <v>6</v>
      </c>
      <c r="F3694" s="34" t="s">
        <v>7</v>
      </c>
      <c r="G3694" s="33" t="s">
        <v>8</v>
      </c>
      <c r="H3694" s="35"/>
      <c r="I3694" s="51"/>
      <c r="J3694" s="32"/>
      <c r="K3694" s="32"/>
      <c r="L3694" s="32"/>
      <c r="M3694" s="32"/>
      <c r="N3694" s="32"/>
      <c r="O3694" s="32"/>
      <c r="P3694" s="32"/>
      <c r="Q3694" s="32"/>
      <c r="R3694" s="32"/>
      <c r="S3694" s="32"/>
      <c r="T3694" s="32"/>
      <c r="U3694" s="32"/>
      <c r="V3694" s="32"/>
      <c r="W3694" s="32"/>
      <c r="X3694" s="32"/>
      <c r="Y3694" s="32"/>
      <c r="Z3694" s="32"/>
    </row>
    <row r="3695" spans="1:26" ht="14.25" customHeight="1">
      <c r="A3695" s="36">
        <v>1</v>
      </c>
      <c r="B3695" s="18" t="s">
        <v>855</v>
      </c>
      <c r="C3695" s="5">
        <v>8805</v>
      </c>
      <c r="D3695" s="18" t="s">
        <v>413</v>
      </c>
      <c r="E3695" s="18">
        <v>2.5499999999999998</v>
      </c>
      <c r="F3695" s="6">
        <v>293000</v>
      </c>
      <c r="G3695" s="37">
        <f t="shared" ref="G3695:G3697" si="236">IFERROR(E3695*F3695,0)</f>
        <v>747150</v>
      </c>
      <c r="H3695" s="38"/>
      <c r="I3695" s="51"/>
      <c r="J3695" s="32"/>
      <c r="K3695" s="32"/>
      <c r="L3695" s="32"/>
      <c r="M3695" s="32"/>
      <c r="N3695" s="32"/>
      <c r="O3695" s="32"/>
      <c r="P3695" s="32"/>
      <c r="Q3695" s="32"/>
      <c r="R3695" s="32"/>
      <c r="S3695" s="32"/>
      <c r="T3695" s="32"/>
      <c r="U3695" s="32"/>
      <c r="V3695" s="32"/>
      <c r="W3695" s="32"/>
      <c r="X3695" s="32"/>
      <c r="Y3695" s="32"/>
      <c r="Z3695" s="32"/>
    </row>
    <row r="3696" spans="1:26" ht="14.25" customHeight="1">
      <c r="A3696" s="36">
        <v>2</v>
      </c>
      <c r="B3696" s="12" t="s">
        <v>73</v>
      </c>
      <c r="C3696" s="10" t="s">
        <v>966</v>
      </c>
      <c r="D3696" s="12" t="s">
        <v>233</v>
      </c>
      <c r="E3696" s="12">
        <v>1.1000000000000001</v>
      </c>
      <c r="F3696" s="43">
        <v>435000</v>
      </c>
      <c r="G3696" s="37">
        <f t="shared" si="236"/>
        <v>478500.00000000006</v>
      </c>
      <c r="H3696" s="38"/>
      <c r="I3696" s="51"/>
      <c r="J3696" s="32"/>
      <c r="K3696" s="32"/>
      <c r="L3696" s="32"/>
      <c r="M3696" s="32"/>
      <c r="N3696" s="32"/>
      <c r="O3696" s="32"/>
      <c r="P3696" s="32"/>
      <c r="Q3696" s="32"/>
      <c r="R3696" s="32"/>
      <c r="S3696" s="32"/>
      <c r="T3696" s="32"/>
      <c r="U3696" s="32"/>
      <c r="V3696" s="32"/>
      <c r="W3696" s="32"/>
      <c r="X3696" s="32"/>
      <c r="Y3696" s="32"/>
      <c r="Z3696" s="32"/>
    </row>
    <row r="3697" spans="1:26" ht="14.25" customHeight="1">
      <c r="A3697" s="36">
        <v>4</v>
      </c>
      <c r="B3697" s="39" t="s">
        <v>17</v>
      </c>
      <c r="C3697" s="38"/>
      <c r="D3697" s="38"/>
      <c r="E3697" s="38"/>
      <c r="F3697" s="60"/>
      <c r="G3697" s="37">
        <f t="shared" si="236"/>
        <v>0</v>
      </c>
      <c r="H3697" s="38"/>
      <c r="I3697" s="51"/>
      <c r="J3697" s="32"/>
      <c r="K3697" s="32"/>
      <c r="L3697" s="32"/>
      <c r="M3697" s="32"/>
      <c r="N3697" s="32"/>
      <c r="O3697" s="32"/>
      <c r="P3697" s="32"/>
      <c r="Q3697" s="32"/>
      <c r="R3697" s="32"/>
      <c r="S3697" s="32"/>
      <c r="T3697" s="32"/>
      <c r="U3697" s="32"/>
      <c r="V3697" s="32"/>
      <c r="W3697" s="32"/>
      <c r="X3697" s="32"/>
      <c r="Y3697" s="32"/>
      <c r="Z3697" s="32"/>
    </row>
    <row r="3698" spans="1:26" ht="14.25" customHeight="1">
      <c r="A3698" s="83" t="s">
        <v>18</v>
      </c>
      <c r="B3698" s="81"/>
      <c r="C3698" s="81"/>
      <c r="D3698" s="81"/>
      <c r="E3698" s="81"/>
      <c r="F3698" s="81"/>
      <c r="G3698" s="82"/>
      <c r="H3698" s="41">
        <f>SUM(G3695:G3697)</f>
        <v>1225650</v>
      </c>
      <c r="I3698" s="51"/>
      <c r="J3698" s="32"/>
      <c r="K3698" s="32"/>
      <c r="L3698" s="32"/>
      <c r="M3698" s="32"/>
      <c r="N3698" s="32"/>
      <c r="O3698" s="32"/>
      <c r="P3698" s="32"/>
      <c r="Q3698" s="32"/>
      <c r="R3698" s="32"/>
      <c r="S3698" s="32"/>
      <c r="T3698" s="32"/>
      <c r="U3698" s="32"/>
      <c r="V3698" s="32"/>
      <c r="W3698" s="32"/>
      <c r="X3698" s="32"/>
      <c r="Y3698" s="32"/>
      <c r="Z3698" s="32"/>
    </row>
    <row r="3699" spans="1:26" ht="14.25" customHeight="1">
      <c r="A3699" s="83" t="s">
        <v>19</v>
      </c>
      <c r="B3699" s="81"/>
      <c r="C3699" s="81"/>
      <c r="D3699" s="81"/>
      <c r="E3699" s="81"/>
      <c r="F3699" s="81"/>
      <c r="G3699" s="82"/>
      <c r="H3699" s="41">
        <f>MAX(0,H3698-648000)</f>
        <v>577650</v>
      </c>
      <c r="I3699" s="51"/>
      <c r="J3699" s="32"/>
      <c r="K3699" s="32"/>
      <c r="L3699" s="32"/>
      <c r="M3699" s="32"/>
      <c r="N3699" s="32"/>
      <c r="O3699" s="32"/>
      <c r="P3699" s="32"/>
      <c r="Q3699" s="32"/>
      <c r="R3699" s="32"/>
      <c r="S3699" s="32"/>
      <c r="T3699" s="32"/>
      <c r="U3699" s="32"/>
      <c r="V3699" s="32"/>
      <c r="W3699" s="32"/>
      <c r="X3699" s="32"/>
      <c r="Y3699" s="32"/>
      <c r="Z3699" s="32"/>
    </row>
    <row r="3700" spans="1:26" ht="14.25" customHeight="1">
      <c r="A3700" s="84" t="s">
        <v>20</v>
      </c>
      <c r="B3700" s="81"/>
      <c r="C3700" s="81"/>
      <c r="D3700" s="81"/>
      <c r="E3700" s="81"/>
      <c r="F3700" s="81"/>
      <c r="G3700" s="82"/>
      <c r="H3700" s="42">
        <v>649000</v>
      </c>
      <c r="I3700" s="51"/>
      <c r="J3700" s="32"/>
      <c r="K3700" s="32"/>
      <c r="L3700" s="32"/>
      <c r="M3700" s="32"/>
      <c r="N3700" s="32"/>
      <c r="O3700" s="32"/>
      <c r="P3700" s="32"/>
      <c r="Q3700" s="32"/>
      <c r="R3700" s="32"/>
      <c r="S3700" s="32"/>
      <c r="T3700" s="32"/>
      <c r="U3700" s="32"/>
      <c r="V3700" s="32"/>
      <c r="W3700" s="32"/>
      <c r="X3700" s="32"/>
      <c r="Y3700" s="32"/>
      <c r="Z3700" s="32"/>
    </row>
    <row r="3701" spans="1:26" ht="14.25" customHeight="1">
      <c r="A3701" s="80"/>
      <c r="B3701" s="81"/>
      <c r="C3701" s="81"/>
      <c r="D3701" s="81"/>
      <c r="E3701" s="81"/>
      <c r="F3701" s="81"/>
      <c r="G3701" s="81"/>
      <c r="H3701" s="82"/>
      <c r="I3701" s="51"/>
      <c r="J3701" s="32"/>
      <c r="K3701" s="32"/>
      <c r="L3701" s="32"/>
      <c r="M3701" s="32"/>
      <c r="N3701" s="32"/>
      <c r="O3701" s="32"/>
      <c r="P3701" s="32"/>
      <c r="Q3701" s="32"/>
      <c r="R3701" s="32"/>
      <c r="S3701" s="32"/>
      <c r="T3701" s="32"/>
      <c r="U3701" s="32"/>
      <c r="V3701" s="32"/>
      <c r="W3701" s="32"/>
      <c r="X3701" s="32"/>
      <c r="Y3701" s="32"/>
      <c r="Z3701" s="32"/>
    </row>
    <row r="3702" spans="1:26" ht="14.25" customHeight="1">
      <c r="I3702" s="51"/>
    </row>
    <row r="3703" spans="1:26" ht="14.25" customHeight="1">
      <c r="I3703" s="51"/>
    </row>
    <row r="3704" spans="1:26" ht="14.25" customHeight="1">
      <c r="I3704" s="51"/>
    </row>
    <row r="3705" spans="1:26" ht="14.25" customHeight="1">
      <c r="I3705" s="51"/>
    </row>
    <row r="3706" spans="1:26" ht="14.25" customHeight="1">
      <c r="I3706" s="51"/>
    </row>
    <row r="3707" spans="1:26" ht="14.25" customHeight="1">
      <c r="I3707" s="51"/>
    </row>
    <row r="3708" spans="1:26" ht="14.25" customHeight="1">
      <c r="I3708" s="51"/>
    </row>
    <row r="3709" spans="1:26" ht="14.25" customHeight="1">
      <c r="I3709" s="51"/>
    </row>
    <row r="3710" spans="1:26" ht="14.25" customHeight="1">
      <c r="I3710" s="51"/>
    </row>
    <row r="3711" spans="1:26" ht="14.25" customHeight="1">
      <c r="I3711" s="51"/>
    </row>
    <row r="3712" spans="1:26" ht="14.25" customHeight="1">
      <c r="A3712" s="80" t="s">
        <v>0</v>
      </c>
      <c r="B3712" s="81"/>
      <c r="C3712" s="81"/>
      <c r="D3712" s="81"/>
      <c r="E3712" s="81"/>
      <c r="F3712" s="81"/>
      <c r="G3712" s="81"/>
      <c r="H3712" s="82"/>
      <c r="I3712" s="51"/>
      <c r="J3712" s="32"/>
      <c r="K3712" s="32"/>
      <c r="L3712" s="32"/>
      <c r="M3712" s="32"/>
      <c r="N3712" s="32"/>
      <c r="O3712" s="32"/>
      <c r="P3712" s="32"/>
      <c r="Q3712" s="32"/>
      <c r="R3712" s="32"/>
      <c r="S3712" s="32"/>
      <c r="T3712" s="32"/>
      <c r="U3712" s="32"/>
      <c r="V3712" s="32"/>
      <c r="W3712" s="32"/>
      <c r="X3712" s="32"/>
      <c r="Y3712" s="32"/>
      <c r="Z3712" s="32"/>
    </row>
    <row r="3713" spans="1:26" ht="14.25" customHeight="1">
      <c r="A3713" s="80" t="s">
        <v>967</v>
      </c>
      <c r="B3713" s="81"/>
      <c r="C3713" s="81"/>
      <c r="D3713" s="81"/>
      <c r="E3713" s="81"/>
      <c r="F3713" s="81"/>
      <c r="G3713" s="81"/>
      <c r="H3713" s="82"/>
      <c r="I3713" s="51"/>
      <c r="J3713" s="32"/>
      <c r="K3713" s="32"/>
      <c r="L3713" s="32"/>
      <c r="M3713" s="32"/>
      <c r="N3713" s="32"/>
      <c r="O3713" s="32"/>
      <c r="P3713" s="32"/>
      <c r="Q3713" s="32"/>
      <c r="R3713" s="32"/>
      <c r="S3713" s="32"/>
      <c r="T3713" s="32"/>
      <c r="U3713" s="32"/>
      <c r="V3713" s="32"/>
      <c r="W3713" s="32"/>
      <c r="X3713" s="32"/>
      <c r="Y3713" s="32"/>
      <c r="Z3713" s="32"/>
    </row>
    <row r="3714" spans="1:26" ht="14.25" customHeight="1">
      <c r="A3714" s="33" t="s">
        <v>2</v>
      </c>
      <c r="B3714" s="33" t="s">
        <v>3</v>
      </c>
      <c r="C3714" s="33" t="s">
        <v>4</v>
      </c>
      <c r="D3714" s="33" t="s">
        <v>5</v>
      </c>
      <c r="E3714" s="33" t="s">
        <v>6</v>
      </c>
      <c r="F3714" s="34" t="s">
        <v>7</v>
      </c>
      <c r="G3714" s="33" t="s">
        <v>8</v>
      </c>
      <c r="H3714" s="35"/>
      <c r="I3714" s="51"/>
      <c r="J3714" s="32"/>
      <c r="K3714" s="32"/>
      <c r="L3714" s="32"/>
      <c r="M3714" s="32"/>
      <c r="N3714" s="32"/>
      <c r="O3714" s="32"/>
      <c r="P3714" s="32"/>
      <c r="Q3714" s="32"/>
      <c r="R3714" s="32"/>
      <c r="S3714" s="32"/>
      <c r="T3714" s="32"/>
      <c r="U3714" s="32"/>
      <c r="V3714" s="32"/>
      <c r="W3714" s="32"/>
      <c r="X3714" s="32"/>
      <c r="Y3714" s="32"/>
      <c r="Z3714" s="32"/>
    </row>
    <row r="3715" spans="1:26" ht="14.25" customHeight="1">
      <c r="A3715" s="36">
        <v>1</v>
      </c>
      <c r="B3715" s="18" t="s">
        <v>968</v>
      </c>
      <c r="C3715" s="5">
        <v>8821</v>
      </c>
      <c r="D3715" s="18" t="s">
        <v>413</v>
      </c>
      <c r="E3715" s="18">
        <v>2</v>
      </c>
      <c r="F3715" s="6">
        <v>293000</v>
      </c>
      <c r="G3715" s="37">
        <f t="shared" ref="G3715:G3717" si="237">IFERROR(E3715*F3715,0)</f>
        <v>586000</v>
      </c>
      <c r="H3715" s="38"/>
      <c r="I3715" s="51"/>
      <c r="J3715" s="32"/>
      <c r="K3715" s="32"/>
      <c r="L3715" s="32"/>
      <c r="M3715" s="32"/>
      <c r="N3715" s="32"/>
      <c r="O3715" s="32"/>
      <c r="P3715" s="32"/>
      <c r="Q3715" s="32"/>
      <c r="R3715" s="32"/>
      <c r="S3715" s="32"/>
      <c r="T3715" s="32"/>
      <c r="U3715" s="32"/>
      <c r="V3715" s="32"/>
      <c r="W3715" s="32"/>
      <c r="X3715" s="32"/>
      <c r="Y3715" s="32"/>
      <c r="Z3715" s="32"/>
    </row>
    <row r="3716" spans="1:26" ht="14.25" customHeight="1">
      <c r="A3716" s="36">
        <v>2</v>
      </c>
      <c r="B3716" s="12" t="s">
        <v>144</v>
      </c>
      <c r="C3716" s="10" t="s">
        <v>969</v>
      </c>
      <c r="D3716" s="12" t="s">
        <v>233</v>
      </c>
      <c r="E3716" s="12">
        <v>1.1499999999999999</v>
      </c>
      <c r="F3716" s="43">
        <v>435000</v>
      </c>
      <c r="G3716" s="37">
        <f t="shared" si="237"/>
        <v>500249.99999999994</v>
      </c>
      <c r="H3716" s="38"/>
      <c r="I3716" s="51"/>
      <c r="J3716" s="32"/>
      <c r="K3716" s="32"/>
      <c r="L3716" s="32"/>
      <c r="M3716" s="32"/>
      <c r="N3716" s="32"/>
      <c r="O3716" s="32"/>
      <c r="P3716" s="32"/>
      <c r="Q3716" s="32"/>
      <c r="R3716" s="32"/>
      <c r="S3716" s="32"/>
      <c r="T3716" s="32"/>
      <c r="U3716" s="32"/>
      <c r="V3716" s="32"/>
      <c r="W3716" s="32"/>
      <c r="X3716" s="32"/>
      <c r="Y3716" s="32"/>
      <c r="Z3716" s="32"/>
    </row>
    <row r="3717" spans="1:26" ht="14.25" customHeight="1">
      <c r="A3717" s="36">
        <v>4</v>
      </c>
      <c r="B3717" s="39" t="s">
        <v>17</v>
      </c>
      <c r="C3717" s="38"/>
      <c r="D3717" s="38"/>
      <c r="E3717" s="38"/>
      <c r="F3717" s="60"/>
      <c r="G3717" s="37">
        <f t="shared" si="237"/>
        <v>0</v>
      </c>
      <c r="H3717" s="38"/>
      <c r="I3717" s="51"/>
      <c r="J3717" s="32"/>
      <c r="K3717" s="32"/>
      <c r="L3717" s="32"/>
      <c r="M3717" s="32"/>
      <c r="N3717" s="32"/>
      <c r="O3717" s="32"/>
      <c r="P3717" s="32"/>
      <c r="Q3717" s="32"/>
      <c r="R3717" s="32"/>
      <c r="S3717" s="32"/>
      <c r="T3717" s="32"/>
      <c r="U3717" s="32"/>
      <c r="V3717" s="32"/>
      <c r="W3717" s="32"/>
      <c r="X3717" s="32"/>
      <c r="Y3717" s="32"/>
      <c r="Z3717" s="32"/>
    </row>
    <row r="3718" spans="1:26" ht="14.25" customHeight="1">
      <c r="A3718" s="83" t="s">
        <v>18</v>
      </c>
      <c r="B3718" s="81"/>
      <c r="C3718" s="81"/>
      <c r="D3718" s="81"/>
      <c r="E3718" s="81"/>
      <c r="F3718" s="81"/>
      <c r="G3718" s="82"/>
      <c r="H3718" s="41">
        <f>SUM(G3715:G3717)</f>
        <v>1086250</v>
      </c>
      <c r="I3718" s="51"/>
      <c r="J3718" s="32"/>
      <c r="K3718" s="32"/>
      <c r="L3718" s="32"/>
      <c r="M3718" s="32"/>
      <c r="N3718" s="32"/>
      <c r="O3718" s="32"/>
      <c r="P3718" s="32"/>
      <c r="Q3718" s="32"/>
      <c r="R3718" s="32"/>
      <c r="S3718" s="32"/>
      <c r="T3718" s="32"/>
      <c r="U3718" s="32"/>
      <c r="V3718" s="32"/>
      <c r="W3718" s="32"/>
      <c r="X3718" s="32"/>
      <c r="Y3718" s="32"/>
      <c r="Z3718" s="32"/>
    </row>
    <row r="3719" spans="1:26" ht="14.25" customHeight="1">
      <c r="A3719" s="83" t="s">
        <v>19</v>
      </c>
      <c r="B3719" s="81"/>
      <c r="C3719" s="81"/>
      <c r="D3719" s="81"/>
      <c r="E3719" s="81"/>
      <c r="F3719" s="81"/>
      <c r="G3719" s="82"/>
      <c r="H3719" s="41">
        <f>MAX(0,H3718-648000)</f>
        <v>438250</v>
      </c>
      <c r="I3719" s="51"/>
      <c r="J3719" s="32"/>
      <c r="K3719" s="32"/>
      <c r="L3719" s="32"/>
      <c r="M3719" s="32"/>
      <c r="N3719" s="32"/>
      <c r="O3719" s="32"/>
      <c r="P3719" s="32"/>
      <c r="Q3719" s="32"/>
      <c r="R3719" s="32"/>
      <c r="S3719" s="32"/>
      <c r="T3719" s="32"/>
      <c r="U3719" s="32"/>
      <c r="V3719" s="32"/>
      <c r="W3719" s="32"/>
      <c r="X3719" s="32"/>
      <c r="Y3719" s="32"/>
      <c r="Z3719" s="32"/>
    </row>
    <row r="3720" spans="1:26" ht="14.25" customHeight="1">
      <c r="A3720" s="84" t="s">
        <v>20</v>
      </c>
      <c r="B3720" s="81"/>
      <c r="C3720" s="81"/>
      <c r="D3720" s="81"/>
      <c r="E3720" s="81"/>
      <c r="F3720" s="81"/>
      <c r="G3720" s="82"/>
      <c r="H3720" s="42">
        <v>649000</v>
      </c>
      <c r="I3720" s="51"/>
      <c r="J3720" s="32"/>
      <c r="K3720" s="32"/>
      <c r="L3720" s="32"/>
      <c r="M3720" s="32"/>
      <c r="N3720" s="32"/>
      <c r="O3720" s="32"/>
      <c r="P3720" s="32"/>
      <c r="Q3720" s="32"/>
      <c r="R3720" s="32"/>
      <c r="S3720" s="32"/>
      <c r="T3720" s="32"/>
      <c r="U3720" s="32"/>
      <c r="V3720" s="32"/>
      <c r="W3720" s="32"/>
      <c r="X3720" s="32"/>
      <c r="Y3720" s="32"/>
      <c r="Z3720" s="32"/>
    </row>
    <row r="3721" spans="1:26" ht="14.25" customHeight="1">
      <c r="A3721" s="80"/>
      <c r="B3721" s="81"/>
      <c r="C3721" s="81"/>
      <c r="D3721" s="81"/>
      <c r="E3721" s="81"/>
      <c r="F3721" s="81"/>
      <c r="G3721" s="81"/>
      <c r="H3721" s="82"/>
      <c r="I3721" s="51"/>
      <c r="J3721" s="32"/>
      <c r="K3721" s="32"/>
      <c r="L3721" s="32"/>
      <c r="M3721" s="32"/>
      <c r="N3721" s="32"/>
      <c r="O3721" s="32"/>
      <c r="P3721" s="32"/>
      <c r="Q3721" s="32"/>
      <c r="R3721" s="32"/>
      <c r="S3721" s="32"/>
      <c r="T3721" s="32"/>
      <c r="U3721" s="32"/>
      <c r="V3721" s="32"/>
      <c r="W3721" s="32"/>
      <c r="X3721" s="32"/>
      <c r="Y3721" s="32"/>
      <c r="Z3721" s="32"/>
    </row>
    <row r="3722" spans="1:26" ht="14.25" customHeight="1">
      <c r="I3722" s="51"/>
    </row>
    <row r="3723" spans="1:26" ht="14.25" customHeight="1">
      <c r="I3723" s="51"/>
    </row>
    <row r="3724" spans="1:26" ht="14.25" customHeight="1">
      <c r="I3724" s="51"/>
    </row>
    <row r="3725" spans="1:26" ht="14.25" customHeight="1">
      <c r="I3725" s="51"/>
    </row>
    <row r="3726" spans="1:26" ht="14.25" customHeight="1">
      <c r="I3726" s="51"/>
    </row>
    <row r="3727" spans="1:26" ht="14.25" customHeight="1">
      <c r="I3727" s="51"/>
    </row>
    <row r="3728" spans="1:26" ht="14.25" customHeight="1">
      <c r="A3728" s="80" t="s">
        <v>0</v>
      </c>
      <c r="B3728" s="81"/>
      <c r="C3728" s="81"/>
      <c r="D3728" s="81"/>
      <c r="E3728" s="81"/>
      <c r="F3728" s="81"/>
      <c r="G3728" s="81"/>
      <c r="H3728" s="82"/>
      <c r="I3728" s="51"/>
      <c r="J3728" s="32"/>
      <c r="K3728" s="32"/>
      <c r="L3728" s="32"/>
      <c r="M3728" s="32"/>
      <c r="N3728" s="32"/>
      <c r="O3728" s="32"/>
      <c r="P3728" s="32"/>
      <c r="Q3728" s="32"/>
      <c r="R3728" s="32"/>
      <c r="S3728" s="32"/>
      <c r="T3728" s="32"/>
      <c r="U3728" s="32"/>
      <c r="V3728" s="32"/>
      <c r="W3728" s="32"/>
      <c r="X3728" s="32"/>
      <c r="Y3728" s="32"/>
      <c r="Z3728" s="32"/>
    </row>
    <row r="3729" spans="1:26" ht="14.25" customHeight="1">
      <c r="A3729" s="80" t="s">
        <v>970</v>
      </c>
      <c r="B3729" s="81"/>
      <c r="C3729" s="81"/>
      <c r="D3729" s="81"/>
      <c r="E3729" s="81"/>
      <c r="F3729" s="81"/>
      <c r="G3729" s="81"/>
      <c r="H3729" s="82"/>
      <c r="I3729" s="51"/>
      <c r="J3729" s="32"/>
      <c r="K3729" s="32"/>
      <c r="L3729" s="32"/>
      <c r="M3729" s="32"/>
      <c r="N3729" s="32"/>
      <c r="O3729" s="32"/>
      <c r="P3729" s="32"/>
      <c r="Q3729" s="32"/>
      <c r="R3729" s="32"/>
      <c r="S3729" s="32"/>
      <c r="T3729" s="32"/>
      <c r="U3729" s="32"/>
      <c r="V3729" s="32"/>
      <c r="W3729" s="32"/>
      <c r="X3729" s="32"/>
      <c r="Y3729" s="32"/>
      <c r="Z3729" s="32"/>
    </row>
    <row r="3730" spans="1:26" ht="14.25" customHeight="1">
      <c r="A3730" s="33" t="s">
        <v>2</v>
      </c>
      <c r="B3730" s="33" t="s">
        <v>3</v>
      </c>
      <c r="C3730" s="33" t="s">
        <v>4</v>
      </c>
      <c r="D3730" s="33" t="s">
        <v>5</v>
      </c>
      <c r="E3730" s="33" t="s">
        <v>6</v>
      </c>
      <c r="F3730" s="34" t="s">
        <v>7</v>
      </c>
      <c r="G3730" s="33" t="s">
        <v>8</v>
      </c>
      <c r="H3730" s="35"/>
      <c r="I3730" s="51"/>
      <c r="J3730" s="32"/>
      <c r="K3730" s="32"/>
      <c r="L3730" s="32"/>
      <c r="M3730" s="32"/>
      <c r="N3730" s="32"/>
      <c r="O3730" s="32"/>
      <c r="P3730" s="32"/>
      <c r="Q3730" s="32"/>
      <c r="R3730" s="32"/>
      <c r="S3730" s="32"/>
      <c r="T3730" s="32"/>
      <c r="U3730" s="32"/>
      <c r="V3730" s="32"/>
      <c r="W3730" s="32"/>
      <c r="X3730" s="32"/>
      <c r="Y3730" s="32"/>
      <c r="Z3730" s="32"/>
    </row>
    <row r="3731" spans="1:26" ht="14.25" customHeight="1">
      <c r="A3731" s="36">
        <v>1</v>
      </c>
      <c r="B3731" s="18" t="s">
        <v>43</v>
      </c>
      <c r="C3731" s="5" t="s">
        <v>971</v>
      </c>
      <c r="D3731" s="12" t="s">
        <v>413</v>
      </c>
      <c r="E3731" s="18">
        <v>2.4</v>
      </c>
      <c r="F3731" s="6">
        <v>293000</v>
      </c>
      <c r="G3731" s="37">
        <f t="shared" ref="G3731:G3733" si="238">IFERROR(E3731*F3731,0)</f>
        <v>703200</v>
      </c>
      <c r="H3731" s="38"/>
      <c r="I3731" s="51"/>
      <c r="J3731" s="32"/>
      <c r="K3731" s="32"/>
      <c r="L3731" s="32"/>
      <c r="M3731" s="32"/>
      <c r="N3731" s="32"/>
      <c r="O3731" s="32"/>
      <c r="P3731" s="32"/>
      <c r="Q3731" s="32"/>
      <c r="R3731" s="32"/>
      <c r="S3731" s="32"/>
      <c r="T3731" s="32"/>
      <c r="U3731" s="32"/>
      <c r="V3731" s="32"/>
      <c r="W3731" s="32"/>
      <c r="X3731" s="32"/>
      <c r="Y3731" s="32"/>
      <c r="Z3731" s="32"/>
    </row>
    <row r="3732" spans="1:26" ht="14.25" customHeight="1">
      <c r="A3732" s="36">
        <v>2</v>
      </c>
      <c r="B3732" s="12" t="s">
        <v>972</v>
      </c>
      <c r="C3732" s="10" t="s">
        <v>973</v>
      </c>
      <c r="D3732" s="51" t="s">
        <v>233</v>
      </c>
      <c r="E3732" s="12">
        <v>1</v>
      </c>
      <c r="F3732" s="43">
        <v>435000</v>
      </c>
      <c r="G3732" s="37">
        <f t="shared" si="238"/>
        <v>435000</v>
      </c>
      <c r="H3732" s="38"/>
      <c r="I3732" s="51"/>
      <c r="J3732" s="32"/>
      <c r="K3732" s="32"/>
      <c r="L3732" s="32"/>
      <c r="M3732" s="32"/>
      <c r="N3732" s="32"/>
      <c r="O3732" s="32"/>
      <c r="P3732" s="32"/>
      <c r="Q3732" s="32"/>
      <c r="R3732" s="32"/>
      <c r="S3732" s="32"/>
      <c r="T3732" s="32"/>
      <c r="U3732" s="32"/>
      <c r="V3732" s="32"/>
      <c r="W3732" s="32"/>
      <c r="X3732" s="32"/>
      <c r="Y3732" s="32"/>
      <c r="Z3732" s="32"/>
    </row>
    <row r="3733" spans="1:26" ht="14.25" customHeight="1">
      <c r="A3733" s="36">
        <v>4</v>
      </c>
      <c r="B3733" s="39" t="s">
        <v>17</v>
      </c>
      <c r="C3733" s="38"/>
      <c r="D3733" s="38"/>
      <c r="E3733" s="38"/>
      <c r="F3733" s="60"/>
      <c r="G3733" s="37">
        <f t="shared" si="238"/>
        <v>0</v>
      </c>
      <c r="H3733" s="38"/>
      <c r="I3733" s="51"/>
      <c r="J3733" s="32"/>
      <c r="K3733" s="32"/>
      <c r="L3733" s="32"/>
      <c r="M3733" s="32"/>
      <c r="N3733" s="32"/>
      <c r="O3733" s="32"/>
      <c r="P3733" s="32"/>
      <c r="Q3733" s="32"/>
      <c r="R3733" s="32"/>
      <c r="S3733" s="32"/>
      <c r="T3733" s="32"/>
      <c r="U3733" s="32"/>
      <c r="V3733" s="32"/>
      <c r="W3733" s="32"/>
      <c r="X3733" s="32"/>
      <c r="Y3733" s="32"/>
      <c r="Z3733" s="32"/>
    </row>
    <row r="3734" spans="1:26" ht="14.25" customHeight="1">
      <c r="A3734" s="83" t="s">
        <v>18</v>
      </c>
      <c r="B3734" s="81"/>
      <c r="C3734" s="81"/>
      <c r="D3734" s="81"/>
      <c r="E3734" s="81"/>
      <c r="F3734" s="81"/>
      <c r="G3734" s="82"/>
      <c r="H3734" s="41">
        <f>SUM(G3731:G3733)</f>
        <v>1138200</v>
      </c>
      <c r="I3734" s="51"/>
      <c r="J3734" s="32"/>
      <c r="K3734" s="32"/>
      <c r="L3734" s="32"/>
      <c r="M3734" s="32"/>
      <c r="N3734" s="32"/>
      <c r="O3734" s="32"/>
      <c r="P3734" s="32"/>
      <c r="Q3734" s="32"/>
      <c r="R3734" s="32"/>
      <c r="S3734" s="32"/>
      <c r="T3734" s="32"/>
      <c r="U3734" s="32"/>
      <c r="V3734" s="32"/>
      <c r="W3734" s="32"/>
      <c r="X3734" s="32"/>
      <c r="Y3734" s="32"/>
      <c r="Z3734" s="32"/>
    </row>
    <row r="3735" spans="1:26" ht="14.25" customHeight="1">
      <c r="A3735" s="83" t="s">
        <v>19</v>
      </c>
      <c r="B3735" s="81"/>
      <c r="C3735" s="81"/>
      <c r="D3735" s="81"/>
      <c r="E3735" s="81"/>
      <c r="F3735" s="81"/>
      <c r="G3735" s="82"/>
      <c r="H3735" s="41">
        <f>MAX(0,H3734-648000)</f>
        <v>490200</v>
      </c>
      <c r="I3735" s="51"/>
      <c r="J3735" s="32"/>
      <c r="K3735" s="32"/>
      <c r="L3735" s="32"/>
      <c r="M3735" s="32"/>
      <c r="N3735" s="32"/>
      <c r="O3735" s="32"/>
      <c r="P3735" s="32"/>
      <c r="Q3735" s="32"/>
      <c r="R3735" s="32"/>
      <c r="S3735" s="32"/>
      <c r="T3735" s="32"/>
      <c r="U3735" s="32"/>
      <c r="V3735" s="32"/>
      <c r="W3735" s="32"/>
      <c r="X3735" s="32"/>
      <c r="Y3735" s="32"/>
      <c r="Z3735" s="32"/>
    </row>
    <row r="3736" spans="1:26" ht="14.25" customHeight="1">
      <c r="A3736" s="84" t="s">
        <v>20</v>
      </c>
      <c r="B3736" s="81"/>
      <c r="C3736" s="81"/>
      <c r="D3736" s="81"/>
      <c r="E3736" s="81"/>
      <c r="F3736" s="81"/>
      <c r="G3736" s="82"/>
      <c r="H3736" s="42">
        <v>649000</v>
      </c>
      <c r="I3736" s="51"/>
      <c r="J3736" s="32"/>
      <c r="K3736" s="32"/>
      <c r="L3736" s="32"/>
      <c r="M3736" s="32"/>
      <c r="N3736" s="32"/>
      <c r="O3736" s="32"/>
      <c r="P3736" s="32"/>
      <c r="Q3736" s="32"/>
      <c r="R3736" s="32"/>
      <c r="S3736" s="32"/>
      <c r="T3736" s="32"/>
      <c r="U3736" s="32"/>
      <c r="V3736" s="32"/>
      <c r="W3736" s="32"/>
      <c r="X3736" s="32"/>
      <c r="Y3736" s="32"/>
      <c r="Z3736" s="32"/>
    </row>
    <row r="3737" spans="1:26" ht="14.25" customHeight="1">
      <c r="A3737" s="80"/>
      <c r="B3737" s="81"/>
      <c r="C3737" s="81"/>
      <c r="D3737" s="81"/>
      <c r="E3737" s="81"/>
      <c r="F3737" s="81"/>
      <c r="G3737" s="81"/>
      <c r="H3737" s="82"/>
      <c r="I3737" s="51"/>
      <c r="J3737" s="32"/>
      <c r="K3737" s="32"/>
      <c r="L3737" s="32"/>
      <c r="M3737" s="32"/>
      <c r="N3737" s="32"/>
      <c r="O3737" s="32"/>
      <c r="P3737" s="32"/>
      <c r="Q3737" s="32"/>
      <c r="R3737" s="32"/>
      <c r="S3737" s="32"/>
      <c r="T3737" s="32"/>
      <c r="U3737" s="32"/>
      <c r="V3737" s="32"/>
      <c r="W3737" s="32"/>
      <c r="X3737" s="32"/>
      <c r="Y3737" s="32"/>
      <c r="Z3737" s="32"/>
    </row>
    <row r="3738" spans="1:26" ht="14.25" customHeight="1">
      <c r="I3738" s="51"/>
    </row>
    <row r="3739" spans="1:26" ht="14.25" customHeight="1">
      <c r="I3739" s="51"/>
    </row>
    <row r="3740" spans="1:26" ht="14.25" customHeight="1">
      <c r="I3740" s="51"/>
    </row>
    <row r="3741" spans="1:26" ht="14.25" customHeight="1">
      <c r="I3741" s="51"/>
    </row>
    <row r="3742" spans="1:26" ht="14.25" customHeight="1">
      <c r="I3742" s="51"/>
    </row>
    <row r="3743" spans="1:26" ht="14.25" customHeight="1">
      <c r="I3743" s="51"/>
    </row>
    <row r="3744" spans="1:26" ht="14.25" customHeight="1">
      <c r="I3744" s="51"/>
    </row>
    <row r="3745" spans="1:26" ht="14.25" customHeight="1">
      <c r="I3745" s="51"/>
    </row>
    <row r="3746" spans="1:26" ht="14.25" customHeight="1">
      <c r="I3746" s="51"/>
    </row>
    <row r="3747" spans="1:26" ht="14.25" customHeight="1">
      <c r="I3747" s="51"/>
    </row>
    <row r="3748" spans="1:26" ht="14.25" customHeight="1">
      <c r="A3748" s="80" t="s">
        <v>0</v>
      </c>
      <c r="B3748" s="81"/>
      <c r="C3748" s="81"/>
      <c r="D3748" s="81"/>
      <c r="E3748" s="81"/>
      <c r="F3748" s="81"/>
      <c r="G3748" s="81"/>
      <c r="H3748" s="82"/>
      <c r="I3748" s="51"/>
      <c r="J3748" s="32"/>
      <c r="K3748" s="32"/>
      <c r="L3748" s="32"/>
      <c r="M3748" s="32"/>
      <c r="N3748" s="32"/>
      <c r="O3748" s="32"/>
      <c r="P3748" s="32"/>
      <c r="Q3748" s="32"/>
      <c r="R3748" s="32"/>
      <c r="S3748" s="32"/>
      <c r="T3748" s="32"/>
      <c r="U3748" s="32"/>
      <c r="V3748" s="32"/>
      <c r="W3748" s="32"/>
      <c r="X3748" s="32"/>
      <c r="Y3748" s="32"/>
      <c r="Z3748" s="32"/>
    </row>
    <row r="3749" spans="1:26" ht="14.25" customHeight="1">
      <c r="A3749" s="80" t="s">
        <v>974</v>
      </c>
      <c r="B3749" s="81"/>
      <c r="C3749" s="81"/>
      <c r="D3749" s="81"/>
      <c r="E3749" s="81"/>
      <c r="F3749" s="81"/>
      <c r="G3749" s="81"/>
      <c r="H3749" s="82"/>
      <c r="I3749" s="51"/>
      <c r="J3749" s="32"/>
      <c r="K3749" s="32"/>
      <c r="L3749" s="32"/>
      <c r="M3749" s="32"/>
      <c r="N3749" s="32"/>
      <c r="O3749" s="32"/>
      <c r="P3749" s="32"/>
      <c r="Q3749" s="32"/>
      <c r="R3749" s="32"/>
      <c r="S3749" s="32"/>
      <c r="T3749" s="32"/>
      <c r="U3749" s="32"/>
      <c r="V3749" s="32"/>
      <c r="W3749" s="32"/>
      <c r="X3749" s="32"/>
      <c r="Y3749" s="32"/>
      <c r="Z3749" s="32"/>
    </row>
    <row r="3750" spans="1:26" ht="14.25" customHeight="1">
      <c r="A3750" s="33" t="s">
        <v>2</v>
      </c>
      <c r="B3750" s="33" t="s">
        <v>3</v>
      </c>
      <c r="C3750" s="33" t="s">
        <v>4</v>
      </c>
      <c r="D3750" s="33" t="s">
        <v>5</v>
      </c>
      <c r="E3750" s="33" t="s">
        <v>6</v>
      </c>
      <c r="F3750" s="34" t="s">
        <v>7</v>
      </c>
      <c r="G3750" s="33" t="s">
        <v>8</v>
      </c>
      <c r="H3750" s="35"/>
      <c r="I3750" s="51"/>
      <c r="J3750" s="32"/>
      <c r="K3750" s="32"/>
      <c r="L3750" s="32"/>
      <c r="M3750" s="32"/>
      <c r="N3750" s="32"/>
      <c r="O3750" s="32"/>
      <c r="P3750" s="32"/>
      <c r="Q3750" s="32"/>
      <c r="R3750" s="32"/>
      <c r="S3750" s="32"/>
      <c r="T3750" s="32"/>
      <c r="U3750" s="32"/>
      <c r="V3750" s="32"/>
      <c r="W3750" s="32"/>
      <c r="X3750" s="32"/>
      <c r="Y3750" s="32"/>
      <c r="Z3750" s="32"/>
    </row>
    <row r="3751" spans="1:26" ht="14.25" customHeight="1">
      <c r="A3751" s="36">
        <v>1</v>
      </c>
      <c r="B3751" s="18" t="s">
        <v>12</v>
      </c>
      <c r="C3751" s="5" t="s">
        <v>975</v>
      </c>
      <c r="D3751" s="18" t="s">
        <v>413</v>
      </c>
      <c r="E3751" s="18">
        <v>1</v>
      </c>
      <c r="F3751" s="6">
        <v>293000</v>
      </c>
      <c r="G3751" s="37">
        <f t="shared" ref="G3751:G3753" si="239">IFERROR(E3751*F3751,0)</f>
        <v>293000</v>
      </c>
      <c r="H3751" s="38"/>
      <c r="I3751" s="51"/>
      <c r="J3751" s="32"/>
      <c r="K3751" s="32"/>
      <c r="L3751" s="32"/>
      <c r="M3751" s="32"/>
      <c r="N3751" s="32"/>
      <c r="O3751" s="32"/>
      <c r="P3751" s="32"/>
      <c r="Q3751" s="32"/>
      <c r="R3751" s="32"/>
      <c r="S3751" s="32"/>
      <c r="T3751" s="32"/>
      <c r="U3751" s="32"/>
      <c r="V3751" s="32"/>
      <c r="W3751" s="32"/>
      <c r="X3751" s="32"/>
      <c r="Y3751" s="32"/>
      <c r="Z3751" s="32"/>
    </row>
    <row r="3752" spans="1:26" ht="14.25" customHeight="1">
      <c r="A3752" s="36">
        <v>2</v>
      </c>
      <c r="B3752" s="12" t="s">
        <v>411</v>
      </c>
      <c r="C3752" s="10" t="s">
        <v>976</v>
      </c>
      <c r="D3752" s="12" t="s">
        <v>233</v>
      </c>
      <c r="E3752" s="12">
        <v>2.62</v>
      </c>
      <c r="F3752" s="43">
        <v>435000</v>
      </c>
      <c r="G3752" s="37">
        <f t="shared" si="239"/>
        <v>1139700</v>
      </c>
      <c r="H3752" s="38"/>
      <c r="I3752" s="51"/>
      <c r="J3752" s="32"/>
      <c r="K3752" s="32"/>
      <c r="L3752" s="32"/>
      <c r="M3752" s="32"/>
      <c r="N3752" s="32"/>
      <c r="O3752" s="32"/>
      <c r="P3752" s="32"/>
      <c r="Q3752" s="32"/>
      <c r="R3752" s="32"/>
      <c r="S3752" s="32"/>
      <c r="T3752" s="32"/>
      <c r="U3752" s="32"/>
      <c r="V3752" s="32"/>
      <c r="W3752" s="32"/>
      <c r="X3752" s="32"/>
      <c r="Y3752" s="32"/>
      <c r="Z3752" s="32"/>
    </row>
    <row r="3753" spans="1:26" ht="14.25" customHeight="1">
      <c r="A3753" s="36">
        <v>4</v>
      </c>
      <c r="B3753" s="39" t="s">
        <v>17</v>
      </c>
      <c r="C3753" s="38"/>
      <c r="D3753" s="38"/>
      <c r="E3753" s="38"/>
      <c r="F3753" s="60"/>
      <c r="G3753" s="37">
        <f t="shared" si="239"/>
        <v>0</v>
      </c>
      <c r="H3753" s="38"/>
      <c r="I3753" s="51"/>
      <c r="J3753" s="32"/>
      <c r="K3753" s="32"/>
      <c r="L3753" s="32"/>
      <c r="M3753" s="32"/>
      <c r="N3753" s="32"/>
      <c r="O3753" s="32"/>
      <c r="P3753" s="32"/>
      <c r="Q3753" s="32"/>
      <c r="R3753" s="32"/>
      <c r="S3753" s="32"/>
      <c r="T3753" s="32"/>
      <c r="U3753" s="32"/>
      <c r="V3753" s="32"/>
      <c r="W3753" s="32"/>
      <c r="X3753" s="32"/>
      <c r="Y3753" s="32"/>
      <c r="Z3753" s="32"/>
    </row>
    <row r="3754" spans="1:26" ht="14.25" customHeight="1">
      <c r="A3754" s="83" t="s">
        <v>18</v>
      </c>
      <c r="B3754" s="81"/>
      <c r="C3754" s="81"/>
      <c r="D3754" s="81"/>
      <c r="E3754" s="81"/>
      <c r="F3754" s="81"/>
      <c r="G3754" s="82"/>
      <c r="H3754" s="41">
        <f>SUM(G3751:G3753)</f>
        <v>1432700</v>
      </c>
      <c r="I3754" s="51"/>
      <c r="J3754" s="32"/>
      <c r="K3754" s="32"/>
      <c r="L3754" s="32"/>
      <c r="M3754" s="32"/>
      <c r="N3754" s="32"/>
      <c r="O3754" s="32"/>
      <c r="P3754" s="32"/>
      <c r="Q3754" s="32"/>
      <c r="R3754" s="32"/>
      <c r="S3754" s="32"/>
      <c r="T3754" s="32"/>
      <c r="U3754" s="32"/>
      <c r="V3754" s="32"/>
      <c r="W3754" s="32"/>
      <c r="X3754" s="32"/>
      <c r="Y3754" s="32"/>
      <c r="Z3754" s="32"/>
    </row>
    <row r="3755" spans="1:26" ht="14.25" customHeight="1">
      <c r="A3755" s="83" t="s">
        <v>19</v>
      </c>
      <c r="B3755" s="81"/>
      <c r="C3755" s="81"/>
      <c r="D3755" s="81"/>
      <c r="E3755" s="81"/>
      <c r="F3755" s="81"/>
      <c r="G3755" s="82"/>
      <c r="H3755" s="41">
        <f>MAX(0,H3754-648000)</f>
        <v>784700</v>
      </c>
      <c r="I3755" s="51"/>
      <c r="J3755" s="32"/>
      <c r="K3755" s="32"/>
      <c r="L3755" s="32"/>
      <c r="M3755" s="32"/>
      <c r="N3755" s="32"/>
      <c r="O3755" s="32"/>
      <c r="P3755" s="32"/>
      <c r="Q3755" s="32"/>
      <c r="R3755" s="32"/>
      <c r="S3755" s="32"/>
      <c r="T3755" s="32"/>
      <c r="U3755" s="32"/>
      <c r="V3755" s="32"/>
      <c r="W3755" s="32"/>
      <c r="X3755" s="32"/>
      <c r="Y3755" s="32"/>
      <c r="Z3755" s="32"/>
    </row>
    <row r="3756" spans="1:26" ht="14.25" customHeight="1">
      <c r="A3756" s="84" t="s">
        <v>20</v>
      </c>
      <c r="B3756" s="81"/>
      <c r="C3756" s="81"/>
      <c r="D3756" s="81"/>
      <c r="E3756" s="81"/>
      <c r="F3756" s="81"/>
      <c r="G3756" s="82"/>
      <c r="H3756" s="42">
        <v>649000</v>
      </c>
      <c r="I3756" s="51"/>
      <c r="J3756" s="32"/>
      <c r="K3756" s="32"/>
      <c r="L3756" s="32"/>
      <c r="M3756" s="32"/>
      <c r="N3756" s="32"/>
      <c r="O3756" s="32"/>
      <c r="P3756" s="32"/>
      <c r="Q3756" s="32"/>
      <c r="R3756" s="32"/>
      <c r="S3756" s="32"/>
      <c r="T3756" s="32"/>
      <c r="U3756" s="32"/>
      <c r="V3756" s="32"/>
      <c r="W3756" s="32"/>
      <c r="X3756" s="32"/>
      <c r="Y3756" s="32"/>
      <c r="Z3756" s="32"/>
    </row>
    <row r="3757" spans="1:26" ht="14.25" customHeight="1">
      <c r="A3757" s="80"/>
      <c r="B3757" s="81"/>
      <c r="C3757" s="81"/>
      <c r="D3757" s="81"/>
      <c r="E3757" s="81"/>
      <c r="F3757" s="81"/>
      <c r="G3757" s="81"/>
      <c r="H3757" s="82"/>
      <c r="I3757" s="51"/>
      <c r="J3757" s="32"/>
      <c r="K3757" s="32"/>
      <c r="L3757" s="32"/>
      <c r="M3757" s="32"/>
      <c r="N3757" s="32"/>
      <c r="O3757" s="32"/>
      <c r="P3757" s="32"/>
      <c r="Q3757" s="32"/>
      <c r="R3757" s="32"/>
      <c r="S3757" s="32"/>
      <c r="T3757" s="32"/>
      <c r="U3757" s="32"/>
      <c r="V3757" s="32"/>
      <c r="W3757" s="32"/>
      <c r="X3757" s="32"/>
      <c r="Y3757" s="32"/>
      <c r="Z3757" s="32"/>
    </row>
    <row r="3758" spans="1:26" ht="14.25" customHeight="1"/>
    <row r="3759" spans="1:26" ht="14.25" customHeight="1"/>
    <row r="3760" spans="1:26" ht="14.25" customHeight="1"/>
    <row r="3761" spans="1:26" ht="14.25" customHeight="1"/>
    <row r="3762" spans="1:26" ht="14.25" customHeight="1"/>
    <row r="3763" spans="1:26" ht="14.25" customHeight="1">
      <c r="A3763" s="80" t="s">
        <v>0</v>
      </c>
      <c r="B3763" s="81"/>
      <c r="C3763" s="81"/>
      <c r="D3763" s="81"/>
      <c r="E3763" s="81"/>
      <c r="F3763" s="81"/>
      <c r="G3763" s="81"/>
      <c r="H3763" s="82"/>
      <c r="I3763" s="32"/>
      <c r="J3763" s="32"/>
      <c r="K3763" s="32"/>
      <c r="L3763" s="32"/>
      <c r="M3763" s="32"/>
      <c r="N3763" s="32"/>
      <c r="O3763" s="32"/>
      <c r="P3763" s="32"/>
      <c r="Q3763" s="32"/>
      <c r="R3763" s="32"/>
      <c r="S3763" s="32"/>
      <c r="T3763" s="32"/>
      <c r="U3763" s="32"/>
      <c r="V3763" s="32"/>
      <c r="W3763" s="32"/>
      <c r="X3763" s="32"/>
      <c r="Y3763" s="32"/>
      <c r="Z3763" s="32"/>
    </row>
    <row r="3764" spans="1:26" ht="14.25" customHeight="1">
      <c r="A3764" s="80" t="s">
        <v>977</v>
      </c>
      <c r="B3764" s="81"/>
      <c r="C3764" s="81"/>
      <c r="D3764" s="81"/>
      <c r="E3764" s="81"/>
      <c r="F3764" s="81"/>
      <c r="G3764" s="81"/>
      <c r="H3764" s="82"/>
      <c r="I3764" s="32"/>
      <c r="J3764" s="32"/>
      <c r="K3764" s="32"/>
      <c r="L3764" s="32"/>
      <c r="M3764" s="32"/>
      <c r="N3764" s="32"/>
      <c r="O3764" s="32"/>
      <c r="P3764" s="32"/>
      <c r="Q3764" s="32"/>
      <c r="R3764" s="32"/>
      <c r="S3764" s="32"/>
      <c r="T3764" s="32"/>
      <c r="U3764" s="32"/>
      <c r="V3764" s="32"/>
      <c r="W3764" s="32"/>
      <c r="X3764" s="32"/>
      <c r="Y3764" s="32"/>
      <c r="Z3764" s="32"/>
    </row>
    <row r="3765" spans="1:26" ht="14.25" customHeight="1">
      <c r="A3765" s="33" t="s">
        <v>2</v>
      </c>
      <c r="B3765" s="33" t="s">
        <v>3</v>
      </c>
      <c r="C3765" s="33" t="s">
        <v>4</v>
      </c>
      <c r="D3765" s="33" t="s">
        <v>5</v>
      </c>
      <c r="E3765" s="33" t="s">
        <v>6</v>
      </c>
      <c r="F3765" s="34" t="s">
        <v>7</v>
      </c>
      <c r="G3765" s="33" t="s">
        <v>8</v>
      </c>
      <c r="H3765" s="35"/>
      <c r="I3765" s="32"/>
      <c r="J3765" s="32"/>
      <c r="K3765" s="32"/>
      <c r="L3765" s="32"/>
      <c r="M3765" s="32"/>
      <c r="N3765" s="32"/>
      <c r="O3765" s="32"/>
      <c r="P3765" s="32"/>
      <c r="Q3765" s="32"/>
      <c r="R3765" s="32"/>
      <c r="S3765" s="32"/>
      <c r="T3765" s="32"/>
      <c r="U3765" s="32"/>
      <c r="V3765" s="32"/>
      <c r="W3765" s="32"/>
      <c r="X3765" s="32"/>
      <c r="Y3765" s="32"/>
      <c r="Z3765" s="32"/>
    </row>
    <row r="3766" spans="1:26" ht="14.25" customHeight="1">
      <c r="A3766" s="36">
        <v>1</v>
      </c>
      <c r="B3766" s="18" t="s">
        <v>978</v>
      </c>
      <c r="C3766" s="5" t="s">
        <v>979</v>
      </c>
      <c r="D3766" s="18" t="s">
        <v>413</v>
      </c>
      <c r="E3766" s="18">
        <v>1.53</v>
      </c>
      <c r="F3766" s="6">
        <v>293000</v>
      </c>
      <c r="G3766" s="37">
        <f t="shared" ref="G3766:G3768" si="240">IFERROR(E3766*F3766,0)</f>
        <v>448290</v>
      </c>
      <c r="H3766" s="38"/>
      <c r="I3766" s="32"/>
      <c r="J3766" s="32"/>
      <c r="K3766" s="32"/>
      <c r="L3766" s="32"/>
      <c r="M3766" s="32"/>
      <c r="N3766" s="32"/>
      <c r="O3766" s="32"/>
      <c r="P3766" s="32"/>
      <c r="Q3766" s="32"/>
      <c r="R3766" s="32"/>
      <c r="S3766" s="32"/>
      <c r="T3766" s="32"/>
      <c r="U3766" s="32"/>
      <c r="V3766" s="32"/>
      <c r="W3766" s="32"/>
      <c r="X3766" s="32"/>
      <c r="Y3766" s="32"/>
      <c r="Z3766" s="32"/>
    </row>
    <row r="3767" spans="1:26" ht="14.25" customHeight="1">
      <c r="A3767" s="36">
        <v>2</v>
      </c>
      <c r="B3767" s="12" t="s">
        <v>144</v>
      </c>
      <c r="C3767" s="10" t="s">
        <v>980</v>
      </c>
      <c r="D3767" s="12" t="s">
        <v>14</v>
      </c>
      <c r="E3767" s="12">
        <v>1.92</v>
      </c>
      <c r="F3767" s="43">
        <v>435000</v>
      </c>
      <c r="G3767" s="37">
        <f t="shared" si="240"/>
        <v>835200</v>
      </c>
      <c r="H3767" s="38"/>
      <c r="I3767" s="32"/>
      <c r="J3767" s="32"/>
      <c r="K3767" s="32"/>
      <c r="L3767" s="32"/>
      <c r="M3767" s="32"/>
      <c r="N3767" s="32"/>
      <c r="O3767" s="32"/>
      <c r="P3767" s="32"/>
      <c r="Q3767" s="32"/>
      <c r="R3767" s="32"/>
      <c r="S3767" s="32"/>
      <c r="T3767" s="32"/>
      <c r="U3767" s="32"/>
      <c r="V3767" s="32"/>
      <c r="W3767" s="32"/>
      <c r="X3767" s="32"/>
      <c r="Y3767" s="32"/>
      <c r="Z3767" s="32"/>
    </row>
    <row r="3768" spans="1:26" ht="14.25" customHeight="1">
      <c r="A3768" s="36">
        <v>4</v>
      </c>
      <c r="B3768" s="39" t="s">
        <v>17</v>
      </c>
      <c r="C3768" s="38"/>
      <c r="D3768" s="38"/>
      <c r="E3768" s="38"/>
      <c r="F3768" s="60"/>
      <c r="G3768" s="37">
        <f t="shared" si="240"/>
        <v>0</v>
      </c>
      <c r="H3768" s="38"/>
      <c r="I3768" s="32"/>
      <c r="J3768" s="32"/>
      <c r="K3768" s="32"/>
      <c r="L3768" s="32"/>
      <c r="M3768" s="32"/>
      <c r="N3768" s="32"/>
      <c r="O3768" s="32"/>
      <c r="P3768" s="32"/>
      <c r="Q3768" s="32"/>
      <c r="R3768" s="32"/>
      <c r="S3768" s="32"/>
      <c r="T3768" s="32"/>
      <c r="U3768" s="32"/>
      <c r="V3768" s="32"/>
      <c r="W3768" s="32"/>
      <c r="X3768" s="32"/>
      <c r="Y3768" s="32"/>
      <c r="Z3768" s="32"/>
    </row>
    <row r="3769" spans="1:26" ht="14.25" customHeight="1">
      <c r="A3769" s="83" t="s">
        <v>18</v>
      </c>
      <c r="B3769" s="81"/>
      <c r="C3769" s="81"/>
      <c r="D3769" s="81"/>
      <c r="E3769" s="81"/>
      <c r="F3769" s="81"/>
      <c r="G3769" s="82"/>
      <c r="H3769" s="41">
        <f>SUM(G3766:G3768)</f>
        <v>1283490</v>
      </c>
      <c r="I3769" s="32"/>
      <c r="J3769" s="32"/>
      <c r="K3769" s="32"/>
      <c r="L3769" s="32"/>
      <c r="M3769" s="32"/>
      <c r="N3769" s="32"/>
      <c r="O3769" s="32"/>
      <c r="P3769" s="32"/>
      <c r="Q3769" s="32"/>
      <c r="R3769" s="32"/>
      <c r="S3769" s="32"/>
      <c r="T3769" s="32"/>
      <c r="U3769" s="32"/>
      <c r="V3769" s="32"/>
      <c r="W3769" s="32"/>
      <c r="X3769" s="32"/>
      <c r="Y3769" s="32"/>
      <c r="Z3769" s="32"/>
    </row>
    <row r="3770" spans="1:26" ht="14.25" customHeight="1">
      <c r="A3770" s="83" t="s">
        <v>19</v>
      </c>
      <c r="B3770" s="81"/>
      <c r="C3770" s="81"/>
      <c r="D3770" s="81"/>
      <c r="E3770" s="81"/>
      <c r="F3770" s="81"/>
      <c r="G3770" s="82"/>
      <c r="H3770" s="41">
        <f>MAX(0,H3769-648000)</f>
        <v>635490</v>
      </c>
      <c r="I3770" s="32"/>
      <c r="J3770" s="32"/>
      <c r="K3770" s="32"/>
      <c r="L3770" s="32"/>
      <c r="M3770" s="32"/>
      <c r="N3770" s="32"/>
      <c r="O3770" s="32"/>
      <c r="P3770" s="32"/>
      <c r="Q3770" s="32"/>
      <c r="R3770" s="32"/>
      <c r="S3770" s="32"/>
      <c r="T3770" s="32"/>
      <c r="U3770" s="32"/>
      <c r="V3770" s="32"/>
      <c r="W3770" s="32"/>
      <c r="X3770" s="32"/>
      <c r="Y3770" s="32"/>
      <c r="Z3770" s="32"/>
    </row>
    <row r="3771" spans="1:26" ht="14.25" customHeight="1">
      <c r="A3771" s="84" t="s">
        <v>20</v>
      </c>
      <c r="B3771" s="81"/>
      <c r="C3771" s="81"/>
      <c r="D3771" s="81"/>
      <c r="E3771" s="81"/>
      <c r="F3771" s="81"/>
      <c r="G3771" s="82"/>
      <c r="H3771" s="42">
        <v>649000</v>
      </c>
      <c r="I3771" s="32"/>
      <c r="J3771" s="32"/>
      <c r="K3771" s="32"/>
      <c r="L3771" s="32"/>
      <c r="M3771" s="32"/>
      <c r="N3771" s="32"/>
      <c r="O3771" s="32"/>
      <c r="P3771" s="32"/>
      <c r="Q3771" s="32"/>
      <c r="R3771" s="32"/>
      <c r="S3771" s="32"/>
      <c r="T3771" s="32"/>
      <c r="U3771" s="32"/>
      <c r="V3771" s="32"/>
      <c r="W3771" s="32"/>
      <c r="X3771" s="32"/>
      <c r="Y3771" s="32"/>
      <c r="Z3771" s="32"/>
    </row>
    <row r="3772" spans="1:26" ht="14.25" customHeight="1">
      <c r="A3772" s="80"/>
      <c r="B3772" s="81"/>
      <c r="C3772" s="81"/>
      <c r="D3772" s="81"/>
      <c r="E3772" s="81"/>
      <c r="F3772" s="81"/>
      <c r="G3772" s="81"/>
      <c r="H3772" s="82"/>
      <c r="I3772" s="32"/>
      <c r="J3772" s="32"/>
      <c r="K3772" s="32"/>
      <c r="L3772" s="32"/>
      <c r="M3772" s="32"/>
      <c r="N3772" s="32"/>
      <c r="O3772" s="32"/>
      <c r="P3772" s="32"/>
      <c r="Q3772" s="32"/>
      <c r="R3772" s="32"/>
      <c r="S3772" s="32"/>
      <c r="T3772" s="32"/>
      <c r="U3772" s="32"/>
      <c r="V3772" s="32"/>
      <c r="W3772" s="32"/>
      <c r="X3772" s="32"/>
      <c r="Y3772" s="32"/>
      <c r="Z3772" s="32"/>
    </row>
    <row r="3773" spans="1:26" ht="14.25" customHeight="1">
      <c r="I3773" s="32"/>
    </row>
    <row r="3774" spans="1:26" ht="14.25" customHeight="1">
      <c r="I3774" s="32"/>
    </row>
    <row r="3775" spans="1:26" ht="14.25" customHeight="1">
      <c r="I3775" s="32"/>
    </row>
    <row r="3776" spans="1:26" ht="14.25" customHeight="1">
      <c r="I3776" s="32"/>
    </row>
    <row r="3777" spans="1:26" ht="14.25" customHeight="1">
      <c r="A3777" s="80" t="s">
        <v>0</v>
      </c>
      <c r="B3777" s="81"/>
      <c r="C3777" s="81"/>
      <c r="D3777" s="81"/>
      <c r="E3777" s="81"/>
      <c r="F3777" s="81"/>
      <c r="G3777" s="81"/>
      <c r="H3777" s="82"/>
      <c r="I3777" s="32"/>
      <c r="J3777" s="32"/>
      <c r="K3777" s="32"/>
      <c r="L3777" s="32"/>
      <c r="M3777" s="32"/>
      <c r="N3777" s="32"/>
      <c r="O3777" s="32"/>
      <c r="P3777" s="32"/>
      <c r="Q3777" s="32"/>
      <c r="R3777" s="32"/>
      <c r="S3777" s="32"/>
      <c r="T3777" s="32"/>
      <c r="U3777" s="32"/>
      <c r="V3777" s="32"/>
      <c r="W3777" s="32"/>
      <c r="X3777" s="32"/>
      <c r="Y3777" s="32"/>
      <c r="Z3777" s="32"/>
    </row>
    <row r="3778" spans="1:26" ht="14.25" customHeight="1">
      <c r="A3778" s="80" t="s">
        <v>981</v>
      </c>
      <c r="B3778" s="81"/>
      <c r="C3778" s="81"/>
      <c r="D3778" s="81"/>
      <c r="E3778" s="81"/>
      <c r="F3778" s="81"/>
      <c r="G3778" s="81"/>
      <c r="H3778" s="82"/>
      <c r="I3778" s="32"/>
      <c r="J3778" s="32"/>
      <c r="K3778" s="32"/>
      <c r="L3778" s="32"/>
      <c r="M3778" s="32"/>
      <c r="N3778" s="32"/>
      <c r="O3778" s="32"/>
      <c r="P3778" s="32"/>
      <c r="Q3778" s="32"/>
      <c r="R3778" s="32"/>
      <c r="S3778" s="32"/>
      <c r="T3778" s="32"/>
      <c r="U3778" s="32"/>
      <c r="V3778" s="32"/>
      <c r="W3778" s="32"/>
      <c r="X3778" s="32"/>
      <c r="Y3778" s="32"/>
      <c r="Z3778" s="32"/>
    </row>
    <row r="3779" spans="1:26" ht="14.25" customHeight="1">
      <c r="A3779" s="33" t="s">
        <v>2</v>
      </c>
      <c r="B3779" s="33" t="s">
        <v>3</v>
      </c>
      <c r="C3779" s="33" t="s">
        <v>4</v>
      </c>
      <c r="D3779" s="33" t="s">
        <v>5</v>
      </c>
      <c r="E3779" s="33" t="s">
        <v>6</v>
      </c>
      <c r="F3779" s="34" t="s">
        <v>7</v>
      </c>
      <c r="G3779" s="33" t="s">
        <v>8</v>
      </c>
      <c r="H3779" s="35"/>
      <c r="I3779" s="32"/>
      <c r="J3779" s="32"/>
      <c r="K3779" s="32"/>
      <c r="L3779" s="32"/>
      <c r="M3779" s="32"/>
      <c r="N3779" s="32"/>
      <c r="O3779" s="32"/>
      <c r="P3779" s="32"/>
      <c r="Q3779" s="32"/>
      <c r="R3779" s="32"/>
      <c r="S3779" s="32"/>
      <c r="T3779" s="32"/>
      <c r="U3779" s="32"/>
      <c r="V3779" s="32"/>
      <c r="W3779" s="32"/>
      <c r="X3779" s="32"/>
      <c r="Y3779" s="32"/>
      <c r="Z3779" s="32"/>
    </row>
    <row r="3780" spans="1:26" ht="14.25" customHeight="1">
      <c r="A3780" s="36">
        <v>1</v>
      </c>
      <c r="B3780" s="18" t="s">
        <v>629</v>
      </c>
      <c r="C3780" s="5" t="s">
        <v>982</v>
      </c>
      <c r="D3780" s="18" t="s">
        <v>413</v>
      </c>
      <c r="E3780" s="18">
        <v>1.45</v>
      </c>
      <c r="F3780" s="6">
        <v>293000</v>
      </c>
      <c r="G3780" s="37">
        <f t="shared" ref="G3780:G3782" si="241">IFERROR(E3780*F3780,0)</f>
        <v>424850</v>
      </c>
      <c r="H3780" s="38"/>
      <c r="I3780" s="32"/>
      <c r="J3780" s="32"/>
      <c r="K3780" s="32"/>
      <c r="L3780" s="32"/>
      <c r="M3780" s="32"/>
      <c r="N3780" s="32"/>
      <c r="O3780" s="32"/>
      <c r="P3780" s="32"/>
      <c r="Q3780" s="32"/>
      <c r="R3780" s="32"/>
      <c r="S3780" s="32"/>
      <c r="T3780" s="32"/>
      <c r="U3780" s="32"/>
      <c r="V3780" s="32"/>
      <c r="W3780" s="32"/>
      <c r="X3780" s="32"/>
      <c r="Y3780" s="32"/>
      <c r="Z3780" s="32"/>
    </row>
    <row r="3781" spans="1:26" ht="14.25" customHeight="1">
      <c r="A3781" s="36">
        <v>2</v>
      </c>
      <c r="B3781" s="12" t="s">
        <v>144</v>
      </c>
      <c r="C3781" s="10" t="s">
        <v>980</v>
      </c>
      <c r="D3781" s="12" t="s">
        <v>233</v>
      </c>
      <c r="E3781" s="12">
        <v>2.1</v>
      </c>
      <c r="F3781" s="43">
        <v>435000</v>
      </c>
      <c r="G3781" s="37">
        <f t="shared" si="241"/>
        <v>913500</v>
      </c>
      <c r="H3781" s="38"/>
      <c r="I3781" s="32"/>
      <c r="J3781" s="32"/>
      <c r="K3781" s="32"/>
      <c r="L3781" s="32"/>
      <c r="M3781" s="32"/>
      <c r="N3781" s="32"/>
      <c r="O3781" s="32"/>
      <c r="P3781" s="32"/>
      <c r="Q3781" s="32"/>
      <c r="R3781" s="32"/>
      <c r="S3781" s="32"/>
      <c r="T3781" s="32"/>
      <c r="U3781" s="32"/>
      <c r="V3781" s="32"/>
      <c r="W3781" s="32"/>
      <c r="X3781" s="32"/>
      <c r="Y3781" s="32"/>
      <c r="Z3781" s="32"/>
    </row>
    <row r="3782" spans="1:26" ht="14.25" customHeight="1">
      <c r="A3782" s="36">
        <v>4</v>
      </c>
      <c r="B3782" s="39" t="s">
        <v>17</v>
      </c>
      <c r="C3782" s="38"/>
      <c r="D3782" s="38"/>
      <c r="E3782" s="38"/>
      <c r="F3782" s="60"/>
      <c r="G3782" s="37">
        <f t="shared" si="241"/>
        <v>0</v>
      </c>
      <c r="H3782" s="38"/>
      <c r="I3782" s="32"/>
      <c r="J3782" s="32"/>
      <c r="K3782" s="32"/>
      <c r="L3782" s="32"/>
      <c r="M3782" s="32"/>
      <c r="N3782" s="32"/>
      <c r="O3782" s="32"/>
      <c r="P3782" s="32"/>
      <c r="Q3782" s="32"/>
      <c r="R3782" s="32"/>
      <c r="S3782" s="32"/>
      <c r="T3782" s="32"/>
      <c r="U3782" s="32"/>
      <c r="V3782" s="32"/>
      <c r="W3782" s="32"/>
      <c r="X3782" s="32"/>
      <c r="Y3782" s="32"/>
      <c r="Z3782" s="32"/>
    </row>
    <row r="3783" spans="1:26" ht="14.25" customHeight="1">
      <c r="A3783" s="83" t="s">
        <v>18</v>
      </c>
      <c r="B3783" s="81"/>
      <c r="C3783" s="81"/>
      <c r="D3783" s="81"/>
      <c r="E3783" s="81"/>
      <c r="F3783" s="81"/>
      <c r="G3783" s="82"/>
      <c r="H3783" s="41">
        <f>SUM(G3780:G3782)</f>
        <v>1338350</v>
      </c>
      <c r="I3783" s="32"/>
      <c r="J3783" s="32"/>
      <c r="K3783" s="32"/>
      <c r="L3783" s="32"/>
      <c r="M3783" s="32"/>
      <c r="N3783" s="32"/>
      <c r="O3783" s="32"/>
      <c r="P3783" s="32"/>
      <c r="Q3783" s="32"/>
      <c r="R3783" s="32"/>
      <c r="S3783" s="32"/>
      <c r="T3783" s="32"/>
      <c r="U3783" s="32"/>
      <c r="V3783" s="32"/>
      <c r="W3783" s="32"/>
      <c r="X3783" s="32"/>
      <c r="Y3783" s="32"/>
      <c r="Z3783" s="32"/>
    </row>
    <row r="3784" spans="1:26" ht="14.25" customHeight="1">
      <c r="A3784" s="83" t="s">
        <v>19</v>
      </c>
      <c r="B3784" s="81"/>
      <c r="C3784" s="81"/>
      <c r="D3784" s="81"/>
      <c r="E3784" s="81"/>
      <c r="F3784" s="81"/>
      <c r="G3784" s="82"/>
      <c r="H3784" s="41">
        <f>MAX(0,H3783-648000)</f>
        <v>690350</v>
      </c>
      <c r="I3784" s="32"/>
      <c r="J3784" s="32"/>
      <c r="K3784" s="32"/>
      <c r="L3784" s="32"/>
      <c r="M3784" s="32"/>
      <c r="N3784" s="32"/>
      <c r="O3784" s="32"/>
      <c r="P3784" s="32"/>
      <c r="Q3784" s="32"/>
      <c r="R3784" s="32"/>
      <c r="S3784" s="32"/>
      <c r="T3784" s="32"/>
      <c r="U3784" s="32"/>
      <c r="V3784" s="32"/>
      <c r="W3784" s="32"/>
      <c r="X3784" s="32"/>
      <c r="Y3784" s="32"/>
      <c r="Z3784" s="32"/>
    </row>
    <row r="3785" spans="1:26" ht="14.25" customHeight="1">
      <c r="A3785" s="84" t="s">
        <v>20</v>
      </c>
      <c r="B3785" s="81"/>
      <c r="C3785" s="81"/>
      <c r="D3785" s="81"/>
      <c r="E3785" s="81"/>
      <c r="F3785" s="81"/>
      <c r="G3785" s="82"/>
      <c r="H3785" s="42">
        <v>649000</v>
      </c>
      <c r="I3785" s="32"/>
      <c r="J3785" s="32"/>
      <c r="K3785" s="32"/>
      <c r="L3785" s="32"/>
      <c r="M3785" s="32"/>
      <c r="N3785" s="32"/>
      <c r="O3785" s="32"/>
      <c r="P3785" s="32"/>
      <c r="Q3785" s="32"/>
      <c r="R3785" s="32"/>
      <c r="S3785" s="32"/>
      <c r="T3785" s="32"/>
      <c r="U3785" s="32"/>
      <c r="V3785" s="32"/>
      <c r="W3785" s="32"/>
      <c r="X3785" s="32"/>
      <c r="Y3785" s="32"/>
      <c r="Z3785" s="32"/>
    </row>
    <row r="3786" spans="1:26" ht="14.25" customHeight="1">
      <c r="A3786" s="80"/>
      <c r="B3786" s="81"/>
      <c r="C3786" s="81"/>
      <c r="D3786" s="81"/>
      <c r="E3786" s="81"/>
      <c r="F3786" s="81"/>
      <c r="G3786" s="81"/>
      <c r="H3786" s="82"/>
      <c r="I3786" s="32"/>
      <c r="J3786" s="32"/>
      <c r="K3786" s="32"/>
      <c r="L3786" s="32"/>
      <c r="M3786" s="32"/>
      <c r="N3786" s="32"/>
      <c r="O3786" s="32"/>
      <c r="P3786" s="32"/>
      <c r="Q3786" s="32"/>
      <c r="R3786" s="32"/>
      <c r="S3786" s="32"/>
      <c r="T3786" s="32"/>
      <c r="U3786" s="32"/>
      <c r="V3786" s="32"/>
      <c r="W3786" s="32"/>
      <c r="X3786" s="32"/>
      <c r="Y3786" s="32"/>
      <c r="Z3786" s="32"/>
    </row>
    <row r="3787" spans="1:26" ht="14.25" customHeight="1">
      <c r="I3787" s="32"/>
    </row>
    <row r="3788" spans="1:26" ht="14.25" customHeight="1">
      <c r="I3788" s="32"/>
    </row>
    <row r="3789" spans="1:26" ht="14.25" customHeight="1">
      <c r="I3789" s="32"/>
    </row>
    <row r="3790" spans="1:26" ht="14.25" customHeight="1">
      <c r="I3790" s="32"/>
    </row>
    <row r="3791" spans="1:26" ht="14.25" customHeight="1">
      <c r="I3791" s="32"/>
    </row>
    <row r="3792" spans="1:26" ht="14.25" customHeight="1">
      <c r="A3792" s="80" t="s">
        <v>0</v>
      </c>
      <c r="B3792" s="81"/>
      <c r="C3792" s="81"/>
      <c r="D3792" s="81"/>
      <c r="E3792" s="81"/>
      <c r="F3792" s="81"/>
      <c r="G3792" s="81"/>
      <c r="H3792" s="82"/>
      <c r="I3792" s="32"/>
      <c r="J3792" s="32"/>
      <c r="K3792" s="32"/>
      <c r="L3792" s="32"/>
      <c r="M3792" s="32"/>
      <c r="N3792" s="32"/>
      <c r="O3792" s="32"/>
      <c r="P3792" s="32"/>
      <c r="Q3792" s="32"/>
      <c r="R3792" s="32"/>
      <c r="S3792" s="32"/>
      <c r="T3792" s="32"/>
      <c r="U3792" s="32"/>
      <c r="V3792" s="32"/>
      <c r="W3792" s="32"/>
      <c r="X3792" s="32"/>
      <c r="Y3792" s="32"/>
      <c r="Z3792" s="32"/>
    </row>
    <row r="3793" spans="1:26" ht="14.25" customHeight="1">
      <c r="A3793" s="80" t="s">
        <v>983</v>
      </c>
      <c r="B3793" s="81"/>
      <c r="C3793" s="81"/>
      <c r="D3793" s="81"/>
      <c r="E3793" s="81"/>
      <c r="F3793" s="81"/>
      <c r="G3793" s="81"/>
      <c r="H3793" s="82"/>
      <c r="I3793" s="32"/>
      <c r="J3793" s="32"/>
      <c r="K3793" s="32"/>
      <c r="L3793" s="32"/>
      <c r="M3793" s="32"/>
      <c r="N3793" s="32"/>
      <c r="O3793" s="32"/>
      <c r="P3793" s="32"/>
      <c r="Q3793" s="32"/>
      <c r="R3793" s="32"/>
      <c r="S3793" s="32"/>
      <c r="T3793" s="32"/>
      <c r="U3793" s="32"/>
      <c r="V3793" s="32"/>
      <c r="W3793" s="32"/>
      <c r="X3793" s="32"/>
      <c r="Y3793" s="32"/>
      <c r="Z3793" s="32"/>
    </row>
    <row r="3794" spans="1:26" ht="14.25" customHeight="1">
      <c r="A3794" s="33" t="s">
        <v>2</v>
      </c>
      <c r="B3794" s="33" t="s">
        <v>3</v>
      </c>
      <c r="C3794" s="33" t="s">
        <v>4</v>
      </c>
      <c r="D3794" s="33" t="s">
        <v>5</v>
      </c>
      <c r="E3794" s="33" t="s">
        <v>6</v>
      </c>
      <c r="F3794" s="34" t="s">
        <v>7</v>
      </c>
      <c r="G3794" s="33" t="s">
        <v>8</v>
      </c>
      <c r="H3794" s="35"/>
      <c r="I3794" s="32"/>
      <c r="J3794" s="32"/>
      <c r="K3794" s="32"/>
      <c r="L3794" s="32"/>
      <c r="M3794" s="32"/>
      <c r="N3794" s="32"/>
      <c r="O3794" s="32"/>
      <c r="P3794" s="32"/>
      <c r="Q3794" s="32"/>
      <c r="R3794" s="32"/>
      <c r="S3794" s="32"/>
      <c r="T3794" s="32"/>
      <c r="U3794" s="32"/>
      <c r="V3794" s="32"/>
      <c r="W3794" s="32"/>
      <c r="X3794" s="32"/>
      <c r="Y3794" s="32"/>
      <c r="Z3794" s="32"/>
    </row>
    <row r="3795" spans="1:26" ht="14.25" customHeight="1">
      <c r="A3795" s="36">
        <v>1</v>
      </c>
      <c r="B3795" s="18" t="s">
        <v>984</v>
      </c>
      <c r="C3795" s="5" t="s">
        <v>985</v>
      </c>
      <c r="D3795" s="18" t="s">
        <v>11</v>
      </c>
      <c r="E3795" s="18">
        <v>1.5</v>
      </c>
      <c r="F3795" s="6">
        <v>293000</v>
      </c>
      <c r="G3795" s="37">
        <f t="shared" ref="G3795:G3797" si="242">IFERROR(E3795*F3795,0)</f>
        <v>439500</v>
      </c>
      <c r="H3795" s="38"/>
      <c r="I3795" s="32"/>
      <c r="J3795" s="32"/>
      <c r="K3795" s="32"/>
      <c r="L3795" s="32"/>
      <c r="M3795" s="32"/>
      <c r="N3795" s="32"/>
      <c r="O3795" s="32"/>
      <c r="P3795" s="32"/>
      <c r="Q3795" s="32"/>
      <c r="R3795" s="32"/>
      <c r="S3795" s="32"/>
      <c r="T3795" s="32"/>
      <c r="U3795" s="32"/>
      <c r="V3795" s="32"/>
      <c r="W3795" s="32"/>
      <c r="X3795" s="32"/>
      <c r="Y3795" s="32"/>
      <c r="Z3795" s="32"/>
    </row>
    <row r="3796" spans="1:26" ht="14.25" customHeight="1">
      <c r="A3796" s="36">
        <v>2</v>
      </c>
      <c r="B3796" s="12" t="s">
        <v>144</v>
      </c>
      <c r="C3796" s="10" t="s">
        <v>980</v>
      </c>
      <c r="D3796" s="12" t="s">
        <v>233</v>
      </c>
      <c r="E3796" s="12">
        <v>1.9</v>
      </c>
      <c r="F3796" s="43">
        <v>435000</v>
      </c>
      <c r="G3796" s="37">
        <f t="shared" si="242"/>
        <v>826500</v>
      </c>
      <c r="H3796" s="38"/>
      <c r="I3796" s="32"/>
      <c r="J3796" s="32"/>
      <c r="K3796" s="32"/>
      <c r="L3796" s="32"/>
      <c r="M3796" s="32"/>
      <c r="N3796" s="32"/>
      <c r="O3796" s="32"/>
      <c r="P3796" s="32"/>
      <c r="Q3796" s="32"/>
      <c r="R3796" s="32"/>
      <c r="S3796" s="32"/>
      <c r="T3796" s="32"/>
      <c r="U3796" s="32"/>
      <c r="V3796" s="32"/>
      <c r="W3796" s="32"/>
      <c r="X3796" s="32"/>
      <c r="Y3796" s="32"/>
      <c r="Z3796" s="32"/>
    </row>
    <row r="3797" spans="1:26" ht="14.25" customHeight="1">
      <c r="A3797" s="36">
        <v>4</v>
      </c>
      <c r="B3797" s="39" t="s">
        <v>17</v>
      </c>
      <c r="C3797" s="38"/>
      <c r="D3797" s="38"/>
      <c r="E3797" s="38"/>
      <c r="F3797" s="60"/>
      <c r="G3797" s="37">
        <f t="shared" si="242"/>
        <v>0</v>
      </c>
      <c r="H3797" s="38"/>
      <c r="I3797" s="32"/>
      <c r="J3797" s="32"/>
      <c r="K3797" s="32"/>
      <c r="L3797" s="32"/>
      <c r="M3797" s="32"/>
      <c r="N3797" s="32"/>
      <c r="O3797" s="32"/>
      <c r="P3797" s="32"/>
      <c r="Q3797" s="32"/>
      <c r="R3797" s="32"/>
      <c r="S3797" s="32"/>
      <c r="T3797" s="32"/>
      <c r="U3797" s="32"/>
      <c r="V3797" s="32"/>
      <c r="W3797" s="32"/>
      <c r="X3797" s="32"/>
      <c r="Y3797" s="32"/>
      <c r="Z3797" s="32"/>
    </row>
    <row r="3798" spans="1:26" ht="14.25" customHeight="1">
      <c r="A3798" s="83" t="s">
        <v>18</v>
      </c>
      <c r="B3798" s="81"/>
      <c r="C3798" s="81"/>
      <c r="D3798" s="81"/>
      <c r="E3798" s="81"/>
      <c r="F3798" s="81"/>
      <c r="G3798" s="82"/>
      <c r="H3798" s="41">
        <f>SUM(G3795:G3797)</f>
        <v>1266000</v>
      </c>
      <c r="I3798" s="32"/>
      <c r="J3798" s="32"/>
      <c r="K3798" s="32"/>
      <c r="L3798" s="32"/>
      <c r="M3798" s="32"/>
      <c r="N3798" s="32"/>
      <c r="O3798" s="32"/>
      <c r="P3798" s="32"/>
      <c r="Q3798" s="32"/>
      <c r="R3798" s="32"/>
      <c r="S3798" s="32"/>
      <c r="T3798" s="32"/>
      <c r="U3798" s="32"/>
      <c r="V3798" s="32"/>
      <c r="W3798" s="32"/>
      <c r="X3798" s="32"/>
      <c r="Y3798" s="32"/>
      <c r="Z3798" s="32"/>
    </row>
    <row r="3799" spans="1:26" ht="14.25" customHeight="1">
      <c r="A3799" s="83" t="s">
        <v>19</v>
      </c>
      <c r="B3799" s="81"/>
      <c r="C3799" s="81"/>
      <c r="D3799" s="81"/>
      <c r="E3799" s="81"/>
      <c r="F3799" s="81"/>
      <c r="G3799" s="82"/>
      <c r="H3799" s="41">
        <f>MAX(0,H3798-648000)</f>
        <v>618000</v>
      </c>
      <c r="I3799" s="32"/>
      <c r="J3799" s="32"/>
      <c r="K3799" s="32"/>
      <c r="L3799" s="32"/>
      <c r="M3799" s="32"/>
      <c r="N3799" s="32"/>
      <c r="O3799" s="32"/>
      <c r="P3799" s="32"/>
      <c r="Q3799" s="32"/>
      <c r="R3799" s="32"/>
      <c r="S3799" s="32"/>
      <c r="T3799" s="32"/>
      <c r="U3799" s="32"/>
      <c r="V3799" s="32"/>
      <c r="W3799" s="32"/>
      <c r="X3799" s="32"/>
      <c r="Y3799" s="32"/>
      <c r="Z3799" s="32"/>
    </row>
    <row r="3800" spans="1:26" ht="14.25" customHeight="1">
      <c r="A3800" s="84" t="s">
        <v>20</v>
      </c>
      <c r="B3800" s="81"/>
      <c r="C3800" s="81"/>
      <c r="D3800" s="81"/>
      <c r="E3800" s="81"/>
      <c r="F3800" s="81"/>
      <c r="G3800" s="82"/>
      <c r="H3800" s="42">
        <v>649000</v>
      </c>
      <c r="I3800" s="32"/>
      <c r="J3800" s="32"/>
      <c r="K3800" s="32"/>
      <c r="L3800" s="32"/>
      <c r="M3800" s="32"/>
      <c r="N3800" s="32"/>
      <c r="O3800" s="32"/>
      <c r="P3800" s="32"/>
      <c r="Q3800" s="32"/>
      <c r="R3800" s="32"/>
      <c r="S3800" s="32"/>
      <c r="T3800" s="32"/>
      <c r="U3800" s="32"/>
      <c r="V3800" s="32"/>
      <c r="W3800" s="32"/>
      <c r="X3800" s="32"/>
      <c r="Y3800" s="32"/>
      <c r="Z3800" s="32"/>
    </row>
    <row r="3801" spans="1:26" ht="14.25" customHeight="1">
      <c r="A3801" s="80"/>
      <c r="B3801" s="81"/>
      <c r="C3801" s="81"/>
      <c r="D3801" s="81"/>
      <c r="E3801" s="81"/>
      <c r="F3801" s="81"/>
      <c r="G3801" s="81"/>
      <c r="H3801" s="82"/>
      <c r="I3801" s="32"/>
      <c r="J3801" s="32"/>
      <c r="K3801" s="32"/>
      <c r="L3801" s="32"/>
      <c r="M3801" s="32"/>
      <c r="N3801" s="32"/>
      <c r="O3801" s="32"/>
      <c r="P3801" s="32"/>
      <c r="Q3801" s="32"/>
      <c r="R3801" s="32"/>
      <c r="S3801" s="32"/>
      <c r="T3801" s="32"/>
      <c r="U3801" s="32"/>
      <c r="V3801" s="32"/>
      <c r="W3801" s="32"/>
      <c r="X3801" s="32"/>
      <c r="Y3801" s="32"/>
      <c r="Z3801" s="32"/>
    </row>
    <row r="3802" spans="1:26" ht="14.25" customHeight="1">
      <c r="I3802" s="32"/>
    </row>
    <row r="3803" spans="1:26" ht="14.25" customHeight="1">
      <c r="I3803" s="32"/>
    </row>
    <row r="3804" spans="1:26" ht="14.25" customHeight="1">
      <c r="I3804" s="32"/>
    </row>
    <row r="3805" spans="1:26" ht="14.25" customHeight="1">
      <c r="I3805" s="32"/>
    </row>
    <row r="3806" spans="1:26" ht="14.25" customHeight="1">
      <c r="I3806" s="32"/>
    </row>
    <row r="3807" spans="1:26" ht="14.25" customHeight="1">
      <c r="A3807" s="80" t="s">
        <v>0</v>
      </c>
      <c r="B3807" s="81"/>
      <c r="C3807" s="81"/>
      <c r="D3807" s="81"/>
      <c r="E3807" s="81"/>
      <c r="F3807" s="81"/>
      <c r="G3807" s="81"/>
      <c r="H3807" s="82"/>
      <c r="I3807" s="32"/>
      <c r="J3807" s="32"/>
      <c r="K3807" s="32"/>
      <c r="L3807" s="32"/>
      <c r="M3807" s="32"/>
      <c r="N3807" s="32"/>
      <c r="O3807" s="32"/>
      <c r="P3807" s="32"/>
      <c r="Q3807" s="32"/>
      <c r="R3807" s="32"/>
      <c r="S3807" s="32"/>
      <c r="T3807" s="32"/>
      <c r="U3807" s="32"/>
      <c r="V3807" s="32"/>
      <c r="W3807" s="32"/>
      <c r="X3807" s="32"/>
      <c r="Y3807" s="32"/>
      <c r="Z3807" s="32"/>
    </row>
    <row r="3808" spans="1:26" ht="14.25" customHeight="1">
      <c r="A3808" s="80" t="s">
        <v>986</v>
      </c>
      <c r="B3808" s="81"/>
      <c r="C3808" s="81"/>
      <c r="D3808" s="81"/>
      <c r="E3808" s="81"/>
      <c r="F3808" s="81"/>
      <c r="G3808" s="81"/>
      <c r="H3808" s="82"/>
      <c r="I3808" s="32"/>
      <c r="J3808" s="32"/>
      <c r="K3808" s="32"/>
      <c r="L3808" s="32"/>
      <c r="M3808" s="32"/>
      <c r="N3808" s="32"/>
      <c r="O3808" s="32"/>
      <c r="P3808" s="32"/>
      <c r="Q3808" s="32"/>
      <c r="R3808" s="32"/>
      <c r="S3808" s="32"/>
      <c r="T3808" s="32"/>
      <c r="U3808" s="32"/>
      <c r="V3808" s="32"/>
      <c r="W3808" s="32"/>
      <c r="X3808" s="32"/>
      <c r="Y3808" s="32"/>
      <c r="Z3808" s="32"/>
    </row>
    <row r="3809" spans="1:26" ht="14.25" customHeight="1">
      <c r="A3809" s="33" t="s">
        <v>2</v>
      </c>
      <c r="B3809" s="33" t="s">
        <v>3</v>
      </c>
      <c r="C3809" s="33" t="s">
        <v>4</v>
      </c>
      <c r="D3809" s="33" t="s">
        <v>5</v>
      </c>
      <c r="E3809" s="33" t="s">
        <v>6</v>
      </c>
      <c r="F3809" s="34" t="s">
        <v>7</v>
      </c>
      <c r="G3809" s="33" t="s">
        <v>8</v>
      </c>
      <c r="H3809" s="35"/>
      <c r="I3809" s="32"/>
      <c r="J3809" s="32"/>
      <c r="K3809" s="32"/>
      <c r="L3809" s="32"/>
      <c r="M3809" s="32"/>
      <c r="N3809" s="32"/>
      <c r="O3809" s="32"/>
      <c r="P3809" s="32"/>
      <c r="Q3809" s="32"/>
      <c r="R3809" s="32"/>
      <c r="S3809" s="32"/>
      <c r="T3809" s="32"/>
      <c r="U3809" s="32"/>
      <c r="V3809" s="32"/>
      <c r="W3809" s="32"/>
      <c r="X3809" s="32"/>
      <c r="Y3809" s="32"/>
      <c r="Z3809" s="32"/>
    </row>
    <row r="3810" spans="1:26" ht="14.25" customHeight="1">
      <c r="A3810" s="36">
        <v>1</v>
      </c>
      <c r="B3810" s="18" t="s">
        <v>478</v>
      </c>
      <c r="C3810" s="5" t="s">
        <v>987</v>
      </c>
      <c r="D3810" s="18" t="s">
        <v>413</v>
      </c>
      <c r="E3810" s="18">
        <v>1.4</v>
      </c>
      <c r="F3810" s="6">
        <v>293000</v>
      </c>
      <c r="G3810" s="37">
        <f t="shared" ref="G3810:G3812" si="243">IFERROR(E3810*F3810,0)</f>
        <v>410200</v>
      </c>
      <c r="H3810" s="38"/>
      <c r="I3810" s="32"/>
      <c r="J3810" s="32"/>
      <c r="K3810" s="32"/>
      <c r="L3810" s="32"/>
      <c r="M3810" s="32"/>
      <c r="N3810" s="32"/>
      <c r="O3810" s="32"/>
      <c r="P3810" s="32"/>
      <c r="Q3810" s="32"/>
      <c r="R3810" s="32"/>
      <c r="S3810" s="32"/>
      <c r="T3810" s="32"/>
      <c r="U3810" s="32"/>
      <c r="V3810" s="32"/>
      <c r="W3810" s="32"/>
      <c r="X3810" s="32"/>
      <c r="Y3810" s="32"/>
      <c r="Z3810" s="32"/>
    </row>
    <row r="3811" spans="1:26" ht="14.25" customHeight="1">
      <c r="A3811" s="36">
        <v>2</v>
      </c>
      <c r="B3811" s="12" t="s">
        <v>988</v>
      </c>
      <c r="C3811" s="10" t="s">
        <v>989</v>
      </c>
      <c r="D3811" s="12" t="s">
        <v>233</v>
      </c>
      <c r="E3811" s="12">
        <v>2</v>
      </c>
      <c r="F3811" s="43">
        <v>435000</v>
      </c>
      <c r="G3811" s="37">
        <f t="shared" si="243"/>
        <v>870000</v>
      </c>
      <c r="H3811" s="38"/>
      <c r="I3811" s="32"/>
      <c r="J3811" s="32"/>
      <c r="K3811" s="32"/>
      <c r="L3811" s="32"/>
      <c r="M3811" s="32"/>
      <c r="N3811" s="32"/>
      <c r="O3811" s="32"/>
      <c r="P3811" s="32"/>
      <c r="Q3811" s="32"/>
      <c r="R3811" s="32"/>
      <c r="S3811" s="32"/>
      <c r="T3811" s="32"/>
      <c r="U3811" s="32"/>
      <c r="V3811" s="32"/>
      <c r="W3811" s="32"/>
      <c r="X3811" s="32"/>
      <c r="Y3811" s="32"/>
      <c r="Z3811" s="32"/>
    </row>
    <row r="3812" spans="1:26" ht="14.25" customHeight="1">
      <c r="A3812" s="36">
        <v>4</v>
      </c>
      <c r="B3812" s="39" t="s">
        <v>17</v>
      </c>
      <c r="C3812" s="38"/>
      <c r="D3812" s="38"/>
      <c r="E3812" s="38"/>
      <c r="F3812" s="60"/>
      <c r="G3812" s="37">
        <f t="shared" si="243"/>
        <v>0</v>
      </c>
      <c r="H3812" s="38"/>
      <c r="I3812" s="32"/>
      <c r="J3812" s="32"/>
      <c r="K3812" s="32"/>
      <c r="L3812" s="32"/>
      <c r="M3812" s="32"/>
      <c r="N3812" s="32"/>
      <c r="O3812" s="32"/>
      <c r="P3812" s="32"/>
      <c r="Q3812" s="32"/>
      <c r="R3812" s="32"/>
      <c r="S3812" s="32"/>
      <c r="T3812" s="32"/>
      <c r="U3812" s="32"/>
      <c r="V3812" s="32"/>
      <c r="W3812" s="32"/>
      <c r="X3812" s="32"/>
      <c r="Y3812" s="32"/>
      <c r="Z3812" s="32"/>
    </row>
    <row r="3813" spans="1:26" ht="14.25" customHeight="1">
      <c r="A3813" s="83" t="s">
        <v>18</v>
      </c>
      <c r="B3813" s="81"/>
      <c r="C3813" s="81"/>
      <c r="D3813" s="81"/>
      <c r="E3813" s="81"/>
      <c r="F3813" s="81"/>
      <c r="G3813" s="82"/>
      <c r="H3813" s="41">
        <f>SUM(G3810:G3812)</f>
        <v>1280200</v>
      </c>
      <c r="I3813" s="32"/>
      <c r="J3813" s="32"/>
      <c r="K3813" s="32"/>
      <c r="L3813" s="32"/>
      <c r="M3813" s="32"/>
      <c r="N3813" s="32"/>
      <c r="O3813" s="32"/>
      <c r="P3813" s="32"/>
      <c r="Q3813" s="32"/>
      <c r="R3813" s="32"/>
      <c r="S3813" s="32"/>
      <c r="T3813" s="32"/>
      <c r="U3813" s="32"/>
      <c r="V3813" s="32"/>
      <c r="W3813" s="32"/>
      <c r="X3813" s="32"/>
      <c r="Y3813" s="32"/>
      <c r="Z3813" s="32"/>
    </row>
    <row r="3814" spans="1:26" ht="14.25" customHeight="1">
      <c r="A3814" s="83" t="s">
        <v>19</v>
      </c>
      <c r="B3814" s="81"/>
      <c r="C3814" s="81"/>
      <c r="D3814" s="81"/>
      <c r="E3814" s="81"/>
      <c r="F3814" s="81"/>
      <c r="G3814" s="82"/>
      <c r="H3814" s="41">
        <f>MAX(0,H3813-648000)</f>
        <v>632200</v>
      </c>
      <c r="I3814" s="32"/>
      <c r="J3814" s="32"/>
      <c r="K3814" s="32"/>
      <c r="L3814" s="32"/>
      <c r="M3814" s="32"/>
      <c r="N3814" s="32"/>
      <c r="O3814" s="32"/>
      <c r="P3814" s="32"/>
      <c r="Q3814" s="32"/>
      <c r="R3814" s="32"/>
      <c r="S3814" s="32"/>
      <c r="T3814" s="32"/>
      <c r="U3814" s="32"/>
      <c r="V3814" s="32"/>
      <c r="W3814" s="32"/>
      <c r="X3814" s="32"/>
      <c r="Y3814" s="32"/>
      <c r="Z3814" s="32"/>
    </row>
    <row r="3815" spans="1:26" ht="14.25" customHeight="1">
      <c r="A3815" s="84" t="s">
        <v>20</v>
      </c>
      <c r="B3815" s="81"/>
      <c r="C3815" s="81"/>
      <c r="D3815" s="81"/>
      <c r="E3815" s="81"/>
      <c r="F3815" s="81"/>
      <c r="G3815" s="82"/>
      <c r="H3815" s="42">
        <v>649000</v>
      </c>
      <c r="I3815" s="32"/>
      <c r="J3815" s="32"/>
      <c r="K3815" s="32"/>
      <c r="L3815" s="32"/>
      <c r="M3815" s="32"/>
      <c r="N3815" s="32"/>
      <c r="O3815" s="32"/>
      <c r="P3815" s="32"/>
      <c r="Q3815" s="32"/>
      <c r="R3815" s="32"/>
      <c r="S3815" s="32"/>
      <c r="T3815" s="32"/>
      <c r="U3815" s="32"/>
      <c r="V3815" s="32"/>
      <c r="W3815" s="32"/>
      <c r="X3815" s="32"/>
      <c r="Y3815" s="32"/>
      <c r="Z3815" s="32"/>
    </row>
    <row r="3816" spans="1:26" ht="14.25" customHeight="1">
      <c r="A3816" s="80"/>
      <c r="B3816" s="81"/>
      <c r="C3816" s="81"/>
      <c r="D3816" s="81"/>
      <c r="E3816" s="81"/>
      <c r="F3816" s="81"/>
      <c r="G3816" s="81"/>
      <c r="H3816" s="82"/>
      <c r="I3816" s="32"/>
      <c r="J3816" s="32"/>
      <c r="K3816" s="32"/>
      <c r="L3816" s="32"/>
      <c r="M3816" s="32"/>
      <c r="N3816" s="32"/>
      <c r="O3816" s="32"/>
      <c r="P3816" s="32"/>
      <c r="Q3816" s="32"/>
      <c r="R3816" s="32"/>
      <c r="S3816" s="32"/>
      <c r="T3816" s="32"/>
      <c r="U3816" s="32"/>
      <c r="V3816" s="32"/>
      <c r="W3816" s="32"/>
      <c r="X3816" s="32"/>
      <c r="Y3816" s="32"/>
      <c r="Z3816" s="32"/>
    </row>
    <row r="3817" spans="1:26" ht="14.25" customHeight="1">
      <c r="I3817" s="32"/>
    </row>
    <row r="3818" spans="1:26" ht="14.25" customHeight="1">
      <c r="I3818" s="32"/>
    </row>
    <row r="3819" spans="1:26" ht="14.25" customHeight="1">
      <c r="I3819" s="32"/>
    </row>
    <row r="3820" spans="1:26" ht="14.25" customHeight="1">
      <c r="I3820" s="32"/>
    </row>
    <row r="3821" spans="1:26" ht="14.25" customHeight="1">
      <c r="I3821" s="32"/>
    </row>
    <row r="3822" spans="1:26" ht="14.25" customHeight="1">
      <c r="A3822" s="80" t="s">
        <v>0</v>
      </c>
      <c r="B3822" s="81"/>
      <c r="C3822" s="81"/>
      <c r="D3822" s="81"/>
      <c r="E3822" s="81"/>
      <c r="F3822" s="81"/>
      <c r="G3822" s="81"/>
      <c r="H3822" s="82"/>
      <c r="I3822" s="32"/>
      <c r="J3822" s="32"/>
      <c r="K3822" s="32"/>
      <c r="L3822" s="32"/>
      <c r="M3822" s="32"/>
      <c r="N3822" s="32"/>
      <c r="O3822" s="32"/>
      <c r="P3822" s="32"/>
      <c r="Q3822" s="32"/>
      <c r="R3822" s="32"/>
      <c r="S3822" s="32"/>
      <c r="T3822" s="32"/>
      <c r="U3822" s="32"/>
      <c r="V3822" s="32"/>
      <c r="W3822" s="32"/>
      <c r="X3822" s="32"/>
      <c r="Y3822" s="32"/>
      <c r="Z3822" s="32"/>
    </row>
    <row r="3823" spans="1:26" ht="14.25" customHeight="1">
      <c r="A3823" s="80" t="s">
        <v>990</v>
      </c>
      <c r="B3823" s="81"/>
      <c r="C3823" s="81"/>
      <c r="D3823" s="81"/>
      <c r="E3823" s="81"/>
      <c r="F3823" s="81"/>
      <c r="G3823" s="81"/>
      <c r="H3823" s="82"/>
      <c r="I3823" s="32"/>
      <c r="J3823" s="32"/>
      <c r="K3823" s="32"/>
      <c r="L3823" s="32"/>
      <c r="M3823" s="32"/>
      <c r="N3823" s="32"/>
      <c r="O3823" s="32"/>
      <c r="P3823" s="32"/>
      <c r="Q3823" s="32"/>
      <c r="R3823" s="32"/>
      <c r="S3823" s="32"/>
      <c r="T3823" s="32"/>
      <c r="U3823" s="32"/>
      <c r="V3823" s="32"/>
      <c r="W3823" s="32"/>
      <c r="X3823" s="32"/>
      <c r="Y3823" s="32"/>
      <c r="Z3823" s="32"/>
    </row>
    <row r="3824" spans="1:26" ht="14.25" customHeight="1">
      <c r="A3824" s="33" t="s">
        <v>2</v>
      </c>
      <c r="B3824" s="33" t="s">
        <v>3</v>
      </c>
      <c r="C3824" s="33" t="s">
        <v>4</v>
      </c>
      <c r="D3824" s="33" t="s">
        <v>5</v>
      </c>
      <c r="E3824" s="33" t="s">
        <v>6</v>
      </c>
      <c r="F3824" s="34" t="s">
        <v>7</v>
      </c>
      <c r="G3824" s="33" t="s">
        <v>8</v>
      </c>
      <c r="H3824" s="35"/>
      <c r="I3824" s="32"/>
      <c r="J3824" s="32"/>
      <c r="K3824" s="32"/>
      <c r="L3824" s="32"/>
      <c r="M3824" s="32"/>
      <c r="N3824" s="32"/>
      <c r="O3824" s="32"/>
      <c r="P3824" s="32"/>
      <c r="Q3824" s="32"/>
      <c r="R3824" s="32"/>
      <c r="S3824" s="32"/>
      <c r="T3824" s="32"/>
      <c r="U3824" s="32"/>
      <c r="V3824" s="32"/>
      <c r="W3824" s="32"/>
      <c r="X3824" s="32"/>
      <c r="Y3824" s="32"/>
      <c r="Z3824" s="32"/>
    </row>
    <row r="3825" spans="1:26" ht="14.25" customHeight="1">
      <c r="A3825" s="36">
        <v>1</v>
      </c>
      <c r="B3825" s="18" t="s">
        <v>65</v>
      </c>
      <c r="C3825" s="5" t="s">
        <v>991</v>
      </c>
      <c r="D3825" s="18" t="s">
        <v>413</v>
      </c>
      <c r="E3825" s="18">
        <v>1.92</v>
      </c>
      <c r="F3825" s="6">
        <v>293000</v>
      </c>
      <c r="G3825" s="37">
        <f t="shared" ref="G3825:G3827" si="244">IFERROR(E3825*F3825,0)</f>
        <v>562560</v>
      </c>
      <c r="H3825" s="38"/>
      <c r="I3825" s="32"/>
      <c r="J3825" s="32"/>
      <c r="K3825" s="32"/>
      <c r="L3825" s="32"/>
      <c r="M3825" s="32"/>
      <c r="N3825" s="32"/>
      <c r="O3825" s="32"/>
      <c r="P3825" s="32"/>
      <c r="Q3825" s="32"/>
      <c r="R3825" s="32"/>
      <c r="S3825" s="32"/>
      <c r="T3825" s="32"/>
      <c r="U3825" s="32"/>
      <c r="V3825" s="32"/>
      <c r="W3825" s="32"/>
      <c r="X3825" s="32"/>
      <c r="Y3825" s="32"/>
      <c r="Z3825" s="32"/>
    </row>
    <row r="3826" spans="1:26" ht="14.25" customHeight="1">
      <c r="A3826" s="36">
        <v>2</v>
      </c>
      <c r="B3826" s="12" t="s">
        <v>992</v>
      </c>
      <c r="C3826" s="10" t="s">
        <v>993</v>
      </c>
      <c r="D3826" s="12" t="s">
        <v>233</v>
      </c>
      <c r="E3826" s="12">
        <v>1.47</v>
      </c>
      <c r="F3826" s="43">
        <v>435000</v>
      </c>
      <c r="G3826" s="37">
        <f t="shared" si="244"/>
        <v>639450</v>
      </c>
      <c r="H3826" s="38"/>
      <c r="I3826" s="32"/>
      <c r="J3826" s="32"/>
      <c r="K3826" s="32"/>
      <c r="L3826" s="32"/>
      <c r="M3826" s="32"/>
      <c r="N3826" s="32"/>
      <c r="O3826" s="32"/>
      <c r="P3826" s="32"/>
      <c r="Q3826" s="32"/>
      <c r="R3826" s="32"/>
      <c r="S3826" s="32"/>
      <c r="T3826" s="32"/>
      <c r="U3826" s="32"/>
      <c r="V3826" s="32"/>
      <c r="W3826" s="32"/>
      <c r="X3826" s="32"/>
      <c r="Y3826" s="32"/>
      <c r="Z3826" s="32"/>
    </row>
    <row r="3827" spans="1:26" ht="14.25" customHeight="1">
      <c r="A3827" s="36">
        <v>4</v>
      </c>
      <c r="B3827" s="39" t="s">
        <v>17</v>
      </c>
      <c r="C3827" s="38"/>
      <c r="D3827" s="38"/>
      <c r="E3827" s="38"/>
      <c r="F3827" s="60"/>
      <c r="G3827" s="37">
        <f t="shared" si="244"/>
        <v>0</v>
      </c>
      <c r="H3827" s="38"/>
      <c r="I3827" s="32"/>
      <c r="J3827" s="32"/>
      <c r="K3827" s="32"/>
      <c r="L3827" s="32"/>
      <c r="M3827" s="32"/>
      <c r="N3827" s="32"/>
      <c r="O3827" s="32"/>
      <c r="P3827" s="32"/>
      <c r="Q3827" s="32"/>
      <c r="R3827" s="32"/>
      <c r="S3827" s="32"/>
      <c r="T3827" s="32"/>
      <c r="U3827" s="32"/>
      <c r="V3827" s="32"/>
      <c r="W3827" s="32"/>
      <c r="X3827" s="32"/>
      <c r="Y3827" s="32"/>
      <c r="Z3827" s="32"/>
    </row>
    <row r="3828" spans="1:26" ht="14.25" customHeight="1">
      <c r="A3828" s="83" t="s">
        <v>18</v>
      </c>
      <c r="B3828" s="81"/>
      <c r="C3828" s="81"/>
      <c r="D3828" s="81"/>
      <c r="E3828" s="81"/>
      <c r="F3828" s="81"/>
      <c r="G3828" s="82"/>
      <c r="H3828" s="41">
        <f>SUM(G3825:G3827)</f>
        <v>1202010</v>
      </c>
      <c r="I3828" s="32"/>
      <c r="J3828" s="32"/>
      <c r="K3828" s="32"/>
      <c r="L3828" s="32"/>
      <c r="M3828" s="32"/>
      <c r="N3828" s="32"/>
      <c r="O3828" s="32"/>
      <c r="P3828" s="32"/>
      <c r="Q3828" s="32"/>
      <c r="R3828" s="32"/>
      <c r="S3828" s="32"/>
      <c r="T3828" s="32"/>
      <c r="U3828" s="32"/>
      <c r="V3828" s="32"/>
      <c r="W3828" s="32"/>
      <c r="X3828" s="32"/>
      <c r="Y3828" s="32"/>
      <c r="Z3828" s="32"/>
    </row>
    <row r="3829" spans="1:26" ht="14.25" customHeight="1">
      <c r="A3829" s="83" t="s">
        <v>19</v>
      </c>
      <c r="B3829" s="81"/>
      <c r="C3829" s="81"/>
      <c r="D3829" s="81"/>
      <c r="E3829" s="81"/>
      <c r="F3829" s="81"/>
      <c r="G3829" s="82"/>
      <c r="H3829" s="41">
        <f>MAX(0,H3828-648000)</f>
        <v>554010</v>
      </c>
      <c r="I3829" s="32"/>
      <c r="J3829" s="32"/>
      <c r="K3829" s="32"/>
      <c r="L3829" s="32"/>
      <c r="M3829" s="32"/>
      <c r="N3829" s="32"/>
      <c r="O3829" s="32"/>
      <c r="P3829" s="32"/>
      <c r="Q3829" s="32"/>
      <c r="R3829" s="32"/>
      <c r="S3829" s="32"/>
      <c r="T3829" s="32"/>
      <c r="U3829" s="32"/>
      <c r="V3829" s="32"/>
      <c r="W3829" s="32"/>
      <c r="X3829" s="32"/>
      <c r="Y3829" s="32"/>
      <c r="Z3829" s="32"/>
    </row>
    <row r="3830" spans="1:26" ht="14.25" customHeight="1">
      <c r="A3830" s="84" t="s">
        <v>20</v>
      </c>
      <c r="B3830" s="81"/>
      <c r="C3830" s="81"/>
      <c r="D3830" s="81"/>
      <c r="E3830" s="81"/>
      <c r="F3830" s="81"/>
      <c r="G3830" s="82"/>
      <c r="H3830" s="42">
        <v>649000</v>
      </c>
      <c r="I3830" s="32"/>
      <c r="J3830" s="32"/>
      <c r="K3830" s="32"/>
      <c r="L3830" s="32"/>
      <c r="M3830" s="32"/>
      <c r="N3830" s="32"/>
      <c r="O3830" s="32"/>
      <c r="P3830" s="32"/>
      <c r="Q3830" s="32"/>
      <c r="R3830" s="32"/>
      <c r="S3830" s="32"/>
      <c r="T3830" s="32"/>
      <c r="U3830" s="32"/>
      <c r="V3830" s="32"/>
      <c r="W3830" s="32"/>
      <c r="X3830" s="32"/>
      <c r="Y3830" s="32"/>
      <c r="Z3830" s="32"/>
    </row>
    <row r="3831" spans="1:26" ht="14.25" customHeight="1">
      <c r="A3831" s="80"/>
      <c r="B3831" s="81"/>
      <c r="C3831" s="81"/>
      <c r="D3831" s="81"/>
      <c r="E3831" s="81"/>
      <c r="F3831" s="81"/>
      <c r="G3831" s="81"/>
      <c r="H3831" s="82"/>
      <c r="I3831" s="32"/>
      <c r="J3831" s="32"/>
      <c r="K3831" s="32"/>
      <c r="L3831" s="32"/>
      <c r="M3831" s="32"/>
      <c r="N3831" s="32"/>
      <c r="O3831" s="32"/>
      <c r="P3831" s="32"/>
      <c r="Q3831" s="32"/>
      <c r="R3831" s="32"/>
      <c r="S3831" s="32"/>
      <c r="T3831" s="32"/>
      <c r="U3831" s="32"/>
      <c r="V3831" s="32"/>
      <c r="W3831" s="32"/>
      <c r="X3831" s="32"/>
      <c r="Y3831" s="32"/>
      <c r="Z3831" s="32"/>
    </row>
    <row r="3832" spans="1:26" ht="14.25" customHeight="1">
      <c r="I3832" s="32"/>
    </row>
    <row r="3833" spans="1:26" ht="14.25" customHeight="1">
      <c r="I3833" s="32"/>
    </row>
    <row r="3834" spans="1:26" ht="14.25" customHeight="1">
      <c r="I3834" s="32"/>
    </row>
    <row r="3835" spans="1:26" ht="14.25" customHeight="1">
      <c r="I3835" s="32"/>
    </row>
    <row r="3836" spans="1:26" ht="14.25" customHeight="1">
      <c r="A3836" s="80" t="s">
        <v>0</v>
      </c>
      <c r="B3836" s="81"/>
      <c r="C3836" s="81"/>
      <c r="D3836" s="81"/>
      <c r="E3836" s="81"/>
      <c r="F3836" s="81"/>
      <c r="G3836" s="81"/>
      <c r="H3836" s="82"/>
      <c r="I3836" s="32"/>
      <c r="J3836" s="32"/>
      <c r="K3836" s="32"/>
      <c r="L3836" s="32"/>
      <c r="M3836" s="32"/>
      <c r="N3836" s="32"/>
      <c r="O3836" s="32"/>
      <c r="P3836" s="32"/>
      <c r="Q3836" s="32"/>
      <c r="R3836" s="32"/>
      <c r="S3836" s="32"/>
      <c r="T3836" s="32"/>
      <c r="U3836" s="32"/>
      <c r="V3836" s="32"/>
      <c r="W3836" s="32"/>
      <c r="X3836" s="32"/>
      <c r="Y3836" s="32"/>
      <c r="Z3836" s="32"/>
    </row>
    <row r="3837" spans="1:26" ht="14.25" customHeight="1">
      <c r="A3837" s="80" t="s">
        <v>994</v>
      </c>
      <c r="B3837" s="81"/>
      <c r="C3837" s="81"/>
      <c r="D3837" s="81"/>
      <c r="E3837" s="81"/>
      <c r="F3837" s="81"/>
      <c r="G3837" s="81"/>
      <c r="H3837" s="82"/>
      <c r="I3837" s="32"/>
      <c r="J3837" s="32"/>
      <c r="K3837" s="32"/>
      <c r="L3837" s="32"/>
      <c r="M3837" s="32"/>
      <c r="N3837" s="32"/>
      <c r="O3837" s="32"/>
      <c r="P3837" s="32"/>
      <c r="Q3837" s="32"/>
      <c r="R3837" s="32"/>
      <c r="S3837" s="32"/>
      <c r="T3837" s="32"/>
      <c r="U3837" s="32"/>
      <c r="V3837" s="32"/>
      <c r="W3837" s="32"/>
      <c r="X3837" s="32"/>
      <c r="Y3837" s="32"/>
      <c r="Z3837" s="32"/>
    </row>
    <row r="3838" spans="1:26" ht="14.25" customHeight="1">
      <c r="A3838" s="33" t="s">
        <v>2</v>
      </c>
      <c r="B3838" s="33" t="s">
        <v>3</v>
      </c>
      <c r="C3838" s="33" t="s">
        <v>4</v>
      </c>
      <c r="D3838" s="33" t="s">
        <v>5</v>
      </c>
      <c r="E3838" s="33" t="s">
        <v>6</v>
      </c>
      <c r="F3838" s="34" t="s">
        <v>7</v>
      </c>
      <c r="G3838" s="33" t="s">
        <v>8</v>
      </c>
      <c r="H3838" s="35"/>
      <c r="I3838" s="32"/>
      <c r="J3838" s="32"/>
      <c r="K3838" s="32"/>
      <c r="L3838" s="32"/>
      <c r="M3838" s="32"/>
      <c r="N3838" s="32"/>
      <c r="O3838" s="32"/>
      <c r="P3838" s="32"/>
      <c r="Q3838" s="32"/>
      <c r="R3838" s="32"/>
      <c r="S3838" s="32"/>
      <c r="T3838" s="32"/>
      <c r="U3838" s="32"/>
      <c r="V3838" s="32"/>
      <c r="W3838" s="32"/>
      <c r="X3838" s="32"/>
      <c r="Y3838" s="32"/>
      <c r="Z3838" s="32"/>
    </row>
    <row r="3839" spans="1:26" ht="14.25" customHeight="1">
      <c r="A3839" s="36">
        <v>1</v>
      </c>
      <c r="B3839" s="18" t="s">
        <v>422</v>
      </c>
      <c r="C3839" s="5" t="s">
        <v>995</v>
      </c>
      <c r="D3839" s="18" t="s">
        <v>413</v>
      </c>
      <c r="E3839" s="18">
        <v>2.5</v>
      </c>
      <c r="F3839" s="6">
        <v>293000</v>
      </c>
      <c r="G3839" s="37">
        <f t="shared" ref="G3839:G3841" si="245">IFERROR(E3839*F3839,0)</f>
        <v>732500</v>
      </c>
      <c r="H3839" s="38"/>
      <c r="I3839" s="32"/>
      <c r="J3839" s="32"/>
      <c r="K3839" s="32"/>
      <c r="L3839" s="32"/>
      <c r="M3839" s="32"/>
      <c r="N3839" s="32"/>
      <c r="O3839" s="32"/>
      <c r="P3839" s="32"/>
      <c r="Q3839" s="32"/>
      <c r="R3839" s="32"/>
      <c r="S3839" s="32"/>
      <c r="T3839" s="32"/>
      <c r="U3839" s="32"/>
      <c r="V3839" s="32"/>
      <c r="W3839" s="32"/>
      <c r="X3839" s="32"/>
      <c r="Y3839" s="32"/>
      <c r="Z3839" s="32"/>
    </row>
    <row r="3840" spans="1:26" ht="14.25" customHeight="1">
      <c r="A3840" s="36">
        <v>2</v>
      </c>
      <c r="B3840" s="12" t="s">
        <v>38</v>
      </c>
      <c r="C3840" s="10" t="s">
        <v>996</v>
      </c>
      <c r="D3840" s="12" t="s">
        <v>233</v>
      </c>
      <c r="E3840" s="12">
        <v>1.0900000000000001</v>
      </c>
      <c r="F3840" s="43">
        <v>435000</v>
      </c>
      <c r="G3840" s="37">
        <f t="shared" si="245"/>
        <v>474150.00000000006</v>
      </c>
      <c r="H3840" s="38"/>
      <c r="I3840" s="32"/>
      <c r="J3840" s="32"/>
      <c r="K3840" s="32"/>
      <c r="L3840" s="32"/>
      <c r="M3840" s="32"/>
      <c r="N3840" s="32"/>
      <c r="O3840" s="32"/>
      <c r="P3840" s="32"/>
      <c r="Q3840" s="32"/>
      <c r="R3840" s="32"/>
      <c r="S3840" s="32"/>
      <c r="T3840" s="32"/>
      <c r="U3840" s="32"/>
      <c r="V3840" s="32"/>
      <c r="W3840" s="32"/>
      <c r="X3840" s="32"/>
      <c r="Y3840" s="32"/>
      <c r="Z3840" s="32"/>
    </row>
    <row r="3841" spans="1:26" ht="14.25" customHeight="1">
      <c r="A3841" s="36">
        <v>4</v>
      </c>
      <c r="B3841" s="39" t="s">
        <v>17</v>
      </c>
      <c r="C3841" s="38"/>
      <c r="D3841" s="38"/>
      <c r="E3841" s="38"/>
      <c r="F3841" s="60"/>
      <c r="G3841" s="37">
        <f t="shared" si="245"/>
        <v>0</v>
      </c>
      <c r="H3841" s="38"/>
      <c r="I3841" s="32"/>
      <c r="J3841" s="32"/>
      <c r="K3841" s="32"/>
      <c r="L3841" s="32"/>
      <c r="M3841" s="32"/>
      <c r="N3841" s="32"/>
      <c r="O3841" s="32"/>
      <c r="P3841" s="32"/>
      <c r="Q3841" s="32"/>
      <c r="R3841" s="32"/>
      <c r="S3841" s="32"/>
      <c r="T3841" s="32"/>
      <c r="U3841" s="32"/>
      <c r="V3841" s="32"/>
      <c r="W3841" s="32"/>
      <c r="X3841" s="32"/>
      <c r="Y3841" s="32"/>
      <c r="Z3841" s="32"/>
    </row>
    <row r="3842" spans="1:26" ht="14.25" customHeight="1">
      <c r="A3842" s="83" t="s">
        <v>18</v>
      </c>
      <c r="B3842" s="81"/>
      <c r="C3842" s="81"/>
      <c r="D3842" s="81"/>
      <c r="E3842" s="81"/>
      <c r="F3842" s="81"/>
      <c r="G3842" s="82"/>
      <c r="H3842" s="41">
        <f>SUM(G3839:G3841)</f>
        <v>1206650</v>
      </c>
      <c r="I3842" s="32"/>
      <c r="J3842" s="32"/>
      <c r="K3842" s="32"/>
      <c r="L3842" s="32"/>
      <c r="M3842" s="32"/>
      <c r="N3842" s="32"/>
      <c r="O3842" s="32"/>
      <c r="P3842" s="32"/>
      <c r="Q3842" s="32"/>
      <c r="R3842" s="32"/>
      <c r="S3842" s="32"/>
      <c r="T3842" s="32"/>
      <c r="U3842" s="32"/>
      <c r="V3842" s="32"/>
      <c r="W3842" s="32"/>
      <c r="X3842" s="32"/>
      <c r="Y3842" s="32"/>
      <c r="Z3842" s="32"/>
    </row>
    <row r="3843" spans="1:26" ht="14.25" customHeight="1">
      <c r="A3843" s="83" t="s">
        <v>19</v>
      </c>
      <c r="B3843" s="81"/>
      <c r="C3843" s="81"/>
      <c r="D3843" s="81"/>
      <c r="E3843" s="81"/>
      <c r="F3843" s="81"/>
      <c r="G3843" s="82"/>
      <c r="H3843" s="41">
        <f>MAX(0,H3842-648000)</f>
        <v>558650</v>
      </c>
      <c r="I3843" s="32"/>
      <c r="J3843" s="32"/>
      <c r="K3843" s="32"/>
      <c r="L3843" s="32"/>
      <c r="M3843" s="32"/>
      <c r="N3843" s="32"/>
      <c r="O3843" s="32"/>
      <c r="P3843" s="32"/>
      <c r="Q3843" s="32"/>
      <c r="R3843" s="32"/>
      <c r="S3843" s="32"/>
      <c r="T3843" s="32"/>
      <c r="U3843" s="32"/>
      <c r="V3843" s="32"/>
      <c r="W3843" s="32"/>
      <c r="X3843" s="32"/>
      <c r="Y3843" s="32"/>
      <c r="Z3843" s="32"/>
    </row>
    <row r="3844" spans="1:26" ht="14.25" customHeight="1">
      <c r="A3844" s="84" t="s">
        <v>20</v>
      </c>
      <c r="B3844" s="81"/>
      <c r="C3844" s="81"/>
      <c r="D3844" s="81"/>
      <c r="E3844" s="81"/>
      <c r="F3844" s="81"/>
      <c r="G3844" s="82"/>
      <c r="H3844" s="42">
        <v>649000</v>
      </c>
      <c r="I3844" s="32"/>
      <c r="J3844" s="32"/>
      <c r="K3844" s="32"/>
      <c r="L3844" s="32"/>
      <c r="M3844" s="32"/>
      <c r="N3844" s="32"/>
      <c r="O3844" s="32"/>
      <c r="P3844" s="32"/>
      <c r="Q3844" s="32"/>
      <c r="R3844" s="32"/>
      <c r="S3844" s="32"/>
      <c r="T3844" s="32"/>
      <c r="U3844" s="32"/>
      <c r="V3844" s="32"/>
      <c r="W3844" s="32"/>
      <c r="X3844" s="32"/>
      <c r="Y3844" s="32"/>
      <c r="Z3844" s="32"/>
    </row>
    <row r="3845" spans="1:26" ht="14.25" customHeight="1">
      <c r="A3845" s="80"/>
      <c r="B3845" s="81"/>
      <c r="C3845" s="81"/>
      <c r="D3845" s="81"/>
      <c r="E3845" s="81"/>
      <c r="F3845" s="81"/>
      <c r="G3845" s="81"/>
      <c r="H3845" s="82"/>
      <c r="I3845" s="32"/>
      <c r="J3845" s="32"/>
      <c r="K3845" s="32"/>
      <c r="L3845" s="32"/>
      <c r="M3845" s="32"/>
      <c r="N3845" s="32"/>
      <c r="O3845" s="32"/>
      <c r="P3845" s="32"/>
      <c r="Q3845" s="32"/>
      <c r="R3845" s="32"/>
      <c r="S3845" s="32"/>
      <c r="T3845" s="32"/>
      <c r="U3845" s="32"/>
      <c r="V3845" s="32"/>
      <c r="W3845" s="32"/>
      <c r="X3845" s="32"/>
      <c r="Y3845" s="32"/>
      <c r="Z3845" s="32"/>
    </row>
    <row r="3846" spans="1:26" ht="14.25" customHeight="1">
      <c r="I3846" s="32"/>
    </row>
    <row r="3847" spans="1:26" ht="14.25" customHeight="1">
      <c r="I3847" s="32"/>
    </row>
    <row r="3848" spans="1:26" ht="14.25" customHeight="1">
      <c r="I3848" s="32"/>
    </row>
    <row r="3849" spans="1:26" ht="14.25" customHeight="1">
      <c r="I3849" s="32"/>
    </row>
    <row r="3850" spans="1:26" ht="14.25" customHeight="1">
      <c r="I3850" s="32"/>
    </row>
    <row r="3851" spans="1:26" ht="14.25" customHeight="1">
      <c r="I3851" s="32"/>
    </row>
    <row r="3852" spans="1:26" ht="14.25" customHeight="1">
      <c r="A3852" s="80" t="s">
        <v>0</v>
      </c>
      <c r="B3852" s="81"/>
      <c r="C3852" s="81"/>
      <c r="D3852" s="81"/>
      <c r="E3852" s="81"/>
      <c r="F3852" s="81"/>
      <c r="G3852" s="81"/>
      <c r="H3852" s="82"/>
      <c r="I3852" s="32"/>
      <c r="J3852" s="32"/>
      <c r="K3852" s="32"/>
      <c r="L3852" s="32"/>
      <c r="M3852" s="32"/>
      <c r="N3852" s="32"/>
      <c r="O3852" s="32"/>
      <c r="P3852" s="32"/>
      <c r="Q3852" s="32"/>
      <c r="R3852" s="32"/>
      <c r="S3852" s="32"/>
      <c r="T3852" s="32"/>
      <c r="U3852" s="32"/>
      <c r="V3852" s="32"/>
      <c r="W3852" s="32"/>
      <c r="X3852" s="32"/>
      <c r="Y3852" s="32"/>
      <c r="Z3852" s="32"/>
    </row>
    <row r="3853" spans="1:26" ht="14.25" customHeight="1">
      <c r="A3853" s="80" t="s">
        <v>997</v>
      </c>
      <c r="B3853" s="81"/>
      <c r="C3853" s="81"/>
      <c r="D3853" s="81"/>
      <c r="E3853" s="81"/>
      <c r="F3853" s="81"/>
      <c r="G3853" s="81"/>
      <c r="H3853" s="82"/>
      <c r="I3853" s="32"/>
      <c r="J3853" s="32"/>
      <c r="K3853" s="32"/>
      <c r="L3853" s="32"/>
      <c r="M3853" s="32"/>
      <c r="N3853" s="32"/>
      <c r="O3853" s="32"/>
      <c r="P3853" s="32"/>
      <c r="Q3853" s="32"/>
      <c r="R3853" s="32"/>
      <c r="S3853" s="32"/>
      <c r="T3853" s="32"/>
      <c r="U3853" s="32"/>
      <c r="V3853" s="32"/>
      <c r="W3853" s="32"/>
      <c r="X3853" s="32"/>
      <c r="Y3853" s="32"/>
      <c r="Z3853" s="32"/>
    </row>
    <row r="3854" spans="1:26" ht="14.25" customHeight="1">
      <c r="A3854" s="33" t="s">
        <v>2</v>
      </c>
      <c r="B3854" s="33" t="s">
        <v>3</v>
      </c>
      <c r="C3854" s="33" t="s">
        <v>4</v>
      </c>
      <c r="D3854" s="33" t="s">
        <v>5</v>
      </c>
      <c r="E3854" s="33" t="s">
        <v>6</v>
      </c>
      <c r="F3854" s="34" t="s">
        <v>7</v>
      </c>
      <c r="G3854" s="33" t="s">
        <v>8</v>
      </c>
      <c r="H3854" s="35"/>
      <c r="I3854" s="32"/>
      <c r="J3854" s="32"/>
      <c r="K3854" s="32"/>
      <c r="L3854" s="32"/>
      <c r="M3854" s="32"/>
      <c r="N3854" s="32"/>
      <c r="O3854" s="32"/>
      <c r="P3854" s="32"/>
      <c r="Q3854" s="32"/>
      <c r="R3854" s="32"/>
      <c r="S3854" s="32"/>
      <c r="T3854" s="32"/>
      <c r="U3854" s="32"/>
      <c r="V3854" s="32"/>
      <c r="W3854" s="32"/>
      <c r="X3854" s="32"/>
      <c r="Y3854" s="32"/>
      <c r="Z3854" s="32"/>
    </row>
    <row r="3855" spans="1:26" ht="14.25" customHeight="1">
      <c r="A3855" s="36">
        <v>1</v>
      </c>
      <c r="B3855" s="18" t="s">
        <v>57</v>
      </c>
      <c r="C3855" s="5" t="s">
        <v>998</v>
      </c>
      <c r="D3855" s="18" t="s">
        <v>413</v>
      </c>
      <c r="E3855" s="18">
        <v>2.5</v>
      </c>
      <c r="F3855" s="6">
        <v>293000</v>
      </c>
      <c r="G3855" s="37">
        <f t="shared" ref="G3855:G3857" si="246">IFERROR(E3855*F3855,0)</f>
        <v>732500</v>
      </c>
      <c r="H3855" s="38"/>
      <c r="I3855" s="32"/>
      <c r="J3855" s="32"/>
      <c r="K3855" s="32"/>
      <c r="L3855" s="32"/>
      <c r="M3855" s="32"/>
      <c r="N3855" s="32"/>
      <c r="O3855" s="32"/>
      <c r="P3855" s="32"/>
      <c r="Q3855" s="32"/>
      <c r="R3855" s="32"/>
      <c r="S3855" s="32"/>
      <c r="T3855" s="32"/>
      <c r="U3855" s="32"/>
      <c r="V3855" s="32"/>
      <c r="W3855" s="32"/>
      <c r="X3855" s="32"/>
      <c r="Y3855" s="32"/>
      <c r="Z3855" s="32"/>
    </row>
    <row r="3856" spans="1:26" ht="14.25" customHeight="1">
      <c r="A3856" s="36">
        <v>2</v>
      </c>
      <c r="B3856" s="12" t="s">
        <v>136</v>
      </c>
      <c r="C3856" s="10" t="s">
        <v>999</v>
      </c>
      <c r="D3856" s="12" t="s">
        <v>233</v>
      </c>
      <c r="E3856" s="12">
        <v>1</v>
      </c>
      <c r="F3856" s="43">
        <v>435000</v>
      </c>
      <c r="G3856" s="37">
        <f t="shared" si="246"/>
        <v>435000</v>
      </c>
      <c r="H3856" s="38"/>
      <c r="I3856" s="32"/>
      <c r="J3856" s="32"/>
      <c r="K3856" s="32"/>
      <c r="L3856" s="32"/>
      <c r="M3856" s="32"/>
      <c r="N3856" s="32"/>
      <c r="O3856" s="32"/>
      <c r="P3856" s="32"/>
      <c r="Q3856" s="32"/>
      <c r="R3856" s="32"/>
      <c r="S3856" s="32"/>
      <c r="T3856" s="32"/>
      <c r="U3856" s="32"/>
      <c r="V3856" s="32"/>
      <c r="W3856" s="32"/>
      <c r="X3856" s="32"/>
      <c r="Y3856" s="32"/>
      <c r="Z3856" s="32"/>
    </row>
    <row r="3857" spans="1:26" ht="14.25" customHeight="1">
      <c r="A3857" s="36">
        <v>4</v>
      </c>
      <c r="B3857" s="39" t="s">
        <v>17</v>
      </c>
      <c r="C3857" s="38"/>
      <c r="D3857" s="38"/>
      <c r="E3857" s="38"/>
      <c r="F3857" s="60"/>
      <c r="G3857" s="37">
        <f t="shared" si="246"/>
        <v>0</v>
      </c>
      <c r="H3857" s="38"/>
      <c r="I3857" s="32"/>
      <c r="J3857" s="32"/>
      <c r="K3857" s="32"/>
      <c r="L3857" s="32"/>
      <c r="M3857" s="32"/>
      <c r="N3857" s="32"/>
      <c r="O3857" s="32"/>
      <c r="P3857" s="32"/>
      <c r="Q3857" s="32"/>
      <c r="R3857" s="32"/>
      <c r="S3857" s="32"/>
      <c r="T3857" s="32"/>
      <c r="U3857" s="32"/>
      <c r="V3857" s="32"/>
      <c r="W3857" s="32"/>
      <c r="X3857" s="32"/>
      <c r="Y3857" s="32"/>
      <c r="Z3857" s="32"/>
    </row>
    <row r="3858" spans="1:26" ht="14.25" customHeight="1">
      <c r="A3858" s="83" t="s">
        <v>18</v>
      </c>
      <c r="B3858" s="81"/>
      <c r="C3858" s="81"/>
      <c r="D3858" s="81"/>
      <c r="E3858" s="81"/>
      <c r="F3858" s="81"/>
      <c r="G3858" s="82"/>
      <c r="H3858" s="41">
        <f>SUM(G3855:G3857)</f>
        <v>1167500</v>
      </c>
      <c r="I3858" s="32"/>
      <c r="J3858" s="32"/>
      <c r="K3858" s="32"/>
      <c r="L3858" s="32"/>
      <c r="M3858" s="32"/>
      <c r="N3858" s="32"/>
      <c r="O3858" s="32"/>
      <c r="P3858" s="32"/>
      <c r="Q3858" s="32"/>
      <c r="R3858" s="32"/>
      <c r="S3858" s="32"/>
      <c r="T3858" s="32"/>
      <c r="U3858" s="32"/>
      <c r="V3858" s="32"/>
      <c r="W3858" s="32"/>
      <c r="X3858" s="32"/>
      <c r="Y3858" s="32"/>
      <c r="Z3858" s="32"/>
    </row>
    <row r="3859" spans="1:26" ht="14.25" customHeight="1">
      <c r="A3859" s="83" t="s">
        <v>19</v>
      </c>
      <c r="B3859" s="81"/>
      <c r="C3859" s="81"/>
      <c r="D3859" s="81"/>
      <c r="E3859" s="81"/>
      <c r="F3859" s="81"/>
      <c r="G3859" s="82"/>
      <c r="H3859" s="41">
        <f>MAX(0,H3858-648000)</f>
        <v>519500</v>
      </c>
      <c r="I3859" s="32"/>
      <c r="J3859" s="32"/>
      <c r="K3859" s="32"/>
      <c r="L3859" s="32"/>
      <c r="M3859" s="32"/>
      <c r="N3859" s="32"/>
      <c r="O3859" s="32"/>
      <c r="P3859" s="32"/>
      <c r="Q3859" s="32"/>
      <c r="R3859" s="32"/>
      <c r="S3859" s="32"/>
      <c r="T3859" s="32"/>
      <c r="U3859" s="32"/>
      <c r="V3859" s="32"/>
      <c r="W3859" s="32"/>
      <c r="X3859" s="32"/>
      <c r="Y3859" s="32"/>
      <c r="Z3859" s="32"/>
    </row>
    <row r="3860" spans="1:26" ht="14.25" customHeight="1">
      <c r="A3860" s="84" t="s">
        <v>20</v>
      </c>
      <c r="B3860" s="81"/>
      <c r="C3860" s="81"/>
      <c r="D3860" s="81"/>
      <c r="E3860" s="81"/>
      <c r="F3860" s="81"/>
      <c r="G3860" s="82"/>
      <c r="H3860" s="42">
        <v>649000</v>
      </c>
      <c r="I3860" s="32"/>
      <c r="J3860" s="32"/>
      <c r="K3860" s="32"/>
      <c r="L3860" s="32"/>
      <c r="M3860" s="32"/>
      <c r="N3860" s="32"/>
      <c r="O3860" s="32"/>
      <c r="P3860" s="32"/>
      <c r="Q3860" s="32"/>
      <c r="R3860" s="32"/>
      <c r="S3860" s="32"/>
      <c r="T3860" s="32"/>
      <c r="U3860" s="32"/>
      <c r="V3860" s="32"/>
      <c r="W3860" s="32"/>
      <c r="X3860" s="32"/>
      <c r="Y3860" s="32"/>
      <c r="Z3860" s="32"/>
    </row>
    <row r="3861" spans="1:26" ht="14.25" customHeight="1">
      <c r="A3861" s="80"/>
      <c r="B3861" s="81"/>
      <c r="C3861" s="81"/>
      <c r="D3861" s="81"/>
      <c r="E3861" s="81"/>
      <c r="F3861" s="81"/>
      <c r="G3861" s="81"/>
      <c r="H3861" s="82"/>
      <c r="I3861" s="32"/>
      <c r="J3861" s="32"/>
      <c r="K3861" s="32"/>
      <c r="L3861" s="32"/>
      <c r="M3861" s="32"/>
      <c r="N3861" s="32"/>
      <c r="O3861" s="32"/>
      <c r="P3861" s="32"/>
      <c r="Q3861" s="32"/>
      <c r="R3861" s="32"/>
      <c r="S3861" s="32"/>
      <c r="T3861" s="32"/>
      <c r="U3861" s="32"/>
      <c r="V3861" s="32"/>
      <c r="W3861" s="32"/>
      <c r="X3861" s="32"/>
      <c r="Y3861" s="32"/>
      <c r="Z3861" s="32"/>
    </row>
    <row r="3862" spans="1:26" ht="14.25" customHeight="1">
      <c r="I3862" s="32"/>
    </row>
    <row r="3863" spans="1:26" ht="14.25" customHeight="1">
      <c r="I3863" s="32"/>
    </row>
    <row r="3864" spans="1:26" ht="14.25" customHeight="1">
      <c r="I3864" s="32"/>
    </row>
    <row r="3865" spans="1:26" ht="14.25" customHeight="1">
      <c r="I3865" s="32"/>
    </row>
    <row r="3866" spans="1:26" ht="14.25" customHeight="1">
      <c r="I3866" s="32"/>
    </row>
    <row r="3867" spans="1:26" ht="14.25" customHeight="1">
      <c r="A3867" s="80" t="s">
        <v>0</v>
      </c>
      <c r="B3867" s="81"/>
      <c r="C3867" s="81"/>
      <c r="D3867" s="81"/>
      <c r="E3867" s="81"/>
      <c r="F3867" s="81"/>
      <c r="G3867" s="81"/>
      <c r="H3867" s="82"/>
      <c r="I3867" s="32"/>
      <c r="J3867" s="32"/>
      <c r="K3867" s="32"/>
      <c r="L3867" s="32"/>
      <c r="M3867" s="32"/>
      <c r="N3867" s="32"/>
      <c r="O3867" s="32"/>
      <c r="P3867" s="32"/>
      <c r="Q3867" s="32"/>
      <c r="R3867" s="32"/>
      <c r="S3867" s="32"/>
      <c r="T3867" s="32"/>
      <c r="U3867" s="32"/>
      <c r="V3867" s="32"/>
      <c r="W3867" s="32"/>
      <c r="X3867" s="32"/>
      <c r="Y3867" s="32"/>
      <c r="Z3867" s="32"/>
    </row>
    <row r="3868" spans="1:26" ht="14.25" customHeight="1">
      <c r="A3868" s="80" t="s">
        <v>1000</v>
      </c>
      <c r="B3868" s="81"/>
      <c r="C3868" s="81"/>
      <c r="D3868" s="81"/>
      <c r="E3868" s="81"/>
      <c r="F3868" s="81"/>
      <c r="G3868" s="81"/>
      <c r="H3868" s="82"/>
      <c r="I3868" s="32"/>
      <c r="J3868" s="32"/>
      <c r="K3868" s="32"/>
      <c r="L3868" s="32"/>
      <c r="M3868" s="32"/>
      <c r="N3868" s="32"/>
      <c r="O3868" s="32"/>
      <c r="P3868" s="32"/>
      <c r="Q3868" s="32"/>
      <c r="R3868" s="32"/>
      <c r="S3868" s="32"/>
      <c r="T3868" s="32"/>
      <c r="U3868" s="32"/>
      <c r="V3868" s="32"/>
      <c r="W3868" s="32"/>
      <c r="X3868" s="32"/>
      <c r="Y3868" s="32"/>
      <c r="Z3868" s="32"/>
    </row>
    <row r="3869" spans="1:26" ht="14.25" customHeight="1">
      <c r="A3869" s="33" t="s">
        <v>2</v>
      </c>
      <c r="B3869" s="33" t="s">
        <v>3</v>
      </c>
      <c r="C3869" s="33" t="s">
        <v>4</v>
      </c>
      <c r="D3869" s="33" t="s">
        <v>5</v>
      </c>
      <c r="E3869" s="33" t="s">
        <v>6</v>
      </c>
      <c r="F3869" s="34" t="s">
        <v>7</v>
      </c>
      <c r="G3869" s="33" t="s">
        <v>8</v>
      </c>
      <c r="H3869" s="35"/>
      <c r="I3869" s="32"/>
      <c r="J3869" s="32"/>
      <c r="K3869" s="32"/>
      <c r="L3869" s="32"/>
      <c r="M3869" s="32"/>
      <c r="N3869" s="32"/>
      <c r="O3869" s="32"/>
      <c r="P3869" s="32"/>
      <c r="Q3869" s="32"/>
      <c r="R3869" s="32"/>
      <c r="S3869" s="32"/>
      <c r="T3869" s="32"/>
      <c r="U3869" s="32"/>
      <c r="V3869" s="32"/>
      <c r="W3869" s="32"/>
      <c r="X3869" s="32"/>
      <c r="Y3869" s="32"/>
      <c r="Z3869" s="32"/>
    </row>
    <row r="3870" spans="1:26" ht="14.25" customHeight="1">
      <c r="A3870" s="36">
        <v>1</v>
      </c>
      <c r="B3870" s="18" t="s">
        <v>73</v>
      </c>
      <c r="C3870" s="5" t="s">
        <v>1001</v>
      </c>
      <c r="D3870" s="18" t="s">
        <v>413</v>
      </c>
      <c r="E3870" s="18">
        <v>2.1800000000000002</v>
      </c>
      <c r="F3870" s="6">
        <v>293000</v>
      </c>
      <c r="G3870" s="37">
        <f t="shared" ref="G3870:G3872" si="247">IFERROR(E3870*F3870,0)</f>
        <v>638740</v>
      </c>
      <c r="H3870" s="38"/>
      <c r="I3870" s="32"/>
      <c r="J3870" s="32"/>
      <c r="K3870" s="32"/>
      <c r="L3870" s="32"/>
      <c r="M3870" s="32"/>
      <c r="N3870" s="32"/>
      <c r="O3870" s="32"/>
      <c r="P3870" s="32"/>
      <c r="Q3870" s="32"/>
      <c r="R3870" s="32"/>
      <c r="S3870" s="32"/>
      <c r="T3870" s="32"/>
      <c r="U3870" s="32"/>
      <c r="V3870" s="32"/>
      <c r="W3870" s="32"/>
      <c r="X3870" s="32"/>
      <c r="Y3870" s="32"/>
      <c r="Z3870" s="32"/>
    </row>
    <row r="3871" spans="1:26" ht="14.25" customHeight="1">
      <c r="A3871" s="36">
        <v>2</v>
      </c>
      <c r="B3871" s="12" t="s">
        <v>65</v>
      </c>
      <c r="C3871" s="10" t="s">
        <v>1002</v>
      </c>
      <c r="D3871" s="12" t="s">
        <v>233</v>
      </c>
      <c r="E3871" s="12">
        <v>1.47</v>
      </c>
      <c r="F3871" s="43">
        <v>435000</v>
      </c>
      <c r="G3871" s="37">
        <f t="shared" si="247"/>
        <v>639450</v>
      </c>
      <c r="H3871" s="38"/>
      <c r="I3871" s="32"/>
      <c r="J3871" s="32"/>
      <c r="K3871" s="32"/>
      <c r="L3871" s="32"/>
      <c r="M3871" s="32"/>
      <c r="N3871" s="32"/>
      <c r="O3871" s="32"/>
      <c r="P3871" s="32"/>
      <c r="Q3871" s="32"/>
      <c r="R3871" s="32"/>
      <c r="S3871" s="32"/>
      <c r="T3871" s="32"/>
      <c r="U3871" s="32"/>
      <c r="V3871" s="32"/>
      <c r="W3871" s="32"/>
      <c r="X3871" s="32"/>
      <c r="Y3871" s="32"/>
      <c r="Z3871" s="32"/>
    </row>
    <row r="3872" spans="1:26" ht="14.25" customHeight="1">
      <c r="A3872" s="36">
        <v>4</v>
      </c>
      <c r="B3872" s="39" t="s">
        <v>17</v>
      </c>
      <c r="C3872" s="38"/>
      <c r="D3872" s="38"/>
      <c r="E3872" s="38"/>
      <c r="F3872" s="60"/>
      <c r="G3872" s="37">
        <f t="shared" si="247"/>
        <v>0</v>
      </c>
      <c r="H3872" s="38"/>
      <c r="I3872" s="32"/>
      <c r="J3872" s="32"/>
      <c r="K3872" s="32"/>
      <c r="L3872" s="32"/>
      <c r="M3872" s="32"/>
      <c r="N3872" s="32"/>
      <c r="O3872" s="32"/>
      <c r="P3872" s="32"/>
      <c r="Q3872" s="32"/>
      <c r="R3872" s="32"/>
      <c r="S3872" s="32"/>
      <c r="T3872" s="32"/>
      <c r="U3872" s="32"/>
      <c r="V3872" s="32"/>
      <c r="W3872" s="32"/>
      <c r="X3872" s="32"/>
      <c r="Y3872" s="32"/>
      <c r="Z3872" s="32"/>
    </row>
    <row r="3873" spans="1:26" ht="14.25" customHeight="1">
      <c r="A3873" s="83" t="s">
        <v>18</v>
      </c>
      <c r="B3873" s="81"/>
      <c r="C3873" s="81"/>
      <c r="D3873" s="81"/>
      <c r="E3873" s="81"/>
      <c r="F3873" s="81"/>
      <c r="G3873" s="82"/>
      <c r="H3873" s="41">
        <f>SUM(G3870:G3872)</f>
        <v>1278190</v>
      </c>
      <c r="I3873" s="32"/>
      <c r="J3873" s="32"/>
      <c r="K3873" s="32"/>
      <c r="L3873" s="32"/>
      <c r="M3873" s="32"/>
      <c r="N3873" s="32"/>
      <c r="O3873" s="32"/>
      <c r="P3873" s="32"/>
      <c r="Q3873" s="32"/>
      <c r="R3873" s="32"/>
      <c r="S3873" s="32"/>
      <c r="T3873" s="32"/>
      <c r="U3873" s="32"/>
      <c r="V3873" s="32"/>
      <c r="W3873" s="32"/>
      <c r="X3873" s="32"/>
      <c r="Y3873" s="32"/>
      <c r="Z3873" s="32"/>
    </row>
    <row r="3874" spans="1:26" ht="14.25" customHeight="1">
      <c r="A3874" s="83" t="s">
        <v>19</v>
      </c>
      <c r="B3874" s="81"/>
      <c r="C3874" s="81"/>
      <c r="D3874" s="81"/>
      <c r="E3874" s="81"/>
      <c r="F3874" s="81"/>
      <c r="G3874" s="82"/>
      <c r="H3874" s="41">
        <f>MAX(0,H3873-648000)</f>
        <v>630190</v>
      </c>
      <c r="I3874" s="32"/>
      <c r="J3874" s="32"/>
      <c r="K3874" s="32"/>
      <c r="L3874" s="32"/>
      <c r="M3874" s="32"/>
      <c r="N3874" s="32"/>
      <c r="O3874" s="32"/>
      <c r="P3874" s="32"/>
      <c r="Q3874" s="32"/>
      <c r="R3874" s="32"/>
      <c r="S3874" s="32"/>
      <c r="T3874" s="32"/>
      <c r="U3874" s="32"/>
      <c r="V3874" s="32"/>
      <c r="W3874" s="32"/>
      <c r="X3874" s="32"/>
      <c r="Y3874" s="32"/>
      <c r="Z3874" s="32"/>
    </row>
    <row r="3875" spans="1:26" ht="14.25" customHeight="1">
      <c r="A3875" s="84" t="s">
        <v>20</v>
      </c>
      <c r="B3875" s="81"/>
      <c r="C3875" s="81"/>
      <c r="D3875" s="81"/>
      <c r="E3875" s="81"/>
      <c r="F3875" s="81"/>
      <c r="G3875" s="82"/>
      <c r="H3875" s="42">
        <v>649000</v>
      </c>
      <c r="I3875" s="32"/>
      <c r="J3875" s="32"/>
      <c r="K3875" s="32"/>
      <c r="L3875" s="32"/>
      <c r="M3875" s="32"/>
      <c r="N3875" s="32"/>
      <c r="O3875" s="32"/>
      <c r="P3875" s="32"/>
      <c r="Q3875" s="32"/>
      <c r="R3875" s="32"/>
      <c r="S3875" s="32"/>
      <c r="T3875" s="32"/>
      <c r="U3875" s="32"/>
      <c r="V3875" s="32"/>
      <c r="W3875" s="32"/>
      <c r="X3875" s="32"/>
      <c r="Y3875" s="32"/>
      <c r="Z3875" s="32"/>
    </row>
    <row r="3876" spans="1:26" ht="14.25" customHeight="1">
      <c r="A3876" s="80"/>
      <c r="B3876" s="81"/>
      <c r="C3876" s="81"/>
      <c r="D3876" s="81"/>
      <c r="E3876" s="81"/>
      <c r="F3876" s="81"/>
      <c r="G3876" s="81"/>
      <c r="H3876" s="82"/>
      <c r="I3876" s="32"/>
      <c r="J3876" s="32"/>
      <c r="K3876" s="32"/>
      <c r="L3876" s="32"/>
      <c r="M3876" s="32"/>
      <c r="N3876" s="32"/>
      <c r="O3876" s="32"/>
      <c r="P3876" s="32"/>
      <c r="Q3876" s="32"/>
      <c r="R3876" s="32"/>
      <c r="S3876" s="32"/>
      <c r="T3876" s="32"/>
      <c r="U3876" s="32"/>
      <c r="V3876" s="32"/>
      <c r="W3876" s="32"/>
      <c r="X3876" s="32"/>
      <c r="Y3876" s="32"/>
      <c r="Z3876" s="32"/>
    </row>
    <row r="3877" spans="1:26" ht="14.25" customHeight="1">
      <c r="I3877" s="32"/>
    </row>
    <row r="3878" spans="1:26" ht="14.25" customHeight="1">
      <c r="I3878" s="32"/>
    </row>
    <row r="3879" spans="1:26" ht="14.25" customHeight="1">
      <c r="I3879" s="32"/>
    </row>
    <row r="3880" spans="1:26" ht="14.25" customHeight="1">
      <c r="I3880" s="32"/>
    </row>
    <row r="3881" spans="1:26" ht="14.25" customHeight="1">
      <c r="I3881" s="32"/>
    </row>
    <row r="3882" spans="1:26" ht="14.25" customHeight="1">
      <c r="I3882" s="32"/>
    </row>
    <row r="3883" spans="1:26" ht="14.25" customHeight="1">
      <c r="A3883" s="80" t="s">
        <v>0</v>
      </c>
      <c r="B3883" s="81"/>
      <c r="C3883" s="81"/>
      <c r="D3883" s="81"/>
      <c r="E3883" s="81"/>
      <c r="F3883" s="81"/>
      <c r="G3883" s="81"/>
      <c r="H3883" s="82"/>
      <c r="I3883" s="32"/>
      <c r="J3883" s="32"/>
      <c r="K3883" s="32"/>
      <c r="L3883" s="32"/>
      <c r="M3883" s="32"/>
      <c r="N3883" s="32"/>
      <c r="O3883" s="32"/>
      <c r="P3883" s="32"/>
      <c r="Q3883" s="32"/>
      <c r="R3883" s="32"/>
      <c r="S3883" s="32"/>
      <c r="T3883" s="32"/>
      <c r="U3883" s="32"/>
      <c r="V3883" s="32"/>
      <c r="W3883" s="32"/>
      <c r="X3883" s="32"/>
      <c r="Y3883" s="32"/>
      <c r="Z3883" s="32"/>
    </row>
    <row r="3884" spans="1:26" ht="14.25" customHeight="1">
      <c r="A3884" s="80" t="s">
        <v>1003</v>
      </c>
      <c r="B3884" s="81"/>
      <c r="C3884" s="81"/>
      <c r="D3884" s="81"/>
      <c r="E3884" s="81"/>
      <c r="F3884" s="81"/>
      <c r="G3884" s="81"/>
      <c r="H3884" s="82"/>
      <c r="I3884" s="32"/>
      <c r="J3884" s="32"/>
      <c r="K3884" s="32"/>
      <c r="L3884" s="32"/>
      <c r="M3884" s="32"/>
      <c r="N3884" s="32"/>
      <c r="O3884" s="32"/>
      <c r="P3884" s="32"/>
      <c r="Q3884" s="32"/>
      <c r="R3884" s="32"/>
      <c r="S3884" s="32"/>
      <c r="T3884" s="32"/>
      <c r="U3884" s="32"/>
      <c r="V3884" s="32"/>
      <c r="W3884" s="32"/>
      <c r="X3884" s="32"/>
      <c r="Y3884" s="32"/>
      <c r="Z3884" s="32"/>
    </row>
    <row r="3885" spans="1:26" ht="14.25" customHeight="1">
      <c r="A3885" s="33" t="s">
        <v>2</v>
      </c>
      <c r="B3885" s="33" t="s">
        <v>3</v>
      </c>
      <c r="C3885" s="33" t="s">
        <v>4</v>
      </c>
      <c r="D3885" s="33" t="s">
        <v>5</v>
      </c>
      <c r="E3885" s="33" t="s">
        <v>6</v>
      </c>
      <c r="F3885" s="34" t="s">
        <v>7</v>
      </c>
      <c r="G3885" s="33" t="s">
        <v>8</v>
      </c>
      <c r="H3885" s="35"/>
      <c r="I3885" s="32"/>
      <c r="J3885" s="32"/>
      <c r="K3885" s="32"/>
      <c r="L3885" s="32"/>
      <c r="M3885" s="32"/>
      <c r="N3885" s="32"/>
      <c r="O3885" s="32"/>
      <c r="P3885" s="32"/>
      <c r="Q3885" s="32"/>
      <c r="R3885" s="32"/>
      <c r="S3885" s="32"/>
      <c r="T3885" s="32"/>
      <c r="U3885" s="32"/>
      <c r="V3885" s="32"/>
      <c r="W3885" s="32"/>
      <c r="X3885" s="32"/>
      <c r="Y3885" s="32"/>
      <c r="Z3885" s="32"/>
    </row>
    <row r="3886" spans="1:26" ht="14.25" customHeight="1">
      <c r="A3886" s="36">
        <v>1</v>
      </c>
      <c r="B3886" s="18" t="s">
        <v>601</v>
      </c>
      <c r="C3886" s="5" t="s">
        <v>1004</v>
      </c>
      <c r="D3886" s="18" t="s">
        <v>413</v>
      </c>
      <c r="E3886" s="18">
        <v>1.3</v>
      </c>
      <c r="F3886" s="6">
        <v>293000</v>
      </c>
      <c r="G3886" s="37">
        <f t="shared" ref="G3886:G3888" si="248">IFERROR(E3886*F3886,0)</f>
        <v>380900</v>
      </c>
      <c r="H3886" s="38"/>
      <c r="I3886" s="32"/>
      <c r="J3886" s="32"/>
      <c r="K3886" s="32"/>
      <c r="L3886" s="32"/>
      <c r="M3886" s="32"/>
      <c r="N3886" s="32"/>
      <c r="O3886" s="32"/>
      <c r="P3886" s="32"/>
      <c r="Q3886" s="32"/>
      <c r="R3886" s="32"/>
      <c r="S3886" s="32"/>
      <c r="T3886" s="32"/>
      <c r="U3886" s="32"/>
      <c r="V3886" s="32"/>
      <c r="W3886" s="32"/>
      <c r="X3886" s="32"/>
      <c r="Y3886" s="32"/>
      <c r="Z3886" s="32"/>
    </row>
    <row r="3887" spans="1:26" ht="14.25" customHeight="1">
      <c r="A3887" s="36">
        <v>2</v>
      </c>
      <c r="B3887" s="12" t="s">
        <v>578</v>
      </c>
      <c r="C3887" s="10" t="s">
        <v>1005</v>
      </c>
      <c r="D3887" s="12" t="s">
        <v>233</v>
      </c>
      <c r="E3887" s="12">
        <v>2</v>
      </c>
      <c r="F3887" s="43">
        <v>435000</v>
      </c>
      <c r="G3887" s="37">
        <f t="shared" si="248"/>
        <v>870000</v>
      </c>
      <c r="H3887" s="38"/>
      <c r="I3887" s="32"/>
      <c r="J3887" s="32"/>
      <c r="K3887" s="32"/>
      <c r="L3887" s="32"/>
      <c r="M3887" s="32"/>
      <c r="N3887" s="32"/>
      <c r="O3887" s="32"/>
      <c r="P3887" s="32"/>
      <c r="Q3887" s="32"/>
      <c r="R3887" s="32"/>
      <c r="S3887" s="32"/>
      <c r="T3887" s="32"/>
      <c r="U3887" s="32"/>
      <c r="V3887" s="32"/>
      <c r="W3887" s="32"/>
      <c r="X3887" s="32"/>
      <c r="Y3887" s="32"/>
      <c r="Z3887" s="32"/>
    </row>
    <row r="3888" spans="1:26" ht="14.25" customHeight="1">
      <c r="A3888" s="36">
        <v>4</v>
      </c>
      <c r="B3888" s="39" t="s">
        <v>17</v>
      </c>
      <c r="C3888" s="38"/>
      <c r="D3888" s="38"/>
      <c r="E3888" s="38"/>
      <c r="F3888" s="60"/>
      <c r="G3888" s="37">
        <f t="shared" si="248"/>
        <v>0</v>
      </c>
      <c r="H3888" s="38"/>
      <c r="I3888" s="32"/>
      <c r="J3888" s="32"/>
      <c r="K3888" s="32"/>
      <c r="L3888" s="32"/>
      <c r="M3888" s="32"/>
      <c r="N3888" s="32"/>
      <c r="O3888" s="32"/>
      <c r="P3888" s="32"/>
      <c r="Q3888" s="32"/>
      <c r="R3888" s="32"/>
      <c r="S3888" s="32"/>
      <c r="T3888" s="32"/>
      <c r="U3888" s="32"/>
      <c r="V3888" s="32"/>
      <c r="W3888" s="32"/>
      <c r="X3888" s="32"/>
      <c r="Y3888" s="32"/>
      <c r="Z3888" s="32"/>
    </row>
    <row r="3889" spans="1:26" ht="14.25" customHeight="1">
      <c r="A3889" s="83" t="s">
        <v>18</v>
      </c>
      <c r="B3889" s="81"/>
      <c r="C3889" s="81"/>
      <c r="D3889" s="81"/>
      <c r="E3889" s="81"/>
      <c r="F3889" s="81"/>
      <c r="G3889" s="82"/>
      <c r="H3889" s="41">
        <f>SUM(G3886:G3888)</f>
        <v>1250900</v>
      </c>
      <c r="I3889" s="32"/>
      <c r="J3889" s="32"/>
      <c r="K3889" s="32"/>
      <c r="L3889" s="32"/>
      <c r="M3889" s="32"/>
      <c r="N3889" s="32"/>
      <c r="O3889" s="32"/>
      <c r="P3889" s="32"/>
      <c r="Q3889" s="32"/>
      <c r="R3889" s="32"/>
      <c r="S3889" s="32"/>
      <c r="T3889" s="32"/>
      <c r="U3889" s="32"/>
      <c r="V3889" s="32"/>
      <c r="W3889" s="32"/>
      <c r="X3889" s="32"/>
      <c r="Y3889" s="32"/>
      <c r="Z3889" s="32"/>
    </row>
    <row r="3890" spans="1:26" ht="14.25" customHeight="1">
      <c r="A3890" s="83" t="s">
        <v>19</v>
      </c>
      <c r="B3890" s="81"/>
      <c r="C3890" s="81"/>
      <c r="D3890" s="81"/>
      <c r="E3890" s="81"/>
      <c r="F3890" s="81"/>
      <c r="G3890" s="82"/>
      <c r="H3890" s="41">
        <f>MAX(0,H3889-648000)</f>
        <v>602900</v>
      </c>
      <c r="I3890" s="32"/>
      <c r="J3890" s="32"/>
      <c r="K3890" s="32"/>
      <c r="L3890" s="32"/>
      <c r="M3890" s="32"/>
      <c r="N3890" s="32"/>
      <c r="O3890" s="32"/>
      <c r="P3890" s="32"/>
      <c r="Q3890" s="32"/>
      <c r="R3890" s="32"/>
      <c r="S3890" s="32"/>
      <c r="T3890" s="32"/>
      <c r="U3890" s="32"/>
      <c r="V3890" s="32"/>
      <c r="W3890" s="32"/>
      <c r="X3890" s="32"/>
      <c r="Y3890" s="32"/>
      <c r="Z3890" s="32"/>
    </row>
    <row r="3891" spans="1:26" ht="14.25" customHeight="1">
      <c r="A3891" s="84" t="s">
        <v>20</v>
      </c>
      <c r="B3891" s="81"/>
      <c r="C3891" s="81"/>
      <c r="D3891" s="81"/>
      <c r="E3891" s="81"/>
      <c r="F3891" s="81"/>
      <c r="G3891" s="82"/>
      <c r="H3891" s="42">
        <v>649000</v>
      </c>
      <c r="I3891" s="32"/>
      <c r="J3891" s="32"/>
      <c r="K3891" s="32"/>
      <c r="L3891" s="32"/>
      <c r="M3891" s="32"/>
      <c r="N3891" s="32"/>
      <c r="O3891" s="32"/>
      <c r="P3891" s="32"/>
      <c r="Q3891" s="32"/>
      <c r="R3891" s="32"/>
      <c r="S3891" s="32"/>
      <c r="T3891" s="32"/>
      <c r="U3891" s="32"/>
      <c r="V3891" s="32"/>
      <c r="W3891" s="32"/>
      <c r="X3891" s="32"/>
      <c r="Y3891" s="32"/>
      <c r="Z3891" s="32"/>
    </row>
    <row r="3892" spans="1:26" ht="14.25" customHeight="1">
      <c r="A3892" s="80"/>
      <c r="B3892" s="81"/>
      <c r="C3892" s="81"/>
      <c r="D3892" s="81"/>
      <c r="E3892" s="81"/>
      <c r="F3892" s="81"/>
      <c r="G3892" s="81"/>
      <c r="H3892" s="82"/>
      <c r="I3892" s="32"/>
      <c r="J3892" s="32"/>
      <c r="K3892" s="32"/>
      <c r="L3892" s="32"/>
      <c r="M3892" s="32"/>
      <c r="N3892" s="32"/>
      <c r="O3892" s="32"/>
      <c r="P3892" s="32"/>
      <c r="Q3892" s="32"/>
      <c r="R3892" s="32"/>
      <c r="S3892" s="32"/>
      <c r="T3892" s="32"/>
      <c r="U3892" s="32"/>
      <c r="V3892" s="32"/>
      <c r="W3892" s="32"/>
      <c r="X3892" s="32"/>
      <c r="Y3892" s="32"/>
      <c r="Z3892" s="32"/>
    </row>
    <row r="3893" spans="1:26" ht="14.25" customHeight="1">
      <c r="I3893" s="32"/>
    </row>
    <row r="3894" spans="1:26" ht="14.25" customHeight="1">
      <c r="I3894" s="32"/>
    </row>
    <row r="3895" spans="1:26" ht="14.25" customHeight="1">
      <c r="I3895" s="32"/>
    </row>
    <row r="3896" spans="1:26" ht="14.25" customHeight="1">
      <c r="I3896" s="32"/>
    </row>
    <row r="3897" spans="1:26" ht="14.25" customHeight="1">
      <c r="I3897" s="32"/>
    </row>
    <row r="3898" spans="1:26" ht="14.25" customHeight="1">
      <c r="I3898" s="32"/>
    </row>
    <row r="3899" spans="1:26" ht="14.25" customHeight="1">
      <c r="A3899" s="80" t="s">
        <v>0</v>
      </c>
      <c r="B3899" s="81"/>
      <c r="C3899" s="81"/>
      <c r="D3899" s="81"/>
      <c r="E3899" s="81"/>
      <c r="F3899" s="81"/>
      <c r="G3899" s="81"/>
      <c r="H3899" s="82"/>
      <c r="I3899" s="32"/>
      <c r="J3899" s="32"/>
      <c r="K3899" s="32"/>
      <c r="L3899" s="32"/>
      <c r="M3899" s="32"/>
      <c r="N3899" s="32"/>
      <c r="O3899" s="32"/>
      <c r="P3899" s="32"/>
      <c r="Q3899" s="32"/>
      <c r="R3899" s="32"/>
      <c r="S3899" s="32"/>
      <c r="T3899" s="32"/>
      <c r="U3899" s="32"/>
      <c r="V3899" s="32"/>
      <c r="W3899" s="32"/>
      <c r="X3899" s="32"/>
      <c r="Y3899" s="32"/>
      <c r="Z3899" s="32"/>
    </row>
    <row r="3900" spans="1:26" ht="14.25" customHeight="1">
      <c r="A3900" s="80" t="s">
        <v>1006</v>
      </c>
      <c r="B3900" s="81"/>
      <c r="C3900" s="81"/>
      <c r="D3900" s="81"/>
      <c r="E3900" s="81"/>
      <c r="F3900" s="81"/>
      <c r="G3900" s="81"/>
      <c r="H3900" s="82"/>
      <c r="I3900" s="32"/>
      <c r="J3900" s="32"/>
      <c r="K3900" s="32"/>
      <c r="L3900" s="32"/>
      <c r="M3900" s="32"/>
      <c r="N3900" s="32"/>
      <c r="O3900" s="32"/>
      <c r="P3900" s="32"/>
      <c r="Q3900" s="32"/>
      <c r="R3900" s="32"/>
      <c r="S3900" s="32"/>
      <c r="T3900" s="32"/>
      <c r="U3900" s="32"/>
      <c r="V3900" s="32"/>
      <c r="W3900" s="32"/>
      <c r="X3900" s="32"/>
      <c r="Y3900" s="32"/>
      <c r="Z3900" s="32"/>
    </row>
    <row r="3901" spans="1:26" ht="14.25" customHeight="1">
      <c r="A3901" s="33" t="s">
        <v>2</v>
      </c>
      <c r="B3901" s="33" t="s">
        <v>3</v>
      </c>
      <c r="C3901" s="33" t="s">
        <v>4</v>
      </c>
      <c r="D3901" s="33" t="s">
        <v>5</v>
      </c>
      <c r="E3901" s="33" t="s">
        <v>6</v>
      </c>
      <c r="F3901" s="34" t="s">
        <v>7</v>
      </c>
      <c r="G3901" s="33" t="s">
        <v>8</v>
      </c>
      <c r="H3901" s="35"/>
      <c r="I3901" s="32"/>
      <c r="J3901" s="32"/>
      <c r="K3901" s="32"/>
      <c r="L3901" s="32"/>
      <c r="M3901" s="32"/>
      <c r="N3901" s="32"/>
      <c r="O3901" s="32"/>
      <c r="P3901" s="32"/>
      <c r="Q3901" s="32"/>
      <c r="R3901" s="32"/>
      <c r="S3901" s="32"/>
      <c r="T3901" s="32"/>
      <c r="U3901" s="32"/>
      <c r="V3901" s="32"/>
      <c r="W3901" s="32"/>
      <c r="X3901" s="32"/>
      <c r="Y3901" s="32"/>
      <c r="Z3901" s="32"/>
    </row>
    <row r="3902" spans="1:26" ht="14.25" customHeight="1">
      <c r="A3902" s="36">
        <v>1</v>
      </c>
      <c r="B3902" s="18" t="s">
        <v>571</v>
      </c>
      <c r="C3902" s="5" t="s">
        <v>1007</v>
      </c>
      <c r="D3902" s="18" t="s">
        <v>11</v>
      </c>
      <c r="E3902" s="18">
        <v>1.48</v>
      </c>
      <c r="F3902" s="6">
        <v>293000</v>
      </c>
      <c r="G3902" s="37">
        <f t="shared" ref="G3902:G3904" si="249">IFERROR(E3902*F3902,0)</f>
        <v>433640</v>
      </c>
      <c r="H3902" s="38"/>
      <c r="I3902" s="32"/>
      <c r="J3902" s="32"/>
      <c r="K3902" s="32"/>
      <c r="L3902" s="32"/>
      <c r="M3902" s="32"/>
      <c r="N3902" s="32"/>
      <c r="O3902" s="32"/>
      <c r="P3902" s="32"/>
      <c r="Q3902" s="32"/>
      <c r="R3902" s="32"/>
      <c r="S3902" s="32"/>
      <c r="T3902" s="32"/>
      <c r="U3902" s="32"/>
      <c r="V3902" s="32"/>
      <c r="W3902" s="32"/>
      <c r="X3902" s="32"/>
      <c r="Y3902" s="32"/>
      <c r="Z3902" s="32"/>
    </row>
    <row r="3903" spans="1:26" ht="14.25" customHeight="1">
      <c r="A3903" s="36">
        <v>2</v>
      </c>
      <c r="B3903" s="12" t="s">
        <v>33</v>
      </c>
      <c r="C3903" s="10" t="s">
        <v>1008</v>
      </c>
      <c r="D3903" s="12" t="s">
        <v>14</v>
      </c>
      <c r="E3903" s="12">
        <v>2</v>
      </c>
      <c r="F3903" s="43">
        <v>435000</v>
      </c>
      <c r="G3903" s="37">
        <f t="shared" si="249"/>
        <v>870000</v>
      </c>
      <c r="H3903" s="38"/>
      <c r="I3903" s="32"/>
      <c r="J3903" s="32"/>
      <c r="K3903" s="32"/>
      <c r="L3903" s="32"/>
      <c r="M3903" s="32"/>
      <c r="N3903" s="32"/>
      <c r="O3903" s="32"/>
      <c r="P3903" s="32"/>
      <c r="Q3903" s="32"/>
      <c r="R3903" s="32"/>
      <c r="S3903" s="32"/>
      <c r="T3903" s="32"/>
      <c r="U3903" s="32"/>
      <c r="V3903" s="32"/>
      <c r="W3903" s="32"/>
      <c r="X3903" s="32"/>
      <c r="Y3903" s="32"/>
      <c r="Z3903" s="32"/>
    </row>
    <row r="3904" spans="1:26" ht="14.25" customHeight="1">
      <c r="A3904" s="36">
        <v>4</v>
      </c>
      <c r="B3904" s="39" t="s">
        <v>17</v>
      </c>
      <c r="C3904" s="38"/>
      <c r="D3904" s="38"/>
      <c r="E3904" s="38"/>
      <c r="F3904" s="60"/>
      <c r="G3904" s="37">
        <f t="shared" si="249"/>
        <v>0</v>
      </c>
      <c r="H3904" s="38"/>
      <c r="I3904" s="32"/>
      <c r="J3904" s="32"/>
      <c r="K3904" s="32"/>
      <c r="L3904" s="32"/>
      <c r="M3904" s="32"/>
      <c r="N3904" s="32"/>
      <c r="O3904" s="32"/>
      <c r="P3904" s="32"/>
      <c r="Q3904" s="32"/>
      <c r="R3904" s="32"/>
      <c r="S3904" s="32"/>
      <c r="T3904" s="32"/>
      <c r="U3904" s="32"/>
      <c r="V3904" s="32"/>
      <c r="W3904" s="32"/>
      <c r="X3904" s="32"/>
      <c r="Y3904" s="32"/>
      <c r="Z3904" s="32"/>
    </row>
    <row r="3905" spans="1:26" ht="14.25" customHeight="1">
      <c r="A3905" s="83" t="s">
        <v>18</v>
      </c>
      <c r="B3905" s="81"/>
      <c r="C3905" s="81"/>
      <c r="D3905" s="81"/>
      <c r="E3905" s="81"/>
      <c r="F3905" s="81"/>
      <c r="G3905" s="82"/>
      <c r="H3905" s="41">
        <f>SUM(G3902:G3904)</f>
        <v>1303640</v>
      </c>
      <c r="I3905" s="32"/>
      <c r="J3905" s="32"/>
      <c r="K3905" s="32"/>
      <c r="L3905" s="32"/>
      <c r="M3905" s="32"/>
      <c r="N3905" s="32"/>
      <c r="O3905" s="32"/>
      <c r="P3905" s="32"/>
      <c r="Q3905" s="32"/>
      <c r="R3905" s="32"/>
      <c r="S3905" s="32"/>
      <c r="T3905" s="32"/>
      <c r="U3905" s="32"/>
      <c r="V3905" s="32"/>
      <c r="W3905" s="32"/>
      <c r="X3905" s="32"/>
      <c r="Y3905" s="32"/>
      <c r="Z3905" s="32"/>
    </row>
    <row r="3906" spans="1:26" ht="14.25" customHeight="1">
      <c r="A3906" s="83" t="s">
        <v>19</v>
      </c>
      <c r="B3906" s="81"/>
      <c r="C3906" s="81"/>
      <c r="D3906" s="81"/>
      <c r="E3906" s="81"/>
      <c r="F3906" s="81"/>
      <c r="G3906" s="82"/>
      <c r="H3906" s="41">
        <f>MAX(0,H3905-648000)</f>
        <v>655640</v>
      </c>
      <c r="I3906" s="32"/>
      <c r="J3906" s="32"/>
      <c r="K3906" s="32"/>
      <c r="L3906" s="32"/>
      <c r="M3906" s="32"/>
      <c r="N3906" s="32"/>
      <c r="O3906" s="32"/>
      <c r="P3906" s="32"/>
      <c r="Q3906" s="32"/>
      <c r="R3906" s="32"/>
      <c r="S3906" s="32"/>
      <c r="T3906" s="32"/>
      <c r="U3906" s="32"/>
      <c r="V3906" s="32"/>
      <c r="W3906" s="32"/>
      <c r="X3906" s="32"/>
      <c r="Y3906" s="32"/>
      <c r="Z3906" s="32"/>
    </row>
    <row r="3907" spans="1:26" ht="14.25" customHeight="1">
      <c r="A3907" s="84" t="s">
        <v>20</v>
      </c>
      <c r="B3907" s="81"/>
      <c r="C3907" s="81"/>
      <c r="D3907" s="81"/>
      <c r="E3907" s="81"/>
      <c r="F3907" s="81"/>
      <c r="G3907" s="82"/>
      <c r="H3907" s="42">
        <v>649000</v>
      </c>
      <c r="I3907" s="32"/>
      <c r="J3907" s="32"/>
      <c r="K3907" s="32"/>
      <c r="L3907" s="32"/>
      <c r="M3907" s="32"/>
      <c r="N3907" s="32"/>
      <c r="O3907" s="32"/>
      <c r="P3907" s="32"/>
      <c r="Q3907" s="32"/>
      <c r="R3907" s="32"/>
      <c r="S3907" s="32"/>
      <c r="T3907" s="32"/>
      <c r="U3907" s="32"/>
      <c r="V3907" s="32"/>
      <c r="W3907" s="32"/>
      <c r="X3907" s="32"/>
      <c r="Y3907" s="32"/>
      <c r="Z3907" s="32"/>
    </row>
    <row r="3908" spans="1:26" ht="14.25" customHeight="1">
      <c r="A3908" s="80"/>
      <c r="B3908" s="81"/>
      <c r="C3908" s="81"/>
      <c r="D3908" s="81"/>
      <c r="E3908" s="81"/>
      <c r="F3908" s="81"/>
      <c r="G3908" s="81"/>
      <c r="H3908" s="82"/>
      <c r="I3908" s="32"/>
      <c r="J3908" s="32"/>
      <c r="K3908" s="32"/>
      <c r="L3908" s="32"/>
      <c r="M3908" s="32"/>
      <c r="N3908" s="32"/>
      <c r="O3908" s="32"/>
      <c r="P3908" s="32"/>
      <c r="Q3908" s="32"/>
      <c r="R3908" s="32"/>
      <c r="S3908" s="32"/>
      <c r="T3908" s="32"/>
      <c r="U3908" s="32"/>
      <c r="V3908" s="32"/>
      <c r="W3908" s="32"/>
      <c r="X3908" s="32"/>
      <c r="Y3908" s="32"/>
      <c r="Z3908" s="32"/>
    </row>
    <row r="3909" spans="1:26" ht="14.25" customHeight="1">
      <c r="I3909" s="32"/>
    </row>
    <row r="3910" spans="1:26" ht="14.25" customHeight="1">
      <c r="I3910" s="32"/>
    </row>
    <row r="3911" spans="1:26" ht="14.25" customHeight="1">
      <c r="I3911" s="32"/>
    </row>
    <row r="3912" spans="1:26" ht="14.25" customHeight="1">
      <c r="I3912" s="32"/>
    </row>
    <row r="3913" spans="1:26" ht="14.25" customHeight="1">
      <c r="I3913" s="32"/>
    </row>
    <row r="3914" spans="1:26" ht="14.25" customHeight="1">
      <c r="A3914" s="80" t="s">
        <v>0</v>
      </c>
      <c r="B3914" s="81"/>
      <c r="C3914" s="81"/>
      <c r="D3914" s="81"/>
      <c r="E3914" s="81"/>
      <c r="F3914" s="81"/>
      <c r="G3914" s="81"/>
      <c r="H3914" s="82"/>
      <c r="I3914" s="32"/>
      <c r="J3914" s="32"/>
      <c r="K3914" s="32"/>
      <c r="L3914" s="32"/>
      <c r="M3914" s="32"/>
      <c r="N3914" s="32"/>
      <c r="O3914" s="32"/>
      <c r="P3914" s="32"/>
      <c r="Q3914" s="32"/>
      <c r="R3914" s="32"/>
      <c r="S3914" s="32"/>
      <c r="T3914" s="32"/>
      <c r="U3914" s="32"/>
      <c r="V3914" s="32"/>
      <c r="W3914" s="32"/>
      <c r="X3914" s="32"/>
      <c r="Y3914" s="32"/>
      <c r="Z3914" s="32"/>
    </row>
    <row r="3915" spans="1:26" ht="14.25" customHeight="1">
      <c r="A3915" s="80" t="s">
        <v>1009</v>
      </c>
      <c r="B3915" s="81"/>
      <c r="C3915" s="81"/>
      <c r="D3915" s="81"/>
      <c r="E3915" s="81"/>
      <c r="F3915" s="81"/>
      <c r="G3915" s="81"/>
      <c r="H3915" s="82"/>
      <c r="I3915" s="32"/>
      <c r="J3915" s="32"/>
      <c r="K3915" s="32"/>
      <c r="L3915" s="32"/>
      <c r="M3915" s="32"/>
      <c r="N3915" s="32"/>
      <c r="O3915" s="32"/>
      <c r="P3915" s="32"/>
      <c r="Q3915" s="32"/>
      <c r="R3915" s="32"/>
      <c r="S3915" s="32"/>
      <c r="T3915" s="32"/>
      <c r="U3915" s="32"/>
      <c r="V3915" s="32"/>
      <c r="W3915" s="32"/>
      <c r="X3915" s="32"/>
      <c r="Y3915" s="32"/>
      <c r="Z3915" s="32"/>
    </row>
    <row r="3916" spans="1:26" ht="14.25" customHeight="1">
      <c r="A3916" s="33" t="s">
        <v>2</v>
      </c>
      <c r="B3916" s="33" t="s">
        <v>3</v>
      </c>
      <c r="C3916" s="33" t="s">
        <v>4</v>
      </c>
      <c r="D3916" s="33" t="s">
        <v>5</v>
      </c>
      <c r="E3916" s="33" t="s">
        <v>6</v>
      </c>
      <c r="F3916" s="34" t="s">
        <v>7</v>
      </c>
      <c r="G3916" s="33" t="s">
        <v>8</v>
      </c>
      <c r="H3916" s="35"/>
      <c r="I3916" s="32"/>
      <c r="J3916" s="32"/>
      <c r="K3916" s="32"/>
      <c r="L3916" s="32"/>
      <c r="M3916" s="32"/>
      <c r="N3916" s="32"/>
      <c r="O3916" s="32"/>
      <c r="P3916" s="32"/>
      <c r="Q3916" s="32"/>
      <c r="R3916" s="32"/>
      <c r="S3916" s="32"/>
      <c r="T3916" s="32"/>
      <c r="U3916" s="32"/>
      <c r="V3916" s="32"/>
      <c r="W3916" s="32"/>
      <c r="X3916" s="32"/>
      <c r="Y3916" s="32"/>
      <c r="Z3916" s="32"/>
    </row>
    <row r="3917" spans="1:26" ht="14.25" customHeight="1">
      <c r="A3917" s="36">
        <v>1</v>
      </c>
      <c r="B3917" s="18" t="s">
        <v>578</v>
      </c>
      <c r="C3917" s="5" t="s">
        <v>1010</v>
      </c>
      <c r="D3917" s="18" t="s">
        <v>413</v>
      </c>
      <c r="E3917" s="18">
        <v>1.6</v>
      </c>
      <c r="F3917" s="6">
        <v>293000</v>
      </c>
      <c r="G3917" s="37">
        <f t="shared" ref="G3917:G3919" si="250">IFERROR(E3917*F3917,0)</f>
        <v>468800</v>
      </c>
      <c r="H3917" s="38"/>
      <c r="I3917" s="32"/>
      <c r="J3917" s="32"/>
      <c r="K3917" s="32"/>
      <c r="L3917" s="32"/>
      <c r="M3917" s="32"/>
      <c r="N3917" s="32"/>
      <c r="O3917" s="32"/>
      <c r="P3917" s="32"/>
      <c r="Q3917" s="32"/>
      <c r="R3917" s="32"/>
      <c r="S3917" s="32"/>
      <c r="T3917" s="32"/>
      <c r="U3917" s="32"/>
      <c r="V3917" s="32"/>
      <c r="W3917" s="32"/>
      <c r="X3917" s="32"/>
      <c r="Y3917" s="32"/>
      <c r="Z3917" s="32"/>
    </row>
    <row r="3918" spans="1:26" ht="14.25" customHeight="1">
      <c r="A3918" s="36">
        <v>2</v>
      </c>
      <c r="B3918" s="12" t="s">
        <v>33</v>
      </c>
      <c r="C3918" s="10" t="s">
        <v>1011</v>
      </c>
      <c r="D3918" s="12" t="s">
        <v>233</v>
      </c>
      <c r="E3918" s="12">
        <v>1.64</v>
      </c>
      <c r="F3918" s="43">
        <v>435000</v>
      </c>
      <c r="G3918" s="37">
        <f t="shared" si="250"/>
        <v>713400</v>
      </c>
      <c r="H3918" s="38"/>
      <c r="I3918" s="32"/>
      <c r="J3918" s="32"/>
      <c r="K3918" s="32"/>
      <c r="L3918" s="32"/>
      <c r="M3918" s="32"/>
      <c r="N3918" s="32"/>
      <c r="O3918" s="32"/>
      <c r="P3918" s="32"/>
      <c r="Q3918" s="32"/>
      <c r="R3918" s="32"/>
      <c r="S3918" s="32"/>
      <c r="T3918" s="32"/>
      <c r="U3918" s="32"/>
      <c r="V3918" s="32"/>
      <c r="W3918" s="32"/>
      <c r="X3918" s="32"/>
      <c r="Y3918" s="32"/>
      <c r="Z3918" s="32"/>
    </row>
    <row r="3919" spans="1:26" ht="14.25" customHeight="1">
      <c r="A3919" s="36">
        <v>4</v>
      </c>
      <c r="B3919" s="39" t="s">
        <v>17</v>
      </c>
      <c r="C3919" s="38"/>
      <c r="D3919" s="38"/>
      <c r="E3919" s="38"/>
      <c r="F3919" s="60"/>
      <c r="G3919" s="37">
        <f t="shared" si="250"/>
        <v>0</v>
      </c>
      <c r="H3919" s="38"/>
      <c r="I3919" s="32"/>
      <c r="J3919" s="32"/>
      <c r="K3919" s="32"/>
      <c r="L3919" s="32"/>
      <c r="M3919" s="32"/>
      <c r="N3919" s="32"/>
      <c r="O3919" s="32"/>
      <c r="P3919" s="32"/>
      <c r="Q3919" s="32"/>
      <c r="R3919" s="32"/>
      <c r="S3919" s="32"/>
      <c r="T3919" s="32"/>
      <c r="U3919" s="32"/>
      <c r="V3919" s="32"/>
      <c r="W3919" s="32"/>
      <c r="X3919" s="32"/>
      <c r="Y3919" s="32"/>
      <c r="Z3919" s="32"/>
    </row>
    <row r="3920" spans="1:26" ht="14.25" customHeight="1">
      <c r="A3920" s="83" t="s">
        <v>18</v>
      </c>
      <c r="B3920" s="81"/>
      <c r="C3920" s="81"/>
      <c r="D3920" s="81"/>
      <c r="E3920" s="81"/>
      <c r="F3920" s="81"/>
      <c r="G3920" s="82"/>
      <c r="H3920" s="41">
        <f>SUM(G3917:G3919)</f>
        <v>1182200</v>
      </c>
      <c r="I3920" s="32"/>
      <c r="J3920" s="32"/>
      <c r="K3920" s="32"/>
      <c r="L3920" s="32"/>
      <c r="M3920" s="32"/>
      <c r="N3920" s="32"/>
      <c r="O3920" s="32"/>
      <c r="P3920" s="32"/>
      <c r="Q3920" s="32"/>
      <c r="R3920" s="32"/>
      <c r="S3920" s="32"/>
      <c r="T3920" s="32"/>
      <c r="U3920" s="32"/>
      <c r="V3920" s="32"/>
      <c r="W3920" s="32"/>
      <c r="X3920" s="32"/>
      <c r="Y3920" s="32"/>
      <c r="Z3920" s="32"/>
    </row>
    <row r="3921" spans="1:26" ht="14.25" customHeight="1">
      <c r="A3921" s="83" t="s">
        <v>19</v>
      </c>
      <c r="B3921" s="81"/>
      <c r="C3921" s="81"/>
      <c r="D3921" s="81"/>
      <c r="E3921" s="81"/>
      <c r="F3921" s="81"/>
      <c r="G3921" s="82"/>
      <c r="H3921" s="41">
        <f>MAX(0,H3920-648000)</f>
        <v>534200</v>
      </c>
      <c r="I3921" s="32"/>
      <c r="J3921" s="32"/>
      <c r="K3921" s="32"/>
      <c r="L3921" s="32"/>
      <c r="M3921" s="32"/>
      <c r="N3921" s="32"/>
      <c r="O3921" s="32"/>
      <c r="P3921" s="32"/>
      <c r="Q3921" s="32"/>
      <c r="R3921" s="32"/>
      <c r="S3921" s="32"/>
      <c r="T3921" s="32"/>
      <c r="U3921" s="32"/>
      <c r="V3921" s="32"/>
      <c r="W3921" s="32"/>
      <c r="X3921" s="32"/>
      <c r="Y3921" s="32"/>
      <c r="Z3921" s="32"/>
    </row>
    <row r="3922" spans="1:26" ht="14.25" customHeight="1">
      <c r="A3922" s="84" t="s">
        <v>20</v>
      </c>
      <c r="B3922" s="81"/>
      <c r="C3922" s="81"/>
      <c r="D3922" s="81"/>
      <c r="E3922" s="81"/>
      <c r="F3922" s="81"/>
      <c r="G3922" s="82"/>
      <c r="H3922" s="42">
        <v>649000</v>
      </c>
      <c r="I3922" s="32"/>
      <c r="J3922" s="32"/>
      <c r="K3922" s="32"/>
      <c r="L3922" s="32"/>
      <c r="M3922" s="32"/>
      <c r="N3922" s="32"/>
      <c r="O3922" s="32"/>
      <c r="P3922" s="32"/>
      <c r="Q3922" s="32"/>
      <c r="R3922" s="32"/>
      <c r="S3922" s="32"/>
      <c r="T3922" s="32"/>
      <c r="U3922" s="32"/>
      <c r="V3922" s="32"/>
      <c r="W3922" s="32"/>
      <c r="X3922" s="32"/>
      <c r="Y3922" s="32"/>
      <c r="Z3922" s="32"/>
    </row>
    <row r="3923" spans="1:26" ht="14.25" customHeight="1">
      <c r="A3923" s="80"/>
      <c r="B3923" s="81"/>
      <c r="C3923" s="81"/>
      <c r="D3923" s="81"/>
      <c r="E3923" s="81"/>
      <c r="F3923" s="81"/>
      <c r="G3923" s="81"/>
      <c r="H3923" s="82"/>
      <c r="I3923" s="32"/>
      <c r="J3923" s="32"/>
      <c r="K3923" s="32"/>
      <c r="L3923" s="32"/>
      <c r="M3923" s="32"/>
      <c r="N3923" s="32"/>
      <c r="O3923" s="32"/>
      <c r="P3923" s="32"/>
      <c r="Q3923" s="32"/>
      <c r="R3923" s="32"/>
      <c r="S3923" s="32"/>
      <c r="T3923" s="32"/>
      <c r="U3923" s="32"/>
      <c r="V3923" s="32"/>
      <c r="W3923" s="32"/>
      <c r="X3923" s="32"/>
      <c r="Y3923" s="32"/>
      <c r="Z3923" s="32"/>
    </row>
    <row r="3924" spans="1:26" ht="14.25" customHeight="1">
      <c r="I3924" s="32"/>
    </row>
    <row r="3925" spans="1:26" ht="14.25" customHeight="1">
      <c r="I3925" s="32"/>
    </row>
    <row r="3926" spans="1:26" ht="14.25" customHeight="1">
      <c r="I3926" s="32"/>
    </row>
    <row r="3927" spans="1:26" ht="14.25" customHeight="1">
      <c r="I3927" s="32"/>
    </row>
    <row r="3928" spans="1:26" ht="14.25" customHeight="1">
      <c r="I3928" s="32"/>
    </row>
    <row r="3929" spans="1:26" ht="14.25" customHeight="1">
      <c r="I3929" s="32"/>
    </row>
    <row r="3930" spans="1:26" ht="14.25" customHeight="1">
      <c r="A3930" s="80" t="s">
        <v>0</v>
      </c>
      <c r="B3930" s="81"/>
      <c r="C3930" s="81"/>
      <c r="D3930" s="81"/>
      <c r="E3930" s="81"/>
      <c r="F3930" s="81"/>
      <c r="G3930" s="81"/>
      <c r="H3930" s="82"/>
      <c r="I3930" s="32"/>
      <c r="J3930" s="32"/>
      <c r="K3930" s="32"/>
      <c r="L3930" s="32"/>
      <c r="M3930" s="32"/>
      <c r="N3930" s="32"/>
      <c r="O3930" s="32"/>
      <c r="P3930" s="32"/>
      <c r="Q3930" s="32"/>
      <c r="R3930" s="32"/>
      <c r="S3930" s="32"/>
      <c r="T3930" s="32"/>
      <c r="U3930" s="32"/>
      <c r="V3930" s="32"/>
      <c r="W3930" s="32"/>
      <c r="X3930" s="32"/>
      <c r="Y3930" s="32"/>
      <c r="Z3930" s="32"/>
    </row>
    <row r="3931" spans="1:26" ht="14.25" customHeight="1">
      <c r="A3931" s="80" t="s">
        <v>1012</v>
      </c>
      <c r="B3931" s="81"/>
      <c r="C3931" s="81"/>
      <c r="D3931" s="81"/>
      <c r="E3931" s="81"/>
      <c r="F3931" s="81"/>
      <c r="G3931" s="81"/>
      <c r="H3931" s="82"/>
      <c r="I3931" s="32"/>
      <c r="J3931" s="32"/>
      <c r="K3931" s="32"/>
      <c r="L3931" s="32"/>
      <c r="M3931" s="32"/>
      <c r="N3931" s="32"/>
      <c r="O3931" s="32"/>
      <c r="P3931" s="32"/>
      <c r="Q3931" s="32"/>
      <c r="R3931" s="32"/>
      <c r="S3931" s="32"/>
      <c r="T3931" s="32"/>
      <c r="U3931" s="32"/>
      <c r="V3931" s="32"/>
      <c r="W3931" s="32"/>
      <c r="X3931" s="32"/>
      <c r="Y3931" s="32"/>
      <c r="Z3931" s="32"/>
    </row>
    <row r="3932" spans="1:26" ht="14.25" customHeight="1">
      <c r="A3932" s="33" t="s">
        <v>2</v>
      </c>
      <c r="B3932" s="33" t="s">
        <v>3</v>
      </c>
      <c r="C3932" s="33" t="s">
        <v>4</v>
      </c>
      <c r="D3932" s="33" t="s">
        <v>5</v>
      </c>
      <c r="E3932" s="33" t="s">
        <v>6</v>
      </c>
      <c r="F3932" s="34" t="s">
        <v>7</v>
      </c>
      <c r="G3932" s="33" t="s">
        <v>8</v>
      </c>
      <c r="H3932" s="35"/>
      <c r="I3932" s="32"/>
      <c r="J3932" s="32"/>
      <c r="K3932" s="32"/>
      <c r="L3932" s="32"/>
      <c r="M3932" s="32"/>
      <c r="N3932" s="32"/>
      <c r="O3932" s="32"/>
      <c r="P3932" s="32"/>
      <c r="Q3932" s="32"/>
      <c r="R3932" s="32"/>
      <c r="S3932" s="32"/>
      <c r="T3932" s="32"/>
      <c r="U3932" s="32"/>
      <c r="V3932" s="32"/>
      <c r="W3932" s="32"/>
      <c r="X3932" s="32"/>
      <c r="Y3932" s="32"/>
      <c r="Z3932" s="32"/>
    </row>
    <row r="3933" spans="1:26" ht="14.25" customHeight="1">
      <c r="A3933" s="36">
        <v>1</v>
      </c>
      <c r="B3933" s="18" t="s">
        <v>1013</v>
      </c>
      <c r="C3933" s="5" t="s">
        <v>1014</v>
      </c>
      <c r="D3933" s="18" t="s">
        <v>11</v>
      </c>
      <c r="E3933" s="18">
        <v>1.65</v>
      </c>
      <c r="F3933" s="6">
        <v>293000</v>
      </c>
      <c r="G3933" s="37">
        <f t="shared" ref="G3933:G3934" si="251">IFERROR(E3933*F3933,0)</f>
        <v>483450</v>
      </c>
      <c r="H3933" s="38"/>
      <c r="I3933" s="32"/>
      <c r="J3933" s="32"/>
      <c r="K3933" s="32"/>
      <c r="L3933" s="32"/>
      <c r="M3933" s="32"/>
      <c r="N3933" s="32"/>
      <c r="O3933" s="32"/>
      <c r="P3933" s="32"/>
      <c r="Q3933" s="32"/>
      <c r="R3933" s="32"/>
      <c r="S3933" s="32"/>
      <c r="T3933" s="32"/>
      <c r="U3933" s="32"/>
      <c r="V3933" s="32"/>
      <c r="W3933" s="32"/>
      <c r="X3933" s="32"/>
      <c r="Y3933" s="32"/>
      <c r="Z3933" s="32"/>
    </row>
    <row r="3934" spans="1:26" ht="14.25" customHeight="1">
      <c r="A3934" s="36">
        <v>2</v>
      </c>
      <c r="B3934" s="12" t="s">
        <v>279</v>
      </c>
      <c r="C3934" s="10" t="s">
        <v>1015</v>
      </c>
      <c r="D3934" s="12" t="s">
        <v>233</v>
      </c>
      <c r="E3934" s="12">
        <v>1.78</v>
      </c>
      <c r="F3934" s="43">
        <v>435000</v>
      </c>
      <c r="G3934" s="37">
        <f t="shared" si="251"/>
        <v>774300</v>
      </c>
      <c r="H3934" s="38"/>
      <c r="I3934" s="32"/>
      <c r="J3934" s="32"/>
      <c r="K3934" s="32"/>
      <c r="L3934" s="32"/>
      <c r="M3934" s="32"/>
      <c r="N3934" s="32"/>
      <c r="O3934" s="32"/>
      <c r="P3934" s="32"/>
      <c r="Q3934" s="32"/>
      <c r="R3934" s="32"/>
      <c r="S3934" s="32"/>
      <c r="T3934" s="32"/>
      <c r="U3934" s="32"/>
      <c r="V3934" s="32"/>
      <c r="W3934" s="32"/>
      <c r="X3934" s="32"/>
      <c r="Y3934" s="32"/>
      <c r="Z3934" s="32"/>
    </row>
    <row r="3935" spans="1:26" ht="14.25" customHeight="1">
      <c r="A3935" s="36">
        <v>4</v>
      </c>
      <c r="B3935" s="39" t="s">
        <v>17</v>
      </c>
      <c r="C3935" s="38"/>
      <c r="D3935" s="38"/>
      <c r="F3935" s="60"/>
      <c r="G3935" s="37">
        <f>IFERROR(B3949*F3935,0)</f>
        <v>0</v>
      </c>
      <c r="H3935" s="38"/>
      <c r="I3935" s="32"/>
      <c r="J3935" s="32"/>
      <c r="K3935" s="32"/>
      <c r="L3935" s="32"/>
      <c r="M3935" s="32"/>
      <c r="N3935" s="32"/>
      <c r="O3935" s="32"/>
      <c r="P3935" s="32"/>
      <c r="Q3935" s="32"/>
      <c r="R3935" s="32"/>
      <c r="S3935" s="32"/>
      <c r="T3935" s="32"/>
      <c r="U3935" s="32"/>
      <c r="V3935" s="32"/>
      <c r="W3935" s="32"/>
      <c r="X3935" s="32"/>
      <c r="Y3935" s="32"/>
      <c r="Z3935" s="32"/>
    </row>
    <row r="3936" spans="1:26" ht="14.25" customHeight="1">
      <c r="A3936" s="83" t="s">
        <v>18</v>
      </c>
      <c r="B3936" s="81"/>
      <c r="C3936" s="81"/>
      <c r="D3936" s="81"/>
      <c r="E3936" s="81"/>
      <c r="F3936" s="81"/>
      <c r="G3936" s="82"/>
      <c r="H3936" s="41">
        <f>SUM(G3933:G3935)</f>
        <v>1257750</v>
      </c>
      <c r="I3936" s="32"/>
      <c r="J3936" s="32"/>
      <c r="K3936" s="32"/>
      <c r="L3936" s="32"/>
      <c r="M3936" s="32"/>
      <c r="N3936" s="32"/>
      <c r="O3936" s="32"/>
      <c r="P3936" s="32"/>
      <c r="Q3936" s="32"/>
      <c r="R3936" s="32"/>
      <c r="S3936" s="32"/>
      <c r="T3936" s="32"/>
      <c r="U3936" s="32"/>
      <c r="V3936" s="32"/>
      <c r="W3936" s="32"/>
      <c r="X3936" s="32"/>
      <c r="Y3936" s="32"/>
      <c r="Z3936" s="32"/>
    </row>
    <row r="3937" spans="1:26" ht="14.25" customHeight="1">
      <c r="A3937" s="83" t="s">
        <v>19</v>
      </c>
      <c r="B3937" s="81"/>
      <c r="C3937" s="81"/>
      <c r="D3937" s="81"/>
      <c r="E3937" s="81"/>
      <c r="F3937" s="81"/>
      <c r="G3937" s="82"/>
      <c r="H3937" s="41">
        <f>MAX(0,H3936-648000)</f>
        <v>609750</v>
      </c>
      <c r="I3937" s="32"/>
      <c r="J3937" s="32"/>
      <c r="K3937" s="32"/>
      <c r="L3937" s="32"/>
      <c r="M3937" s="32"/>
      <c r="N3937" s="32"/>
      <c r="O3937" s="32"/>
      <c r="P3937" s="32"/>
      <c r="Q3937" s="32"/>
      <c r="R3937" s="32"/>
      <c r="S3937" s="32"/>
      <c r="T3937" s="32"/>
      <c r="U3937" s="32"/>
      <c r="V3937" s="32"/>
      <c r="W3937" s="32"/>
      <c r="X3937" s="32"/>
      <c r="Y3937" s="32"/>
      <c r="Z3937" s="32"/>
    </row>
    <row r="3938" spans="1:26" ht="14.25" customHeight="1">
      <c r="A3938" s="84" t="s">
        <v>20</v>
      </c>
      <c r="B3938" s="81"/>
      <c r="C3938" s="81"/>
      <c r="D3938" s="81"/>
      <c r="E3938" s="81"/>
      <c r="F3938" s="81"/>
      <c r="G3938" s="82"/>
      <c r="H3938" s="42">
        <v>649000</v>
      </c>
      <c r="I3938" s="32"/>
      <c r="J3938" s="32"/>
      <c r="K3938" s="32"/>
      <c r="L3938" s="32"/>
      <c r="M3938" s="32"/>
      <c r="N3938" s="32"/>
      <c r="O3938" s="32"/>
      <c r="P3938" s="32"/>
      <c r="Q3938" s="32"/>
      <c r="R3938" s="32"/>
      <c r="S3938" s="32"/>
      <c r="T3938" s="32"/>
      <c r="U3938" s="32"/>
      <c r="V3938" s="32"/>
      <c r="W3938" s="32"/>
      <c r="X3938" s="32"/>
      <c r="Y3938" s="32"/>
      <c r="Z3938" s="32"/>
    </row>
    <row r="3939" spans="1:26" ht="14.25" customHeight="1">
      <c r="A3939" s="80"/>
      <c r="B3939" s="81"/>
      <c r="C3939" s="81"/>
      <c r="D3939" s="81"/>
      <c r="E3939" s="81"/>
      <c r="F3939" s="81"/>
      <c r="G3939" s="81"/>
      <c r="H3939" s="82"/>
      <c r="I3939" s="32"/>
      <c r="J3939" s="32"/>
      <c r="K3939" s="32"/>
      <c r="L3939" s="32"/>
      <c r="M3939" s="32"/>
      <c r="N3939" s="32"/>
      <c r="O3939" s="32"/>
      <c r="P3939" s="32"/>
      <c r="Q3939" s="32"/>
      <c r="R3939" s="32"/>
      <c r="S3939" s="32"/>
      <c r="T3939" s="32"/>
      <c r="U3939" s="32"/>
      <c r="V3939" s="32"/>
      <c r="W3939" s="32"/>
      <c r="X3939" s="32"/>
      <c r="Y3939" s="32"/>
      <c r="Z3939" s="32"/>
    </row>
    <row r="3940" spans="1:26" ht="14.25" customHeight="1">
      <c r="I3940" s="32"/>
    </row>
    <row r="3941" spans="1:26" ht="14.25" customHeight="1">
      <c r="I3941" s="32"/>
    </row>
    <row r="3942" spans="1:26" ht="14.25" customHeight="1">
      <c r="I3942" s="32"/>
    </row>
    <row r="3943" spans="1:26" ht="14.25" customHeight="1">
      <c r="I3943" s="32"/>
    </row>
    <row r="3944" spans="1:26" ht="14.25" customHeight="1">
      <c r="I3944" s="32"/>
    </row>
    <row r="3945" spans="1:26" ht="14.25" customHeight="1">
      <c r="I3945" s="32"/>
    </row>
    <row r="3946" spans="1:26" ht="14.25" customHeight="1">
      <c r="A3946" s="80" t="s">
        <v>0</v>
      </c>
      <c r="B3946" s="81"/>
      <c r="C3946" s="81"/>
      <c r="D3946" s="81"/>
      <c r="E3946" s="81"/>
      <c r="F3946" s="81"/>
      <c r="G3946" s="81"/>
      <c r="H3946" s="82"/>
      <c r="I3946" s="32"/>
      <c r="J3946" s="32"/>
      <c r="K3946" s="32"/>
      <c r="L3946" s="32"/>
      <c r="M3946" s="32"/>
      <c r="N3946" s="32"/>
      <c r="O3946" s="32"/>
      <c r="P3946" s="32"/>
      <c r="Q3946" s="32"/>
      <c r="R3946" s="32"/>
      <c r="S3946" s="32"/>
      <c r="T3946" s="32"/>
      <c r="U3946" s="32"/>
      <c r="V3946" s="32"/>
      <c r="W3946" s="32"/>
      <c r="X3946" s="32"/>
      <c r="Y3946" s="32"/>
      <c r="Z3946" s="32"/>
    </row>
    <row r="3947" spans="1:26" ht="14.25" customHeight="1">
      <c r="A3947" s="80" t="s">
        <v>1016</v>
      </c>
      <c r="B3947" s="81"/>
      <c r="C3947" s="81"/>
      <c r="D3947" s="81"/>
      <c r="E3947" s="81"/>
      <c r="F3947" s="81"/>
      <c r="G3947" s="81"/>
      <c r="H3947" s="82"/>
      <c r="I3947" s="32"/>
      <c r="J3947" s="32"/>
      <c r="K3947" s="32"/>
      <c r="L3947" s="32"/>
      <c r="M3947" s="32"/>
      <c r="N3947" s="32"/>
      <c r="O3947" s="32"/>
      <c r="P3947" s="32"/>
      <c r="Q3947" s="32"/>
      <c r="R3947" s="32"/>
      <c r="S3947" s="32"/>
      <c r="T3947" s="32"/>
      <c r="U3947" s="32"/>
      <c r="V3947" s="32"/>
      <c r="W3947" s="32"/>
      <c r="X3947" s="32"/>
      <c r="Y3947" s="32"/>
      <c r="Z3947" s="32"/>
    </row>
    <row r="3948" spans="1:26" ht="14.25" customHeight="1">
      <c r="A3948" s="33" t="s">
        <v>2</v>
      </c>
      <c r="B3948" s="33" t="s">
        <v>3</v>
      </c>
      <c r="C3948" s="33" t="s">
        <v>4</v>
      </c>
      <c r="D3948" s="33" t="s">
        <v>5</v>
      </c>
      <c r="E3948" s="33" t="s">
        <v>6</v>
      </c>
      <c r="F3948" s="34" t="s">
        <v>7</v>
      </c>
      <c r="G3948" s="33" t="s">
        <v>8</v>
      </c>
      <c r="H3948" s="35"/>
      <c r="I3948" s="32"/>
      <c r="J3948" s="32"/>
      <c r="K3948" s="32"/>
      <c r="L3948" s="32"/>
      <c r="M3948" s="32"/>
      <c r="N3948" s="32"/>
      <c r="O3948" s="32"/>
      <c r="P3948" s="32"/>
      <c r="Q3948" s="32"/>
      <c r="R3948" s="32"/>
      <c r="S3948" s="32"/>
      <c r="T3948" s="32"/>
      <c r="U3948" s="32"/>
      <c r="V3948" s="32"/>
      <c r="W3948" s="32"/>
      <c r="X3948" s="32"/>
      <c r="Y3948" s="32"/>
      <c r="Z3948" s="32"/>
    </row>
    <row r="3949" spans="1:26" ht="14.25" customHeight="1">
      <c r="A3949" s="36">
        <v>1</v>
      </c>
      <c r="B3949" s="38" t="s">
        <v>43</v>
      </c>
      <c r="C3949" s="5" t="s">
        <v>1017</v>
      </c>
      <c r="D3949" s="18" t="s">
        <v>413</v>
      </c>
      <c r="E3949" s="18">
        <v>1.79</v>
      </c>
      <c r="F3949" s="6">
        <v>293000</v>
      </c>
      <c r="G3949" s="37">
        <f t="shared" ref="G3949:G3951" si="252">IFERROR(E3949*F3949,0)</f>
        <v>524470</v>
      </c>
      <c r="H3949" s="38"/>
      <c r="I3949" s="32"/>
      <c r="J3949" s="32"/>
      <c r="K3949" s="32"/>
      <c r="L3949" s="32"/>
      <c r="M3949" s="32"/>
      <c r="N3949" s="32"/>
      <c r="O3949" s="32"/>
      <c r="P3949" s="32"/>
      <c r="Q3949" s="32"/>
      <c r="R3949" s="32"/>
      <c r="S3949" s="32"/>
      <c r="T3949" s="32"/>
      <c r="U3949" s="32"/>
      <c r="V3949" s="32"/>
      <c r="W3949" s="32"/>
      <c r="X3949" s="32"/>
      <c r="Y3949" s="32"/>
      <c r="Z3949" s="32"/>
    </row>
    <row r="3950" spans="1:26" ht="14.25" customHeight="1">
      <c r="A3950" s="36">
        <v>2</v>
      </c>
      <c r="B3950" s="12" t="s">
        <v>1018</v>
      </c>
      <c r="C3950" s="10" t="s">
        <v>1019</v>
      </c>
      <c r="D3950" s="12" t="s">
        <v>233</v>
      </c>
      <c r="E3950" s="12">
        <v>1.7</v>
      </c>
      <c r="F3950" s="43">
        <v>435000</v>
      </c>
      <c r="G3950" s="37">
        <f t="shared" si="252"/>
        <v>739500</v>
      </c>
      <c r="H3950" s="38"/>
      <c r="I3950" s="32"/>
      <c r="J3950" s="32"/>
      <c r="K3950" s="32"/>
      <c r="L3950" s="32"/>
      <c r="M3950" s="32"/>
      <c r="N3950" s="32"/>
      <c r="O3950" s="32"/>
      <c r="P3950" s="32"/>
      <c r="Q3950" s="32"/>
      <c r="R3950" s="32"/>
      <c r="S3950" s="32"/>
      <c r="T3950" s="32"/>
      <c r="U3950" s="32"/>
      <c r="V3950" s="32"/>
      <c r="W3950" s="32"/>
      <c r="X3950" s="32"/>
      <c r="Y3950" s="32"/>
      <c r="Z3950" s="32"/>
    </row>
    <row r="3951" spans="1:26" ht="14.25" customHeight="1">
      <c r="A3951" s="36">
        <v>4</v>
      </c>
      <c r="B3951" s="39" t="s">
        <v>17</v>
      </c>
      <c r="C3951" s="38"/>
      <c r="D3951" s="38"/>
      <c r="E3951" s="38"/>
      <c r="F3951" s="60"/>
      <c r="G3951" s="37">
        <f t="shared" si="252"/>
        <v>0</v>
      </c>
      <c r="H3951" s="38"/>
      <c r="I3951" s="32"/>
      <c r="J3951" s="32"/>
      <c r="K3951" s="32"/>
      <c r="L3951" s="32"/>
      <c r="M3951" s="32"/>
      <c r="N3951" s="32"/>
      <c r="O3951" s="32"/>
      <c r="P3951" s="32"/>
      <c r="Q3951" s="32"/>
      <c r="R3951" s="32"/>
      <c r="S3951" s="32"/>
      <c r="T3951" s="32"/>
      <c r="U3951" s="32"/>
      <c r="V3951" s="32"/>
      <c r="W3951" s="32"/>
      <c r="X3951" s="32"/>
      <c r="Y3951" s="32"/>
      <c r="Z3951" s="32"/>
    </row>
    <row r="3952" spans="1:26" ht="14.25" customHeight="1">
      <c r="A3952" s="83" t="s">
        <v>18</v>
      </c>
      <c r="B3952" s="81"/>
      <c r="C3952" s="81"/>
      <c r="D3952" s="81"/>
      <c r="E3952" s="81"/>
      <c r="F3952" s="81"/>
      <c r="G3952" s="82"/>
      <c r="H3952" s="41">
        <f>SUM(G3949:G3951)</f>
        <v>1263970</v>
      </c>
      <c r="I3952" s="32"/>
      <c r="J3952" s="32"/>
      <c r="K3952" s="32"/>
      <c r="L3952" s="32"/>
      <c r="M3952" s="32"/>
      <c r="N3952" s="32"/>
      <c r="O3952" s="32"/>
      <c r="P3952" s="32"/>
      <c r="Q3952" s="32"/>
      <c r="R3952" s="32"/>
      <c r="S3952" s="32"/>
      <c r="T3952" s="32"/>
      <c r="U3952" s="32"/>
      <c r="V3952" s="32"/>
      <c r="W3952" s="32"/>
      <c r="X3952" s="32"/>
      <c r="Y3952" s="32"/>
      <c r="Z3952" s="32"/>
    </row>
    <row r="3953" spans="1:26" ht="14.25" customHeight="1">
      <c r="A3953" s="83" t="s">
        <v>19</v>
      </c>
      <c r="B3953" s="81"/>
      <c r="C3953" s="81"/>
      <c r="D3953" s="81"/>
      <c r="E3953" s="81"/>
      <c r="F3953" s="81"/>
      <c r="G3953" s="82"/>
      <c r="H3953" s="41">
        <f>MAX(0,H3952-648000)</f>
        <v>615970</v>
      </c>
      <c r="I3953" s="32"/>
      <c r="J3953" s="32"/>
      <c r="K3953" s="32"/>
      <c r="L3953" s="32"/>
      <c r="M3953" s="32"/>
      <c r="N3953" s="32"/>
      <c r="O3953" s="32"/>
      <c r="P3953" s="32"/>
      <c r="Q3953" s="32"/>
      <c r="R3953" s="32"/>
      <c r="S3953" s="32"/>
      <c r="T3953" s="32"/>
      <c r="U3953" s="32"/>
      <c r="V3953" s="32"/>
      <c r="W3953" s="32"/>
      <c r="X3953" s="32"/>
      <c r="Y3953" s="32"/>
      <c r="Z3953" s="32"/>
    </row>
    <row r="3954" spans="1:26" ht="14.25" customHeight="1">
      <c r="A3954" s="84" t="s">
        <v>20</v>
      </c>
      <c r="B3954" s="81"/>
      <c r="C3954" s="81"/>
      <c r="D3954" s="81"/>
      <c r="E3954" s="81"/>
      <c r="F3954" s="81"/>
      <c r="G3954" s="82"/>
      <c r="H3954" s="42">
        <v>649000</v>
      </c>
      <c r="I3954" s="32"/>
      <c r="J3954" s="32"/>
      <c r="K3954" s="32"/>
      <c r="L3954" s="32"/>
      <c r="M3954" s="32"/>
      <c r="N3954" s="32"/>
      <c r="O3954" s="32"/>
      <c r="P3954" s="32"/>
      <c r="Q3954" s="32"/>
      <c r="R3954" s="32"/>
      <c r="S3954" s="32"/>
      <c r="T3954" s="32"/>
      <c r="U3954" s="32"/>
      <c r="V3954" s="32"/>
      <c r="W3954" s="32"/>
      <c r="X3954" s="32"/>
      <c r="Y3954" s="32"/>
      <c r="Z3954" s="32"/>
    </row>
    <row r="3955" spans="1:26" ht="14.25" customHeight="1">
      <c r="A3955" s="80"/>
      <c r="B3955" s="81"/>
      <c r="C3955" s="81"/>
      <c r="D3955" s="81"/>
      <c r="E3955" s="81"/>
      <c r="F3955" s="81"/>
      <c r="G3955" s="81"/>
      <c r="H3955" s="82"/>
      <c r="I3955" s="32"/>
      <c r="J3955" s="32"/>
      <c r="K3955" s="32"/>
      <c r="L3955" s="32"/>
      <c r="M3955" s="32"/>
      <c r="N3955" s="32"/>
      <c r="O3955" s="32"/>
      <c r="P3955" s="32"/>
      <c r="Q3955" s="32"/>
      <c r="R3955" s="32"/>
      <c r="S3955" s="32"/>
      <c r="T3955" s="32"/>
      <c r="U3955" s="32"/>
      <c r="V3955" s="32"/>
      <c r="W3955" s="32"/>
      <c r="X3955" s="32"/>
      <c r="Y3955" s="32"/>
      <c r="Z3955" s="32"/>
    </row>
    <row r="3956" spans="1:26" ht="14.25" customHeight="1">
      <c r="I3956" s="32"/>
    </row>
    <row r="3957" spans="1:26" ht="14.25" customHeight="1">
      <c r="I3957" s="32"/>
    </row>
    <row r="3958" spans="1:26" ht="14.25" customHeight="1">
      <c r="I3958" s="32"/>
    </row>
    <row r="3959" spans="1:26" ht="14.25" customHeight="1">
      <c r="I3959" s="32"/>
    </row>
    <row r="3960" spans="1:26" ht="14.25" customHeight="1">
      <c r="I3960" s="32"/>
    </row>
    <row r="3961" spans="1:26" ht="14.25" customHeight="1">
      <c r="I3961" s="32"/>
    </row>
    <row r="3962" spans="1:26" ht="14.25" customHeight="1">
      <c r="I3962" s="32"/>
    </row>
    <row r="3963" spans="1:26" ht="14.25" customHeight="1">
      <c r="I3963" s="32"/>
    </row>
    <row r="3964" spans="1:26" ht="14.25" customHeight="1">
      <c r="A3964" s="80" t="s">
        <v>0</v>
      </c>
      <c r="B3964" s="81"/>
      <c r="C3964" s="81"/>
      <c r="D3964" s="81"/>
      <c r="E3964" s="81"/>
      <c r="F3964" s="81"/>
      <c r="G3964" s="81"/>
      <c r="H3964" s="82"/>
      <c r="I3964" s="32"/>
      <c r="J3964" s="32"/>
      <c r="K3964" s="32"/>
      <c r="L3964" s="32"/>
      <c r="M3964" s="32"/>
      <c r="N3964" s="32"/>
      <c r="O3964" s="32"/>
      <c r="P3964" s="32"/>
      <c r="Q3964" s="32"/>
      <c r="R3964" s="32"/>
      <c r="S3964" s="32"/>
      <c r="T3964" s="32"/>
      <c r="U3964" s="32"/>
      <c r="V3964" s="32"/>
      <c r="W3964" s="32"/>
      <c r="X3964" s="32"/>
      <c r="Y3964" s="32"/>
      <c r="Z3964" s="32"/>
    </row>
    <row r="3965" spans="1:26" ht="14.25" customHeight="1">
      <c r="A3965" s="80" t="s">
        <v>1020</v>
      </c>
      <c r="B3965" s="81"/>
      <c r="C3965" s="81"/>
      <c r="D3965" s="81"/>
      <c r="E3965" s="81"/>
      <c r="F3965" s="81"/>
      <c r="G3965" s="81"/>
      <c r="H3965" s="82"/>
      <c r="I3965" s="32"/>
      <c r="J3965" s="32"/>
      <c r="K3965" s="32"/>
      <c r="L3965" s="32"/>
      <c r="M3965" s="32"/>
      <c r="N3965" s="32"/>
      <c r="O3965" s="32"/>
      <c r="P3965" s="32"/>
      <c r="Q3965" s="32"/>
      <c r="R3965" s="32"/>
      <c r="S3965" s="32"/>
      <c r="T3965" s="32"/>
      <c r="U3965" s="32"/>
      <c r="V3965" s="32"/>
      <c r="W3965" s="32"/>
      <c r="X3965" s="32"/>
      <c r="Y3965" s="32"/>
      <c r="Z3965" s="32"/>
    </row>
    <row r="3966" spans="1:26" ht="14.25" customHeight="1">
      <c r="A3966" s="33" t="s">
        <v>2</v>
      </c>
      <c r="B3966" s="33" t="s">
        <v>3</v>
      </c>
      <c r="C3966" s="33" t="s">
        <v>4</v>
      </c>
      <c r="D3966" s="33" t="s">
        <v>5</v>
      </c>
      <c r="E3966" s="33" t="s">
        <v>6</v>
      </c>
      <c r="F3966" s="34" t="s">
        <v>7</v>
      </c>
      <c r="G3966" s="33" t="s">
        <v>8</v>
      </c>
      <c r="H3966" s="35"/>
      <c r="I3966" s="32"/>
      <c r="J3966" s="32"/>
      <c r="K3966" s="32"/>
      <c r="L3966" s="32"/>
      <c r="M3966" s="32"/>
      <c r="N3966" s="32"/>
      <c r="O3966" s="32"/>
      <c r="P3966" s="32"/>
      <c r="Q3966" s="32"/>
      <c r="R3966" s="32"/>
      <c r="S3966" s="32"/>
      <c r="T3966" s="32"/>
      <c r="U3966" s="32"/>
      <c r="V3966" s="32"/>
      <c r="W3966" s="32"/>
      <c r="X3966" s="32"/>
      <c r="Y3966" s="32"/>
      <c r="Z3966" s="32"/>
    </row>
    <row r="3967" spans="1:26" ht="14.25" customHeight="1">
      <c r="A3967" s="36">
        <v>1</v>
      </c>
      <c r="B3967" s="18" t="s">
        <v>442</v>
      </c>
      <c r="C3967" s="5" t="s">
        <v>1021</v>
      </c>
      <c r="D3967" s="18" t="s">
        <v>413</v>
      </c>
      <c r="E3967" s="18">
        <v>1.7</v>
      </c>
      <c r="F3967" s="6">
        <v>293000</v>
      </c>
      <c r="G3967" s="37">
        <f t="shared" ref="G3967:G3969" si="253">IFERROR(E3967*F3967,0)</f>
        <v>498100</v>
      </c>
      <c r="H3967" s="38"/>
      <c r="I3967" s="32"/>
      <c r="J3967" s="32"/>
      <c r="K3967" s="32"/>
      <c r="L3967" s="32"/>
      <c r="M3967" s="32"/>
      <c r="N3967" s="32"/>
      <c r="O3967" s="32"/>
      <c r="P3967" s="32"/>
      <c r="Q3967" s="32"/>
      <c r="R3967" s="32"/>
      <c r="S3967" s="32"/>
      <c r="T3967" s="32"/>
      <c r="U3967" s="32"/>
      <c r="V3967" s="32"/>
      <c r="W3967" s="32"/>
      <c r="X3967" s="32"/>
      <c r="Y3967" s="32"/>
      <c r="Z3967" s="32"/>
    </row>
    <row r="3968" spans="1:26" ht="14.25" customHeight="1">
      <c r="A3968" s="36">
        <v>2</v>
      </c>
      <c r="B3968" s="12" t="s">
        <v>144</v>
      </c>
      <c r="C3968" s="10" t="s">
        <v>1022</v>
      </c>
      <c r="D3968" s="12" t="s">
        <v>233</v>
      </c>
      <c r="E3968" s="12">
        <v>1.79</v>
      </c>
      <c r="F3968" s="43">
        <v>435000</v>
      </c>
      <c r="G3968" s="37">
        <f t="shared" si="253"/>
        <v>778650</v>
      </c>
      <c r="H3968" s="38"/>
      <c r="I3968" s="32"/>
      <c r="J3968" s="32"/>
      <c r="K3968" s="32"/>
      <c r="L3968" s="32"/>
      <c r="M3968" s="32"/>
      <c r="N3968" s="32"/>
      <c r="O3968" s="32"/>
      <c r="P3968" s="32"/>
      <c r="Q3968" s="32"/>
      <c r="R3968" s="32"/>
      <c r="S3968" s="32"/>
      <c r="T3968" s="32"/>
      <c r="U3968" s="32"/>
      <c r="V3968" s="32"/>
      <c r="W3968" s="32"/>
      <c r="X3968" s="32"/>
      <c r="Y3968" s="32"/>
      <c r="Z3968" s="32"/>
    </row>
    <row r="3969" spans="1:26" ht="14.25" customHeight="1">
      <c r="A3969" s="36">
        <v>4</v>
      </c>
      <c r="B3969" s="39" t="s">
        <v>17</v>
      </c>
      <c r="C3969" s="38"/>
      <c r="D3969" s="38"/>
      <c r="E3969" s="38"/>
      <c r="F3969" s="60"/>
      <c r="G3969" s="37">
        <f t="shared" si="253"/>
        <v>0</v>
      </c>
      <c r="H3969" s="38"/>
      <c r="I3969" s="32"/>
      <c r="J3969" s="32"/>
      <c r="K3969" s="32"/>
      <c r="L3969" s="32"/>
      <c r="M3969" s="32"/>
      <c r="N3969" s="32"/>
      <c r="O3969" s="32"/>
      <c r="P3969" s="32"/>
      <c r="Q3969" s="32"/>
      <c r="R3969" s="32"/>
      <c r="S3969" s="32"/>
      <c r="T3969" s="32"/>
      <c r="U3969" s="32"/>
      <c r="V3969" s="32"/>
      <c r="W3969" s="32"/>
      <c r="X3969" s="32"/>
      <c r="Y3969" s="32"/>
      <c r="Z3969" s="32"/>
    </row>
    <row r="3970" spans="1:26" ht="14.25" customHeight="1">
      <c r="A3970" s="83" t="s">
        <v>18</v>
      </c>
      <c r="B3970" s="81"/>
      <c r="C3970" s="81"/>
      <c r="D3970" s="81"/>
      <c r="E3970" s="81"/>
      <c r="F3970" s="81"/>
      <c r="G3970" s="82"/>
      <c r="H3970" s="41">
        <f>SUM(G3967:G3969)</f>
        <v>1276750</v>
      </c>
      <c r="I3970" s="32"/>
      <c r="J3970" s="32"/>
      <c r="K3970" s="32"/>
      <c r="L3970" s="32"/>
      <c r="M3970" s="32"/>
      <c r="N3970" s="32"/>
      <c r="O3970" s="32"/>
      <c r="P3970" s="32"/>
      <c r="Q3970" s="32"/>
      <c r="R3970" s="32"/>
      <c r="S3970" s="32"/>
      <c r="T3970" s="32"/>
      <c r="U3970" s="32"/>
      <c r="V3970" s="32"/>
      <c r="W3970" s="32"/>
      <c r="X3970" s="32"/>
      <c r="Y3970" s="32"/>
      <c r="Z3970" s="32"/>
    </row>
    <row r="3971" spans="1:26" ht="14.25" customHeight="1">
      <c r="A3971" s="83" t="s">
        <v>19</v>
      </c>
      <c r="B3971" s="81"/>
      <c r="C3971" s="81"/>
      <c r="D3971" s="81"/>
      <c r="E3971" s="81"/>
      <c r="F3971" s="81"/>
      <c r="G3971" s="82"/>
      <c r="H3971" s="41">
        <f>MAX(0,H3970-648000)</f>
        <v>628750</v>
      </c>
      <c r="I3971" s="32"/>
      <c r="J3971" s="32"/>
      <c r="K3971" s="32"/>
      <c r="L3971" s="32"/>
      <c r="M3971" s="32"/>
      <c r="N3971" s="32"/>
      <c r="O3971" s="32"/>
      <c r="P3971" s="32"/>
      <c r="Q3971" s="32"/>
      <c r="R3971" s="32"/>
      <c r="S3971" s="32"/>
      <c r="T3971" s="32"/>
      <c r="U3971" s="32"/>
      <c r="V3971" s="32"/>
      <c r="W3971" s="32"/>
      <c r="X3971" s="32"/>
      <c r="Y3971" s="32"/>
      <c r="Z3971" s="32"/>
    </row>
    <row r="3972" spans="1:26" ht="14.25" customHeight="1">
      <c r="A3972" s="84" t="s">
        <v>20</v>
      </c>
      <c r="B3972" s="81"/>
      <c r="C3972" s="81"/>
      <c r="D3972" s="81"/>
      <c r="E3972" s="81"/>
      <c r="F3972" s="81"/>
      <c r="G3972" s="82"/>
      <c r="H3972" s="42">
        <v>649000</v>
      </c>
      <c r="I3972" s="32"/>
      <c r="J3972" s="32"/>
      <c r="K3972" s="32"/>
      <c r="L3972" s="32"/>
      <c r="M3972" s="32"/>
      <c r="N3972" s="32"/>
      <c r="O3972" s="32"/>
      <c r="P3972" s="32"/>
      <c r="Q3972" s="32"/>
      <c r="R3972" s="32"/>
      <c r="S3972" s="32"/>
      <c r="T3972" s="32"/>
      <c r="U3972" s="32"/>
      <c r="V3972" s="32"/>
      <c r="W3972" s="32"/>
      <c r="X3972" s="32"/>
      <c r="Y3972" s="32"/>
      <c r="Z3972" s="32"/>
    </row>
    <row r="3973" spans="1:26" ht="14.25" customHeight="1">
      <c r="A3973" s="80"/>
      <c r="B3973" s="81"/>
      <c r="C3973" s="81"/>
      <c r="D3973" s="81"/>
      <c r="E3973" s="81"/>
      <c r="F3973" s="81"/>
      <c r="G3973" s="81"/>
      <c r="H3973" s="82"/>
      <c r="I3973" s="32"/>
      <c r="J3973" s="32"/>
      <c r="K3973" s="32"/>
      <c r="L3973" s="32"/>
      <c r="M3973" s="32"/>
      <c r="N3973" s="32"/>
      <c r="O3973" s="32"/>
      <c r="P3973" s="32"/>
      <c r="Q3973" s="32"/>
      <c r="R3973" s="32"/>
      <c r="S3973" s="32"/>
      <c r="T3973" s="32"/>
      <c r="U3973" s="32"/>
      <c r="V3973" s="32"/>
      <c r="W3973" s="32"/>
      <c r="X3973" s="32"/>
      <c r="Y3973" s="32"/>
      <c r="Z3973" s="32"/>
    </row>
    <row r="3974" spans="1:26">
      <c r="I3974" s="32"/>
    </row>
    <row r="3975" spans="1:26">
      <c r="I3975" s="32"/>
    </row>
    <row r="3976" spans="1:26">
      <c r="I3976" s="32"/>
    </row>
    <row r="3977" spans="1:26">
      <c r="I3977" s="32"/>
    </row>
    <row r="3978" spans="1:26">
      <c r="I3978" s="32"/>
    </row>
    <row r="3979" spans="1:26" ht="14.25" customHeight="1">
      <c r="I3979" s="32"/>
    </row>
    <row r="3980" spans="1:26" ht="14.25" customHeight="1">
      <c r="I3980" s="32"/>
    </row>
    <row r="3981" spans="1:26" ht="14.25" customHeight="1">
      <c r="I3981" s="32"/>
    </row>
    <row r="3982" spans="1:26" ht="14.25" customHeight="1">
      <c r="A3982" s="80" t="s">
        <v>0</v>
      </c>
      <c r="B3982" s="81"/>
      <c r="C3982" s="81"/>
      <c r="D3982" s="81"/>
      <c r="E3982" s="81"/>
      <c r="F3982" s="81"/>
      <c r="G3982" s="81"/>
      <c r="H3982" s="82"/>
      <c r="I3982" s="32"/>
      <c r="J3982" s="32"/>
      <c r="K3982" s="32"/>
      <c r="L3982" s="32"/>
      <c r="M3982" s="32"/>
      <c r="N3982" s="32"/>
      <c r="O3982" s="32"/>
      <c r="P3982" s="32"/>
      <c r="Q3982" s="32"/>
      <c r="R3982" s="32"/>
      <c r="S3982" s="32"/>
      <c r="T3982" s="32"/>
      <c r="U3982" s="32"/>
      <c r="V3982" s="32"/>
      <c r="W3982" s="32"/>
      <c r="X3982" s="32"/>
      <c r="Y3982" s="32"/>
      <c r="Z3982" s="32"/>
    </row>
    <row r="3983" spans="1:26" ht="14.25" customHeight="1">
      <c r="A3983" s="80" t="s">
        <v>1023</v>
      </c>
      <c r="B3983" s="81"/>
      <c r="C3983" s="81"/>
      <c r="D3983" s="81"/>
      <c r="E3983" s="81"/>
      <c r="F3983" s="81"/>
      <c r="G3983" s="81"/>
      <c r="H3983" s="82"/>
      <c r="I3983" s="32"/>
      <c r="J3983" s="32"/>
      <c r="K3983" s="32"/>
      <c r="L3983" s="32"/>
      <c r="M3983" s="32"/>
      <c r="N3983" s="32"/>
      <c r="O3983" s="32"/>
      <c r="P3983" s="32"/>
      <c r="Q3983" s="32"/>
      <c r="R3983" s="32"/>
      <c r="S3983" s="32"/>
      <c r="T3983" s="32"/>
      <c r="U3983" s="32"/>
      <c r="V3983" s="32"/>
      <c r="W3983" s="32"/>
      <c r="X3983" s="32"/>
      <c r="Y3983" s="32"/>
      <c r="Z3983" s="32"/>
    </row>
    <row r="3984" spans="1:26" ht="14.25" customHeight="1">
      <c r="A3984" s="33" t="s">
        <v>2</v>
      </c>
      <c r="B3984" s="33" t="s">
        <v>3</v>
      </c>
      <c r="C3984" s="33" t="s">
        <v>4</v>
      </c>
      <c r="D3984" s="33" t="s">
        <v>5</v>
      </c>
      <c r="E3984" s="33" t="s">
        <v>6</v>
      </c>
      <c r="F3984" s="34" t="s">
        <v>7</v>
      </c>
      <c r="G3984" s="33" t="s">
        <v>8</v>
      </c>
      <c r="H3984" s="35"/>
      <c r="I3984" s="32"/>
      <c r="J3984" s="32"/>
      <c r="K3984" s="32"/>
      <c r="L3984" s="32"/>
      <c r="M3984" s="32"/>
      <c r="N3984" s="32"/>
      <c r="O3984" s="32"/>
      <c r="P3984" s="32"/>
      <c r="Q3984" s="32"/>
      <c r="R3984" s="32"/>
      <c r="S3984" s="32"/>
      <c r="T3984" s="32"/>
      <c r="U3984" s="32"/>
      <c r="V3984" s="32"/>
      <c r="W3984" s="32"/>
      <c r="X3984" s="32"/>
      <c r="Y3984" s="32"/>
      <c r="Z3984" s="32"/>
    </row>
    <row r="3985" spans="1:26" ht="14.25" customHeight="1">
      <c r="A3985" s="36">
        <v>1</v>
      </c>
      <c r="B3985" s="18" t="s">
        <v>478</v>
      </c>
      <c r="C3985" s="5" t="s">
        <v>1024</v>
      </c>
      <c r="D3985" s="18" t="s">
        <v>413</v>
      </c>
      <c r="E3985" s="18">
        <v>1.76</v>
      </c>
      <c r="F3985" s="6">
        <v>293000</v>
      </c>
      <c r="G3985" s="37">
        <f t="shared" ref="G3985:G3987" si="254">IFERROR(E3985*F3985,0)</f>
        <v>515680</v>
      </c>
      <c r="H3985" s="38"/>
      <c r="I3985" s="32"/>
      <c r="J3985" s="32"/>
      <c r="K3985" s="32"/>
      <c r="L3985" s="32"/>
      <c r="M3985" s="32"/>
      <c r="N3985" s="32"/>
      <c r="O3985" s="32"/>
      <c r="P3985" s="32"/>
      <c r="Q3985" s="32"/>
      <c r="R3985" s="32"/>
      <c r="S3985" s="32"/>
      <c r="T3985" s="32"/>
      <c r="U3985" s="32"/>
      <c r="V3985" s="32"/>
      <c r="W3985" s="32"/>
      <c r="X3985" s="32"/>
      <c r="Y3985" s="32"/>
      <c r="Z3985" s="32"/>
    </row>
    <row r="3986" spans="1:26" ht="14.25" customHeight="1">
      <c r="A3986" s="36">
        <v>2</v>
      </c>
      <c r="B3986" s="12" t="s">
        <v>1025</v>
      </c>
      <c r="C3986" s="10" t="s">
        <v>1026</v>
      </c>
      <c r="D3986" s="12" t="s">
        <v>233</v>
      </c>
      <c r="E3986" s="12">
        <v>1.6</v>
      </c>
      <c r="F3986" s="43">
        <v>435000</v>
      </c>
      <c r="G3986" s="37">
        <f t="shared" si="254"/>
        <v>696000</v>
      </c>
      <c r="H3986" s="38"/>
      <c r="I3986" s="32"/>
      <c r="J3986" s="32"/>
      <c r="K3986" s="32"/>
      <c r="L3986" s="32"/>
      <c r="M3986" s="32"/>
      <c r="N3986" s="32"/>
      <c r="O3986" s="32"/>
      <c r="P3986" s="32"/>
      <c r="Q3986" s="32"/>
      <c r="R3986" s="32"/>
      <c r="S3986" s="32"/>
      <c r="T3986" s="32"/>
      <c r="U3986" s="32"/>
      <c r="V3986" s="32"/>
      <c r="W3986" s="32"/>
      <c r="X3986" s="32"/>
      <c r="Y3986" s="32"/>
      <c r="Z3986" s="32"/>
    </row>
    <row r="3987" spans="1:26" ht="14.25" customHeight="1">
      <c r="A3987" s="36">
        <v>4</v>
      </c>
      <c r="B3987" s="39" t="s">
        <v>17</v>
      </c>
      <c r="C3987" s="38"/>
      <c r="D3987" s="38"/>
      <c r="E3987" s="38"/>
      <c r="F3987" s="60"/>
      <c r="G3987" s="37">
        <f t="shared" si="254"/>
        <v>0</v>
      </c>
      <c r="H3987" s="38"/>
      <c r="I3987" s="32"/>
      <c r="J3987" s="32"/>
      <c r="K3987" s="32"/>
      <c r="L3987" s="32"/>
      <c r="M3987" s="32"/>
      <c r="N3987" s="32"/>
      <c r="O3987" s="32"/>
      <c r="P3987" s="32"/>
      <c r="Q3987" s="32"/>
      <c r="R3987" s="32"/>
      <c r="S3987" s="32"/>
      <c r="T3987" s="32"/>
      <c r="U3987" s="32"/>
      <c r="V3987" s="32"/>
      <c r="W3987" s="32"/>
      <c r="X3987" s="32"/>
      <c r="Y3987" s="32"/>
      <c r="Z3987" s="32"/>
    </row>
    <row r="3988" spans="1:26" ht="14.25" customHeight="1">
      <c r="A3988" s="83" t="s">
        <v>18</v>
      </c>
      <c r="B3988" s="81"/>
      <c r="C3988" s="81"/>
      <c r="D3988" s="81"/>
      <c r="E3988" s="81"/>
      <c r="F3988" s="81"/>
      <c r="G3988" s="82"/>
      <c r="H3988" s="41">
        <f>SUM(G3985:G3987)</f>
        <v>1211680</v>
      </c>
      <c r="I3988" s="32"/>
      <c r="J3988" s="32"/>
      <c r="K3988" s="32"/>
      <c r="L3988" s="32"/>
      <c r="M3988" s="32"/>
      <c r="N3988" s="32"/>
      <c r="O3988" s="32"/>
      <c r="P3988" s="32"/>
      <c r="Q3988" s="32"/>
      <c r="R3988" s="32"/>
      <c r="S3988" s="32"/>
      <c r="T3988" s="32"/>
      <c r="U3988" s="32"/>
      <c r="V3988" s="32"/>
      <c r="W3988" s="32"/>
      <c r="X3988" s="32"/>
      <c r="Y3988" s="32"/>
      <c r="Z3988" s="32"/>
    </row>
    <row r="3989" spans="1:26" ht="14.25" customHeight="1">
      <c r="A3989" s="83" t="s">
        <v>19</v>
      </c>
      <c r="B3989" s="81"/>
      <c r="C3989" s="81"/>
      <c r="D3989" s="81"/>
      <c r="E3989" s="81"/>
      <c r="F3989" s="81"/>
      <c r="G3989" s="82"/>
      <c r="H3989" s="41">
        <f>MAX(0,H3988-648000)</f>
        <v>563680</v>
      </c>
      <c r="I3989" s="32"/>
      <c r="J3989" s="32"/>
      <c r="K3989" s="32"/>
      <c r="L3989" s="32"/>
      <c r="M3989" s="32"/>
      <c r="N3989" s="32"/>
      <c r="O3989" s="32"/>
      <c r="P3989" s="32"/>
      <c r="Q3989" s="32"/>
      <c r="R3989" s="32"/>
      <c r="S3989" s="32"/>
      <c r="T3989" s="32"/>
      <c r="U3989" s="32"/>
      <c r="V3989" s="32"/>
      <c r="W3989" s="32"/>
      <c r="X3989" s="32"/>
      <c r="Y3989" s="32"/>
      <c r="Z3989" s="32"/>
    </row>
    <row r="3990" spans="1:26" ht="14.25" customHeight="1">
      <c r="A3990" s="84" t="s">
        <v>20</v>
      </c>
      <c r="B3990" s="81"/>
      <c r="C3990" s="81"/>
      <c r="D3990" s="81"/>
      <c r="E3990" s="81"/>
      <c r="F3990" s="81"/>
      <c r="G3990" s="82"/>
      <c r="H3990" s="42">
        <v>649000</v>
      </c>
      <c r="I3990" s="32"/>
      <c r="J3990" s="32"/>
      <c r="K3990" s="32"/>
      <c r="L3990" s="32"/>
      <c r="M3990" s="32"/>
      <c r="N3990" s="32"/>
      <c r="O3990" s="32"/>
      <c r="P3990" s="32"/>
      <c r="Q3990" s="32"/>
      <c r="R3990" s="32"/>
      <c r="S3990" s="32"/>
      <c r="T3990" s="32"/>
      <c r="U3990" s="32"/>
      <c r="V3990" s="32"/>
      <c r="W3990" s="32"/>
      <c r="X3990" s="32"/>
      <c r="Y3990" s="32"/>
      <c r="Z3990" s="32"/>
    </row>
    <row r="3991" spans="1:26" ht="14.25" customHeight="1">
      <c r="A3991" s="80"/>
      <c r="B3991" s="81"/>
      <c r="C3991" s="81"/>
      <c r="D3991" s="81"/>
      <c r="E3991" s="81"/>
      <c r="F3991" s="81"/>
      <c r="G3991" s="81"/>
      <c r="H3991" s="82"/>
      <c r="I3991" s="32"/>
      <c r="J3991" s="32"/>
      <c r="K3991" s="32"/>
      <c r="L3991" s="32"/>
      <c r="M3991" s="32"/>
      <c r="N3991" s="32"/>
      <c r="O3991" s="32"/>
      <c r="P3991" s="32"/>
      <c r="Q3991" s="32"/>
      <c r="R3991" s="32"/>
      <c r="S3991" s="32"/>
      <c r="T3991" s="32"/>
      <c r="U3991" s="32"/>
      <c r="V3991" s="32"/>
      <c r="W3991" s="32"/>
      <c r="X3991" s="32"/>
      <c r="Y3991" s="32"/>
      <c r="Z3991" s="32"/>
    </row>
    <row r="3992" spans="1:26" ht="14.25" customHeight="1">
      <c r="I3992" s="32"/>
    </row>
    <row r="3993" spans="1:26" ht="14.25" customHeight="1">
      <c r="I3993" s="32"/>
    </row>
    <row r="3994" spans="1:26" ht="14.25" customHeight="1">
      <c r="I3994" s="32"/>
    </row>
    <row r="3995" spans="1:26" ht="14.25" customHeight="1">
      <c r="I3995" s="32"/>
    </row>
    <row r="3996" spans="1:26" ht="14.25" customHeight="1">
      <c r="I3996" s="32"/>
    </row>
    <row r="3997" spans="1:26" ht="14.25" customHeight="1">
      <c r="A3997" s="80" t="s">
        <v>0</v>
      </c>
      <c r="B3997" s="81"/>
      <c r="C3997" s="81"/>
      <c r="D3997" s="81"/>
      <c r="E3997" s="81"/>
      <c r="F3997" s="81"/>
      <c r="G3997" s="81"/>
      <c r="H3997" s="82"/>
      <c r="I3997" s="32"/>
      <c r="J3997" s="32"/>
      <c r="K3997" s="32"/>
      <c r="L3997" s="32"/>
      <c r="M3997" s="32"/>
      <c r="N3997" s="32"/>
      <c r="O3997" s="32"/>
      <c r="P3997" s="32"/>
      <c r="Q3997" s="32"/>
      <c r="R3997" s="32"/>
      <c r="S3997" s="32"/>
      <c r="T3997" s="32"/>
      <c r="U3997" s="32"/>
      <c r="V3997" s="32"/>
      <c r="W3997" s="32"/>
      <c r="X3997" s="32"/>
      <c r="Y3997" s="32"/>
      <c r="Z3997" s="32"/>
    </row>
    <row r="3998" spans="1:26" ht="14.25" customHeight="1">
      <c r="A3998" s="80" t="s">
        <v>1027</v>
      </c>
      <c r="B3998" s="81"/>
      <c r="C3998" s="81"/>
      <c r="D3998" s="81"/>
      <c r="E3998" s="81"/>
      <c r="F3998" s="81"/>
      <c r="G3998" s="81"/>
      <c r="H3998" s="82"/>
      <c r="I3998" s="32"/>
      <c r="J3998" s="32"/>
      <c r="K3998" s="32"/>
      <c r="L3998" s="32"/>
      <c r="M3998" s="32"/>
      <c r="N3998" s="32"/>
      <c r="O3998" s="32"/>
      <c r="P3998" s="32"/>
      <c r="Q3998" s="32"/>
      <c r="R3998" s="32"/>
      <c r="S3998" s="32"/>
      <c r="T3998" s="32"/>
      <c r="U3998" s="32"/>
      <c r="V3998" s="32"/>
      <c r="W3998" s="32"/>
      <c r="X3998" s="32"/>
      <c r="Y3998" s="32"/>
      <c r="Z3998" s="32"/>
    </row>
    <row r="3999" spans="1:26" ht="14.25" customHeight="1">
      <c r="A3999" s="33" t="s">
        <v>2</v>
      </c>
      <c r="B3999" s="33" t="s">
        <v>3</v>
      </c>
      <c r="C3999" s="33" t="s">
        <v>4</v>
      </c>
      <c r="D3999" s="33" t="s">
        <v>5</v>
      </c>
      <c r="E3999" s="33" t="s">
        <v>6</v>
      </c>
      <c r="F3999" s="34" t="s">
        <v>7</v>
      </c>
      <c r="G3999" s="33" t="s">
        <v>8</v>
      </c>
      <c r="H3999" s="35"/>
      <c r="I3999" s="32"/>
      <c r="J3999" s="32"/>
      <c r="K3999" s="32"/>
      <c r="L3999" s="32"/>
      <c r="M3999" s="32"/>
      <c r="N3999" s="32"/>
      <c r="O3999" s="32"/>
      <c r="P3999" s="32"/>
      <c r="Q3999" s="32"/>
      <c r="R3999" s="32"/>
      <c r="S3999" s="32"/>
      <c r="T3999" s="32"/>
      <c r="U3999" s="32"/>
      <c r="V3999" s="32"/>
      <c r="W3999" s="32"/>
      <c r="X3999" s="32"/>
      <c r="Y3999" s="32"/>
      <c r="Z3999" s="32"/>
    </row>
    <row r="4000" spans="1:26" ht="14.25" customHeight="1">
      <c r="A4000" s="36">
        <v>1</v>
      </c>
      <c r="B4000" s="18" t="s">
        <v>73</v>
      </c>
      <c r="C4000" s="5" t="s">
        <v>1028</v>
      </c>
      <c r="D4000" s="18" t="s">
        <v>413</v>
      </c>
      <c r="E4000" s="18">
        <v>1.82</v>
      </c>
      <c r="F4000" s="6">
        <v>293000</v>
      </c>
      <c r="G4000" s="37">
        <f t="shared" ref="G4000:G4002" si="255">IFERROR(E4000*F4000,0)</f>
        <v>533260</v>
      </c>
      <c r="H4000" s="38"/>
      <c r="I4000" s="32"/>
      <c r="J4000" s="32"/>
      <c r="K4000" s="32"/>
      <c r="L4000" s="32"/>
      <c r="M4000" s="32"/>
      <c r="N4000" s="32"/>
      <c r="O4000" s="32"/>
      <c r="P4000" s="32"/>
      <c r="Q4000" s="32"/>
      <c r="R4000" s="32"/>
      <c r="S4000" s="32"/>
      <c r="T4000" s="32"/>
      <c r="U4000" s="32"/>
      <c r="V4000" s="32"/>
      <c r="W4000" s="32"/>
      <c r="X4000" s="32"/>
      <c r="Y4000" s="32"/>
      <c r="Z4000" s="32"/>
    </row>
    <row r="4001" spans="1:26" ht="14.25" customHeight="1">
      <c r="A4001" s="36">
        <v>2</v>
      </c>
      <c r="B4001" s="12" t="s">
        <v>33</v>
      </c>
      <c r="C4001" s="10" t="s">
        <v>1008</v>
      </c>
      <c r="D4001" s="12" t="s">
        <v>233</v>
      </c>
      <c r="E4001" s="12">
        <v>1.76</v>
      </c>
      <c r="F4001" s="43">
        <v>435000</v>
      </c>
      <c r="G4001" s="37">
        <f t="shared" si="255"/>
        <v>765600</v>
      </c>
      <c r="H4001" s="38"/>
      <c r="I4001" s="32"/>
      <c r="J4001" s="32"/>
      <c r="K4001" s="32"/>
      <c r="L4001" s="32"/>
      <c r="M4001" s="32"/>
      <c r="N4001" s="32"/>
      <c r="O4001" s="32"/>
      <c r="P4001" s="32"/>
      <c r="Q4001" s="32"/>
      <c r="R4001" s="32"/>
      <c r="S4001" s="32"/>
      <c r="T4001" s="32"/>
      <c r="U4001" s="32"/>
      <c r="V4001" s="32"/>
      <c r="W4001" s="32"/>
      <c r="X4001" s="32"/>
      <c r="Y4001" s="32"/>
      <c r="Z4001" s="32"/>
    </row>
    <row r="4002" spans="1:26" ht="14.25" customHeight="1">
      <c r="A4002" s="36">
        <v>4</v>
      </c>
      <c r="B4002" s="39" t="s">
        <v>17</v>
      </c>
      <c r="C4002" s="38"/>
      <c r="D4002" s="38"/>
      <c r="E4002" s="38"/>
      <c r="F4002" s="60"/>
      <c r="G4002" s="37">
        <f t="shared" si="255"/>
        <v>0</v>
      </c>
      <c r="H4002" s="38"/>
      <c r="I4002" s="32"/>
      <c r="J4002" s="32"/>
      <c r="K4002" s="32"/>
      <c r="L4002" s="32"/>
      <c r="M4002" s="32"/>
      <c r="N4002" s="32"/>
      <c r="O4002" s="32"/>
      <c r="P4002" s="32"/>
      <c r="Q4002" s="32"/>
      <c r="R4002" s="32"/>
      <c r="S4002" s="32"/>
      <c r="T4002" s="32"/>
      <c r="U4002" s="32"/>
      <c r="V4002" s="32"/>
      <c r="W4002" s="32"/>
      <c r="X4002" s="32"/>
      <c r="Y4002" s="32"/>
      <c r="Z4002" s="32"/>
    </row>
    <row r="4003" spans="1:26" ht="14.25" customHeight="1">
      <c r="A4003" s="83" t="s">
        <v>18</v>
      </c>
      <c r="B4003" s="81"/>
      <c r="C4003" s="81"/>
      <c r="D4003" s="81"/>
      <c r="E4003" s="81"/>
      <c r="F4003" s="81"/>
      <c r="G4003" s="82"/>
      <c r="H4003" s="41">
        <f>SUM(G4000:G4002)</f>
        <v>1298860</v>
      </c>
      <c r="I4003" s="32"/>
      <c r="J4003" s="32"/>
      <c r="K4003" s="32"/>
      <c r="L4003" s="32"/>
      <c r="M4003" s="32"/>
      <c r="N4003" s="32"/>
      <c r="O4003" s="32"/>
      <c r="P4003" s="32"/>
      <c r="Q4003" s="32"/>
      <c r="R4003" s="32"/>
      <c r="S4003" s="32"/>
      <c r="T4003" s="32"/>
      <c r="U4003" s="32"/>
      <c r="V4003" s="32"/>
      <c r="W4003" s="32"/>
      <c r="X4003" s="32"/>
      <c r="Y4003" s="32"/>
      <c r="Z4003" s="32"/>
    </row>
    <row r="4004" spans="1:26" ht="14.25" customHeight="1">
      <c r="A4004" s="83" t="s">
        <v>19</v>
      </c>
      <c r="B4004" s="81"/>
      <c r="C4004" s="81"/>
      <c r="D4004" s="81"/>
      <c r="E4004" s="81"/>
      <c r="F4004" s="81"/>
      <c r="G4004" s="82"/>
      <c r="H4004" s="41">
        <f>MAX(0,H4003-648000)</f>
        <v>650860</v>
      </c>
      <c r="I4004" s="32"/>
      <c r="J4004" s="32"/>
      <c r="K4004" s="32"/>
      <c r="L4004" s="32"/>
      <c r="M4004" s="32"/>
      <c r="N4004" s="32"/>
      <c r="O4004" s="32"/>
      <c r="P4004" s="32"/>
      <c r="Q4004" s="32"/>
      <c r="R4004" s="32"/>
      <c r="S4004" s="32"/>
      <c r="T4004" s="32"/>
      <c r="U4004" s="32"/>
      <c r="V4004" s="32"/>
      <c r="W4004" s="32"/>
      <c r="X4004" s="32"/>
      <c r="Y4004" s="32"/>
      <c r="Z4004" s="32"/>
    </row>
    <row r="4005" spans="1:26" ht="14.25" customHeight="1">
      <c r="A4005" s="84" t="s">
        <v>20</v>
      </c>
      <c r="B4005" s="81"/>
      <c r="C4005" s="81"/>
      <c r="D4005" s="81"/>
      <c r="E4005" s="81"/>
      <c r="F4005" s="81"/>
      <c r="G4005" s="82"/>
      <c r="H4005" s="42">
        <v>649000</v>
      </c>
      <c r="I4005" s="32"/>
      <c r="J4005" s="32"/>
      <c r="K4005" s="32"/>
      <c r="L4005" s="32"/>
      <c r="M4005" s="32"/>
      <c r="N4005" s="32"/>
      <c r="O4005" s="32"/>
      <c r="P4005" s="32"/>
      <c r="Q4005" s="32"/>
      <c r="R4005" s="32"/>
      <c r="S4005" s="32"/>
      <c r="T4005" s="32"/>
      <c r="U4005" s="32"/>
      <c r="V4005" s="32"/>
      <c r="W4005" s="32"/>
      <c r="X4005" s="32"/>
      <c r="Y4005" s="32"/>
      <c r="Z4005" s="32"/>
    </row>
    <row r="4006" spans="1:26" ht="14.25" customHeight="1">
      <c r="A4006" s="80"/>
      <c r="B4006" s="81"/>
      <c r="C4006" s="81"/>
      <c r="D4006" s="81"/>
      <c r="E4006" s="81"/>
      <c r="F4006" s="81"/>
      <c r="G4006" s="81"/>
      <c r="H4006" s="82"/>
      <c r="I4006" s="32"/>
      <c r="J4006" s="32"/>
      <c r="K4006" s="32"/>
      <c r="L4006" s="32"/>
      <c r="M4006" s="32"/>
      <c r="N4006" s="32"/>
      <c r="O4006" s="32"/>
      <c r="P4006" s="32"/>
      <c r="Q4006" s="32"/>
      <c r="R4006" s="32"/>
      <c r="S4006" s="32"/>
      <c r="T4006" s="32"/>
      <c r="U4006" s="32"/>
      <c r="V4006" s="32"/>
      <c r="W4006" s="32"/>
      <c r="X4006" s="32"/>
      <c r="Y4006" s="32"/>
      <c r="Z4006" s="32"/>
    </row>
    <row r="4007" spans="1:26" ht="14.25" customHeight="1">
      <c r="I4007" s="32"/>
    </row>
    <row r="4008" spans="1:26" ht="14.25" customHeight="1">
      <c r="I4008" s="32"/>
    </row>
    <row r="4009" spans="1:26" ht="14.25" customHeight="1">
      <c r="I4009" s="32"/>
    </row>
    <row r="4010" spans="1:26" ht="14.25" customHeight="1">
      <c r="I4010" s="32"/>
    </row>
    <row r="4011" spans="1:26" ht="14.25" customHeight="1">
      <c r="I4011" s="32"/>
    </row>
    <row r="4012" spans="1:26" ht="14.25" customHeight="1">
      <c r="A4012" s="80" t="s">
        <v>0</v>
      </c>
      <c r="B4012" s="81"/>
      <c r="C4012" s="81"/>
      <c r="D4012" s="81"/>
      <c r="E4012" s="81"/>
      <c r="F4012" s="81"/>
      <c r="G4012" s="81"/>
      <c r="H4012" s="82"/>
      <c r="I4012" s="32"/>
      <c r="J4012" s="32"/>
      <c r="K4012" s="32"/>
      <c r="L4012" s="32"/>
      <c r="M4012" s="32"/>
      <c r="N4012" s="32"/>
      <c r="O4012" s="32"/>
      <c r="P4012" s="32"/>
      <c r="Q4012" s="32"/>
      <c r="R4012" s="32"/>
      <c r="S4012" s="32"/>
      <c r="T4012" s="32"/>
      <c r="U4012" s="32"/>
      <c r="V4012" s="32"/>
      <c r="W4012" s="32"/>
      <c r="X4012" s="32"/>
      <c r="Y4012" s="32"/>
      <c r="Z4012" s="32"/>
    </row>
    <row r="4013" spans="1:26" ht="14.25" customHeight="1">
      <c r="A4013" s="80" t="s">
        <v>1029</v>
      </c>
      <c r="B4013" s="81"/>
      <c r="C4013" s="81"/>
      <c r="D4013" s="81"/>
      <c r="E4013" s="81"/>
      <c r="F4013" s="81"/>
      <c r="G4013" s="81"/>
      <c r="H4013" s="82"/>
      <c r="I4013" s="32"/>
      <c r="J4013" s="32"/>
      <c r="K4013" s="32"/>
      <c r="L4013" s="32"/>
      <c r="M4013" s="32"/>
      <c r="N4013" s="32"/>
      <c r="O4013" s="32"/>
      <c r="P4013" s="32"/>
      <c r="Q4013" s="32"/>
      <c r="R4013" s="32"/>
      <c r="S4013" s="32"/>
      <c r="T4013" s="32"/>
      <c r="U4013" s="32"/>
      <c r="V4013" s="32"/>
      <c r="W4013" s="32"/>
      <c r="X4013" s="32"/>
      <c r="Y4013" s="32"/>
      <c r="Z4013" s="32"/>
    </row>
    <row r="4014" spans="1:26" ht="14.25" customHeight="1">
      <c r="A4014" s="33" t="s">
        <v>2</v>
      </c>
      <c r="B4014" s="33" t="s">
        <v>3</v>
      </c>
      <c r="C4014" s="33" t="s">
        <v>4</v>
      </c>
      <c r="D4014" s="33" t="s">
        <v>5</v>
      </c>
      <c r="E4014" s="33" t="s">
        <v>6</v>
      </c>
      <c r="F4014" s="34" t="s">
        <v>7</v>
      </c>
      <c r="G4014" s="33" t="s">
        <v>8</v>
      </c>
      <c r="H4014" s="35"/>
      <c r="I4014" s="32"/>
      <c r="J4014" s="32"/>
      <c r="K4014" s="32"/>
      <c r="L4014" s="32"/>
      <c r="M4014" s="32"/>
      <c r="N4014" s="32"/>
      <c r="O4014" s="32"/>
      <c r="P4014" s="32"/>
      <c r="Q4014" s="32"/>
      <c r="R4014" s="32"/>
      <c r="S4014" s="32"/>
      <c r="T4014" s="32"/>
      <c r="U4014" s="32"/>
      <c r="V4014" s="32"/>
      <c r="W4014" s="32"/>
      <c r="X4014" s="32"/>
      <c r="Y4014" s="32"/>
      <c r="Z4014" s="32"/>
    </row>
    <row r="4015" spans="1:26" ht="14.25" customHeight="1">
      <c r="A4015" s="36">
        <v>1</v>
      </c>
      <c r="B4015" s="18" t="s">
        <v>272</v>
      </c>
      <c r="C4015" s="5" t="s">
        <v>1030</v>
      </c>
      <c r="D4015" s="18" t="s">
        <v>413</v>
      </c>
      <c r="E4015" s="18">
        <v>1.74</v>
      </c>
      <c r="F4015" s="6">
        <v>293000</v>
      </c>
      <c r="G4015" s="37">
        <f t="shared" ref="G4015:G4017" si="256">IFERROR(E4015*F4015,0)</f>
        <v>509820</v>
      </c>
      <c r="H4015" s="38"/>
      <c r="I4015" s="32"/>
      <c r="J4015" s="32"/>
      <c r="K4015" s="32"/>
      <c r="L4015" s="32"/>
      <c r="M4015" s="32"/>
      <c r="N4015" s="32"/>
      <c r="O4015" s="32"/>
      <c r="P4015" s="32"/>
      <c r="Q4015" s="32"/>
      <c r="R4015" s="32"/>
      <c r="S4015" s="32"/>
      <c r="T4015" s="32"/>
      <c r="U4015" s="32"/>
      <c r="V4015" s="32"/>
      <c r="W4015" s="32"/>
      <c r="X4015" s="32"/>
      <c r="Y4015" s="32"/>
      <c r="Z4015" s="32"/>
    </row>
    <row r="4016" spans="1:26" ht="14.25" customHeight="1">
      <c r="A4016" s="36">
        <v>2</v>
      </c>
      <c r="B4016" s="12" t="s">
        <v>65</v>
      </c>
      <c r="C4016" s="10" t="s">
        <v>1031</v>
      </c>
      <c r="D4016" s="12" t="s">
        <v>233</v>
      </c>
      <c r="E4016" s="12">
        <v>1.7</v>
      </c>
      <c r="F4016" s="43">
        <v>435000</v>
      </c>
      <c r="G4016" s="37">
        <f t="shared" si="256"/>
        <v>739500</v>
      </c>
      <c r="H4016" s="38"/>
      <c r="I4016" s="32"/>
      <c r="J4016" s="32"/>
      <c r="K4016" s="32"/>
      <c r="L4016" s="32"/>
      <c r="M4016" s="32"/>
      <c r="N4016" s="32"/>
      <c r="O4016" s="32"/>
      <c r="P4016" s="32"/>
      <c r="Q4016" s="32"/>
      <c r="R4016" s="32"/>
      <c r="S4016" s="32"/>
      <c r="T4016" s="32"/>
      <c r="U4016" s="32"/>
      <c r="V4016" s="32"/>
      <c r="W4016" s="32"/>
      <c r="X4016" s="32"/>
      <c r="Y4016" s="32"/>
      <c r="Z4016" s="32"/>
    </row>
    <row r="4017" spans="1:26" ht="14.25" customHeight="1">
      <c r="A4017" s="36">
        <v>4</v>
      </c>
      <c r="B4017" s="39" t="s">
        <v>17</v>
      </c>
      <c r="C4017" s="38"/>
      <c r="D4017" s="38"/>
      <c r="E4017" s="38"/>
      <c r="F4017" s="60"/>
      <c r="G4017" s="37">
        <f t="shared" si="256"/>
        <v>0</v>
      </c>
      <c r="H4017" s="38"/>
      <c r="I4017" s="32"/>
      <c r="J4017" s="32"/>
      <c r="K4017" s="32"/>
      <c r="L4017" s="32"/>
      <c r="M4017" s="32"/>
      <c r="N4017" s="32"/>
      <c r="O4017" s="32"/>
      <c r="P4017" s="32"/>
      <c r="Q4017" s="32"/>
      <c r="R4017" s="32"/>
      <c r="S4017" s="32"/>
      <c r="T4017" s="32"/>
      <c r="U4017" s="32"/>
      <c r="V4017" s="32"/>
      <c r="W4017" s="32"/>
      <c r="X4017" s="32"/>
      <c r="Y4017" s="32"/>
      <c r="Z4017" s="32"/>
    </row>
    <row r="4018" spans="1:26" ht="14.25" customHeight="1">
      <c r="A4018" s="83" t="s">
        <v>18</v>
      </c>
      <c r="B4018" s="81"/>
      <c r="C4018" s="81"/>
      <c r="D4018" s="81"/>
      <c r="E4018" s="81"/>
      <c r="F4018" s="81"/>
      <c r="G4018" s="82"/>
      <c r="H4018" s="41">
        <f>SUM(G4015:G4017)</f>
        <v>1249320</v>
      </c>
      <c r="I4018" s="32"/>
      <c r="J4018" s="32"/>
      <c r="K4018" s="32"/>
      <c r="L4018" s="32"/>
      <c r="M4018" s="32"/>
      <c r="N4018" s="32"/>
      <c r="O4018" s="32"/>
      <c r="P4018" s="32"/>
      <c r="Q4018" s="32"/>
      <c r="R4018" s="32"/>
      <c r="S4018" s="32"/>
      <c r="T4018" s="32"/>
      <c r="U4018" s="32"/>
      <c r="V4018" s="32"/>
      <c r="W4018" s="32"/>
      <c r="X4018" s="32"/>
      <c r="Y4018" s="32"/>
      <c r="Z4018" s="32"/>
    </row>
    <row r="4019" spans="1:26" ht="14.25" customHeight="1">
      <c r="A4019" s="83" t="s">
        <v>19</v>
      </c>
      <c r="B4019" s="81"/>
      <c r="C4019" s="81"/>
      <c r="D4019" s="81"/>
      <c r="E4019" s="81"/>
      <c r="F4019" s="81"/>
      <c r="G4019" s="82"/>
      <c r="H4019" s="41">
        <f>MAX(0,H4018-648000)</f>
        <v>601320</v>
      </c>
      <c r="I4019" s="32"/>
      <c r="J4019" s="32"/>
      <c r="K4019" s="32"/>
      <c r="L4019" s="32"/>
      <c r="M4019" s="32"/>
      <c r="N4019" s="32"/>
      <c r="O4019" s="32"/>
      <c r="P4019" s="32"/>
      <c r="Q4019" s="32"/>
      <c r="R4019" s="32"/>
      <c r="S4019" s="32"/>
      <c r="T4019" s="32"/>
      <c r="U4019" s="32"/>
      <c r="V4019" s="32"/>
      <c r="W4019" s="32"/>
      <c r="X4019" s="32"/>
      <c r="Y4019" s="32"/>
      <c r="Z4019" s="32"/>
    </row>
    <row r="4020" spans="1:26" ht="14.25" customHeight="1">
      <c r="A4020" s="84" t="s">
        <v>20</v>
      </c>
      <c r="B4020" s="81"/>
      <c r="C4020" s="81"/>
      <c r="D4020" s="81"/>
      <c r="E4020" s="81"/>
      <c r="F4020" s="81"/>
      <c r="G4020" s="82"/>
      <c r="H4020" s="42">
        <v>649000</v>
      </c>
      <c r="I4020" s="32"/>
      <c r="J4020" s="32"/>
      <c r="K4020" s="32"/>
      <c r="L4020" s="32"/>
      <c r="M4020" s="32"/>
      <c r="N4020" s="32"/>
      <c r="O4020" s="32"/>
      <c r="P4020" s="32"/>
      <c r="Q4020" s="32"/>
      <c r="R4020" s="32"/>
      <c r="S4020" s="32"/>
      <c r="T4020" s="32"/>
      <c r="U4020" s="32"/>
      <c r="V4020" s="32"/>
      <c r="W4020" s="32"/>
      <c r="X4020" s="32"/>
      <c r="Y4020" s="32"/>
      <c r="Z4020" s="32"/>
    </row>
    <row r="4021" spans="1:26" ht="14.25" customHeight="1">
      <c r="A4021" s="80"/>
      <c r="B4021" s="81"/>
      <c r="C4021" s="81"/>
      <c r="D4021" s="81"/>
      <c r="E4021" s="81"/>
      <c r="F4021" s="81"/>
      <c r="G4021" s="81"/>
      <c r="H4021" s="82"/>
      <c r="I4021" s="32"/>
      <c r="J4021" s="32"/>
      <c r="K4021" s="32"/>
      <c r="L4021" s="32"/>
      <c r="M4021" s="32"/>
      <c r="N4021" s="32"/>
      <c r="O4021" s="32"/>
      <c r="P4021" s="32"/>
      <c r="Q4021" s="32"/>
      <c r="R4021" s="32"/>
      <c r="S4021" s="32"/>
      <c r="T4021" s="32"/>
      <c r="U4021" s="32"/>
      <c r="V4021" s="32"/>
      <c r="W4021" s="32"/>
      <c r="X4021" s="32"/>
      <c r="Y4021" s="32"/>
      <c r="Z4021" s="32"/>
    </row>
    <row r="4022" spans="1:26" ht="14.25" customHeight="1">
      <c r="I4022" s="32"/>
    </row>
    <row r="4023" spans="1:26" ht="14.25" customHeight="1">
      <c r="I4023" s="32"/>
    </row>
    <row r="4024" spans="1:26" ht="14.25" customHeight="1">
      <c r="I4024" s="32"/>
    </row>
    <row r="4025" spans="1:26" ht="14.25" customHeight="1">
      <c r="I4025" s="32"/>
    </row>
    <row r="4026" spans="1:26" ht="14.25" customHeight="1">
      <c r="I4026" s="32"/>
    </row>
    <row r="4027" spans="1:26" ht="14.25" customHeight="1">
      <c r="I4027" s="32"/>
    </row>
    <row r="4028" spans="1:26" ht="14.25" customHeight="1">
      <c r="I4028" s="32"/>
    </row>
    <row r="4029" spans="1:26" ht="14.25" customHeight="1">
      <c r="A4029" s="80" t="s">
        <v>0</v>
      </c>
      <c r="B4029" s="81"/>
      <c r="C4029" s="81"/>
      <c r="D4029" s="81"/>
      <c r="E4029" s="81"/>
      <c r="F4029" s="81"/>
      <c r="G4029" s="81"/>
      <c r="H4029" s="82"/>
      <c r="I4029" s="32"/>
      <c r="J4029" s="32"/>
      <c r="K4029" s="32"/>
      <c r="L4029" s="32"/>
      <c r="M4029" s="32"/>
      <c r="N4029" s="32"/>
      <c r="O4029" s="32"/>
      <c r="P4029" s="32"/>
      <c r="Q4029" s="32"/>
      <c r="R4029" s="32"/>
      <c r="S4029" s="32"/>
      <c r="T4029" s="32"/>
      <c r="U4029" s="32"/>
      <c r="V4029" s="32"/>
      <c r="W4029" s="32"/>
      <c r="X4029" s="32"/>
      <c r="Y4029" s="32"/>
      <c r="Z4029" s="32"/>
    </row>
    <row r="4030" spans="1:26" ht="14.25" customHeight="1">
      <c r="A4030" s="80" t="s">
        <v>1032</v>
      </c>
      <c r="B4030" s="81"/>
      <c r="C4030" s="81"/>
      <c r="D4030" s="81"/>
      <c r="E4030" s="81"/>
      <c r="F4030" s="81"/>
      <c r="G4030" s="81"/>
      <c r="H4030" s="82"/>
      <c r="I4030" s="32"/>
      <c r="J4030" s="32"/>
      <c r="K4030" s="32"/>
      <c r="L4030" s="32"/>
      <c r="M4030" s="32"/>
      <c r="N4030" s="32"/>
      <c r="O4030" s="32"/>
      <c r="P4030" s="32"/>
      <c r="Q4030" s="32"/>
      <c r="R4030" s="32"/>
      <c r="S4030" s="32"/>
      <c r="T4030" s="32"/>
      <c r="U4030" s="32"/>
      <c r="V4030" s="32"/>
      <c r="W4030" s="32"/>
      <c r="X4030" s="32"/>
      <c r="Y4030" s="32"/>
      <c r="Z4030" s="32"/>
    </row>
    <row r="4031" spans="1:26" ht="14.25" customHeight="1">
      <c r="A4031" s="33" t="s">
        <v>2</v>
      </c>
      <c r="B4031" s="33" t="s">
        <v>3</v>
      </c>
      <c r="C4031" s="33" t="s">
        <v>4</v>
      </c>
      <c r="D4031" s="33" t="s">
        <v>5</v>
      </c>
      <c r="E4031" s="33" t="s">
        <v>6</v>
      </c>
      <c r="F4031" s="34" t="s">
        <v>7</v>
      </c>
      <c r="G4031" s="33" t="s">
        <v>8</v>
      </c>
      <c r="H4031" s="35"/>
      <c r="I4031" s="32"/>
      <c r="J4031" s="32"/>
      <c r="K4031" s="32"/>
      <c r="L4031" s="32"/>
      <c r="M4031" s="32"/>
      <c r="N4031" s="32"/>
      <c r="O4031" s="32"/>
      <c r="P4031" s="32"/>
      <c r="Q4031" s="32"/>
      <c r="R4031" s="32"/>
      <c r="S4031" s="32"/>
      <c r="T4031" s="32"/>
      <c r="U4031" s="32"/>
      <c r="V4031" s="32"/>
      <c r="W4031" s="32"/>
      <c r="X4031" s="32"/>
      <c r="Y4031" s="32"/>
      <c r="Z4031" s="32"/>
    </row>
    <row r="4032" spans="1:26" ht="14.25" customHeight="1">
      <c r="A4032" s="36">
        <v>1</v>
      </c>
      <c r="B4032" s="18" t="s">
        <v>549</v>
      </c>
      <c r="C4032" s="5" t="s">
        <v>1033</v>
      </c>
      <c r="D4032" s="18" t="s">
        <v>413</v>
      </c>
      <c r="E4032" s="18">
        <v>0.63</v>
      </c>
      <c r="F4032" s="6">
        <v>293000</v>
      </c>
      <c r="G4032" s="37">
        <f t="shared" ref="G4032:G4034" si="257">IFERROR(E4032*F4032,0)</f>
        <v>184590</v>
      </c>
      <c r="H4032" s="38"/>
      <c r="I4032" s="32"/>
      <c r="J4032" s="32"/>
      <c r="K4032" s="32"/>
      <c r="L4032" s="32"/>
      <c r="M4032" s="32"/>
      <c r="N4032" s="32"/>
      <c r="O4032" s="32"/>
      <c r="P4032" s="32"/>
      <c r="Q4032" s="32"/>
      <c r="R4032" s="32"/>
      <c r="S4032" s="32"/>
      <c r="T4032" s="32"/>
      <c r="U4032" s="32"/>
      <c r="V4032" s="32"/>
      <c r="W4032" s="32"/>
      <c r="X4032" s="32"/>
      <c r="Y4032" s="32"/>
      <c r="Z4032" s="32"/>
    </row>
    <row r="4033" spans="1:26" ht="14.25" customHeight="1">
      <c r="A4033" s="36">
        <v>2</v>
      </c>
      <c r="B4033" s="12" t="s">
        <v>125</v>
      </c>
      <c r="C4033" s="10" t="s">
        <v>1034</v>
      </c>
      <c r="D4033" s="12" t="s">
        <v>233</v>
      </c>
      <c r="E4033" s="12">
        <v>3</v>
      </c>
      <c r="F4033" s="43">
        <v>435000</v>
      </c>
      <c r="G4033" s="37">
        <f t="shared" si="257"/>
        <v>1305000</v>
      </c>
      <c r="H4033" s="38"/>
      <c r="I4033" s="32"/>
      <c r="J4033" s="32"/>
      <c r="K4033" s="32"/>
      <c r="L4033" s="32"/>
      <c r="M4033" s="32"/>
      <c r="N4033" s="32"/>
      <c r="O4033" s="32"/>
      <c r="P4033" s="32"/>
      <c r="Q4033" s="32"/>
      <c r="R4033" s="32"/>
      <c r="S4033" s="32"/>
      <c r="T4033" s="32"/>
      <c r="U4033" s="32"/>
      <c r="V4033" s="32"/>
      <c r="W4033" s="32"/>
      <c r="X4033" s="32"/>
      <c r="Y4033" s="32"/>
      <c r="Z4033" s="32"/>
    </row>
    <row r="4034" spans="1:26" ht="14.25" customHeight="1">
      <c r="A4034" s="36">
        <v>4</v>
      </c>
      <c r="B4034" s="39" t="s">
        <v>17</v>
      </c>
      <c r="C4034" s="38"/>
      <c r="D4034" s="38"/>
      <c r="E4034" s="38"/>
      <c r="F4034" s="60"/>
      <c r="G4034" s="37">
        <f t="shared" si="257"/>
        <v>0</v>
      </c>
      <c r="H4034" s="38"/>
      <c r="I4034" s="32"/>
      <c r="J4034" s="32"/>
      <c r="K4034" s="32"/>
      <c r="L4034" s="32"/>
      <c r="M4034" s="32"/>
      <c r="N4034" s="32"/>
      <c r="O4034" s="32"/>
      <c r="P4034" s="32"/>
      <c r="Q4034" s="32"/>
      <c r="R4034" s="32"/>
      <c r="S4034" s="32"/>
      <c r="T4034" s="32"/>
      <c r="U4034" s="32"/>
      <c r="V4034" s="32"/>
      <c r="W4034" s="32"/>
      <c r="X4034" s="32"/>
      <c r="Y4034" s="32"/>
      <c r="Z4034" s="32"/>
    </row>
    <row r="4035" spans="1:26" ht="14.25" customHeight="1">
      <c r="A4035" s="83" t="s">
        <v>18</v>
      </c>
      <c r="B4035" s="81"/>
      <c r="C4035" s="81"/>
      <c r="D4035" s="81"/>
      <c r="E4035" s="81"/>
      <c r="F4035" s="81"/>
      <c r="G4035" s="82"/>
      <c r="H4035" s="41">
        <f>SUM(G4032:G4034)</f>
        <v>1489590</v>
      </c>
      <c r="I4035" s="32"/>
      <c r="J4035" s="32"/>
      <c r="K4035" s="32"/>
      <c r="L4035" s="32"/>
      <c r="M4035" s="32"/>
      <c r="N4035" s="32"/>
      <c r="O4035" s="32"/>
      <c r="P4035" s="32"/>
      <c r="Q4035" s="32"/>
      <c r="R4035" s="32"/>
      <c r="S4035" s="32"/>
      <c r="T4035" s="32"/>
      <c r="U4035" s="32"/>
      <c r="V4035" s="32"/>
      <c r="W4035" s="32"/>
      <c r="X4035" s="32"/>
      <c r="Y4035" s="32"/>
      <c r="Z4035" s="32"/>
    </row>
    <row r="4036" spans="1:26" ht="14.25" customHeight="1">
      <c r="A4036" s="83" t="s">
        <v>19</v>
      </c>
      <c r="B4036" s="81"/>
      <c r="C4036" s="81"/>
      <c r="D4036" s="81"/>
      <c r="E4036" s="81"/>
      <c r="F4036" s="81"/>
      <c r="G4036" s="82"/>
      <c r="H4036" s="41">
        <f>MAX(0,H4035-648000)</f>
        <v>841590</v>
      </c>
      <c r="I4036" s="32"/>
      <c r="J4036" s="32"/>
      <c r="K4036" s="32"/>
      <c r="L4036" s="32"/>
      <c r="M4036" s="32"/>
      <c r="N4036" s="32"/>
      <c r="O4036" s="32"/>
      <c r="P4036" s="32"/>
      <c r="Q4036" s="32"/>
      <c r="R4036" s="32"/>
      <c r="S4036" s="32"/>
      <c r="T4036" s="32"/>
      <c r="U4036" s="32"/>
      <c r="V4036" s="32"/>
      <c r="W4036" s="32"/>
      <c r="X4036" s="32"/>
      <c r="Y4036" s="32"/>
      <c r="Z4036" s="32"/>
    </row>
    <row r="4037" spans="1:26" ht="14.25" customHeight="1">
      <c r="A4037" s="84" t="s">
        <v>20</v>
      </c>
      <c r="B4037" s="81"/>
      <c r="C4037" s="81"/>
      <c r="D4037" s="81"/>
      <c r="E4037" s="81"/>
      <c r="F4037" s="81"/>
      <c r="G4037" s="82"/>
      <c r="H4037" s="42">
        <v>649000</v>
      </c>
      <c r="I4037" s="32"/>
      <c r="J4037" s="32"/>
      <c r="K4037" s="32"/>
      <c r="L4037" s="32"/>
      <c r="M4037" s="32"/>
      <c r="N4037" s="32"/>
      <c r="O4037" s="32"/>
      <c r="P4037" s="32"/>
      <c r="Q4037" s="32"/>
      <c r="R4037" s="32"/>
      <c r="S4037" s="32"/>
      <c r="T4037" s="32"/>
      <c r="U4037" s="32"/>
      <c r="V4037" s="32"/>
      <c r="W4037" s="32"/>
      <c r="X4037" s="32"/>
      <c r="Y4037" s="32"/>
      <c r="Z4037" s="32"/>
    </row>
    <row r="4038" spans="1:26" ht="14.25" customHeight="1">
      <c r="A4038" s="80"/>
      <c r="B4038" s="81"/>
      <c r="C4038" s="81"/>
      <c r="D4038" s="81"/>
      <c r="E4038" s="81"/>
      <c r="F4038" s="81"/>
      <c r="G4038" s="81"/>
      <c r="H4038" s="82"/>
      <c r="I4038" s="32"/>
      <c r="J4038" s="32"/>
      <c r="K4038" s="32"/>
      <c r="L4038" s="32"/>
      <c r="M4038" s="32"/>
      <c r="N4038" s="32"/>
      <c r="O4038" s="32"/>
      <c r="P4038" s="32"/>
      <c r="Q4038" s="32"/>
      <c r="R4038" s="32"/>
      <c r="S4038" s="32"/>
      <c r="T4038" s="32"/>
      <c r="U4038" s="32"/>
      <c r="V4038" s="32"/>
      <c r="W4038" s="32"/>
      <c r="X4038" s="32"/>
      <c r="Y4038" s="32"/>
      <c r="Z4038" s="32"/>
    </row>
    <row r="4039" spans="1:26" ht="14.25" customHeight="1">
      <c r="I4039" s="32"/>
    </row>
    <row r="4040" spans="1:26" ht="14.25" customHeight="1">
      <c r="I4040" s="32"/>
    </row>
    <row r="4041" spans="1:26" ht="14.25" customHeight="1">
      <c r="I4041" s="32"/>
    </row>
    <row r="4042" spans="1:26" ht="14.25" customHeight="1">
      <c r="I4042" s="32"/>
    </row>
    <row r="4043" spans="1:26" ht="14.25" customHeight="1">
      <c r="A4043" s="80" t="s">
        <v>0</v>
      </c>
      <c r="B4043" s="81"/>
      <c r="C4043" s="81"/>
      <c r="D4043" s="81"/>
      <c r="E4043" s="81"/>
      <c r="F4043" s="81"/>
      <c r="G4043" s="81"/>
      <c r="H4043" s="82"/>
      <c r="I4043" s="32"/>
      <c r="J4043" s="32"/>
      <c r="K4043" s="32"/>
      <c r="L4043" s="32"/>
      <c r="M4043" s="32"/>
      <c r="N4043" s="32"/>
      <c r="O4043" s="32"/>
      <c r="P4043" s="32"/>
      <c r="Q4043" s="32"/>
      <c r="R4043" s="32"/>
      <c r="S4043" s="32"/>
      <c r="T4043" s="32"/>
      <c r="U4043" s="32"/>
      <c r="V4043" s="32"/>
      <c r="W4043" s="32"/>
      <c r="X4043" s="32"/>
      <c r="Y4043" s="32"/>
      <c r="Z4043" s="32"/>
    </row>
    <row r="4044" spans="1:26" ht="14.25" customHeight="1">
      <c r="A4044" s="80" t="s">
        <v>1035</v>
      </c>
      <c r="B4044" s="81"/>
      <c r="C4044" s="81"/>
      <c r="D4044" s="81"/>
      <c r="E4044" s="81"/>
      <c r="F4044" s="81"/>
      <c r="G4044" s="81"/>
      <c r="H4044" s="82"/>
      <c r="I4044" s="32"/>
      <c r="J4044" s="32"/>
      <c r="K4044" s="32"/>
      <c r="L4044" s="32"/>
      <c r="M4044" s="32"/>
      <c r="N4044" s="32"/>
      <c r="O4044" s="32"/>
      <c r="P4044" s="32"/>
      <c r="Q4044" s="32"/>
      <c r="R4044" s="32"/>
      <c r="S4044" s="32"/>
      <c r="T4044" s="32"/>
      <c r="U4044" s="32"/>
      <c r="V4044" s="32"/>
      <c r="W4044" s="32"/>
      <c r="X4044" s="32"/>
      <c r="Y4044" s="32"/>
      <c r="Z4044" s="32"/>
    </row>
    <row r="4045" spans="1:26" ht="14.25" customHeight="1">
      <c r="A4045" s="33" t="s">
        <v>2</v>
      </c>
      <c r="B4045" s="33" t="s">
        <v>3</v>
      </c>
      <c r="C4045" s="33" t="s">
        <v>4</v>
      </c>
      <c r="D4045" s="33" t="s">
        <v>5</v>
      </c>
      <c r="E4045" s="33" t="s">
        <v>6</v>
      </c>
      <c r="F4045" s="34" t="s">
        <v>7</v>
      </c>
      <c r="G4045" s="33" t="s">
        <v>8</v>
      </c>
      <c r="H4045" s="35"/>
      <c r="I4045" s="32"/>
      <c r="J4045" s="32"/>
      <c r="K4045" s="32"/>
      <c r="L4045" s="32"/>
      <c r="M4045" s="32"/>
      <c r="N4045" s="32"/>
      <c r="O4045" s="32"/>
      <c r="P4045" s="32"/>
      <c r="Q4045" s="32"/>
      <c r="R4045" s="32"/>
      <c r="S4045" s="32"/>
      <c r="T4045" s="32"/>
      <c r="U4045" s="32"/>
      <c r="V4045" s="32"/>
      <c r="W4045" s="32"/>
      <c r="X4045" s="32"/>
      <c r="Y4045" s="32"/>
      <c r="Z4045" s="32"/>
    </row>
    <row r="4046" spans="1:26" ht="14.25" customHeight="1">
      <c r="A4046" s="36">
        <v>1</v>
      </c>
      <c r="B4046" s="18" t="s">
        <v>1036</v>
      </c>
      <c r="C4046" s="5" t="s">
        <v>1037</v>
      </c>
      <c r="D4046" s="18" t="s">
        <v>413</v>
      </c>
      <c r="E4046" s="18">
        <v>2</v>
      </c>
      <c r="F4046" s="6">
        <v>293000</v>
      </c>
      <c r="G4046" s="37">
        <f t="shared" ref="G4046:G4048" si="258">IFERROR(E4046*F4046,0)</f>
        <v>586000</v>
      </c>
      <c r="H4046" s="38"/>
      <c r="I4046" s="32"/>
      <c r="J4046" s="32"/>
      <c r="K4046" s="32"/>
      <c r="L4046" s="32"/>
      <c r="M4046" s="32"/>
      <c r="N4046" s="32"/>
      <c r="O4046" s="32"/>
      <c r="P4046" s="32"/>
      <c r="Q4046" s="32"/>
      <c r="R4046" s="32"/>
      <c r="S4046" s="32"/>
      <c r="T4046" s="32"/>
      <c r="U4046" s="32"/>
      <c r="V4046" s="32"/>
      <c r="W4046" s="32"/>
      <c r="X4046" s="32"/>
      <c r="Y4046" s="32"/>
      <c r="Z4046" s="32"/>
    </row>
    <row r="4047" spans="1:26" ht="14.25" customHeight="1">
      <c r="A4047" s="36">
        <v>2</v>
      </c>
      <c r="B4047" s="12" t="s">
        <v>205</v>
      </c>
      <c r="C4047" s="10" t="s">
        <v>1038</v>
      </c>
      <c r="D4047" s="12" t="s">
        <v>14</v>
      </c>
      <c r="E4047" s="12">
        <v>1.43</v>
      </c>
      <c r="F4047" s="43">
        <v>435000</v>
      </c>
      <c r="G4047" s="37">
        <f t="shared" si="258"/>
        <v>622050</v>
      </c>
      <c r="H4047" s="38"/>
      <c r="I4047" s="32"/>
      <c r="J4047" s="32"/>
      <c r="K4047" s="32"/>
      <c r="L4047" s="32"/>
      <c r="M4047" s="32"/>
      <c r="N4047" s="32"/>
      <c r="O4047" s="32"/>
      <c r="P4047" s="32"/>
      <c r="Q4047" s="32"/>
      <c r="R4047" s="32"/>
      <c r="S4047" s="32"/>
      <c r="T4047" s="32"/>
      <c r="U4047" s="32"/>
      <c r="V4047" s="32"/>
      <c r="W4047" s="32"/>
      <c r="X4047" s="32"/>
      <c r="Y4047" s="32"/>
      <c r="Z4047" s="32"/>
    </row>
    <row r="4048" spans="1:26" ht="14.25" customHeight="1">
      <c r="A4048" s="36">
        <v>4</v>
      </c>
      <c r="B4048" s="39" t="s">
        <v>17</v>
      </c>
      <c r="C4048" s="38"/>
      <c r="D4048" s="38"/>
      <c r="E4048" s="38"/>
      <c r="F4048" s="60"/>
      <c r="G4048" s="37">
        <f t="shared" si="258"/>
        <v>0</v>
      </c>
      <c r="H4048" s="38"/>
      <c r="I4048" s="32"/>
      <c r="J4048" s="32"/>
      <c r="K4048" s="32"/>
      <c r="L4048" s="32"/>
      <c r="M4048" s="32"/>
      <c r="N4048" s="32"/>
      <c r="O4048" s="32"/>
      <c r="P4048" s="32"/>
      <c r="Q4048" s="32"/>
      <c r="R4048" s="32"/>
      <c r="S4048" s="32"/>
      <c r="T4048" s="32"/>
      <c r="U4048" s="32"/>
      <c r="V4048" s="32"/>
      <c r="W4048" s="32"/>
      <c r="X4048" s="32"/>
      <c r="Y4048" s="32"/>
      <c r="Z4048" s="32"/>
    </row>
    <row r="4049" spans="1:26" ht="14.25" customHeight="1">
      <c r="A4049" s="83" t="s">
        <v>18</v>
      </c>
      <c r="B4049" s="81"/>
      <c r="C4049" s="81"/>
      <c r="D4049" s="81"/>
      <c r="E4049" s="81"/>
      <c r="F4049" s="81"/>
      <c r="G4049" s="82"/>
      <c r="H4049" s="41">
        <f>SUM(G4046:G4048)</f>
        <v>1208050</v>
      </c>
      <c r="I4049" s="32"/>
      <c r="J4049" s="32"/>
      <c r="K4049" s="32"/>
      <c r="L4049" s="32"/>
      <c r="M4049" s="32"/>
      <c r="N4049" s="32"/>
      <c r="O4049" s="32"/>
      <c r="P4049" s="32"/>
      <c r="Q4049" s="32"/>
      <c r="R4049" s="32"/>
      <c r="S4049" s="32"/>
      <c r="T4049" s="32"/>
      <c r="U4049" s="32"/>
      <c r="V4049" s="32"/>
      <c r="W4049" s="32"/>
      <c r="X4049" s="32"/>
      <c r="Y4049" s="32"/>
      <c r="Z4049" s="32"/>
    </row>
    <row r="4050" spans="1:26" ht="14.25" customHeight="1">
      <c r="A4050" s="83" t="s">
        <v>19</v>
      </c>
      <c r="B4050" s="81"/>
      <c r="C4050" s="81"/>
      <c r="D4050" s="81"/>
      <c r="E4050" s="81"/>
      <c r="F4050" s="81"/>
      <c r="G4050" s="82"/>
      <c r="H4050" s="41">
        <f>MAX(0,H4049-648000)</f>
        <v>560050</v>
      </c>
      <c r="I4050" s="32"/>
      <c r="J4050" s="32"/>
      <c r="K4050" s="32"/>
      <c r="L4050" s="32"/>
      <c r="M4050" s="32"/>
      <c r="N4050" s="32"/>
      <c r="O4050" s="32"/>
      <c r="P4050" s="32"/>
      <c r="Q4050" s="32"/>
      <c r="R4050" s="32"/>
      <c r="S4050" s="32"/>
      <c r="T4050" s="32"/>
      <c r="U4050" s="32"/>
      <c r="V4050" s="32"/>
      <c r="W4050" s="32"/>
      <c r="X4050" s="32"/>
      <c r="Y4050" s="32"/>
      <c r="Z4050" s="32"/>
    </row>
    <row r="4051" spans="1:26" ht="14.25" customHeight="1">
      <c r="A4051" s="84" t="s">
        <v>20</v>
      </c>
      <c r="B4051" s="81"/>
      <c r="C4051" s="81"/>
      <c r="D4051" s="81"/>
      <c r="E4051" s="81"/>
      <c r="F4051" s="81"/>
      <c r="G4051" s="82"/>
      <c r="H4051" s="42">
        <v>649000</v>
      </c>
      <c r="I4051" s="32"/>
      <c r="J4051" s="32"/>
      <c r="K4051" s="32"/>
      <c r="L4051" s="32"/>
      <c r="M4051" s="32"/>
      <c r="N4051" s="32"/>
      <c r="O4051" s="32"/>
      <c r="P4051" s="32"/>
      <c r="Q4051" s="32"/>
      <c r="R4051" s="32"/>
      <c r="S4051" s="32"/>
      <c r="T4051" s="32"/>
      <c r="U4051" s="32"/>
      <c r="V4051" s="32"/>
      <c r="W4051" s="32"/>
      <c r="X4051" s="32"/>
      <c r="Y4051" s="32"/>
      <c r="Z4051" s="32"/>
    </row>
    <row r="4052" spans="1:26" ht="14.25" customHeight="1">
      <c r="A4052" s="80"/>
      <c r="B4052" s="81"/>
      <c r="C4052" s="81"/>
      <c r="D4052" s="81"/>
      <c r="E4052" s="81"/>
      <c r="F4052" s="81"/>
      <c r="G4052" s="81"/>
      <c r="H4052" s="82"/>
      <c r="I4052" s="32"/>
      <c r="J4052" s="32"/>
      <c r="K4052" s="32"/>
      <c r="L4052" s="32"/>
      <c r="M4052" s="32"/>
      <c r="N4052" s="32"/>
      <c r="O4052" s="32"/>
      <c r="P4052" s="32"/>
      <c r="Q4052" s="32"/>
      <c r="R4052" s="32"/>
      <c r="S4052" s="32"/>
      <c r="T4052" s="32"/>
      <c r="U4052" s="32"/>
      <c r="V4052" s="32"/>
      <c r="W4052" s="32"/>
      <c r="X4052" s="32"/>
      <c r="Y4052" s="32"/>
      <c r="Z4052" s="32"/>
    </row>
    <row r="4053" spans="1:26" ht="14.25" customHeight="1"/>
    <row r="4054" spans="1:26" ht="14.25" customHeight="1"/>
    <row r="4055" spans="1:26" ht="14.25" customHeight="1"/>
    <row r="4056" spans="1:26" ht="14.25" customHeight="1"/>
    <row r="4057" spans="1:26" ht="14.25" customHeight="1"/>
    <row r="4058" spans="1:26" ht="14.25" customHeight="1">
      <c r="A4058" s="80" t="s">
        <v>0</v>
      </c>
      <c r="B4058" s="81"/>
      <c r="C4058" s="81"/>
      <c r="D4058" s="81"/>
      <c r="E4058" s="81"/>
      <c r="F4058" s="81"/>
      <c r="G4058" s="81"/>
      <c r="H4058" s="82"/>
      <c r="I4058" s="32"/>
      <c r="J4058" s="32"/>
      <c r="K4058" s="32"/>
      <c r="L4058" s="32"/>
      <c r="M4058" s="32"/>
      <c r="N4058" s="32"/>
      <c r="O4058" s="32"/>
      <c r="P4058" s="32"/>
      <c r="Q4058" s="32"/>
      <c r="R4058" s="32"/>
      <c r="S4058" s="32"/>
      <c r="T4058" s="32"/>
      <c r="U4058" s="32"/>
      <c r="V4058" s="32"/>
      <c r="W4058" s="32"/>
      <c r="X4058" s="32"/>
      <c r="Y4058" s="32"/>
      <c r="Z4058" s="32"/>
    </row>
    <row r="4059" spans="1:26" ht="14.25" customHeight="1">
      <c r="A4059" s="80" t="s">
        <v>1039</v>
      </c>
      <c r="B4059" s="81"/>
      <c r="C4059" s="81"/>
      <c r="D4059" s="81"/>
      <c r="E4059" s="81"/>
      <c r="F4059" s="81"/>
      <c r="G4059" s="81"/>
      <c r="H4059" s="82"/>
      <c r="I4059" s="32"/>
      <c r="J4059" s="32"/>
      <c r="K4059" s="32"/>
      <c r="L4059" s="32"/>
      <c r="M4059" s="32"/>
      <c r="N4059" s="32"/>
      <c r="O4059" s="32"/>
      <c r="P4059" s="32"/>
      <c r="Q4059" s="32"/>
      <c r="R4059" s="32"/>
      <c r="S4059" s="32"/>
      <c r="T4059" s="32"/>
      <c r="U4059" s="32"/>
      <c r="V4059" s="32"/>
      <c r="W4059" s="32"/>
      <c r="X4059" s="32"/>
      <c r="Y4059" s="32"/>
      <c r="Z4059" s="32"/>
    </row>
    <row r="4060" spans="1:26" ht="14.25" customHeight="1">
      <c r="A4060" s="33" t="s">
        <v>2</v>
      </c>
      <c r="B4060" s="33" t="s">
        <v>3</v>
      </c>
      <c r="C4060" s="33" t="s">
        <v>4</v>
      </c>
      <c r="D4060" s="33" t="s">
        <v>5</v>
      </c>
      <c r="E4060" s="33" t="s">
        <v>6</v>
      </c>
      <c r="F4060" s="34" t="s">
        <v>7</v>
      </c>
      <c r="G4060" s="33" t="s">
        <v>8</v>
      </c>
      <c r="H4060" s="35"/>
      <c r="I4060" s="32"/>
      <c r="J4060" s="32"/>
      <c r="K4060" s="32"/>
      <c r="L4060" s="32"/>
      <c r="M4060" s="32"/>
      <c r="N4060" s="32"/>
      <c r="O4060" s="32"/>
      <c r="P4060" s="32"/>
      <c r="Q4060" s="32"/>
      <c r="R4060" s="32"/>
      <c r="S4060" s="32"/>
      <c r="T4060" s="32"/>
      <c r="U4060" s="32"/>
      <c r="V4060" s="32"/>
      <c r="W4060" s="32"/>
      <c r="X4060" s="32"/>
      <c r="Y4060" s="32"/>
      <c r="Z4060" s="32"/>
    </row>
    <row r="4061" spans="1:26" ht="14.25" customHeight="1">
      <c r="A4061" s="36">
        <v>1</v>
      </c>
      <c r="B4061" s="18" t="s">
        <v>33</v>
      </c>
      <c r="C4061" s="5" t="s">
        <v>1040</v>
      </c>
      <c r="D4061" s="18" t="s">
        <v>11</v>
      </c>
      <c r="E4061" s="18">
        <v>2</v>
      </c>
      <c r="F4061" s="6">
        <v>293000</v>
      </c>
      <c r="G4061" s="37">
        <f t="shared" ref="G4061:G4063" si="259">IFERROR(E4061*F4061,0)</f>
        <v>586000</v>
      </c>
      <c r="H4061" s="38"/>
      <c r="I4061" s="32"/>
      <c r="J4061" s="32"/>
      <c r="K4061" s="32"/>
      <c r="L4061" s="32"/>
      <c r="M4061" s="32"/>
      <c r="N4061" s="32"/>
      <c r="O4061" s="32"/>
      <c r="P4061" s="32"/>
      <c r="Q4061" s="32"/>
      <c r="R4061" s="32"/>
      <c r="S4061" s="32"/>
      <c r="T4061" s="32"/>
      <c r="U4061" s="32"/>
      <c r="V4061" s="32"/>
      <c r="W4061" s="32"/>
      <c r="X4061" s="32"/>
      <c r="Y4061" s="32"/>
      <c r="Z4061" s="32"/>
    </row>
    <row r="4062" spans="1:26" ht="14.25" customHeight="1">
      <c r="A4062" s="36">
        <v>2</v>
      </c>
      <c r="B4062" s="12" t="s">
        <v>78</v>
      </c>
      <c r="C4062" s="10" t="s">
        <v>1041</v>
      </c>
      <c r="D4062" s="12" t="s">
        <v>14</v>
      </c>
      <c r="E4062" s="12">
        <v>1.5</v>
      </c>
      <c r="F4062" s="43">
        <v>435000</v>
      </c>
      <c r="G4062" s="37">
        <f t="shared" si="259"/>
        <v>652500</v>
      </c>
      <c r="H4062" s="38"/>
      <c r="I4062" s="32"/>
      <c r="J4062" s="32"/>
      <c r="K4062" s="32"/>
      <c r="L4062" s="32"/>
      <c r="M4062" s="32"/>
      <c r="N4062" s="32"/>
      <c r="O4062" s="32"/>
      <c r="P4062" s="32"/>
      <c r="Q4062" s="32"/>
      <c r="R4062" s="32"/>
      <c r="S4062" s="32"/>
      <c r="T4062" s="32"/>
      <c r="U4062" s="32"/>
      <c r="V4062" s="32"/>
      <c r="W4062" s="32"/>
      <c r="X4062" s="32"/>
      <c r="Y4062" s="32"/>
      <c r="Z4062" s="32"/>
    </row>
    <row r="4063" spans="1:26" ht="14.25" customHeight="1">
      <c r="A4063" s="36">
        <v>4</v>
      </c>
      <c r="B4063" s="39" t="s">
        <v>17</v>
      </c>
      <c r="C4063" s="38"/>
      <c r="D4063" s="38"/>
      <c r="E4063" s="38"/>
      <c r="F4063" s="60"/>
      <c r="G4063" s="37">
        <f t="shared" si="259"/>
        <v>0</v>
      </c>
      <c r="H4063" s="38"/>
      <c r="I4063" s="32"/>
      <c r="J4063" s="32"/>
      <c r="K4063" s="32"/>
      <c r="L4063" s="32"/>
      <c r="M4063" s="32"/>
      <c r="N4063" s="32"/>
      <c r="O4063" s="32"/>
      <c r="P4063" s="32"/>
      <c r="Q4063" s="32"/>
      <c r="R4063" s="32"/>
      <c r="S4063" s="32"/>
      <c r="T4063" s="32"/>
      <c r="U4063" s="32"/>
      <c r="V4063" s="32"/>
      <c r="W4063" s="32"/>
      <c r="X4063" s="32"/>
      <c r="Y4063" s="32"/>
      <c r="Z4063" s="32"/>
    </row>
    <row r="4064" spans="1:26" ht="14.25" customHeight="1">
      <c r="A4064" s="83" t="s">
        <v>18</v>
      </c>
      <c r="B4064" s="81"/>
      <c r="C4064" s="81"/>
      <c r="D4064" s="81"/>
      <c r="E4064" s="81"/>
      <c r="F4064" s="81"/>
      <c r="G4064" s="82"/>
      <c r="H4064" s="41">
        <f>SUM(G4061:G4063)</f>
        <v>1238500</v>
      </c>
      <c r="I4064" s="32"/>
      <c r="J4064" s="32"/>
      <c r="K4064" s="32"/>
      <c r="L4064" s="32"/>
      <c r="M4064" s="32"/>
      <c r="N4064" s="32"/>
      <c r="O4064" s="32"/>
      <c r="P4064" s="32"/>
      <c r="Q4064" s="32"/>
      <c r="R4064" s="32"/>
      <c r="S4064" s="32"/>
      <c r="T4064" s="32"/>
      <c r="U4064" s="32"/>
      <c r="V4064" s="32"/>
      <c r="W4064" s="32"/>
      <c r="X4064" s="32"/>
      <c r="Y4064" s="32"/>
      <c r="Z4064" s="32"/>
    </row>
    <row r="4065" spans="1:26" ht="14.25" customHeight="1">
      <c r="A4065" s="83" t="s">
        <v>19</v>
      </c>
      <c r="B4065" s="81"/>
      <c r="C4065" s="81"/>
      <c r="D4065" s="81"/>
      <c r="E4065" s="81"/>
      <c r="F4065" s="81"/>
      <c r="G4065" s="82"/>
      <c r="H4065" s="41">
        <f>MAX(0,H4064-648000)</f>
        <v>590500</v>
      </c>
      <c r="I4065" s="32"/>
      <c r="J4065" s="32"/>
      <c r="K4065" s="32"/>
      <c r="L4065" s="32"/>
      <c r="M4065" s="32"/>
      <c r="N4065" s="32"/>
      <c r="O4065" s="32"/>
      <c r="P4065" s="32"/>
      <c r="Q4065" s="32"/>
      <c r="R4065" s="32"/>
      <c r="S4065" s="32"/>
      <c r="T4065" s="32"/>
      <c r="U4065" s="32"/>
      <c r="V4065" s="32"/>
      <c r="W4065" s="32"/>
      <c r="X4065" s="32"/>
      <c r="Y4065" s="32"/>
      <c r="Z4065" s="32"/>
    </row>
    <row r="4066" spans="1:26" ht="14.25" customHeight="1">
      <c r="A4066" s="84" t="s">
        <v>20</v>
      </c>
      <c r="B4066" s="81"/>
      <c r="C4066" s="81"/>
      <c r="D4066" s="81"/>
      <c r="E4066" s="81"/>
      <c r="F4066" s="81"/>
      <c r="G4066" s="82"/>
      <c r="H4066" s="42">
        <v>649000</v>
      </c>
      <c r="I4066" s="32"/>
      <c r="J4066" s="32"/>
      <c r="K4066" s="32"/>
      <c r="L4066" s="32"/>
      <c r="M4066" s="32"/>
      <c r="N4066" s="32"/>
      <c r="O4066" s="32"/>
      <c r="P4066" s="32"/>
      <c r="Q4066" s="32"/>
      <c r="R4066" s="32"/>
      <c r="S4066" s="32"/>
      <c r="T4066" s="32"/>
      <c r="U4066" s="32"/>
      <c r="V4066" s="32"/>
      <c r="W4066" s="32"/>
      <c r="X4066" s="32"/>
      <c r="Y4066" s="32"/>
      <c r="Z4066" s="32"/>
    </row>
    <row r="4067" spans="1:26" ht="14.25" customHeight="1">
      <c r="A4067" s="80"/>
      <c r="B4067" s="81"/>
      <c r="C4067" s="81"/>
      <c r="D4067" s="81"/>
      <c r="E4067" s="81"/>
      <c r="F4067" s="81"/>
      <c r="G4067" s="81"/>
      <c r="H4067" s="82"/>
      <c r="I4067" s="32"/>
      <c r="J4067" s="32"/>
      <c r="K4067" s="32"/>
      <c r="L4067" s="32"/>
      <c r="M4067" s="32"/>
      <c r="N4067" s="32"/>
      <c r="O4067" s="32"/>
      <c r="P4067" s="32"/>
      <c r="Q4067" s="32"/>
      <c r="R4067" s="32"/>
      <c r="S4067" s="32"/>
      <c r="T4067" s="32"/>
      <c r="U4067" s="32"/>
      <c r="V4067" s="32"/>
      <c r="W4067" s="32"/>
      <c r="X4067" s="32"/>
      <c r="Y4067" s="32"/>
      <c r="Z4067" s="32"/>
    </row>
    <row r="4068" spans="1:26" ht="14.25" customHeight="1"/>
    <row r="4069" spans="1:26" ht="14.25" customHeight="1"/>
    <row r="4070" spans="1:26" ht="14.25" customHeight="1"/>
    <row r="4071" spans="1:26" ht="14.25" customHeight="1"/>
    <row r="4072" spans="1:26" ht="14.25" customHeight="1"/>
    <row r="4073" spans="1:26" ht="14.25" customHeight="1">
      <c r="A4073" s="80" t="s">
        <v>0</v>
      </c>
      <c r="B4073" s="81"/>
      <c r="C4073" s="81"/>
      <c r="D4073" s="81"/>
      <c r="E4073" s="81"/>
      <c r="F4073" s="81"/>
      <c r="G4073" s="81"/>
      <c r="H4073" s="82"/>
      <c r="I4073" s="32"/>
      <c r="J4073" s="32"/>
      <c r="K4073" s="32"/>
      <c r="L4073" s="32"/>
      <c r="M4073" s="32"/>
      <c r="N4073" s="32"/>
      <c r="O4073" s="32"/>
      <c r="P4073" s="32"/>
      <c r="Q4073" s="32"/>
      <c r="R4073" s="32"/>
      <c r="S4073" s="32"/>
      <c r="T4073" s="32"/>
      <c r="U4073" s="32"/>
      <c r="V4073" s="32"/>
      <c r="W4073" s="32"/>
      <c r="X4073" s="32"/>
      <c r="Y4073" s="32"/>
      <c r="Z4073" s="32"/>
    </row>
    <row r="4074" spans="1:26" ht="14.25" customHeight="1">
      <c r="A4074" s="80" t="s">
        <v>1042</v>
      </c>
      <c r="B4074" s="81"/>
      <c r="C4074" s="81"/>
      <c r="D4074" s="81"/>
      <c r="E4074" s="81"/>
      <c r="F4074" s="81"/>
      <c r="G4074" s="81"/>
      <c r="H4074" s="82"/>
      <c r="I4074" s="32"/>
      <c r="J4074" s="32"/>
      <c r="K4074" s="32"/>
      <c r="L4074" s="32"/>
      <c r="M4074" s="32"/>
      <c r="N4074" s="32"/>
      <c r="O4074" s="32"/>
      <c r="P4074" s="32"/>
      <c r="Q4074" s="32"/>
      <c r="R4074" s="32"/>
      <c r="S4074" s="32"/>
      <c r="T4074" s="32"/>
      <c r="U4074" s="32"/>
      <c r="V4074" s="32"/>
      <c r="W4074" s="32"/>
      <c r="X4074" s="32"/>
      <c r="Y4074" s="32"/>
      <c r="Z4074" s="32"/>
    </row>
    <row r="4075" spans="1:26" ht="14.25" customHeight="1">
      <c r="A4075" s="33" t="s">
        <v>2</v>
      </c>
      <c r="B4075" s="33" t="s">
        <v>3</v>
      </c>
      <c r="C4075" s="33" t="s">
        <v>4</v>
      </c>
      <c r="D4075" s="33" t="s">
        <v>5</v>
      </c>
      <c r="E4075" s="33" t="s">
        <v>6</v>
      </c>
      <c r="F4075" s="34" t="s">
        <v>7</v>
      </c>
      <c r="G4075" s="33" t="s">
        <v>8</v>
      </c>
      <c r="H4075" s="35"/>
      <c r="I4075" s="32"/>
      <c r="J4075" s="32"/>
      <c r="K4075" s="32"/>
      <c r="L4075" s="32"/>
      <c r="M4075" s="32"/>
      <c r="N4075" s="32"/>
      <c r="O4075" s="32"/>
      <c r="P4075" s="32"/>
      <c r="Q4075" s="32"/>
      <c r="R4075" s="32"/>
      <c r="S4075" s="32"/>
      <c r="T4075" s="32"/>
      <c r="U4075" s="32"/>
      <c r="V4075" s="32"/>
      <c r="W4075" s="32"/>
      <c r="X4075" s="32"/>
      <c r="Y4075" s="32"/>
      <c r="Z4075" s="32"/>
    </row>
    <row r="4076" spans="1:26" ht="14.25" customHeight="1">
      <c r="A4076" s="36">
        <v>1</v>
      </c>
      <c r="B4076" s="18" t="s">
        <v>769</v>
      </c>
      <c r="C4076" s="5" t="s">
        <v>1043</v>
      </c>
      <c r="D4076" s="18" t="s">
        <v>413</v>
      </c>
      <c r="E4076" s="18">
        <v>2.41</v>
      </c>
      <c r="F4076" s="6">
        <v>293000</v>
      </c>
      <c r="G4076" s="37">
        <f t="shared" ref="G4076:G4078" si="260">IFERROR(E4076*F4076,0)</f>
        <v>706130</v>
      </c>
      <c r="H4076" s="38"/>
      <c r="I4076" s="32"/>
      <c r="J4076" s="32"/>
      <c r="K4076" s="32"/>
      <c r="L4076" s="32"/>
      <c r="M4076" s="32"/>
      <c r="N4076" s="32"/>
      <c r="O4076" s="32"/>
      <c r="P4076" s="32"/>
      <c r="Q4076" s="32"/>
      <c r="R4076" s="32"/>
      <c r="S4076" s="32"/>
      <c r="T4076" s="32"/>
      <c r="U4076" s="32"/>
      <c r="V4076" s="32"/>
      <c r="W4076" s="32"/>
      <c r="X4076" s="32"/>
      <c r="Y4076" s="32"/>
      <c r="Z4076" s="32"/>
    </row>
    <row r="4077" spans="1:26" ht="14.25" customHeight="1">
      <c r="A4077" s="36">
        <v>2</v>
      </c>
      <c r="B4077" s="12" t="s">
        <v>45</v>
      </c>
      <c r="C4077" s="10" t="s">
        <v>1044</v>
      </c>
      <c r="D4077" s="12" t="s">
        <v>233</v>
      </c>
      <c r="E4077" s="12">
        <v>0.97</v>
      </c>
      <c r="F4077" s="43">
        <v>435000</v>
      </c>
      <c r="G4077" s="37">
        <f t="shared" si="260"/>
        <v>421950</v>
      </c>
      <c r="H4077" s="38"/>
      <c r="I4077" s="32"/>
      <c r="J4077" s="32"/>
      <c r="K4077" s="32"/>
      <c r="L4077" s="32"/>
      <c r="M4077" s="32"/>
      <c r="N4077" s="32"/>
      <c r="O4077" s="32"/>
      <c r="P4077" s="32"/>
      <c r="Q4077" s="32"/>
      <c r="R4077" s="32"/>
      <c r="S4077" s="32"/>
      <c r="T4077" s="32"/>
      <c r="U4077" s="32"/>
      <c r="V4077" s="32"/>
      <c r="W4077" s="32"/>
      <c r="X4077" s="32"/>
      <c r="Y4077" s="32"/>
      <c r="Z4077" s="32"/>
    </row>
    <row r="4078" spans="1:26" ht="14.25" customHeight="1">
      <c r="A4078" s="36">
        <v>4</v>
      </c>
      <c r="B4078" s="39" t="s">
        <v>17</v>
      </c>
      <c r="C4078" s="38"/>
      <c r="D4078" s="38"/>
      <c r="E4078" s="38"/>
      <c r="F4078" s="60"/>
      <c r="G4078" s="37">
        <f t="shared" si="260"/>
        <v>0</v>
      </c>
      <c r="H4078" s="38"/>
      <c r="I4078" s="32"/>
      <c r="J4078" s="32"/>
      <c r="K4078" s="32"/>
      <c r="L4078" s="32"/>
      <c r="M4078" s="32"/>
      <c r="N4078" s="32"/>
      <c r="O4078" s="32"/>
      <c r="P4078" s="32"/>
      <c r="Q4078" s="32"/>
      <c r="R4078" s="32"/>
      <c r="S4078" s="32"/>
      <c r="T4078" s="32"/>
      <c r="U4078" s="32"/>
      <c r="V4078" s="32"/>
      <c r="W4078" s="32"/>
      <c r="X4078" s="32"/>
      <c r="Y4078" s="32"/>
      <c r="Z4078" s="32"/>
    </row>
    <row r="4079" spans="1:26" ht="14.25" customHeight="1">
      <c r="A4079" s="83" t="s">
        <v>18</v>
      </c>
      <c r="B4079" s="81"/>
      <c r="C4079" s="81"/>
      <c r="D4079" s="81"/>
      <c r="E4079" s="81"/>
      <c r="F4079" s="81"/>
      <c r="G4079" s="82"/>
      <c r="H4079" s="41">
        <f>SUM(G4076:G4078)</f>
        <v>1128080</v>
      </c>
      <c r="I4079" s="32"/>
      <c r="J4079" s="32"/>
      <c r="K4079" s="32"/>
      <c r="L4079" s="32"/>
      <c r="M4079" s="32"/>
      <c r="N4079" s="32"/>
      <c r="O4079" s="32"/>
      <c r="P4079" s="32"/>
      <c r="Q4079" s="32"/>
      <c r="R4079" s="32"/>
      <c r="S4079" s="32"/>
      <c r="T4079" s="32"/>
      <c r="U4079" s="32"/>
      <c r="V4079" s="32"/>
      <c r="W4079" s="32"/>
      <c r="X4079" s="32"/>
      <c r="Y4079" s="32"/>
      <c r="Z4079" s="32"/>
    </row>
    <row r="4080" spans="1:26" ht="14.25" customHeight="1">
      <c r="A4080" s="83" t="s">
        <v>19</v>
      </c>
      <c r="B4080" s="81"/>
      <c r="C4080" s="81"/>
      <c r="D4080" s="81"/>
      <c r="E4080" s="81"/>
      <c r="F4080" s="81"/>
      <c r="G4080" s="82"/>
      <c r="H4080" s="41">
        <f>MAX(0,H4079-648000)</f>
        <v>480080</v>
      </c>
      <c r="I4080" s="32"/>
      <c r="J4080" s="32"/>
      <c r="K4080" s="32"/>
      <c r="L4080" s="32"/>
      <c r="M4080" s="32"/>
      <c r="N4080" s="32"/>
      <c r="O4080" s="32"/>
      <c r="P4080" s="32"/>
      <c r="Q4080" s="32"/>
      <c r="R4080" s="32"/>
      <c r="S4080" s="32"/>
      <c r="T4080" s="32"/>
      <c r="U4080" s="32"/>
      <c r="V4080" s="32"/>
      <c r="W4080" s="32"/>
      <c r="X4080" s="32"/>
      <c r="Y4080" s="32"/>
      <c r="Z4080" s="32"/>
    </row>
    <row r="4081" spans="1:26" ht="14.25" customHeight="1">
      <c r="A4081" s="84" t="s">
        <v>20</v>
      </c>
      <c r="B4081" s="81"/>
      <c r="C4081" s="81"/>
      <c r="D4081" s="81"/>
      <c r="E4081" s="81"/>
      <c r="F4081" s="81"/>
      <c r="G4081" s="82"/>
      <c r="H4081" s="42">
        <v>649000</v>
      </c>
      <c r="I4081" s="32"/>
      <c r="J4081" s="32"/>
      <c r="K4081" s="32"/>
      <c r="L4081" s="32"/>
      <c r="M4081" s="32"/>
      <c r="N4081" s="32"/>
      <c r="O4081" s="32"/>
      <c r="P4081" s="32"/>
      <c r="Q4081" s="32"/>
      <c r="R4081" s="32"/>
      <c r="S4081" s="32"/>
      <c r="T4081" s="32"/>
      <c r="U4081" s="32"/>
      <c r="V4081" s="32"/>
      <c r="W4081" s="32"/>
      <c r="X4081" s="32"/>
      <c r="Y4081" s="32"/>
      <c r="Z4081" s="32"/>
    </row>
    <row r="4082" spans="1:26" ht="14.25" customHeight="1">
      <c r="A4082" s="80"/>
      <c r="B4082" s="81"/>
      <c r="C4082" s="81"/>
      <c r="D4082" s="81"/>
      <c r="E4082" s="81"/>
      <c r="F4082" s="81"/>
      <c r="G4082" s="81"/>
      <c r="H4082" s="82"/>
      <c r="I4082" s="32"/>
      <c r="J4082" s="32"/>
      <c r="K4082" s="32"/>
      <c r="L4082" s="32"/>
      <c r="M4082" s="32"/>
      <c r="N4082" s="32"/>
      <c r="O4082" s="32"/>
      <c r="P4082" s="32"/>
      <c r="Q4082" s="32"/>
      <c r="R4082" s="32"/>
      <c r="S4082" s="32"/>
      <c r="T4082" s="32"/>
      <c r="U4082" s="32"/>
      <c r="V4082" s="32"/>
      <c r="W4082" s="32"/>
      <c r="X4082" s="32"/>
      <c r="Y4082" s="32"/>
      <c r="Z4082" s="32"/>
    </row>
    <row r="4083" spans="1:26" ht="14.25" customHeight="1"/>
    <row r="4084" spans="1:26" ht="14.25" customHeight="1"/>
    <row r="4085" spans="1:26" ht="14.25" customHeight="1"/>
    <row r="4086" spans="1:26" ht="14.25" customHeight="1"/>
    <row r="4087" spans="1:26" ht="14.25" customHeight="1"/>
    <row r="4088" spans="1:26" ht="14.25" customHeight="1"/>
    <row r="4089" spans="1:26" ht="14.25" customHeight="1">
      <c r="A4089" s="80" t="s">
        <v>0</v>
      </c>
      <c r="B4089" s="81"/>
      <c r="C4089" s="81"/>
      <c r="D4089" s="81"/>
      <c r="E4089" s="81"/>
      <c r="F4089" s="81"/>
      <c r="G4089" s="81"/>
      <c r="H4089" s="82"/>
      <c r="I4089" s="32"/>
      <c r="J4089" s="32"/>
      <c r="K4089" s="32"/>
      <c r="L4089" s="32"/>
      <c r="M4089" s="32"/>
      <c r="N4089" s="32"/>
      <c r="O4089" s="32"/>
      <c r="P4089" s="32"/>
      <c r="Q4089" s="32"/>
      <c r="R4089" s="32"/>
      <c r="S4089" s="32"/>
      <c r="T4089" s="32"/>
      <c r="U4089" s="32"/>
      <c r="V4089" s="32"/>
      <c r="W4089" s="32"/>
      <c r="X4089" s="32"/>
      <c r="Y4089" s="32"/>
      <c r="Z4089" s="32"/>
    </row>
    <row r="4090" spans="1:26" ht="14.25" customHeight="1">
      <c r="A4090" s="80" t="s">
        <v>1045</v>
      </c>
      <c r="B4090" s="81"/>
      <c r="C4090" s="81"/>
      <c r="D4090" s="81"/>
      <c r="E4090" s="81"/>
      <c r="F4090" s="81"/>
      <c r="G4090" s="81"/>
      <c r="H4090" s="82"/>
      <c r="I4090" s="32"/>
      <c r="J4090" s="32"/>
      <c r="K4090" s="32"/>
      <c r="L4090" s="32"/>
      <c r="M4090" s="32"/>
      <c r="N4090" s="32"/>
      <c r="O4090" s="32"/>
      <c r="P4090" s="32"/>
      <c r="Q4090" s="32"/>
      <c r="R4090" s="32"/>
      <c r="S4090" s="32"/>
      <c r="T4090" s="32"/>
      <c r="U4090" s="32"/>
      <c r="V4090" s="32"/>
      <c r="W4090" s="32"/>
      <c r="X4090" s="32"/>
      <c r="Y4090" s="32"/>
      <c r="Z4090" s="32"/>
    </row>
    <row r="4091" spans="1:26" ht="14.25" customHeight="1">
      <c r="A4091" s="33" t="s">
        <v>2</v>
      </c>
      <c r="B4091" s="33" t="s">
        <v>3</v>
      </c>
      <c r="C4091" s="33" t="s">
        <v>4</v>
      </c>
      <c r="D4091" s="33" t="s">
        <v>5</v>
      </c>
      <c r="E4091" s="33" t="s">
        <v>6</v>
      </c>
      <c r="F4091" s="34" t="s">
        <v>7</v>
      </c>
      <c r="G4091" s="33" t="s">
        <v>8</v>
      </c>
      <c r="H4091" s="35"/>
      <c r="I4091" s="32"/>
      <c r="J4091" s="32"/>
      <c r="K4091" s="32"/>
      <c r="L4091" s="32"/>
      <c r="M4091" s="32"/>
      <c r="N4091" s="32"/>
      <c r="O4091" s="32"/>
      <c r="P4091" s="32"/>
      <c r="Q4091" s="32"/>
      <c r="R4091" s="32"/>
      <c r="S4091" s="32"/>
      <c r="T4091" s="32"/>
      <c r="U4091" s="32"/>
      <c r="V4091" s="32"/>
      <c r="W4091" s="32"/>
      <c r="X4091" s="32"/>
      <c r="Y4091" s="32"/>
      <c r="Z4091" s="32"/>
    </row>
    <row r="4092" spans="1:26" ht="14.25" customHeight="1">
      <c r="A4092" s="36">
        <v>1</v>
      </c>
      <c r="B4092" s="18" t="s">
        <v>45</v>
      </c>
      <c r="C4092" s="5" t="s">
        <v>1046</v>
      </c>
      <c r="D4092" s="18" t="s">
        <v>11</v>
      </c>
      <c r="E4092" s="18">
        <v>2</v>
      </c>
      <c r="F4092" s="6">
        <v>293000</v>
      </c>
      <c r="G4092" s="37">
        <f t="shared" ref="G4092:G4094" si="261">IFERROR(E4092*F4092,0)</f>
        <v>586000</v>
      </c>
      <c r="H4092" s="38"/>
      <c r="I4092" s="32"/>
      <c r="J4092" s="32"/>
      <c r="K4092" s="32"/>
      <c r="L4092" s="32"/>
      <c r="M4092" s="32"/>
      <c r="N4092" s="32"/>
      <c r="O4092" s="32"/>
      <c r="P4092" s="32"/>
      <c r="Q4092" s="32"/>
      <c r="R4092" s="32"/>
      <c r="S4092" s="32"/>
      <c r="T4092" s="32"/>
      <c r="U4092" s="32"/>
      <c r="V4092" s="32"/>
      <c r="W4092" s="32"/>
      <c r="X4092" s="32"/>
      <c r="Y4092" s="32"/>
      <c r="Z4092" s="32"/>
    </row>
    <row r="4093" spans="1:26" ht="14.25" customHeight="1">
      <c r="A4093" s="36">
        <v>2</v>
      </c>
      <c r="B4093" s="12" t="s">
        <v>406</v>
      </c>
      <c r="C4093" s="10">
        <v>3876</v>
      </c>
      <c r="D4093" s="12" t="s">
        <v>233</v>
      </c>
      <c r="E4093" s="12">
        <v>1.55</v>
      </c>
      <c r="F4093" s="43">
        <v>435000</v>
      </c>
      <c r="G4093" s="37">
        <f t="shared" si="261"/>
        <v>674250</v>
      </c>
      <c r="H4093" s="38"/>
      <c r="I4093" s="32"/>
      <c r="J4093" s="32"/>
      <c r="K4093" s="32"/>
      <c r="L4093" s="32"/>
      <c r="M4093" s="32"/>
      <c r="N4093" s="32"/>
      <c r="O4093" s="32"/>
      <c r="P4093" s="32"/>
      <c r="Q4093" s="32"/>
      <c r="R4093" s="32"/>
      <c r="S4093" s="32"/>
      <c r="T4093" s="32"/>
      <c r="U4093" s="32"/>
      <c r="V4093" s="32"/>
      <c r="W4093" s="32"/>
      <c r="X4093" s="32"/>
      <c r="Y4093" s="32"/>
      <c r="Z4093" s="32"/>
    </row>
    <row r="4094" spans="1:26" ht="14.25" customHeight="1">
      <c r="A4094" s="36">
        <v>4</v>
      </c>
      <c r="B4094" s="39" t="s">
        <v>17</v>
      </c>
      <c r="C4094" s="38"/>
      <c r="D4094" s="38"/>
      <c r="E4094" s="38"/>
      <c r="F4094" s="60"/>
      <c r="G4094" s="37">
        <f t="shared" si="261"/>
        <v>0</v>
      </c>
      <c r="H4094" s="38"/>
      <c r="I4094" s="32"/>
      <c r="J4094" s="32"/>
      <c r="K4094" s="32"/>
      <c r="L4094" s="32"/>
      <c r="M4094" s="32"/>
      <c r="N4094" s="32"/>
      <c r="O4094" s="32"/>
      <c r="P4094" s="32"/>
      <c r="Q4094" s="32"/>
      <c r="R4094" s="32"/>
      <c r="S4094" s="32"/>
      <c r="T4094" s="32"/>
      <c r="U4094" s="32"/>
      <c r="V4094" s="32"/>
      <c r="W4094" s="32"/>
      <c r="X4094" s="32"/>
      <c r="Y4094" s="32"/>
      <c r="Z4094" s="32"/>
    </row>
    <row r="4095" spans="1:26" ht="14.25" customHeight="1">
      <c r="A4095" s="83" t="s">
        <v>18</v>
      </c>
      <c r="B4095" s="81"/>
      <c r="C4095" s="81"/>
      <c r="D4095" s="81"/>
      <c r="E4095" s="81"/>
      <c r="F4095" s="81"/>
      <c r="G4095" s="82"/>
      <c r="H4095" s="41">
        <f>SUM(G4092:G4094)</f>
        <v>1260250</v>
      </c>
      <c r="I4095" s="32"/>
      <c r="J4095" s="32"/>
      <c r="K4095" s="32"/>
      <c r="L4095" s="32"/>
      <c r="M4095" s="32"/>
      <c r="N4095" s="32"/>
      <c r="O4095" s="32"/>
      <c r="P4095" s="32"/>
      <c r="Q4095" s="32"/>
      <c r="R4095" s="32"/>
      <c r="S4095" s="32"/>
      <c r="T4095" s="32"/>
      <c r="U4095" s="32"/>
      <c r="V4095" s="32"/>
      <c r="W4095" s="32"/>
      <c r="X4095" s="32"/>
      <c r="Y4095" s="32"/>
      <c r="Z4095" s="32"/>
    </row>
    <row r="4096" spans="1:26" ht="14.25" customHeight="1">
      <c r="A4096" s="83" t="s">
        <v>19</v>
      </c>
      <c r="B4096" s="81"/>
      <c r="C4096" s="81"/>
      <c r="D4096" s="81"/>
      <c r="E4096" s="81"/>
      <c r="F4096" s="81"/>
      <c r="G4096" s="82"/>
      <c r="H4096" s="41">
        <f>MAX(0,H4095-648000)</f>
        <v>612250</v>
      </c>
      <c r="I4096" s="32"/>
      <c r="J4096" s="32"/>
      <c r="K4096" s="32"/>
      <c r="L4096" s="32"/>
      <c r="M4096" s="32"/>
      <c r="N4096" s="32"/>
      <c r="O4096" s="32"/>
      <c r="P4096" s="32"/>
      <c r="Q4096" s="32"/>
      <c r="R4096" s="32"/>
      <c r="S4096" s="32"/>
      <c r="T4096" s="32"/>
      <c r="U4096" s="32"/>
      <c r="V4096" s="32"/>
      <c r="W4096" s="32"/>
      <c r="X4096" s="32"/>
      <c r="Y4096" s="32"/>
      <c r="Z4096" s="32"/>
    </row>
    <row r="4097" spans="1:26" ht="14.25" customHeight="1">
      <c r="A4097" s="84" t="s">
        <v>20</v>
      </c>
      <c r="B4097" s="81"/>
      <c r="C4097" s="81"/>
      <c r="D4097" s="81"/>
      <c r="E4097" s="81"/>
      <c r="F4097" s="81"/>
      <c r="G4097" s="82"/>
      <c r="H4097" s="42">
        <v>649000</v>
      </c>
      <c r="I4097" s="32"/>
      <c r="J4097" s="32"/>
      <c r="K4097" s="32"/>
      <c r="L4097" s="32"/>
      <c r="M4097" s="32"/>
      <c r="N4097" s="32"/>
      <c r="O4097" s="32"/>
      <c r="P4097" s="32"/>
      <c r="Q4097" s="32"/>
      <c r="R4097" s="32"/>
      <c r="S4097" s="32"/>
      <c r="T4097" s="32"/>
      <c r="U4097" s="32"/>
      <c r="V4097" s="32"/>
      <c r="W4097" s="32"/>
      <c r="X4097" s="32"/>
      <c r="Y4097" s="32"/>
      <c r="Z4097" s="32"/>
    </row>
    <row r="4098" spans="1:26" ht="14.25" customHeight="1">
      <c r="A4098" s="80"/>
      <c r="B4098" s="81"/>
      <c r="C4098" s="81"/>
      <c r="D4098" s="81"/>
      <c r="E4098" s="81"/>
      <c r="F4098" s="81"/>
      <c r="G4098" s="81"/>
      <c r="H4098" s="82"/>
      <c r="I4098" s="32"/>
      <c r="J4098" s="32"/>
      <c r="K4098" s="32"/>
      <c r="L4098" s="32"/>
      <c r="M4098" s="32"/>
      <c r="N4098" s="32"/>
      <c r="O4098" s="32"/>
      <c r="P4098" s="32"/>
      <c r="Q4098" s="32"/>
      <c r="R4098" s="32"/>
      <c r="S4098" s="32"/>
      <c r="T4098" s="32"/>
      <c r="U4098" s="32"/>
      <c r="V4098" s="32"/>
      <c r="W4098" s="32"/>
      <c r="X4098" s="32"/>
      <c r="Y4098" s="32"/>
      <c r="Z4098" s="32"/>
    </row>
    <row r="4099" spans="1:26" ht="14.25" customHeight="1"/>
    <row r="4100" spans="1:26" ht="14.25" customHeight="1"/>
    <row r="4101" spans="1:26" ht="14.25" customHeight="1"/>
    <row r="4102" spans="1:26" ht="14.25" customHeight="1"/>
    <row r="4103" spans="1:26" ht="14.25" customHeight="1"/>
    <row r="4104" spans="1:26" ht="14.25" customHeight="1"/>
    <row r="4105" spans="1:26" ht="14.25" customHeight="1"/>
    <row r="4106" spans="1:26" ht="14.25" customHeight="1"/>
    <row r="4107" spans="1:26" ht="14.25" customHeight="1">
      <c r="A4107" s="80" t="s">
        <v>0</v>
      </c>
      <c r="B4107" s="81"/>
      <c r="C4107" s="81"/>
      <c r="D4107" s="81"/>
      <c r="E4107" s="81"/>
      <c r="F4107" s="81"/>
      <c r="G4107" s="81"/>
      <c r="H4107" s="82"/>
      <c r="I4107" s="32"/>
      <c r="J4107" s="32"/>
      <c r="K4107" s="32"/>
      <c r="L4107" s="32"/>
      <c r="M4107" s="32"/>
      <c r="N4107" s="32"/>
      <c r="O4107" s="32"/>
      <c r="P4107" s="32"/>
      <c r="Q4107" s="32"/>
      <c r="R4107" s="32"/>
      <c r="S4107" s="32"/>
      <c r="T4107" s="32"/>
      <c r="U4107" s="32"/>
      <c r="V4107" s="32"/>
      <c r="W4107" s="32"/>
      <c r="X4107" s="32"/>
      <c r="Y4107" s="32"/>
      <c r="Z4107" s="32"/>
    </row>
    <row r="4108" spans="1:26" ht="14.25" customHeight="1">
      <c r="A4108" s="80" t="s">
        <v>1047</v>
      </c>
      <c r="B4108" s="81"/>
      <c r="C4108" s="81"/>
      <c r="D4108" s="81"/>
      <c r="E4108" s="81"/>
      <c r="F4108" s="81"/>
      <c r="G4108" s="81"/>
      <c r="H4108" s="82"/>
      <c r="I4108" s="32"/>
      <c r="J4108" s="32"/>
      <c r="K4108" s="32"/>
      <c r="L4108" s="32"/>
      <c r="M4108" s="32"/>
      <c r="N4108" s="32"/>
      <c r="O4108" s="32"/>
      <c r="P4108" s="32"/>
      <c r="Q4108" s="32"/>
      <c r="R4108" s="32"/>
      <c r="S4108" s="32"/>
      <c r="T4108" s="32"/>
      <c r="U4108" s="32"/>
      <c r="V4108" s="32"/>
      <c r="W4108" s="32"/>
      <c r="X4108" s="32"/>
      <c r="Y4108" s="32"/>
      <c r="Z4108" s="32"/>
    </row>
    <row r="4109" spans="1:26" ht="14.25" customHeight="1">
      <c r="A4109" s="33" t="s">
        <v>2</v>
      </c>
      <c r="B4109" s="33" t="s">
        <v>3</v>
      </c>
      <c r="C4109" s="33" t="s">
        <v>4</v>
      </c>
      <c r="D4109" s="33" t="s">
        <v>5</v>
      </c>
      <c r="E4109" s="33" t="s">
        <v>6</v>
      </c>
      <c r="F4109" s="34" t="s">
        <v>7</v>
      </c>
      <c r="G4109" s="33" t="s">
        <v>8</v>
      </c>
      <c r="H4109" s="35"/>
      <c r="I4109" s="32"/>
      <c r="J4109" s="32"/>
      <c r="K4109" s="32"/>
      <c r="L4109" s="32"/>
      <c r="M4109" s="32"/>
      <c r="N4109" s="32"/>
      <c r="O4109" s="32"/>
      <c r="P4109" s="32"/>
      <c r="Q4109" s="32"/>
      <c r="R4109" s="32"/>
      <c r="S4109" s="32"/>
      <c r="T4109" s="32"/>
      <c r="U4109" s="32"/>
      <c r="V4109" s="32"/>
      <c r="W4109" s="32"/>
      <c r="X4109" s="32"/>
      <c r="Y4109" s="32"/>
      <c r="Z4109" s="32"/>
    </row>
    <row r="4110" spans="1:26" ht="14.25" customHeight="1">
      <c r="A4110" s="36">
        <v>1</v>
      </c>
      <c r="B4110" s="18" t="s">
        <v>1048</v>
      </c>
      <c r="C4110" s="5" t="s">
        <v>1049</v>
      </c>
      <c r="D4110" s="18" t="s">
        <v>413</v>
      </c>
      <c r="E4110" s="18">
        <v>2</v>
      </c>
      <c r="F4110" s="6">
        <v>293000</v>
      </c>
      <c r="G4110" s="37">
        <f t="shared" ref="G4110:G4112" si="262">IFERROR(E4110*F4110,0)</f>
        <v>586000</v>
      </c>
      <c r="H4110" s="38"/>
      <c r="I4110" s="32"/>
      <c r="J4110" s="32"/>
      <c r="K4110" s="32"/>
      <c r="L4110" s="32"/>
      <c r="M4110" s="32"/>
      <c r="N4110" s="32"/>
      <c r="O4110" s="32"/>
      <c r="P4110" s="32"/>
      <c r="Q4110" s="32"/>
      <c r="R4110" s="32"/>
      <c r="S4110" s="32"/>
      <c r="T4110" s="32"/>
      <c r="U4110" s="32"/>
      <c r="V4110" s="32"/>
      <c r="W4110" s="32"/>
      <c r="X4110" s="32"/>
      <c r="Y4110" s="32"/>
      <c r="Z4110" s="32"/>
    </row>
    <row r="4111" spans="1:26" ht="14.25" customHeight="1">
      <c r="A4111" s="36">
        <v>2</v>
      </c>
      <c r="B4111" s="12" t="s">
        <v>1050</v>
      </c>
      <c r="C4111" s="10" t="s">
        <v>1051</v>
      </c>
      <c r="D4111" s="12" t="s">
        <v>14</v>
      </c>
      <c r="E4111" s="12">
        <v>1.5</v>
      </c>
      <c r="F4111" s="43">
        <v>435000</v>
      </c>
      <c r="G4111" s="37">
        <f t="shared" si="262"/>
        <v>652500</v>
      </c>
      <c r="H4111" s="38"/>
      <c r="I4111" s="32"/>
      <c r="J4111" s="32"/>
      <c r="K4111" s="32"/>
      <c r="L4111" s="32"/>
      <c r="M4111" s="32"/>
      <c r="N4111" s="32"/>
      <c r="O4111" s="32"/>
      <c r="P4111" s="32"/>
      <c r="Q4111" s="32"/>
      <c r="R4111" s="32"/>
      <c r="S4111" s="32"/>
      <c r="T4111" s="32"/>
      <c r="U4111" s="32"/>
      <c r="V4111" s="32"/>
      <c r="W4111" s="32"/>
      <c r="X4111" s="32"/>
      <c r="Y4111" s="32"/>
      <c r="Z4111" s="32"/>
    </row>
    <row r="4112" spans="1:26" ht="14.25" customHeight="1">
      <c r="A4112" s="36">
        <v>4</v>
      </c>
      <c r="B4112" s="39" t="s">
        <v>17</v>
      </c>
      <c r="C4112" s="38"/>
      <c r="D4112" s="38"/>
      <c r="E4112" s="38"/>
      <c r="F4112" s="60"/>
      <c r="G4112" s="37">
        <f t="shared" si="262"/>
        <v>0</v>
      </c>
      <c r="H4112" s="38"/>
      <c r="I4112" s="32"/>
      <c r="J4112" s="32"/>
      <c r="K4112" s="32"/>
      <c r="L4112" s="32"/>
      <c r="M4112" s="32"/>
      <c r="N4112" s="32"/>
      <c r="O4112" s="32"/>
      <c r="P4112" s="32"/>
      <c r="Q4112" s="32"/>
      <c r="R4112" s="32"/>
      <c r="S4112" s="32"/>
      <c r="T4112" s="32"/>
      <c r="U4112" s="32"/>
      <c r="V4112" s="32"/>
      <c r="W4112" s="32"/>
      <c r="X4112" s="32"/>
      <c r="Y4112" s="32"/>
      <c r="Z4112" s="32"/>
    </row>
    <row r="4113" spans="1:26" ht="14.25" customHeight="1">
      <c r="A4113" s="83" t="s">
        <v>18</v>
      </c>
      <c r="B4113" s="81"/>
      <c r="C4113" s="81"/>
      <c r="D4113" s="81"/>
      <c r="E4113" s="81"/>
      <c r="F4113" s="81"/>
      <c r="G4113" s="82"/>
      <c r="H4113" s="41">
        <f>SUM(G4110:G4112)</f>
        <v>1238500</v>
      </c>
      <c r="I4113" s="32"/>
      <c r="J4113" s="32"/>
      <c r="K4113" s="32"/>
      <c r="L4113" s="32"/>
      <c r="M4113" s="32"/>
      <c r="N4113" s="32"/>
      <c r="O4113" s="32"/>
      <c r="P4113" s="32"/>
      <c r="Q4113" s="32"/>
      <c r="R4113" s="32"/>
      <c r="S4113" s="32"/>
      <c r="T4113" s="32"/>
      <c r="U4113" s="32"/>
      <c r="V4113" s="32"/>
      <c r="W4113" s="32"/>
      <c r="X4113" s="32"/>
      <c r="Y4113" s="32"/>
      <c r="Z4113" s="32"/>
    </row>
    <row r="4114" spans="1:26" ht="14.25" customHeight="1">
      <c r="A4114" s="83" t="s">
        <v>19</v>
      </c>
      <c r="B4114" s="81"/>
      <c r="C4114" s="81"/>
      <c r="D4114" s="81"/>
      <c r="E4114" s="81"/>
      <c r="F4114" s="81"/>
      <c r="G4114" s="82"/>
      <c r="H4114" s="41">
        <f>MAX(0,H4113-648000)</f>
        <v>590500</v>
      </c>
      <c r="I4114" s="32"/>
      <c r="J4114" s="32"/>
      <c r="K4114" s="32"/>
      <c r="L4114" s="32"/>
      <c r="M4114" s="32"/>
      <c r="N4114" s="32"/>
      <c r="O4114" s="32"/>
      <c r="P4114" s="32"/>
      <c r="Q4114" s="32"/>
      <c r="R4114" s="32"/>
      <c r="S4114" s="32"/>
      <c r="T4114" s="32"/>
      <c r="U4114" s="32"/>
      <c r="V4114" s="32"/>
      <c r="W4114" s="32"/>
      <c r="X4114" s="32"/>
      <c r="Y4114" s="32"/>
      <c r="Z4114" s="32"/>
    </row>
    <row r="4115" spans="1:26" ht="14.25" customHeight="1">
      <c r="A4115" s="84" t="s">
        <v>20</v>
      </c>
      <c r="B4115" s="81"/>
      <c r="C4115" s="81"/>
      <c r="D4115" s="81"/>
      <c r="E4115" s="81"/>
      <c r="F4115" s="81"/>
      <c r="G4115" s="82"/>
      <c r="H4115" s="42">
        <v>649000</v>
      </c>
      <c r="I4115" s="32"/>
      <c r="J4115" s="32"/>
      <c r="K4115" s="32"/>
      <c r="L4115" s="32"/>
      <c r="M4115" s="32"/>
      <c r="N4115" s="32"/>
      <c r="O4115" s="32"/>
      <c r="P4115" s="32"/>
      <c r="Q4115" s="32"/>
      <c r="R4115" s="32"/>
      <c r="S4115" s="32"/>
      <c r="T4115" s="32"/>
      <c r="U4115" s="32"/>
      <c r="V4115" s="32"/>
      <c r="W4115" s="32"/>
      <c r="X4115" s="32"/>
      <c r="Y4115" s="32"/>
      <c r="Z4115" s="32"/>
    </row>
    <row r="4116" spans="1:26" ht="14.25" customHeight="1">
      <c r="A4116" s="80"/>
      <c r="B4116" s="81"/>
      <c r="C4116" s="81"/>
      <c r="D4116" s="81"/>
      <c r="E4116" s="81"/>
      <c r="F4116" s="81"/>
      <c r="G4116" s="81"/>
      <c r="H4116" s="82"/>
      <c r="I4116" s="32"/>
      <c r="J4116" s="32"/>
      <c r="K4116" s="32"/>
      <c r="L4116" s="32"/>
      <c r="M4116" s="32"/>
      <c r="N4116" s="32"/>
      <c r="O4116" s="32"/>
      <c r="P4116" s="32"/>
      <c r="Q4116" s="32"/>
      <c r="R4116" s="32"/>
      <c r="S4116" s="32"/>
      <c r="T4116" s="32"/>
      <c r="U4116" s="32"/>
      <c r="V4116" s="32"/>
      <c r="W4116" s="32"/>
      <c r="X4116" s="32"/>
      <c r="Y4116" s="32"/>
      <c r="Z4116" s="32"/>
    </row>
    <row r="4117" spans="1:26" ht="14.25" customHeight="1"/>
    <row r="4118" spans="1:26" ht="14.25" customHeight="1"/>
    <row r="4119" spans="1:26" ht="14.25" customHeight="1"/>
    <row r="4120" spans="1:26" ht="14.25" customHeight="1"/>
    <row r="4121" spans="1:26" ht="14.25" customHeight="1"/>
    <row r="4122" spans="1:26" ht="14.25" customHeight="1"/>
    <row r="4123" spans="1:26" ht="14.25" customHeight="1">
      <c r="A4123" s="80" t="s">
        <v>0</v>
      </c>
      <c r="B4123" s="81"/>
      <c r="C4123" s="81"/>
      <c r="D4123" s="81"/>
      <c r="E4123" s="81"/>
      <c r="F4123" s="81"/>
      <c r="G4123" s="81"/>
      <c r="H4123" s="82"/>
      <c r="I4123" s="32"/>
      <c r="J4123" s="32"/>
      <c r="K4123" s="32"/>
      <c r="L4123" s="32"/>
      <c r="M4123" s="32"/>
      <c r="N4123" s="32"/>
      <c r="O4123" s="32"/>
      <c r="P4123" s="32"/>
      <c r="Q4123" s="32"/>
      <c r="R4123" s="32"/>
      <c r="S4123" s="32"/>
      <c r="T4123" s="32"/>
      <c r="U4123" s="32"/>
      <c r="V4123" s="32"/>
      <c r="W4123" s="32"/>
      <c r="X4123" s="32"/>
      <c r="Y4123" s="32"/>
      <c r="Z4123" s="32"/>
    </row>
    <row r="4124" spans="1:26" ht="14.25" customHeight="1">
      <c r="A4124" s="80" t="s">
        <v>1052</v>
      </c>
      <c r="B4124" s="81"/>
      <c r="C4124" s="81"/>
      <c r="D4124" s="81"/>
      <c r="E4124" s="81"/>
      <c r="F4124" s="81"/>
      <c r="G4124" s="81"/>
      <c r="H4124" s="82"/>
      <c r="I4124" s="32"/>
      <c r="J4124" s="32"/>
      <c r="K4124" s="32"/>
      <c r="L4124" s="32"/>
      <c r="M4124" s="32"/>
      <c r="N4124" s="32"/>
      <c r="O4124" s="32"/>
      <c r="P4124" s="32"/>
      <c r="Q4124" s="32"/>
      <c r="R4124" s="32"/>
      <c r="S4124" s="32"/>
      <c r="T4124" s="32"/>
      <c r="U4124" s="32"/>
      <c r="V4124" s="32"/>
      <c r="W4124" s="32"/>
      <c r="X4124" s="32"/>
      <c r="Y4124" s="32"/>
      <c r="Z4124" s="32"/>
    </row>
    <row r="4125" spans="1:26" ht="14.25" customHeight="1">
      <c r="A4125" s="33" t="s">
        <v>2</v>
      </c>
      <c r="B4125" s="33" t="s">
        <v>3</v>
      </c>
      <c r="C4125" s="33" t="s">
        <v>4</v>
      </c>
      <c r="D4125" s="33" t="s">
        <v>5</v>
      </c>
      <c r="E4125" s="33" t="s">
        <v>6</v>
      </c>
      <c r="F4125" s="34" t="s">
        <v>7</v>
      </c>
      <c r="G4125" s="33" t="s">
        <v>8</v>
      </c>
      <c r="H4125" s="35"/>
      <c r="I4125" s="32"/>
      <c r="J4125" s="32"/>
      <c r="K4125" s="32"/>
      <c r="L4125" s="32"/>
      <c r="M4125" s="32"/>
      <c r="N4125" s="32"/>
      <c r="O4125" s="32"/>
      <c r="P4125" s="32"/>
      <c r="Q4125" s="32"/>
      <c r="R4125" s="32"/>
      <c r="S4125" s="32"/>
      <c r="T4125" s="32"/>
      <c r="U4125" s="32"/>
      <c r="V4125" s="32"/>
      <c r="W4125" s="32"/>
      <c r="X4125" s="32"/>
      <c r="Y4125" s="32"/>
      <c r="Z4125" s="32"/>
    </row>
    <row r="4126" spans="1:26" ht="14.25" customHeight="1">
      <c r="A4126" s="36">
        <v>1</v>
      </c>
      <c r="B4126" s="18" t="s">
        <v>1053</v>
      </c>
      <c r="C4126" s="5" t="s">
        <v>1054</v>
      </c>
      <c r="D4126" s="18" t="s">
        <v>413</v>
      </c>
      <c r="E4126" s="18">
        <v>2</v>
      </c>
      <c r="F4126" s="6">
        <v>293000</v>
      </c>
      <c r="G4126" s="37">
        <f t="shared" ref="G4126:G4128" si="263">IFERROR(E4126*F4126,0)</f>
        <v>586000</v>
      </c>
      <c r="H4126" s="38"/>
      <c r="I4126" s="32"/>
      <c r="J4126" s="32"/>
      <c r="K4126" s="32"/>
      <c r="L4126" s="32"/>
      <c r="M4126" s="32"/>
      <c r="N4126" s="32"/>
      <c r="O4126" s="32"/>
      <c r="P4126" s="32"/>
      <c r="Q4126" s="32"/>
      <c r="R4126" s="32"/>
      <c r="S4126" s="32"/>
      <c r="T4126" s="32"/>
      <c r="U4126" s="32"/>
      <c r="V4126" s="32"/>
      <c r="W4126" s="32"/>
      <c r="X4126" s="32"/>
      <c r="Y4126" s="32"/>
      <c r="Z4126" s="32"/>
    </row>
    <row r="4127" spans="1:26" ht="14.25" customHeight="1">
      <c r="A4127" s="36">
        <v>2</v>
      </c>
      <c r="B4127" s="12" t="s">
        <v>9</v>
      </c>
      <c r="C4127" s="10" t="s">
        <v>1055</v>
      </c>
      <c r="D4127" s="12" t="s">
        <v>14</v>
      </c>
      <c r="E4127" s="12">
        <v>1.48</v>
      </c>
      <c r="F4127" s="43">
        <v>435000</v>
      </c>
      <c r="G4127" s="37">
        <f t="shared" si="263"/>
        <v>643800</v>
      </c>
      <c r="H4127" s="38"/>
      <c r="I4127" s="32"/>
      <c r="J4127" s="32"/>
      <c r="K4127" s="32"/>
      <c r="L4127" s="32"/>
      <c r="M4127" s="32"/>
      <c r="N4127" s="32"/>
      <c r="O4127" s="32"/>
      <c r="P4127" s="32"/>
      <c r="Q4127" s="32"/>
      <c r="R4127" s="32"/>
      <c r="S4127" s="32"/>
      <c r="T4127" s="32"/>
      <c r="U4127" s="32"/>
      <c r="V4127" s="32"/>
      <c r="W4127" s="32"/>
      <c r="X4127" s="32"/>
      <c r="Y4127" s="32"/>
      <c r="Z4127" s="32"/>
    </row>
    <row r="4128" spans="1:26" ht="14.25" customHeight="1">
      <c r="A4128" s="36">
        <v>4</v>
      </c>
      <c r="B4128" s="39" t="s">
        <v>17</v>
      </c>
      <c r="C4128" s="38"/>
      <c r="D4128" s="38"/>
      <c r="E4128" s="38"/>
      <c r="F4128" s="60"/>
      <c r="G4128" s="37">
        <f t="shared" si="263"/>
        <v>0</v>
      </c>
      <c r="H4128" s="38"/>
      <c r="I4128" s="32"/>
      <c r="J4128" s="32"/>
      <c r="K4128" s="32"/>
      <c r="L4128" s="32"/>
      <c r="M4128" s="32"/>
      <c r="N4128" s="32"/>
      <c r="O4128" s="32"/>
      <c r="P4128" s="32"/>
      <c r="Q4128" s="32"/>
      <c r="R4128" s="32"/>
      <c r="S4128" s="32"/>
      <c r="T4128" s="32"/>
      <c r="U4128" s="32"/>
      <c r="V4128" s="32"/>
      <c r="W4128" s="32"/>
      <c r="X4128" s="32"/>
      <c r="Y4128" s="32"/>
      <c r="Z4128" s="32"/>
    </row>
    <row r="4129" spans="1:26" ht="14.25" customHeight="1">
      <c r="A4129" s="83" t="s">
        <v>18</v>
      </c>
      <c r="B4129" s="81"/>
      <c r="C4129" s="81"/>
      <c r="D4129" s="81"/>
      <c r="E4129" s="81"/>
      <c r="F4129" s="81"/>
      <c r="G4129" s="82"/>
      <c r="H4129" s="41">
        <f>SUM(G4126:G4128)</f>
        <v>1229800</v>
      </c>
      <c r="I4129" s="32"/>
      <c r="J4129" s="32"/>
      <c r="K4129" s="32"/>
      <c r="L4129" s="32"/>
      <c r="M4129" s="32"/>
      <c r="N4129" s="32"/>
      <c r="O4129" s="32"/>
      <c r="P4129" s="32"/>
      <c r="Q4129" s="32"/>
      <c r="R4129" s="32"/>
      <c r="S4129" s="32"/>
      <c r="T4129" s="32"/>
      <c r="U4129" s="32"/>
      <c r="V4129" s="32"/>
      <c r="W4129" s="32"/>
      <c r="X4129" s="32"/>
      <c r="Y4129" s="32"/>
      <c r="Z4129" s="32"/>
    </row>
    <row r="4130" spans="1:26" ht="14.25" customHeight="1">
      <c r="A4130" s="83" t="s">
        <v>19</v>
      </c>
      <c r="B4130" s="81"/>
      <c r="C4130" s="81"/>
      <c r="D4130" s="81"/>
      <c r="E4130" s="81"/>
      <c r="F4130" s="81"/>
      <c r="G4130" s="82"/>
      <c r="H4130" s="41">
        <f>MAX(0,H4129-648000)</f>
        <v>581800</v>
      </c>
      <c r="I4130" s="32"/>
      <c r="J4130" s="32"/>
      <c r="K4130" s="32"/>
      <c r="L4130" s="32"/>
      <c r="M4130" s="32"/>
      <c r="N4130" s="32"/>
      <c r="O4130" s="32"/>
      <c r="P4130" s="32"/>
      <c r="Q4130" s="32"/>
      <c r="R4130" s="32"/>
      <c r="S4130" s="32"/>
      <c r="T4130" s="32"/>
      <c r="U4130" s="32"/>
      <c r="V4130" s="32"/>
      <c r="W4130" s="32"/>
      <c r="X4130" s="32"/>
      <c r="Y4130" s="32"/>
      <c r="Z4130" s="32"/>
    </row>
    <row r="4131" spans="1:26" ht="14.25" customHeight="1">
      <c r="A4131" s="84" t="s">
        <v>20</v>
      </c>
      <c r="B4131" s="81"/>
      <c r="C4131" s="81"/>
      <c r="D4131" s="81"/>
      <c r="E4131" s="81"/>
      <c r="F4131" s="81"/>
      <c r="G4131" s="82"/>
      <c r="H4131" s="42">
        <v>649000</v>
      </c>
      <c r="I4131" s="32"/>
      <c r="J4131" s="32"/>
      <c r="K4131" s="32"/>
      <c r="L4131" s="32"/>
      <c r="M4131" s="32"/>
      <c r="N4131" s="32"/>
      <c r="O4131" s="32"/>
      <c r="P4131" s="32"/>
      <c r="Q4131" s="32"/>
      <c r="R4131" s="32"/>
      <c r="S4131" s="32"/>
      <c r="T4131" s="32"/>
      <c r="U4131" s="32"/>
      <c r="V4131" s="32"/>
      <c r="W4131" s="32"/>
      <c r="X4131" s="32"/>
      <c r="Y4131" s="32"/>
      <c r="Z4131" s="32"/>
    </row>
    <row r="4132" spans="1:26" ht="14.25" customHeight="1">
      <c r="A4132" s="80"/>
      <c r="B4132" s="81"/>
      <c r="C4132" s="81"/>
      <c r="D4132" s="81"/>
      <c r="E4132" s="81"/>
      <c r="F4132" s="81"/>
      <c r="G4132" s="81"/>
      <c r="H4132" s="82"/>
      <c r="I4132" s="32"/>
      <c r="J4132" s="32"/>
      <c r="K4132" s="32"/>
      <c r="L4132" s="32"/>
      <c r="M4132" s="32"/>
      <c r="N4132" s="32"/>
      <c r="O4132" s="32"/>
      <c r="P4132" s="32"/>
      <c r="Q4132" s="32"/>
      <c r="R4132" s="32"/>
      <c r="S4132" s="32"/>
      <c r="T4132" s="32"/>
      <c r="U4132" s="32"/>
      <c r="V4132" s="32"/>
      <c r="W4132" s="32"/>
      <c r="X4132" s="32"/>
      <c r="Y4132" s="32"/>
      <c r="Z4132" s="32"/>
    </row>
    <row r="4133" spans="1:26" ht="14.25" customHeight="1"/>
    <row r="4134" spans="1:26" ht="14.25" customHeight="1"/>
    <row r="4135" spans="1:26" ht="14.25" customHeight="1"/>
    <row r="4136" spans="1:26" ht="14.25" customHeight="1"/>
    <row r="4137" spans="1:26" ht="14.25" customHeight="1"/>
    <row r="4138" spans="1:26" ht="14.25" customHeight="1"/>
    <row r="4139" spans="1:26" ht="14.25" customHeight="1">
      <c r="A4139" s="80" t="s">
        <v>0</v>
      </c>
      <c r="B4139" s="81"/>
      <c r="C4139" s="81"/>
      <c r="D4139" s="81"/>
      <c r="E4139" s="81"/>
      <c r="F4139" s="81"/>
      <c r="G4139" s="81"/>
      <c r="H4139" s="82"/>
      <c r="I4139" s="32"/>
      <c r="J4139" s="32"/>
      <c r="K4139" s="32"/>
      <c r="L4139" s="32"/>
      <c r="M4139" s="32"/>
      <c r="N4139" s="32"/>
      <c r="O4139" s="32"/>
      <c r="P4139" s="32"/>
      <c r="Q4139" s="32"/>
      <c r="R4139" s="32"/>
      <c r="S4139" s="32"/>
      <c r="T4139" s="32"/>
      <c r="U4139" s="32"/>
      <c r="V4139" s="32"/>
      <c r="W4139" s="32"/>
      <c r="X4139" s="32"/>
      <c r="Y4139" s="32"/>
      <c r="Z4139" s="32"/>
    </row>
    <row r="4140" spans="1:26" ht="14.25" customHeight="1">
      <c r="A4140" s="80" t="s">
        <v>1056</v>
      </c>
      <c r="B4140" s="81"/>
      <c r="C4140" s="81"/>
      <c r="D4140" s="81"/>
      <c r="E4140" s="81"/>
      <c r="F4140" s="81"/>
      <c r="G4140" s="81"/>
      <c r="H4140" s="82"/>
      <c r="I4140" s="32"/>
      <c r="J4140" s="32"/>
      <c r="K4140" s="32"/>
      <c r="L4140" s="32"/>
      <c r="M4140" s="32"/>
      <c r="N4140" s="32"/>
      <c r="O4140" s="32"/>
      <c r="P4140" s="32"/>
      <c r="Q4140" s="32"/>
      <c r="R4140" s="32"/>
      <c r="S4140" s="32"/>
      <c r="T4140" s="32"/>
      <c r="U4140" s="32"/>
      <c r="V4140" s="32"/>
      <c r="W4140" s="32"/>
      <c r="X4140" s="32"/>
      <c r="Y4140" s="32"/>
      <c r="Z4140" s="32"/>
    </row>
    <row r="4141" spans="1:26" ht="14.25" customHeight="1">
      <c r="A4141" s="33" t="s">
        <v>2</v>
      </c>
      <c r="B4141" s="33" t="s">
        <v>3</v>
      </c>
      <c r="C4141" s="33" t="s">
        <v>4</v>
      </c>
      <c r="D4141" s="33" t="s">
        <v>5</v>
      </c>
      <c r="E4141" s="33" t="s">
        <v>6</v>
      </c>
      <c r="F4141" s="34" t="s">
        <v>7</v>
      </c>
      <c r="G4141" s="33" t="s">
        <v>8</v>
      </c>
      <c r="H4141" s="35"/>
      <c r="I4141" s="32"/>
      <c r="J4141" s="32"/>
      <c r="K4141" s="32"/>
      <c r="L4141" s="32"/>
      <c r="M4141" s="32"/>
      <c r="N4141" s="32"/>
      <c r="O4141" s="32"/>
      <c r="P4141" s="32"/>
      <c r="Q4141" s="32"/>
      <c r="R4141" s="32"/>
      <c r="S4141" s="32"/>
      <c r="T4141" s="32"/>
      <c r="U4141" s="32"/>
      <c r="V4141" s="32"/>
      <c r="W4141" s="32"/>
      <c r="X4141" s="32"/>
      <c r="Y4141" s="32"/>
      <c r="Z4141" s="32"/>
    </row>
    <row r="4142" spans="1:26" ht="14.25" customHeight="1">
      <c r="A4142" s="36">
        <v>1</v>
      </c>
      <c r="B4142" s="18" t="s">
        <v>73</v>
      </c>
      <c r="C4142" s="5" t="s">
        <v>1057</v>
      </c>
      <c r="D4142" s="18" t="s">
        <v>11</v>
      </c>
      <c r="E4142" s="18">
        <v>1.58</v>
      </c>
      <c r="F4142" s="6">
        <v>293000</v>
      </c>
      <c r="G4142" s="37">
        <f t="shared" ref="G4142:G4144" si="264">IFERROR(E4142*F4142,0)</f>
        <v>462940</v>
      </c>
      <c r="H4142" s="38"/>
      <c r="I4142" s="32"/>
      <c r="J4142" s="32"/>
      <c r="K4142" s="32"/>
      <c r="L4142" s="32"/>
      <c r="M4142" s="32"/>
      <c r="N4142" s="32"/>
      <c r="O4142" s="32"/>
      <c r="P4142" s="32"/>
      <c r="Q4142" s="32"/>
      <c r="R4142" s="32"/>
      <c r="S4142" s="32"/>
      <c r="T4142" s="32"/>
      <c r="U4142" s="32"/>
      <c r="V4142" s="32"/>
      <c r="W4142" s="32"/>
      <c r="X4142" s="32"/>
      <c r="Y4142" s="32"/>
      <c r="Z4142" s="32"/>
    </row>
    <row r="4143" spans="1:26" ht="14.25" customHeight="1">
      <c r="A4143" s="36">
        <v>2</v>
      </c>
      <c r="B4143" s="12" t="s">
        <v>504</v>
      </c>
      <c r="C4143" s="10" t="s">
        <v>1058</v>
      </c>
      <c r="D4143" s="12" t="s">
        <v>233</v>
      </c>
      <c r="E4143" s="12">
        <v>1.67</v>
      </c>
      <c r="F4143" s="43">
        <v>435000</v>
      </c>
      <c r="G4143" s="37">
        <f t="shared" si="264"/>
        <v>726450</v>
      </c>
      <c r="H4143" s="38"/>
      <c r="I4143" s="32"/>
      <c r="J4143" s="32"/>
      <c r="K4143" s="32"/>
      <c r="L4143" s="32"/>
      <c r="M4143" s="32"/>
      <c r="N4143" s="32"/>
      <c r="O4143" s="32"/>
      <c r="P4143" s="32"/>
      <c r="Q4143" s="32"/>
      <c r="R4143" s="32"/>
      <c r="S4143" s="32"/>
      <c r="T4143" s="32"/>
      <c r="U4143" s="32"/>
      <c r="V4143" s="32"/>
      <c r="W4143" s="32"/>
      <c r="X4143" s="32"/>
      <c r="Y4143" s="32"/>
      <c r="Z4143" s="32"/>
    </row>
    <row r="4144" spans="1:26" ht="14.25" customHeight="1">
      <c r="A4144" s="36">
        <v>4</v>
      </c>
      <c r="B4144" s="39" t="s">
        <v>17</v>
      </c>
      <c r="C4144" s="38"/>
      <c r="D4144" s="38"/>
      <c r="E4144" s="38"/>
      <c r="F4144" s="60"/>
      <c r="G4144" s="37">
        <f t="shared" si="264"/>
        <v>0</v>
      </c>
      <c r="H4144" s="38"/>
      <c r="I4144" s="32"/>
      <c r="J4144" s="32"/>
      <c r="K4144" s="32"/>
      <c r="L4144" s="32"/>
      <c r="M4144" s="32"/>
      <c r="N4144" s="32"/>
      <c r="O4144" s="32"/>
      <c r="P4144" s="32"/>
      <c r="Q4144" s="32"/>
      <c r="R4144" s="32"/>
      <c r="S4144" s="32"/>
      <c r="T4144" s="32"/>
      <c r="U4144" s="32"/>
      <c r="V4144" s="32"/>
      <c r="W4144" s="32"/>
      <c r="X4144" s="32"/>
      <c r="Y4144" s="32"/>
      <c r="Z4144" s="32"/>
    </row>
    <row r="4145" spans="1:26" ht="14.25" customHeight="1">
      <c r="A4145" s="83" t="s">
        <v>18</v>
      </c>
      <c r="B4145" s="81"/>
      <c r="C4145" s="81"/>
      <c r="D4145" s="81"/>
      <c r="E4145" s="81"/>
      <c r="F4145" s="81"/>
      <c r="G4145" s="82"/>
      <c r="H4145" s="41">
        <f>SUM(G4142:G4144)</f>
        <v>1189390</v>
      </c>
      <c r="I4145" s="32"/>
      <c r="J4145" s="32"/>
      <c r="K4145" s="32"/>
      <c r="L4145" s="32"/>
      <c r="M4145" s="32"/>
      <c r="N4145" s="32"/>
      <c r="O4145" s="32"/>
      <c r="P4145" s="32"/>
      <c r="Q4145" s="32"/>
      <c r="R4145" s="32"/>
      <c r="S4145" s="32"/>
      <c r="T4145" s="32"/>
      <c r="U4145" s="32"/>
      <c r="V4145" s="32"/>
      <c r="W4145" s="32"/>
      <c r="X4145" s="32"/>
      <c r="Y4145" s="32"/>
      <c r="Z4145" s="32"/>
    </row>
    <row r="4146" spans="1:26" ht="14.25" customHeight="1">
      <c r="A4146" s="83" t="s">
        <v>19</v>
      </c>
      <c r="B4146" s="81"/>
      <c r="C4146" s="81"/>
      <c r="D4146" s="81"/>
      <c r="E4146" s="81"/>
      <c r="F4146" s="81"/>
      <c r="G4146" s="82"/>
      <c r="H4146" s="41">
        <f>MAX(0,H4145-648000)</f>
        <v>541390</v>
      </c>
      <c r="I4146" s="32"/>
      <c r="J4146" s="32"/>
      <c r="K4146" s="32"/>
      <c r="L4146" s="32"/>
      <c r="M4146" s="32"/>
      <c r="N4146" s="32"/>
      <c r="O4146" s="32"/>
      <c r="P4146" s="32"/>
      <c r="Q4146" s="32"/>
      <c r="R4146" s="32"/>
      <c r="S4146" s="32"/>
      <c r="T4146" s="32"/>
      <c r="U4146" s="32"/>
      <c r="V4146" s="32"/>
      <c r="W4146" s="32"/>
      <c r="X4146" s="32"/>
      <c r="Y4146" s="32"/>
      <c r="Z4146" s="32"/>
    </row>
    <row r="4147" spans="1:26" ht="14.25" customHeight="1">
      <c r="A4147" s="84" t="s">
        <v>20</v>
      </c>
      <c r="B4147" s="81"/>
      <c r="C4147" s="81"/>
      <c r="D4147" s="81"/>
      <c r="E4147" s="81"/>
      <c r="F4147" s="81"/>
      <c r="G4147" s="82"/>
      <c r="H4147" s="42">
        <v>649000</v>
      </c>
      <c r="I4147" s="32"/>
      <c r="J4147" s="32"/>
      <c r="K4147" s="32"/>
      <c r="L4147" s="32"/>
      <c r="M4147" s="32"/>
      <c r="N4147" s="32"/>
      <c r="O4147" s="32"/>
      <c r="P4147" s="32"/>
      <c r="Q4147" s="32"/>
      <c r="R4147" s="32"/>
      <c r="S4147" s="32"/>
      <c r="T4147" s="32"/>
      <c r="U4147" s="32"/>
      <c r="V4147" s="32"/>
      <c r="W4147" s="32"/>
      <c r="X4147" s="32"/>
      <c r="Y4147" s="32"/>
      <c r="Z4147" s="32"/>
    </row>
    <row r="4148" spans="1:26" ht="14.25" customHeight="1">
      <c r="A4148" s="80"/>
      <c r="B4148" s="81"/>
      <c r="C4148" s="81"/>
      <c r="D4148" s="81"/>
      <c r="E4148" s="81"/>
      <c r="F4148" s="81"/>
      <c r="G4148" s="81"/>
      <c r="H4148" s="82"/>
      <c r="I4148" s="32"/>
      <c r="J4148" s="32"/>
      <c r="K4148" s="32"/>
      <c r="L4148" s="32"/>
      <c r="M4148" s="32"/>
      <c r="N4148" s="32"/>
      <c r="O4148" s="32"/>
      <c r="P4148" s="32"/>
      <c r="Q4148" s="32"/>
      <c r="R4148" s="32"/>
      <c r="S4148" s="32"/>
      <c r="T4148" s="32"/>
      <c r="U4148" s="32"/>
      <c r="V4148" s="32"/>
      <c r="W4148" s="32"/>
      <c r="X4148" s="32"/>
      <c r="Y4148" s="32"/>
      <c r="Z4148" s="32"/>
    </row>
    <row r="4149" spans="1:26" ht="14.25" customHeight="1"/>
    <row r="4150" spans="1:26" ht="14.25" customHeight="1"/>
    <row r="4151" spans="1:26" ht="14.25" customHeight="1"/>
    <row r="4152" spans="1:26" ht="14.25" customHeight="1"/>
    <row r="4153" spans="1:26" ht="14.25" customHeight="1"/>
    <row r="4154" spans="1:26" ht="14.25" customHeight="1"/>
    <row r="4155" spans="1:26" ht="14.25" customHeight="1"/>
    <row r="4156" spans="1:26" ht="14.25" customHeight="1">
      <c r="A4156" s="80" t="s">
        <v>0</v>
      </c>
      <c r="B4156" s="81"/>
      <c r="C4156" s="81"/>
      <c r="D4156" s="81"/>
      <c r="E4156" s="81"/>
      <c r="F4156" s="81"/>
      <c r="G4156" s="81"/>
      <c r="H4156" s="82"/>
      <c r="I4156" s="32"/>
      <c r="J4156" s="32"/>
      <c r="K4156" s="32"/>
      <c r="L4156" s="32"/>
      <c r="M4156" s="32"/>
      <c r="N4156" s="32"/>
      <c r="O4156" s="32"/>
      <c r="P4156" s="32"/>
      <c r="Q4156" s="32"/>
      <c r="R4156" s="32"/>
      <c r="S4156" s="32"/>
      <c r="T4156" s="32"/>
      <c r="U4156" s="32"/>
      <c r="V4156" s="32"/>
      <c r="W4156" s="32"/>
      <c r="X4156" s="32"/>
      <c r="Y4156" s="32"/>
      <c r="Z4156" s="32"/>
    </row>
    <row r="4157" spans="1:26" ht="14.25" customHeight="1">
      <c r="A4157" s="80" t="s">
        <v>1059</v>
      </c>
      <c r="B4157" s="81"/>
      <c r="C4157" s="81"/>
      <c r="D4157" s="81"/>
      <c r="E4157" s="81"/>
      <c r="F4157" s="81"/>
      <c r="G4157" s="81"/>
      <c r="H4157" s="82"/>
      <c r="I4157" s="32"/>
      <c r="J4157" s="32"/>
      <c r="K4157" s="32"/>
      <c r="L4157" s="32"/>
      <c r="M4157" s="32"/>
      <c r="N4157" s="32"/>
      <c r="O4157" s="32"/>
      <c r="P4157" s="32"/>
      <c r="Q4157" s="32"/>
      <c r="R4157" s="32"/>
      <c r="S4157" s="32"/>
      <c r="T4157" s="32"/>
      <c r="U4157" s="32"/>
      <c r="V4157" s="32"/>
      <c r="W4157" s="32"/>
      <c r="X4157" s="32"/>
      <c r="Y4157" s="32"/>
      <c r="Z4157" s="32"/>
    </row>
    <row r="4158" spans="1:26" ht="14.25" customHeight="1">
      <c r="A4158" s="33" t="s">
        <v>2</v>
      </c>
      <c r="B4158" s="33" t="s">
        <v>3</v>
      </c>
      <c r="C4158" s="33" t="s">
        <v>4</v>
      </c>
      <c r="D4158" s="33" t="s">
        <v>5</v>
      </c>
      <c r="E4158" s="33" t="s">
        <v>6</v>
      </c>
      <c r="F4158" s="34" t="s">
        <v>7</v>
      </c>
      <c r="G4158" s="33" t="s">
        <v>8</v>
      </c>
      <c r="H4158" s="35"/>
      <c r="I4158" s="32"/>
      <c r="J4158" s="32"/>
      <c r="K4158" s="32"/>
      <c r="L4158" s="32"/>
      <c r="M4158" s="32"/>
      <c r="N4158" s="32"/>
      <c r="O4158" s="32"/>
      <c r="P4158" s="32"/>
      <c r="Q4158" s="32"/>
      <c r="R4158" s="32"/>
      <c r="S4158" s="32"/>
      <c r="T4158" s="32"/>
      <c r="U4158" s="32"/>
      <c r="V4158" s="32"/>
      <c r="W4158" s="32"/>
      <c r="X4158" s="32"/>
      <c r="Y4158" s="32"/>
      <c r="Z4158" s="32"/>
    </row>
    <row r="4159" spans="1:26" ht="14.25" customHeight="1">
      <c r="A4159" s="36">
        <v>1</v>
      </c>
      <c r="B4159" s="18" t="s">
        <v>1060</v>
      </c>
      <c r="C4159" s="5" t="s">
        <v>1061</v>
      </c>
      <c r="D4159" s="18" t="s">
        <v>413</v>
      </c>
      <c r="E4159" s="18">
        <v>1.7</v>
      </c>
      <c r="F4159" s="6">
        <v>293000</v>
      </c>
      <c r="G4159" s="37">
        <f t="shared" ref="G4159:G4161" si="265">IFERROR(E4159*F4159,0)</f>
        <v>498100</v>
      </c>
      <c r="H4159" s="38"/>
      <c r="I4159" s="32"/>
      <c r="J4159" s="32"/>
      <c r="K4159" s="32"/>
      <c r="L4159" s="32"/>
      <c r="M4159" s="32"/>
      <c r="N4159" s="32"/>
      <c r="O4159" s="32"/>
      <c r="P4159" s="32"/>
      <c r="Q4159" s="32"/>
      <c r="R4159" s="32"/>
      <c r="S4159" s="32"/>
      <c r="T4159" s="32"/>
      <c r="U4159" s="32"/>
      <c r="V4159" s="32"/>
      <c r="W4159" s="32"/>
      <c r="X4159" s="32"/>
      <c r="Y4159" s="32"/>
      <c r="Z4159" s="32"/>
    </row>
    <row r="4160" spans="1:26" ht="14.25" customHeight="1">
      <c r="A4160" s="36">
        <v>2</v>
      </c>
      <c r="B4160" s="12" t="s">
        <v>12</v>
      </c>
      <c r="C4160" s="10" t="s">
        <v>1062</v>
      </c>
      <c r="D4160" s="12" t="s">
        <v>233</v>
      </c>
      <c r="E4160" s="12">
        <v>1.87</v>
      </c>
      <c r="F4160" s="43">
        <v>435000</v>
      </c>
      <c r="G4160" s="37">
        <f t="shared" si="265"/>
        <v>813450</v>
      </c>
      <c r="H4160" s="38"/>
      <c r="I4160" s="32"/>
      <c r="J4160" s="32"/>
      <c r="K4160" s="32"/>
      <c r="L4160" s="32"/>
      <c r="M4160" s="32"/>
      <c r="N4160" s="32"/>
      <c r="O4160" s="32"/>
      <c r="P4160" s="32"/>
      <c r="Q4160" s="32"/>
      <c r="R4160" s="32"/>
      <c r="S4160" s="32"/>
      <c r="T4160" s="32"/>
      <c r="U4160" s="32"/>
      <c r="V4160" s="32"/>
      <c r="W4160" s="32"/>
      <c r="X4160" s="32"/>
      <c r="Y4160" s="32"/>
      <c r="Z4160" s="32"/>
    </row>
    <row r="4161" spans="1:26" ht="14.25" customHeight="1">
      <c r="A4161" s="36">
        <v>4</v>
      </c>
      <c r="B4161" s="39" t="s">
        <v>17</v>
      </c>
      <c r="C4161" s="38"/>
      <c r="D4161" s="38"/>
      <c r="E4161" s="38"/>
      <c r="F4161" s="60"/>
      <c r="G4161" s="37">
        <f t="shared" si="265"/>
        <v>0</v>
      </c>
      <c r="H4161" s="38"/>
      <c r="I4161" s="32"/>
      <c r="J4161" s="32"/>
      <c r="K4161" s="32"/>
      <c r="L4161" s="32"/>
      <c r="M4161" s="32"/>
      <c r="N4161" s="32"/>
      <c r="O4161" s="32"/>
      <c r="P4161" s="32"/>
      <c r="Q4161" s="32"/>
      <c r="R4161" s="32"/>
      <c r="S4161" s="32"/>
      <c r="T4161" s="32"/>
      <c r="U4161" s="32"/>
      <c r="V4161" s="32"/>
      <c r="W4161" s="32"/>
      <c r="X4161" s="32"/>
      <c r="Y4161" s="32"/>
      <c r="Z4161" s="32"/>
    </row>
    <row r="4162" spans="1:26" ht="14.25" customHeight="1">
      <c r="A4162" s="83" t="s">
        <v>18</v>
      </c>
      <c r="B4162" s="81"/>
      <c r="C4162" s="81"/>
      <c r="D4162" s="81"/>
      <c r="E4162" s="81"/>
      <c r="F4162" s="81"/>
      <c r="G4162" s="82"/>
      <c r="H4162" s="41">
        <f>SUM(G4159:G4161)</f>
        <v>1311550</v>
      </c>
      <c r="I4162" s="32"/>
      <c r="J4162" s="32"/>
      <c r="K4162" s="32"/>
      <c r="L4162" s="32"/>
      <c r="M4162" s="32"/>
      <c r="N4162" s="32"/>
      <c r="O4162" s="32"/>
      <c r="P4162" s="32"/>
      <c r="Q4162" s="32"/>
      <c r="R4162" s="32"/>
      <c r="S4162" s="32"/>
      <c r="T4162" s="32"/>
      <c r="U4162" s="32"/>
      <c r="V4162" s="32"/>
      <c r="W4162" s="32"/>
      <c r="X4162" s="32"/>
      <c r="Y4162" s="32"/>
      <c r="Z4162" s="32"/>
    </row>
    <row r="4163" spans="1:26" ht="14.25" customHeight="1">
      <c r="A4163" s="83" t="s">
        <v>19</v>
      </c>
      <c r="B4163" s="81"/>
      <c r="C4163" s="81"/>
      <c r="D4163" s="81"/>
      <c r="E4163" s="81"/>
      <c r="F4163" s="81"/>
      <c r="G4163" s="82"/>
      <c r="H4163" s="41">
        <f>MAX(0,H4162-648000)</f>
        <v>663550</v>
      </c>
      <c r="I4163" s="32"/>
      <c r="J4163" s="32"/>
      <c r="K4163" s="32"/>
      <c r="L4163" s="32"/>
      <c r="M4163" s="32"/>
      <c r="N4163" s="32"/>
      <c r="O4163" s="32"/>
      <c r="P4163" s="32"/>
      <c r="Q4163" s="32"/>
      <c r="R4163" s="32"/>
      <c r="S4163" s="32"/>
      <c r="T4163" s="32"/>
      <c r="U4163" s="32"/>
      <c r="V4163" s="32"/>
      <c r="W4163" s="32"/>
      <c r="X4163" s="32"/>
      <c r="Y4163" s="32"/>
      <c r="Z4163" s="32"/>
    </row>
    <row r="4164" spans="1:26" ht="14.25" customHeight="1">
      <c r="A4164" s="84" t="s">
        <v>20</v>
      </c>
      <c r="B4164" s="81"/>
      <c r="C4164" s="81"/>
      <c r="D4164" s="81"/>
      <c r="E4164" s="81"/>
      <c r="F4164" s="81"/>
      <c r="G4164" s="82"/>
      <c r="H4164" s="42">
        <v>649000</v>
      </c>
      <c r="I4164" s="32"/>
      <c r="J4164" s="32"/>
      <c r="K4164" s="32"/>
      <c r="L4164" s="32"/>
      <c r="M4164" s="32"/>
      <c r="N4164" s="32"/>
      <c r="O4164" s="32"/>
      <c r="P4164" s="32"/>
      <c r="Q4164" s="32"/>
      <c r="R4164" s="32"/>
      <c r="S4164" s="32"/>
      <c r="T4164" s="32"/>
      <c r="U4164" s="32"/>
      <c r="V4164" s="32"/>
      <c r="W4164" s="32"/>
      <c r="X4164" s="32"/>
      <c r="Y4164" s="32"/>
      <c r="Z4164" s="32"/>
    </row>
    <row r="4165" spans="1:26" ht="14.25" customHeight="1">
      <c r="A4165" s="80"/>
      <c r="B4165" s="81"/>
      <c r="C4165" s="81"/>
      <c r="D4165" s="81"/>
      <c r="E4165" s="81"/>
      <c r="F4165" s="81"/>
      <c r="G4165" s="81"/>
      <c r="H4165" s="82"/>
      <c r="I4165" s="32"/>
      <c r="J4165" s="32"/>
      <c r="K4165" s="32"/>
      <c r="L4165" s="32"/>
      <c r="M4165" s="32"/>
      <c r="N4165" s="32"/>
      <c r="O4165" s="32"/>
      <c r="P4165" s="32"/>
      <c r="Q4165" s="32"/>
      <c r="R4165" s="32"/>
      <c r="S4165" s="32"/>
      <c r="T4165" s="32"/>
      <c r="U4165" s="32"/>
      <c r="V4165" s="32"/>
      <c r="W4165" s="32"/>
      <c r="X4165" s="32"/>
      <c r="Y4165" s="32"/>
      <c r="Z4165" s="32"/>
    </row>
    <row r="4166" spans="1:26" ht="14.25" customHeight="1"/>
    <row r="4167" spans="1:26" ht="14.25" customHeight="1"/>
    <row r="4168" spans="1:26" ht="14.25" customHeight="1"/>
    <row r="4169" spans="1:26" ht="14.25" customHeight="1"/>
    <row r="4170" spans="1:26" ht="14.25" customHeight="1"/>
    <row r="4171" spans="1:26" ht="14.25" customHeight="1"/>
    <row r="4172" spans="1:26" ht="14.25" customHeight="1">
      <c r="A4172" s="80" t="s">
        <v>0</v>
      </c>
      <c r="B4172" s="81"/>
      <c r="C4172" s="81"/>
      <c r="D4172" s="81"/>
      <c r="E4172" s="81"/>
      <c r="F4172" s="81"/>
      <c r="G4172" s="81"/>
      <c r="H4172" s="82"/>
      <c r="I4172" s="32"/>
      <c r="J4172" s="32"/>
      <c r="K4172" s="32"/>
      <c r="L4172" s="32"/>
      <c r="M4172" s="32"/>
      <c r="N4172" s="32"/>
      <c r="O4172" s="32"/>
      <c r="P4172" s="32"/>
      <c r="Q4172" s="32"/>
      <c r="R4172" s="32"/>
      <c r="S4172" s="32"/>
      <c r="T4172" s="32"/>
      <c r="U4172" s="32"/>
      <c r="V4172" s="32"/>
      <c r="W4172" s="32"/>
      <c r="X4172" s="32"/>
      <c r="Y4172" s="32"/>
      <c r="Z4172" s="32"/>
    </row>
    <row r="4173" spans="1:26" ht="14.25" customHeight="1">
      <c r="A4173" s="80" t="s">
        <v>1063</v>
      </c>
      <c r="B4173" s="81"/>
      <c r="C4173" s="81"/>
      <c r="D4173" s="81"/>
      <c r="E4173" s="81"/>
      <c r="F4173" s="81"/>
      <c r="G4173" s="81"/>
      <c r="H4173" s="82"/>
      <c r="I4173" s="32"/>
      <c r="J4173" s="32"/>
      <c r="K4173" s="32"/>
      <c r="L4173" s="32"/>
      <c r="M4173" s="32"/>
      <c r="N4173" s="32"/>
      <c r="O4173" s="32"/>
      <c r="P4173" s="32"/>
      <c r="Q4173" s="32"/>
      <c r="R4173" s="32"/>
      <c r="S4173" s="32"/>
      <c r="T4173" s="32"/>
      <c r="U4173" s="32"/>
      <c r="V4173" s="32"/>
      <c r="W4173" s="32"/>
      <c r="X4173" s="32"/>
      <c r="Y4173" s="32"/>
      <c r="Z4173" s="32"/>
    </row>
    <row r="4174" spans="1:26" ht="14.25" customHeight="1">
      <c r="A4174" s="33" t="s">
        <v>2</v>
      </c>
      <c r="B4174" s="33" t="s">
        <v>3</v>
      </c>
      <c r="C4174" s="33" t="s">
        <v>4</v>
      </c>
      <c r="D4174" s="33" t="s">
        <v>5</v>
      </c>
      <c r="E4174" s="33" t="s">
        <v>6</v>
      </c>
      <c r="F4174" s="34" t="s">
        <v>7</v>
      </c>
      <c r="G4174" s="33" t="s">
        <v>8</v>
      </c>
      <c r="H4174" s="35"/>
      <c r="I4174" s="32"/>
      <c r="J4174" s="32"/>
      <c r="K4174" s="32"/>
      <c r="L4174" s="32"/>
      <c r="M4174" s="32"/>
      <c r="N4174" s="32"/>
      <c r="O4174" s="32"/>
      <c r="P4174" s="32"/>
      <c r="Q4174" s="32"/>
      <c r="R4174" s="32"/>
      <c r="S4174" s="32"/>
      <c r="T4174" s="32"/>
      <c r="U4174" s="32"/>
      <c r="V4174" s="32"/>
      <c r="W4174" s="32"/>
      <c r="X4174" s="32"/>
      <c r="Y4174" s="32"/>
      <c r="Z4174" s="32"/>
    </row>
    <row r="4175" spans="1:26" ht="14.25" customHeight="1">
      <c r="A4175" s="36">
        <v>1</v>
      </c>
      <c r="B4175" s="18" t="s">
        <v>154</v>
      </c>
      <c r="C4175" s="5">
        <v>2139</v>
      </c>
      <c r="D4175" s="18" t="s">
        <v>11</v>
      </c>
      <c r="E4175" s="18">
        <v>2</v>
      </c>
      <c r="F4175" s="6">
        <v>293000</v>
      </c>
      <c r="G4175" s="37">
        <f t="shared" ref="G4175:G4177" si="266">IFERROR(E4175*F4175,0)</f>
        <v>586000</v>
      </c>
      <c r="H4175" s="38"/>
      <c r="I4175" s="32"/>
      <c r="J4175" s="32"/>
      <c r="K4175" s="32"/>
      <c r="L4175" s="32"/>
      <c r="M4175" s="32"/>
      <c r="N4175" s="32"/>
      <c r="O4175" s="32"/>
      <c r="P4175" s="32"/>
      <c r="Q4175" s="32"/>
      <c r="R4175" s="32"/>
      <c r="S4175" s="32"/>
      <c r="T4175" s="32"/>
      <c r="U4175" s="32"/>
      <c r="V4175" s="32"/>
      <c r="W4175" s="32"/>
      <c r="X4175" s="32"/>
      <c r="Y4175" s="32"/>
      <c r="Z4175" s="32"/>
    </row>
    <row r="4176" spans="1:26" ht="14.25" customHeight="1">
      <c r="A4176" s="36">
        <v>2</v>
      </c>
      <c r="B4176" s="12" t="s">
        <v>286</v>
      </c>
      <c r="C4176" s="10" t="s">
        <v>1064</v>
      </c>
      <c r="D4176" s="12" t="s">
        <v>14</v>
      </c>
      <c r="E4176" s="12">
        <v>1.5</v>
      </c>
      <c r="F4176" s="43">
        <v>435000</v>
      </c>
      <c r="G4176" s="37">
        <f t="shared" si="266"/>
        <v>652500</v>
      </c>
      <c r="H4176" s="38"/>
      <c r="I4176" s="32"/>
      <c r="J4176" s="32"/>
      <c r="K4176" s="32"/>
      <c r="L4176" s="32"/>
      <c r="M4176" s="32"/>
      <c r="N4176" s="32"/>
      <c r="O4176" s="32"/>
      <c r="P4176" s="32"/>
      <c r="Q4176" s="32"/>
      <c r="R4176" s="32"/>
      <c r="S4176" s="32"/>
      <c r="T4176" s="32"/>
      <c r="U4176" s="32"/>
      <c r="V4176" s="32"/>
      <c r="W4176" s="32"/>
      <c r="X4176" s="32"/>
      <c r="Y4176" s="32"/>
      <c r="Z4176" s="32"/>
    </row>
    <row r="4177" spans="1:26" ht="14.25" customHeight="1">
      <c r="A4177" s="36">
        <v>4</v>
      </c>
      <c r="B4177" s="39" t="s">
        <v>17</v>
      </c>
      <c r="C4177" s="38"/>
      <c r="D4177" s="38"/>
      <c r="E4177" s="38"/>
      <c r="F4177" s="60"/>
      <c r="G4177" s="37">
        <f t="shared" si="266"/>
        <v>0</v>
      </c>
      <c r="H4177" s="38"/>
      <c r="I4177" s="32"/>
      <c r="J4177" s="32"/>
      <c r="K4177" s="32"/>
      <c r="L4177" s="32"/>
      <c r="M4177" s="32"/>
      <c r="N4177" s="32"/>
      <c r="O4177" s="32"/>
      <c r="P4177" s="32"/>
      <c r="Q4177" s="32"/>
      <c r="R4177" s="32"/>
      <c r="S4177" s="32"/>
      <c r="T4177" s="32"/>
      <c r="U4177" s="32"/>
      <c r="V4177" s="32"/>
      <c r="W4177" s="32"/>
      <c r="X4177" s="32"/>
      <c r="Y4177" s="32"/>
      <c r="Z4177" s="32"/>
    </row>
    <row r="4178" spans="1:26" ht="14.25" customHeight="1">
      <c r="A4178" s="83" t="s">
        <v>18</v>
      </c>
      <c r="B4178" s="81"/>
      <c r="C4178" s="81"/>
      <c r="D4178" s="81"/>
      <c r="E4178" s="81"/>
      <c r="F4178" s="81"/>
      <c r="G4178" s="82"/>
      <c r="H4178" s="41">
        <f>SUM(G4175:G4177)</f>
        <v>1238500</v>
      </c>
      <c r="I4178" s="32"/>
      <c r="J4178" s="32"/>
      <c r="K4178" s="32"/>
      <c r="L4178" s="32"/>
      <c r="M4178" s="32"/>
      <c r="N4178" s="32"/>
      <c r="O4178" s="32"/>
      <c r="P4178" s="32"/>
      <c r="Q4178" s="32"/>
      <c r="R4178" s="32"/>
      <c r="S4178" s="32"/>
      <c r="T4178" s="32"/>
      <c r="U4178" s="32"/>
      <c r="V4178" s="32"/>
      <c r="W4178" s="32"/>
      <c r="X4178" s="32"/>
      <c r="Y4178" s="32"/>
      <c r="Z4178" s="32"/>
    </row>
    <row r="4179" spans="1:26" ht="14.25" customHeight="1">
      <c r="A4179" s="83" t="s">
        <v>19</v>
      </c>
      <c r="B4179" s="81"/>
      <c r="C4179" s="81"/>
      <c r="D4179" s="81"/>
      <c r="E4179" s="81"/>
      <c r="F4179" s="81"/>
      <c r="G4179" s="82"/>
      <c r="H4179" s="41">
        <f>MAX(0,H4178-648000)</f>
        <v>590500</v>
      </c>
      <c r="I4179" s="32"/>
      <c r="J4179" s="32"/>
      <c r="K4179" s="32"/>
      <c r="L4179" s="32"/>
      <c r="M4179" s="32"/>
      <c r="N4179" s="32"/>
      <c r="O4179" s="32"/>
      <c r="P4179" s="32"/>
      <c r="Q4179" s="32"/>
      <c r="R4179" s="32"/>
      <c r="S4179" s="32"/>
      <c r="T4179" s="32"/>
      <c r="U4179" s="32"/>
      <c r="V4179" s="32"/>
      <c r="W4179" s="32"/>
      <c r="X4179" s="32"/>
      <c r="Y4179" s="32"/>
      <c r="Z4179" s="32"/>
    </row>
    <row r="4180" spans="1:26" ht="14.25" customHeight="1">
      <c r="A4180" s="84" t="s">
        <v>20</v>
      </c>
      <c r="B4180" s="81"/>
      <c r="C4180" s="81"/>
      <c r="D4180" s="81"/>
      <c r="E4180" s="81"/>
      <c r="F4180" s="81"/>
      <c r="G4180" s="82"/>
      <c r="H4180" s="42">
        <v>649000</v>
      </c>
      <c r="I4180" s="32"/>
      <c r="J4180" s="32"/>
      <c r="K4180" s="32"/>
      <c r="L4180" s="32"/>
      <c r="M4180" s="32"/>
      <c r="N4180" s="32"/>
      <c r="O4180" s="32"/>
      <c r="P4180" s="32"/>
      <c r="Q4180" s="32"/>
      <c r="R4180" s="32"/>
      <c r="S4180" s="32"/>
      <c r="T4180" s="32"/>
      <c r="U4180" s="32"/>
      <c r="V4180" s="32"/>
      <c r="W4180" s="32"/>
      <c r="X4180" s="32"/>
      <c r="Y4180" s="32"/>
      <c r="Z4180" s="32"/>
    </row>
    <row r="4181" spans="1:26" ht="14.25" customHeight="1">
      <c r="A4181" s="80"/>
      <c r="B4181" s="81"/>
      <c r="C4181" s="81"/>
      <c r="D4181" s="81"/>
      <c r="E4181" s="81"/>
      <c r="F4181" s="81"/>
      <c r="G4181" s="81"/>
      <c r="H4181" s="82"/>
      <c r="I4181" s="32"/>
      <c r="J4181" s="32"/>
      <c r="K4181" s="32"/>
      <c r="L4181" s="32"/>
      <c r="M4181" s="32"/>
      <c r="N4181" s="32"/>
      <c r="O4181" s="32"/>
      <c r="P4181" s="32"/>
      <c r="Q4181" s="32"/>
      <c r="R4181" s="32"/>
      <c r="S4181" s="32"/>
      <c r="T4181" s="32"/>
      <c r="U4181" s="32"/>
      <c r="V4181" s="32"/>
      <c r="W4181" s="32"/>
      <c r="X4181" s="32"/>
      <c r="Y4181" s="32"/>
      <c r="Z4181" s="32"/>
    </row>
    <row r="4182" spans="1:26" ht="14.25" customHeight="1"/>
    <row r="4183" spans="1:26" ht="14.25" customHeight="1"/>
    <row r="4184" spans="1:26" ht="14.25" customHeight="1"/>
    <row r="4185" spans="1:26" ht="14.25" customHeight="1"/>
    <row r="4186" spans="1:26" ht="14.25" customHeight="1"/>
    <row r="4187" spans="1:26" ht="14.25" customHeight="1"/>
    <row r="4188" spans="1:26" ht="14.25" customHeight="1"/>
    <row r="4189" spans="1:26" ht="14.25" customHeight="1"/>
    <row r="4190" spans="1:26" ht="14.25" customHeight="1">
      <c r="A4190" s="80" t="s">
        <v>0</v>
      </c>
      <c r="B4190" s="81"/>
      <c r="C4190" s="81"/>
      <c r="D4190" s="81"/>
      <c r="E4190" s="81"/>
      <c r="F4190" s="81"/>
      <c r="G4190" s="81"/>
      <c r="H4190" s="82"/>
      <c r="I4190" s="32"/>
      <c r="J4190" s="32"/>
      <c r="K4190" s="32"/>
      <c r="L4190" s="32"/>
      <c r="M4190" s="32"/>
      <c r="N4190" s="32"/>
      <c r="O4190" s="32"/>
      <c r="P4190" s="32"/>
      <c r="Q4190" s="32"/>
      <c r="R4190" s="32"/>
      <c r="S4190" s="32"/>
      <c r="T4190" s="32"/>
      <c r="U4190" s="32"/>
      <c r="V4190" s="32"/>
      <c r="W4190" s="32"/>
      <c r="X4190" s="32"/>
      <c r="Y4190" s="32"/>
      <c r="Z4190" s="32"/>
    </row>
    <row r="4191" spans="1:26" ht="14.25" customHeight="1">
      <c r="A4191" s="80" t="s">
        <v>1065</v>
      </c>
      <c r="B4191" s="81"/>
      <c r="C4191" s="81"/>
      <c r="D4191" s="81"/>
      <c r="E4191" s="81"/>
      <c r="F4191" s="81"/>
      <c r="G4191" s="81"/>
      <c r="H4191" s="82"/>
      <c r="I4191" s="32"/>
      <c r="J4191" s="32"/>
      <c r="K4191" s="32"/>
      <c r="L4191" s="32"/>
      <c r="M4191" s="32"/>
      <c r="N4191" s="32"/>
      <c r="O4191" s="32"/>
      <c r="P4191" s="32"/>
      <c r="Q4191" s="32"/>
      <c r="R4191" s="32"/>
      <c r="S4191" s="32"/>
      <c r="T4191" s="32"/>
      <c r="U4191" s="32"/>
      <c r="V4191" s="32"/>
      <c r="W4191" s="32"/>
      <c r="X4191" s="32"/>
      <c r="Y4191" s="32"/>
      <c r="Z4191" s="32"/>
    </row>
    <row r="4192" spans="1:26" ht="14.25" customHeight="1">
      <c r="A4192" s="33" t="s">
        <v>2</v>
      </c>
      <c r="B4192" s="33" t="s">
        <v>3</v>
      </c>
      <c r="C4192" s="33" t="s">
        <v>4</v>
      </c>
      <c r="D4192" s="33" t="s">
        <v>5</v>
      </c>
      <c r="E4192" s="33" t="s">
        <v>6</v>
      </c>
      <c r="F4192" s="34" t="s">
        <v>7</v>
      </c>
      <c r="G4192" s="33" t="s">
        <v>8</v>
      </c>
      <c r="H4192" s="35"/>
      <c r="I4192" s="32"/>
      <c r="J4192" s="32"/>
      <c r="K4192" s="32"/>
      <c r="L4192" s="32"/>
      <c r="M4192" s="32"/>
      <c r="N4192" s="32"/>
      <c r="O4192" s="32"/>
      <c r="P4192" s="32"/>
      <c r="Q4192" s="32"/>
      <c r="R4192" s="32"/>
      <c r="S4192" s="32"/>
      <c r="T4192" s="32"/>
      <c r="U4192" s="32"/>
      <c r="V4192" s="32"/>
      <c r="W4192" s="32"/>
      <c r="X4192" s="32"/>
      <c r="Y4192" s="32"/>
      <c r="Z4192" s="32"/>
    </row>
    <row r="4193" spans="1:26" ht="14.25" customHeight="1">
      <c r="A4193" s="36">
        <v>1</v>
      </c>
      <c r="B4193" s="18" t="s">
        <v>1066</v>
      </c>
      <c r="C4193" s="5" t="s">
        <v>1067</v>
      </c>
      <c r="D4193" s="18" t="s">
        <v>413</v>
      </c>
      <c r="E4193" s="18">
        <v>2</v>
      </c>
      <c r="F4193" s="6">
        <v>293000</v>
      </c>
      <c r="G4193" s="37">
        <f t="shared" ref="G4193:G4195" si="267">IFERROR(E4193*F4193,0)</f>
        <v>586000</v>
      </c>
      <c r="H4193" s="38"/>
      <c r="I4193" s="32"/>
      <c r="J4193" s="32"/>
      <c r="K4193" s="32"/>
      <c r="L4193" s="32"/>
      <c r="M4193" s="32"/>
      <c r="N4193" s="32"/>
      <c r="O4193" s="32"/>
      <c r="P4193" s="32"/>
      <c r="Q4193" s="32"/>
      <c r="R4193" s="32"/>
      <c r="S4193" s="32"/>
      <c r="T4193" s="32"/>
      <c r="U4193" s="32"/>
      <c r="V4193" s="32"/>
      <c r="W4193" s="32"/>
      <c r="X4193" s="32"/>
      <c r="Y4193" s="32"/>
      <c r="Z4193" s="32"/>
    </row>
    <row r="4194" spans="1:26" ht="14.25" customHeight="1">
      <c r="A4194" s="36">
        <v>2</v>
      </c>
      <c r="B4194" s="12" t="s">
        <v>12</v>
      </c>
      <c r="C4194" s="10" t="s">
        <v>1068</v>
      </c>
      <c r="D4194" s="12" t="s">
        <v>233</v>
      </c>
      <c r="E4194" s="12">
        <v>1.5</v>
      </c>
      <c r="F4194" s="43">
        <v>435000</v>
      </c>
      <c r="G4194" s="37">
        <f t="shared" si="267"/>
        <v>652500</v>
      </c>
      <c r="H4194" s="38"/>
      <c r="I4194" s="32"/>
      <c r="J4194" s="32"/>
      <c r="K4194" s="32"/>
      <c r="L4194" s="32"/>
      <c r="M4194" s="32"/>
      <c r="N4194" s="32"/>
      <c r="O4194" s="32"/>
      <c r="P4194" s="32"/>
      <c r="Q4194" s="32"/>
      <c r="R4194" s="32"/>
      <c r="S4194" s="32"/>
      <c r="T4194" s="32"/>
      <c r="U4194" s="32"/>
      <c r="V4194" s="32"/>
      <c r="W4194" s="32"/>
      <c r="X4194" s="32"/>
      <c r="Y4194" s="32"/>
      <c r="Z4194" s="32"/>
    </row>
    <row r="4195" spans="1:26" ht="14.25" customHeight="1">
      <c r="A4195" s="36">
        <v>4</v>
      </c>
      <c r="B4195" s="39" t="s">
        <v>17</v>
      </c>
      <c r="C4195" s="38"/>
      <c r="D4195" s="38"/>
      <c r="E4195" s="38"/>
      <c r="F4195" s="60"/>
      <c r="G4195" s="37">
        <f t="shared" si="267"/>
        <v>0</v>
      </c>
      <c r="H4195" s="38"/>
      <c r="I4195" s="32"/>
      <c r="J4195" s="32"/>
      <c r="K4195" s="32"/>
      <c r="L4195" s="32"/>
      <c r="M4195" s="32"/>
      <c r="N4195" s="32"/>
      <c r="O4195" s="32"/>
      <c r="P4195" s="32"/>
      <c r="Q4195" s="32"/>
      <c r="R4195" s="32"/>
      <c r="S4195" s="32"/>
      <c r="T4195" s="32"/>
      <c r="U4195" s="32"/>
      <c r="V4195" s="32"/>
      <c r="W4195" s="32"/>
      <c r="X4195" s="32"/>
      <c r="Y4195" s="32"/>
      <c r="Z4195" s="32"/>
    </row>
    <row r="4196" spans="1:26" ht="14.25" customHeight="1">
      <c r="A4196" s="83" t="s">
        <v>18</v>
      </c>
      <c r="B4196" s="81"/>
      <c r="C4196" s="81"/>
      <c r="D4196" s="81"/>
      <c r="E4196" s="81"/>
      <c r="F4196" s="81"/>
      <c r="G4196" s="82"/>
      <c r="H4196" s="41">
        <f>SUM(G4193:G4195)</f>
        <v>1238500</v>
      </c>
      <c r="I4196" s="32"/>
      <c r="J4196" s="32"/>
      <c r="K4196" s="32"/>
      <c r="L4196" s="32"/>
      <c r="M4196" s="32"/>
      <c r="N4196" s="32"/>
      <c r="O4196" s="32"/>
      <c r="P4196" s="32"/>
      <c r="Q4196" s="32"/>
      <c r="R4196" s="32"/>
      <c r="S4196" s="32"/>
      <c r="T4196" s="32"/>
      <c r="U4196" s="32"/>
      <c r="V4196" s="32"/>
      <c r="W4196" s="32"/>
      <c r="X4196" s="32"/>
      <c r="Y4196" s="32"/>
      <c r="Z4196" s="32"/>
    </row>
    <row r="4197" spans="1:26" ht="14.25" customHeight="1">
      <c r="A4197" s="83" t="s">
        <v>19</v>
      </c>
      <c r="B4197" s="81"/>
      <c r="C4197" s="81"/>
      <c r="D4197" s="81"/>
      <c r="E4197" s="81"/>
      <c r="F4197" s="81"/>
      <c r="G4197" s="82"/>
      <c r="H4197" s="41">
        <f>MAX(0,H4196-648000)</f>
        <v>590500</v>
      </c>
      <c r="I4197" s="32"/>
      <c r="J4197" s="32"/>
      <c r="K4197" s="32"/>
      <c r="L4197" s="32"/>
      <c r="M4197" s="32"/>
      <c r="N4197" s="32"/>
      <c r="O4197" s="32"/>
      <c r="P4197" s="32"/>
      <c r="Q4197" s="32"/>
      <c r="R4197" s="32"/>
      <c r="S4197" s="32"/>
      <c r="T4197" s="32"/>
      <c r="U4197" s="32"/>
      <c r="V4197" s="32"/>
      <c r="W4197" s="32"/>
      <c r="X4197" s="32"/>
      <c r="Y4197" s="32"/>
      <c r="Z4197" s="32"/>
    </row>
    <row r="4198" spans="1:26" ht="14.25" customHeight="1">
      <c r="A4198" s="84" t="s">
        <v>20</v>
      </c>
      <c r="B4198" s="81"/>
      <c r="C4198" s="81"/>
      <c r="D4198" s="81"/>
      <c r="E4198" s="81"/>
      <c r="F4198" s="81"/>
      <c r="G4198" s="82"/>
      <c r="H4198" s="42">
        <v>649000</v>
      </c>
      <c r="I4198" s="32"/>
      <c r="J4198" s="32"/>
      <c r="K4198" s="32"/>
      <c r="L4198" s="32"/>
      <c r="M4198" s="32"/>
      <c r="N4198" s="32"/>
      <c r="O4198" s="32"/>
      <c r="P4198" s="32"/>
      <c r="Q4198" s="32"/>
      <c r="R4198" s="32"/>
      <c r="S4198" s="32"/>
      <c r="T4198" s="32"/>
      <c r="U4198" s="32"/>
      <c r="V4198" s="32"/>
      <c r="W4198" s="32"/>
      <c r="X4198" s="32"/>
      <c r="Y4198" s="32"/>
      <c r="Z4198" s="32"/>
    </row>
    <row r="4199" spans="1:26" ht="14.25" customHeight="1">
      <c r="A4199" s="80"/>
      <c r="B4199" s="81"/>
      <c r="C4199" s="81"/>
      <c r="D4199" s="81"/>
      <c r="E4199" s="81"/>
      <c r="F4199" s="81"/>
      <c r="G4199" s="81"/>
      <c r="H4199" s="82"/>
      <c r="I4199" s="32"/>
      <c r="J4199" s="32"/>
      <c r="K4199" s="32"/>
      <c r="L4199" s="32"/>
      <c r="M4199" s="32"/>
      <c r="N4199" s="32"/>
      <c r="O4199" s="32"/>
      <c r="P4199" s="32"/>
      <c r="Q4199" s="32"/>
      <c r="R4199" s="32"/>
      <c r="S4199" s="32"/>
      <c r="T4199" s="32"/>
      <c r="U4199" s="32"/>
      <c r="V4199" s="32"/>
      <c r="W4199" s="32"/>
      <c r="X4199" s="32"/>
      <c r="Y4199" s="32"/>
      <c r="Z4199" s="32"/>
    </row>
    <row r="4200" spans="1:26" ht="14.25" customHeight="1"/>
    <row r="4201" spans="1:26" ht="14.25" customHeight="1"/>
    <row r="4202" spans="1:26" ht="14.25" customHeight="1"/>
    <row r="4203" spans="1:26" ht="14.25" customHeight="1"/>
    <row r="4204" spans="1:26" ht="14.25" customHeight="1"/>
    <row r="4205" spans="1:26" ht="14.25" customHeight="1"/>
    <row r="4206" spans="1:26" ht="14.25" customHeight="1"/>
    <row r="4207" spans="1:26" ht="14.25" customHeight="1"/>
    <row r="4208" spans="1:26" ht="14.25" customHeight="1">
      <c r="A4208" s="80" t="s">
        <v>0</v>
      </c>
      <c r="B4208" s="81"/>
      <c r="C4208" s="81"/>
      <c r="D4208" s="81"/>
      <c r="E4208" s="81"/>
      <c r="F4208" s="81"/>
      <c r="G4208" s="81"/>
      <c r="H4208" s="82"/>
      <c r="I4208" s="32"/>
      <c r="J4208" s="32"/>
      <c r="K4208" s="32"/>
      <c r="L4208" s="32"/>
      <c r="M4208" s="32"/>
      <c r="N4208" s="32"/>
      <c r="O4208" s="32"/>
      <c r="P4208" s="32"/>
      <c r="Q4208" s="32"/>
      <c r="R4208" s="32"/>
      <c r="S4208" s="32"/>
      <c r="T4208" s="32"/>
      <c r="U4208" s="32"/>
      <c r="V4208" s="32"/>
      <c r="W4208" s="32"/>
      <c r="X4208" s="32"/>
      <c r="Y4208" s="32"/>
      <c r="Z4208" s="32"/>
    </row>
    <row r="4209" spans="1:26" ht="14.25" customHeight="1">
      <c r="A4209" s="80" t="s">
        <v>1069</v>
      </c>
      <c r="B4209" s="81"/>
      <c r="C4209" s="81"/>
      <c r="D4209" s="81"/>
      <c r="E4209" s="81"/>
      <c r="F4209" s="81"/>
      <c r="G4209" s="81"/>
      <c r="H4209" s="82"/>
      <c r="I4209" s="32"/>
      <c r="J4209" s="32"/>
      <c r="K4209" s="32"/>
      <c r="L4209" s="32"/>
      <c r="M4209" s="32"/>
      <c r="N4209" s="32"/>
      <c r="O4209" s="32"/>
      <c r="P4209" s="32"/>
      <c r="Q4209" s="32"/>
      <c r="R4209" s="32"/>
      <c r="S4209" s="32"/>
      <c r="T4209" s="32"/>
      <c r="U4209" s="32"/>
      <c r="V4209" s="32"/>
      <c r="W4209" s="32"/>
      <c r="X4209" s="32"/>
      <c r="Y4209" s="32"/>
      <c r="Z4209" s="32"/>
    </row>
    <row r="4210" spans="1:26" ht="14.25" customHeight="1">
      <c r="A4210" s="33" t="s">
        <v>2</v>
      </c>
      <c r="B4210" s="33" t="s">
        <v>3</v>
      </c>
      <c r="C4210" s="33" t="s">
        <v>4</v>
      </c>
      <c r="D4210" s="33" t="s">
        <v>5</v>
      </c>
      <c r="E4210" s="33" t="s">
        <v>6</v>
      </c>
      <c r="F4210" s="34" t="s">
        <v>7</v>
      </c>
      <c r="G4210" s="33" t="s">
        <v>8</v>
      </c>
      <c r="H4210" s="35"/>
      <c r="I4210" s="32"/>
      <c r="J4210" s="32"/>
      <c r="K4210" s="32"/>
      <c r="L4210" s="32"/>
      <c r="M4210" s="32"/>
      <c r="N4210" s="32"/>
      <c r="O4210" s="32"/>
      <c r="P4210" s="32"/>
      <c r="Q4210" s="32"/>
      <c r="R4210" s="32"/>
      <c r="S4210" s="32"/>
      <c r="T4210" s="32"/>
      <c r="U4210" s="32"/>
      <c r="V4210" s="32"/>
      <c r="W4210" s="32"/>
      <c r="X4210" s="32"/>
      <c r="Y4210" s="32"/>
      <c r="Z4210" s="32"/>
    </row>
    <row r="4211" spans="1:26" ht="14.25" customHeight="1">
      <c r="A4211" s="36">
        <v>1</v>
      </c>
      <c r="B4211" s="18" t="s">
        <v>918</v>
      </c>
      <c r="C4211" s="5" t="s">
        <v>1070</v>
      </c>
      <c r="D4211" s="18" t="s">
        <v>11</v>
      </c>
      <c r="E4211" s="18">
        <v>2.5499999999999998</v>
      </c>
      <c r="F4211" s="6">
        <v>293000</v>
      </c>
      <c r="G4211" s="37">
        <f t="shared" ref="G4211:G4213" si="268">IFERROR(E4211*F4211,0)</f>
        <v>747150</v>
      </c>
      <c r="H4211" s="38"/>
      <c r="I4211" s="32"/>
      <c r="J4211" s="32"/>
      <c r="K4211" s="32"/>
      <c r="L4211" s="32"/>
      <c r="M4211" s="32"/>
      <c r="N4211" s="32"/>
      <c r="O4211" s="32"/>
      <c r="P4211" s="32"/>
      <c r="Q4211" s="32"/>
      <c r="R4211" s="32"/>
      <c r="S4211" s="32"/>
      <c r="T4211" s="32"/>
      <c r="U4211" s="32"/>
      <c r="V4211" s="32"/>
      <c r="W4211" s="32"/>
      <c r="X4211" s="32"/>
      <c r="Y4211" s="32"/>
      <c r="Z4211" s="32"/>
    </row>
    <row r="4212" spans="1:26" ht="14.25" customHeight="1">
      <c r="A4212" s="36">
        <v>2</v>
      </c>
      <c r="B4212" s="12" t="s">
        <v>12</v>
      </c>
      <c r="C4212" s="10" t="s">
        <v>1071</v>
      </c>
      <c r="D4212" s="12" t="s">
        <v>233</v>
      </c>
      <c r="E4212" s="12">
        <v>1.8</v>
      </c>
      <c r="F4212" s="43">
        <v>435000</v>
      </c>
      <c r="G4212" s="37">
        <f t="shared" si="268"/>
        <v>783000</v>
      </c>
      <c r="H4212" s="38"/>
      <c r="I4212" s="32"/>
      <c r="J4212" s="32"/>
      <c r="K4212" s="32"/>
      <c r="L4212" s="32"/>
      <c r="M4212" s="32"/>
      <c r="N4212" s="32"/>
      <c r="O4212" s="32"/>
      <c r="P4212" s="32"/>
      <c r="Q4212" s="32"/>
      <c r="R4212" s="32"/>
      <c r="S4212" s="32"/>
      <c r="T4212" s="32"/>
      <c r="U4212" s="32"/>
      <c r="V4212" s="32"/>
      <c r="W4212" s="32"/>
      <c r="X4212" s="32"/>
      <c r="Y4212" s="32"/>
      <c r="Z4212" s="32"/>
    </row>
    <row r="4213" spans="1:26" ht="14.25" customHeight="1">
      <c r="A4213" s="36">
        <v>4</v>
      </c>
      <c r="B4213" s="39" t="s">
        <v>17</v>
      </c>
      <c r="C4213" s="38"/>
      <c r="D4213" s="38"/>
      <c r="E4213" s="38"/>
      <c r="F4213" s="60"/>
      <c r="G4213" s="37">
        <f t="shared" si="268"/>
        <v>0</v>
      </c>
      <c r="H4213" s="38"/>
      <c r="I4213" s="32"/>
      <c r="J4213" s="32"/>
      <c r="K4213" s="32"/>
      <c r="L4213" s="32"/>
      <c r="M4213" s="32"/>
      <c r="N4213" s="32"/>
      <c r="O4213" s="32"/>
      <c r="P4213" s="32"/>
      <c r="Q4213" s="32"/>
      <c r="R4213" s="32"/>
      <c r="S4213" s="32"/>
      <c r="T4213" s="32"/>
      <c r="U4213" s="32"/>
      <c r="V4213" s="32"/>
      <c r="W4213" s="32"/>
      <c r="X4213" s="32"/>
      <c r="Y4213" s="32"/>
      <c r="Z4213" s="32"/>
    </row>
    <row r="4214" spans="1:26" ht="14.25" customHeight="1">
      <c r="A4214" s="83" t="s">
        <v>18</v>
      </c>
      <c r="B4214" s="81"/>
      <c r="C4214" s="81"/>
      <c r="D4214" s="81"/>
      <c r="E4214" s="81"/>
      <c r="F4214" s="81"/>
      <c r="G4214" s="82"/>
      <c r="H4214" s="41">
        <f>SUM(G4211:G4213)</f>
        <v>1530150</v>
      </c>
      <c r="I4214" s="32"/>
      <c r="J4214" s="32"/>
      <c r="K4214" s="32"/>
      <c r="L4214" s="32"/>
      <c r="M4214" s="32"/>
      <c r="N4214" s="32"/>
      <c r="O4214" s="32"/>
      <c r="P4214" s="32"/>
      <c r="Q4214" s="32"/>
      <c r="R4214" s="32"/>
      <c r="S4214" s="32"/>
      <c r="T4214" s="32"/>
      <c r="U4214" s="32"/>
      <c r="V4214" s="32"/>
      <c r="W4214" s="32"/>
      <c r="X4214" s="32"/>
      <c r="Y4214" s="32"/>
      <c r="Z4214" s="32"/>
    </row>
    <row r="4215" spans="1:26" ht="14.25" customHeight="1">
      <c r="A4215" s="83" t="s">
        <v>19</v>
      </c>
      <c r="B4215" s="81"/>
      <c r="C4215" s="81"/>
      <c r="D4215" s="81"/>
      <c r="E4215" s="81"/>
      <c r="F4215" s="81"/>
      <c r="G4215" s="82"/>
      <c r="H4215" s="41">
        <f>MAX(0,H4214-648000)</f>
        <v>882150</v>
      </c>
      <c r="I4215" s="32"/>
      <c r="J4215" s="32"/>
      <c r="K4215" s="32"/>
      <c r="L4215" s="32"/>
      <c r="M4215" s="32"/>
      <c r="N4215" s="32"/>
      <c r="O4215" s="32"/>
      <c r="P4215" s="32"/>
      <c r="Q4215" s="32"/>
      <c r="R4215" s="32"/>
      <c r="S4215" s="32"/>
      <c r="T4215" s="32"/>
      <c r="U4215" s="32"/>
      <c r="V4215" s="32"/>
      <c r="W4215" s="32"/>
      <c r="X4215" s="32"/>
      <c r="Y4215" s="32"/>
      <c r="Z4215" s="32"/>
    </row>
    <row r="4216" spans="1:26" ht="14.25" customHeight="1">
      <c r="A4216" s="84" t="s">
        <v>20</v>
      </c>
      <c r="B4216" s="81"/>
      <c r="C4216" s="81"/>
      <c r="D4216" s="81"/>
      <c r="E4216" s="81"/>
      <c r="F4216" s="81"/>
      <c r="G4216" s="82"/>
      <c r="H4216" s="42">
        <v>649000</v>
      </c>
      <c r="I4216" s="32"/>
      <c r="J4216" s="32"/>
      <c r="K4216" s="32"/>
      <c r="L4216" s="32"/>
      <c r="M4216" s="32"/>
      <c r="N4216" s="32"/>
      <c r="O4216" s="32"/>
      <c r="P4216" s="32"/>
      <c r="Q4216" s="32"/>
      <c r="R4216" s="32"/>
      <c r="S4216" s="32"/>
      <c r="T4216" s="32"/>
      <c r="U4216" s="32"/>
      <c r="V4216" s="32"/>
      <c r="W4216" s="32"/>
      <c r="X4216" s="32"/>
      <c r="Y4216" s="32"/>
      <c r="Z4216" s="32"/>
    </row>
    <row r="4217" spans="1:26" ht="14.25" customHeight="1">
      <c r="A4217" s="80"/>
      <c r="B4217" s="81"/>
      <c r="C4217" s="81"/>
      <c r="D4217" s="81"/>
      <c r="E4217" s="81"/>
      <c r="F4217" s="81"/>
      <c r="G4217" s="81"/>
      <c r="H4217" s="82"/>
      <c r="I4217" s="32"/>
      <c r="J4217" s="32"/>
      <c r="K4217" s="32"/>
      <c r="L4217" s="32"/>
      <c r="M4217" s="32"/>
      <c r="N4217" s="32"/>
      <c r="O4217" s="32"/>
      <c r="P4217" s="32"/>
      <c r="Q4217" s="32"/>
      <c r="R4217" s="32"/>
      <c r="S4217" s="32"/>
      <c r="T4217" s="32"/>
      <c r="U4217" s="32"/>
      <c r="V4217" s="32"/>
      <c r="W4217" s="32"/>
      <c r="X4217" s="32"/>
      <c r="Y4217" s="32"/>
      <c r="Z4217" s="32"/>
    </row>
    <row r="4218" spans="1:26" ht="14.25" customHeight="1"/>
    <row r="4219" spans="1:26" ht="14.25" customHeight="1"/>
    <row r="4220" spans="1:26" ht="14.25" customHeight="1"/>
    <row r="4221" spans="1:26" ht="14.25" customHeight="1"/>
    <row r="4222" spans="1:26" ht="14.25" customHeight="1"/>
    <row r="4223" spans="1:26" ht="14.25" customHeight="1">
      <c r="A4223" s="80" t="s">
        <v>0</v>
      </c>
      <c r="B4223" s="81"/>
      <c r="C4223" s="81"/>
      <c r="D4223" s="81"/>
      <c r="E4223" s="81"/>
      <c r="F4223" s="81"/>
      <c r="G4223" s="81"/>
      <c r="H4223" s="82"/>
      <c r="I4223" s="32"/>
      <c r="J4223" s="32"/>
      <c r="K4223" s="32"/>
      <c r="L4223" s="32"/>
      <c r="M4223" s="32"/>
      <c r="N4223" s="32"/>
      <c r="O4223" s="32"/>
      <c r="P4223" s="32"/>
      <c r="Q4223" s="32"/>
      <c r="R4223" s="32"/>
      <c r="S4223" s="32"/>
      <c r="T4223" s="32"/>
      <c r="U4223" s="32"/>
      <c r="V4223" s="32"/>
      <c r="W4223" s="32"/>
      <c r="X4223" s="32"/>
      <c r="Y4223" s="32"/>
      <c r="Z4223" s="32"/>
    </row>
    <row r="4224" spans="1:26" ht="14.25" customHeight="1">
      <c r="A4224" s="80" t="s">
        <v>1072</v>
      </c>
      <c r="B4224" s="81"/>
      <c r="C4224" s="81"/>
      <c r="D4224" s="81"/>
      <c r="E4224" s="81"/>
      <c r="F4224" s="81"/>
      <c r="G4224" s="81"/>
      <c r="H4224" s="82"/>
      <c r="I4224" s="32"/>
      <c r="J4224" s="32"/>
      <c r="K4224" s="32"/>
      <c r="L4224" s="32"/>
      <c r="M4224" s="32"/>
      <c r="N4224" s="32"/>
      <c r="O4224" s="32"/>
      <c r="P4224" s="32"/>
      <c r="Q4224" s="32"/>
      <c r="R4224" s="32"/>
      <c r="S4224" s="32"/>
      <c r="T4224" s="32"/>
      <c r="U4224" s="32"/>
      <c r="V4224" s="32"/>
      <c r="W4224" s="32"/>
      <c r="X4224" s="32"/>
      <c r="Y4224" s="32"/>
      <c r="Z4224" s="32"/>
    </row>
    <row r="4225" spans="1:26" ht="14.25" customHeight="1">
      <c r="A4225" s="33" t="s">
        <v>2</v>
      </c>
      <c r="B4225" s="33" t="s">
        <v>3</v>
      </c>
      <c r="C4225" s="33" t="s">
        <v>4</v>
      </c>
      <c r="D4225" s="33" t="s">
        <v>5</v>
      </c>
      <c r="E4225" s="33" t="s">
        <v>6</v>
      </c>
      <c r="F4225" s="34" t="s">
        <v>7</v>
      </c>
      <c r="G4225" s="33" t="s">
        <v>8</v>
      </c>
      <c r="H4225" s="35"/>
      <c r="I4225" s="32"/>
      <c r="J4225" s="32"/>
      <c r="K4225" s="32"/>
      <c r="L4225" s="32"/>
      <c r="M4225" s="32"/>
      <c r="N4225" s="32"/>
      <c r="O4225" s="32"/>
      <c r="P4225" s="32"/>
      <c r="Q4225" s="32"/>
      <c r="R4225" s="32"/>
      <c r="S4225" s="32"/>
      <c r="T4225" s="32"/>
      <c r="U4225" s="32"/>
      <c r="V4225" s="32"/>
      <c r="W4225" s="32"/>
      <c r="X4225" s="32"/>
      <c r="Y4225" s="32"/>
      <c r="Z4225" s="32"/>
    </row>
    <row r="4226" spans="1:26" ht="14.25" customHeight="1">
      <c r="A4226" s="36">
        <v>1</v>
      </c>
      <c r="B4226" s="18" t="s">
        <v>578</v>
      </c>
      <c r="C4226" s="5" t="s">
        <v>1073</v>
      </c>
      <c r="D4226" s="18" t="s">
        <v>11</v>
      </c>
      <c r="E4226" s="18">
        <v>2</v>
      </c>
      <c r="F4226" s="6">
        <v>293000</v>
      </c>
      <c r="G4226" s="37">
        <f t="shared" ref="G4226:G4228" si="269">IFERROR(E4226*F4226,0)</f>
        <v>586000</v>
      </c>
      <c r="H4226" s="38"/>
      <c r="I4226" s="32"/>
      <c r="J4226" s="32"/>
      <c r="K4226" s="32"/>
      <c r="L4226" s="32"/>
      <c r="M4226" s="32"/>
      <c r="N4226" s="32"/>
      <c r="O4226" s="32"/>
      <c r="P4226" s="32"/>
      <c r="Q4226" s="32"/>
      <c r="R4226" s="32"/>
      <c r="S4226" s="32"/>
      <c r="T4226" s="32"/>
      <c r="U4226" s="32"/>
      <c r="V4226" s="32"/>
      <c r="W4226" s="32"/>
      <c r="X4226" s="32"/>
      <c r="Y4226" s="32"/>
      <c r="Z4226" s="32"/>
    </row>
    <row r="4227" spans="1:26" ht="14.25" customHeight="1">
      <c r="A4227" s="36">
        <v>2</v>
      </c>
      <c r="B4227" s="12" t="s">
        <v>1013</v>
      </c>
      <c r="C4227" s="10" t="s">
        <v>1074</v>
      </c>
      <c r="D4227" s="12" t="s">
        <v>14</v>
      </c>
      <c r="E4227" s="12">
        <v>1.5</v>
      </c>
      <c r="F4227" s="43">
        <v>435000</v>
      </c>
      <c r="G4227" s="37">
        <f t="shared" si="269"/>
        <v>652500</v>
      </c>
      <c r="H4227" s="38"/>
      <c r="I4227" s="32"/>
      <c r="J4227" s="32"/>
      <c r="K4227" s="32"/>
      <c r="L4227" s="32"/>
      <c r="M4227" s="32"/>
      <c r="N4227" s="32"/>
      <c r="O4227" s="32"/>
      <c r="P4227" s="32"/>
      <c r="Q4227" s="32"/>
      <c r="R4227" s="32"/>
      <c r="S4227" s="32"/>
      <c r="T4227" s="32"/>
      <c r="U4227" s="32"/>
      <c r="V4227" s="32"/>
      <c r="W4227" s="32"/>
      <c r="X4227" s="32"/>
      <c r="Y4227" s="32"/>
      <c r="Z4227" s="32"/>
    </row>
    <row r="4228" spans="1:26" ht="14.25" customHeight="1">
      <c r="A4228" s="36">
        <v>4</v>
      </c>
      <c r="B4228" s="39" t="s">
        <v>17</v>
      </c>
      <c r="C4228" s="38"/>
      <c r="D4228" s="38"/>
      <c r="E4228" s="38"/>
      <c r="F4228" s="60"/>
      <c r="G4228" s="37">
        <f t="shared" si="269"/>
        <v>0</v>
      </c>
      <c r="H4228" s="38"/>
      <c r="I4228" s="32"/>
      <c r="J4228" s="32"/>
      <c r="K4228" s="32"/>
      <c r="L4228" s="32"/>
      <c r="M4228" s="32"/>
      <c r="N4228" s="32"/>
      <c r="O4228" s="32"/>
      <c r="P4228" s="32"/>
      <c r="Q4228" s="32"/>
      <c r="R4228" s="32"/>
      <c r="S4228" s="32"/>
      <c r="T4228" s="32"/>
      <c r="U4228" s="32"/>
      <c r="V4228" s="32"/>
      <c r="W4228" s="32"/>
      <c r="X4228" s="32"/>
      <c r="Y4228" s="32"/>
      <c r="Z4228" s="32"/>
    </row>
    <row r="4229" spans="1:26" ht="14.25" customHeight="1">
      <c r="A4229" s="83" t="s">
        <v>18</v>
      </c>
      <c r="B4229" s="81"/>
      <c r="C4229" s="81"/>
      <c r="D4229" s="81"/>
      <c r="E4229" s="81"/>
      <c r="F4229" s="81"/>
      <c r="G4229" s="82"/>
      <c r="H4229" s="41">
        <f>SUM(G4226:G4228)</f>
        <v>1238500</v>
      </c>
      <c r="I4229" s="32"/>
      <c r="J4229" s="32"/>
      <c r="K4229" s="32"/>
      <c r="L4229" s="32"/>
      <c r="M4229" s="32"/>
      <c r="N4229" s="32"/>
      <c r="O4229" s="32"/>
      <c r="P4229" s="32"/>
      <c r="Q4229" s="32"/>
      <c r="R4229" s="32"/>
      <c r="S4229" s="32"/>
      <c r="T4229" s="32"/>
      <c r="U4229" s="32"/>
      <c r="V4229" s="32"/>
      <c r="W4229" s="32"/>
      <c r="X4229" s="32"/>
      <c r="Y4229" s="32"/>
      <c r="Z4229" s="32"/>
    </row>
    <row r="4230" spans="1:26" ht="14.25" customHeight="1">
      <c r="A4230" s="83" t="s">
        <v>19</v>
      </c>
      <c r="B4230" s="81"/>
      <c r="C4230" s="81"/>
      <c r="D4230" s="81"/>
      <c r="E4230" s="81"/>
      <c r="F4230" s="81"/>
      <c r="G4230" s="82"/>
      <c r="H4230" s="41">
        <f>MAX(0,H4229-648000)</f>
        <v>590500</v>
      </c>
      <c r="I4230" s="32"/>
      <c r="J4230" s="32"/>
      <c r="K4230" s="32"/>
      <c r="L4230" s="32"/>
      <c r="M4230" s="32"/>
      <c r="N4230" s="32"/>
      <c r="O4230" s="32"/>
      <c r="P4230" s="32"/>
      <c r="Q4230" s="32"/>
      <c r="R4230" s="32"/>
      <c r="S4230" s="32"/>
      <c r="T4230" s="32"/>
      <c r="U4230" s="32"/>
      <c r="V4230" s="32"/>
      <c r="W4230" s="32"/>
      <c r="X4230" s="32"/>
      <c r="Y4230" s="32"/>
      <c r="Z4230" s="32"/>
    </row>
    <row r="4231" spans="1:26" ht="14.25" customHeight="1">
      <c r="A4231" s="84" t="s">
        <v>20</v>
      </c>
      <c r="B4231" s="81"/>
      <c r="C4231" s="81"/>
      <c r="D4231" s="81"/>
      <c r="E4231" s="81"/>
      <c r="F4231" s="81"/>
      <c r="G4231" s="82"/>
      <c r="H4231" s="42">
        <v>649000</v>
      </c>
      <c r="I4231" s="32"/>
      <c r="J4231" s="32"/>
      <c r="K4231" s="32"/>
      <c r="L4231" s="32"/>
      <c r="M4231" s="32"/>
      <c r="N4231" s="32"/>
      <c r="O4231" s="32"/>
      <c r="P4231" s="32"/>
      <c r="Q4231" s="32"/>
      <c r="R4231" s="32"/>
      <c r="S4231" s="32"/>
      <c r="T4231" s="32"/>
      <c r="U4231" s="32"/>
      <c r="V4231" s="32"/>
      <c r="W4231" s="32"/>
      <c r="X4231" s="32"/>
      <c r="Y4231" s="32"/>
      <c r="Z4231" s="32"/>
    </row>
    <row r="4232" spans="1:26" ht="14.25" customHeight="1">
      <c r="A4232" s="80"/>
      <c r="B4232" s="81"/>
      <c r="C4232" s="81"/>
      <c r="D4232" s="81"/>
      <c r="E4232" s="81"/>
      <c r="F4232" s="81"/>
      <c r="G4232" s="81"/>
      <c r="H4232" s="82"/>
      <c r="I4232" s="32"/>
      <c r="J4232" s="32"/>
      <c r="K4232" s="32"/>
      <c r="L4232" s="32"/>
      <c r="M4232" s="32"/>
      <c r="N4232" s="32"/>
      <c r="O4232" s="32"/>
      <c r="P4232" s="32"/>
      <c r="Q4232" s="32"/>
      <c r="R4232" s="32"/>
      <c r="S4232" s="32"/>
      <c r="T4232" s="32"/>
      <c r="U4232" s="32"/>
      <c r="V4232" s="32"/>
      <c r="W4232" s="32"/>
      <c r="X4232" s="32"/>
      <c r="Y4232" s="32"/>
      <c r="Z4232" s="32"/>
    </row>
    <row r="4233" spans="1:26" ht="14.25" customHeight="1"/>
    <row r="4234" spans="1:26" ht="14.25" customHeight="1"/>
    <row r="4235" spans="1:26" ht="14.25" customHeight="1"/>
    <row r="4236" spans="1:26" ht="14.25" customHeight="1"/>
    <row r="4237" spans="1:26" ht="14.25" customHeight="1"/>
    <row r="4238" spans="1:26" ht="14.25" customHeight="1"/>
    <row r="4239" spans="1:26" ht="14.25" customHeight="1"/>
    <row r="4240" spans="1:26" ht="14.25" customHeight="1">
      <c r="A4240" s="80" t="s">
        <v>0</v>
      </c>
      <c r="B4240" s="81"/>
      <c r="C4240" s="81"/>
      <c r="D4240" s="81"/>
      <c r="E4240" s="81"/>
      <c r="F4240" s="81"/>
      <c r="G4240" s="81"/>
      <c r="H4240" s="82"/>
      <c r="I4240" s="32"/>
      <c r="J4240" s="32"/>
      <c r="K4240" s="32"/>
      <c r="L4240" s="32"/>
      <c r="M4240" s="32"/>
      <c r="N4240" s="32"/>
      <c r="O4240" s="32"/>
      <c r="P4240" s="32"/>
      <c r="Q4240" s="32"/>
      <c r="R4240" s="32"/>
      <c r="S4240" s="32"/>
      <c r="T4240" s="32"/>
      <c r="U4240" s="32"/>
      <c r="V4240" s="32"/>
      <c r="W4240" s="32"/>
      <c r="X4240" s="32"/>
      <c r="Y4240" s="32"/>
      <c r="Z4240" s="32"/>
    </row>
    <row r="4241" spans="1:26" ht="14.25" customHeight="1">
      <c r="A4241" s="80" t="s">
        <v>1075</v>
      </c>
      <c r="B4241" s="81"/>
      <c r="C4241" s="81"/>
      <c r="D4241" s="81"/>
      <c r="E4241" s="81"/>
      <c r="F4241" s="81"/>
      <c r="G4241" s="81"/>
      <c r="H4241" s="82"/>
      <c r="I4241" s="32"/>
      <c r="J4241" s="32"/>
      <c r="K4241" s="32"/>
      <c r="L4241" s="32"/>
      <c r="M4241" s="32"/>
      <c r="N4241" s="32"/>
      <c r="O4241" s="32"/>
      <c r="P4241" s="32"/>
      <c r="Q4241" s="32"/>
      <c r="R4241" s="32"/>
      <c r="S4241" s="32"/>
      <c r="T4241" s="32"/>
      <c r="U4241" s="32"/>
      <c r="V4241" s="32"/>
      <c r="W4241" s="32"/>
      <c r="X4241" s="32"/>
      <c r="Y4241" s="32"/>
      <c r="Z4241" s="32"/>
    </row>
    <row r="4242" spans="1:26" ht="14.25" customHeight="1">
      <c r="A4242" s="33" t="s">
        <v>2</v>
      </c>
      <c r="B4242" s="33" t="s">
        <v>3</v>
      </c>
      <c r="C4242" s="33" t="s">
        <v>4</v>
      </c>
      <c r="D4242" s="33" t="s">
        <v>5</v>
      </c>
      <c r="E4242" s="33" t="s">
        <v>6</v>
      </c>
      <c r="F4242" s="34" t="s">
        <v>7</v>
      </c>
      <c r="G4242" s="33" t="s">
        <v>8</v>
      </c>
      <c r="H4242" s="35"/>
      <c r="I4242" s="32"/>
      <c r="J4242" s="32"/>
      <c r="K4242" s="32"/>
      <c r="L4242" s="32"/>
      <c r="M4242" s="32"/>
      <c r="N4242" s="32"/>
      <c r="O4242" s="32"/>
      <c r="P4242" s="32"/>
      <c r="Q4242" s="32"/>
      <c r="R4242" s="32"/>
      <c r="S4242" s="32"/>
      <c r="T4242" s="32"/>
      <c r="U4242" s="32"/>
      <c r="V4242" s="32"/>
      <c r="W4242" s="32"/>
      <c r="X4242" s="32"/>
      <c r="Y4242" s="32"/>
      <c r="Z4242" s="32"/>
    </row>
    <row r="4243" spans="1:26" ht="14.25" customHeight="1">
      <c r="A4243" s="36">
        <v>1</v>
      </c>
      <c r="B4243" s="18" t="s">
        <v>1076</v>
      </c>
      <c r="C4243" s="5" t="s">
        <v>1077</v>
      </c>
      <c r="D4243" s="18" t="s">
        <v>11</v>
      </c>
      <c r="E4243" s="18">
        <v>2</v>
      </c>
      <c r="F4243" s="6">
        <v>293000</v>
      </c>
      <c r="G4243" s="37">
        <f t="shared" ref="G4243:G4245" si="270">IFERROR(E4243*F4243,0)</f>
        <v>586000</v>
      </c>
      <c r="H4243" s="38"/>
      <c r="I4243" s="32"/>
      <c r="J4243" s="32"/>
      <c r="K4243" s="32"/>
      <c r="L4243" s="32"/>
      <c r="M4243" s="32"/>
      <c r="N4243" s="32"/>
      <c r="O4243" s="32"/>
      <c r="P4243" s="32"/>
      <c r="Q4243" s="32"/>
      <c r="R4243" s="32"/>
      <c r="S4243" s="32"/>
      <c r="T4243" s="32"/>
      <c r="U4243" s="32"/>
      <c r="V4243" s="32"/>
      <c r="W4243" s="32"/>
      <c r="X4243" s="32"/>
      <c r="Y4243" s="32"/>
      <c r="Z4243" s="32"/>
    </row>
    <row r="4244" spans="1:26" ht="14.25" customHeight="1">
      <c r="A4244" s="36">
        <v>2</v>
      </c>
      <c r="B4244" s="12" t="s">
        <v>33</v>
      </c>
      <c r="C4244" s="10" t="s">
        <v>1078</v>
      </c>
      <c r="D4244" s="12" t="s">
        <v>14</v>
      </c>
      <c r="E4244" s="12">
        <v>1.5</v>
      </c>
      <c r="F4244" s="43">
        <v>435000</v>
      </c>
      <c r="G4244" s="37">
        <f t="shared" si="270"/>
        <v>652500</v>
      </c>
      <c r="H4244" s="38"/>
      <c r="I4244" s="32"/>
      <c r="J4244" s="32"/>
      <c r="K4244" s="32"/>
      <c r="L4244" s="32"/>
      <c r="M4244" s="32"/>
      <c r="N4244" s="32"/>
      <c r="O4244" s="32"/>
      <c r="P4244" s="32"/>
      <c r="Q4244" s="32"/>
      <c r="R4244" s="32"/>
      <c r="S4244" s="32"/>
      <c r="T4244" s="32"/>
      <c r="U4244" s="32"/>
      <c r="V4244" s="32"/>
      <c r="W4244" s="32"/>
      <c r="X4244" s="32"/>
      <c r="Y4244" s="32"/>
      <c r="Z4244" s="32"/>
    </row>
    <row r="4245" spans="1:26" ht="14.25" customHeight="1">
      <c r="A4245" s="36">
        <v>4</v>
      </c>
      <c r="B4245" s="39" t="s">
        <v>17</v>
      </c>
      <c r="C4245" s="38"/>
      <c r="D4245" s="38"/>
      <c r="E4245" s="38"/>
      <c r="F4245" s="60"/>
      <c r="G4245" s="37">
        <f t="shared" si="270"/>
        <v>0</v>
      </c>
      <c r="H4245" s="38"/>
      <c r="I4245" s="32"/>
      <c r="J4245" s="32"/>
      <c r="K4245" s="32"/>
      <c r="L4245" s="32"/>
      <c r="M4245" s="32"/>
      <c r="N4245" s="32"/>
      <c r="O4245" s="32"/>
      <c r="P4245" s="32"/>
      <c r="Q4245" s="32"/>
      <c r="R4245" s="32"/>
      <c r="S4245" s="32"/>
      <c r="T4245" s="32"/>
      <c r="U4245" s="32"/>
      <c r="V4245" s="32"/>
      <c r="W4245" s="32"/>
      <c r="X4245" s="32"/>
      <c r="Y4245" s="32"/>
      <c r="Z4245" s="32"/>
    </row>
    <row r="4246" spans="1:26" ht="14.25" customHeight="1">
      <c r="A4246" s="83" t="s">
        <v>18</v>
      </c>
      <c r="B4246" s="81"/>
      <c r="C4246" s="81"/>
      <c r="D4246" s="81"/>
      <c r="E4246" s="81"/>
      <c r="F4246" s="81"/>
      <c r="G4246" s="82"/>
      <c r="H4246" s="41">
        <f>SUM(G4243:G4245)</f>
        <v>1238500</v>
      </c>
      <c r="I4246" s="32"/>
      <c r="J4246" s="32"/>
      <c r="K4246" s="32"/>
      <c r="L4246" s="32"/>
      <c r="M4246" s="32"/>
      <c r="N4246" s="32"/>
      <c r="O4246" s="32"/>
      <c r="P4246" s="32"/>
      <c r="Q4246" s="32"/>
      <c r="R4246" s="32"/>
      <c r="S4246" s="32"/>
      <c r="T4246" s="32"/>
      <c r="U4246" s="32"/>
      <c r="V4246" s="32"/>
      <c r="W4246" s="32"/>
      <c r="X4246" s="32"/>
      <c r="Y4246" s="32"/>
      <c r="Z4246" s="32"/>
    </row>
    <row r="4247" spans="1:26" ht="14.25" customHeight="1">
      <c r="A4247" s="83" t="s">
        <v>19</v>
      </c>
      <c r="B4247" s="81"/>
      <c r="C4247" s="81"/>
      <c r="D4247" s="81"/>
      <c r="E4247" s="81"/>
      <c r="F4247" s="81"/>
      <c r="G4247" s="82"/>
      <c r="H4247" s="41">
        <f>MAX(0,H4246-648000)</f>
        <v>590500</v>
      </c>
      <c r="I4247" s="32"/>
      <c r="J4247" s="32"/>
      <c r="K4247" s="32"/>
      <c r="L4247" s="32"/>
      <c r="M4247" s="32"/>
      <c r="N4247" s="32"/>
      <c r="O4247" s="32"/>
      <c r="P4247" s="32"/>
      <c r="Q4247" s="32"/>
      <c r="R4247" s="32"/>
      <c r="S4247" s="32"/>
      <c r="T4247" s="32"/>
      <c r="U4247" s="32"/>
      <c r="V4247" s="32"/>
      <c r="W4247" s="32"/>
      <c r="X4247" s="32"/>
      <c r="Y4247" s="32"/>
      <c r="Z4247" s="32"/>
    </row>
    <row r="4248" spans="1:26" ht="14.25" customHeight="1">
      <c r="A4248" s="84" t="s">
        <v>20</v>
      </c>
      <c r="B4248" s="81"/>
      <c r="C4248" s="81"/>
      <c r="D4248" s="81"/>
      <c r="E4248" s="81"/>
      <c r="F4248" s="81"/>
      <c r="G4248" s="82"/>
      <c r="H4248" s="42">
        <v>649000</v>
      </c>
      <c r="I4248" s="32"/>
      <c r="J4248" s="32"/>
      <c r="K4248" s="32"/>
      <c r="L4248" s="32"/>
      <c r="M4248" s="32"/>
      <c r="N4248" s="32"/>
      <c r="O4248" s="32"/>
      <c r="P4248" s="32"/>
      <c r="Q4248" s="32"/>
      <c r="R4248" s="32"/>
      <c r="S4248" s="32"/>
      <c r="T4248" s="32"/>
      <c r="U4248" s="32"/>
      <c r="V4248" s="32"/>
      <c r="W4248" s="32"/>
      <c r="X4248" s="32"/>
      <c r="Y4248" s="32"/>
      <c r="Z4248" s="32"/>
    </row>
    <row r="4249" spans="1:26" ht="14.25" customHeight="1">
      <c r="A4249" s="80"/>
      <c r="B4249" s="81"/>
      <c r="C4249" s="81"/>
      <c r="D4249" s="81"/>
      <c r="E4249" s="81"/>
      <c r="F4249" s="81"/>
      <c r="G4249" s="81"/>
      <c r="H4249" s="82"/>
      <c r="I4249" s="32"/>
      <c r="J4249" s="32"/>
      <c r="K4249" s="32"/>
      <c r="L4249" s="32"/>
      <c r="M4249" s="32"/>
      <c r="N4249" s="32"/>
      <c r="O4249" s="32"/>
      <c r="P4249" s="32"/>
      <c r="Q4249" s="32"/>
      <c r="R4249" s="32"/>
      <c r="S4249" s="32"/>
      <c r="T4249" s="32"/>
      <c r="U4249" s="32"/>
      <c r="V4249" s="32"/>
      <c r="W4249" s="32"/>
      <c r="X4249" s="32"/>
      <c r="Y4249" s="32"/>
      <c r="Z4249" s="32"/>
    </row>
    <row r="4250" spans="1:26" ht="14.25" customHeight="1"/>
    <row r="4251" spans="1:26" ht="14.25" customHeight="1"/>
    <row r="4252" spans="1:26" ht="14.25" customHeight="1"/>
    <row r="4253" spans="1:26" ht="14.25" customHeight="1"/>
    <row r="4254" spans="1:26" ht="14.25" customHeight="1"/>
    <row r="4255" spans="1:26" ht="21" customHeight="1"/>
    <row r="4256" spans="1:26" ht="14.25" customHeight="1">
      <c r="A4256" s="80" t="s">
        <v>0</v>
      </c>
      <c r="B4256" s="81"/>
      <c r="C4256" s="81"/>
      <c r="D4256" s="81"/>
      <c r="E4256" s="81"/>
      <c r="F4256" s="81"/>
      <c r="G4256" s="81"/>
      <c r="H4256" s="82"/>
      <c r="I4256" s="32"/>
      <c r="J4256" s="32"/>
      <c r="K4256" s="32"/>
      <c r="L4256" s="32"/>
      <c r="M4256" s="32"/>
      <c r="N4256" s="32"/>
      <c r="O4256" s="32"/>
      <c r="P4256" s="32"/>
      <c r="Q4256" s="32"/>
      <c r="R4256" s="32"/>
      <c r="S4256" s="32"/>
      <c r="T4256" s="32"/>
      <c r="U4256" s="32"/>
      <c r="V4256" s="32"/>
      <c r="W4256" s="32"/>
      <c r="X4256" s="32"/>
      <c r="Y4256" s="32"/>
      <c r="Z4256" s="32"/>
    </row>
    <row r="4257" spans="1:26" ht="14.25" customHeight="1">
      <c r="A4257" s="80" t="s">
        <v>1079</v>
      </c>
      <c r="B4257" s="81"/>
      <c r="C4257" s="81"/>
      <c r="D4257" s="81"/>
      <c r="E4257" s="81"/>
      <c r="F4257" s="81"/>
      <c r="G4257" s="81"/>
      <c r="H4257" s="82"/>
      <c r="I4257" s="32"/>
      <c r="J4257" s="32"/>
      <c r="K4257" s="32"/>
      <c r="L4257" s="32"/>
      <c r="M4257" s="32"/>
      <c r="N4257" s="32"/>
      <c r="O4257" s="32"/>
      <c r="P4257" s="32"/>
      <c r="Q4257" s="32"/>
      <c r="R4257" s="32"/>
      <c r="S4257" s="32"/>
      <c r="T4257" s="32"/>
      <c r="U4257" s="32"/>
      <c r="V4257" s="32"/>
      <c r="W4257" s="32"/>
      <c r="X4257" s="32"/>
      <c r="Y4257" s="32"/>
      <c r="Z4257" s="32"/>
    </row>
    <row r="4258" spans="1:26" ht="14.25" customHeight="1">
      <c r="A4258" s="33" t="s">
        <v>2</v>
      </c>
      <c r="B4258" s="33" t="s">
        <v>3</v>
      </c>
      <c r="C4258" s="33" t="s">
        <v>4</v>
      </c>
      <c r="D4258" s="33" t="s">
        <v>5</v>
      </c>
      <c r="E4258" s="33" t="s">
        <v>6</v>
      </c>
      <c r="F4258" s="34" t="s">
        <v>7</v>
      </c>
      <c r="G4258" s="33" t="s">
        <v>8</v>
      </c>
      <c r="H4258" s="35"/>
      <c r="I4258" s="32"/>
      <c r="J4258" s="32"/>
      <c r="K4258" s="32"/>
      <c r="L4258" s="32"/>
      <c r="M4258" s="32"/>
      <c r="N4258" s="32"/>
      <c r="O4258" s="32"/>
      <c r="P4258" s="32"/>
      <c r="Q4258" s="32"/>
      <c r="R4258" s="32"/>
      <c r="S4258" s="32"/>
      <c r="T4258" s="32"/>
      <c r="U4258" s="32"/>
      <c r="V4258" s="32"/>
      <c r="W4258" s="32"/>
      <c r="X4258" s="32"/>
      <c r="Y4258" s="32"/>
      <c r="Z4258" s="32"/>
    </row>
    <row r="4259" spans="1:26" ht="14.25" customHeight="1">
      <c r="A4259" s="36">
        <v>1</v>
      </c>
      <c r="B4259" s="18" t="s">
        <v>764</v>
      </c>
      <c r="C4259" s="5" t="s">
        <v>1080</v>
      </c>
      <c r="D4259" s="18" t="s">
        <v>11</v>
      </c>
      <c r="E4259" s="18">
        <v>2</v>
      </c>
      <c r="F4259" s="6">
        <v>293000</v>
      </c>
      <c r="G4259" s="37">
        <f t="shared" ref="G4259:G4261" si="271">IFERROR(E4259*F4259,0)</f>
        <v>586000</v>
      </c>
      <c r="H4259" s="38"/>
      <c r="I4259" s="32"/>
      <c r="J4259" s="32"/>
      <c r="K4259" s="32"/>
      <c r="L4259" s="32"/>
      <c r="M4259" s="32"/>
      <c r="N4259" s="32"/>
      <c r="O4259" s="32"/>
      <c r="P4259" s="32"/>
      <c r="Q4259" s="32"/>
      <c r="R4259" s="32"/>
      <c r="S4259" s="32"/>
      <c r="T4259" s="32"/>
      <c r="U4259" s="32"/>
      <c r="V4259" s="32"/>
      <c r="W4259" s="32"/>
      <c r="X4259" s="32"/>
      <c r="Y4259" s="32"/>
      <c r="Z4259" s="32"/>
    </row>
    <row r="4260" spans="1:26" ht="14.25" customHeight="1">
      <c r="A4260" s="36">
        <v>2</v>
      </c>
      <c r="B4260" s="12" t="s">
        <v>864</v>
      </c>
      <c r="C4260" s="10" t="s">
        <v>1081</v>
      </c>
      <c r="D4260" s="12" t="s">
        <v>233</v>
      </c>
      <c r="E4260" s="12">
        <v>1.52</v>
      </c>
      <c r="F4260" s="43">
        <v>435000</v>
      </c>
      <c r="G4260" s="37">
        <f t="shared" si="271"/>
        <v>661200</v>
      </c>
      <c r="H4260" s="38"/>
      <c r="I4260" s="32"/>
      <c r="J4260" s="32"/>
      <c r="K4260" s="32"/>
      <c r="L4260" s="32"/>
      <c r="M4260" s="32"/>
      <c r="N4260" s="32"/>
      <c r="O4260" s="32"/>
      <c r="P4260" s="32"/>
      <c r="Q4260" s="32"/>
      <c r="R4260" s="32"/>
      <c r="S4260" s="32"/>
      <c r="T4260" s="32"/>
      <c r="U4260" s="32"/>
      <c r="V4260" s="32"/>
      <c r="W4260" s="32"/>
      <c r="X4260" s="32"/>
      <c r="Y4260" s="32"/>
      <c r="Z4260" s="32"/>
    </row>
    <row r="4261" spans="1:26" ht="14.25" customHeight="1">
      <c r="A4261" s="36">
        <v>4</v>
      </c>
      <c r="B4261" s="39" t="s">
        <v>17</v>
      </c>
      <c r="C4261" s="38"/>
      <c r="D4261" s="38"/>
      <c r="E4261" s="38"/>
      <c r="F4261" s="60"/>
      <c r="G4261" s="37">
        <f t="shared" si="271"/>
        <v>0</v>
      </c>
      <c r="H4261" s="38"/>
      <c r="I4261" s="32"/>
      <c r="J4261" s="32"/>
      <c r="K4261" s="32"/>
      <c r="L4261" s="32"/>
      <c r="M4261" s="32"/>
      <c r="N4261" s="32"/>
      <c r="O4261" s="32"/>
      <c r="P4261" s="32"/>
      <c r="Q4261" s="32"/>
      <c r="R4261" s="32"/>
      <c r="S4261" s="32"/>
      <c r="T4261" s="32"/>
      <c r="U4261" s="32"/>
      <c r="V4261" s="32"/>
      <c r="W4261" s="32"/>
      <c r="X4261" s="32"/>
      <c r="Y4261" s="32"/>
      <c r="Z4261" s="32"/>
    </row>
    <row r="4262" spans="1:26" ht="14.25" customHeight="1">
      <c r="A4262" s="83" t="s">
        <v>18</v>
      </c>
      <c r="B4262" s="81"/>
      <c r="C4262" s="81"/>
      <c r="D4262" s="81"/>
      <c r="E4262" s="81"/>
      <c r="F4262" s="81"/>
      <c r="G4262" s="82"/>
      <c r="H4262" s="41">
        <f>SUM(G4259:G4261)</f>
        <v>1247200</v>
      </c>
      <c r="I4262" s="32"/>
      <c r="J4262" s="32"/>
      <c r="K4262" s="32"/>
      <c r="L4262" s="32"/>
      <c r="M4262" s="32"/>
      <c r="N4262" s="32"/>
      <c r="O4262" s="32"/>
      <c r="P4262" s="32"/>
      <c r="Q4262" s="32"/>
      <c r="R4262" s="32"/>
      <c r="S4262" s="32"/>
      <c r="T4262" s="32"/>
      <c r="U4262" s="32"/>
      <c r="V4262" s="32"/>
      <c r="W4262" s="32"/>
      <c r="X4262" s="32"/>
      <c r="Y4262" s="32"/>
      <c r="Z4262" s="32"/>
    </row>
    <row r="4263" spans="1:26" ht="14.25" customHeight="1">
      <c r="A4263" s="83" t="s">
        <v>19</v>
      </c>
      <c r="B4263" s="81"/>
      <c r="C4263" s="81"/>
      <c r="D4263" s="81"/>
      <c r="E4263" s="81"/>
      <c r="F4263" s="81"/>
      <c r="G4263" s="82"/>
      <c r="H4263" s="41">
        <f>MAX(0,H4262-648000)</f>
        <v>599200</v>
      </c>
      <c r="I4263" s="32"/>
      <c r="J4263" s="32"/>
      <c r="K4263" s="32"/>
      <c r="L4263" s="32"/>
      <c r="M4263" s="32"/>
      <c r="N4263" s="32"/>
      <c r="O4263" s="32"/>
      <c r="P4263" s="32"/>
      <c r="Q4263" s="32"/>
      <c r="R4263" s="32"/>
      <c r="S4263" s="32"/>
      <c r="T4263" s="32"/>
      <c r="U4263" s="32"/>
      <c r="V4263" s="32"/>
      <c r="W4263" s="32"/>
      <c r="X4263" s="32"/>
      <c r="Y4263" s="32"/>
      <c r="Z4263" s="32"/>
    </row>
    <row r="4264" spans="1:26" ht="14.25" customHeight="1">
      <c r="A4264" s="84" t="s">
        <v>20</v>
      </c>
      <c r="B4264" s="81"/>
      <c r="C4264" s="81"/>
      <c r="D4264" s="81"/>
      <c r="E4264" s="81"/>
      <c r="F4264" s="81"/>
      <c r="G4264" s="82"/>
      <c r="H4264" s="42">
        <v>649000</v>
      </c>
      <c r="I4264" s="32"/>
      <c r="J4264" s="32"/>
      <c r="K4264" s="32"/>
      <c r="L4264" s="32"/>
      <c r="M4264" s="32"/>
      <c r="N4264" s="32"/>
      <c r="O4264" s="32"/>
      <c r="P4264" s="32"/>
      <c r="Q4264" s="32"/>
      <c r="R4264" s="32"/>
      <c r="S4264" s="32"/>
      <c r="T4264" s="32"/>
      <c r="U4264" s="32"/>
      <c r="V4264" s="32"/>
      <c r="W4264" s="32"/>
      <c r="X4264" s="32"/>
      <c r="Y4264" s="32"/>
      <c r="Z4264" s="32"/>
    </row>
    <row r="4265" spans="1:26" ht="14.25" customHeight="1">
      <c r="A4265" s="80"/>
      <c r="B4265" s="81"/>
      <c r="C4265" s="81"/>
      <c r="D4265" s="81"/>
      <c r="E4265" s="81"/>
      <c r="F4265" s="81"/>
      <c r="G4265" s="81"/>
      <c r="H4265" s="82"/>
      <c r="I4265" s="32"/>
      <c r="J4265" s="32"/>
      <c r="K4265" s="32"/>
      <c r="L4265" s="32"/>
      <c r="M4265" s="32"/>
      <c r="N4265" s="32"/>
      <c r="O4265" s="32"/>
      <c r="P4265" s="32"/>
      <c r="Q4265" s="32"/>
      <c r="R4265" s="32"/>
      <c r="S4265" s="32"/>
      <c r="T4265" s="32"/>
      <c r="U4265" s="32"/>
      <c r="V4265" s="32"/>
      <c r="W4265" s="32"/>
      <c r="X4265" s="32"/>
      <c r="Y4265" s="32"/>
      <c r="Z4265" s="32"/>
    </row>
    <row r="4266" spans="1:26" ht="14.25" customHeight="1"/>
    <row r="4267" spans="1:26" ht="14.25" customHeight="1"/>
    <row r="4268" spans="1:26" ht="14.25" customHeight="1"/>
    <row r="4269" spans="1:26" ht="14.25" customHeight="1"/>
    <row r="4270" spans="1:26" ht="14.25" customHeight="1"/>
    <row r="4271" spans="1:26" ht="14.25" customHeight="1"/>
    <row r="4272" spans="1:26" ht="14.25" customHeight="1"/>
    <row r="4273" spans="1:26" ht="21" customHeight="1"/>
    <row r="4274" spans="1:26" ht="14.25" customHeight="1">
      <c r="A4274" s="80" t="s">
        <v>0</v>
      </c>
      <c r="B4274" s="81"/>
      <c r="C4274" s="81"/>
      <c r="D4274" s="81"/>
      <c r="E4274" s="81"/>
      <c r="F4274" s="81"/>
      <c r="G4274" s="81"/>
      <c r="H4274" s="82"/>
      <c r="I4274" s="32"/>
      <c r="J4274" s="32"/>
      <c r="K4274" s="32"/>
      <c r="L4274" s="32"/>
      <c r="M4274" s="32"/>
      <c r="N4274" s="32"/>
      <c r="O4274" s="32"/>
      <c r="P4274" s="32"/>
      <c r="Q4274" s="32"/>
      <c r="R4274" s="32"/>
      <c r="S4274" s="32"/>
      <c r="T4274" s="32"/>
      <c r="U4274" s="32"/>
      <c r="V4274" s="32"/>
      <c r="W4274" s="32"/>
      <c r="X4274" s="32"/>
      <c r="Y4274" s="32"/>
      <c r="Z4274" s="32"/>
    </row>
    <row r="4275" spans="1:26" ht="14.25" customHeight="1">
      <c r="A4275" s="80" t="s">
        <v>1082</v>
      </c>
      <c r="B4275" s="81"/>
      <c r="C4275" s="81"/>
      <c r="D4275" s="81"/>
      <c r="E4275" s="81"/>
      <c r="F4275" s="81"/>
      <c r="G4275" s="81"/>
      <c r="H4275" s="82"/>
      <c r="I4275" s="32"/>
      <c r="J4275" s="32"/>
      <c r="K4275" s="32"/>
      <c r="L4275" s="32"/>
      <c r="M4275" s="32"/>
      <c r="N4275" s="32"/>
      <c r="O4275" s="32"/>
      <c r="P4275" s="32"/>
      <c r="Q4275" s="32"/>
      <c r="R4275" s="32"/>
      <c r="S4275" s="32"/>
      <c r="T4275" s="32"/>
      <c r="U4275" s="32"/>
      <c r="V4275" s="32"/>
      <c r="W4275" s="32"/>
      <c r="X4275" s="32"/>
      <c r="Y4275" s="32"/>
      <c r="Z4275" s="32"/>
    </row>
    <row r="4276" spans="1:26" ht="14.25" customHeight="1">
      <c r="A4276" s="33" t="s">
        <v>2</v>
      </c>
      <c r="B4276" s="33" t="s">
        <v>3</v>
      </c>
      <c r="C4276" s="33" t="s">
        <v>4</v>
      </c>
      <c r="D4276" s="33" t="s">
        <v>5</v>
      </c>
      <c r="E4276" s="33" t="s">
        <v>6</v>
      </c>
      <c r="F4276" s="34" t="s">
        <v>7</v>
      </c>
      <c r="G4276" s="33" t="s">
        <v>8</v>
      </c>
      <c r="H4276" s="35"/>
      <c r="I4276" s="32"/>
      <c r="J4276" s="32"/>
      <c r="K4276" s="32"/>
      <c r="L4276" s="32"/>
      <c r="M4276" s="32"/>
      <c r="N4276" s="32"/>
      <c r="O4276" s="32"/>
      <c r="P4276" s="32"/>
      <c r="Q4276" s="32"/>
      <c r="R4276" s="32"/>
      <c r="S4276" s="32"/>
      <c r="T4276" s="32"/>
      <c r="U4276" s="32"/>
      <c r="V4276" s="32"/>
      <c r="W4276" s="32"/>
      <c r="X4276" s="32"/>
      <c r="Y4276" s="32"/>
      <c r="Z4276" s="32"/>
    </row>
    <row r="4277" spans="1:26" ht="14.25" customHeight="1">
      <c r="A4277" s="36">
        <v>1</v>
      </c>
      <c r="B4277" s="18" t="s">
        <v>1083</v>
      </c>
      <c r="C4277" s="5" t="s">
        <v>1084</v>
      </c>
      <c r="D4277" s="18" t="s">
        <v>11</v>
      </c>
      <c r="E4277" s="18">
        <v>2.1</v>
      </c>
      <c r="F4277" s="6">
        <v>293000</v>
      </c>
      <c r="G4277" s="37">
        <f t="shared" ref="G4277:G4279" si="272">IFERROR(E4277*F4277,0)</f>
        <v>615300</v>
      </c>
      <c r="H4277" s="38"/>
      <c r="I4277" s="32"/>
      <c r="J4277" s="32"/>
      <c r="K4277" s="32"/>
      <c r="L4277" s="32"/>
      <c r="M4277" s="32"/>
      <c r="N4277" s="32"/>
      <c r="O4277" s="32"/>
      <c r="P4277" s="32"/>
      <c r="Q4277" s="32"/>
      <c r="R4277" s="32"/>
      <c r="S4277" s="32"/>
      <c r="T4277" s="32"/>
      <c r="U4277" s="32"/>
      <c r="V4277" s="32"/>
      <c r="W4277" s="32"/>
      <c r="X4277" s="32"/>
      <c r="Y4277" s="32"/>
      <c r="Z4277" s="32"/>
    </row>
    <row r="4278" spans="1:26" ht="14.25" customHeight="1">
      <c r="A4278" s="36">
        <v>2</v>
      </c>
      <c r="B4278" s="12" t="s">
        <v>1085</v>
      </c>
      <c r="C4278" s="10" t="s">
        <v>1086</v>
      </c>
      <c r="D4278" s="12" t="s">
        <v>14</v>
      </c>
      <c r="E4278" s="12">
        <v>1.5</v>
      </c>
      <c r="F4278" s="43">
        <v>435000</v>
      </c>
      <c r="G4278" s="37">
        <f t="shared" si="272"/>
        <v>652500</v>
      </c>
      <c r="H4278" s="38"/>
      <c r="I4278" s="32"/>
      <c r="J4278" s="32"/>
      <c r="K4278" s="32"/>
      <c r="L4278" s="32"/>
      <c r="M4278" s="32"/>
      <c r="N4278" s="32"/>
      <c r="O4278" s="32"/>
      <c r="P4278" s="32"/>
      <c r="Q4278" s="32"/>
      <c r="R4278" s="32"/>
      <c r="S4278" s="32"/>
      <c r="T4278" s="32"/>
      <c r="U4278" s="32"/>
      <c r="V4278" s="32"/>
      <c r="W4278" s="32"/>
      <c r="X4278" s="32"/>
      <c r="Y4278" s="32"/>
      <c r="Z4278" s="32"/>
    </row>
    <row r="4279" spans="1:26" ht="14.25" customHeight="1">
      <c r="A4279" s="36">
        <v>4</v>
      </c>
      <c r="B4279" s="39" t="s">
        <v>17</v>
      </c>
      <c r="C4279" s="38"/>
      <c r="D4279" s="38"/>
      <c r="E4279" s="38"/>
      <c r="F4279" s="60"/>
      <c r="G4279" s="37">
        <f t="shared" si="272"/>
        <v>0</v>
      </c>
      <c r="H4279" s="38"/>
      <c r="I4279" s="32"/>
      <c r="J4279" s="32"/>
      <c r="K4279" s="32"/>
      <c r="L4279" s="32"/>
      <c r="M4279" s="32"/>
      <c r="N4279" s="32"/>
      <c r="O4279" s="32"/>
      <c r="P4279" s="32"/>
      <c r="Q4279" s="32"/>
      <c r="R4279" s="32"/>
      <c r="S4279" s="32"/>
      <c r="T4279" s="32"/>
      <c r="U4279" s="32"/>
      <c r="V4279" s="32"/>
      <c r="W4279" s="32"/>
      <c r="X4279" s="32"/>
      <c r="Y4279" s="32"/>
      <c r="Z4279" s="32"/>
    </row>
    <row r="4280" spans="1:26" ht="14.25" customHeight="1">
      <c r="A4280" s="83" t="s">
        <v>18</v>
      </c>
      <c r="B4280" s="81"/>
      <c r="C4280" s="81"/>
      <c r="D4280" s="81"/>
      <c r="E4280" s="81"/>
      <c r="F4280" s="81"/>
      <c r="G4280" s="82"/>
      <c r="H4280" s="41">
        <f>SUM(G4277:G4279)</f>
        <v>1267800</v>
      </c>
      <c r="I4280" s="32"/>
      <c r="J4280" s="32"/>
      <c r="K4280" s="32"/>
      <c r="L4280" s="32"/>
      <c r="M4280" s="32"/>
      <c r="N4280" s="32"/>
      <c r="O4280" s="32"/>
      <c r="P4280" s="32"/>
      <c r="Q4280" s="32"/>
      <c r="R4280" s="32"/>
      <c r="S4280" s="32"/>
      <c r="T4280" s="32"/>
      <c r="U4280" s="32"/>
      <c r="V4280" s="32"/>
      <c r="W4280" s="32"/>
      <c r="X4280" s="32"/>
      <c r="Y4280" s="32"/>
      <c r="Z4280" s="32"/>
    </row>
    <row r="4281" spans="1:26" ht="14.25" customHeight="1">
      <c r="A4281" s="83" t="s">
        <v>19</v>
      </c>
      <c r="B4281" s="81"/>
      <c r="C4281" s="81"/>
      <c r="D4281" s="81"/>
      <c r="E4281" s="81"/>
      <c r="F4281" s="81"/>
      <c r="G4281" s="82"/>
      <c r="H4281" s="41">
        <f>MAX(0,H4280-648000)</f>
        <v>619800</v>
      </c>
      <c r="I4281" s="32"/>
      <c r="J4281" s="32"/>
      <c r="K4281" s="32"/>
      <c r="L4281" s="32"/>
      <c r="M4281" s="32"/>
      <c r="N4281" s="32"/>
      <c r="O4281" s="32"/>
      <c r="P4281" s="32"/>
      <c r="Q4281" s="32"/>
      <c r="R4281" s="32"/>
      <c r="S4281" s="32"/>
      <c r="T4281" s="32"/>
      <c r="U4281" s="32"/>
      <c r="V4281" s="32"/>
      <c r="W4281" s="32"/>
      <c r="X4281" s="32"/>
      <c r="Y4281" s="32"/>
      <c r="Z4281" s="32"/>
    </row>
    <row r="4282" spans="1:26" ht="14.25" customHeight="1">
      <c r="A4282" s="84" t="s">
        <v>20</v>
      </c>
      <c r="B4282" s="81"/>
      <c r="C4282" s="81"/>
      <c r="D4282" s="81"/>
      <c r="E4282" s="81"/>
      <c r="F4282" s="81"/>
      <c r="G4282" s="82"/>
      <c r="H4282" s="42">
        <v>649000</v>
      </c>
      <c r="I4282" s="32"/>
      <c r="J4282" s="32"/>
      <c r="K4282" s="32"/>
      <c r="L4282" s="32"/>
      <c r="M4282" s="32"/>
      <c r="N4282" s="32"/>
      <c r="O4282" s="32"/>
      <c r="P4282" s="32"/>
      <c r="Q4282" s="32"/>
      <c r="R4282" s="32"/>
      <c r="S4282" s="32"/>
      <c r="T4282" s="32"/>
      <c r="U4282" s="32"/>
      <c r="V4282" s="32"/>
      <c r="W4282" s="32"/>
      <c r="X4282" s="32"/>
      <c r="Y4282" s="32"/>
      <c r="Z4282" s="32"/>
    </row>
    <row r="4283" spans="1:26" ht="14.25" customHeight="1">
      <c r="A4283" s="80"/>
      <c r="B4283" s="81"/>
      <c r="C4283" s="81"/>
      <c r="D4283" s="81"/>
      <c r="E4283" s="81"/>
      <c r="F4283" s="81"/>
      <c r="G4283" s="81"/>
      <c r="H4283" s="82"/>
      <c r="I4283" s="32"/>
      <c r="J4283" s="32"/>
      <c r="K4283" s="32"/>
      <c r="L4283" s="32"/>
      <c r="M4283" s="32"/>
      <c r="N4283" s="32"/>
      <c r="O4283" s="32"/>
      <c r="P4283" s="32"/>
      <c r="Q4283" s="32"/>
      <c r="R4283" s="32"/>
      <c r="S4283" s="32"/>
      <c r="T4283" s="32"/>
      <c r="U4283" s="32"/>
      <c r="V4283" s="32"/>
      <c r="W4283" s="32"/>
      <c r="X4283" s="32"/>
      <c r="Y4283" s="32"/>
      <c r="Z4283" s="32"/>
    </row>
    <row r="4284" spans="1:26" ht="14.25" customHeight="1"/>
    <row r="4285" spans="1:26" ht="14.25" customHeight="1"/>
    <row r="4286" spans="1:26" ht="14.25" customHeight="1"/>
    <row r="4287" spans="1:26" ht="14.25" customHeight="1"/>
    <row r="4288" spans="1:26" ht="14.25" customHeight="1"/>
    <row r="4289" spans="1:26" ht="14.25" customHeight="1"/>
    <row r="4290" spans="1:26" ht="14.25" customHeight="1"/>
    <row r="4291" spans="1:26" ht="14.25" customHeight="1">
      <c r="A4291" s="80" t="s">
        <v>0</v>
      </c>
      <c r="B4291" s="81"/>
      <c r="C4291" s="81"/>
      <c r="D4291" s="81"/>
      <c r="E4291" s="81"/>
      <c r="F4291" s="81"/>
      <c r="G4291" s="81"/>
      <c r="H4291" s="82"/>
      <c r="I4291" s="32"/>
      <c r="J4291" s="32"/>
      <c r="K4291" s="32"/>
      <c r="L4291" s="32"/>
      <c r="M4291" s="32"/>
      <c r="N4291" s="32"/>
      <c r="O4291" s="32"/>
      <c r="P4291" s="32"/>
      <c r="Q4291" s="32"/>
      <c r="R4291" s="32"/>
      <c r="S4291" s="32"/>
      <c r="T4291" s="32"/>
      <c r="U4291" s="32"/>
      <c r="V4291" s="32"/>
      <c r="W4291" s="32"/>
      <c r="X4291" s="32"/>
      <c r="Y4291" s="32"/>
      <c r="Z4291" s="32"/>
    </row>
    <row r="4292" spans="1:26" ht="14.25" customHeight="1">
      <c r="A4292" s="80" t="s">
        <v>1087</v>
      </c>
      <c r="B4292" s="81"/>
      <c r="C4292" s="81"/>
      <c r="D4292" s="81"/>
      <c r="E4292" s="81"/>
      <c r="F4292" s="81"/>
      <c r="G4292" s="81"/>
      <c r="H4292" s="82"/>
      <c r="I4292" s="32"/>
      <c r="J4292" s="32"/>
      <c r="K4292" s="32"/>
      <c r="L4292" s="32"/>
      <c r="M4292" s="32"/>
      <c r="N4292" s="32"/>
      <c r="O4292" s="32"/>
      <c r="P4292" s="32"/>
      <c r="Q4292" s="32"/>
      <c r="R4292" s="32"/>
      <c r="S4292" s="32"/>
      <c r="T4292" s="32"/>
      <c r="U4292" s="32"/>
      <c r="V4292" s="32"/>
      <c r="W4292" s="32"/>
      <c r="X4292" s="32"/>
      <c r="Y4292" s="32"/>
      <c r="Z4292" s="32"/>
    </row>
    <row r="4293" spans="1:26" ht="14.25" customHeight="1">
      <c r="A4293" s="33" t="s">
        <v>2</v>
      </c>
      <c r="B4293" s="33" t="s">
        <v>3</v>
      </c>
      <c r="C4293" s="33" t="s">
        <v>4</v>
      </c>
      <c r="D4293" s="33" t="s">
        <v>5</v>
      </c>
      <c r="E4293" s="33" t="s">
        <v>6</v>
      </c>
      <c r="F4293" s="34" t="s">
        <v>7</v>
      </c>
      <c r="G4293" s="33" t="s">
        <v>8</v>
      </c>
      <c r="H4293" s="35"/>
      <c r="I4293" s="32"/>
      <c r="J4293" s="32"/>
      <c r="K4293" s="32"/>
      <c r="L4293" s="32"/>
      <c r="M4293" s="32"/>
      <c r="N4293" s="32"/>
      <c r="O4293" s="32"/>
      <c r="P4293" s="32"/>
      <c r="Q4293" s="32"/>
      <c r="R4293" s="32"/>
      <c r="S4293" s="32"/>
      <c r="T4293" s="32"/>
      <c r="U4293" s="32"/>
      <c r="V4293" s="32"/>
      <c r="W4293" s="32"/>
      <c r="X4293" s="32"/>
      <c r="Y4293" s="32"/>
      <c r="Z4293" s="32"/>
    </row>
    <row r="4294" spans="1:26" ht="14.25" customHeight="1">
      <c r="A4294" s="36">
        <v>1</v>
      </c>
      <c r="B4294" s="18" t="s">
        <v>295</v>
      </c>
      <c r="C4294" s="5" t="s">
        <v>1088</v>
      </c>
      <c r="D4294" s="18" t="s">
        <v>11</v>
      </c>
      <c r="E4294" s="18">
        <v>1.5</v>
      </c>
      <c r="F4294" s="6">
        <v>293000</v>
      </c>
      <c r="G4294" s="37">
        <f t="shared" ref="G4294:G4296" si="273">IFERROR(E4294*F4294,0)</f>
        <v>439500</v>
      </c>
      <c r="H4294" s="38"/>
      <c r="I4294" s="32"/>
      <c r="J4294" s="32"/>
      <c r="K4294" s="32"/>
      <c r="L4294" s="32"/>
      <c r="M4294" s="32"/>
      <c r="N4294" s="32"/>
      <c r="O4294" s="32"/>
      <c r="P4294" s="32"/>
      <c r="Q4294" s="32"/>
      <c r="R4294" s="32"/>
      <c r="S4294" s="32"/>
      <c r="T4294" s="32"/>
      <c r="U4294" s="32"/>
      <c r="V4294" s="32"/>
      <c r="W4294" s="32"/>
      <c r="X4294" s="32"/>
      <c r="Y4294" s="32"/>
      <c r="Z4294" s="32"/>
    </row>
    <row r="4295" spans="1:26" ht="14.25" customHeight="1">
      <c r="A4295" s="36">
        <v>2</v>
      </c>
      <c r="B4295" s="12" t="s">
        <v>9</v>
      </c>
      <c r="C4295" s="10" t="s">
        <v>1089</v>
      </c>
      <c r="D4295" s="12" t="s">
        <v>233</v>
      </c>
      <c r="E4295" s="12">
        <v>2</v>
      </c>
      <c r="F4295" s="43">
        <v>435000</v>
      </c>
      <c r="G4295" s="37">
        <f t="shared" si="273"/>
        <v>870000</v>
      </c>
      <c r="H4295" s="38"/>
      <c r="I4295" s="32"/>
      <c r="J4295" s="32"/>
      <c r="K4295" s="32"/>
      <c r="L4295" s="32"/>
      <c r="M4295" s="32"/>
      <c r="N4295" s="32"/>
      <c r="O4295" s="32"/>
      <c r="P4295" s="32"/>
      <c r="Q4295" s="32"/>
      <c r="R4295" s="32"/>
      <c r="S4295" s="32"/>
      <c r="T4295" s="32"/>
      <c r="U4295" s="32"/>
      <c r="V4295" s="32"/>
      <c r="W4295" s="32"/>
      <c r="X4295" s="32"/>
      <c r="Y4295" s="32"/>
      <c r="Z4295" s="32"/>
    </row>
    <row r="4296" spans="1:26" ht="14.25" customHeight="1">
      <c r="A4296" s="36">
        <v>4</v>
      </c>
      <c r="B4296" s="39" t="s">
        <v>17</v>
      </c>
      <c r="C4296" s="38"/>
      <c r="D4296" s="38"/>
      <c r="E4296" s="38"/>
      <c r="F4296" s="60"/>
      <c r="G4296" s="37">
        <f t="shared" si="273"/>
        <v>0</v>
      </c>
      <c r="H4296" s="38"/>
      <c r="I4296" s="32"/>
      <c r="J4296" s="32"/>
      <c r="K4296" s="32"/>
      <c r="L4296" s="32"/>
      <c r="M4296" s="32"/>
      <c r="N4296" s="32"/>
      <c r="O4296" s="32"/>
      <c r="P4296" s="32"/>
      <c r="Q4296" s="32"/>
      <c r="R4296" s="32"/>
      <c r="S4296" s="32"/>
      <c r="T4296" s="32"/>
      <c r="U4296" s="32"/>
      <c r="V4296" s="32"/>
      <c r="W4296" s="32"/>
      <c r="X4296" s="32"/>
      <c r="Y4296" s="32"/>
      <c r="Z4296" s="32"/>
    </row>
    <row r="4297" spans="1:26" ht="14.25" customHeight="1">
      <c r="A4297" s="83" t="s">
        <v>18</v>
      </c>
      <c r="B4297" s="81"/>
      <c r="C4297" s="81"/>
      <c r="D4297" s="81"/>
      <c r="E4297" s="81"/>
      <c r="F4297" s="81"/>
      <c r="G4297" s="82"/>
      <c r="H4297" s="41">
        <f>SUM(G4294:G4296)</f>
        <v>1309500</v>
      </c>
      <c r="I4297" s="32"/>
      <c r="J4297" s="32"/>
      <c r="K4297" s="32"/>
      <c r="L4297" s="32"/>
      <c r="M4297" s="32"/>
      <c r="N4297" s="32"/>
      <c r="O4297" s="32"/>
      <c r="P4297" s="32"/>
      <c r="Q4297" s="32"/>
      <c r="R4297" s="32"/>
      <c r="S4297" s="32"/>
      <c r="T4297" s="32"/>
      <c r="U4297" s="32"/>
      <c r="V4297" s="32"/>
      <c r="W4297" s="32"/>
      <c r="X4297" s="32"/>
      <c r="Y4297" s="32"/>
      <c r="Z4297" s="32"/>
    </row>
    <row r="4298" spans="1:26" ht="14.25" customHeight="1">
      <c r="A4298" s="83" t="s">
        <v>19</v>
      </c>
      <c r="B4298" s="81"/>
      <c r="C4298" s="81"/>
      <c r="D4298" s="81"/>
      <c r="E4298" s="81"/>
      <c r="F4298" s="81"/>
      <c r="G4298" s="82"/>
      <c r="H4298" s="41">
        <f>MAX(0,H4297-648000)</f>
        <v>661500</v>
      </c>
      <c r="I4298" s="32"/>
      <c r="J4298" s="32"/>
      <c r="K4298" s="32"/>
      <c r="L4298" s="32"/>
      <c r="M4298" s="32"/>
      <c r="N4298" s="32"/>
      <c r="O4298" s="32"/>
      <c r="P4298" s="32"/>
      <c r="Q4298" s="32"/>
      <c r="R4298" s="32"/>
      <c r="S4298" s="32"/>
      <c r="T4298" s="32"/>
      <c r="U4298" s="32"/>
      <c r="V4298" s="32"/>
      <c r="W4298" s="32"/>
      <c r="X4298" s="32"/>
      <c r="Y4298" s="32"/>
      <c r="Z4298" s="32"/>
    </row>
    <row r="4299" spans="1:26" ht="14.25" customHeight="1">
      <c r="A4299" s="84" t="s">
        <v>20</v>
      </c>
      <c r="B4299" s="81"/>
      <c r="C4299" s="81"/>
      <c r="D4299" s="81"/>
      <c r="E4299" s="81"/>
      <c r="F4299" s="81"/>
      <c r="G4299" s="82"/>
      <c r="H4299" s="42">
        <v>649000</v>
      </c>
      <c r="I4299" s="32"/>
      <c r="J4299" s="32"/>
      <c r="K4299" s="32"/>
      <c r="L4299" s="32"/>
      <c r="M4299" s="32"/>
      <c r="N4299" s="32"/>
      <c r="O4299" s="32"/>
      <c r="P4299" s="32"/>
      <c r="Q4299" s="32"/>
      <c r="R4299" s="32"/>
      <c r="S4299" s="32"/>
      <c r="T4299" s="32"/>
      <c r="U4299" s="32"/>
      <c r="V4299" s="32"/>
      <c r="W4299" s="32"/>
      <c r="X4299" s="32"/>
      <c r="Y4299" s="32"/>
      <c r="Z4299" s="32"/>
    </row>
    <row r="4300" spans="1:26" ht="14.25" customHeight="1">
      <c r="A4300" s="80"/>
      <c r="B4300" s="81"/>
      <c r="C4300" s="81"/>
      <c r="D4300" s="81"/>
      <c r="E4300" s="81"/>
      <c r="F4300" s="81"/>
      <c r="G4300" s="81"/>
      <c r="H4300" s="82"/>
      <c r="I4300" s="32"/>
      <c r="J4300" s="32"/>
      <c r="K4300" s="32"/>
      <c r="L4300" s="32"/>
      <c r="M4300" s="32"/>
      <c r="N4300" s="32"/>
      <c r="O4300" s="32"/>
      <c r="P4300" s="32"/>
      <c r="Q4300" s="32"/>
      <c r="R4300" s="32"/>
      <c r="S4300" s="32"/>
      <c r="T4300" s="32"/>
      <c r="U4300" s="32"/>
      <c r="V4300" s="32"/>
      <c r="W4300" s="32"/>
      <c r="X4300" s="32"/>
      <c r="Y4300" s="32"/>
      <c r="Z4300" s="32"/>
    </row>
    <row r="4301" spans="1:26" ht="14.25" customHeight="1"/>
    <row r="4302" spans="1:26" ht="14.25" customHeight="1"/>
    <row r="4303" spans="1:26" ht="14.25" customHeight="1"/>
    <row r="4304" spans="1:26" ht="14.25" customHeight="1"/>
    <row r="4305" spans="1:26" ht="14.25" customHeight="1"/>
    <row r="4306" spans="1:26" ht="14.25" customHeight="1"/>
    <row r="4307" spans="1:26" ht="14.25" customHeight="1"/>
    <row r="4308" spans="1:26" ht="14.25" customHeight="1"/>
    <row r="4309" spans="1:26" ht="14.25" customHeight="1">
      <c r="A4309" s="80" t="s">
        <v>0</v>
      </c>
      <c r="B4309" s="81"/>
      <c r="C4309" s="81"/>
      <c r="D4309" s="81"/>
      <c r="E4309" s="81"/>
      <c r="F4309" s="81"/>
      <c r="G4309" s="81"/>
      <c r="H4309" s="82"/>
      <c r="I4309" s="32"/>
      <c r="J4309" s="32"/>
      <c r="K4309" s="32"/>
      <c r="L4309" s="32"/>
      <c r="M4309" s="32"/>
      <c r="N4309" s="32"/>
      <c r="O4309" s="32"/>
      <c r="P4309" s="32"/>
      <c r="Q4309" s="32"/>
      <c r="R4309" s="32"/>
      <c r="S4309" s="32"/>
      <c r="T4309" s="32"/>
      <c r="U4309" s="32"/>
      <c r="V4309" s="32"/>
      <c r="W4309" s="32"/>
      <c r="X4309" s="32"/>
      <c r="Y4309" s="32"/>
      <c r="Z4309" s="32"/>
    </row>
    <row r="4310" spans="1:26" ht="14.25" customHeight="1">
      <c r="A4310" s="80" t="s">
        <v>1090</v>
      </c>
      <c r="B4310" s="81"/>
      <c r="C4310" s="81"/>
      <c r="D4310" s="81"/>
      <c r="E4310" s="81"/>
      <c r="F4310" s="81"/>
      <c r="G4310" s="81"/>
      <c r="H4310" s="82"/>
      <c r="I4310" s="32"/>
      <c r="J4310" s="32"/>
      <c r="K4310" s="32"/>
      <c r="L4310" s="32"/>
      <c r="M4310" s="32"/>
      <c r="N4310" s="32"/>
      <c r="O4310" s="32"/>
      <c r="P4310" s="32"/>
      <c r="Q4310" s="32"/>
      <c r="R4310" s="32"/>
      <c r="S4310" s="32"/>
      <c r="T4310" s="32"/>
      <c r="U4310" s="32"/>
      <c r="V4310" s="32"/>
      <c r="W4310" s="32"/>
      <c r="X4310" s="32"/>
      <c r="Y4310" s="32"/>
      <c r="Z4310" s="32"/>
    </row>
    <row r="4311" spans="1:26" ht="14.25" customHeight="1">
      <c r="A4311" s="33" t="s">
        <v>2</v>
      </c>
      <c r="B4311" s="33" t="s">
        <v>3</v>
      </c>
      <c r="C4311" s="33" t="s">
        <v>4</v>
      </c>
      <c r="D4311" s="33" t="s">
        <v>5</v>
      </c>
      <c r="E4311" s="33" t="s">
        <v>6</v>
      </c>
      <c r="F4311" s="34" t="s">
        <v>7</v>
      </c>
      <c r="G4311" s="33" t="s">
        <v>8</v>
      </c>
      <c r="H4311" s="35"/>
      <c r="I4311" s="32"/>
      <c r="J4311" s="32"/>
      <c r="K4311" s="32"/>
      <c r="L4311" s="32"/>
      <c r="M4311" s="32"/>
      <c r="N4311" s="32"/>
      <c r="O4311" s="32"/>
      <c r="P4311" s="32"/>
      <c r="Q4311" s="32"/>
      <c r="R4311" s="32"/>
      <c r="S4311" s="32"/>
      <c r="T4311" s="32"/>
      <c r="U4311" s="32"/>
      <c r="V4311" s="32"/>
      <c r="W4311" s="32"/>
      <c r="X4311" s="32"/>
      <c r="Y4311" s="32"/>
      <c r="Z4311" s="32"/>
    </row>
    <row r="4312" spans="1:26" ht="14.25" customHeight="1">
      <c r="A4312" s="36">
        <v>1</v>
      </c>
      <c r="B4312" s="18" t="s">
        <v>1036</v>
      </c>
      <c r="C4312" s="5" t="s">
        <v>1091</v>
      </c>
      <c r="D4312" s="18" t="s">
        <v>11</v>
      </c>
      <c r="E4312" s="18">
        <v>0.65</v>
      </c>
      <c r="F4312" s="6">
        <v>293000</v>
      </c>
      <c r="G4312" s="37">
        <f t="shared" ref="G4312:G4314" si="274">IFERROR(E4312*F4312,0)</f>
        <v>190450</v>
      </c>
      <c r="H4312" s="38"/>
      <c r="I4312" s="32"/>
      <c r="J4312" s="32"/>
      <c r="K4312" s="32"/>
      <c r="L4312" s="32"/>
      <c r="M4312" s="32"/>
      <c r="N4312" s="32"/>
      <c r="O4312" s="32"/>
      <c r="P4312" s="32"/>
      <c r="Q4312" s="32"/>
      <c r="R4312" s="32"/>
      <c r="S4312" s="32"/>
      <c r="T4312" s="32"/>
      <c r="U4312" s="32"/>
      <c r="V4312" s="32"/>
      <c r="W4312" s="32"/>
      <c r="X4312" s="32"/>
      <c r="Y4312" s="32"/>
      <c r="Z4312" s="32"/>
    </row>
    <row r="4313" spans="1:26" ht="14.25" customHeight="1">
      <c r="A4313" s="36">
        <v>2</v>
      </c>
      <c r="B4313" s="12" t="s">
        <v>361</v>
      </c>
      <c r="C4313" s="10" t="s">
        <v>1092</v>
      </c>
      <c r="D4313" s="12" t="s">
        <v>14</v>
      </c>
      <c r="E4313" s="12">
        <v>2.96</v>
      </c>
      <c r="F4313" s="43">
        <v>435000</v>
      </c>
      <c r="G4313" s="37">
        <f t="shared" si="274"/>
        <v>1287600</v>
      </c>
      <c r="H4313" s="38"/>
      <c r="I4313" s="32"/>
      <c r="J4313" s="32"/>
      <c r="K4313" s="32"/>
      <c r="L4313" s="32"/>
      <c r="M4313" s="32"/>
      <c r="N4313" s="32"/>
      <c r="O4313" s="32"/>
      <c r="P4313" s="32"/>
      <c r="Q4313" s="32"/>
      <c r="R4313" s="32"/>
      <c r="S4313" s="32"/>
      <c r="T4313" s="32"/>
      <c r="U4313" s="32"/>
      <c r="V4313" s="32"/>
      <c r="W4313" s="32"/>
      <c r="X4313" s="32"/>
      <c r="Y4313" s="32"/>
      <c r="Z4313" s="32"/>
    </row>
    <row r="4314" spans="1:26" ht="14.25" customHeight="1">
      <c r="A4314" s="36">
        <v>4</v>
      </c>
      <c r="B4314" s="39" t="s">
        <v>17</v>
      </c>
      <c r="C4314" s="38"/>
      <c r="D4314" s="38"/>
      <c r="E4314" s="38"/>
      <c r="F4314" s="60"/>
      <c r="G4314" s="37">
        <f t="shared" si="274"/>
        <v>0</v>
      </c>
      <c r="H4314" s="38"/>
      <c r="I4314" s="32"/>
      <c r="J4314" s="32"/>
      <c r="K4314" s="32"/>
      <c r="L4314" s="32"/>
      <c r="M4314" s="32"/>
      <c r="N4314" s="32"/>
      <c r="O4314" s="32"/>
      <c r="P4314" s="32"/>
      <c r="Q4314" s="32"/>
      <c r="R4314" s="32"/>
      <c r="S4314" s="32"/>
      <c r="T4314" s="32"/>
      <c r="U4314" s="32"/>
      <c r="V4314" s="32"/>
      <c r="W4314" s="32"/>
      <c r="X4314" s="32"/>
      <c r="Y4314" s="32"/>
      <c r="Z4314" s="32"/>
    </row>
    <row r="4315" spans="1:26" ht="14.25" customHeight="1">
      <c r="A4315" s="83" t="s">
        <v>18</v>
      </c>
      <c r="B4315" s="81"/>
      <c r="C4315" s="81"/>
      <c r="D4315" s="81"/>
      <c r="E4315" s="81"/>
      <c r="F4315" s="81"/>
      <c r="G4315" s="82"/>
      <c r="H4315" s="41">
        <f>SUM(G4312:G4314)</f>
        <v>1478050</v>
      </c>
      <c r="I4315" s="32"/>
      <c r="J4315" s="32"/>
      <c r="K4315" s="32"/>
      <c r="L4315" s="32"/>
      <c r="M4315" s="32"/>
      <c r="N4315" s="32"/>
      <c r="O4315" s="32"/>
      <c r="P4315" s="32"/>
      <c r="Q4315" s="32"/>
      <c r="R4315" s="32"/>
      <c r="S4315" s="32"/>
      <c r="T4315" s="32"/>
      <c r="U4315" s="32"/>
      <c r="V4315" s="32"/>
      <c r="W4315" s="32"/>
      <c r="X4315" s="32"/>
      <c r="Y4315" s="32"/>
      <c r="Z4315" s="32"/>
    </row>
    <row r="4316" spans="1:26" ht="14.25" customHeight="1">
      <c r="A4316" s="83" t="s">
        <v>19</v>
      </c>
      <c r="B4316" s="81"/>
      <c r="C4316" s="81"/>
      <c r="D4316" s="81"/>
      <c r="E4316" s="81"/>
      <c r="F4316" s="81"/>
      <c r="G4316" s="82"/>
      <c r="H4316" s="41">
        <f>MAX(0,H4315-648000)</f>
        <v>830050</v>
      </c>
      <c r="I4316" s="32"/>
      <c r="J4316" s="32"/>
      <c r="K4316" s="32"/>
      <c r="L4316" s="32"/>
      <c r="M4316" s="32"/>
      <c r="N4316" s="32"/>
      <c r="O4316" s="32"/>
      <c r="P4316" s="32"/>
      <c r="Q4316" s="32"/>
      <c r="R4316" s="32"/>
      <c r="S4316" s="32"/>
      <c r="T4316" s="32"/>
      <c r="U4316" s="32"/>
      <c r="V4316" s="32"/>
      <c r="W4316" s="32"/>
      <c r="X4316" s="32"/>
      <c r="Y4316" s="32"/>
      <c r="Z4316" s="32"/>
    </row>
    <row r="4317" spans="1:26" ht="14.25" customHeight="1">
      <c r="A4317" s="84" t="s">
        <v>20</v>
      </c>
      <c r="B4317" s="81"/>
      <c r="C4317" s="81"/>
      <c r="D4317" s="81"/>
      <c r="E4317" s="81"/>
      <c r="F4317" s="81"/>
      <c r="G4317" s="82"/>
      <c r="H4317" s="42">
        <v>649000</v>
      </c>
      <c r="I4317" s="32"/>
      <c r="J4317" s="32"/>
      <c r="K4317" s="32"/>
      <c r="L4317" s="32"/>
      <c r="M4317" s="32"/>
      <c r="N4317" s="32"/>
      <c r="O4317" s="32"/>
      <c r="P4317" s="32"/>
      <c r="Q4317" s="32"/>
      <c r="R4317" s="32"/>
      <c r="S4317" s="32"/>
      <c r="T4317" s="32"/>
      <c r="U4317" s="32"/>
      <c r="V4317" s="32"/>
      <c r="W4317" s="32"/>
      <c r="X4317" s="32"/>
      <c r="Y4317" s="32"/>
      <c r="Z4317" s="32"/>
    </row>
    <row r="4318" spans="1:26" ht="14.25" customHeight="1">
      <c r="A4318" s="80"/>
      <c r="B4318" s="81"/>
      <c r="C4318" s="81"/>
      <c r="D4318" s="81"/>
      <c r="E4318" s="81"/>
      <c r="F4318" s="81"/>
      <c r="G4318" s="81"/>
      <c r="H4318" s="82"/>
      <c r="I4318" s="32"/>
      <c r="J4318" s="32"/>
      <c r="K4318" s="32"/>
      <c r="L4318" s="32"/>
      <c r="M4318" s="32"/>
      <c r="N4318" s="32"/>
      <c r="O4318" s="32"/>
      <c r="P4318" s="32"/>
      <c r="Q4318" s="32"/>
      <c r="R4318" s="32"/>
      <c r="S4318" s="32"/>
      <c r="T4318" s="32"/>
      <c r="U4318" s="32"/>
      <c r="V4318" s="32"/>
      <c r="W4318" s="32"/>
      <c r="X4318" s="32"/>
      <c r="Y4318" s="32"/>
      <c r="Z4318" s="32"/>
    </row>
    <row r="4319" spans="1:26" ht="14.25" customHeight="1"/>
    <row r="4320" spans="1:26" ht="14.25" customHeight="1"/>
    <row r="4321" spans="1:26" ht="14.25" customHeight="1"/>
    <row r="4322" spans="1:26" ht="14.25" customHeight="1"/>
    <row r="4323" spans="1:26" ht="14.25" customHeight="1"/>
    <row r="4324" spans="1:26" ht="14.25" customHeight="1"/>
    <row r="4325" spans="1:26" ht="14.25" customHeight="1"/>
    <row r="4326" spans="1:26" ht="14.25" customHeight="1">
      <c r="A4326" s="80" t="s">
        <v>0</v>
      </c>
      <c r="B4326" s="81"/>
      <c r="C4326" s="81"/>
      <c r="D4326" s="81"/>
      <c r="E4326" s="81"/>
      <c r="F4326" s="81"/>
      <c r="G4326" s="81"/>
      <c r="H4326" s="82"/>
      <c r="I4326" s="32"/>
      <c r="J4326" s="32"/>
      <c r="K4326" s="32"/>
      <c r="L4326" s="32"/>
      <c r="M4326" s="32"/>
      <c r="N4326" s="32"/>
      <c r="O4326" s="32"/>
      <c r="P4326" s="32"/>
      <c r="Q4326" s="32"/>
      <c r="R4326" s="32"/>
      <c r="S4326" s="32"/>
      <c r="T4326" s="32"/>
      <c r="U4326" s="32"/>
      <c r="V4326" s="32"/>
      <c r="W4326" s="32"/>
      <c r="X4326" s="32"/>
      <c r="Y4326" s="32"/>
      <c r="Z4326" s="32"/>
    </row>
    <row r="4327" spans="1:26" ht="14.25" customHeight="1">
      <c r="A4327" s="80" t="s">
        <v>1093</v>
      </c>
      <c r="B4327" s="81"/>
      <c r="C4327" s="81"/>
      <c r="D4327" s="81"/>
      <c r="E4327" s="81"/>
      <c r="F4327" s="81"/>
      <c r="G4327" s="81"/>
      <c r="H4327" s="82"/>
      <c r="I4327" s="32"/>
      <c r="J4327" s="32"/>
      <c r="K4327" s="32"/>
      <c r="L4327" s="32"/>
      <c r="M4327" s="32"/>
      <c r="N4327" s="32"/>
      <c r="O4327" s="32"/>
      <c r="P4327" s="32"/>
      <c r="Q4327" s="32"/>
      <c r="R4327" s="32"/>
      <c r="S4327" s="32"/>
      <c r="T4327" s="32"/>
      <c r="U4327" s="32"/>
      <c r="V4327" s="32"/>
      <c r="W4327" s="32"/>
      <c r="X4327" s="32"/>
      <c r="Y4327" s="32"/>
      <c r="Z4327" s="32"/>
    </row>
    <row r="4328" spans="1:26" ht="14.25" customHeight="1">
      <c r="A4328" s="33" t="s">
        <v>2</v>
      </c>
      <c r="B4328" s="33" t="s">
        <v>3</v>
      </c>
      <c r="C4328" s="33" t="s">
        <v>4</v>
      </c>
      <c r="D4328" s="33" t="s">
        <v>5</v>
      </c>
      <c r="E4328" s="33" t="s">
        <v>6</v>
      </c>
      <c r="F4328" s="34" t="s">
        <v>7</v>
      </c>
      <c r="G4328" s="33" t="s">
        <v>8</v>
      </c>
      <c r="H4328" s="35"/>
      <c r="I4328" s="32"/>
      <c r="J4328" s="32"/>
      <c r="K4328" s="32"/>
      <c r="L4328" s="32"/>
      <c r="M4328" s="32"/>
      <c r="N4328" s="32"/>
      <c r="O4328" s="32"/>
      <c r="P4328" s="32"/>
      <c r="Q4328" s="32"/>
      <c r="R4328" s="32"/>
      <c r="S4328" s="32"/>
      <c r="T4328" s="32"/>
      <c r="U4328" s="32"/>
      <c r="V4328" s="32"/>
      <c r="W4328" s="32"/>
      <c r="X4328" s="32"/>
      <c r="Y4328" s="32"/>
      <c r="Z4328" s="32"/>
    </row>
    <row r="4329" spans="1:26" ht="14.25" customHeight="1">
      <c r="A4329" s="36">
        <v>1</v>
      </c>
      <c r="B4329" s="18" t="s">
        <v>422</v>
      </c>
      <c r="C4329" s="5" t="s">
        <v>1094</v>
      </c>
      <c r="D4329" s="18" t="s">
        <v>11</v>
      </c>
      <c r="E4329" s="18">
        <v>0.9</v>
      </c>
      <c r="F4329" s="6">
        <v>293000</v>
      </c>
      <c r="G4329" s="37">
        <f t="shared" ref="G4329:G4331" si="275">IFERROR(E4329*F4329,0)</f>
        <v>263700</v>
      </c>
      <c r="H4329" s="38"/>
      <c r="I4329" s="32"/>
      <c r="J4329" s="32"/>
      <c r="K4329" s="32"/>
      <c r="L4329" s="32"/>
      <c r="M4329" s="32"/>
      <c r="N4329" s="32"/>
      <c r="O4329" s="32"/>
      <c r="P4329" s="32"/>
      <c r="Q4329" s="32"/>
      <c r="R4329" s="32"/>
      <c r="S4329" s="32"/>
      <c r="T4329" s="32"/>
      <c r="U4329" s="32"/>
      <c r="V4329" s="32"/>
      <c r="W4329" s="32"/>
      <c r="X4329" s="32"/>
      <c r="Y4329" s="32"/>
      <c r="Z4329" s="32"/>
    </row>
    <row r="4330" spans="1:26" ht="14.25" customHeight="1">
      <c r="A4330" s="36">
        <v>2</v>
      </c>
      <c r="B4330" s="12" t="s">
        <v>715</v>
      </c>
      <c r="C4330" s="10" t="s">
        <v>1038</v>
      </c>
      <c r="D4330" s="12" t="s">
        <v>14</v>
      </c>
      <c r="E4330" s="12">
        <v>2.5</v>
      </c>
      <c r="F4330" s="43">
        <v>435000</v>
      </c>
      <c r="G4330" s="37">
        <f t="shared" si="275"/>
        <v>1087500</v>
      </c>
      <c r="H4330" s="38"/>
      <c r="I4330" s="32"/>
      <c r="J4330" s="32"/>
      <c r="K4330" s="32"/>
      <c r="L4330" s="32"/>
      <c r="M4330" s="32"/>
      <c r="N4330" s="32"/>
      <c r="O4330" s="32"/>
      <c r="P4330" s="32"/>
      <c r="Q4330" s="32"/>
      <c r="R4330" s="32"/>
      <c r="S4330" s="32"/>
      <c r="T4330" s="32"/>
      <c r="U4330" s="32"/>
      <c r="V4330" s="32"/>
      <c r="W4330" s="32"/>
      <c r="X4330" s="32"/>
      <c r="Y4330" s="32"/>
      <c r="Z4330" s="32"/>
    </row>
    <row r="4331" spans="1:26" ht="14.25" customHeight="1">
      <c r="A4331" s="36">
        <v>4</v>
      </c>
      <c r="B4331" s="39" t="s">
        <v>17</v>
      </c>
      <c r="C4331" s="38"/>
      <c r="D4331" s="38"/>
      <c r="E4331" s="38"/>
      <c r="F4331" s="60"/>
      <c r="G4331" s="37">
        <f t="shared" si="275"/>
        <v>0</v>
      </c>
      <c r="H4331" s="38"/>
      <c r="I4331" s="32"/>
      <c r="J4331" s="32"/>
      <c r="K4331" s="32"/>
      <c r="L4331" s="32"/>
      <c r="M4331" s="32"/>
      <c r="N4331" s="32"/>
      <c r="O4331" s="32"/>
      <c r="P4331" s="32"/>
      <c r="Q4331" s="32"/>
      <c r="R4331" s="32"/>
      <c r="S4331" s="32"/>
      <c r="T4331" s="32"/>
      <c r="U4331" s="32"/>
      <c r="V4331" s="32"/>
      <c r="W4331" s="32"/>
      <c r="X4331" s="32"/>
      <c r="Y4331" s="32"/>
      <c r="Z4331" s="32"/>
    </row>
    <row r="4332" spans="1:26" ht="14.25" customHeight="1">
      <c r="A4332" s="83" t="s">
        <v>18</v>
      </c>
      <c r="B4332" s="81"/>
      <c r="C4332" s="81"/>
      <c r="D4332" s="81"/>
      <c r="E4332" s="81"/>
      <c r="F4332" s="81"/>
      <c r="G4332" s="82"/>
      <c r="H4332" s="41">
        <f>SUM(G4329:G4331)</f>
        <v>1351200</v>
      </c>
      <c r="I4332" s="32"/>
      <c r="J4332" s="32"/>
      <c r="K4332" s="32"/>
      <c r="L4332" s="32"/>
      <c r="M4332" s="32"/>
      <c r="N4332" s="32"/>
      <c r="O4332" s="32"/>
      <c r="P4332" s="32"/>
      <c r="Q4332" s="32"/>
      <c r="R4332" s="32"/>
      <c r="S4332" s="32"/>
      <c r="T4332" s="32"/>
      <c r="U4332" s="32"/>
      <c r="V4332" s="32"/>
      <c r="W4332" s="32"/>
      <c r="X4332" s="32"/>
      <c r="Y4332" s="32"/>
      <c r="Z4332" s="32"/>
    </row>
    <row r="4333" spans="1:26" ht="14.25" customHeight="1">
      <c r="A4333" s="83" t="s">
        <v>19</v>
      </c>
      <c r="B4333" s="81"/>
      <c r="C4333" s="81"/>
      <c r="D4333" s="81"/>
      <c r="E4333" s="81"/>
      <c r="F4333" s="81"/>
      <c r="G4333" s="82"/>
      <c r="H4333" s="41">
        <f>MAX(0,H4332-648000)</f>
        <v>703200</v>
      </c>
      <c r="I4333" s="32"/>
      <c r="J4333" s="32"/>
      <c r="K4333" s="32"/>
      <c r="L4333" s="32"/>
      <c r="M4333" s="32"/>
      <c r="N4333" s="32"/>
      <c r="O4333" s="32"/>
      <c r="P4333" s="32"/>
      <c r="Q4333" s="32"/>
      <c r="R4333" s="32"/>
      <c r="S4333" s="32"/>
      <c r="T4333" s="32"/>
      <c r="U4333" s="32"/>
      <c r="V4333" s="32"/>
      <c r="W4333" s="32"/>
      <c r="X4333" s="32"/>
      <c r="Y4333" s="32"/>
      <c r="Z4333" s="32"/>
    </row>
    <row r="4334" spans="1:26" ht="14.25" customHeight="1">
      <c r="A4334" s="84" t="s">
        <v>20</v>
      </c>
      <c r="B4334" s="81"/>
      <c r="C4334" s="81"/>
      <c r="D4334" s="81"/>
      <c r="E4334" s="81"/>
      <c r="F4334" s="81"/>
      <c r="G4334" s="82"/>
      <c r="H4334" s="42">
        <v>649000</v>
      </c>
      <c r="I4334" s="32"/>
      <c r="J4334" s="32"/>
      <c r="K4334" s="32"/>
      <c r="L4334" s="32"/>
      <c r="M4334" s="32"/>
      <c r="N4334" s="32"/>
      <c r="O4334" s="32"/>
      <c r="P4334" s="32"/>
      <c r="Q4334" s="32"/>
      <c r="R4334" s="32"/>
      <c r="S4334" s="32"/>
      <c r="T4334" s="32"/>
      <c r="U4334" s="32"/>
      <c r="V4334" s="32"/>
      <c r="W4334" s="32"/>
      <c r="X4334" s="32"/>
      <c r="Y4334" s="32"/>
      <c r="Z4334" s="32"/>
    </row>
    <row r="4335" spans="1:26" ht="14.25" customHeight="1">
      <c r="A4335" s="80"/>
      <c r="B4335" s="81"/>
      <c r="C4335" s="81"/>
      <c r="D4335" s="81"/>
      <c r="E4335" s="81"/>
      <c r="F4335" s="81"/>
      <c r="G4335" s="81"/>
      <c r="H4335" s="82"/>
      <c r="I4335" s="32"/>
      <c r="J4335" s="32"/>
      <c r="K4335" s="32"/>
      <c r="L4335" s="32"/>
      <c r="M4335" s="32"/>
      <c r="N4335" s="32"/>
      <c r="O4335" s="32"/>
      <c r="P4335" s="32"/>
      <c r="Q4335" s="32"/>
      <c r="R4335" s="32"/>
      <c r="S4335" s="32"/>
      <c r="T4335" s="32"/>
      <c r="U4335" s="32"/>
      <c r="V4335" s="32"/>
      <c r="W4335" s="32"/>
      <c r="X4335" s="32"/>
      <c r="Y4335" s="32"/>
      <c r="Z4335" s="32"/>
    </row>
    <row r="4336" spans="1:26" ht="14.25" customHeight="1"/>
    <row r="4337" spans="1:26" ht="14.25" customHeight="1"/>
    <row r="4338" spans="1:26" ht="14.25" customHeight="1"/>
    <row r="4339" spans="1:26" ht="14.25" customHeight="1"/>
    <row r="4340" spans="1:26" ht="14.25" customHeight="1"/>
    <row r="4341" spans="1:26" ht="14.25" customHeight="1"/>
    <row r="4342" spans="1:26" ht="14.25" customHeight="1">
      <c r="A4342" s="80" t="s">
        <v>0</v>
      </c>
      <c r="B4342" s="81"/>
      <c r="C4342" s="81"/>
      <c r="D4342" s="81"/>
      <c r="E4342" s="81"/>
      <c r="F4342" s="81"/>
      <c r="G4342" s="81"/>
      <c r="H4342" s="82"/>
      <c r="I4342" s="32"/>
      <c r="J4342" s="32"/>
      <c r="K4342" s="32"/>
      <c r="L4342" s="32"/>
      <c r="M4342" s="32"/>
      <c r="N4342" s="32"/>
      <c r="O4342" s="32"/>
      <c r="P4342" s="32"/>
      <c r="Q4342" s="32"/>
      <c r="R4342" s="32"/>
      <c r="S4342" s="32"/>
      <c r="T4342" s="32"/>
      <c r="U4342" s="32"/>
      <c r="V4342" s="32"/>
      <c r="W4342" s="32"/>
      <c r="X4342" s="32"/>
      <c r="Y4342" s="32"/>
      <c r="Z4342" s="32"/>
    </row>
    <row r="4343" spans="1:26" ht="14.25" customHeight="1">
      <c r="A4343" s="80" t="s">
        <v>1095</v>
      </c>
      <c r="B4343" s="81"/>
      <c r="C4343" s="81"/>
      <c r="D4343" s="81"/>
      <c r="E4343" s="81"/>
      <c r="F4343" s="81"/>
      <c r="G4343" s="81"/>
      <c r="H4343" s="82"/>
      <c r="I4343" s="32"/>
      <c r="J4343" s="32"/>
      <c r="K4343" s="32"/>
      <c r="L4343" s="32"/>
      <c r="M4343" s="32"/>
      <c r="N4343" s="32"/>
      <c r="O4343" s="32"/>
      <c r="P4343" s="32"/>
      <c r="Q4343" s="32"/>
      <c r="R4343" s="32"/>
      <c r="S4343" s="32"/>
      <c r="T4343" s="32"/>
      <c r="U4343" s="32"/>
      <c r="V4343" s="32"/>
      <c r="W4343" s="32"/>
      <c r="X4343" s="32"/>
      <c r="Y4343" s="32"/>
      <c r="Z4343" s="32"/>
    </row>
    <row r="4344" spans="1:26" ht="14.25" customHeight="1">
      <c r="A4344" s="33" t="s">
        <v>2</v>
      </c>
      <c r="B4344" s="33" t="s">
        <v>3</v>
      </c>
      <c r="C4344" s="33" t="s">
        <v>4</v>
      </c>
      <c r="D4344" s="33" t="s">
        <v>5</v>
      </c>
      <c r="E4344" s="33" t="s">
        <v>6</v>
      </c>
      <c r="F4344" s="34" t="s">
        <v>7</v>
      </c>
      <c r="G4344" s="33" t="s">
        <v>8</v>
      </c>
      <c r="H4344" s="35"/>
      <c r="I4344" s="32"/>
      <c r="J4344" s="32"/>
      <c r="K4344" s="32"/>
      <c r="L4344" s="32"/>
      <c r="M4344" s="32"/>
      <c r="N4344" s="32"/>
      <c r="O4344" s="32"/>
      <c r="P4344" s="32"/>
      <c r="Q4344" s="32"/>
      <c r="R4344" s="32"/>
      <c r="S4344" s="32"/>
      <c r="T4344" s="32"/>
      <c r="U4344" s="32"/>
      <c r="V4344" s="32"/>
      <c r="W4344" s="32"/>
      <c r="X4344" s="32"/>
      <c r="Y4344" s="32"/>
      <c r="Z4344" s="32"/>
    </row>
    <row r="4345" spans="1:26" ht="14.25" customHeight="1">
      <c r="A4345" s="36">
        <v>1</v>
      </c>
      <c r="B4345" s="18" t="s">
        <v>177</v>
      </c>
      <c r="C4345" s="5" t="s">
        <v>1096</v>
      </c>
      <c r="D4345" s="18" t="s">
        <v>11</v>
      </c>
      <c r="E4345" s="18">
        <v>1.5</v>
      </c>
      <c r="F4345" s="6">
        <v>293000</v>
      </c>
      <c r="G4345" s="37">
        <f t="shared" ref="G4345:G4347" si="276">IFERROR(E4345*F4345,0)</f>
        <v>439500</v>
      </c>
      <c r="H4345" s="38"/>
      <c r="I4345" s="32"/>
      <c r="J4345" s="32"/>
      <c r="K4345" s="32"/>
      <c r="L4345" s="32"/>
      <c r="M4345" s="32"/>
      <c r="N4345" s="32"/>
      <c r="O4345" s="32"/>
      <c r="P4345" s="32"/>
      <c r="Q4345" s="32"/>
      <c r="R4345" s="32"/>
      <c r="S4345" s="32"/>
      <c r="T4345" s="32"/>
      <c r="U4345" s="32"/>
      <c r="V4345" s="32"/>
      <c r="W4345" s="32"/>
      <c r="X4345" s="32"/>
      <c r="Y4345" s="32"/>
      <c r="Z4345" s="32"/>
    </row>
    <row r="4346" spans="1:26" ht="14.25" customHeight="1">
      <c r="A4346" s="36">
        <v>2</v>
      </c>
      <c r="B4346" s="12" t="s">
        <v>571</v>
      </c>
      <c r="C4346" s="10" t="s">
        <v>1097</v>
      </c>
      <c r="D4346" s="12" t="s">
        <v>14</v>
      </c>
      <c r="E4346" s="12">
        <v>1.9</v>
      </c>
      <c r="F4346" s="43">
        <v>435000</v>
      </c>
      <c r="G4346" s="37">
        <f t="shared" si="276"/>
        <v>826500</v>
      </c>
      <c r="H4346" s="38"/>
      <c r="I4346" s="32"/>
      <c r="J4346" s="32"/>
      <c r="K4346" s="32"/>
      <c r="L4346" s="32"/>
      <c r="M4346" s="32"/>
      <c r="N4346" s="32"/>
      <c r="O4346" s="32"/>
      <c r="P4346" s="32"/>
      <c r="Q4346" s="32"/>
      <c r="R4346" s="32"/>
      <c r="S4346" s="32"/>
      <c r="T4346" s="32"/>
      <c r="U4346" s="32"/>
      <c r="V4346" s="32"/>
      <c r="W4346" s="32"/>
      <c r="X4346" s="32"/>
      <c r="Y4346" s="32"/>
      <c r="Z4346" s="32"/>
    </row>
    <row r="4347" spans="1:26" ht="14.25" customHeight="1">
      <c r="A4347" s="36">
        <v>4</v>
      </c>
      <c r="B4347" s="39" t="s">
        <v>17</v>
      </c>
      <c r="C4347" s="38"/>
      <c r="D4347" s="38"/>
      <c r="E4347" s="38"/>
      <c r="F4347" s="60"/>
      <c r="G4347" s="37">
        <f t="shared" si="276"/>
        <v>0</v>
      </c>
      <c r="H4347" s="38"/>
      <c r="I4347" s="32"/>
      <c r="J4347" s="32"/>
      <c r="K4347" s="32"/>
      <c r="L4347" s="32"/>
      <c r="M4347" s="32"/>
      <c r="N4347" s="32"/>
      <c r="O4347" s="32"/>
      <c r="P4347" s="32"/>
      <c r="Q4347" s="32"/>
      <c r="R4347" s="32"/>
      <c r="S4347" s="32"/>
      <c r="T4347" s="32"/>
      <c r="U4347" s="32"/>
      <c r="V4347" s="32"/>
      <c r="W4347" s="32"/>
      <c r="X4347" s="32"/>
      <c r="Y4347" s="32"/>
      <c r="Z4347" s="32"/>
    </row>
    <row r="4348" spans="1:26" ht="14.25" customHeight="1">
      <c r="A4348" s="83" t="s">
        <v>18</v>
      </c>
      <c r="B4348" s="81"/>
      <c r="C4348" s="81"/>
      <c r="D4348" s="81"/>
      <c r="E4348" s="81"/>
      <c r="F4348" s="81"/>
      <c r="G4348" s="82"/>
      <c r="H4348" s="41">
        <f>SUM(G4345:G4347)</f>
        <v>1266000</v>
      </c>
      <c r="I4348" s="32"/>
      <c r="J4348" s="32"/>
      <c r="K4348" s="32"/>
      <c r="L4348" s="32"/>
      <c r="M4348" s="32"/>
      <c r="N4348" s="32"/>
      <c r="O4348" s="32"/>
      <c r="P4348" s="32"/>
      <c r="Q4348" s="32"/>
      <c r="R4348" s="32"/>
      <c r="S4348" s="32"/>
      <c r="T4348" s="32"/>
      <c r="U4348" s="32"/>
      <c r="V4348" s="32"/>
      <c r="W4348" s="32"/>
      <c r="X4348" s="32"/>
      <c r="Y4348" s="32"/>
      <c r="Z4348" s="32"/>
    </row>
    <row r="4349" spans="1:26" ht="14.25" customHeight="1">
      <c r="A4349" s="83" t="s">
        <v>19</v>
      </c>
      <c r="B4349" s="81"/>
      <c r="C4349" s="81"/>
      <c r="D4349" s="81"/>
      <c r="E4349" s="81"/>
      <c r="F4349" s="81"/>
      <c r="G4349" s="82"/>
      <c r="H4349" s="41">
        <f>MAX(0,H4348-648000)</f>
        <v>618000</v>
      </c>
      <c r="I4349" s="32"/>
      <c r="J4349" s="32"/>
      <c r="K4349" s="32"/>
      <c r="L4349" s="32"/>
      <c r="M4349" s="32"/>
      <c r="N4349" s="32"/>
      <c r="O4349" s="32"/>
      <c r="P4349" s="32"/>
      <c r="Q4349" s="32"/>
      <c r="R4349" s="32"/>
      <c r="S4349" s="32"/>
      <c r="T4349" s="32"/>
      <c r="U4349" s="32"/>
      <c r="V4349" s="32"/>
      <c r="W4349" s="32"/>
      <c r="X4349" s="32"/>
      <c r="Y4349" s="32"/>
      <c r="Z4349" s="32"/>
    </row>
    <row r="4350" spans="1:26" ht="14.25" customHeight="1">
      <c r="A4350" s="84" t="s">
        <v>20</v>
      </c>
      <c r="B4350" s="81"/>
      <c r="C4350" s="81"/>
      <c r="D4350" s="81"/>
      <c r="E4350" s="81"/>
      <c r="F4350" s="81"/>
      <c r="G4350" s="82"/>
      <c r="H4350" s="42">
        <v>649000</v>
      </c>
      <c r="I4350" s="32"/>
      <c r="J4350" s="32"/>
      <c r="K4350" s="32"/>
      <c r="L4350" s="32"/>
      <c r="M4350" s="32"/>
      <c r="N4350" s="32"/>
      <c r="O4350" s="32"/>
      <c r="P4350" s="32"/>
      <c r="Q4350" s="32"/>
      <c r="R4350" s="32"/>
      <c r="S4350" s="32"/>
      <c r="T4350" s="32"/>
      <c r="U4350" s="32"/>
      <c r="V4350" s="32"/>
      <c r="W4350" s="32"/>
      <c r="X4350" s="32"/>
      <c r="Y4350" s="32"/>
      <c r="Z4350" s="32"/>
    </row>
    <row r="4351" spans="1:26" ht="14.25" customHeight="1">
      <c r="A4351" s="80"/>
      <c r="B4351" s="81"/>
      <c r="C4351" s="81"/>
      <c r="D4351" s="81"/>
      <c r="E4351" s="81"/>
      <c r="F4351" s="81"/>
      <c r="G4351" s="81"/>
      <c r="H4351" s="82"/>
      <c r="I4351" s="32"/>
      <c r="J4351" s="32"/>
      <c r="K4351" s="32"/>
      <c r="L4351" s="32"/>
      <c r="M4351" s="32"/>
      <c r="N4351" s="32"/>
      <c r="O4351" s="32"/>
      <c r="P4351" s="32"/>
      <c r="Q4351" s="32"/>
      <c r="R4351" s="32"/>
      <c r="S4351" s="32"/>
      <c r="T4351" s="32"/>
      <c r="U4351" s="32"/>
      <c r="V4351" s="32"/>
      <c r="W4351" s="32"/>
      <c r="X4351" s="32"/>
      <c r="Y4351" s="32"/>
      <c r="Z4351" s="32"/>
    </row>
    <row r="4352" spans="1:26" ht="14.25" customHeight="1"/>
    <row r="4353" spans="1:26" ht="14.25" customHeight="1"/>
    <row r="4354" spans="1:26" ht="14.25" customHeight="1"/>
    <row r="4355" spans="1:26" ht="14.25" customHeight="1">
      <c r="A4355" s="80" t="s">
        <v>0</v>
      </c>
      <c r="B4355" s="81"/>
      <c r="C4355" s="81"/>
      <c r="D4355" s="81"/>
      <c r="E4355" s="81"/>
      <c r="F4355" s="81"/>
      <c r="G4355" s="81"/>
      <c r="H4355" s="82"/>
      <c r="I4355" s="32"/>
      <c r="J4355" s="32"/>
      <c r="K4355" s="32"/>
      <c r="L4355" s="32"/>
      <c r="M4355" s="32"/>
      <c r="N4355" s="32"/>
      <c r="O4355" s="32"/>
      <c r="P4355" s="32"/>
      <c r="Q4355" s="32"/>
      <c r="R4355" s="32"/>
      <c r="S4355" s="32"/>
      <c r="T4355" s="32"/>
      <c r="U4355" s="32"/>
      <c r="V4355" s="32"/>
      <c r="W4355" s="32"/>
      <c r="X4355" s="32"/>
      <c r="Y4355" s="32"/>
      <c r="Z4355" s="32"/>
    </row>
    <row r="4356" spans="1:26" ht="14.25" customHeight="1">
      <c r="A4356" s="80" t="s">
        <v>1098</v>
      </c>
      <c r="B4356" s="81"/>
      <c r="C4356" s="81"/>
      <c r="D4356" s="81"/>
      <c r="E4356" s="81"/>
      <c r="F4356" s="81"/>
      <c r="G4356" s="81"/>
      <c r="H4356" s="82"/>
      <c r="I4356" s="32"/>
      <c r="J4356" s="32"/>
      <c r="K4356" s="32"/>
      <c r="L4356" s="32"/>
      <c r="M4356" s="32"/>
      <c r="N4356" s="32"/>
      <c r="O4356" s="32"/>
      <c r="P4356" s="32"/>
      <c r="Q4356" s="32"/>
      <c r="R4356" s="32"/>
      <c r="S4356" s="32"/>
      <c r="T4356" s="32"/>
      <c r="U4356" s="32"/>
      <c r="V4356" s="32"/>
      <c r="W4356" s="32"/>
      <c r="X4356" s="32"/>
      <c r="Y4356" s="32"/>
      <c r="Z4356" s="32"/>
    </row>
    <row r="4357" spans="1:26" ht="14.25" customHeight="1">
      <c r="A4357" s="33" t="s">
        <v>2</v>
      </c>
      <c r="B4357" s="33" t="s">
        <v>3</v>
      </c>
      <c r="C4357" s="33" t="s">
        <v>4</v>
      </c>
      <c r="D4357" s="33" t="s">
        <v>5</v>
      </c>
      <c r="E4357" s="33" t="s">
        <v>6</v>
      </c>
      <c r="F4357" s="34" t="s">
        <v>7</v>
      </c>
      <c r="G4357" s="33" t="s">
        <v>8</v>
      </c>
      <c r="H4357" s="35"/>
      <c r="I4357" s="32"/>
      <c r="J4357" s="32"/>
      <c r="K4357" s="32"/>
      <c r="L4357" s="32"/>
      <c r="M4357" s="32"/>
      <c r="N4357" s="32"/>
      <c r="O4357" s="32"/>
      <c r="P4357" s="32"/>
      <c r="Q4357" s="32"/>
      <c r="R4357" s="32"/>
      <c r="S4357" s="32"/>
      <c r="T4357" s="32"/>
      <c r="U4357" s="32"/>
      <c r="V4357" s="32"/>
      <c r="W4357" s="32"/>
      <c r="X4357" s="32"/>
      <c r="Y4357" s="32"/>
      <c r="Z4357" s="32"/>
    </row>
    <row r="4358" spans="1:26" ht="14.25" customHeight="1">
      <c r="A4358" s="36">
        <v>1</v>
      </c>
      <c r="B4358" s="18" t="s">
        <v>1036</v>
      </c>
      <c r="C4358" s="5" t="s">
        <v>1099</v>
      </c>
      <c r="D4358" s="18" t="s">
        <v>11</v>
      </c>
      <c r="E4358" s="18">
        <v>1.5</v>
      </c>
      <c r="F4358" s="6">
        <v>293000</v>
      </c>
      <c r="G4358" s="37">
        <f t="shared" ref="G4358:G4360" si="277">IFERROR(E4358*F4358,0)</f>
        <v>439500</v>
      </c>
      <c r="H4358" s="38"/>
      <c r="I4358" s="32"/>
      <c r="J4358" s="32"/>
      <c r="K4358" s="32"/>
      <c r="L4358" s="32"/>
      <c r="M4358" s="32"/>
      <c r="N4358" s="32"/>
      <c r="O4358" s="32"/>
      <c r="P4358" s="32"/>
      <c r="Q4358" s="32"/>
      <c r="R4358" s="32"/>
      <c r="S4358" s="32"/>
      <c r="T4358" s="32"/>
      <c r="U4358" s="32"/>
      <c r="V4358" s="32"/>
      <c r="W4358" s="32"/>
      <c r="X4358" s="32"/>
      <c r="Y4358" s="32"/>
      <c r="Z4358" s="32"/>
    </row>
    <row r="4359" spans="1:26" ht="14.25" customHeight="1">
      <c r="A4359" s="36">
        <v>2</v>
      </c>
      <c r="B4359" s="12" t="s">
        <v>33</v>
      </c>
      <c r="C4359" s="10" t="s">
        <v>1008</v>
      </c>
      <c r="D4359" s="12" t="s">
        <v>14</v>
      </c>
      <c r="E4359" s="12">
        <v>2</v>
      </c>
      <c r="F4359" s="43">
        <v>435000</v>
      </c>
      <c r="G4359" s="37">
        <f t="shared" si="277"/>
        <v>870000</v>
      </c>
      <c r="H4359" s="38"/>
      <c r="I4359" s="32"/>
      <c r="J4359" s="32"/>
      <c r="K4359" s="32"/>
      <c r="L4359" s="32"/>
      <c r="M4359" s="32"/>
      <c r="N4359" s="32"/>
      <c r="O4359" s="32"/>
      <c r="P4359" s="32"/>
      <c r="Q4359" s="32"/>
      <c r="R4359" s="32"/>
      <c r="S4359" s="32"/>
      <c r="T4359" s="32"/>
      <c r="U4359" s="32"/>
      <c r="V4359" s="32"/>
      <c r="W4359" s="32"/>
      <c r="X4359" s="32"/>
      <c r="Y4359" s="32"/>
      <c r="Z4359" s="32"/>
    </row>
    <row r="4360" spans="1:26" ht="14.25" customHeight="1">
      <c r="A4360" s="36">
        <v>4</v>
      </c>
      <c r="B4360" s="39" t="s">
        <v>17</v>
      </c>
      <c r="C4360" s="38"/>
      <c r="D4360" s="38"/>
      <c r="E4360" s="38"/>
      <c r="F4360" s="60"/>
      <c r="G4360" s="37">
        <f t="shared" si="277"/>
        <v>0</v>
      </c>
      <c r="H4360" s="38"/>
      <c r="I4360" s="32"/>
      <c r="J4360" s="32"/>
      <c r="K4360" s="32"/>
      <c r="L4360" s="32"/>
      <c r="M4360" s="32"/>
      <c r="N4360" s="32"/>
      <c r="O4360" s="32"/>
      <c r="P4360" s="32"/>
      <c r="Q4360" s="32"/>
      <c r="R4360" s="32"/>
      <c r="S4360" s="32"/>
      <c r="T4360" s="32"/>
      <c r="U4360" s="32"/>
      <c r="V4360" s="32"/>
      <c r="W4360" s="32"/>
      <c r="X4360" s="32"/>
      <c r="Y4360" s="32"/>
      <c r="Z4360" s="32"/>
    </row>
    <row r="4361" spans="1:26" ht="14.25" customHeight="1">
      <c r="A4361" s="83" t="s">
        <v>18</v>
      </c>
      <c r="B4361" s="81"/>
      <c r="C4361" s="81"/>
      <c r="D4361" s="81"/>
      <c r="E4361" s="81"/>
      <c r="F4361" s="81"/>
      <c r="G4361" s="82"/>
      <c r="H4361" s="41">
        <f>SUM(G4358:G4360)</f>
        <v>1309500</v>
      </c>
      <c r="I4361" s="32"/>
      <c r="J4361" s="32"/>
      <c r="K4361" s="32"/>
      <c r="L4361" s="32"/>
      <c r="M4361" s="32"/>
      <c r="N4361" s="32"/>
      <c r="O4361" s="32"/>
      <c r="P4361" s="32"/>
      <c r="Q4361" s="32"/>
      <c r="R4361" s="32"/>
      <c r="S4361" s="32"/>
      <c r="T4361" s="32"/>
      <c r="U4361" s="32"/>
      <c r="V4361" s="32"/>
      <c r="W4361" s="32"/>
      <c r="X4361" s="32"/>
      <c r="Y4361" s="32"/>
      <c r="Z4361" s="32"/>
    </row>
    <row r="4362" spans="1:26" ht="14.25" customHeight="1">
      <c r="A4362" s="83" t="s">
        <v>19</v>
      </c>
      <c r="B4362" s="81"/>
      <c r="C4362" s="81"/>
      <c r="D4362" s="81"/>
      <c r="E4362" s="81"/>
      <c r="F4362" s="81"/>
      <c r="G4362" s="82"/>
      <c r="H4362" s="41">
        <f>MAX(0,H4361-648000)</f>
        <v>661500</v>
      </c>
      <c r="I4362" s="32"/>
      <c r="J4362" s="32"/>
      <c r="K4362" s="32"/>
      <c r="L4362" s="32"/>
      <c r="M4362" s="32"/>
      <c r="N4362" s="32"/>
      <c r="O4362" s="32"/>
      <c r="P4362" s="32"/>
      <c r="Q4362" s="32"/>
      <c r="R4362" s="32"/>
      <c r="S4362" s="32"/>
      <c r="T4362" s="32"/>
      <c r="U4362" s="32"/>
      <c r="V4362" s="32"/>
      <c r="W4362" s="32"/>
      <c r="X4362" s="32"/>
      <c r="Y4362" s="32"/>
      <c r="Z4362" s="32"/>
    </row>
    <row r="4363" spans="1:26" ht="14.25" customHeight="1">
      <c r="A4363" s="84" t="s">
        <v>20</v>
      </c>
      <c r="B4363" s="81"/>
      <c r="C4363" s="81"/>
      <c r="D4363" s="81"/>
      <c r="E4363" s="81"/>
      <c r="F4363" s="81"/>
      <c r="G4363" s="82"/>
      <c r="H4363" s="42">
        <v>649000</v>
      </c>
      <c r="I4363" s="32"/>
      <c r="J4363" s="32"/>
      <c r="K4363" s="32"/>
      <c r="L4363" s="32"/>
      <c r="M4363" s="32"/>
      <c r="N4363" s="32"/>
      <c r="O4363" s="32"/>
      <c r="P4363" s="32"/>
      <c r="Q4363" s="32"/>
      <c r="R4363" s="32"/>
      <c r="S4363" s="32"/>
      <c r="T4363" s="32"/>
      <c r="U4363" s="32"/>
      <c r="V4363" s="32"/>
      <c r="W4363" s="32"/>
      <c r="X4363" s="32"/>
      <c r="Y4363" s="32"/>
      <c r="Z4363" s="32"/>
    </row>
    <row r="4364" spans="1:26" ht="14.25" customHeight="1">
      <c r="A4364" s="80"/>
      <c r="B4364" s="81"/>
      <c r="C4364" s="81"/>
      <c r="D4364" s="81"/>
      <c r="E4364" s="81"/>
      <c r="F4364" s="81"/>
      <c r="G4364" s="81"/>
      <c r="H4364" s="82"/>
      <c r="I4364" s="32"/>
      <c r="J4364" s="32"/>
      <c r="K4364" s="32"/>
      <c r="L4364" s="32"/>
      <c r="M4364" s="32"/>
      <c r="N4364" s="32"/>
      <c r="O4364" s="32"/>
      <c r="P4364" s="32"/>
      <c r="Q4364" s="32"/>
      <c r="R4364" s="32"/>
      <c r="S4364" s="32"/>
      <c r="T4364" s="32"/>
      <c r="U4364" s="32"/>
      <c r="V4364" s="32"/>
      <c r="W4364" s="32"/>
      <c r="X4364" s="32"/>
      <c r="Y4364" s="32"/>
      <c r="Z4364" s="32"/>
    </row>
    <row r="4365" spans="1:26" ht="14.25" customHeight="1"/>
    <row r="4366" spans="1:26" ht="14.25" customHeight="1"/>
    <row r="4367" spans="1:26" ht="14.25" customHeight="1"/>
    <row r="4368" spans="1:26" ht="14.25" customHeight="1"/>
    <row r="4369" spans="1:26" ht="14.25" customHeight="1"/>
    <row r="4370" spans="1:26" ht="14.25" customHeight="1">
      <c r="A4370" s="80" t="s">
        <v>0</v>
      </c>
      <c r="B4370" s="81"/>
      <c r="C4370" s="81"/>
      <c r="D4370" s="81"/>
      <c r="E4370" s="81"/>
      <c r="F4370" s="81"/>
      <c r="G4370" s="81"/>
      <c r="H4370" s="82"/>
      <c r="I4370" s="32"/>
      <c r="J4370" s="32"/>
      <c r="K4370" s="32"/>
      <c r="L4370" s="32"/>
      <c r="M4370" s="32"/>
      <c r="N4370" s="32"/>
      <c r="O4370" s="32"/>
      <c r="P4370" s="32"/>
      <c r="Q4370" s="32"/>
      <c r="R4370" s="32"/>
      <c r="S4370" s="32"/>
      <c r="T4370" s="32"/>
      <c r="U4370" s="32"/>
      <c r="V4370" s="32"/>
      <c r="W4370" s="32"/>
      <c r="X4370" s="32"/>
      <c r="Y4370" s="32"/>
      <c r="Z4370" s="32"/>
    </row>
    <row r="4371" spans="1:26" ht="14.25" customHeight="1">
      <c r="A4371" s="80" t="s">
        <v>1100</v>
      </c>
      <c r="B4371" s="81"/>
      <c r="C4371" s="81"/>
      <c r="D4371" s="81"/>
      <c r="E4371" s="81"/>
      <c r="F4371" s="81"/>
      <c r="G4371" s="81"/>
      <c r="H4371" s="82"/>
      <c r="I4371" s="32"/>
      <c r="J4371" s="32"/>
      <c r="K4371" s="32"/>
      <c r="L4371" s="32"/>
      <c r="M4371" s="32"/>
      <c r="N4371" s="32"/>
      <c r="O4371" s="32"/>
      <c r="P4371" s="32"/>
      <c r="Q4371" s="32"/>
      <c r="R4371" s="32"/>
      <c r="S4371" s="32"/>
      <c r="T4371" s="32"/>
      <c r="U4371" s="32"/>
      <c r="V4371" s="32"/>
      <c r="W4371" s="32"/>
      <c r="X4371" s="32"/>
      <c r="Y4371" s="32"/>
      <c r="Z4371" s="32"/>
    </row>
    <row r="4372" spans="1:26" ht="14.25" customHeight="1">
      <c r="A4372" s="33" t="s">
        <v>2</v>
      </c>
      <c r="B4372" s="33" t="s">
        <v>3</v>
      </c>
      <c r="C4372" s="33" t="s">
        <v>4</v>
      </c>
      <c r="D4372" s="33" t="s">
        <v>5</v>
      </c>
      <c r="E4372" s="33" t="s">
        <v>6</v>
      </c>
      <c r="F4372" s="34" t="s">
        <v>7</v>
      </c>
      <c r="G4372" s="33" t="s">
        <v>8</v>
      </c>
      <c r="H4372" s="35"/>
      <c r="I4372" s="32"/>
      <c r="J4372" s="32"/>
      <c r="K4372" s="32"/>
      <c r="L4372" s="32"/>
      <c r="M4372" s="32"/>
      <c r="N4372" s="32"/>
      <c r="O4372" s="32"/>
      <c r="P4372" s="32"/>
      <c r="Q4372" s="32"/>
      <c r="R4372" s="32"/>
      <c r="S4372" s="32"/>
      <c r="T4372" s="32"/>
      <c r="U4372" s="32"/>
      <c r="V4372" s="32"/>
      <c r="W4372" s="32"/>
      <c r="X4372" s="32"/>
      <c r="Y4372" s="32"/>
      <c r="Z4372" s="32"/>
    </row>
    <row r="4373" spans="1:26" ht="14.25" customHeight="1">
      <c r="A4373" s="36">
        <v>1</v>
      </c>
      <c r="B4373" s="18" t="s">
        <v>1802</v>
      </c>
      <c r="C4373" s="5" t="s">
        <v>1101</v>
      </c>
      <c r="D4373" s="18" t="s">
        <v>11</v>
      </c>
      <c r="E4373" s="18">
        <v>1.3</v>
      </c>
      <c r="F4373" s="6">
        <v>293000</v>
      </c>
      <c r="G4373" s="37">
        <f t="shared" ref="G4373:G4375" si="278">IFERROR(E4373*F4373,0)</f>
        <v>380900</v>
      </c>
      <c r="H4373" s="38"/>
      <c r="I4373" s="32"/>
      <c r="J4373" s="32"/>
      <c r="K4373" s="32"/>
      <c r="L4373" s="32"/>
      <c r="M4373" s="32"/>
      <c r="N4373" s="32"/>
      <c r="O4373" s="32"/>
      <c r="P4373" s="32"/>
      <c r="Q4373" s="32"/>
      <c r="R4373" s="32"/>
      <c r="S4373" s="32"/>
      <c r="T4373" s="32"/>
      <c r="U4373" s="32"/>
      <c r="V4373" s="32"/>
      <c r="W4373" s="32"/>
      <c r="X4373" s="32"/>
      <c r="Y4373" s="32"/>
      <c r="Z4373" s="32"/>
    </row>
    <row r="4374" spans="1:26" ht="14.25" customHeight="1">
      <c r="A4374" s="36">
        <v>2</v>
      </c>
      <c r="B4374" s="12" t="s">
        <v>515</v>
      </c>
      <c r="C4374" s="10">
        <v>7237</v>
      </c>
      <c r="D4374" s="12" t="s">
        <v>14</v>
      </c>
      <c r="E4374" s="12">
        <v>2.34</v>
      </c>
      <c r="F4374" s="43">
        <v>435000</v>
      </c>
      <c r="G4374" s="37">
        <f t="shared" si="278"/>
        <v>1017899.9999999999</v>
      </c>
      <c r="H4374" s="38"/>
      <c r="I4374" s="32"/>
      <c r="J4374" s="32"/>
      <c r="K4374" s="32"/>
      <c r="L4374" s="32"/>
      <c r="M4374" s="32"/>
      <c r="N4374" s="32"/>
      <c r="O4374" s="32"/>
      <c r="P4374" s="32"/>
      <c r="Q4374" s="32"/>
      <c r="R4374" s="32"/>
      <c r="S4374" s="32"/>
      <c r="T4374" s="32"/>
      <c r="U4374" s="32"/>
      <c r="V4374" s="32"/>
      <c r="W4374" s="32"/>
      <c r="X4374" s="32"/>
      <c r="Y4374" s="32"/>
      <c r="Z4374" s="32"/>
    </row>
    <row r="4375" spans="1:26" ht="14.25" customHeight="1">
      <c r="A4375" s="36">
        <v>4</v>
      </c>
      <c r="B4375" s="39" t="s">
        <v>17</v>
      </c>
      <c r="C4375" s="38"/>
      <c r="D4375" s="38"/>
      <c r="E4375" s="38"/>
      <c r="F4375" s="60"/>
      <c r="G4375" s="37">
        <f t="shared" si="278"/>
        <v>0</v>
      </c>
      <c r="H4375" s="38"/>
      <c r="I4375" s="32"/>
      <c r="J4375" s="32"/>
      <c r="K4375" s="32"/>
      <c r="L4375" s="32"/>
      <c r="M4375" s="32"/>
      <c r="N4375" s="32"/>
      <c r="O4375" s="32"/>
      <c r="P4375" s="32"/>
      <c r="Q4375" s="32"/>
      <c r="R4375" s="32"/>
      <c r="S4375" s="32"/>
      <c r="T4375" s="32"/>
      <c r="U4375" s="32"/>
      <c r="V4375" s="32"/>
      <c r="W4375" s="32"/>
      <c r="X4375" s="32"/>
      <c r="Y4375" s="32"/>
      <c r="Z4375" s="32"/>
    </row>
    <row r="4376" spans="1:26" ht="14.25" customHeight="1">
      <c r="A4376" s="83" t="s">
        <v>18</v>
      </c>
      <c r="B4376" s="81"/>
      <c r="C4376" s="81"/>
      <c r="D4376" s="81"/>
      <c r="E4376" s="81"/>
      <c r="F4376" s="81"/>
      <c r="G4376" s="82"/>
      <c r="H4376" s="41">
        <f>SUM(G4373:G4375)</f>
        <v>1398800</v>
      </c>
      <c r="I4376" s="32"/>
      <c r="J4376" s="32"/>
      <c r="K4376" s="32"/>
      <c r="L4376" s="32"/>
      <c r="M4376" s="32"/>
      <c r="N4376" s="32"/>
      <c r="O4376" s="32"/>
      <c r="P4376" s="32"/>
      <c r="Q4376" s="32"/>
      <c r="R4376" s="32"/>
      <c r="S4376" s="32"/>
      <c r="T4376" s="32"/>
      <c r="U4376" s="32"/>
      <c r="V4376" s="32"/>
      <c r="W4376" s="32"/>
      <c r="X4376" s="32"/>
      <c r="Y4376" s="32"/>
      <c r="Z4376" s="32"/>
    </row>
    <row r="4377" spans="1:26" ht="14.25" customHeight="1">
      <c r="A4377" s="83" t="s">
        <v>19</v>
      </c>
      <c r="B4377" s="81"/>
      <c r="C4377" s="81"/>
      <c r="D4377" s="81"/>
      <c r="E4377" s="81"/>
      <c r="F4377" s="81"/>
      <c r="G4377" s="82"/>
      <c r="H4377" s="41">
        <f>MAX(0,H4376-648000)</f>
        <v>750800</v>
      </c>
      <c r="I4377" s="32"/>
      <c r="J4377" s="32"/>
      <c r="K4377" s="32"/>
      <c r="L4377" s="32"/>
      <c r="M4377" s="32"/>
      <c r="N4377" s="32"/>
      <c r="O4377" s="32"/>
      <c r="P4377" s="32"/>
      <c r="Q4377" s="32"/>
      <c r="R4377" s="32"/>
      <c r="S4377" s="32"/>
      <c r="T4377" s="32"/>
      <c r="U4377" s="32"/>
      <c r="V4377" s="32"/>
      <c r="W4377" s="32"/>
      <c r="X4377" s="32"/>
      <c r="Y4377" s="32"/>
      <c r="Z4377" s="32"/>
    </row>
    <row r="4378" spans="1:26" ht="14.25" customHeight="1">
      <c r="A4378" s="84" t="s">
        <v>20</v>
      </c>
      <c r="B4378" s="81"/>
      <c r="C4378" s="81"/>
      <c r="D4378" s="81"/>
      <c r="E4378" s="81"/>
      <c r="F4378" s="81"/>
      <c r="G4378" s="82"/>
      <c r="H4378" s="42">
        <v>649000</v>
      </c>
      <c r="I4378" s="32"/>
      <c r="J4378" s="32"/>
      <c r="K4378" s="32"/>
      <c r="L4378" s="32"/>
      <c r="M4378" s="32"/>
      <c r="N4378" s="32"/>
      <c r="O4378" s="32"/>
      <c r="P4378" s="32"/>
      <c r="Q4378" s="32"/>
      <c r="R4378" s="32"/>
      <c r="S4378" s="32"/>
      <c r="T4378" s="32"/>
      <c r="U4378" s="32"/>
      <c r="V4378" s="32"/>
      <c r="W4378" s="32"/>
      <c r="X4378" s="32"/>
      <c r="Y4378" s="32"/>
      <c r="Z4378" s="32"/>
    </row>
    <row r="4379" spans="1:26" ht="14.25" customHeight="1">
      <c r="A4379" s="80"/>
      <c r="B4379" s="81"/>
      <c r="C4379" s="81"/>
      <c r="D4379" s="81"/>
      <c r="E4379" s="81"/>
      <c r="F4379" s="81"/>
      <c r="G4379" s="81"/>
      <c r="H4379" s="82"/>
      <c r="I4379" s="32"/>
      <c r="J4379" s="32"/>
      <c r="K4379" s="32"/>
      <c r="L4379" s="32"/>
      <c r="M4379" s="32"/>
      <c r="N4379" s="32"/>
      <c r="O4379" s="32"/>
      <c r="P4379" s="32"/>
      <c r="Q4379" s="32"/>
      <c r="R4379" s="32"/>
      <c r="S4379" s="32"/>
      <c r="T4379" s="32"/>
      <c r="U4379" s="32"/>
      <c r="V4379" s="32"/>
      <c r="W4379" s="32"/>
      <c r="X4379" s="32"/>
      <c r="Y4379" s="32"/>
      <c r="Z4379" s="32"/>
    </row>
    <row r="4380" spans="1:26" ht="14.25" customHeight="1"/>
    <row r="4381" spans="1:26" ht="14.25" customHeight="1"/>
    <row r="4382" spans="1:26" ht="14.25" customHeight="1"/>
    <row r="4383" spans="1:26" ht="14.25" customHeight="1"/>
    <row r="4384" spans="1:26" ht="14.25" customHeight="1"/>
    <row r="4385" spans="1:26" ht="14.25" customHeight="1">
      <c r="A4385" s="80" t="s">
        <v>0</v>
      </c>
      <c r="B4385" s="81"/>
      <c r="C4385" s="81"/>
      <c r="D4385" s="81"/>
      <c r="E4385" s="81"/>
      <c r="F4385" s="81"/>
      <c r="G4385" s="81"/>
      <c r="H4385" s="82"/>
      <c r="I4385" s="32"/>
      <c r="J4385" s="32"/>
      <c r="K4385" s="32"/>
      <c r="L4385" s="32"/>
      <c r="M4385" s="32"/>
      <c r="N4385" s="32"/>
      <c r="O4385" s="32"/>
      <c r="P4385" s="32"/>
      <c r="Q4385" s="32"/>
      <c r="R4385" s="32"/>
      <c r="S4385" s="32"/>
      <c r="T4385" s="32"/>
      <c r="U4385" s="32"/>
      <c r="V4385" s="32"/>
      <c r="W4385" s="32"/>
      <c r="X4385" s="32"/>
      <c r="Y4385" s="32"/>
      <c r="Z4385" s="32"/>
    </row>
    <row r="4386" spans="1:26" ht="14.25" customHeight="1">
      <c r="A4386" s="80" t="s">
        <v>1102</v>
      </c>
      <c r="B4386" s="81"/>
      <c r="C4386" s="81"/>
      <c r="D4386" s="81"/>
      <c r="E4386" s="81"/>
      <c r="F4386" s="81"/>
      <c r="G4386" s="81"/>
      <c r="H4386" s="82"/>
      <c r="I4386" s="32"/>
      <c r="J4386" s="32"/>
      <c r="K4386" s="32"/>
      <c r="L4386" s="32"/>
      <c r="M4386" s="32"/>
      <c r="N4386" s="32"/>
      <c r="O4386" s="32"/>
      <c r="P4386" s="32"/>
      <c r="Q4386" s="32"/>
      <c r="R4386" s="32"/>
      <c r="S4386" s="32"/>
      <c r="T4386" s="32"/>
      <c r="U4386" s="32"/>
      <c r="V4386" s="32"/>
      <c r="W4386" s="32"/>
      <c r="X4386" s="32"/>
      <c r="Y4386" s="32"/>
      <c r="Z4386" s="32"/>
    </row>
    <row r="4387" spans="1:26" ht="14.25" customHeight="1">
      <c r="A4387" s="33" t="s">
        <v>2</v>
      </c>
      <c r="B4387" s="33" t="s">
        <v>3</v>
      </c>
      <c r="C4387" s="33" t="s">
        <v>4</v>
      </c>
      <c r="D4387" s="33" t="s">
        <v>5</v>
      </c>
      <c r="E4387" s="33" t="s">
        <v>6</v>
      </c>
      <c r="F4387" s="34" t="s">
        <v>7</v>
      </c>
      <c r="G4387" s="33" t="s">
        <v>8</v>
      </c>
      <c r="H4387" s="35"/>
      <c r="I4387" s="32"/>
      <c r="J4387" s="32"/>
      <c r="K4387" s="32"/>
      <c r="L4387" s="32"/>
      <c r="M4387" s="32"/>
      <c r="N4387" s="32"/>
      <c r="O4387" s="32"/>
      <c r="P4387" s="32"/>
      <c r="Q4387" s="32"/>
      <c r="R4387" s="32"/>
      <c r="S4387" s="32"/>
      <c r="T4387" s="32"/>
      <c r="U4387" s="32"/>
      <c r="V4387" s="32"/>
      <c r="W4387" s="32"/>
      <c r="X4387" s="32"/>
      <c r="Y4387" s="32"/>
      <c r="Z4387" s="32"/>
    </row>
    <row r="4388" spans="1:26" ht="14.25" customHeight="1">
      <c r="A4388" s="36">
        <v>1</v>
      </c>
      <c r="B4388" s="18" t="s">
        <v>1103</v>
      </c>
      <c r="C4388" s="5" t="s">
        <v>1104</v>
      </c>
      <c r="D4388" s="18" t="s">
        <v>11</v>
      </c>
      <c r="E4388" s="18">
        <v>1.54</v>
      </c>
      <c r="F4388" s="6">
        <v>293000</v>
      </c>
      <c r="G4388" s="37">
        <f t="shared" ref="G4388:G4390" si="279">IFERROR(E4388*F4388,0)</f>
        <v>451220</v>
      </c>
      <c r="H4388" s="38"/>
      <c r="I4388" s="32"/>
      <c r="J4388" s="32"/>
      <c r="K4388" s="32"/>
      <c r="L4388" s="32"/>
      <c r="M4388" s="32"/>
      <c r="N4388" s="32"/>
      <c r="O4388" s="32"/>
      <c r="P4388" s="32"/>
      <c r="Q4388" s="32"/>
      <c r="R4388" s="32"/>
      <c r="S4388" s="32"/>
      <c r="T4388" s="32"/>
      <c r="U4388" s="32"/>
      <c r="V4388" s="32"/>
      <c r="W4388" s="32"/>
      <c r="X4388" s="32"/>
      <c r="Y4388" s="32"/>
      <c r="Z4388" s="32"/>
    </row>
    <row r="4389" spans="1:26" ht="14.25" customHeight="1">
      <c r="A4389" s="36">
        <v>2</v>
      </c>
      <c r="B4389" s="12" t="s">
        <v>12</v>
      </c>
      <c r="C4389" s="10" t="s">
        <v>1105</v>
      </c>
      <c r="D4389" s="12" t="s">
        <v>14</v>
      </c>
      <c r="E4389" s="12">
        <v>2</v>
      </c>
      <c r="F4389" s="43">
        <v>435000</v>
      </c>
      <c r="G4389" s="37">
        <f t="shared" si="279"/>
        <v>870000</v>
      </c>
      <c r="H4389" s="38"/>
      <c r="I4389" s="32"/>
      <c r="J4389" s="32"/>
      <c r="K4389" s="32"/>
      <c r="L4389" s="32"/>
      <c r="M4389" s="32"/>
      <c r="N4389" s="32"/>
      <c r="O4389" s="32"/>
      <c r="P4389" s="32"/>
      <c r="Q4389" s="32"/>
      <c r="R4389" s="32"/>
      <c r="S4389" s="32"/>
      <c r="T4389" s="32"/>
      <c r="U4389" s="32"/>
      <c r="V4389" s="32"/>
      <c r="W4389" s="32"/>
      <c r="X4389" s="32"/>
      <c r="Y4389" s="32"/>
      <c r="Z4389" s="32"/>
    </row>
    <row r="4390" spans="1:26" ht="14.25" customHeight="1">
      <c r="A4390" s="36">
        <v>4</v>
      </c>
      <c r="B4390" s="39" t="s">
        <v>17</v>
      </c>
      <c r="C4390" s="38"/>
      <c r="D4390" s="38"/>
      <c r="E4390" s="38"/>
      <c r="F4390" s="60"/>
      <c r="G4390" s="37">
        <f t="shared" si="279"/>
        <v>0</v>
      </c>
      <c r="H4390" s="38"/>
      <c r="I4390" s="32"/>
      <c r="J4390" s="32"/>
      <c r="K4390" s="32"/>
      <c r="L4390" s="32"/>
      <c r="M4390" s="32"/>
      <c r="N4390" s="32"/>
      <c r="O4390" s="32"/>
      <c r="P4390" s="32"/>
      <c r="Q4390" s="32"/>
      <c r="R4390" s="32"/>
      <c r="S4390" s="32"/>
      <c r="T4390" s="32"/>
      <c r="U4390" s="32"/>
      <c r="V4390" s="32"/>
      <c r="W4390" s="32"/>
      <c r="X4390" s="32"/>
      <c r="Y4390" s="32"/>
      <c r="Z4390" s="32"/>
    </row>
    <row r="4391" spans="1:26" ht="14.25" customHeight="1">
      <c r="A4391" s="83" t="s">
        <v>18</v>
      </c>
      <c r="B4391" s="81"/>
      <c r="C4391" s="81"/>
      <c r="D4391" s="81"/>
      <c r="E4391" s="81"/>
      <c r="F4391" s="81"/>
      <c r="G4391" s="82"/>
      <c r="H4391" s="41">
        <f>SUM(G4388:G4390)</f>
        <v>1321220</v>
      </c>
      <c r="I4391" s="32"/>
      <c r="J4391" s="32"/>
      <c r="K4391" s="32"/>
      <c r="L4391" s="32"/>
      <c r="M4391" s="32"/>
      <c r="N4391" s="32"/>
      <c r="O4391" s="32"/>
      <c r="P4391" s="32"/>
      <c r="Q4391" s="32"/>
      <c r="R4391" s="32"/>
      <c r="S4391" s="32"/>
      <c r="T4391" s="32"/>
      <c r="U4391" s="32"/>
      <c r="V4391" s="32"/>
      <c r="W4391" s="32"/>
      <c r="X4391" s="32"/>
      <c r="Y4391" s="32"/>
      <c r="Z4391" s="32"/>
    </row>
    <row r="4392" spans="1:26" ht="14.25" customHeight="1">
      <c r="A4392" s="83" t="s">
        <v>19</v>
      </c>
      <c r="B4392" s="81"/>
      <c r="C4392" s="81"/>
      <c r="D4392" s="81"/>
      <c r="E4392" s="81"/>
      <c r="F4392" s="81"/>
      <c r="G4392" s="82"/>
      <c r="H4392" s="41">
        <f>MAX(0,H4391-648000)</f>
        <v>673220</v>
      </c>
      <c r="I4392" s="32"/>
      <c r="J4392" s="32"/>
      <c r="K4392" s="32"/>
      <c r="L4392" s="32"/>
      <c r="M4392" s="32"/>
      <c r="N4392" s="32"/>
      <c r="O4392" s="32"/>
      <c r="P4392" s="32"/>
      <c r="Q4392" s="32"/>
      <c r="R4392" s="32"/>
      <c r="S4392" s="32"/>
      <c r="T4392" s="32"/>
      <c r="U4392" s="32"/>
      <c r="V4392" s="32"/>
      <c r="W4392" s="32"/>
      <c r="X4392" s="32"/>
      <c r="Y4392" s="32"/>
      <c r="Z4392" s="32"/>
    </row>
    <row r="4393" spans="1:26" ht="14.25" customHeight="1">
      <c r="A4393" s="84" t="s">
        <v>20</v>
      </c>
      <c r="B4393" s="81"/>
      <c r="C4393" s="81"/>
      <c r="D4393" s="81"/>
      <c r="E4393" s="81"/>
      <c r="F4393" s="81"/>
      <c r="G4393" s="82"/>
      <c r="H4393" s="42">
        <v>649000</v>
      </c>
      <c r="I4393" s="32"/>
      <c r="J4393" s="32"/>
      <c r="K4393" s="32"/>
      <c r="L4393" s="32"/>
      <c r="M4393" s="32"/>
      <c r="N4393" s="32"/>
      <c r="O4393" s="32"/>
      <c r="P4393" s="32"/>
      <c r="Q4393" s="32"/>
      <c r="R4393" s="32"/>
      <c r="S4393" s="32"/>
      <c r="T4393" s="32"/>
      <c r="U4393" s="32"/>
      <c r="V4393" s="32"/>
      <c r="W4393" s="32"/>
      <c r="X4393" s="32"/>
      <c r="Y4393" s="32"/>
      <c r="Z4393" s="32"/>
    </row>
    <row r="4394" spans="1:26" ht="14.25" customHeight="1">
      <c r="A4394" s="80"/>
      <c r="B4394" s="81"/>
      <c r="C4394" s="81"/>
      <c r="D4394" s="81"/>
      <c r="E4394" s="81"/>
      <c r="F4394" s="81"/>
      <c r="G4394" s="81"/>
      <c r="H4394" s="82"/>
      <c r="I4394" s="32"/>
      <c r="J4394" s="32"/>
      <c r="K4394" s="32"/>
      <c r="L4394" s="32"/>
      <c r="M4394" s="32"/>
      <c r="N4394" s="32"/>
      <c r="O4394" s="32"/>
      <c r="P4394" s="32"/>
      <c r="Q4394" s="32"/>
      <c r="R4394" s="32"/>
      <c r="S4394" s="32"/>
      <c r="T4394" s="32"/>
      <c r="U4394" s="32"/>
      <c r="V4394" s="32"/>
      <c r="W4394" s="32"/>
      <c r="X4394" s="32"/>
      <c r="Y4394" s="32"/>
      <c r="Z4394" s="32"/>
    </row>
    <row r="4395" spans="1:26" ht="14.25" customHeight="1"/>
    <row r="4396" spans="1:26" ht="14.25" customHeight="1"/>
    <row r="4397" spans="1:26" ht="14.25" customHeight="1"/>
    <row r="4398" spans="1:26" ht="14.25" customHeight="1"/>
    <row r="4399" spans="1:26" ht="14.25" customHeight="1">
      <c r="A4399" s="80" t="s">
        <v>0</v>
      </c>
      <c r="B4399" s="81"/>
      <c r="C4399" s="81"/>
      <c r="D4399" s="81"/>
      <c r="E4399" s="81"/>
      <c r="F4399" s="81"/>
      <c r="G4399" s="81"/>
      <c r="H4399" s="82"/>
      <c r="I4399" s="32"/>
      <c r="J4399" s="32"/>
      <c r="K4399" s="32"/>
      <c r="L4399" s="32"/>
      <c r="M4399" s="32"/>
      <c r="N4399" s="32"/>
      <c r="O4399" s="32"/>
      <c r="P4399" s="32"/>
      <c r="Q4399" s="32"/>
      <c r="R4399" s="32"/>
      <c r="S4399" s="32"/>
      <c r="T4399" s="32"/>
      <c r="U4399" s="32"/>
      <c r="V4399" s="32"/>
      <c r="W4399" s="32"/>
      <c r="X4399" s="32"/>
      <c r="Y4399" s="32"/>
      <c r="Z4399" s="32"/>
    </row>
    <row r="4400" spans="1:26" ht="14.25" customHeight="1">
      <c r="A4400" s="80" t="s">
        <v>1106</v>
      </c>
      <c r="B4400" s="81"/>
      <c r="C4400" s="81"/>
      <c r="D4400" s="81"/>
      <c r="E4400" s="81"/>
      <c r="F4400" s="81"/>
      <c r="G4400" s="81"/>
      <c r="H4400" s="82"/>
      <c r="I4400" s="32"/>
      <c r="J4400" s="32"/>
      <c r="K4400" s="32"/>
      <c r="L4400" s="32"/>
      <c r="M4400" s="32"/>
      <c r="N4400" s="32"/>
      <c r="O4400" s="32"/>
      <c r="P4400" s="32"/>
      <c r="Q4400" s="32"/>
      <c r="R4400" s="32"/>
      <c r="S4400" s="32"/>
      <c r="T4400" s="32"/>
      <c r="U4400" s="32"/>
      <c r="V4400" s="32"/>
      <c r="W4400" s="32"/>
      <c r="X4400" s="32"/>
      <c r="Y4400" s="32"/>
      <c r="Z4400" s="32"/>
    </row>
    <row r="4401" spans="1:26" ht="14.25" customHeight="1">
      <c r="A4401" s="33" t="s">
        <v>2</v>
      </c>
      <c r="B4401" s="33" t="s">
        <v>3</v>
      </c>
      <c r="C4401" s="33" t="s">
        <v>4</v>
      </c>
      <c r="D4401" s="33" t="s">
        <v>5</v>
      </c>
      <c r="E4401" s="33" t="s">
        <v>6</v>
      </c>
      <c r="F4401" s="34" t="s">
        <v>7</v>
      </c>
      <c r="G4401" s="33" t="s">
        <v>8</v>
      </c>
      <c r="H4401" s="35"/>
      <c r="I4401" s="32"/>
      <c r="J4401" s="32"/>
      <c r="K4401" s="32"/>
      <c r="L4401" s="32"/>
      <c r="M4401" s="32"/>
      <c r="N4401" s="32"/>
      <c r="O4401" s="32"/>
      <c r="P4401" s="32"/>
      <c r="Q4401" s="32"/>
      <c r="R4401" s="32"/>
      <c r="S4401" s="32"/>
      <c r="T4401" s="32"/>
      <c r="U4401" s="32"/>
      <c r="V4401" s="32"/>
      <c r="W4401" s="32"/>
      <c r="X4401" s="32"/>
      <c r="Y4401" s="32"/>
      <c r="Z4401" s="32"/>
    </row>
    <row r="4402" spans="1:26" ht="14.25" customHeight="1">
      <c r="A4402" s="36">
        <v>1</v>
      </c>
      <c r="B4402" s="18" t="s">
        <v>33</v>
      </c>
      <c r="C4402" s="5" t="s">
        <v>1107</v>
      </c>
      <c r="D4402" s="18" t="s">
        <v>11</v>
      </c>
      <c r="E4402" s="18">
        <v>1.45</v>
      </c>
      <c r="F4402" s="6">
        <v>293000</v>
      </c>
      <c r="G4402" s="37">
        <f t="shared" ref="G4402:G4404" si="280">IFERROR(E4402*F4402,0)</f>
        <v>424850</v>
      </c>
      <c r="H4402" s="38"/>
      <c r="I4402" s="32"/>
      <c r="J4402" s="32"/>
      <c r="K4402" s="32"/>
      <c r="L4402" s="32"/>
      <c r="M4402" s="32"/>
      <c r="N4402" s="32"/>
      <c r="O4402" s="32"/>
      <c r="P4402" s="32"/>
      <c r="Q4402" s="32"/>
      <c r="R4402" s="32"/>
      <c r="S4402" s="32"/>
      <c r="T4402" s="32"/>
      <c r="U4402" s="32"/>
      <c r="V4402" s="32"/>
      <c r="W4402" s="32"/>
      <c r="X4402" s="32"/>
      <c r="Y4402" s="32"/>
      <c r="Z4402" s="32"/>
    </row>
    <row r="4403" spans="1:26" ht="14.25" customHeight="1">
      <c r="A4403" s="36">
        <v>2</v>
      </c>
      <c r="B4403" s="12" t="s">
        <v>12</v>
      </c>
      <c r="C4403" s="10" t="s">
        <v>1105</v>
      </c>
      <c r="D4403" s="12" t="s">
        <v>14</v>
      </c>
      <c r="E4403" s="12">
        <v>2</v>
      </c>
      <c r="F4403" s="43">
        <v>435000</v>
      </c>
      <c r="G4403" s="37">
        <f t="shared" si="280"/>
        <v>870000</v>
      </c>
      <c r="H4403" s="38"/>
      <c r="I4403" s="32"/>
      <c r="J4403" s="32"/>
      <c r="K4403" s="32"/>
      <c r="L4403" s="32"/>
      <c r="M4403" s="32"/>
      <c r="N4403" s="32"/>
      <c r="O4403" s="32"/>
      <c r="P4403" s="32"/>
      <c r="Q4403" s="32"/>
      <c r="R4403" s="32"/>
      <c r="S4403" s="32"/>
      <c r="T4403" s="32"/>
      <c r="U4403" s="32"/>
      <c r="V4403" s="32"/>
      <c r="W4403" s="32"/>
      <c r="X4403" s="32"/>
      <c r="Y4403" s="32"/>
      <c r="Z4403" s="32"/>
    </row>
    <row r="4404" spans="1:26" ht="14.25" customHeight="1">
      <c r="A4404" s="36">
        <v>4</v>
      </c>
      <c r="B4404" s="39" t="s">
        <v>17</v>
      </c>
      <c r="C4404" s="38"/>
      <c r="D4404" s="38"/>
      <c r="E4404" s="38"/>
      <c r="F4404" s="60"/>
      <c r="G4404" s="37">
        <f t="shared" si="280"/>
        <v>0</v>
      </c>
      <c r="H4404" s="38"/>
      <c r="I4404" s="32"/>
      <c r="J4404" s="32"/>
      <c r="K4404" s="32"/>
      <c r="L4404" s="32"/>
      <c r="M4404" s="32"/>
      <c r="N4404" s="32"/>
      <c r="O4404" s="32"/>
      <c r="P4404" s="32"/>
      <c r="Q4404" s="32"/>
      <c r="R4404" s="32"/>
      <c r="S4404" s="32"/>
      <c r="T4404" s="32"/>
      <c r="U4404" s="32"/>
      <c r="V4404" s="32"/>
      <c r="W4404" s="32"/>
      <c r="X4404" s="32"/>
      <c r="Y4404" s="32"/>
      <c r="Z4404" s="32"/>
    </row>
    <row r="4405" spans="1:26" ht="14.25" customHeight="1">
      <c r="A4405" s="83" t="s">
        <v>18</v>
      </c>
      <c r="B4405" s="81"/>
      <c r="C4405" s="81"/>
      <c r="D4405" s="81"/>
      <c r="E4405" s="81"/>
      <c r="F4405" s="81"/>
      <c r="G4405" s="82"/>
      <c r="H4405" s="41">
        <f>SUM(G4402:G4404)</f>
        <v>1294850</v>
      </c>
      <c r="I4405" s="32"/>
      <c r="J4405" s="32"/>
      <c r="K4405" s="32"/>
      <c r="L4405" s="32"/>
      <c r="M4405" s="32"/>
      <c r="N4405" s="32"/>
      <c r="O4405" s="32"/>
      <c r="P4405" s="32"/>
      <c r="Q4405" s="32"/>
      <c r="R4405" s="32"/>
      <c r="S4405" s="32"/>
      <c r="T4405" s="32"/>
      <c r="U4405" s="32"/>
      <c r="V4405" s="32"/>
      <c r="W4405" s="32"/>
      <c r="X4405" s="32"/>
      <c r="Y4405" s="32"/>
      <c r="Z4405" s="32"/>
    </row>
    <row r="4406" spans="1:26" ht="14.25" customHeight="1">
      <c r="A4406" s="83" t="s">
        <v>19</v>
      </c>
      <c r="B4406" s="81"/>
      <c r="C4406" s="81"/>
      <c r="D4406" s="81"/>
      <c r="E4406" s="81"/>
      <c r="F4406" s="81"/>
      <c r="G4406" s="82"/>
      <c r="H4406" s="41">
        <f>MAX(0,H4405-648000)</f>
        <v>646850</v>
      </c>
      <c r="I4406" s="32"/>
      <c r="J4406" s="32"/>
      <c r="K4406" s="32"/>
      <c r="L4406" s="32"/>
      <c r="M4406" s="32"/>
      <c r="N4406" s="32"/>
      <c r="O4406" s="32"/>
      <c r="P4406" s="32"/>
      <c r="Q4406" s="32"/>
      <c r="R4406" s="32"/>
      <c r="S4406" s="32"/>
      <c r="T4406" s="32"/>
      <c r="U4406" s="32"/>
      <c r="V4406" s="32"/>
      <c r="W4406" s="32"/>
      <c r="X4406" s="32"/>
      <c r="Y4406" s="32"/>
      <c r="Z4406" s="32"/>
    </row>
    <row r="4407" spans="1:26" ht="14.25" customHeight="1">
      <c r="A4407" s="84" t="s">
        <v>20</v>
      </c>
      <c r="B4407" s="81"/>
      <c r="C4407" s="81"/>
      <c r="D4407" s="81"/>
      <c r="E4407" s="81"/>
      <c r="F4407" s="81"/>
      <c r="G4407" s="82"/>
      <c r="H4407" s="42">
        <v>649000</v>
      </c>
      <c r="I4407" s="32"/>
      <c r="J4407" s="32"/>
      <c r="K4407" s="32"/>
      <c r="L4407" s="32"/>
      <c r="M4407" s="32"/>
      <c r="N4407" s="32"/>
      <c r="O4407" s="32"/>
      <c r="P4407" s="32"/>
      <c r="Q4407" s="32"/>
      <c r="R4407" s="32"/>
      <c r="S4407" s="32"/>
      <c r="T4407" s="32"/>
      <c r="U4407" s="32"/>
      <c r="V4407" s="32"/>
      <c r="W4407" s="32"/>
      <c r="X4407" s="32"/>
      <c r="Y4407" s="32"/>
      <c r="Z4407" s="32"/>
    </row>
    <row r="4408" spans="1:26" ht="14.25" customHeight="1">
      <c r="A4408" s="80"/>
      <c r="B4408" s="81"/>
      <c r="C4408" s="81"/>
      <c r="D4408" s="81"/>
      <c r="E4408" s="81"/>
      <c r="F4408" s="81"/>
      <c r="G4408" s="81"/>
      <c r="H4408" s="82"/>
      <c r="I4408" s="32"/>
      <c r="J4408" s="32"/>
      <c r="K4408" s="32"/>
      <c r="L4408" s="32"/>
      <c r="M4408" s="32"/>
      <c r="N4408" s="32"/>
      <c r="O4408" s="32"/>
      <c r="P4408" s="32"/>
      <c r="Q4408" s="32"/>
      <c r="R4408" s="32"/>
      <c r="S4408" s="32"/>
      <c r="T4408" s="32"/>
      <c r="U4408" s="32"/>
      <c r="V4408" s="32"/>
      <c r="W4408" s="32"/>
      <c r="X4408" s="32"/>
      <c r="Y4408" s="32"/>
      <c r="Z4408" s="32"/>
    </row>
    <row r="4409" spans="1:26" ht="14.25" customHeight="1"/>
    <row r="4410" spans="1:26" ht="14.25" customHeight="1"/>
    <row r="4411" spans="1:26" ht="14.25" customHeight="1"/>
    <row r="4412" spans="1:26" ht="14.25" customHeight="1"/>
    <row r="4413" spans="1:26" ht="14.25" customHeight="1"/>
    <row r="4414" spans="1:26" ht="14.25" customHeight="1">
      <c r="A4414" s="80" t="s">
        <v>0</v>
      </c>
      <c r="B4414" s="81"/>
      <c r="C4414" s="81"/>
      <c r="D4414" s="81"/>
      <c r="E4414" s="81"/>
      <c r="F4414" s="81"/>
      <c r="G4414" s="81"/>
      <c r="H4414" s="82"/>
      <c r="I4414" s="32"/>
      <c r="J4414" s="32"/>
      <c r="K4414" s="32"/>
      <c r="L4414" s="32"/>
      <c r="M4414" s="32"/>
      <c r="N4414" s="32"/>
      <c r="O4414" s="32"/>
      <c r="P4414" s="32"/>
      <c r="Q4414" s="32"/>
      <c r="R4414" s="32"/>
      <c r="S4414" s="32"/>
      <c r="T4414" s="32"/>
      <c r="U4414" s="32"/>
      <c r="V4414" s="32"/>
      <c r="W4414" s="32"/>
      <c r="X4414" s="32"/>
      <c r="Y4414" s="32"/>
      <c r="Z4414" s="32"/>
    </row>
    <row r="4415" spans="1:26" ht="14.25" customHeight="1">
      <c r="A4415" s="80" t="s">
        <v>1108</v>
      </c>
      <c r="B4415" s="81"/>
      <c r="C4415" s="81"/>
      <c r="D4415" s="81"/>
      <c r="E4415" s="81"/>
      <c r="F4415" s="81"/>
      <c r="G4415" s="81"/>
      <c r="H4415" s="82"/>
      <c r="I4415" s="32"/>
      <c r="J4415" s="32"/>
      <c r="K4415" s="32"/>
      <c r="L4415" s="32"/>
      <c r="M4415" s="32"/>
      <c r="N4415" s="32"/>
      <c r="O4415" s="32"/>
      <c r="P4415" s="32"/>
      <c r="Q4415" s="32"/>
      <c r="R4415" s="32"/>
      <c r="S4415" s="32"/>
      <c r="T4415" s="32"/>
      <c r="U4415" s="32"/>
      <c r="V4415" s="32"/>
      <c r="W4415" s="32"/>
      <c r="X4415" s="32"/>
      <c r="Y4415" s="32"/>
      <c r="Z4415" s="32"/>
    </row>
    <row r="4416" spans="1:26" ht="14.25" customHeight="1">
      <c r="A4416" s="33" t="s">
        <v>2</v>
      </c>
      <c r="B4416" s="33" t="s">
        <v>3</v>
      </c>
      <c r="C4416" s="33" t="s">
        <v>4</v>
      </c>
      <c r="D4416" s="33" t="s">
        <v>5</v>
      </c>
      <c r="E4416" s="33" t="s">
        <v>6</v>
      </c>
      <c r="F4416" s="34" t="s">
        <v>7</v>
      </c>
      <c r="G4416" s="33" t="s">
        <v>8</v>
      </c>
      <c r="H4416" s="35"/>
      <c r="I4416" s="32"/>
      <c r="J4416" s="32"/>
      <c r="K4416" s="32"/>
      <c r="L4416" s="32"/>
      <c r="M4416" s="32"/>
      <c r="N4416" s="32"/>
      <c r="O4416" s="32"/>
      <c r="P4416" s="32"/>
      <c r="Q4416" s="32"/>
      <c r="R4416" s="32"/>
      <c r="S4416" s="32"/>
      <c r="T4416" s="32"/>
      <c r="U4416" s="32"/>
      <c r="V4416" s="32"/>
      <c r="W4416" s="32"/>
      <c r="X4416" s="32"/>
      <c r="Y4416" s="32"/>
      <c r="Z4416" s="32"/>
    </row>
    <row r="4417" spans="1:26" ht="14.25" customHeight="1">
      <c r="A4417" s="36">
        <v>1</v>
      </c>
      <c r="B4417" s="18" t="s">
        <v>1109</v>
      </c>
      <c r="C4417" s="5" t="s">
        <v>1110</v>
      </c>
      <c r="D4417" s="18" t="s">
        <v>11</v>
      </c>
      <c r="E4417" s="18">
        <v>1.79</v>
      </c>
      <c r="F4417" s="6">
        <v>293000</v>
      </c>
      <c r="G4417" s="37">
        <f t="shared" ref="G4417:G4419" si="281">IFERROR(E4417*F4417,0)</f>
        <v>524470</v>
      </c>
      <c r="H4417" s="38"/>
      <c r="I4417" s="32"/>
      <c r="J4417" s="32"/>
      <c r="K4417" s="32"/>
      <c r="L4417" s="32"/>
      <c r="M4417" s="32"/>
      <c r="N4417" s="32"/>
      <c r="O4417" s="32"/>
      <c r="P4417" s="32"/>
      <c r="Q4417" s="32"/>
      <c r="R4417" s="32"/>
      <c r="S4417" s="32"/>
      <c r="T4417" s="32"/>
      <c r="U4417" s="32"/>
      <c r="V4417" s="32"/>
      <c r="W4417" s="32"/>
      <c r="X4417" s="32"/>
      <c r="Y4417" s="32"/>
      <c r="Z4417" s="32"/>
    </row>
    <row r="4418" spans="1:26" ht="14.25" customHeight="1">
      <c r="A4418" s="36">
        <v>2</v>
      </c>
      <c r="B4418" s="10" t="s">
        <v>769</v>
      </c>
      <c r="C4418" s="51" t="s">
        <v>1111</v>
      </c>
      <c r="D4418" s="12" t="s">
        <v>233</v>
      </c>
      <c r="E4418" s="12">
        <v>1.7</v>
      </c>
      <c r="F4418" s="43">
        <v>435000</v>
      </c>
      <c r="G4418" s="37">
        <f t="shared" si="281"/>
        <v>739500</v>
      </c>
      <c r="H4418" s="38"/>
      <c r="I4418" s="32"/>
      <c r="J4418" s="32"/>
      <c r="K4418" s="32"/>
      <c r="L4418" s="32"/>
      <c r="M4418" s="32"/>
      <c r="N4418" s="32"/>
      <c r="O4418" s="32"/>
      <c r="P4418" s="32"/>
      <c r="Q4418" s="32"/>
      <c r="R4418" s="32"/>
      <c r="S4418" s="32"/>
      <c r="T4418" s="32"/>
      <c r="U4418" s="32"/>
      <c r="V4418" s="32"/>
      <c r="W4418" s="32"/>
      <c r="X4418" s="32"/>
      <c r="Y4418" s="32"/>
      <c r="Z4418" s="32"/>
    </row>
    <row r="4419" spans="1:26" ht="14.25" customHeight="1">
      <c r="A4419" s="36">
        <v>4</v>
      </c>
      <c r="B4419" s="39" t="s">
        <v>17</v>
      </c>
      <c r="C4419" s="38"/>
      <c r="D4419" s="38"/>
      <c r="E4419" s="38"/>
      <c r="F4419" s="60"/>
      <c r="G4419" s="37">
        <f t="shared" si="281"/>
        <v>0</v>
      </c>
      <c r="H4419" s="38"/>
      <c r="I4419" s="32"/>
      <c r="J4419" s="32"/>
      <c r="K4419" s="32"/>
      <c r="L4419" s="32"/>
      <c r="M4419" s="32"/>
      <c r="N4419" s="32"/>
      <c r="O4419" s="32"/>
      <c r="P4419" s="32"/>
      <c r="Q4419" s="32"/>
      <c r="R4419" s="32"/>
      <c r="S4419" s="32"/>
      <c r="T4419" s="32"/>
      <c r="U4419" s="32"/>
      <c r="V4419" s="32"/>
      <c r="W4419" s="32"/>
      <c r="X4419" s="32"/>
      <c r="Y4419" s="32"/>
      <c r="Z4419" s="32"/>
    </row>
    <row r="4420" spans="1:26" ht="14.25" customHeight="1">
      <c r="A4420" s="83" t="s">
        <v>18</v>
      </c>
      <c r="B4420" s="81"/>
      <c r="C4420" s="81"/>
      <c r="D4420" s="81"/>
      <c r="E4420" s="81"/>
      <c r="F4420" s="81"/>
      <c r="G4420" s="82"/>
      <c r="H4420" s="41">
        <f>SUM(G4417:G4419)</f>
        <v>1263970</v>
      </c>
      <c r="I4420" s="32"/>
      <c r="J4420" s="32"/>
      <c r="K4420" s="32"/>
      <c r="L4420" s="32"/>
      <c r="M4420" s="32"/>
      <c r="N4420" s="32"/>
      <c r="O4420" s="32"/>
      <c r="P4420" s="32"/>
      <c r="Q4420" s="32"/>
      <c r="R4420" s="32"/>
      <c r="S4420" s="32"/>
      <c r="T4420" s="32"/>
      <c r="U4420" s="32"/>
      <c r="V4420" s="32"/>
      <c r="W4420" s="32"/>
      <c r="X4420" s="32"/>
      <c r="Y4420" s="32"/>
      <c r="Z4420" s="32"/>
    </row>
    <row r="4421" spans="1:26" ht="14.25" customHeight="1">
      <c r="A4421" s="83" t="s">
        <v>19</v>
      </c>
      <c r="B4421" s="81"/>
      <c r="C4421" s="81"/>
      <c r="D4421" s="81"/>
      <c r="E4421" s="81"/>
      <c r="F4421" s="81"/>
      <c r="G4421" s="82"/>
      <c r="H4421" s="41">
        <f>MAX(0,H4420-648000)</f>
        <v>615970</v>
      </c>
      <c r="I4421" s="32"/>
      <c r="J4421" s="32"/>
      <c r="K4421" s="32"/>
      <c r="L4421" s="32"/>
      <c r="M4421" s="32"/>
      <c r="N4421" s="32"/>
      <c r="O4421" s="32"/>
      <c r="P4421" s="32"/>
      <c r="Q4421" s="32"/>
      <c r="R4421" s="32"/>
      <c r="S4421" s="32"/>
      <c r="T4421" s="32"/>
      <c r="U4421" s="32"/>
      <c r="V4421" s="32"/>
      <c r="W4421" s="32"/>
      <c r="X4421" s="32"/>
      <c r="Y4421" s="32"/>
      <c r="Z4421" s="32"/>
    </row>
    <row r="4422" spans="1:26" ht="14.25" customHeight="1">
      <c r="A4422" s="84" t="s">
        <v>20</v>
      </c>
      <c r="B4422" s="81"/>
      <c r="C4422" s="81"/>
      <c r="D4422" s="81"/>
      <c r="E4422" s="81"/>
      <c r="F4422" s="81"/>
      <c r="G4422" s="82"/>
      <c r="H4422" s="42">
        <v>649000</v>
      </c>
      <c r="I4422" s="32"/>
      <c r="J4422" s="32"/>
      <c r="K4422" s="32"/>
      <c r="L4422" s="32"/>
      <c r="M4422" s="32"/>
      <c r="N4422" s="32"/>
      <c r="O4422" s="32"/>
      <c r="P4422" s="32"/>
      <c r="Q4422" s="32"/>
      <c r="R4422" s="32"/>
      <c r="S4422" s="32"/>
      <c r="T4422" s="32"/>
      <c r="U4422" s="32"/>
      <c r="V4422" s="32"/>
      <c r="W4422" s="32"/>
      <c r="X4422" s="32"/>
      <c r="Y4422" s="32"/>
      <c r="Z4422" s="32"/>
    </row>
    <row r="4423" spans="1:26" ht="14.25" customHeight="1">
      <c r="A4423" s="80"/>
      <c r="B4423" s="81"/>
      <c r="C4423" s="81"/>
      <c r="D4423" s="81"/>
      <c r="E4423" s="81"/>
      <c r="F4423" s="81"/>
      <c r="G4423" s="81"/>
      <c r="H4423" s="82"/>
      <c r="I4423" s="32"/>
      <c r="J4423" s="32"/>
      <c r="K4423" s="32"/>
      <c r="L4423" s="32"/>
      <c r="M4423" s="32"/>
      <c r="N4423" s="32"/>
      <c r="O4423" s="32"/>
      <c r="P4423" s="32"/>
      <c r="Q4423" s="32"/>
      <c r="R4423" s="32"/>
      <c r="S4423" s="32"/>
      <c r="T4423" s="32"/>
      <c r="U4423" s="32"/>
      <c r="V4423" s="32"/>
      <c r="W4423" s="32"/>
      <c r="X4423" s="32"/>
      <c r="Y4423" s="32"/>
      <c r="Z4423" s="32"/>
    </row>
    <row r="4424" spans="1:26" ht="14.25" customHeight="1"/>
    <row r="4425" spans="1:26" ht="14.25" customHeight="1"/>
    <row r="4426" spans="1:26" ht="14.25" customHeight="1"/>
    <row r="4427" spans="1:26" ht="14.25" customHeight="1"/>
    <row r="4428" spans="1:26" ht="14.25" customHeight="1"/>
    <row r="4429" spans="1:26" ht="14.25" customHeight="1"/>
    <row r="4430" spans="1:26" ht="14.25" customHeight="1"/>
    <row r="4431" spans="1:26" ht="14.25" customHeight="1">
      <c r="A4431" s="80" t="s">
        <v>0</v>
      </c>
      <c r="B4431" s="81"/>
      <c r="C4431" s="81"/>
      <c r="D4431" s="81"/>
      <c r="E4431" s="81"/>
      <c r="F4431" s="81"/>
      <c r="G4431" s="81"/>
      <c r="H4431" s="82"/>
      <c r="I4431" s="32"/>
      <c r="J4431" s="32"/>
      <c r="K4431" s="32"/>
      <c r="L4431" s="32"/>
      <c r="M4431" s="32"/>
      <c r="N4431" s="32"/>
      <c r="O4431" s="32"/>
      <c r="P4431" s="32"/>
      <c r="Q4431" s="32"/>
      <c r="R4431" s="32"/>
      <c r="S4431" s="32"/>
      <c r="T4431" s="32"/>
      <c r="U4431" s="32"/>
      <c r="V4431" s="32"/>
      <c r="W4431" s="32"/>
      <c r="X4431" s="32"/>
      <c r="Y4431" s="32"/>
      <c r="Z4431" s="32"/>
    </row>
    <row r="4432" spans="1:26" ht="14.25" customHeight="1">
      <c r="A4432" s="80" t="s">
        <v>1112</v>
      </c>
      <c r="B4432" s="81"/>
      <c r="C4432" s="81"/>
      <c r="D4432" s="81"/>
      <c r="E4432" s="81"/>
      <c r="F4432" s="81"/>
      <c r="G4432" s="81"/>
      <c r="H4432" s="82"/>
      <c r="I4432" s="32"/>
      <c r="J4432" s="32"/>
      <c r="K4432" s="32"/>
      <c r="L4432" s="32"/>
      <c r="M4432" s="32"/>
      <c r="N4432" s="32"/>
      <c r="O4432" s="32"/>
      <c r="P4432" s="32"/>
      <c r="Q4432" s="32"/>
      <c r="R4432" s="32"/>
      <c r="S4432" s="32"/>
      <c r="T4432" s="32"/>
      <c r="U4432" s="32"/>
      <c r="V4432" s="32"/>
      <c r="W4432" s="32"/>
      <c r="X4432" s="32"/>
      <c r="Y4432" s="32"/>
      <c r="Z4432" s="32"/>
    </row>
    <row r="4433" spans="1:26" ht="14.25" customHeight="1">
      <c r="A4433" s="33" t="s">
        <v>2</v>
      </c>
      <c r="B4433" s="33" t="s">
        <v>3</v>
      </c>
      <c r="C4433" s="33" t="s">
        <v>4</v>
      </c>
      <c r="D4433" s="33" t="s">
        <v>5</v>
      </c>
      <c r="E4433" s="33" t="s">
        <v>6</v>
      </c>
      <c r="F4433" s="34" t="s">
        <v>7</v>
      </c>
      <c r="G4433" s="33" t="s">
        <v>8</v>
      </c>
      <c r="H4433" s="35"/>
      <c r="I4433" s="32"/>
      <c r="J4433" s="32"/>
      <c r="K4433" s="32"/>
      <c r="L4433" s="32"/>
      <c r="M4433" s="32"/>
      <c r="N4433" s="32"/>
      <c r="O4433" s="32"/>
      <c r="P4433" s="32"/>
      <c r="Q4433" s="32"/>
      <c r="R4433" s="32"/>
      <c r="S4433" s="32"/>
      <c r="T4433" s="32"/>
      <c r="U4433" s="32"/>
      <c r="V4433" s="32"/>
      <c r="W4433" s="32"/>
      <c r="X4433" s="32"/>
      <c r="Y4433" s="32"/>
      <c r="Z4433" s="32"/>
    </row>
    <row r="4434" spans="1:26" ht="14.25" customHeight="1">
      <c r="A4434" s="36">
        <v>1</v>
      </c>
      <c r="B4434" s="18" t="s">
        <v>886</v>
      </c>
      <c r="C4434" s="5" t="s">
        <v>1113</v>
      </c>
      <c r="D4434" s="18" t="s">
        <v>11</v>
      </c>
      <c r="E4434" s="18">
        <v>1.8</v>
      </c>
      <c r="F4434" s="6">
        <v>293000</v>
      </c>
      <c r="G4434" s="37">
        <f t="shared" ref="G4434:G4436" si="282">IFERROR(E4434*F4434,0)</f>
        <v>527400</v>
      </c>
      <c r="H4434" s="38"/>
      <c r="I4434" s="32"/>
      <c r="J4434" s="32"/>
      <c r="K4434" s="32"/>
      <c r="L4434" s="32"/>
      <c r="M4434" s="32"/>
      <c r="N4434" s="32"/>
      <c r="O4434" s="32"/>
      <c r="P4434" s="32"/>
      <c r="Q4434" s="32"/>
      <c r="R4434" s="32"/>
      <c r="S4434" s="32"/>
      <c r="T4434" s="32"/>
      <c r="U4434" s="32"/>
      <c r="V4434" s="32"/>
      <c r="W4434" s="32"/>
      <c r="X4434" s="32"/>
      <c r="Y4434" s="32"/>
      <c r="Z4434" s="32"/>
    </row>
    <row r="4435" spans="1:26" ht="14.25" customHeight="1">
      <c r="A4435" s="36">
        <v>2</v>
      </c>
      <c r="B4435" s="12" t="s">
        <v>1114</v>
      </c>
      <c r="C4435" s="10" t="s">
        <v>1115</v>
      </c>
      <c r="D4435" s="12" t="s">
        <v>14</v>
      </c>
      <c r="E4435" s="12">
        <v>1.63</v>
      </c>
      <c r="F4435" s="43">
        <v>435000</v>
      </c>
      <c r="G4435" s="37">
        <f t="shared" si="282"/>
        <v>709050</v>
      </c>
      <c r="H4435" s="38"/>
      <c r="I4435" s="32"/>
      <c r="J4435" s="32"/>
      <c r="K4435" s="32"/>
      <c r="L4435" s="32"/>
      <c r="M4435" s="32"/>
      <c r="N4435" s="32"/>
      <c r="O4435" s="32"/>
      <c r="P4435" s="32"/>
      <c r="Q4435" s="32"/>
      <c r="R4435" s="32"/>
      <c r="S4435" s="32"/>
      <c r="T4435" s="32"/>
      <c r="U4435" s="32"/>
      <c r="V4435" s="32"/>
      <c r="W4435" s="32"/>
      <c r="X4435" s="32"/>
      <c r="Y4435" s="32"/>
      <c r="Z4435" s="32"/>
    </row>
    <row r="4436" spans="1:26" ht="14.25" customHeight="1">
      <c r="A4436" s="36">
        <v>4</v>
      </c>
      <c r="B4436" s="39" t="s">
        <v>17</v>
      </c>
      <c r="C4436" s="38"/>
      <c r="D4436" s="38"/>
      <c r="E4436" s="38"/>
      <c r="F4436" s="60"/>
      <c r="G4436" s="37">
        <f t="shared" si="282"/>
        <v>0</v>
      </c>
      <c r="H4436" s="38"/>
      <c r="I4436" s="32"/>
      <c r="J4436" s="32"/>
      <c r="K4436" s="32"/>
      <c r="L4436" s="32"/>
      <c r="M4436" s="32"/>
      <c r="N4436" s="32"/>
      <c r="O4436" s="32"/>
      <c r="P4436" s="32"/>
      <c r="Q4436" s="32"/>
      <c r="R4436" s="32"/>
      <c r="S4436" s="32"/>
      <c r="T4436" s="32"/>
      <c r="U4436" s="32"/>
      <c r="V4436" s="32"/>
      <c r="W4436" s="32"/>
      <c r="X4436" s="32"/>
      <c r="Y4436" s="32"/>
      <c r="Z4436" s="32"/>
    </row>
    <row r="4437" spans="1:26" ht="14.25" customHeight="1">
      <c r="A4437" s="83" t="s">
        <v>18</v>
      </c>
      <c r="B4437" s="81"/>
      <c r="C4437" s="81"/>
      <c r="D4437" s="81"/>
      <c r="E4437" s="81"/>
      <c r="F4437" s="81"/>
      <c r="G4437" s="82"/>
      <c r="H4437" s="41">
        <f>SUM(G4434:G4436)</f>
        <v>1236450</v>
      </c>
      <c r="I4437" s="32"/>
      <c r="J4437" s="32"/>
      <c r="K4437" s="32"/>
      <c r="L4437" s="32"/>
      <c r="M4437" s="32"/>
      <c r="N4437" s="32"/>
      <c r="O4437" s="32"/>
      <c r="P4437" s="32"/>
      <c r="Q4437" s="32"/>
      <c r="R4437" s="32"/>
      <c r="S4437" s="32"/>
      <c r="T4437" s="32"/>
      <c r="U4437" s="32"/>
      <c r="V4437" s="32"/>
      <c r="W4437" s="32"/>
      <c r="X4437" s="32"/>
      <c r="Y4437" s="32"/>
      <c r="Z4437" s="32"/>
    </row>
    <row r="4438" spans="1:26" ht="14.25" customHeight="1">
      <c r="A4438" s="83" t="s">
        <v>19</v>
      </c>
      <c r="B4438" s="81"/>
      <c r="C4438" s="81"/>
      <c r="D4438" s="81"/>
      <c r="E4438" s="81"/>
      <c r="F4438" s="81"/>
      <c r="G4438" s="82"/>
      <c r="H4438" s="41">
        <f>MAX(0,H4437-648000)</f>
        <v>588450</v>
      </c>
      <c r="I4438" s="32"/>
      <c r="J4438" s="32"/>
      <c r="K4438" s="32"/>
      <c r="L4438" s="32"/>
      <c r="M4438" s="32"/>
      <c r="N4438" s="32"/>
      <c r="O4438" s="32"/>
      <c r="P4438" s="32"/>
      <c r="Q4438" s="32"/>
      <c r="R4438" s="32"/>
      <c r="S4438" s="32"/>
      <c r="T4438" s="32"/>
      <c r="U4438" s="32"/>
      <c r="V4438" s="32"/>
      <c r="W4438" s="32"/>
      <c r="X4438" s="32"/>
      <c r="Y4438" s="32"/>
      <c r="Z4438" s="32"/>
    </row>
    <row r="4439" spans="1:26" ht="14.25" customHeight="1">
      <c r="A4439" s="84" t="s">
        <v>20</v>
      </c>
      <c r="B4439" s="81"/>
      <c r="C4439" s="81"/>
      <c r="D4439" s="81"/>
      <c r="E4439" s="81"/>
      <c r="F4439" s="81"/>
      <c r="G4439" s="82"/>
      <c r="H4439" s="42">
        <v>649000</v>
      </c>
      <c r="I4439" s="32"/>
      <c r="J4439" s="32"/>
      <c r="K4439" s="32"/>
      <c r="L4439" s="32"/>
      <c r="M4439" s="32"/>
      <c r="N4439" s="32"/>
      <c r="O4439" s="32"/>
      <c r="P4439" s="32"/>
      <c r="Q4439" s="32"/>
      <c r="R4439" s="32"/>
      <c r="S4439" s="32"/>
      <c r="T4439" s="32"/>
      <c r="U4439" s="32"/>
      <c r="V4439" s="32"/>
      <c r="W4439" s="32"/>
      <c r="X4439" s="32"/>
      <c r="Y4439" s="32"/>
      <c r="Z4439" s="32"/>
    </row>
    <row r="4440" spans="1:26" ht="14.25" customHeight="1">
      <c r="A4440" s="80"/>
      <c r="B4440" s="81"/>
      <c r="C4440" s="81"/>
      <c r="D4440" s="81"/>
      <c r="E4440" s="81"/>
      <c r="F4440" s="81"/>
      <c r="G4440" s="81"/>
      <c r="H4440" s="82"/>
      <c r="I4440" s="32"/>
      <c r="J4440" s="32"/>
      <c r="K4440" s="32"/>
      <c r="L4440" s="32"/>
      <c r="M4440" s="32"/>
      <c r="N4440" s="32"/>
      <c r="O4440" s="32"/>
      <c r="P4440" s="32"/>
      <c r="Q4440" s="32"/>
      <c r="R4440" s="32"/>
      <c r="S4440" s="32"/>
      <c r="T4440" s="32"/>
      <c r="U4440" s="32"/>
      <c r="V4440" s="32"/>
      <c r="W4440" s="32"/>
      <c r="X4440" s="32"/>
      <c r="Y4440" s="32"/>
      <c r="Z4440" s="32"/>
    </row>
    <row r="4441" spans="1:26" ht="14.25" customHeight="1"/>
    <row r="4442" spans="1:26" ht="14.25" customHeight="1"/>
    <row r="4443" spans="1:26" ht="14.25" customHeight="1"/>
    <row r="4444" spans="1:26" ht="14.25" customHeight="1"/>
    <row r="4445" spans="1:26" ht="14.25" customHeight="1">
      <c r="A4445" s="80" t="s">
        <v>0</v>
      </c>
      <c r="B4445" s="81"/>
      <c r="C4445" s="81"/>
      <c r="D4445" s="81"/>
      <c r="E4445" s="81"/>
      <c r="F4445" s="81"/>
      <c r="G4445" s="81"/>
      <c r="H4445" s="82"/>
      <c r="I4445" s="32"/>
      <c r="J4445" s="32"/>
      <c r="K4445" s="32"/>
      <c r="L4445" s="32"/>
      <c r="M4445" s="32"/>
      <c r="N4445" s="32"/>
      <c r="O4445" s="32"/>
      <c r="P4445" s="32"/>
      <c r="Q4445" s="32"/>
      <c r="R4445" s="32"/>
      <c r="S4445" s="32"/>
      <c r="T4445" s="32"/>
      <c r="U4445" s="32"/>
      <c r="V4445" s="32"/>
      <c r="W4445" s="32"/>
      <c r="X4445" s="32"/>
      <c r="Y4445" s="32"/>
      <c r="Z4445" s="32"/>
    </row>
    <row r="4446" spans="1:26" ht="14.25" customHeight="1">
      <c r="A4446" s="80" t="s">
        <v>1116</v>
      </c>
      <c r="B4446" s="81"/>
      <c r="C4446" s="81"/>
      <c r="D4446" s="81"/>
      <c r="E4446" s="81"/>
      <c r="F4446" s="81"/>
      <c r="G4446" s="81"/>
      <c r="H4446" s="82"/>
      <c r="I4446" s="32"/>
      <c r="J4446" s="32"/>
      <c r="K4446" s="32"/>
      <c r="L4446" s="32"/>
      <c r="M4446" s="32"/>
      <c r="N4446" s="32"/>
      <c r="O4446" s="32"/>
      <c r="P4446" s="32"/>
      <c r="Q4446" s="32"/>
      <c r="R4446" s="32"/>
      <c r="S4446" s="32"/>
      <c r="T4446" s="32"/>
      <c r="U4446" s="32"/>
      <c r="V4446" s="32"/>
      <c r="W4446" s="32"/>
      <c r="X4446" s="32"/>
      <c r="Y4446" s="32"/>
      <c r="Z4446" s="32"/>
    </row>
    <row r="4447" spans="1:26" ht="14.25" customHeight="1">
      <c r="A4447" s="33" t="s">
        <v>2</v>
      </c>
      <c r="B4447" s="33" t="s">
        <v>3</v>
      </c>
      <c r="C4447" s="33" t="s">
        <v>4</v>
      </c>
      <c r="D4447" s="33" t="s">
        <v>5</v>
      </c>
      <c r="E4447" s="33" t="s">
        <v>6</v>
      </c>
      <c r="F4447" s="34" t="s">
        <v>7</v>
      </c>
      <c r="G4447" s="33" t="s">
        <v>8</v>
      </c>
      <c r="H4447" s="35"/>
      <c r="I4447" s="32"/>
      <c r="J4447" s="32"/>
      <c r="K4447" s="32"/>
      <c r="L4447" s="32"/>
      <c r="M4447" s="32"/>
      <c r="N4447" s="32"/>
      <c r="O4447" s="32"/>
      <c r="P4447" s="32"/>
      <c r="Q4447" s="32"/>
      <c r="R4447" s="32"/>
      <c r="S4447" s="32"/>
      <c r="T4447" s="32"/>
      <c r="U4447" s="32"/>
      <c r="V4447" s="32"/>
      <c r="W4447" s="32"/>
      <c r="X4447" s="32"/>
      <c r="Y4447" s="32"/>
      <c r="Z4447" s="32"/>
    </row>
    <row r="4448" spans="1:26" ht="14.25" customHeight="1">
      <c r="A4448" s="36">
        <v>1</v>
      </c>
      <c r="B4448" s="18" t="s">
        <v>1117</v>
      </c>
      <c r="C4448" s="5" t="s">
        <v>1118</v>
      </c>
      <c r="D4448" s="18" t="s">
        <v>11</v>
      </c>
      <c r="E4448" s="18">
        <v>1.7</v>
      </c>
      <c r="F4448" s="6">
        <v>293000</v>
      </c>
      <c r="G4448" s="37">
        <f t="shared" ref="G4448:G4450" si="283">IFERROR(E4448*F4448,0)</f>
        <v>498100</v>
      </c>
      <c r="H4448" s="38"/>
      <c r="I4448" s="32"/>
      <c r="J4448" s="32"/>
      <c r="K4448" s="32"/>
      <c r="L4448" s="32"/>
      <c r="M4448" s="32"/>
      <c r="N4448" s="32"/>
      <c r="O4448" s="32"/>
      <c r="P4448" s="32"/>
      <c r="Q4448" s="32"/>
      <c r="R4448" s="32"/>
      <c r="S4448" s="32"/>
      <c r="T4448" s="32"/>
      <c r="U4448" s="32"/>
      <c r="V4448" s="32"/>
      <c r="W4448" s="32"/>
      <c r="X4448" s="32"/>
      <c r="Y4448" s="32"/>
      <c r="Z4448" s="32"/>
    </row>
    <row r="4449" spans="1:26" ht="14.25" customHeight="1">
      <c r="A4449" s="36">
        <v>2</v>
      </c>
      <c r="B4449" s="12" t="s">
        <v>823</v>
      </c>
      <c r="C4449" s="10" t="s">
        <v>1119</v>
      </c>
      <c r="D4449" s="12" t="s">
        <v>14</v>
      </c>
      <c r="E4449" s="12">
        <v>1.75</v>
      </c>
      <c r="F4449" s="43">
        <v>435000</v>
      </c>
      <c r="G4449" s="37">
        <f t="shared" si="283"/>
        <v>761250</v>
      </c>
      <c r="H4449" s="38"/>
      <c r="I4449" s="32"/>
      <c r="J4449" s="32"/>
      <c r="K4449" s="32"/>
      <c r="L4449" s="32"/>
      <c r="M4449" s="32"/>
      <c r="N4449" s="32"/>
      <c r="O4449" s="32"/>
      <c r="P4449" s="32"/>
      <c r="Q4449" s="32"/>
      <c r="R4449" s="32"/>
      <c r="S4449" s="32"/>
      <c r="T4449" s="32"/>
      <c r="U4449" s="32"/>
      <c r="V4449" s="32"/>
      <c r="W4449" s="32"/>
      <c r="X4449" s="32"/>
      <c r="Y4449" s="32"/>
      <c r="Z4449" s="32"/>
    </row>
    <row r="4450" spans="1:26" ht="14.25" customHeight="1">
      <c r="A4450" s="36">
        <v>4</v>
      </c>
      <c r="B4450" s="39" t="s">
        <v>17</v>
      </c>
      <c r="C4450" s="38"/>
      <c r="D4450" s="38"/>
      <c r="E4450" s="38"/>
      <c r="F4450" s="60"/>
      <c r="G4450" s="37">
        <f t="shared" si="283"/>
        <v>0</v>
      </c>
      <c r="H4450" s="38"/>
      <c r="I4450" s="32"/>
      <c r="J4450" s="32"/>
      <c r="K4450" s="32"/>
      <c r="L4450" s="32"/>
      <c r="M4450" s="32"/>
      <c r="N4450" s="32"/>
      <c r="O4450" s="32"/>
      <c r="P4450" s="32"/>
      <c r="Q4450" s="32"/>
      <c r="R4450" s="32"/>
      <c r="S4450" s="32"/>
      <c r="T4450" s="32"/>
      <c r="U4450" s="32"/>
      <c r="V4450" s="32"/>
      <c r="W4450" s="32"/>
      <c r="X4450" s="32"/>
      <c r="Y4450" s="32"/>
      <c r="Z4450" s="32"/>
    </row>
    <row r="4451" spans="1:26" ht="14.25" customHeight="1">
      <c r="A4451" s="83" t="s">
        <v>18</v>
      </c>
      <c r="B4451" s="81"/>
      <c r="C4451" s="81"/>
      <c r="D4451" s="81"/>
      <c r="E4451" s="81"/>
      <c r="F4451" s="81"/>
      <c r="G4451" s="82"/>
      <c r="H4451" s="41">
        <f>SUM(G4448:G4450)</f>
        <v>1259350</v>
      </c>
      <c r="I4451" s="32"/>
      <c r="J4451" s="32"/>
      <c r="K4451" s="32"/>
      <c r="L4451" s="32"/>
      <c r="M4451" s="32"/>
      <c r="N4451" s="32"/>
      <c r="O4451" s="32"/>
      <c r="P4451" s="32"/>
      <c r="Q4451" s="32"/>
      <c r="R4451" s="32"/>
      <c r="S4451" s="32"/>
      <c r="T4451" s="32"/>
      <c r="U4451" s="32"/>
      <c r="V4451" s="32"/>
      <c r="W4451" s="32"/>
      <c r="X4451" s="32"/>
      <c r="Y4451" s="32"/>
      <c r="Z4451" s="32"/>
    </row>
    <row r="4452" spans="1:26" ht="14.25" customHeight="1">
      <c r="A4452" s="83" t="s">
        <v>19</v>
      </c>
      <c r="B4452" s="81"/>
      <c r="C4452" s="81"/>
      <c r="D4452" s="81"/>
      <c r="E4452" s="81"/>
      <c r="F4452" s="81"/>
      <c r="G4452" s="82"/>
      <c r="H4452" s="41">
        <f>MAX(0,H4451-648000)</f>
        <v>611350</v>
      </c>
      <c r="I4452" s="32"/>
      <c r="J4452" s="32"/>
      <c r="K4452" s="32"/>
      <c r="L4452" s="32"/>
      <c r="M4452" s="32"/>
      <c r="N4452" s="32"/>
      <c r="O4452" s="32"/>
      <c r="P4452" s="32"/>
      <c r="Q4452" s="32"/>
      <c r="R4452" s="32"/>
      <c r="S4452" s="32"/>
      <c r="T4452" s="32"/>
      <c r="U4452" s="32"/>
      <c r="V4452" s="32"/>
      <c r="W4452" s="32"/>
      <c r="X4452" s="32"/>
      <c r="Y4452" s="32"/>
      <c r="Z4452" s="32"/>
    </row>
    <row r="4453" spans="1:26" ht="14.25" customHeight="1">
      <c r="A4453" s="84" t="s">
        <v>20</v>
      </c>
      <c r="B4453" s="81"/>
      <c r="C4453" s="81"/>
      <c r="D4453" s="81"/>
      <c r="E4453" s="81"/>
      <c r="F4453" s="81"/>
      <c r="G4453" s="82"/>
      <c r="H4453" s="42">
        <v>649000</v>
      </c>
      <c r="I4453" s="32"/>
      <c r="J4453" s="32"/>
      <c r="K4453" s="32"/>
      <c r="L4453" s="32"/>
      <c r="M4453" s="32"/>
      <c r="N4453" s="32"/>
      <c r="O4453" s="32"/>
      <c r="P4453" s="32"/>
      <c r="Q4453" s="32"/>
      <c r="R4453" s="32"/>
      <c r="S4453" s="32"/>
      <c r="T4453" s="32"/>
      <c r="U4453" s="32"/>
      <c r="V4453" s="32"/>
      <c r="W4453" s="32"/>
      <c r="X4453" s="32"/>
      <c r="Y4453" s="32"/>
      <c r="Z4453" s="32"/>
    </row>
    <row r="4454" spans="1:26" ht="14.25" customHeight="1">
      <c r="A4454" s="80"/>
      <c r="B4454" s="81"/>
      <c r="C4454" s="81"/>
      <c r="D4454" s="81"/>
      <c r="E4454" s="81"/>
      <c r="F4454" s="81"/>
      <c r="G4454" s="81"/>
      <c r="H4454" s="82"/>
      <c r="I4454" s="32"/>
      <c r="J4454" s="32"/>
      <c r="K4454" s="32"/>
      <c r="L4454" s="32"/>
      <c r="M4454" s="32"/>
      <c r="N4454" s="32"/>
      <c r="O4454" s="32"/>
      <c r="P4454" s="32"/>
      <c r="Q4454" s="32"/>
      <c r="R4454" s="32"/>
      <c r="S4454" s="32"/>
      <c r="T4454" s="32"/>
      <c r="U4454" s="32"/>
      <c r="V4454" s="32"/>
      <c r="W4454" s="32"/>
      <c r="X4454" s="32"/>
      <c r="Y4454" s="32"/>
      <c r="Z4454" s="32"/>
    </row>
    <row r="4455" spans="1:26" ht="14.25" customHeight="1"/>
    <row r="4456" spans="1:26" ht="14.25" customHeight="1"/>
    <row r="4457" spans="1:26" ht="14.25" customHeight="1"/>
    <row r="4458" spans="1:26" ht="14.25" customHeight="1"/>
    <row r="4459" spans="1:26" ht="14.25" customHeight="1"/>
    <row r="4460" spans="1:26" ht="14.25" customHeight="1"/>
    <row r="4461" spans="1:26" ht="14.25" customHeight="1"/>
    <row r="4462" spans="1:26" ht="14.25" customHeight="1">
      <c r="A4462" s="80" t="s">
        <v>0</v>
      </c>
      <c r="B4462" s="81"/>
      <c r="C4462" s="81"/>
      <c r="D4462" s="81"/>
      <c r="E4462" s="81"/>
      <c r="F4462" s="81"/>
      <c r="G4462" s="81"/>
      <c r="H4462" s="82"/>
      <c r="I4462" s="32"/>
      <c r="J4462" s="32"/>
      <c r="K4462" s="32"/>
      <c r="L4462" s="32"/>
      <c r="M4462" s="32"/>
      <c r="N4462" s="32"/>
      <c r="O4462" s="32"/>
      <c r="P4462" s="32"/>
      <c r="Q4462" s="32"/>
      <c r="R4462" s="32"/>
      <c r="S4462" s="32"/>
      <c r="T4462" s="32"/>
      <c r="U4462" s="32"/>
      <c r="V4462" s="32"/>
      <c r="W4462" s="32"/>
      <c r="X4462" s="32"/>
      <c r="Y4462" s="32"/>
      <c r="Z4462" s="32"/>
    </row>
    <row r="4463" spans="1:26" ht="14.25" customHeight="1">
      <c r="A4463" s="80" t="s">
        <v>1120</v>
      </c>
      <c r="B4463" s="81"/>
      <c r="C4463" s="81"/>
      <c r="D4463" s="81"/>
      <c r="E4463" s="81"/>
      <c r="F4463" s="81"/>
      <c r="G4463" s="81"/>
      <c r="H4463" s="82"/>
      <c r="I4463" s="32"/>
      <c r="J4463" s="32"/>
      <c r="K4463" s="32"/>
      <c r="L4463" s="32"/>
      <c r="M4463" s="32"/>
      <c r="N4463" s="32"/>
      <c r="O4463" s="32"/>
      <c r="P4463" s="32"/>
      <c r="Q4463" s="32"/>
      <c r="R4463" s="32"/>
      <c r="S4463" s="32"/>
      <c r="T4463" s="32"/>
      <c r="U4463" s="32"/>
      <c r="V4463" s="32"/>
      <c r="W4463" s="32"/>
      <c r="X4463" s="32"/>
      <c r="Y4463" s="32"/>
      <c r="Z4463" s="32"/>
    </row>
    <row r="4464" spans="1:26" ht="14.25" customHeight="1">
      <c r="A4464" s="33" t="s">
        <v>2</v>
      </c>
      <c r="B4464" s="33" t="s">
        <v>3</v>
      </c>
      <c r="C4464" s="33" t="s">
        <v>4</v>
      </c>
      <c r="D4464" s="33" t="s">
        <v>5</v>
      </c>
      <c r="E4464" s="33" t="s">
        <v>6</v>
      </c>
      <c r="F4464" s="34" t="s">
        <v>7</v>
      </c>
      <c r="G4464" s="33" t="s">
        <v>8</v>
      </c>
      <c r="H4464" s="35"/>
      <c r="I4464" s="32"/>
      <c r="J4464" s="32"/>
      <c r="K4464" s="32"/>
      <c r="L4464" s="32"/>
      <c r="M4464" s="32"/>
      <c r="N4464" s="32"/>
      <c r="O4464" s="32"/>
      <c r="P4464" s="32"/>
      <c r="Q4464" s="32"/>
      <c r="R4464" s="32"/>
      <c r="S4464" s="32"/>
      <c r="T4464" s="32"/>
      <c r="U4464" s="32"/>
      <c r="V4464" s="32"/>
      <c r="W4464" s="32"/>
      <c r="X4464" s="32"/>
      <c r="Y4464" s="32"/>
      <c r="Z4464" s="32"/>
    </row>
    <row r="4465" spans="1:26" ht="14.25" customHeight="1">
      <c r="A4465" s="36">
        <v>1</v>
      </c>
      <c r="B4465" s="18" t="s">
        <v>279</v>
      </c>
      <c r="C4465" s="5" t="s">
        <v>1121</v>
      </c>
      <c r="D4465" s="18" t="s">
        <v>11</v>
      </c>
      <c r="E4465" s="18">
        <v>2</v>
      </c>
      <c r="F4465" s="6">
        <v>293000</v>
      </c>
      <c r="G4465" s="37">
        <f t="shared" ref="G4465:G4467" si="284">IFERROR(E4465*F4465,0)</f>
        <v>586000</v>
      </c>
      <c r="H4465" s="38"/>
      <c r="I4465" s="32"/>
      <c r="J4465" s="32"/>
      <c r="K4465" s="32"/>
      <c r="L4465" s="32"/>
      <c r="M4465" s="32"/>
      <c r="N4465" s="32"/>
      <c r="O4465" s="32"/>
      <c r="P4465" s="32"/>
      <c r="Q4465" s="32"/>
      <c r="R4465" s="32"/>
      <c r="S4465" s="32"/>
      <c r="T4465" s="32"/>
      <c r="U4465" s="32"/>
      <c r="V4465" s="32"/>
      <c r="W4465" s="32"/>
      <c r="X4465" s="32"/>
      <c r="Y4465" s="32"/>
      <c r="Z4465" s="32"/>
    </row>
    <row r="4466" spans="1:26" ht="14.25" customHeight="1">
      <c r="A4466" s="36">
        <v>2</v>
      </c>
      <c r="B4466" s="12" t="s">
        <v>1122</v>
      </c>
      <c r="C4466" s="10" t="s">
        <v>1123</v>
      </c>
      <c r="D4466" s="12" t="s">
        <v>14</v>
      </c>
      <c r="E4466" s="12">
        <v>1.5</v>
      </c>
      <c r="F4466" s="43">
        <v>435000</v>
      </c>
      <c r="G4466" s="37">
        <f t="shared" si="284"/>
        <v>652500</v>
      </c>
      <c r="H4466" s="38"/>
      <c r="I4466" s="32"/>
      <c r="J4466" s="32"/>
      <c r="K4466" s="32"/>
      <c r="L4466" s="32"/>
      <c r="M4466" s="32"/>
      <c r="N4466" s="32"/>
      <c r="O4466" s="32"/>
      <c r="P4466" s="32"/>
      <c r="Q4466" s="32"/>
      <c r="R4466" s="32"/>
      <c r="S4466" s="32"/>
      <c r="T4466" s="32"/>
      <c r="U4466" s="32"/>
      <c r="V4466" s="32"/>
      <c r="W4466" s="32"/>
      <c r="X4466" s="32"/>
      <c r="Y4466" s="32"/>
      <c r="Z4466" s="32"/>
    </row>
    <row r="4467" spans="1:26" ht="14.25" customHeight="1">
      <c r="A4467" s="36">
        <v>4</v>
      </c>
      <c r="B4467" s="39" t="s">
        <v>17</v>
      </c>
      <c r="C4467" s="38"/>
      <c r="D4467" s="38"/>
      <c r="E4467" s="38"/>
      <c r="F4467" s="60"/>
      <c r="G4467" s="37">
        <f t="shared" si="284"/>
        <v>0</v>
      </c>
      <c r="H4467" s="38"/>
      <c r="I4467" s="32"/>
      <c r="J4467" s="32"/>
      <c r="K4467" s="32"/>
      <c r="L4467" s="32"/>
      <c r="M4467" s="32"/>
      <c r="N4467" s="32"/>
      <c r="O4467" s="32"/>
      <c r="P4467" s="32"/>
      <c r="Q4467" s="32"/>
      <c r="R4467" s="32"/>
      <c r="S4467" s="32"/>
      <c r="T4467" s="32"/>
      <c r="U4467" s="32"/>
      <c r="V4467" s="32"/>
      <c r="W4467" s="32"/>
      <c r="X4467" s="32"/>
      <c r="Y4467" s="32"/>
      <c r="Z4467" s="32"/>
    </row>
    <row r="4468" spans="1:26" ht="14.25" customHeight="1">
      <c r="A4468" s="83" t="s">
        <v>18</v>
      </c>
      <c r="B4468" s="81"/>
      <c r="C4468" s="81"/>
      <c r="D4468" s="81"/>
      <c r="E4468" s="81"/>
      <c r="F4468" s="81"/>
      <c r="G4468" s="82"/>
      <c r="H4468" s="41">
        <f>SUM(G4465:G4467)</f>
        <v>1238500</v>
      </c>
      <c r="I4468" s="32"/>
      <c r="J4468" s="32"/>
      <c r="K4468" s="32"/>
      <c r="L4468" s="32"/>
      <c r="M4468" s="32"/>
      <c r="N4468" s="32"/>
      <c r="O4468" s="32"/>
      <c r="P4468" s="32"/>
      <c r="Q4468" s="32"/>
      <c r="R4468" s="32"/>
      <c r="S4468" s="32"/>
      <c r="T4468" s="32"/>
      <c r="U4468" s="32"/>
      <c r="V4468" s="32"/>
      <c r="W4468" s="32"/>
      <c r="X4468" s="32"/>
      <c r="Y4468" s="32"/>
      <c r="Z4468" s="32"/>
    </row>
    <row r="4469" spans="1:26" ht="14.25" customHeight="1">
      <c r="A4469" s="83" t="s">
        <v>19</v>
      </c>
      <c r="B4469" s="81"/>
      <c r="C4469" s="81"/>
      <c r="D4469" s="81"/>
      <c r="E4469" s="81"/>
      <c r="F4469" s="81"/>
      <c r="G4469" s="82"/>
      <c r="H4469" s="41">
        <f>MAX(0,H4468-648000)</f>
        <v>590500</v>
      </c>
      <c r="I4469" s="32"/>
      <c r="J4469" s="32"/>
      <c r="K4469" s="32"/>
      <c r="L4469" s="32"/>
      <c r="M4469" s="32"/>
      <c r="N4469" s="32"/>
      <c r="O4469" s="32"/>
      <c r="P4469" s="32"/>
      <c r="Q4469" s="32"/>
      <c r="R4469" s="32"/>
      <c r="S4469" s="32"/>
      <c r="T4469" s="32"/>
      <c r="U4469" s="32"/>
      <c r="V4469" s="32"/>
      <c r="W4469" s="32"/>
      <c r="X4469" s="32"/>
      <c r="Y4469" s="32"/>
      <c r="Z4469" s="32"/>
    </row>
    <row r="4470" spans="1:26" ht="14.25" customHeight="1">
      <c r="A4470" s="84" t="s">
        <v>20</v>
      </c>
      <c r="B4470" s="81"/>
      <c r="C4470" s="81"/>
      <c r="D4470" s="81"/>
      <c r="E4470" s="81"/>
      <c r="F4470" s="81"/>
      <c r="G4470" s="82"/>
      <c r="H4470" s="42">
        <v>649000</v>
      </c>
      <c r="I4470" s="32"/>
      <c r="J4470" s="32"/>
      <c r="K4470" s="32"/>
      <c r="L4470" s="32"/>
      <c r="M4470" s="32"/>
      <c r="N4470" s="32"/>
      <c r="O4470" s="32"/>
      <c r="P4470" s="32"/>
      <c r="Q4470" s="32"/>
      <c r="R4470" s="32"/>
      <c r="S4470" s="32"/>
      <c r="T4470" s="32"/>
      <c r="U4470" s="32"/>
      <c r="V4470" s="32"/>
      <c r="W4470" s="32"/>
      <c r="X4470" s="32"/>
      <c r="Y4470" s="32"/>
      <c r="Z4470" s="32"/>
    </row>
    <row r="4471" spans="1:26" ht="14.25" customHeight="1">
      <c r="A4471" s="80"/>
      <c r="B4471" s="81"/>
      <c r="C4471" s="81"/>
      <c r="D4471" s="81"/>
      <c r="E4471" s="81"/>
      <c r="F4471" s="81"/>
      <c r="G4471" s="81"/>
      <c r="H4471" s="82"/>
      <c r="I4471" s="32"/>
      <c r="J4471" s="32"/>
      <c r="K4471" s="32"/>
      <c r="L4471" s="32"/>
      <c r="M4471" s="32"/>
      <c r="N4471" s="32"/>
      <c r="O4471" s="32"/>
      <c r="P4471" s="32"/>
      <c r="Q4471" s="32"/>
      <c r="R4471" s="32"/>
      <c r="S4471" s="32"/>
      <c r="T4471" s="32"/>
      <c r="U4471" s="32"/>
      <c r="V4471" s="32"/>
      <c r="W4471" s="32"/>
      <c r="X4471" s="32"/>
      <c r="Y4471" s="32"/>
      <c r="Z4471" s="32"/>
    </row>
    <row r="4472" spans="1:26" ht="14.25" customHeight="1"/>
    <row r="4473" spans="1:26" ht="14.25" customHeight="1"/>
    <row r="4474" spans="1:26" ht="14.25" customHeight="1"/>
    <row r="4475" spans="1:26" ht="14.25" customHeight="1"/>
    <row r="4476" spans="1:26" ht="14.25" customHeight="1"/>
    <row r="4477" spans="1:26" ht="14.25" customHeight="1"/>
    <row r="4478" spans="1:26" ht="14.25" customHeight="1"/>
    <row r="4479" spans="1:26" ht="14.25" customHeight="1"/>
    <row r="4480" spans="1:26" ht="14.25" customHeight="1">
      <c r="A4480" s="80" t="s">
        <v>0</v>
      </c>
      <c r="B4480" s="81"/>
      <c r="C4480" s="81"/>
      <c r="D4480" s="81"/>
      <c r="E4480" s="81"/>
      <c r="F4480" s="81"/>
      <c r="G4480" s="81"/>
      <c r="H4480" s="82"/>
      <c r="I4480" s="32"/>
      <c r="J4480" s="32"/>
      <c r="K4480" s="32"/>
      <c r="L4480" s="32"/>
      <c r="M4480" s="32"/>
      <c r="N4480" s="32"/>
      <c r="O4480" s="32"/>
      <c r="P4480" s="32"/>
      <c r="Q4480" s="32"/>
      <c r="R4480" s="32"/>
      <c r="S4480" s="32"/>
      <c r="T4480" s="32"/>
      <c r="U4480" s="32"/>
      <c r="V4480" s="32"/>
      <c r="W4480" s="32"/>
      <c r="X4480" s="32"/>
      <c r="Y4480" s="32"/>
      <c r="Z4480" s="32"/>
    </row>
    <row r="4481" spans="1:26" ht="14.25" customHeight="1">
      <c r="A4481" s="80" t="s">
        <v>1124</v>
      </c>
      <c r="B4481" s="81"/>
      <c r="C4481" s="81"/>
      <c r="D4481" s="81"/>
      <c r="E4481" s="81"/>
      <c r="F4481" s="81"/>
      <c r="G4481" s="81"/>
      <c r="H4481" s="82"/>
      <c r="I4481" s="32"/>
      <c r="J4481" s="32"/>
      <c r="K4481" s="32"/>
      <c r="L4481" s="32"/>
      <c r="M4481" s="32"/>
      <c r="N4481" s="32"/>
      <c r="O4481" s="32"/>
      <c r="P4481" s="32"/>
      <c r="Q4481" s="32"/>
      <c r="R4481" s="32"/>
      <c r="S4481" s="32"/>
      <c r="T4481" s="32"/>
      <c r="U4481" s="32"/>
      <c r="V4481" s="32"/>
      <c r="W4481" s="32"/>
      <c r="X4481" s="32"/>
      <c r="Y4481" s="32"/>
      <c r="Z4481" s="32"/>
    </row>
    <row r="4482" spans="1:26" ht="14.25" customHeight="1">
      <c r="A4482" s="33" t="s">
        <v>2</v>
      </c>
      <c r="B4482" s="33" t="s">
        <v>3</v>
      </c>
      <c r="C4482" s="33" t="s">
        <v>4</v>
      </c>
      <c r="D4482" s="33" t="s">
        <v>5</v>
      </c>
      <c r="E4482" s="33" t="s">
        <v>6</v>
      </c>
      <c r="F4482" s="34" t="s">
        <v>7</v>
      </c>
      <c r="G4482" s="33" t="s">
        <v>8</v>
      </c>
      <c r="H4482" s="35"/>
      <c r="I4482" s="32"/>
      <c r="J4482" s="32"/>
      <c r="K4482" s="32"/>
      <c r="L4482" s="32"/>
      <c r="M4482" s="32"/>
      <c r="N4482" s="32"/>
      <c r="O4482" s="32"/>
      <c r="P4482" s="32"/>
      <c r="Q4482" s="32"/>
      <c r="R4482" s="32"/>
      <c r="S4482" s="32"/>
      <c r="T4482" s="32"/>
      <c r="U4482" s="32"/>
      <c r="V4482" s="32"/>
      <c r="W4482" s="32"/>
      <c r="X4482" s="32"/>
      <c r="Y4482" s="32"/>
      <c r="Z4482" s="32"/>
    </row>
    <row r="4483" spans="1:26" ht="14.25" customHeight="1">
      <c r="A4483" s="36">
        <v>1</v>
      </c>
      <c r="B4483" s="18" t="s">
        <v>549</v>
      </c>
      <c r="C4483" s="5" t="s">
        <v>1125</v>
      </c>
      <c r="D4483" s="18" t="s">
        <v>11</v>
      </c>
      <c r="E4483" s="18">
        <v>2</v>
      </c>
      <c r="F4483" s="6">
        <v>293000</v>
      </c>
      <c r="G4483" s="37">
        <f t="shared" ref="G4483:G4485" si="285">IFERROR(E4483*F4483,0)</f>
        <v>586000</v>
      </c>
      <c r="H4483" s="38"/>
      <c r="I4483" s="32"/>
      <c r="J4483" s="32"/>
      <c r="K4483" s="32"/>
      <c r="L4483" s="32"/>
      <c r="M4483" s="32"/>
      <c r="N4483" s="32"/>
      <c r="O4483" s="32"/>
      <c r="P4483" s="32"/>
      <c r="Q4483" s="32"/>
      <c r="R4483" s="32"/>
      <c r="S4483" s="32"/>
      <c r="T4483" s="32"/>
      <c r="U4483" s="32"/>
      <c r="V4483" s="32"/>
      <c r="W4483" s="32"/>
      <c r="X4483" s="32"/>
      <c r="Y4483" s="32"/>
      <c r="Z4483" s="32"/>
    </row>
    <row r="4484" spans="1:26" ht="14.25" customHeight="1">
      <c r="A4484" s="36">
        <v>2</v>
      </c>
      <c r="B4484" s="12" t="s">
        <v>601</v>
      </c>
      <c r="C4484" s="10" t="s">
        <v>1126</v>
      </c>
      <c r="D4484" s="12" t="s">
        <v>14</v>
      </c>
      <c r="E4484" s="12">
        <v>1.48</v>
      </c>
      <c r="F4484" s="43">
        <v>435000</v>
      </c>
      <c r="G4484" s="37">
        <f t="shared" si="285"/>
        <v>643800</v>
      </c>
      <c r="H4484" s="38"/>
      <c r="I4484" s="32"/>
      <c r="J4484" s="32"/>
      <c r="K4484" s="32"/>
      <c r="L4484" s="32"/>
      <c r="M4484" s="32"/>
      <c r="N4484" s="32"/>
      <c r="O4484" s="32"/>
      <c r="P4484" s="32"/>
      <c r="Q4484" s="32"/>
      <c r="R4484" s="32"/>
      <c r="S4484" s="32"/>
      <c r="T4484" s="32"/>
      <c r="U4484" s="32"/>
      <c r="V4484" s="32"/>
      <c r="W4484" s="32"/>
      <c r="X4484" s="32"/>
      <c r="Y4484" s="32"/>
      <c r="Z4484" s="32"/>
    </row>
    <row r="4485" spans="1:26" ht="14.25" customHeight="1">
      <c r="A4485" s="36">
        <v>4</v>
      </c>
      <c r="B4485" s="39" t="s">
        <v>17</v>
      </c>
      <c r="C4485" s="38"/>
      <c r="D4485" s="38"/>
      <c r="E4485" s="38"/>
      <c r="F4485" s="60"/>
      <c r="G4485" s="37">
        <f t="shared" si="285"/>
        <v>0</v>
      </c>
      <c r="H4485" s="38"/>
      <c r="I4485" s="32"/>
      <c r="J4485" s="32"/>
      <c r="K4485" s="32"/>
      <c r="L4485" s="32"/>
      <c r="M4485" s="32"/>
      <c r="N4485" s="32"/>
      <c r="O4485" s="32"/>
      <c r="P4485" s="32"/>
      <c r="Q4485" s="32"/>
      <c r="R4485" s="32"/>
      <c r="S4485" s="32"/>
      <c r="T4485" s="32"/>
      <c r="U4485" s="32"/>
      <c r="V4485" s="32"/>
      <c r="W4485" s="32"/>
      <c r="X4485" s="32"/>
      <c r="Y4485" s="32"/>
      <c r="Z4485" s="32"/>
    </row>
    <row r="4486" spans="1:26" ht="14.25" customHeight="1">
      <c r="A4486" s="83" t="s">
        <v>18</v>
      </c>
      <c r="B4486" s="81"/>
      <c r="C4486" s="81"/>
      <c r="D4486" s="81"/>
      <c r="E4486" s="81"/>
      <c r="F4486" s="81"/>
      <c r="G4486" s="82"/>
      <c r="H4486" s="41">
        <f>SUM(G4483:G4485)</f>
        <v>1229800</v>
      </c>
      <c r="I4486" s="32"/>
      <c r="J4486" s="32"/>
      <c r="K4486" s="32"/>
      <c r="L4486" s="32"/>
      <c r="M4486" s="32"/>
      <c r="N4486" s="32"/>
      <c r="O4486" s="32"/>
      <c r="P4486" s="32"/>
      <c r="Q4486" s="32"/>
      <c r="R4486" s="32"/>
      <c r="S4486" s="32"/>
      <c r="T4486" s="32"/>
      <c r="U4486" s="32"/>
      <c r="V4486" s="32"/>
      <c r="W4486" s="32"/>
      <c r="X4486" s="32"/>
      <c r="Y4486" s="32"/>
      <c r="Z4486" s="32"/>
    </row>
    <row r="4487" spans="1:26" ht="14.25" customHeight="1">
      <c r="A4487" s="83" t="s">
        <v>19</v>
      </c>
      <c r="B4487" s="81"/>
      <c r="C4487" s="81"/>
      <c r="D4487" s="81"/>
      <c r="E4487" s="81"/>
      <c r="F4487" s="81"/>
      <c r="G4487" s="82"/>
      <c r="H4487" s="41">
        <f>MAX(0,H4486-648000)</f>
        <v>581800</v>
      </c>
      <c r="I4487" s="32"/>
      <c r="J4487" s="32"/>
      <c r="K4487" s="32"/>
      <c r="L4487" s="32"/>
      <c r="M4487" s="32"/>
      <c r="N4487" s="32"/>
      <c r="O4487" s="32"/>
      <c r="P4487" s="32"/>
      <c r="Q4487" s="32"/>
      <c r="R4487" s="32"/>
      <c r="S4487" s="32"/>
      <c r="T4487" s="32"/>
      <c r="U4487" s="32"/>
      <c r="V4487" s="32"/>
      <c r="W4487" s="32"/>
      <c r="X4487" s="32"/>
      <c r="Y4487" s="32"/>
      <c r="Z4487" s="32"/>
    </row>
    <row r="4488" spans="1:26" ht="14.25" customHeight="1">
      <c r="A4488" s="84" t="s">
        <v>20</v>
      </c>
      <c r="B4488" s="81"/>
      <c r="C4488" s="81"/>
      <c r="D4488" s="81"/>
      <c r="E4488" s="81"/>
      <c r="F4488" s="81"/>
      <c r="G4488" s="82"/>
      <c r="H4488" s="42">
        <v>649000</v>
      </c>
      <c r="I4488" s="32"/>
      <c r="J4488" s="32"/>
      <c r="K4488" s="32"/>
      <c r="L4488" s="32"/>
      <c r="M4488" s="32"/>
      <c r="N4488" s="32"/>
      <c r="O4488" s="32"/>
      <c r="P4488" s="32"/>
      <c r="Q4488" s="32"/>
      <c r="R4488" s="32"/>
      <c r="S4488" s="32"/>
      <c r="T4488" s="32"/>
      <c r="U4488" s="32"/>
      <c r="V4488" s="32"/>
      <c r="W4488" s="32"/>
      <c r="X4488" s="32"/>
      <c r="Y4488" s="32"/>
      <c r="Z4488" s="32"/>
    </row>
    <row r="4489" spans="1:26" ht="14.25" customHeight="1">
      <c r="A4489" s="80"/>
      <c r="B4489" s="81"/>
      <c r="C4489" s="81"/>
      <c r="D4489" s="81"/>
      <c r="E4489" s="81"/>
      <c r="F4489" s="81"/>
      <c r="G4489" s="81"/>
      <c r="H4489" s="82"/>
      <c r="I4489" s="32"/>
      <c r="J4489" s="32"/>
      <c r="K4489" s="32"/>
      <c r="L4489" s="32"/>
      <c r="M4489" s="32"/>
      <c r="N4489" s="32"/>
      <c r="O4489" s="32"/>
      <c r="P4489" s="32"/>
      <c r="Q4489" s="32"/>
      <c r="R4489" s="32"/>
      <c r="S4489" s="32"/>
      <c r="T4489" s="32"/>
      <c r="U4489" s="32"/>
      <c r="V4489" s="32"/>
      <c r="W4489" s="32"/>
      <c r="X4489" s="32"/>
      <c r="Y4489" s="32"/>
      <c r="Z4489" s="32"/>
    </row>
    <row r="4490" spans="1:26" ht="14.25" customHeight="1"/>
    <row r="4491" spans="1:26" ht="14.25" customHeight="1"/>
    <row r="4492" spans="1:26" ht="14.25" customHeight="1"/>
    <row r="4493" spans="1:26" ht="14.25" customHeight="1"/>
    <row r="4494" spans="1:26" ht="14.25" customHeight="1"/>
    <row r="4495" spans="1:26" ht="14.25" customHeight="1"/>
    <row r="4496" spans="1:26" ht="14.25" customHeight="1">
      <c r="A4496" s="80" t="s">
        <v>0</v>
      </c>
      <c r="B4496" s="81"/>
      <c r="C4496" s="81"/>
      <c r="D4496" s="81"/>
      <c r="E4496" s="81"/>
      <c r="F4496" s="81"/>
      <c r="G4496" s="81"/>
      <c r="H4496" s="82"/>
      <c r="I4496" s="32"/>
      <c r="J4496" s="32"/>
      <c r="K4496" s="32"/>
      <c r="L4496" s="32"/>
      <c r="M4496" s="32"/>
      <c r="N4496" s="32"/>
      <c r="O4496" s="32"/>
      <c r="P4496" s="32"/>
      <c r="Q4496" s="32"/>
      <c r="R4496" s="32"/>
      <c r="S4496" s="32"/>
      <c r="T4496" s="32"/>
      <c r="U4496" s="32"/>
      <c r="V4496" s="32"/>
      <c r="W4496" s="32"/>
      <c r="X4496" s="32"/>
      <c r="Y4496" s="32"/>
      <c r="Z4496" s="32"/>
    </row>
    <row r="4497" spans="1:26" ht="14.25" customHeight="1">
      <c r="A4497" s="80" t="s">
        <v>1127</v>
      </c>
      <c r="B4497" s="81"/>
      <c r="C4497" s="81"/>
      <c r="D4497" s="81"/>
      <c r="E4497" s="81"/>
      <c r="F4497" s="81"/>
      <c r="G4497" s="81"/>
      <c r="H4497" s="82"/>
      <c r="I4497" s="32"/>
      <c r="J4497" s="32"/>
      <c r="K4497" s="32"/>
      <c r="L4497" s="32"/>
      <c r="M4497" s="32"/>
      <c r="N4497" s="32"/>
      <c r="O4497" s="32"/>
      <c r="P4497" s="32"/>
      <c r="Q4497" s="32"/>
      <c r="R4497" s="32"/>
      <c r="S4497" s="32"/>
      <c r="T4497" s="32"/>
      <c r="U4497" s="32"/>
      <c r="V4497" s="32"/>
      <c r="W4497" s="32"/>
      <c r="X4497" s="32"/>
      <c r="Y4497" s="32"/>
      <c r="Z4497" s="32"/>
    </row>
    <row r="4498" spans="1:26" ht="14.25" customHeight="1">
      <c r="A4498" s="33" t="s">
        <v>2</v>
      </c>
      <c r="B4498" s="33" t="s">
        <v>3</v>
      </c>
      <c r="C4498" s="33" t="s">
        <v>4</v>
      </c>
      <c r="D4498" s="33" t="s">
        <v>5</v>
      </c>
      <c r="E4498" s="33" t="s">
        <v>6</v>
      </c>
      <c r="F4498" s="34" t="s">
        <v>7</v>
      </c>
      <c r="G4498" s="33" t="s">
        <v>8</v>
      </c>
      <c r="H4498" s="35"/>
      <c r="I4498" s="32"/>
      <c r="J4498" s="32"/>
      <c r="K4498" s="32"/>
      <c r="L4498" s="32"/>
      <c r="M4498" s="32"/>
      <c r="N4498" s="32"/>
      <c r="O4498" s="32"/>
      <c r="P4498" s="32"/>
      <c r="Q4498" s="32"/>
      <c r="R4498" s="32"/>
      <c r="S4498" s="32"/>
      <c r="T4498" s="32"/>
      <c r="U4498" s="32"/>
      <c r="V4498" s="32"/>
      <c r="W4498" s="32"/>
      <c r="X4498" s="32"/>
      <c r="Y4498" s="32"/>
      <c r="Z4498" s="32"/>
    </row>
    <row r="4499" spans="1:26" ht="14.25" customHeight="1">
      <c r="A4499" s="36">
        <v>1</v>
      </c>
      <c r="B4499" s="18" t="s">
        <v>121</v>
      </c>
      <c r="C4499" s="5" t="s">
        <v>1128</v>
      </c>
      <c r="D4499" s="18" t="s">
        <v>11</v>
      </c>
      <c r="E4499" s="18">
        <v>2</v>
      </c>
      <c r="F4499" s="6">
        <v>293000</v>
      </c>
      <c r="G4499" s="37">
        <f t="shared" ref="G4499:G4501" si="286">IFERROR(E4499*F4499,0)</f>
        <v>586000</v>
      </c>
      <c r="H4499" s="38"/>
      <c r="I4499" s="32"/>
      <c r="J4499" s="32"/>
      <c r="K4499" s="32"/>
      <c r="L4499" s="32"/>
      <c r="M4499" s="32"/>
      <c r="N4499" s="32"/>
      <c r="O4499" s="32"/>
      <c r="P4499" s="32"/>
      <c r="Q4499" s="32"/>
      <c r="R4499" s="32"/>
      <c r="S4499" s="32"/>
      <c r="T4499" s="32"/>
      <c r="U4499" s="32"/>
      <c r="V4499" s="32"/>
      <c r="W4499" s="32"/>
      <c r="X4499" s="32"/>
      <c r="Y4499" s="32"/>
      <c r="Z4499" s="32"/>
    </row>
    <row r="4500" spans="1:26" ht="14.25" customHeight="1">
      <c r="A4500" s="36">
        <v>2</v>
      </c>
      <c r="B4500" s="12" t="s">
        <v>33</v>
      </c>
      <c r="C4500" s="10" t="s">
        <v>1129</v>
      </c>
      <c r="D4500" s="12" t="s">
        <v>14</v>
      </c>
      <c r="E4500" s="12">
        <v>1.45</v>
      </c>
      <c r="F4500" s="43">
        <v>435000</v>
      </c>
      <c r="G4500" s="37">
        <f t="shared" si="286"/>
        <v>630750</v>
      </c>
      <c r="H4500" s="38"/>
      <c r="I4500" s="32"/>
      <c r="J4500" s="32"/>
      <c r="K4500" s="32"/>
      <c r="L4500" s="32"/>
      <c r="M4500" s="32"/>
      <c r="N4500" s="32"/>
      <c r="O4500" s="32"/>
      <c r="P4500" s="32"/>
      <c r="Q4500" s="32"/>
      <c r="R4500" s="32"/>
      <c r="S4500" s="32"/>
      <c r="T4500" s="32"/>
      <c r="U4500" s="32"/>
      <c r="V4500" s="32"/>
      <c r="W4500" s="32"/>
      <c r="X4500" s="32"/>
      <c r="Y4500" s="32"/>
      <c r="Z4500" s="32"/>
    </row>
    <row r="4501" spans="1:26" ht="14.25" customHeight="1">
      <c r="A4501" s="36">
        <v>4</v>
      </c>
      <c r="B4501" s="39" t="s">
        <v>17</v>
      </c>
      <c r="C4501" s="38"/>
      <c r="D4501" s="38"/>
      <c r="E4501" s="38"/>
      <c r="F4501" s="60"/>
      <c r="G4501" s="37">
        <f t="shared" si="286"/>
        <v>0</v>
      </c>
      <c r="H4501" s="38"/>
      <c r="I4501" s="32"/>
      <c r="J4501" s="32"/>
      <c r="K4501" s="32"/>
      <c r="L4501" s="32"/>
      <c r="M4501" s="32"/>
      <c r="N4501" s="32"/>
      <c r="O4501" s="32"/>
      <c r="P4501" s="32"/>
      <c r="Q4501" s="32"/>
      <c r="R4501" s="32"/>
      <c r="S4501" s="32"/>
      <c r="T4501" s="32"/>
      <c r="U4501" s="32"/>
      <c r="V4501" s="32"/>
      <c r="W4501" s="32"/>
      <c r="X4501" s="32"/>
      <c r="Y4501" s="32"/>
      <c r="Z4501" s="32"/>
    </row>
    <row r="4502" spans="1:26" ht="14.25" customHeight="1">
      <c r="A4502" s="83" t="s">
        <v>18</v>
      </c>
      <c r="B4502" s="81"/>
      <c r="C4502" s="81"/>
      <c r="D4502" s="81"/>
      <c r="E4502" s="81"/>
      <c r="F4502" s="81"/>
      <c r="G4502" s="82"/>
      <c r="H4502" s="41">
        <f>SUM(G4499:G4501)</f>
        <v>1216750</v>
      </c>
      <c r="I4502" s="32"/>
      <c r="J4502" s="32"/>
      <c r="K4502" s="32"/>
      <c r="L4502" s="32"/>
      <c r="M4502" s="32"/>
      <c r="N4502" s="32"/>
      <c r="O4502" s="32"/>
      <c r="P4502" s="32"/>
      <c r="Q4502" s="32"/>
      <c r="R4502" s="32"/>
      <c r="S4502" s="32"/>
      <c r="T4502" s="32"/>
      <c r="U4502" s="32"/>
      <c r="V4502" s="32"/>
      <c r="W4502" s="32"/>
      <c r="X4502" s="32"/>
      <c r="Y4502" s="32"/>
      <c r="Z4502" s="32"/>
    </row>
    <row r="4503" spans="1:26" ht="14.25" customHeight="1">
      <c r="A4503" s="83" t="s">
        <v>19</v>
      </c>
      <c r="B4503" s="81"/>
      <c r="C4503" s="81"/>
      <c r="D4503" s="81"/>
      <c r="E4503" s="81"/>
      <c r="F4503" s="81"/>
      <c r="G4503" s="82"/>
      <c r="H4503" s="41">
        <f>MAX(0,H4502-648000)</f>
        <v>568750</v>
      </c>
      <c r="I4503" s="32"/>
      <c r="J4503" s="32"/>
      <c r="K4503" s="32"/>
      <c r="L4503" s="32"/>
      <c r="M4503" s="32"/>
      <c r="N4503" s="32"/>
      <c r="O4503" s="32"/>
      <c r="P4503" s="32"/>
      <c r="Q4503" s="32"/>
      <c r="R4503" s="32"/>
      <c r="S4503" s="32"/>
      <c r="T4503" s="32"/>
      <c r="U4503" s="32"/>
      <c r="V4503" s="32"/>
      <c r="W4503" s="32"/>
      <c r="X4503" s="32"/>
      <c r="Y4503" s="32"/>
      <c r="Z4503" s="32"/>
    </row>
    <row r="4504" spans="1:26" ht="14.25" customHeight="1">
      <c r="A4504" s="84" t="s">
        <v>20</v>
      </c>
      <c r="B4504" s="81"/>
      <c r="C4504" s="81"/>
      <c r="D4504" s="81"/>
      <c r="E4504" s="81"/>
      <c r="F4504" s="81"/>
      <c r="G4504" s="82"/>
      <c r="H4504" s="42">
        <v>649000</v>
      </c>
      <c r="I4504" s="32"/>
      <c r="J4504" s="32"/>
      <c r="K4504" s="32"/>
      <c r="L4504" s="32"/>
      <c r="M4504" s="32"/>
      <c r="N4504" s="32"/>
      <c r="O4504" s="32"/>
      <c r="P4504" s="32"/>
      <c r="Q4504" s="32"/>
      <c r="R4504" s="32"/>
      <c r="S4504" s="32"/>
      <c r="T4504" s="32"/>
      <c r="U4504" s="32"/>
      <c r="V4504" s="32"/>
      <c r="W4504" s="32"/>
      <c r="X4504" s="32"/>
      <c r="Y4504" s="32"/>
      <c r="Z4504" s="32"/>
    </row>
    <row r="4505" spans="1:26" ht="14.25" customHeight="1">
      <c r="A4505" s="80"/>
      <c r="B4505" s="81"/>
      <c r="C4505" s="81"/>
      <c r="D4505" s="81"/>
      <c r="E4505" s="81"/>
      <c r="F4505" s="81"/>
      <c r="G4505" s="81"/>
      <c r="H4505" s="82"/>
      <c r="I4505" s="32"/>
      <c r="J4505" s="32"/>
      <c r="K4505" s="32"/>
      <c r="L4505" s="32"/>
      <c r="M4505" s="32"/>
      <c r="N4505" s="32"/>
      <c r="O4505" s="32"/>
      <c r="P4505" s="32"/>
      <c r="Q4505" s="32"/>
      <c r="R4505" s="32"/>
      <c r="S4505" s="32"/>
      <c r="T4505" s="32"/>
      <c r="U4505" s="32"/>
      <c r="V4505" s="32"/>
      <c r="W4505" s="32"/>
      <c r="X4505" s="32"/>
      <c r="Y4505" s="32"/>
      <c r="Z4505" s="32"/>
    </row>
    <row r="4506" spans="1:26" ht="14.25" customHeight="1"/>
    <row r="4507" spans="1:26" ht="14.25" customHeight="1"/>
    <row r="4508" spans="1:26" ht="14.25" customHeight="1"/>
    <row r="4509" spans="1:26" ht="14.25" customHeight="1"/>
    <row r="4510" spans="1:26" ht="14.25" customHeight="1"/>
    <row r="4511" spans="1:26" ht="14.25" customHeight="1"/>
    <row r="4512" spans="1:26" ht="14.25" customHeight="1">
      <c r="A4512" s="80" t="s">
        <v>0</v>
      </c>
      <c r="B4512" s="81"/>
      <c r="C4512" s="81"/>
      <c r="D4512" s="81"/>
      <c r="E4512" s="81"/>
      <c r="F4512" s="81"/>
      <c r="G4512" s="81"/>
      <c r="H4512" s="82"/>
      <c r="I4512" s="32"/>
      <c r="J4512" s="32"/>
      <c r="K4512" s="32"/>
      <c r="L4512" s="32"/>
      <c r="M4512" s="32"/>
      <c r="N4512" s="32"/>
      <c r="O4512" s="32"/>
      <c r="P4512" s="32"/>
      <c r="Q4512" s="32"/>
      <c r="R4512" s="32"/>
      <c r="S4512" s="32"/>
      <c r="T4512" s="32"/>
      <c r="U4512" s="32"/>
      <c r="V4512" s="32"/>
      <c r="W4512" s="32"/>
      <c r="X4512" s="32"/>
      <c r="Y4512" s="32"/>
      <c r="Z4512" s="32"/>
    </row>
    <row r="4513" spans="1:26" ht="14.25" customHeight="1">
      <c r="A4513" s="80" t="s">
        <v>1130</v>
      </c>
      <c r="B4513" s="81"/>
      <c r="C4513" s="81"/>
      <c r="D4513" s="81"/>
      <c r="E4513" s="81"/>
      <c r="F4513" s="81"/>
      <c r="G4513" s="81"/>
      <c r="H4513" s="82"/>
      <c r="I4513" s="32"/>
      <c r="J4513" s="32"/>
      <c r="K4513" s="32"/>
      <c r="L4513" s="32"/>
      <c r="M4513" s="32"/>
      <c r="N4513" s="32"/>
      <c r="O4513" s="32"/>
      <c r="P4513" s="32"/>
      <c r="Q4513" s="32"/>
      <c r="R4513" s="32"/>
      <c r="S4513" s="32"/>
      <c r="T4513" s="32"/>
      <c r="U4513" s="32"/>
      <c r="V4513" s="32"/>
      <c r="W4513" s="32"/>
      <c r="X4513" s="32"/>
      <c r="Y4513" s="32"/>
      <c r="Z4513" s="32"/>
    </row>
    <row r="4514" spans="1:26" ht="14.25" customHeight="1">
      <c r="A4514" s="33" t="s">
        <v>2</v>
      </c>
      <c r="B4514" s="33" t="s">
        <v>3</v>
      </c>
      <c r="C4514" s="33" t="s">
        <v>4</v>
      </c>
      <c r="D4514" s="33" t="s">
        <v>5</v>
      </c>
      <c r="E4514" s="33" t="s">
        <v>6</v>
      </c>
      <c r="F4514" s="34" t="s">
        <v>7</v>
      </c>
      <c r="G4514" s="33" t="s">
        <v>8</v>
      </c>
      <c r="H4514" s="35"/>
      <c r="I4514" s="32"/>
      <c r="J4514" s="32"/>
      <c r="K4514" s="32"/>
      <c r="L4514" s="32"/>
      <c r="M4514" s="32"/>
      <c r="N4514" s="32"/>
      <c r="O4514" s="32"/>
      <c r="P4514" s="32"/>
      <c r="Q4514" s="32"/>
      <c r="R4514" s="32"/>
      <c r="S4514" s="32"/>
      <c r="T4514" s="32"/>
      <c r="U4514" s="32"/>
      <c r="V4514" s="32"/>
      <c r="W4514" s="32"/>
      <c r="X4514" s="32"/>
      <c r="Y4514" s="32"/>
      <c r="Z4514" s="32"/>
    </row>
    <row r="4515" spans="1:26" ht="14.25" customHeight="1">
      <c r="A4515" s="36">
        <v>1</v>
      </c>
      <c r="B4515" s="18" t="s">
        <v>351</v>
      </c>
      <c r="C4515" s="5" t="s">
        <v>1131</v>
      </c>
      <c r="D4515" s="18" t="s">
        <v>11</v>
      </c>
      <c r="E4515" s="18">
        <v>1.7</v>
      </c>
      <c r="F4515" s="6">
        <v>293000</v>
      </c>
      <c r="G4515" s="37">
        <f t="shared" ref="G4515:G4517" si="287">IFERROR(E4515*F4515,0)</f>
        <v>498100</v>
      </c>
      <c r="H4515" s="38"/>
      <c r="I4515" s="32"/>
      <c r="J4515" s="32"/>
      <c r="K4515" s="32"/>
      <c r="L4515" s="32"/>
      <c r="M4515" s="32"/>
      <c r="N4515" s="32"/>
      <c r="O4515" s="32"/>
      <c r="P4515" s="32"/>
      <c r="Q4515" s="32"/>
      <c r="R4515" s="32"/>
      <c r="S4515" s="32"/>
      <c r="T4515" s="32"/>
      <c r="U4515" s="32"/>
      <c r="V4515" s="32"/>
      <c r="W4515" s="32"/>
      <c r="X4515" s="32"/>
      <c r="Y4515" s="32"/>
      <c r="Z4515" s="32"/>
    </row>
    <row r="4516" spans="1:26" ht="14.25" customHeight="1">
      <c r="A4516" s="36">
        <v>2</v>
      </c>
      <c r="B4516" s="12" t="s">
        <v>73</v>
      </c>
      <c r="C4516" s="10" t="s">
        <v>1132</v>
      </c>
      <c r="D4516" s="12" t="s">
        <v>233</v>
      </c>
      <c r="E4516" s="12">
        <v>1.7</v>
      </c>
      <c r="F4516" s="43">
        <v>435000</v>
      </c>
      <c r="G4516" s="37">
        <f t="shared" si="287"/>
        <v>739500</v>
      </c>
      <c r="H4516" s="38"/>
      <c r="I4516" s="32"/>
      <c r="J4516" s="32"/>
      <c r="K4516" s="32"/>
      <c r="L4516" s="32"/>
      <c r="M4516" s="32"/>
      <c r="N4516" s="32"/>
      <c r="O4516" s="32"/>
      <c r="P4516" s="32"/>
      <c r="Q4516" s="32"/>
      <c r="R4516" s="32"/>
      <c r="S4516" s="32"/>
      <c r="T4516" s="32"/>
      <c r="U4516" s="32"/>
      <c r="V4516" s="32"/>
      <c r="W4516" s="32"/>
      <c r="X4516" s="32"/>
      <c r="Y4516" s="32"/>
      <c r="Z4516" s="32"/>
    </row>
    <row r="4517" spans="1:26" ht="14.25" customHeight="1">
      <c r="A4517" s="36">
        <v>4</v>
      </c>
      <c r="B4517" s="39" t="s">
        <v>17</v>
      </c>
      <c r="C4517" s="38"/>
      <c r="D4517" s="38"/>
      <c r="E4517" s="38"/>
      <c r="F4517" s="60"/>
      <c r="G4517" s="37">
        <f t="shared" si="287"/>
        <v>0</v>
      </c>
      <c r="H4517" s="38"/>
      <c r="I4517" s="32"/>
      <c r="J4517" s="32"/>
      <c r="K4517" s="32"/>
      <c r="L4517" s="32"/>
      <c r="M4517" s="32"/>
      <c r="N4517" s="32"/>
      <c r="O4517" s="32"/>
      <c r="P4517" s="32"/>
      <c r="Q4517" s="32"/>
      <c r="R4517" s="32"/>
      <c r="S4517" s="32"/>
      <c r="T4517" s="32"/>
      <c r="U4517" s="32"/>
      <c r="V4517" s="32"/>
      <c r="W4517" s="32"/>
      <c r="X4517" s="32"/>
      <c r="Y4517" s="32"/>
      <c r="Z4517" s="32"/>
    </row>
    <row r="4518" spans="1:26" ht="14.25" customHeight="1">
      <c r="A4518" s="83" t="s">
        <v>18</v>
      </c>
      <c r="B4518" s="81"/>
      <c r="C4518" s="81"/>
      <c r="D4518" s="81"/>
      <c r="E4518" s="81"/>
      <c r="F4518" s="81"/>
      <c r="G4518" s="82"/>
      <c r="H4518" s="41">
        <f>SUM(G4515:G4517)</f>
        <v>1237600</v>
      </c>
      <c r="I4518" s="32"/>
      <c r="J4518" s="32"/>
      <c r="K4518" s="32"/>
      <c r="L4518" s="32"/>
      <c r="M4518" s="32"/>
      <c r="N4518" s="32"/>
      <c r="O4518" s="32"/>
      <c r="P4518" s="32"/>
      <c r="Q4518" s="32"/>
      <c r="R4518" s="32"/>
      <c r="S4518" s="32"/>
      <c r="T4518" s="32"/>
      <c r="U4518" s="32"/>
      <c r="V4518" s="32"/>
      <c r="W4518" s="32"/>
      <c r="X4518" s="32"/>
      <c r="Y4518" s="32"/>
      <c r="Z4518" s="32"/>
    </row>
    <row r="4519" spans="1:26" ht="14.25" customHeight="1">
      <c r="A4519" s="83" t="s">
        <v>19</v>
      </c>
      <c r="B4519" s="81"/>
      <c r="C4519" s="81"/>
      <c r="D4519" s="81"/>
      <c r="E4519" s="81"/>
      <c r="F4519" s="81"/>
      <c r="G4519" s="82"/>
      <c r="H4519" s="41">
        <f>MAX(0,H4518-648000)</f>
        <v>589600</v>
      </c>
      <c r="I4519" s="32"/>
      <c r="J4519" s="32"/>
      <c r="K4519" s="32"/>
      <c r="L4519" s="32"/>
      <c r="M4519" s="32"/>
      <c r="N4519" s="32"/>
      <c r="O4519" s="32"/>
      <c r="P4519" s="32"/>
      <c r="Q4519" s="32"/>
      <c r="R4519" s="32"/>
      <c r="S4519" s="32"/>
      <c r="T4519" s="32"/>
      <c r="U4519" s="32"/>
      <c r="V4519" s="32"/>
      <c r="W4519" s="32"/>
      <c r="X4519" s="32"/>
      <c r="Y4519" s="32"/>
      <c r="Z4519" s="32"/>
    </row>
    <row r="4520" spans="1:26" ht="14.25" customHeight="1">
      <c r="A4520" s="84" t="s">
        <v>20</v>
      </c>
      <c r="B4520" s="81"/>
      <c r="C4520" s="81"/>
      <c r="D4520" s="81"/>
      <c r="E4520" s="81"/>
      <c r="F4520" s="81"/>
      <c r="G4520" s="82"/>
      <c r="H4520" s="42">
        <v>649000</v>
      </c>
      <c r="I4520" s="32"/>
      <c r="J4520" s="32"/>
      <c r="K4520" s="32"/>
      <c r="L4520" s="32"/>
      <c r="M4520" s="32"/>
      <c r="N4520" s="32"/>
      <c r="O4520" s="32"/>
      <c r="P4520" s="32"/>
      <c r="Q4520" s="32"/>
      <c r="R4520" s="32"/>
      <c r="S4520" s="32"/>
      <c r="T4520" s="32"/>
      <c r="U4520" s="32"/>
      <c r="V4520" s="32"/>
      <c r="W4520" s="32"/>
      <c r="X4520" s="32"/>
      <c r="Y4520" s="32"/>
      <c r="Z4520" s="32"/>
    </row>
    <row r="4521" spans="1:26" ht="14.25" customHeight="1">
      <c r="A4521" s="80"/>
      <c r="B4521" s="81"/>
      <c r="C4521" s="81"/>
      <c r="D4521" s="81"/>
      <c r="E4521" s="81"/>
      <c r="F4521" s="81"/>
      <c r="G4521" s="81"/>
      <c r="H4521" s="82"/>
      <c r="I4521" s="32"/>
      <c r="J4521" s="32"/>
      <c r="K4521" s="32"/>
      <c r="L4521" s="32"/>
      <c r="M4521" s="32"/>
      <c r="N4521" s="32"/>
      <c r="O4521" s="32"/>
      <c r="P4521" s="32"/>
      <c r="Q4521" s="32"/>
      <c r="R4521" s="32"/>
      <c r="S4521" s="32"/>
      <c r="T4521" s="32"/>
      <c r="U4521" s="32"/>
      <c r="V4521" s="32"/>
      <c r="W4521" s="32"/>
      <c r="X4521" s="32"/>
      <c r="Y4521" s="32"/>
      <c r="Z4521" s="32"/>
    </row>
    <row r="4522" spans="1:26" ht="14.25" customHeight="1"/>
    <row r="4523" spans="1:26" ht="14.25" customHeight="1"/>
    <row r="4524" spans="1:26" ht="14.25" customHeight="1"/>
    <row r="4525" spans="1:26" ht="14.25" customHeight="1"/>
    <row r="4526" spans="1:26" ht="14.25" customHeight="1"/>
    <row r="4527" spans="1:26" ht="14.25" customHeight="1"/>
    <row r="4528" spans="1:26" ht="14.25" customHeight="1"/>
    <row r="4529" spans="1:26" ht="14.25" customHeight="1"/>
    <row r="4530" spans="1:26" ht="14.25" customHeight="1"/>
    <row r="4531" spans="1:26" ht="14.25" customHeight="1">
      <c r="A4531" s="80" t="s">
        <v>0</v>
      </c>
      <c r="B4531" s="81"/>
      <c r="C4531" s="81"/>
      <c r="D4531" s="81"/>
      <c r="E4531" s="81"/>
      <c r="F4531" s="81"/>
      <c r="G4531" s="81"/>
      <c r="H4531" s="82"/>
      <c r="I4531" s="32"/>
      <c r="J4531" s="32"/>
      <c r="K4531" s="32"/>
      <c r="L4531" s="32"/>
      <c r="M4531" s="32"/>
      <c r="N4531" s="32"/>
      <c r="O4531" s="32"/>
      <c r="P4531" s="32"/>
      <c r="Q4531" s="32"/>
      <c r="R4531" s="32"/>
      <c r="S4531" s="32"/>
      <c r="T4531" s="32"/>
      <c r="U4531" s="32"/>
      <c r="V4531" s="32"/>
      <c r="W4531" s="32"/>
      <c r="X4531" s="32"/>
      <c r="Y4531" s="32"/>
      <c r="Z4531" s="32"/>
    </row>
    <row r="4532" spans="1:26" ht="14.25" customHeight="1">
      <c r="A4532" s="80" t="s">
        <v>1133</v>
      </c>
      <c r="B4532" s="81"/>
      <c r="C4532" s="81"/>
      <c r="D4532" s="81"/>
      <c r="E4532" s="81"/>
      <c r="F4532" s="81"/>
      <c r="G4532" s="81"/>
      <c r="H4532" s="82"/>
      <c r="I4532" s="32"/>
      <c r="J4532" s="32"/>
      <c r="K4532" s="32"/>
      <c r="L4532" s="32"/>
      <c r="M4532" s="32"/>
      <c r="N4532" s="32"/>
      <c r="O4532" s="32"/>
      <c r="P4532" s="32"/>
      <c r="Q4532" s="32"/>
      <c r="R4532" s="32"/>
      <c r="S4532" s="32"/>
      <c r="T4532" s="32"/>
      <c r="U4532" s="32"/>
      <c r="V4532" s="32"/>
      <c r="W4532" s="32"/>
      <c r="X4532" s="32"/>
      <c r="Y4532" s="32"/>
      <c r="Z4532" s="32"/>
    </row>
    <row r="4533" spans="1:26" ht="14.25" customHeight="1">
      <c r="A4533" s="33" t="s">
        <v>2</v>
      </c>
      <c r="B4533" s="33" t="s">
        <v>3</v>
      </c>
      <c r="C4533" s="33" t="s">
        <v>4</v>
      </c>
      <c r="D4533" s="33" t="s">
        <v>5</v>
      </c>
      <c r="E4533" s="33" t="s">
        <v>6</v>
      </c>
      <c r="F4533" s="34" t="s">
        <v>7</v>
      </c>
      <c r="G4533" s="33" t="s">
        <v>8</v>
      </c>
      <c r="H4533" s="35"/>
      <c r="I4533" s="32"/>
      <c r="J4533" s="32"/>
      <c r="K4533" s="32"/>
      <c r="L4533" s="32"/>
      <c r="M4533" s="32"/>
      <c r="N4533" s="32"/>
      <c r="O4533" s="32"/>
      <c r="P4533" s="32"/>
      <c r="Q4533" s="32"/>
      <c r="R4533" s="32"/>
      <c r="S4533" s="32"/>
      <c r="T4533" s="32"/>
      <c r="U4533" s="32"/>
      <c r="V4533" s="32"/>
      <c r="W4533" s="32"/>
      <c r="X4533" s="32"/>
      <c r="Y4533" s="32"/>
      <c r="Z4533" s="32"/>
    </row>
    <row r="4534" spans="1:26" ht="14.25" customHeight="1">
      <c r="A4534" s="36">
        <v>1</v>
      </c>
      <c r="B4534" s="18" t="s">
        <v>563</v>
      </c>
      <c r="C4534" s="5" t="s">
        <v>1134</v>
      </c>
      <c r="D4534" s="18" t="s">
        <v>11</v>
      </c>
      <c r="E4534" s="18">
        <v>1.7</v>
      </c>
      <c r="F4534" s="6">
        <v>293000</v>
      </c>
      <c r="G4534" s="37">
        <f t="shared" ref="G4534:G4536" si="288">IFERROR(E4534*F4534,0)</f>
        <v>498100</v>
      </c>
      <c r="H4534" s="38"/>
      <c r="I4534" s="32"/>
      <c r="J4534" s="32"/>
      <c r="K4534" s="32"/>
      <c r="L4534" s="32"/>
      <c r="M4534" s="32"/>
      <c r="N4534" s="32"/>
      <c r="O4534" s="32"/>
      <c r="P4534" s="32"/>
      <c r="Q4534" s="32"/>
      <c r="R4534" s="32"/>
      <c r="S4534" s="32"/>
      <c r="T4534" s="32"/>
      <c r="U4534" s="32"/>
      <c r="V4534" s="32"/>
      <c r="W4534" s="32"/>
      <c r="X4534" s="32"/>
      <c r="Y4534" s="32"/>
      <c r="Z4534" s="32"/>
    </row>
    <row r="4535" spans="1:26" ht="14.25" customHeight="1">
      <c r="A4535" s="36">
        <v>2</v>
      </c>
      <c r="B4535" s="12" t="s">
        <v>1135</v>
      </c>
      <c r="C4535" s="10" t="s">
        <v>1136</v>
      </c>
      <c r="D4535" s="12" t="s">
        <v>14</v>
      </c>
      <c r="E4535" s="12">
        <v>1.7</v>
      </c>
      <c r="F4535" s="43">
        <v>435000</v>
      </c>
      <c r="G4535" s="37">
        <f t="shared" si="288"/>
        <v>739500</v>
      </c>
      <c r="H4535" s="38"/>
      <c r="I4535" s="32"/>
      <c r="J4535" s="32"/>
      <c r="K4535" s="32"/>
      <c r="L4535" s="32"/>
      <c r="M4535" s="32"/>
      <c r="N4535" s="32"/>
      <c r="O4535" s="32"/>
      <c r="P4535" s="32"/>
      <c r="Q4535" s="32"/>
      <c r="R4535" s="32"/>
      <c r="S4535" s="32"/>
      <c r="T4535" s="32"/>
      <c r="U4535" s="32"/>
      <c r="V4535" s="32"/>
      <c r="W4535" s="32"/>
      <c r="X4535" s="32"/>
      <c r="Y4535" s="32"/>
      <c r="Z4535" s="32"/>
    </row>
    <row r="4536" spans="1:26" ht="14.25" customHeight="1">
      <c r="A4536" s="36">
        <v>4</v>
      </c>
      <c r="B4536" s="39" t="s">
        <v>17</v>
      </c>
      <c r="C4536" s="38"/>
      <c r="D4536" s="38"/>
      <c r="E4536" s="38"/>
      <c r="F4536" s="60"/>
      <c r="G4536" s="37">
        <f t="shared" si="288"/>
        <v>0</v>
      </c>
      <c r="H4536" s="38"/>
      <c r="I4536" s="32"/>
      <c r="J4536" s="32"/>
      <c r="K4536" s="32"/>
      <c r="L4536" s="32"/>
      <c r="M4536" s="32"/>
      <c r="N4536" s="32"/>
      <c r="O4536" s="32"/>
      <c r="P4536" s="32"/>
      <c r="Q4536" s="32"/>
      <c r="R4536" s="32"/>
      <c r="S4536" s="32"/>
      <c r="T4536" s="32"/>
      <c r="U4536" s="32"/>
      <c r="V4536" s="32"/>
      <c r="W4536" s="32"/>
      <c r="X4536" s="32"/>
      <c r="Y4536" s="32"/>
      <c r="Z4536" s="32"/>
    </row>
    <row r="4537" spans="1:26" ht="14.25" customHeight="1">
      <c r="A4537" s="83" t="s">
        <v>18</v>
      </c>
      <c r="B4537" s="81"/>
      <c r="C4537" s="81"/>
      <c r="D4537" s="81"/>
      <c r="E4537" s="81"/>
      <c r="F4537" s="81"/>
      <c r="G4537" s="82"/>
      <c r="H4537" s="41">
        <f>SUM(G4534:G4536)</f>
        <v>1237600</v>
      </c>
      <c r="I4537" s="32"/>
      <c r="J4537" s="32"/>
      <c r="K4537" s="32"/>
      <c r="L4537" s="32"/>
      <c r="M4537" s="32"/>
      <c r="N4537" s="32"/>
      <c r="O4537" s="32"/>
      <c r="P4537" s="32"/>
      <c r="Q4537" s="32"/>
      <c r="R4537" s="32"/>
      <c r="S4537" s="32"/>
      <c r="T4537" s="32"/>
      <c r="U4537" s="32"/>
      <c r="V4537" s="32"/>
      <c r="W4537" s="32"/>
      <c r="X4537" s="32"/>
      <c r="Y4537" s="32"/>
      <c r="Z4537" s="32"/>
    </row>
    <row r="4538" spans="1:26" ht="14.25" customHeight="1">
      <c r="A4538" s="83" t="s">
        <v>19</v>
      </c>
      <c r="B4538" s="81"/>
      <c r="C4538" s="81"/>
      <c r="D4538" s="81"/>
      <c r="E4538" s="81"/>
      <c r="F4538" s="81"/>
      <c r="G4538" s="82"/>
      <c r="H4538" s="41">
        <f>MAX(0,H4537-648000)</f>
        <v>589600</v>
      </c>
      <c r="I4538" s="32"/>
      <c r="J4538" s="32"/>
      <c r="K4538" s="32"/>
      <c r="L4538" s="32"/>
      <c r="M4538" s="32"/>
      <c r="N4538" s="32"/>
      <c r="O4538" s="32"/>
      <c r="P4538" s="32"/>
      <c r="Q4538" s="32"/>
      <c r="R4538" s="32"/>
      <c r="S4538" s="32"/>
      <c r="T4538" s="32"/>
      <c r="U4538" s="32"/>
      <c r="V4538" s="32"/>
      <c r="W4538" s="32"/>
      <c r="X4538" s="32"/>
      <c r="Y4538" s="32"/>
      <c r="Z4538" s="32"/>
    </row>
    <row r="4539" spans="1:26" ht="14.25" customHeight="1">
      <c r="A4539" s="84" t="s">
        <v>20</v>
      </c>
      <c r="B4539" s="81"/>
      <c r="C4539" s="81"/>
      <c r="D4539" s="81"/>
      <c r="E4539" s="81"/>
      <c r="F4539" s="81"/>
      <c r="G4539" s="82"/>
      <c r="H4539" s="42">
        <v>649000</v>
      </c>
      <c r="I4539" s="32"/>
      <c r="J4539" s="32"/>
      <c r="K4539" s="32"/>
      <c r="L4539" s="32"/>
      <c r="M4539" s="32"/>
      <c r="N4539" s="32"/>
      <c r="O4539" s="32"/>
      <c r="P4539" s="32"/>
      <c r="Q4539" s="32"/>
      <c r="R4539" s="32"/>
      <c r="S4539" s="32"/>
      <c r="T4539" s="32"/>
      <c r="U4539" s="32"/>
      <c r="V4539" s="32"/>
      <c r="W4539" s="32"/>
      <c r="X4539" s="32"/>
      <c r="Y4539" s="32"/>
      <c r="Z4539" s="32"/>
    </row>
    <row r="4540" spans="1:26" ht="14.25" customHeight="1">
      <c r="A4540" s="80"/>
      <c r="B4540" s="81"/>
      <c r="C4540" s="81"/>
      <c r="D4540" s="81"/>
      <c r="E4540" s="81"/>
      <c r="F4540" s="81"/>
      <c r="G4540" s="81"/>
      <c r="H4540" s="82"/>
      <c r="I4540" s="32"/>
      <c r="J4540" s="32"/>
      <c r="K4540" s="32"/>
      <c r="L4540" s="32"/>
      <c r="M4540" s="32"/>
      <c r="N4540" s="32"/>
      <c r="O4540" s="32"/>
      <c r="P4540" s="32"/>
      <c r="Q4540" s="32"/>
      <c r="R4540" s="32"/>
      <c r="S4540" s="32"/>
      <c r="T4540" s="32"/>
      <c r="U4540" s="32"/>
      <c r="V4540" s="32"/>
      <c r="W4540" s="32"/>
      <c r="X4540" s="32"/>
      <c r="Y4540" s="32"/>
      <c r="Z4540" s="32"/>
    </row>
    <row r="4541" spans="1:26" ht="14.25" customHeight="1"/>
    <row r="4542" spans="1:26" ht="14.25" customHeight="1"/>
    <row r="4543" spans="1:26" ht="14.25" customHeight="1"/>
    <row r="4544" spans="1:26" ht="14.25" customHeight="1"/>
    <row r="4545" spans="1:26" ht="14.25" customHeight="1"/>
    <row r="4546" spans="1:26" ht="14.25" customHeight="1"/>
    <row r="4547" spans="1:26" ht="14.25" customHeight="1"/>
    <row r="4548" spans="1:26" ht="14.25" customHeight="1">
      <c r="A4548" s="80" t="s">
        <v>0</v>
      </c>
      <c r="B4548" s="81"/>
      <c r="C4548" s="81"/>
      <c r="D4548" s="81"/>
      <c r="E4548" s="81"/>
      <c r="F4548" s="81"/>
      <c r="G4548" s="81"/>
      <c r="H4548" s="82"/>
      <c r="I4548" s="32"/>
      <c r="J4548" s="32"/>
      <c r="K4548" s="32"/>
      <c r="L4548" s="32"/>
      <c r="M4548" s="32"/>
      <c r="N4548" s="32"/>
      <c r="O4548" s="32"/>
      <c r="P4548" s="32"/>
      <c r="Q4548" s="32"/>
      <c r="R4548" s="32"/>
      <c r="S4548" s="32"/>
      <c r="T4548" s="32"/>
      <c r="U4548" s="32"/>
      <c r="V4548" s="32"/>
      <c r="W4548" s="32"/>
      <c r="X4548" s="32"/>
      <c r="Y4548" s="32"/>
      <c r="Z4548" s="32"/>
    </row>
    <row r="4549" spans="1:26" ht="14.25" customHeight="1">
      <c r="A4549" s="80" t="s">
        <v>1137</v>
      </c>
      <c r="B4549" s="81"/>
      <c r="C4549" s="81"/>
      <c r="D4549" s="81"/>
      <c r="E4549" s="81"/>
      <c r="F4549" s="81"/>
      <c r="G4549" s="81"/>
      <c r="H4549" s="82"/>
      <c r="I4549" s="32"/>
      <c r="J4549" s="32"/>
      <c r="K4549" s="32"/>
      <c r="L4549" s="32"/>
      <c r="M4549" s="32"/>
      <c r="N4549" s="32"/>
      <c r="O4549" s="32"/>
      <c r="P4549" s="32"/>
      <c r="Q4549" s="32"/>
      <c r="R4549" s="32"/>
      <c r="S4549" s="32"/>
      <c r="T4549" s="32"/>
      <c r="U4549" s="32"/>
      <c r="V4549" s="32"/>
      <c r="W4549" s="32"/>
      <c r="X4549" s="32"/>
      <c r="Y4549" s="32"/>
      <c r="Z4549" s="32"/>
    </row>
    <row r="4550" spans="1:26" ht="14.25" customHeight="1">
      <c r="A4550" s="33" t="s">
        <v>2</v>
      </c>
      <c r="B4550" s="33" t="s">
        <v>3</v>
      </c>
      <c r="C4550" s="33" t="s">
        <v>4</v>
      </c>
      <c r="D4550" s="33" t="s">
        <v>5</v>
      </c>
      <c r="E4550" s="33" t="s">
        <v>6</v>
      </c>
      <c r="F4550" s="34" t="s">
        <v>7</v>
      </c>
      <c r="G4550" s="33" t="s">
        <v>8</v>
      </c>
      <c r="H4550" s="35"/>
      <c r="I4550" s="32"/>
      <c r="J4550" s="32"/>
      <c r="K4550" s="32"/>
      <c r="L4550" s="32"/>
      <c r="M4550" s="32"/>
      <c r="N4550" s="32"/>
      <c r="O4550" s="32"/>
      <c r="P4550" s="32"/>
      <c r="Q4550" s="32"/>
      <c r="R4550" s="32"/>
      <c r="S4550" s="32"/>
      <c r="T4550" s="32"/>
      <c r="U4550" s="32"/>
      <c r="V4550" s="32"/>
      <c r="W4550" s="32"/>
      <c r="X4550" s="32"/>
      <c r="Y4550" s="32"/>
      <c r="Z4550" s="32"/>
    </row>
    <row r="4551" spans="1:26" ht="14.25" customHeight="1">
      <c r="A4551" s="36">
        <v>1</v>
      </c>
      <c r="B4551" s="18" t="s">
        <v>1053</v>
      </c>
      <c r="C4551" s="5" t="s">
        <v>1054</v>
      </c>
      <c r="D4551" s="18" t="s">
        <v>413</v>
      </c>
      <c r="E4551" s="18">
        <v>2.75</v>
      </c>
      <c r="F4551" s="6">
        <v>293000</v>
      </c>
      <c r="G4551" s="37">
        <f t="shared" ref="G4551:G4553" si="289">IFERROR(E4551*F4551,0)</f>
        <v>805750</v>
      </c>
      <c r="H4551" s="38"/>
      <c r="I4551" s="32"/>
      <c r="J4551" s="32"/>
      <c r="K4551" s="32"/>
      <c r="L4551" s="32"/>
      <c r="M4551" s="32"/>
      <c r="N4551" s="32"/>
      <c r="O4551" s="32"/>
      <c r="P4551" s="32"/>
      <c r="Q4551" s="32"/>
      <c r="R4551" s="32"/>
      <c r="S4551" s="32"/>
      <c r="T4551" s="32"/>
      <c r="U4551" s="32"/>
      <c r="V4551" s="32"/>
      <c r="W4551" s="32"/>
      <c r="X4551" s="32"/>
      <c r="Y4551" s="32"/>
      <c r="Z4551" s="32"/>
    </row>
    <row r="4552" spans="1:26" ht="14.25" customHeight="1">
      <c r="A4552" s="36">
        <v>2</v>
      </c>
      <c r="B4552" s="12" t="s">
        <v>549</v>
      </c>
      <c r="C4552" s="10" t="s">
        <v>1138</v>
      </c>
      <c r="D4552" s="12" t="s">
        <v>233</v>
      </c>
      <c r="E4552" s="12">
        <v>0.97</v>
      </c>
      <c r="F4552" s="43">
        <v>435000</v>
      </c>
      <c r="G4552" s="37">
        <f t="shared" si="289"/>
        <v>421950</v>
      </c>
      <c r="H4552" s="38"/>
      <c r="I4552" s="32"/>
      <c r="J4552" s="32"/>
      <c r="K4552" s="32"/>
      <c r="L4552" s="32"/>
      <c r="M4552" s="32"/>
      <c r="N4552" s="32"/>
      <c r="O4552" s="32"/>
      <c r="P4552" s="32"/>
      <c r="Q4552" s="32"/>
      <c r="R4552" s="32"/>
      <c r="S4552" s="32"/>
      <c r="T4552" s="32"/>
      <c r="U4552" s="32"/>
      <c r="V4552" s="32"/>
      <c r="W4552" s="32"/>
      <c r="X4552" s="32"/>
      <c r="Y4552" s="32"/>
      <c r="Z4552" s="32"/>
    </row>
    <row r="4553" spans="1:26" ht="14.25" customHeight="1">
      <c r="A4553" s="36">
        <v>4</v>
      </c>
      <c r="B4553" s="39" t="s">
        <v>17</v>
      </c>
      <c r="C4553" s="38"/>
      <c r="D4553" s="38"/>
      <c r="E4553" s="38"/>
      <c r="F4553" s="60"/>
      <c r="G4553" s="37">
        <f t="shared" si="289"/>
        <v>0</v>
      </c>
      <c r="H4553" s="38"/>
      <c r="I4553" s="32"/>
      <c r="J4553" s="32"/>
      <c r="K4553" s="32"/>
      <c r="L4553" s="32"/>
      <c r="M4553" s="32"/>
      <c r="N4553" s="32"/>
      <c r="O4553" s="32"/>
      <c r="P4553" s="32"/>
      <c r="Q4553" s="32"/>
      <c r="R4553" s="32"/>
      <c r="S4553" s="32"/>
      <c r="T4553" s="32"/>
      <c r="U4553" s="32"/>
      <c r="V4553" s="32"/>
      <c r="W4553" s="32"/>
      <c r="X4553" s="32"/>
      <c r="Y4553" s="32"/>
      <c r="Z4553" s="32"/>
    </row>
    <row r="4554" spans="1:26" ht="14.25" customHeight="1">
      <c r="A4554" s="83" t="s">
        <v>18</v>
      </c>
      <c r="B4554" s="81"/>
      <c r="C4554" s="81"/>
      <c r="D4554" s="81"/>
      <c r="E4554" s="81"/>
      <c r="F4554" s="81"/>
      <c r="G4554" s="82"/>
      <c r="H4554" s="41">
        <f>SUM(G4551:G4553)</f>
        <v>1227700</v>
      </c>
      <c r="I4554" s="32"/>
      <c r="J4554" s="32"/>
      <c r="K4554" s="32"/>
      <c r="L4554" s="32"/>
      <c r="M4554" s="32"/>
      <c r="N4554" s="32"/>
      <c r="O4554" s="32"/>
      <c r="P4554" s="32"/>
      <c r="Q4554" s="32"/>
      <c r="R4554" s="32"/>
      <c r="S4554" s="32"/>
      <c r="T4554" s="32"/>
      <c r="U4554" s="32"/>
      <c r="V4554" s="32"/>
      <c r="W4554" s="32"/>
      <c r="X4554" s="32"/>
      <c r="Y4554" s="32"/>
      <c r="Z4554" s="32"/>
    </row>
    <row r="4555" spans="1:26" ht="14.25" customHeight="1">
      <c r="A4555" s="83" t="s">
        <v>19</v>
      </c>
      <c r="B4555" s="81"/>
      <c r="C4555" s="81"/>
      <c r="D4555" s="81"/>
      <c r="E4555" s="81"/>
      <c r="F4555" s="81"/>
      <c r="G4555" s="82"/>
      <c r="H4555" s="41">
        <f>MAX(0,H4554-648000)</f>
        <v>579700</v>
      </c>
      <c r="I4555" s="32"/>
      <c r="J4555" s="32"/>
      <c r="K4555" s="32"/>
      <c r="L4555" s="32"/>
      <c r="M4555" s="32"/>
      <c r="N4555" s="32"/>
      <c r="O4555" s="32"/>
      <c r="P4555" s="32"/>
      <c r="Q4555" s="32"/>
      <c r="R4555" s="32"/>
      <c r="S4555" s="32"/>
      <c r="T4555" s="32"/>
      <c r="U4555" s="32"/>
      <c r="V4555" s="32"/>
      <c r="W4555" s="32"/>
      <c r="X4555" s="32"/>
      <c r="Y4555" s="32"/>
      <c r="Z4555" s="32"/>
    </row>
    <row r="4556" spans="1:26" ht="14.25" customHeight="1">
      <c r="A4556" s="84" t="s">
        <v>20</v>
      </c>
      <c r="B4556" s="81"/>
      <c r="C4556" s="81"/>
      <c r="D4556" s="81"/>
      <c r="E4556" s="81"/>
      <c r="F4556" s="81"/>
      <c r="G4556" s="82"/>
      <c r="H4556" s="42">
        <v>649000</v>
      </c>
      <c r="I4556" s="32"/>
      <c r="J4556" s="32"/>
      <c r="K4556" s="32"/>
      <c r="L4556" s="32"/>
      <c r="M4556" s="32"/>
      <c r="N4556" s="32"/>
      <c r="O4556" s="32"/>
      <c r="P4556" s="32"/>
      <c r="Q4556" s="32"/>
      <c r="R4556" s="32"/>
      <c r="S4556" s="32"/>
      <c r="T4556" s="32"/>
      <c r="U4556" s="32"/>
      <c r="V4556" s="32"/>
      <c r="W4556" s="32"/>
      <c r="X4556" s="32"/>
      <c r="Y4556" s="32"/>
      <c r="Z4556" s="32"/>
    </row>
    <row r="4557" spans="1:26" ht="14.25" customHeight="1">
      <c r="A4557" s="80"/>
      <c r="B4557" s="81"/>
      <c r="C4557" s="81"/>
      <c r="D4557" s="81"/>
      <c r="E4557" s="81"/>
      <c r="F4557" s="81"/>
      <c r="G4557" s="81"/>
      <c r="H4557" s="82"/>
      <c r="I4557" s="32"/>
      <c r="J4557" s="32"/>
      <c r="K4557" s="32"/>
      <c r="L4557" s="32"/>
      <c r="M4557" s="32"/>
      <c r="N4557" s="32"/>
      <c r="O4557" s="32"/>
      <c r="P4557" s="32"/>
      <c r="Q4557" s="32"/>
      <c r="R4557" s="32"/>
      <c r="S4557" s="32"/>
      <c r="T4557" s="32"/>
      <c r="U4557" s="32"/>
      <c r="V4557" s="32"/>
      <c r="W4557" s="32"/>
      <c r="X4557" s="32"/>
      <c r="Y4557" s="32"/>
      <c r="Z4557" s="32"/>
    </row>
    <row r="4558" spans="1:26" ht="14.25" customHeight="1"/>
    <row r="4559" spans="1:26" ht="14.25" customHeight="1"/>
    <row r="4560" spans="1:26" ht="14.25" customHeight="1"/>
    <row r="4561" spans="1:26" ht="14.25" customHeight="1"/>
    <row r="4562" spans="1:26" ht="14.25" customHeight="1"/>
    <row r="4563" spans="1:26" ht="14.25" customHeight="1"/>
    <row r="4564" spans="1:26" ht="14.25" customHeight="1"/>
    <row r="4565" spans="1:26" ht="14.25" customHeight="1"/>
    <row r="4566" spans="1:26" ht="14.25" customHeight="1"/>
    <row r="4567" spans="1:26" ht="14.25" customHeight="1">
      <c r="A4567" s="80" t="s">
        <v>0</v>
      </c>
      <c r="B4567" s="81"/>
      <c r="C4567" s="81"/>
      <c r="D4567" s="81"/>
      <c r="E4567" s="81"/>
      <c r="F4567" s="81"/>
      <c r="G4567" s="81"/>
      <c r="H4567" s="82"/>
      <c r="I4567" s="32"/>
      <c r="J4567" s="32"/>
      <c r="K4567" s="32"/>
      <c r="L4567" s="32"/>
      <c r="M4567" s="32"/>
      <c r="N4567" s="32"/>
      <c r="O4567" s="32"/>
      <c r="P4567" s="32"/>
      <c r="Q4567" s="32"/>
      <c r="R4567" s="32"/>
      <c r="S4567" s="32"/>
      <c r="T4567" s="32"/>
      <c r="U4567" s="32"/>
      <c r="V4567" s="32"/>
      <c r="W4567" s="32"/>
      <c r="X4567" s="32"/>
      <c r="Y4567" s="32"/>
      <c r="Z4567" s="32"/>
    </row>
    <row r="4568" spans="1:26" ht="14.25" customHeight="1">
      <c r="A4568" s="80" t="s">
        <v>1139</v>
      </c>
      <c r="B4568" s="81"/>
      <c r="C4568" s="81"/>
      <c r="D4568" s="81"/>
      <c r="E4568" s="81"/>
      <c r="F4568" s="81"/>
      <c r="G4568" s="81"/>
      <c r="H4568" s="82"/>
      <c r="I4568" s="32"/>
      <c r="J4568" s="32"/>
      <c r="K4568" s="32"/>
      <c r="L4568" s="32"/>
      <c r="M4568" s="32"/>
      <c r="N4568" s="32"/>
      <c r="O4568" s="32"/>
      <c r="P4568" s="32"/>
      <c r="Q4568" s="32"/>
      <c r="R4568" s="32"/>
      <c r="S4568" s="32"/>
      <c r="T4568" s="32"/>
      <c r="U4568" s="32"/>
      <c r="V4568" s="32"/>
      <c r="W4568" s="32"/>
      <c r="X4568" s="32"/>
      <c r="Y4568" s="32"/>
      <c r="Z4568" s="32"/>
    </row>
    <row r="4569" spans="1:26" ht="14.25" customHeight="1">
      <c r="A4569" s="33" t="s">
        <v>2</v>
      </c>
      <c r="B4569" s="33" t="s">
        <v>3</v>
      </c>
      <c r="C4569" s="33" t="s">
        <v>4</v>
      </c>
      <c r="D4569" s="33" t="s">
        <v>5</v>
      </c>
      <c r="E4569" s="33" t="s">
        <v>6</v>
      </c>
      <c r="F4569" s="34" t="s">
        <v>7</v>
      </c>
      <c r="G4569" s="33" t="s">
        <v>8</v>
      </c>
      <c r="H4569" s="35"/>
      <c r="I4569" s="32"/>
      <c r="J4569" s="32"/>
      <c r="K4569" s="32"/>
      <c r="L4569" s="32"/>
      <c r="M4569" s="32"/>
      <c r="N4569" s="32"/>
      <c r="O4569" s="32"/>
      <c r="P4569" s="32"/>
      <c r="Q4569" s="32"/>
      <c r="R4569" s="32"/>
      <c r="S4569" s="32"/>
      <c r="T4569" s="32"/>
      <c r="U4569" s="32"/>
      <c r="V4569" s="32"/>
      <c r="W4569" s="32"/>
      <c r="X4569" s="32"/>
      <c r="Y4569" s="32"/>
      <c r="Z4569" s="32"/>
    </row>
    <row r="4570" spans="1:26" ht="14.25" customHeight="1">
      <c r="A4570" s="36">
        <v>1</v>
      </c>
      <c r="B4570" s="18" t="s">
        <v>203</v>
      </c>
      <c r="C4570" s="5" t="s">
        <v>1140</v>
      </c>
      <c r="D4570" s="18" t="s">
        <v>11</v>
      </c>
      <c r="E4570" s="18">
        <v>2</v>
      </c>
      <c r="F4570" s="6">
        <v>293000</v>
      </c>
      <c r="G4570" s="37">
        <f t="shared" ref="G4570:G4572" si="290">IFERROR(E4570*F4570,0)</f>
        <v>586000</v>
      </c>
      <c r="H4570" s="38"/>
      <c r="I4570" s="32"/>
      <c r="J4570" s="32"/>
      <c r="K4570" s="32"/>
      <c r="L4570" s="32"/>
      <c r="M4570" s="32"/>
      <c r="N4570" s="32"/>
      <c r="O4570" s="32"/>
      <c r="P4570" s="32"/>
      <c r="Q4570" s="32"/>
      <c r="R4570" s="32"/>
      <c r="S4570" s="32"/>
      <c r="T4570" s="32"/>
      <c r="U4570" s="32"/>
      <c r="V4570" s="32"/>
      <c r="W4570" s="32"/>
      <c r="X4570" s="32"/>
      <c r="Y4570" s="32"/>
      <c r="Z4570" s="32"/>
    </row>
    <row r="4571" spans="1:26" ht="14.25" customHeight="1">
      <c r="A4571" s="36">
        <v>2</v>
      </c>
      <c r="B4571" s="12" t="s">
        <v>668</v>
      </c>
      <c r="C4571" s="10">
        <v>3856</v>
      </c>
      <c r="D4571" s="12" t="s">
        <v>14</v>
      </c>
      <c r="E4571" s="12">
        <v>1.56</v>
      </c>
      <c r="F4571" s="43">
        <v>435000</v>
      </c>
      <c r="G4571" s="37">
        <f t="shared" si="290"/>
        <v>678600</v>
      </c>
      <c r="H4571" s="38"/>
      <c r="I4571" s="32"/>
      <c r="J4571" s="32"/>
      <c r="K4571" s="32"/>
      <c r="L4571" s="32"/>
      <c r="M4571" s="32"/>
      <c r="N4571" s="32"/>
      <c r="O4571" s="32"/>
      <c r="P4571" s="32"/>
      <c r="Q4571" s="32"/>
      <c r="R4571" s="32"/>
      <c r="S4571" s="32"/>
      <c r="T4571" s="32"/>
      <c r="U4571" s="32"/>
      <c r="V4571" s="32"/>
      <c r="W4571" s="32"/>
      <c r="X4571" s="32"/>
      <c r="Y4571" s="32"/>
      <c r="Z4571" s="32"/>
    </row>
    <row r="4572" spans="1:26" ht="14.25" customHeight="1">
      <c r="A4572" s="36">
        <v>4</v>
      </c>
      <c r="B4572" s="39" t="s">
        <v>17</v>
      </c>
      <c r="C4572" s="38"/>
      <c r="D4572" s="38"/>
      <c r="E4572" s="38"/>
      <c r="F4572" s="60"/>
      <c r="G4572" s="37">
        <f t="shared" si="290"/>
        <v>0</v>
      </c>
      <c r="H4572" s="38"/>
      <c r="I4572" s="32"/>
      <c r="J4572" s="32"/>
      <c r="K4572" s="32"/>
      <c r="L4572" s="32"/>
      <c r="M4572" s="32"/>
      <c r="N4572" s="32"/>
      <c r="O4572" s="32"/>
      <c r="P4572" s="32"/>
      <c r="Q4572" s="32"/>
      <c r="R4572" s="32"/>
      <c r="S4572" s="32"/>
      <c r="T4572" s="32"/>
      <c r="U4572" s="32"/>
      <c r="V4572" s="32"/>
      <c r="W4572" s="32"/>
      <c r="X4572" s="32"/>
      <c r="Y4572" s="32"/>
      <c r="Z4572" s="32"/>
    </row>
    <row r="4573" spans="1:26" ht="14.25" customHeight="1">
      <c r="A4573" s="83" t="s">
        <v>18</v>
      </c>
      <c r="B4573" s="81"/>
      <c r="C4573" s="81"/>
      <c r="D4573" s="81"/>
      <c r="E4573" s="81"/>
      <c r="F4573" s="81"/>
      <c r="G4573" s="82"/>
      <c r="H4573" s="41">
        <f>SUM(G4570:G4572)</f>
        <v>1264600</v>
      </c>
      <c r="I4573" s="32"/>
      <c r="J4573" s="32"/>
      <c r="K4573" s="32"/>
      <c r="L4573" s="32"/>
      <c r="M4573" s="32"/>
      <c r="N4573" s="32"/>
      <c r="O4573" s="32"/>
      <c r="P4573" s="32"/>
      <c r="Q4573" s="32"/>
      <c r="R4573" s="32"/>
      <c r="S4573" s="32"/>
      <c r="T4573" s="32"/>
      <c r="U4573" s="32"/>
      <c r="V4573" s="32"/>
      <c r="W4573" s="32"/>
      <c r="X4573" s="32"/>
      <c r="Y4573" s="32"/>
      <c r="Z4573" s="32"/>
    </row>
    <row r="4574" spans="1:26" ht="14.25" customHeight="1">
      <c r="A4574" s="83" t="s">
        <v>19</v>
      </c>
      <c r="B4574" s="81"/>
      <c r="C4574" s="81"/>
      <c r="D4574" s="81"/>
      <c r="E4574" s="81"/>
      <c r="F4574" s="81"/>
      <c r="G4574" s="82"/>
      <c r="H4574" s="41">
        <f>MAX(0,H4573-648000)</f>
        <v>616600</v>
      </c>
      <c r="I4574" s="32"/>
      <c r="J4574" s="32"/>
      <c r="K4574" s="32"/>
      <c r="L4574" s="32"/>
      <c r="M4574" s="32"/>
      <c r="N4574" s="32"/>
      <c r="O4574" s="32"/>
      <c r="P4574" s="32"/>
      <c r="Q4574" s="32"/>
      <c r="R4574" s="32"/>
      <c r="S4574" s="32"/>
      <c r="T4574" s="32"/>
      <c r="U4574" s="32"/>
      <c r="V4574" s="32"/>
      <c r="W4574" s="32"/>
      <c r="X4574" s="32"/>
      <c r="Y4574" s="32"/>
      <c r="Z4574" s="32"/>
    </row>
    <row r="4575" spans="1:26" ht="14.25" customHeight="1">
      <c r="A4575" s="84" t="s">
        <v>20</v>
      </c>
      <c r="B4575" s="81"/>
      <c r="C4575" s="81"/>
      <c r="D4575" s="81"/>
      <c r="E4575" s="81"/>
      <c r="F4575" s="81"/>
      <c r="G4575" s="82"/>
      <c r="H4575" s="42">
        <v>649000</v>
      </c>
      <c r="I4575" s="32"/>
      <c r="J4575" s="32"/>
      <c r="K4575" s="32"/>
      <c r="L4575" s="32"/>
      <c r="M4575" s="32"/>
      <c r="N4575" s="32"/>
      <c r="O4575" s="32"/>
      <c r="P4575" s="32"/>
      <c r="Q4575" s="32"/>
      <c r="R4575" s="32"/>
      <c r="S4575" s="32"/>
      <c r="T4575" s="32"/>
      <c r="U4575" s="32"/>
      <c r="V4575" s="32"/>
      <c r="W4575" s="32"/>
      <c r="X4575" s="32"/>
      <c r="Y4575" s="32"/>
      <c r="Z4575" s="32"/>
    </row>
    <row r="4576" spans="1:26" ht="14.25" customHeight="1">
      <c r="A4576" s="80"/>
      <c r="B4576" s="81"/>
      <c r="C4576" s="81"/>
      <c r="D4576" s="81"/>
      <c r="E4576" s="81"/>
      <c r="F4576" s="81"/>
      <c r="G4576" s="81"/>
      <c r="H4576" s="82"/>
      <c r="I4576" s="32"/>
      <c r="J4576" s="32"/>
      <c r="K4576" s="32"/>
      <c r="L4576" s="32"/>
      <c r="M4576" s="32"/>
      <c r="N4576" s="32"/>
      <c r="O4576" s="32"/>
      <c r="P4576" s="32"/>
      <c r="Q4576" s="32"/>
      <c r="R4576" s="32"/>
      <c r="S4576" s="32"/>
      <c r="T4576" s="32"/>
      <c r="U4576" s="32"/>
      <c r="V4576" s="32"/>
      <c r="W4576" s="32"/>
      <c r="X4576" s="32"/>
      <c r="Y4576" s="32"/>
      <c r="Z4576" s="32"/>
    </row>
    <row r="4577" spans="1:26" ht="14.25" customHeight="1"/>
    <row r="4578" spans="1:26" ht="14.25" customHeight="1"/>
    <row r="4579" spans="1:26" ht="14.25" customHeight="1"/>
    <row r="4580" spans="1:26" ht="14.25" customHeight="1"/>
    <row r="4581" spans="1:26" ht="14.25" customHeight="1"/>
    <row r="4582" spans="1:26" ht="14.25" customHeight="1"/>
    <row r="4583" spans="1:26" ht="14.25" customHeight="1"/>
    <row r="4584" spans="1:26" ht="14.25" customHeight="1"/>
    <row r="4585" spans="1:26" ht="14.25" customHeight="1">
      <c r="A4585" s="80" t="s">
        <v>0</v>
      </c>
      <c r="B4585" s="81"/>
      <c r="C4585" s="81"/>
      <c r="D4585" s="81"/>
      <c r="E4585" s="81"/>
      <c r="F4585" s="81"/>
      <c r="G4585" s="81"/>
      <c r="H4585" s="82"/>
      <c r="I4585" s="32"/>
      <c r="J4585" s="32"/>
      <c r="K4585" s="32"/>
      <c r="L4585" s="32"/>
      <c r="M4585" s="32"/>
      <c r="N4585" s="32"/>
      <c r="O4585" s="32"/>
      <c r="P4585" s="32"/>
      <c r="Q4585" s="32"/>
      <c r="R4585" s="32"/>
      <c r="S4585" s="32"/>
      <c r="T4585" s="32"/>
      <c r="U4585" s="32"/>
      <c r="V4585" s="32"/>
      <c r="W4585" s="32"/>
      <c r="X4585" s="32"/>
      <c r="Y4585" s="32"/>
      <c r="Z4585" s="32"/>
    </row>
    <row r="4586" spans="1:26" ht="14.25" customHeight="1">
      <c r="A4586" s="80" t="s">
        <v>1141</v>
      </c>
      <c r="B4586" s="81"/>
      <c r="C4586" s="81"/>
      <c r="D4586" s="81"/>
      <c r="E4586" s="81"/>
      <c r="F4586" s="81"/>
      <c r="G4586" s="81"/>
      <c r="H4586" s="82"/>
      <c r="I4586" s="32"/>
      <c r="J4586" s="32"/>
      <c r="K4586" s="32"/>
      <c r="L4586" s="32"/>
      <c r="M4586" s="32"/>
      <c r="N4586" s="32"/>
      <c r="O4586" s="32"/>
      <c r="P4586" s="32"/>
      <c r="Q4586" s="32"/>
      <c r="R4586" s="32"/>
      <c r="S4586" s="32"/>
      <c r="T4586" s="32"/>
      <c r="U4586" s="32"/>
      <c r="V4586" s="32"/>
      <c r="W4586" s="32"/>
      <c r="X4586" s="32"/>
      <c r="Y4586" s="32"/>
      <c r="Z4586" s="32"/>
    </row>
    <row r="4587" spans="1:26" ht="14.25" customHeight="1">
      <c r="A4587" s="33" t="s">
        <v>2</v>
      </c>
      <c r="B4587" s="33" t="s">
        <v>3</v>
      </c>
      <c r="C4587" s="33" t="s">
        <v>4</v>
      </c>
      <c r="D4587" s="33" t="s">
        <v>5</v>
      </c>
      <c r="E4587" s="33" t="s">
        <v>6</v>
      </c>
      <c r="F4587" s="34" t="s">
        <v>7</v>
      </c>
      <c r="G4587" s="33" t="s">
        <v>8</v>
      </c>
      <c r="H4587" s="35"/>
      <c r="I4587" s="32"/>
      <c r="J4587" s="32"/>
      <c r="K4587" s="32"/>
      <c r="L4587" s="32"/>
      <c r="M4587" s="32"/>
      <c r="N4587" s="32"/>
      <c r="O4587" s="32"/>
      <c r="P4587" s="32"/>
      <c r="Q4587" s="32"/>
      <c r="R4587" s="32"/>
      <c r="S4587" s="32"/>
      <c r="T4587" s="32"/>
      <c r="U4587" s="32"/>
      <c r="V4587" s="32"/>
      <c r="W4587" s="32"/>
      <c r="X4587" s="32"/>
      <c r="Y4587" s="32"/>
      <c r="Z4587" s="32"/>
    </row>
    <row r="4588" spans="1:26" ht="14.25" customHeight="1">
      <c r="A4588" s="36">
        <v>1</v>
      </c>
      <c r="B4588" s="18" t="s">
        <v>73</v>
      </c>
      <c r="C4588" s="5" t="s">
        <v>1142</v>
      </c>
      <c r="D4588" s="18" t="s">
        <v>413</v>
      </c>
      <c r="E4588" s="18">
        <v>2</v>
      </c>
      <c r="F4588" s="6">
        <v>293000</v>
      </c>
      <c r="G4588" s="37">
        <f t="shared" ref="G4588:G4590" si="291">IFERROR(E4588*F4588,0)</f>
        <v>586000</v>
      </c>
      <c r="H4588" s="38"/>
      <c r="I4588" s="32"/>
      <c r="J4588" s="32"/>
      <c r="K4588" s="32"/>
      <c r="L4588" s="32"/>
      <c r="M4588" s="32"/>
      <c r="N4588" s="32"/>
      <c r="O4588" s="32"/>
      <c r="P4588" s="32"/>
      <c r="Q4588" s="32"/>
      <c r="R4588" s="32"/>
      <c r="S4588" s="32"/>
      <c r="T4588" s="32"/>
      <c r="U4588" s="32"/>
      <c r="V4588" s="32"/>
      <c r="W4588" s="32"/>
      <c r="X4588" s="32"/>
      <c r="Y4588" s="32"/>
      <c r="Z4588" s="32"/>
    </row>
    <row r="4589" spans="1:26" ht="14.25" customHeight="1">
      <c r="A4589" s="36">
        <v>2</v>
      </c>
      <c r="B4589" s="12" t="s">
        <v>33</v>
      </c>
      <c r="C4589" s="10" t="s">
        <v>1143</v>
      </c>
      <c r="D4589" s="12" t="s">
        <v>14</v>
      </c>
      <c r="E4589" s="12">
        <v>1.45</v>
      </c>
      <c r="F4589" s="43">
        <v>435000</v>
      </c>
      <c r="G4589" s="37">
        <f t="shared" si="291"/>
        <v>630750</v>
      </c>
      <c r="H4589" s="38"/>
      <c r="I4589" s="32"/>
      <c r="J4589" s="32"/>
      <c r="K4589" s="32"/>
      <c r="L4589" s="32"/>
      <c r="M4589" s="32"/>
      <c r="N4589" s="32"/>
      <c r="O4589" s="32"/>
      <c r="P4589" s="32"/>
      <c r="Q4589" s="32"/>
      <c r="R4589" s="32"/>
      <c r="S4589" s="32"/>
      <c r="T4589" s="32"/>
      <c r="U4589" s="32"/>
      <c r="V4589" s="32"/>
      <c r="W4589" s="32"/>
      <c r="X4589" s="32"/>
      <c r="Y4589" s="32"/>
      <c r="Z4589" s="32"/>
    </row>
    <row r="4590" spans="1:26" ht="14.25" customHeight="1">
      <c r="A4590" s="36">
        <v>4</v>
      </c>
      <c r="B4590" s="39" t="s">
        <v>17</v>
      </c>
      <c r="C4590" s="38"/>
      <c r="D4590" s="38"/>
      <c r="E4590" s="38"/>
      <c r="F4590" s="60"/>
      <c r="G4590" s="37">
        <f t="shared" si="291"/>
        <v>0</v>
      </c>
      <c r="H4590" s="38"/>
      <c r="I4590" s="32"/>
      <c r="J4590" s="32"/>
      <c r="K4590" s="32"/>
      <c r="L4590" s="32"/>
      <c r="M4590" s="32"/>
      <c r="N4590" s="32"/>
      <c r="O4590" s="32"/>
      <c r="P4590" s="32"/>
      <c r="Q4590" s="32"/>
      <c r="R4590" s="32"/>
      <c r="S4590" s="32"/>
      <c r="T4590" s="32"/>
      <c r="U4590" s="32"/>
      <c r="V4590" s="32"/>
      <c r="W4590" s="32"/>
      <c r="X4590" s="32"/>
      <c r="Y4590" s="32"/>
      <c r="Z4590" s="32"/>
    </row>
    <row r="4591" spans="1:26" ht="14.25" customHeight="1">
      <c r="A4591" s="83" t="s">
        <v>18</v>
      </c>
      <c r="B4591" s="81"/>
      <c r="C4591" s="81"/>
      <c r="D4591" s="81"/>
      <c r="E4591" s="81"/>
      <c r="F4591" s="81"/>
      <c r="G4591" s="82"/>
      <c r="H4591" s="41">
        <f>SUM(G4588:G4590)</f>
        <v>1216750</v>
      </c>
      <c r="I4591" s="32"/>
      <c r="J4591" s="32"/>
      <c r="K4591" s="32"/>
      <c r="L4591" s="32"/>
      <c r="M4591" s="32"/>
      <c r="N4591" s="32"/>
      <c r="O4591" s="32"/>
      <c r="P4591" s="32"/>
      <c r="Q4591" s="32"/>
      <c r="R4591" s="32"/>
      <c r="S4591" s="32"/>
      <c r="T4591" s="32"/>
      <c r="U4591" s="32"/>
      <c r="V4591" s="32"/>
      <c r="W4591" s="32"/>
      <c r="X4591" s="32"/>
      <c r="Y4591" s="32"/>
      <c r="Z4591" s="32"/>
    </row>
    <row r="4592" spans="1:26" ht="14.25" customHeight="1">
      <c r="A4592" s="83" t="s">
        <v>19</v>
      </c>
      <c r="B4592" s="81"/>
      <c r="C4592" s="81"/>
      <c r="D4592" s="81"/>
      <c r="E4592" s="81"/>
      <c r="F4592" s="81"/>
      <c r="G4592" s="82"/>
      <c r="H4592" s="41">
        <f>MAX(0,H4591-648000)</f>
        <v>568750</v>
      </c>
      <c r="I4592" s="32"/>
      <c r="J4592" s="32"/>
      <c r="K4592" s="32"/>
      <c r="L4592" s="32"/>
      <c r="M4592" s="32"/>
      <c r="N4592" s="32"/>
      <c r="O4592" s="32"/>
      <c r="P4592" s="32"/>
      <c r="Q4592" s="32"/>
      <c r="R4592" s="32"/>
      <c r="S4592" s="32"/>
      <c r="T4592" s="32"/>
      <c r="U4592" s="32"/>
      <c r="V4592" s="32"/>
      <c r="W4592" s="32"/>
      <c r="X4592" s="32"/>
      <c r="Y4592" s="32"/>
      <c r="Z4592" s="32"/>
    </row>
    <row r="4593" spans="1:26" ht="14.25" customHeight="1">
      <c r="A4593" s="84" t="s">
        <v>20</v>
      </c>
      <c r="B4593" s="81"/>
      <c r="C4593" s="81"/>
      <c r="D4593" s="81"/>
      <c r="E4593" s="81"/>
      <c r="F4593" s="81"/>
      <c r="G4593" s="82"/>
      <c r="H4593" s="42">
        <v>649000</v>
      </c>
      <c r="I4593" s="32"/>
      <c r="J4593" s="32"/>
      <c r="K4593" s="32"/>
      <c r="L4593" s="32"/>
      <c r="M4593" s="32"/>
      <c r="N4593" s="32"/>
      <c r="O4593" s="32"/>
      <c r="P4593" s="32"/>
      <c r="Q4593" s="32"/>
      <c r="R4593" s="32"/>
      <c r="S4593" s="32"/>
      <c r="T4593" s="32"/>
      <c r="U4593" s="32"/>
      <c r="V4593" s="32"/>
      <c r="W4593" s="32"/>
      <c r="X4593" s="32"/>
      <c r="Y4593" s="32"/>
      <c r="Z4593" s="32"/>
    </row>
    <row r="4594" spans="1:26" ht="14.25" customHeight="1">
      <c r="A4594" s="80"/>
      <c r="B4594" s="81"/>
      <c r="C4594" s="81"/>
      <c r="D4594" s="81"/>
      <c r="E4594" s="81"/>
      <c r="F4594" s="81"/>
      <c r="G4594" s="81"/>
      <c r="H4594" s="82"/>
      <c r="I4594" s="32"/>
      <c r="J4594" s="32"/>
      <c r="K4594" s="32"/>
      <c r="L4594" s="32"/>
      <c r="M4594" s="32"/>
      <c r="N4594" s="32"/>
      <c r="O4594" s="32"/>
      <c r="P4594" s="32"/>
      <c r="Q4594" s="32"/>
      <c r="R4594" s="32"/>
      <c r="S4594" s="32"/>
      <c r="T4594" s="32"/>
      <c r="U4594" s="32"/>
      <c r="V4594" s="32"/>
      <c r="W4594" s="32"/>
      <c r="X4594" s="32"/>
      <c r="Y4594" s="32"/>
      <c r="Z4594" s="32"/>
    </row>
    <row r="4595" spans="1:26" ht="14.25" customHeight="1"/>
    <row r="4596" spans="1:26" ht="14.25" customHeight="1"/>
    <row r="4597" spans="1:26" ht="14.25" customHeight="1"/>
    <row r="4598" spans="1:26" ht="14.25" customHeight="1"/>
    <row r="4599" spans="1:26" ht="14.25" customHeight="1"/>
    <row r="4600" spans="1:26" ht="14.25" customHeight="1"/>
    <row r="4601" spans="1:26" ht="14.25" customHeight="1"/>
    <row r="4602" spans="1:26" ht="14.25" customHeight="1"/>
    <row r="4603" spans="1:26" ht="14.25" customHeight="1">
      <c r="A4603" s="80" t="s">
        <v>0</v>
      </c>
      <c r="B4603" s="81"/>
      <c r="C4603" s="81"/>
      <c r="D4603" s="81"/>
      <c r="E4603" s="81"/>
      <c r="F4603" s="81"/>
      <c r="G4603" s="81"/>
      <c r="H4603" s="82"/>
      <c r="I4603" s="32"/>
      <c r="J4603" s="32"/>
      <c r="K4603" s="32"/>
      <c r="L4603" s="32"/>
      <c r="M4603" s="32"/>
      <c r="N4603" s="32"/>
      <c r="O4603" s="32"/>
      <c r="P4603" s="32"/>
      <c r="Q4603" s="32"/>
      <c r="R4603" s="32"/>
      <c r="S4603" s="32"/>
      <c r="T4603" s="32"/>
      <c r="U4603" s="32"/>
      <c r="V4603" s="32"/>
      <c r="W4603" s="32"/>
      <c r="X4603" s="32"/>
      <c r="Y4603" s="32"/>
      <c r="Z4603" s="32"/>
    </row>
    <row r="4604" spans="1:26" ht="14.25" customHeight="1">
      <c r="A4604" s="80" t="s">
        <v>1144</v>
      </c>
      <c r="B4604" s="81"/>
      <c r="C4604" s="81"/>
      <c r="D4604" s="81"/>
      <c r="E4604" s="81"/>
      <c r="F4604" s="81"/>
      <c r="G4604" s="81"/>
      <c r="H4604" s="82"/>
      <c r="I4604" s="32"/>
      <c r="J4604" s="32"/>
      <c r="K4604" s="32"/>
      <c r="L4604" s="32"/>
      <c r="M4604" s="32"/>
      <c r="N4604" s="32"/>
      <c r="O4604" s="32"/>
      <c r="P4604" s="32"/>
      <c r="Q4604" s="32"/>
      <c r="R4604" s="32"/>
      <c r="S4604" s="32"/>
      <c r="T4604" s="32"/>
      <c r="U4604" s="32"/>
      <c r="V4604" s="32"/>
      <c r="W4604" s="32"/>
      <c r="X4604" s="32"/>
      <c r="Y4604" s="32"/>
      <c r="Z4604" s="32"/>
    </row>
    <row r="4605" spans="1:26" ht="14.25" customHeight="1">
      <c r="A4605" s="33" t="s">
        <v>2</v>
      </c>
      <c r="B4605" s="33" t="s">
        <v>3</v>
      </c>
      <c r="C4605" s="33" t="s">
        <v>4</v>
      </c>
      <c r="D4605" s="33" t="s">
        <v>5</v>
      </c>
      <c r="E4605" s="33" t="s">
        <v>6</v>
      </c>
      <c r="F4605" s="34" t="s">
        <v>7</v>
      </c>
      <c r="G4605" s="33" t="s">
        <v>8</v>
      </c>
      <c r="H4605" s="35"/>
      <c r="I4605" s="32"/>
      <c r="J4605" s="32"/>
      <c r="K4605" s="32"/>
      <c r="L4605" s="32"/>
      <c r="M4605" s="32"/>
      <c r="N4605" s="32"/>
      <c r="O4605" s="32"/>
      <c r="P4605" s="32"/>
      <c r="Q4605" s="32"/>
      <c r="R4605" s="32"/>
      <c r="S4605" s="32"/>
      <c r="T4605" s="32"/>
      <c r="U4605" s="32"/>
      <c r="V4605" s="32"/>
      <c r="W4605" s="32"/>
      <c r="X4605" s="32"/>
      <c r="Y4605" s="32"/>
      <c r="Z4605" s="32"/>
    </row>
    <row r="4606" spans="1:26" ht="14.25" customHeight="1">
      <c r="A4606" s="36">
        <v>1</v>
      </c>
      <c r="B4606" s="18" t="s">
        <v>376</v>
      </c>
      <c r="C4606" s="5" t="s">
        <v>1145</v>
      </c>
      <c r="D4606" s="18" t="s">
        <v>11</v>
      </c>
      <c r="E4606" s="18">
        <v>2</v>
      </c>
      <c r="F4606" s="6">
        <v>293000</v>
      </c>
      <c r="G4606" s="37">
        <f t="shared" ref="G4606:G4608" si="292">IFERROR(E4606*F4606,0)</f>
        <v>586000</v>
      </c>
      <c r="H4606" s="38"/>
      <c r="I4606" s="32"/>
      <c r="J4606" s="32"/>
      <c r="K4606" s="32"/>
      <c r="L4606" s="32"/>
      <c r="M4606" s="32"/>
      <c r="N4606" s="32"/>
      <c r="O4606" s="32"/>
      <c r="P4606" s="32"/>
      <c r="Q4606" s="32"/>
      <c r="R4606" s="32"/>
      <c r="S4606" s="32"/>
      <c r="T4606" s="32"/>
      <c r="U4606" s="32"/>
      <c r="V4606" s="32"/>
      <c r="W4606" s="32"/>
      <c r="X4606" s="32"/>
      <c r="Y4606" s="32"/>
      <c r="Z4606" s="32"/>
    </row>
    <row r="4607" spans="1:26" ht="14.25" customHeight="1">
      <c r="A4607" s="36">
        <v>2</v>
      </c>
      <c r="B4607" s="12" t="s">
        <v>578</v>
      </c>
      <c r="C4607" s="10" t="s">
        <v>1146</v>
      </c>
      <c r="D4607" s="12" t="s">
        <v>233</v>
      </c>
      <c r="E4607" s="12">
        <v>1.5</v>
      </c>
      <c r="F4607" s="43">
        <v>435000</v>
      </c>
      <c r="G4607" s="37">
        <f t="shared" si="292"/>
        <v>652500</v>
      </c>
      <c r="H4607" s="38"/>
      <c r="I4607" s="32"/>
      <c r="J4607" s="32"/>
      <c r="K4607" s="32"/>
      <c r="L4607" s="32"/>
      <c r="M4607" s="32"/>
      <c r="N4607" s="32"/>
      <c r="O4607" s="32"/>
      <c r="P4607" s="32"/>
      <c r="Q4607" s="32"/>
      <c r="R4607" s="32"/>
      <c r="S4607" s="32"/>
      <c r="T4607" s="32"/>
      <c r="U4607" s="32"/>
      <c r="V4607" s="32"/>
      <c r="W4607" s="32"/>
      <c r="X4607" s="32"/>
      <c r="Y4607" s="32"/>
      <c r="Z4607" s="32"/>
    </row>
    <row r="4608" spans="1:26" ht="14.25" customHeight="1">
      <c r="A4608" s="36">
        <v>4</v>
      </c>
      <c r="B4608" s="39" t="s">
        <v>17</v>
      </c>
      <c r="C4608" s="38"/>
      <c r="D4608" s="38"/>
      <c r="E4608" s="38"/>
      <c r="F4608" s="60"/>
      <c r="G4608" s="37">
        <f t="shared" si="292"/>
        <v>0</v>
      </c>
      <c r="H4608" s="38"/>
      <c r="I4608" s="32"/>
      <c r="J4608" s="32"/>
      <c r="K4608" s="32"/>
      <c r="L4608" s="32"/>
      <c r="M4608" s="32"/>
      <c r="N4608" s="32"/>
      <c r="O4608" s="32"/>
      <c r="P4608" s="32"/>
      <c r="Q4608" s="32"/>
      <c r="R4608" s="32"/>
      <c r="S4608" s="32"/>
      <c r="T4608" s="32"/>
      <c r="U4608" s="32"/>
      <c r="V4608" s="32"/>
      <c r="W4608" s="32"/>
      <c r="X4608" s="32"/>
      <c r="Y4608" s="32"/>
      <c r="Z4608" s="32"/>
    </row>
    <row r="4609" spans="1:26" ht="14.25" customHeight="1">
      <c r="A4609" s="83" t="s">
        <v>18</v>
      </c>
      <c r="B4609" s="81"/>
      <c r="C4609" s="81"/>
      <c r="D4609" s="81"/>
      <c r="E4609" s="81"/>
      <c r="F4609" s="81"/>
      <c r="G4609" s="82"/>
      <c r="H4609" s="41">
        <f>SUM(G4606:G4608)</f>
        <v>1238500</v>
      </c>
      <c r="I4609" s="32"/>
      <c r="J4609" s="32"/>
      <c r="K4609" s="32"/>
      <c r="L4609" s="32"/>
      <c r="M4609" s="32"/>
      <c r="N4609" s="32"/>
      <c r="O4609" s="32"/>
      <c r="P4609" s="32"/>
      <c r="Q4609" s="32"/>
      <c r="R4609" s="32"/>
      <c r="S4609" s="32"/>
      <c r="T4609" s="32"/>
      <c r="U4609" s="32"/>
      <c r="V4609" s="32"/>
      <c r="W4609" s="32"/>
      <c r="X4609" s="32"/>
      <c r="Y4609" s="32"/>
      <c r="Z4609" s="32"/>
    </row>
    <row r="4610" spans="1:26" ht="14.25" customHeight="1">
      <c r="A4610" s="83" t="s">
        <v>19</v>
      </c>
      <c r="B4610" s="81"/>
      <c r="C4610" s="81"/>
      <c r="D4610" s="81"/>
      <c r="E4610" s="81"/>
      <c r="F4610" s="81"/>
      <c r="G4610" s="82"/>
      <c r="H4610" s="41">
        <f>MAX(0,H4609-648000)</f>
        <v>590500</v>
      </c>
      <c r="I4610" s="32"/>
      <c r="J4610" s="32"/>
      <c r="K4610" s="32"/>
      <c r="L4610" s="32"/>
      <c r="M4610" s="32"/>
      <c r="N4610" s="32"/>
      <c r="O4610" s="32"/>
      <c r="P4610" s="32"/>
      <c r="Q4610" s="32"/>
      <c r="R4610" s="32"/>
      <c r="S4610" s="32"/>
      <c r="T4610" s="32"/>
      <c r="U4610" s="32"/>
      <c r="V4610" s="32"/>
      <c r="W4610" s="32"/>
      <c r="X4610" s="32"/>
      <c r="Y4610" s="32"/>
      <c r="Z4610" s="32"/>
    </row>
    <row r="4611" spans="1:26" ht="14.25" customHeight="1">
      <c r="A4611" s="84" t="s">
        <v>20</v>
      </c>
      <c r="B4611" s="81"/>
      <c r="C4611" s="81"/>
      <c r="D4611" s="81"/>
      <c r="E4611" s="81"/>
      <c r="F4611" s="81"/>
      <c r="G4611" s="82"/>
      <c r="H4611" s="42">
        <v>649000</v>
      </c>
      <c r="I4611" s="32"/>
      <c r="J4611" s="32"/>
      <c r="K4611" s="32"/>
      <c r="L4611" s="32"/>
      <c r="M4611" s="32"/>
      <c r="N4611" s="32"/>
      <c r="O4611" s="32"/>
      <c r="P4611" s="32"/>
      <c r="Q4611" s="32"/>
      <c r="R4611" s="32"/>
      <c r="S4611" s="32"/>
      <c r="T4611" s="32"/>
      <c r="U4611" s="32"/>
      <c r="V4611" s="32"/>
      <c r="W4611" s="32"/>
      <c r="X4611" s="32"/>
      <c r="Y4611" s="32"/>
      <c r="Z4611" s="32"/>
    </row>
    <row r="4612" spans="1:26" ht="14.25" customHeight="1">
      <c r="A4612" s="80"/>
      <c r="B4612" s="81"/>
      <c r="C4612" s="81"/>
      <c r="D4612" s="81"/>
      <c r="E4612" s="81"/>
      <c r="F4612" s="81"/>
      <c r="G4612" s="81"/>
      <c r="H4612" s="82"/>
      <c r="I4612" s="32"/>
      <c r="J4612" s="32"/>
      <c r="K4612" s="32"/>
      <c r="L4612" s="32"/>
      <c r="M4612" s="32"/>
      <c r="N4612" s="32"/>
      <c r="O4612" s="32"/>
      <c r="P4612" s="32"/>
      <c r="Q4612" s="32"/>
      <c r="R4612" s="32"/>
      <c r="S4612" s="32"/>
      <c r="T4612" s="32"/>
      <c r="U4612" s="32"/>
      <c r="V4612" s="32"/>
      <c r="W4612" s="32"/>
      <c r="X4612" s="32"/>
      <c r="Y4612" s="32"/>
      <c r="Z4612" s="32"/>
    </row>
    <row r="4613" spans="1:26" ht="14.25" customHeight="1"/>
    <row r="4614" spans="1:26" ht="14.25" customHeight="1"/>
    <row r="4615" spans="1:26" ht="14.25" customHeight="1"/>
    <row r="4616" spans="1:26" ht="14.25" customHeight="1"/>
    <row r="4617" spans="1:26" ht="14.25" customHeight="1"/>
    <row r="4618" spans="1:26" ht="14.25" customHeight="1"/>
    <row r="4619" spans="1:26" ht="14.25" customHeight="1"/>
    <row r="4620" spans="1:26" ht="14.25" customHeight="1">
      <c r="A4620" s="80" t="s">
        <v>0</v>
      </c>
      <c r="B4620" s="81"/>
      <c r="C4620" s="81"/>
      <c r="D4620" s="81"/>
      <c r="E4620" s="81"/>
      <c r="F4620" s="81"/>
      <c r="G4620" s="81"/>
      <c r="H4620" s="82"/>
      <c r="I4620" s="32"/>
      <c r="J4620" s="32"/>
      <c r="K4620" s="32"/>
      <c r="L4620" s="32"/>
      <c r="M4620" s="32"/>
      <c r="N4620" s="32"/>
      <c r="O4620" s="32"/>
      <c r="P4620" s="32"/>
      <c r="Q4620" s="32"/>
      <c r="R4620" s="32"/>
      <c r="S4620" s="32"/>
      <c r="T4620" s="32"/>
      <c r="U4620" s="32"/>
      <c r="V4620" s="32"/>
      <c r="W4620" s="32"/>
      <c r="X4620" s="32"/>
      <c r="Y4620" s="32"/>
      <c r="Z4620" s="32"/>
    </row>
    <row r="4621" spans="1:26" ht="14.25" customHeight="1">
      <c r="A4621" s="80" t="s">
        <v>1147</v>
      </c>
      <c r="B4621" s="81"/>
      <c r="C4621" s="81"/>
      <c r="D4621" s="81"/>
      <c r="E4621" s="81"/>
      <c r="F4621" s="81"/>
      <c r="G4621" s="81"/>
      <c r="H4621" s="82"/>
      <c r="I4621" s="32"/>
      <c r="J4621" s="32"/>
      <c r="K4621" s="32"/>
      <c r="L4621" s="32"/>
      <c r="M4621" s="32"/>
      <c r="N4621" s="32"/>
      <c r="O4621" s="32"/>
      <c r="P4621" s="32"/>
      <c r="Q4621" s="32"/>
      <c r="R4621" s="32"/>
      <c r="S4621" s="32"/>
      <c r="T4621" s="32"/>
      <c r="U4621" s="32"/>
      <c r="V4621" s="32"/>
      <c r="W4621" s="32"/>
      <c r="X4621" s="32"/>
      <c r="Y4621" s="32"/>
      <c r="Z4621" s="32"/>
    </row>
    <row r="4622" spans="1:26" ht="14.25" customHeight="1">
      <c r="A4622" s="33" t="s">
        <v>2</v>
      </c>
      <c r="B4622" s="33" t="s">
        <v>3</v>
      </c>
      <c r="C4622" s="33" t="s">
        <v>4</v>
      </c>
      <c r="D4622" s="33" t="s">
        <v>5</v>
      </c>
      <c r="E4622" s="33" t="s">
        <v>6</v>
      </c>
      <c r="F4622" s="34" t="s">
        <v>7</v>
      </c>
      <c r="G4622" s="33" t="s">
        <v>8</v>
      </c>
      <c r="H4622" s="35"/>
      <c r="I4622" s="32"/>
      <c r="J4622" s="32"/>
      <c r="K4622" s="32"/>
      <c r="L4622" s="32"/>
      <c r="M4622" s="32"/>
      <c r="N4622" s="32"/>
      <c r="O4622" s="32"/>
      <c r="P4622" s="32"/>
      <c r="Q4622" s="32"/>
      <c r="R4622" s="32"/>
      <c r="S4622" s="32"/>
      <c r="T4622" s="32"/>
      <c r="U4622" s="32"/>
      <c r="V4622" s="32"/>
      <c r="W4622" s="32"/>
      <c r="X4622" s="32"/>
      <c r="Y4622" s="32"/>
      <c r="Z4622" s="32"/>
    </row>
    <row r="4623" spans="1:26" ht="14.25" customHeight="1">
      <c r="A4623" s="36">
        <v>1</v>
      </c>
      <c r="B4623" s="18" t="s">
        <v>65</v>
      </c>
      <c r="C4623" s="5" t="s">
        <v>1148</v>
      </c>
      <c r="D4623" s="18" t="s">
        <v>11</v>
      </c>
      <c r="E4623" s="18">
        <v>2.0699999999999998</v>
      </c>
      <c r="F4623" s="6">
        <v>293000</v>
      </c>
      <c r="G4623" s="37">
        <f t="shared" ref="G4623:G4625" si="293">IFERROR(E4623*F4623,0)</f>
        <v>606510</v>
      </c>
      <c r="H4623" s="38"/>
      <c r="I4623" s="32"/>
      <c r="J4623" s="32"/>
      <c r="K4623" s="32"/>
      <c r="L4623" s="32"/>
      <c r="M4623" s="32"/>
      <c r="N4623" s="32"/>
      <c r="O4623" s="32"/>
      <c r="P4623" s="32"/>
      <c r="Q4623" s="32"/>
      <c r="R4623" s="32"/>
      <c r="S4623" s="32"/>
      <c r="T4623" s="32"/>
      <c r="U4623" s="32"/>
      <c r="V4623" s="32"/>
      <c r="W4623" s="32"/>
      <c r="X4623" s="32"/>
      <c r="Y4623" s="32"/>
      <c r="Z4623" s="32"/>
    </row>
    <row r="4624" spans="1:26" ht="14.25" customHeight="1">
      <c r="A4624" s="36">
        <v>2</v>
      </c>
      <c r="B4624" s="12" t="s">
        <v>116</v>
      </c>
      <c r="C4624" s="10" t="s">
        <v>1149</v>
      </c>
      <c r="D4624" s="12" t="s">
        <v>14</v>
      </c>
      <c r="E4624" s="12">
        <v>1.54</v>
      </c>
      <c r="F4624" s="43">
        <v>435000</v>
      </c>
      <c r="G4624" s="37">
        <f t="shared" si="293"/>
        <v>669900</v>
      </c>
      <c r="H4624" s="38"/>
      <c r="I4624" s="32"/>
      <c r="J4624" s="32"/>
      <c r="K4624" s="32"/>
      <c r="L4624" s="32"/>
      <c r="M4624" s="32"/>
      <c r="N4624" s="32"/>
      <c r="O4624" s="32"/>
      <c r="P4624" s="32"/>
      <c r="Q4624" s="32"/>
      <c r="R4624" s="32"/>
      <c r="S4624" s="32"/>
      <c r="T4624" s="32"/>
      <c r="U4624" s="32"/>
      <c r="V4624" s="32"/>
      <c r="W4624" s="32"/>
      <c r="X4624" s="32"/>
      <c r="Y4624" s="32"/>
      <c r="Z4624" s="32"/>
    </row>
    <row r="4625" spans="1:26" ht="14.25" customHeight="1">
      <c r="A4625" s="36">
        <v>4</v>
      </c>
      <c r="B4625" s="39" t="s">
        <v>17</v>
      </c>
      <c r="C4625" s="38"/>
      <c r="D4625" s="38"/>
      <c r="E4625" s="38"/>
      <c r="F4625" s="60"/>
      <c r="G4625" s="37">
        <f t="shared" si="293"/>
        <v>0</v>
      </c>
      <c r="H4625" s="38"/>
      <c r="I4625" s="32"/>
      <c r="J4625" s="32"/>
      <c r="K4625" s="32"/>
      <c r="L4625" s="32"/>
      <c r="M4625" s="32"/>
      <c r="N4625" s="32"/>
      <c r="O4625" s="32"/>
      <c r="P4625" s="32"/>
      <c r="Q4625" s="32"/>
      <c r="R4625" s="32"/>
      <c r="S4625" s="32"/>
      <c r="T4625" s="32"/>
      <c r="U4625" s="32"/>
      <c r="V4625" s="32"/>
      <c r="W4625" s="32"/>
      <c r="X4625" s="32"/>
      <c r="Y4625" s="32"/>
      <c r="Z4625" s="32"/>
    </row>
    <row r="4626" spans="1:26" ht="14.25" customHeight="1">
      <c r="A4626" s="83" t="s">
        <v>18</v>
      </c>
      <c r="B4626" s="81"/>
      <c r="C4626" s="81"/>
      <c r="D4626" s="81"/>
      <c r="E4626" s="81"/>
      <c r="F4626" s="81"/>
      <c r="G4626" s="82"/>
      <c r="H4626" s="41">
        <f>SUM(G4623:G4625)</f>
        <v>1276410</v>
      </c>
      <c r="I4626" s="32"/>
      <c r="J4626" s="32"/>
      <c r="K4626" s="32"/>
      <c r="L4626" s="32"/>
      <c r="M4626" s="32"/>
      <c r="N4626" s="32"/>
      <c r="O4626" s="32"/>
      <c r="P4626" s="32"/>
      <c r="Q4626" s="32"/>
      <c r="R4626" s="32"/>
      <c r="S4626" s="32"/>
      <c r="T4626" s="32"/>
      <c r="U4626" s="32"/>
      <c r="V4626" s="32"/>
      <c r="W4626" s="32"/>
      <c r="X4626" s="32"/>
      <c r="Y4626" s="32"/>
      <c r="Z4626" s="32"/>
    </row>
    <row r="4627" spans="1:26" ht="14.25" customHeight="1">
      <c r="A4627" s="83" t="s">
        <v>19</v>
      </c>
      <c r="B4627" s="81"/>
      <c r="C4627" s="81"/>
      <c r="D4627" s="81"/>
      <c r="E4627" s="81"/>
      <c r="F4627" s="81"/>
      <c r="G4627" s="82"/>
      <c r="H4627" s="41">
        <f>MAX(0,H4626-648000)</f>
        <v>628410</v>
      </c>
      <c r="I4627" s="32"/>
      <c r="J4627" s="32"/>
      <c r="K4627" s="32"/>
      <c r="L4627" s="32"/>
      <c r="M4627" s="32"/>
      <c r="N4627" s="32"/>
      <c r="O4627" s="32"/>
      <c r="P4627" s="32"/>
      <c r="Q4627" s="32"/>
      <c r="R4627" s="32"/>
      <c r="S4627" s="32"/>
      <c r="T4627" s="32"/>
      <c r="U4627" s="32"/>
      <c r="V4627" s="32"/>
      <c r="W4627" s="32"/>
      <c r="X4627" s="32"/>
      <c r="Y4627" s="32"/>
      <c r="Z4627" s="32"/>
    </row>
    <row r="4628" spans="1:26" ht="14.25" customHeight="1">
      <c r="A4628" s="84" t="s">
        <v>20</v>
      </c>
      <c r="B4628" s="81"/>
      <c r="C4628" s="81"/>
      <c r="D4628" s="81"/>
      <c r="E4628" s="81"/>
      <c r="F4628" s="81"/>
      <c r="G4628" s="82"/>
      <c r="H4628" s="42">
        <v>649000</v>
      </c>
      <c r="I4628" s="32"/>
      <c r="J4628" s="32"/>
      <c r="K4628" s="32"/>
      <c r="L4628" s="32"/>
      <c r="M4628" s="32"/>
      <c r="N4628" s="32"/>
      <c r="O4628" s="32"/>
      <c r="P4628" s="32"/>
      <c r="Q4628" s="32"/>
      <c r="R4628" s="32"/>
      <c r="S4628" s="32"/>
      <c r="T4628" s="32"/>
      <c r="U4628" s="32"/>
      <c r="V4628" s="32"/>
      <c r="W4628" s="32"/>
      <c r="X4628" s="32"/>
      <c r="Y4628" s="32"/>
      <c r="Z4628" s="32"/>
    </row>
    <row r="4629" spans="1:26" ht="14.25" customHeight="1">
      <c r="A4629" s="80"/>
      <c r="B4629" s="81"/>
      <c r="C4629" s="81"/>
      <c r="D4629" s="81"/>
      <c r="E4629" s="81"/>
      <c r="F4629" s="81"/>
      <c r="G4629" s="81"/>
      <c r="H4629" s="82"/>
      <c r="I4629" s="32"/>
      <c r="J4629" s="32"/>
      <c r="K4629" s="32"/>
      <c r="L4629" s="32"/>
      <c r="M4629" s="32"/>
      <c r="N4629" s="32"/>
      <c r="O4629" s="32"/>
      <c r="P4629" s="32"/>
      <c r="Q4629" s="32"/>
      <c r="R4629" s="32"/>
      <c r="S4629" s="32"/>
      <c r="T4629" s="32"/>
      <c r="U4629" s="32"/>
      <c r="V4629" s="32"/>
      <c r="W4629" s="32"/>
      <c r="X4629" s="32"/>
      <c r="Y4629" s="32"/>
      <c r="Z4629" s="32"/>
    </row>
    <row r="4630" spans="1:26" ht="14.25" customHeight="1"/>
    <row r="4631" spans="1:26" ht="14.25" customHeight="1"/>
    <row r="4632" spans="1:26" ht="14.25" customHeight="1"/>
    <row r="4633" spans="1:26" ht="14.25" customHeight="1"/>
    <row r="4634" spans="1:26" ht="14.25" customHeight="1"/>
    <row r="4635" spans="1:26" ht="14.25" customHeight="1"/>
    <row r="4636" spans="1:26" ht="14.25" customHeight="1"/>
    <row r="4637" spans="1:26" ht="14.25" customHeight="1"/>
    <row r="4638" spans="1:26" ht="14.25" customHeight="1"/>
    <row r="4639" spans="1:26" ht="14.25" customHeight="1"/>
    <row r="4640" spans="1:26" ht="14.25" customHeight="1"/>
    <row r="4641" spans="1:26" ht="14.25" customHeight="1"/>
    <row r="4642" spans="1:26" ht="14.25" customHeight="1">
      <c r="A4642" s="80" t="s">
        <v>0</v>
      </c>
      <c r="B4642" s="81"/>
      <c r="C4642" s="81"/>
      <c r="D4642" s="81"/>
      <c r="E4642" s="81"/>
      <c r="F4642" s="81"/>
      <c r="G4642" s="81"/>
      <c r="H4642" s="82"/>
      <c r="I4642" s="32"/>
      <c r="J4642" s="32"/>
      <c r="K4642" s="32"/>
      <c r="L4642" s="32"/>
      <c r="M4642" s="32"/>
      <c r="N4642" s="32"/>
      <c r="O4642" s="32"/>
      <c r="P4642" s="32"/>
      <c r="Q4642" s="32"/>
      <c r="R4642" s="32"/>
      <c r="S4642" s="32"/>
      <c r="T4642" s="32"/>
      <c r="U4642" s="32"/>
      <c r="V4642" s="32"/>
      <c r="W4642" s="32"/>
      <c r="X4642" s="32"/>
      <c r="Y4642" s="32"/>
      <c r="Z4642" s="32"/>
    </row>
    <row r="4643" spans="1:26" ht="14.25" customHeight="1">
      <c r="A4643" s="80" t="s">
        <v>1150</v>
      </c>
      <c r="B4643" s="81"/>
      <c r="C4643" s="81"/>
      <c r="D4643" s="81"/>
      <c r="E4643" s="81"/>
      <c r="F4643" s="81"/>
      <c r="G4643" s="81"/>
      <c r="H4643" s="82"/>
      <c r="I4643" s="32"/>
      <c r="J4643" s="32"/>
      <c r="K4643" s="32"/>
      <c r="L4643" s="32"/>
      <c r="M4643" s="32"/>
      <c r="N4643" s="32"/>
      <c r="O4643" s="32"/>
      <c r="P4643" s="32"/>
      <c r="Q4643" s="32"/>
      <c r="R4643" s="32"/>
      <c r="S4643" s="32"/>
      <c r="T4643" s="32"/>
      <c r="U4643" s="32"/>
      <c r="V4643" s="32"/>
      <c r="W4643" s="32"/>
      <c r="X4643" s="32"/>
      <c r="Y4643" s="32"/>
      <c r="Z4643" s="32"/>
    </row>
    <row r="4644" spans="1:26" ht="14.25" customHeight="1">
      <c r="A4644" s="33" t="s">
        <v>2</v>
      </c>
      <c r="B4644" s="33" t="s">
        <v>3</v>
      </c>
      <c r="C4644" s="33" t="s">
        <v>4</v>
      </c>
      <c r="D4644" s="33" t="s">
        <v>5</v>
      </c>
      <c r="E4644" s="33" t="s">
        <v>6</v>
      </c>
      <c r="F4644" s="34" t="s">
        <v>7</v>
      </c>
      <c r="G4644" s="33" t="s">
        <v>8</v>
      </c>
      <c r="H4644" s="35"/>
      <c r="I4644" s="32"/>
      <c r="J4644" s="32"/>
      <c r="K4644" s="32"/>
      <c r="L4644" s="32"/>
      <c r="M4644" s="32"/>
      <c r="N4644" s="32"/>
      <c r="O4644" s="32"/>
      <c r="P4644" s="32"/>
      <c r="Q4644" s="32"/>
      <c r="R4644" s="32"/>
      <c r="S4644" s="32"/>
      <c r="T4644" s="32"/>
      <c r="U4644" s="32"/>
      <c r="V4644" s="32"/>
      <c r="W4644" s="32"/>
      <c r="X4644" s="32"/>
      <c r="Y4644" s="32"/>
      <c r="Z4644" s="32"/>
    </row>
    <row r="4645" spans="1:26" ht="14.25" customHeight="1">
      <c r="A4645" s="36">
        <v>1</v>
      </c>
      <c r="B4645" s="18" t="s">
        <v>213</v>
      </c>
      <c r="C4645" s="5" t="s">
        <v>1151</v>
      </c>
      <c r="D4645" s="18" t="s">
        <v>11</v>
      </c>
      <c r="E4645" s="18">
        <v>2.2000000000000002</v>
      </c>
      <c r="F4645" s="6">
        <v>293000</v>
      </c>
      <c r="G4645" s="37">
        <f t="shared" ref="G4645:G4647" si="294">IFERROR(E4645*F4645,0)</f>
        <v>644600</v>
      </c>
      <c r="H4645" s="38"/>
      <c r="I4645" s="32"/>
      <c r="J4645" s="32"/>
      <c r="K4645" s="32"/>
      <c r="L4645" s="32"/>
      <c r="M4645" s="32"/>
      <c r="N4645" s="32"/>
      <c r="O4645" s="32"/>
      <c r="P4645" s="32"/>
      <c r="Q4645" s="32"/>
      <c r="R4645" s="32"/>
      <c r="S4645" s="32"/>
      <c r="T4645" s="32"/>
      <c r="U4645" s="32"/>
      <c r="V4645" s="32"/>
      <c r="W4645" s="32"/>
      <c r="X4645" s="32"/>
      <c r="Y4645" s="32"/>
      <c r="Z4645" s="32"/>
    </row>
    <row r="4646" spans="1:26" ht="14.25" customHeight="1">
      <c r="A4646" s="36">
        <v>2</v>
      </c>
      <c r="B4646" s="12" t="s">
        <v>125</v>
      </c>
      <c r="C4646" s="10" t="s">
        <v>1152</v>
      </c>
      <c r="D4646" s="12" t="s">
        <v>14</v>
      </c>
      <c r="E4646" s="12">
        <v>1.4</v>
      </c>
      <c r="F4646" s="43">
        <v>435000</v>
      </c>
      <c r="G4646" s="37">
        <f t="shared" si="294"/>
        <v>609000</v>
      </c>
      <c r="H4646" s="38"/>
      <c r="I4646" s="32"/>
      <c r="J4646" s="32"/>
      <c r="K4646" s="32"/>
      <c r="L4646" s="32"/>
      <c r="M4646" s="32"/>
      <c r="N4646" s="32"/>
      <c r="O4646" s="32"/>
      <c r="P4646" s="32"/>
      <c r="Q4646" s="32"/>
      <c r="R4646" s="32"/>
      <c r="S4646" s="32"/>
      <c r="T4646" s="32"/>
      <c r="U4646" s="32"/>
      <c r="V4646" s="32"/>
      <c r="W4646" s="32"/>
      <c r="X4646" s="32"/>
      <c r="Y4646" s="32"/>
      <c r="Z4646" s="32"/>
    </row>
    <row r="4647" spans="1:26" ht="14.25" customHeight="1">
      <c r="A4647" s="36">
        <v>4</v>
      </c>
      <c r="B4647" s="39" t="s">
        <v>17</v>
      </c>
      <c r="C4647" s="38"/>
      <c r="D4647" s="38"/>
      <c r="E4647" s="38"/>
      <c r="F4647" s="60"/>
      <c r="G4647" s="37">
        <f t="shared" si="294"/>
        <v>0</v>
      </c>
      <c r="H4647" s="38"/>
      <c r="I4647" s="32"/>
      <c r="J4647" s="32"/>
      <c r="K4647" s="32"/>
      <c r="L4647" s="32"/>
      <c r="M4647" s="32"/>
      <c r="N4647" s="32"/>
      <c r="O4647" s="32"/>
      <c r="P4647" s="32"/>
      <c r="Q4647" s="32"/>
      <c r="R4647" s="32"/>
      <c r="S4647" s="32"/>
      <c r="T4647" s="32"/>
      <c r="U4647" s="32"/>
      <c r="V4647" s="32"/>
      <c r="W4647" s="32"/>
      <c r="X4647" s="32"/>
      <c r="Y4647" s="32"/>
      <c r="Z4647" s="32"/>
    </row>
    <row r="4648" spans="1:26" ht="14.25" customHeight="1">
      <c r="A4648" s="83" t="s">
        <v>18</v>
      </c>
      <c r="B4648" s="81"/>
      <c r="C4648" s="81"/>
      <c r="D4648" s="81"/>
      <c r="E4648" s="81"/>
      <c r="F4648" s="81"/>
      <c r="G4648" s="82"/>
      <c r="H4648" s="41">
        <f>SUM(G4645:G4647)</f>
        <v>1253600</v>
      </c>
      <c r="I4648" s="32"/>
      <c r="J4648" s="32"/>
      <c r="K4648" s="32"/>
      <c r="L4648" s="32"/>
      <c r="M4648" s="32"/>
      <c r="N4648" s="32"/>
      <c r="O4648" s="32"/>
      <c r="P4648" s="32"/>
      <c r="Q4648" s="32"/>
      <c r="R4648" s="32"/>
      <c r="S4648" s="32"/>
      <c r="T4648" s="32"/>
      <c r="U4648" s="32"/>
      <c r="V4648" s="32"/>
      <c r="W4648" s="32"/>
      <c r="X4648" s="32"/>
      <c r="Y4648" s="32"/>
      <c r="Z4648" s="32"/>
    </row>
    <row r="4649" spans="1:26" ht="14.25" customHeight="1">
      <c r="A4649" s="83" t="s">
        <v>19</v>
      </c>
      <c r="B4649" s="81"/>
      <c r="C4649" s="81"/>
      <c r="D4649" s="81"/>
      <c r="E4649" s="81"/>
      <c r="F4649" s="81"/>
      <c r="G4649" s="82"/>
      <c r="H4649" s="41">
        <f>MAX(0,H4648-648000)</f>
        <v>605600</v>
      </c>
      <c r="I4649" s="32"/>
      <c r="J4649" s="32"/>
      <c r="K4649" s="32"/>
      <c r="L4649" s="32"/>
      <c r="M4649" s="32"/>
      <c r="N4649" s="32"/>
      <c r="O4649" s="32"/>
      <c r="P4649" s="32"/>
      <c r="Q4649" s="32"/>
      <c r="R4649" s="32"/>
      <c r="S4649" s="32"/>
      <c r="T4649" s="32"/>
      <c r="U4649" s="32"/>
      <c r="V4649" s="32"/>
      <c r="W4649" s="32"/>
      <c r="X4649" s="32"/>
      <c r="Y4649" s="32"/>
      <c r="Z4649" s="32"/>
    </row>
    <row r="4650" spans="1:26" ht="14.25" customHeight="1">
      <c r="A4650" s="84" t="s">
        <v>20</v>
      </c>
      <c r="B4650" s="81"/>
      <c r="C4650" s="81"/>
      <c r="D4650" s="81"/>
      <c r="E4650" s="81"/>
      <c r="F4650" s="81"/>
      <c r="G4650" s="82"/>
      <c r="H4650" s="42">
        <v>649000</v>
      </c>
      <c r="I4650" s="32"/>
      <c r="J4650" s="32"/>
      <c r="K4650" s="32"/>
      <c r="L4650" s="32"/>
      <c r="M4650" s="32"/>
      <c r="N4650" s="32"/>
      <c r="O4650" s="32"/>
      <c r="P4650" s="32"/>
      <c r="Q4650" s="32"/>
      <c r="R4650" s="32"/>
      <c r="S4650" s="32"/>
      <c r="T4650" s="32"/>
      <c r="U4650" s="32"/>
      <c r="V4650" s="32"/>
      <c r="W4650" s="32"/>
      <c r="X4650" s="32"/>
      <c r="Y4650" s="32"/>
      <c r="Z4650" s="32"/>
    </row>
    <row r="4651" spans="1:26" ht="14.25" customHeight="1">
      <c r="A4651" s="80"/>
      <c r="B4651" s="81"/>
      <c r="C4651" s="81"/>
      <c r="D4651" s="81"/>
      <c r="E4651" s="81"/>
      <c r="F4651" s="81"/>
      <c r="G4651" s="81"/>
      <c r="H4651" s="82"/>
      <c r="I4651" s="32"/>
      <c r="J4651" s="32"/>
      <c r="K4651" s="32"/>
      <c r="L4651" s="32"/>
      <c r="M4651" s="32"/>
      <c r="N4651" s="32"/>
      <c r="O4651" s="32"/>
      <c r="P4651" s="32"/>
      <c r="Q4651" s="32"/>
      <c r="R4651" s="32"/>
      <c r="S4651" s="32"/>
      <c r="T4651" s="32"/>
      <c r="U4651" s="32"/>
      <c r="V4651" s="32"/>
      <c r="W4651" s="32"/>
      <c r="X4651" s="32"/>
      <c r="Y4651" s="32"/>
      <c r="Z4651" s="32"/>
    </row>
    <row r="4652" spans="1:26" ht="14.25" customHeight="1"/>
    <row r="4653" spans="1:26" ht="14.25" customHeight="1"/>
    <row r="4654" spans="1:26" ht="14.25" customHeight="1"/>
    <row r="4655" spans="1:26" ht="14.25" customHeight="1">
      <c r="A4655" s="80" t="s">
        <v>0</v>
      </c>
      <c r="B4655" s="81"/>
      <c r="C4655" s="81"/>
      <c r="D4655" s="81"/>
      <c r="E4655" s="81"/>
      <c r="F4655" s="81"/>
      <c r="G4655" s="81"/>
      <c r="H4655" s="82"/>
      <c r="I4655" s="32"/>
      <c r="J4655" s="32"/>
      <c r="K4655" s="32"/>
      <c r="L4655" s="32"/>
      <c r="M4655" s="32"/>
      <c r="N4655" s="32"/>
      <c r="O4655" s="32"/>
      <c r="P4655" s="32"/>
      <c r="Q4655" s="32"/>
      <c r="R4655" s="32"/>
      <c r="S4655" s="32"/>
      <c r="T4655" s="32"/>
      <c r="U4655" s="32"/>
      <c r="V4655" s="32"/>
      <c r="W4655" s="32"/>
      <c r="X4655" s="32"/>
      <c r="Y4655" s="32"/>
      <c r="Z4655" s="32"/>
    </row>
    <row r="4656" spans="1:26" ht="14.25" customHeight="1">
      <c r="A4656" s="80" t="s">
        <v>1153</v>
      </c>
      <c r="B4656" s="81"/>
      <c r="C4656" s="81"/>
      <c r="D4656" s="81"/>
      <c r="E4656" s="81"/>
      <c r="F4656" s="81"/>
      <c r="G4656" s="81"/>
      <c r="H4656" s="82"/>
      <c r="I4656" s="32"/>
      <c r="J4656" s="32"/>
      <c r="K4656" s="32"/>
      <c r="L4656" s="32"/>
      <c r="M4656" s="32"/>
      <c r="N4656" s="32"/>
      <c r="O4656" s="32"/>
      <c r="P4656" s="32"/>
      <c r="Q4656" s="32"/>
      <c r="R4656" s="32"/>
      <c r="S4656" s="32"/>
      <c r="T4656" s="32"/>
      <c r="U4656" s="32"/>
      <c r="V4656" s="32"/>
      <c r="W4656" s="32"/>
      <c r="X4656" s="32"/>
      <c r="Y4656" s="32"/>
      <c r="Z4656" s="32"/>
    </row>
    <row r="4657" spans="1:26" ht="14.25" customHeight="1">
      <c r="A4657" s="33" t="s">
        <v>2</v>
      </c>
      <c r="B4657" s="33" t="s">
        <v>3</v>
      </c>
      <c r="C4657" s="33" t="s">
        <v>4</v>
      </c>
      <c r="D4657" s="33" t="s">
        <v>5</v>
      </c>
      <c r="E4657" s="33" t="s">
        <v>6</v>
      </c>
      <c r="F4657" s="34" t="s">
        <v>7</v>
      </c>
      <c r="G4657" s="33" t="s">
        <v>8</v>
      </c>
      <c r="H4657" s="35"/>
      <c r="I4657" s="32"/>
      <c r="J4657" s="32"/>
      <c r="K4657" s="32"/>
      <c r="L4657" s="32"/>
      <c r="M4657" s="32"/>
      <c r="N4657" s="32"/>
      <c r="O4657" s="32"/>
      <c r="P4657" s="32"/>
      <c r="Q4657" s="32"/>
      <c r="R4657" s="32"/>
      <c r="S4657" s="32"/>
      <c r="T4657" s="32"/>
      <c r="U4657" s="32"/>
      <c r="V4657" s="32"/>
      <c r="W4657" s="32"/>
      <c r="X4657" s="32"/>
      <c r="Y4657" s="32"/>
      <c r="Z4657" s="32"/>
    </row>
    <row r="4658" spans="1:26" ht="14.25" customHeight="1">
      <c r="A4658" s="36">
        <v>1</v>
      </c>
      <c r="B4658" s="18" t="s">
        <v>442</v>
      </c>
      <c r="C4658" s="5" t="s">
        <v>1154</v>
      </c>
      <c r="D4658" s="18" t="s">
        <v>11</v>
      </c>
      <c r="E4658" s="18">
        <v>2</v>
      </c>
      <c r="F4658" s="6">
        <v>293000</v>
      </c>
      <c r="G4658" s="37">
        <f t="shared" ref="G4658:G4660" si="295">IFERROR(E4658*F4658,0)</f>
        <v>586000</v>
      </c>
      <c r="H4658" s="38"/>
      <c r="I4658" s="32"/>
      <c r="J4658" s="32"/>
      <c r="K4658" s="32"/>
      <c r="L4658" s="32"/>
      <c r="M4658" s="32"/>
      <c r="N4658" s="32"/>
      <c r="O4658" s="32"/>
      <c r="P4658" s="32"/>
      <c r="Q4658" s="32"/>
      <c r="R4658" s="32"/>
      <c r="S4658" s="32"/>
      <c r="T4658" s="32"/>
      <c r="U4658" s="32"/>
      <c r="V4658" s="32"/>
      <c r="W4658" s="32"/>
      <c r="X4658" s="32"/>
      <c r="Y4658" s="32"/>
      <c r="Z4658" s="32"/>
    </row>
    <row r="4659" spans="1:26" ht="14.25" customHeight="1">
      <c r="A4659" s="36">
        <v>2</v>
      </c>
      <c r="B4659" s="12" t="s">
        <v>515</v>
      </c>
      <c r="C4659" s="10" t="s">
        <v>1155</v>
      </c>
      <c r="D4659" s="12" t="s">
        <v>233</v>
      </c>
      <c r="E4659" s="12">
        <v>1.45</v>
      </c>
      <c r="F4659" s="43">
        <v>435000</v>
      </c>
      <c r="G4659" s="37">
        <f t="shared" si="295"/>
        <v>630750</v>
      </c>
      <c r="H4659" s="38"/>
      <c r="I4659" s="32"/>
      <c r="J4659" s="32"/>
      <c r="K4659" s="32"/>
      <c r="L4659" s="32"/>
      <c r="M4659" s="32"/>
      <c r="N4659" s="32"/>
      <c r="O4659" s="32"/>
      <c r="P4659" s="32"/>
      <c r="Q4659" s="32"/>
      <c r="R4659" s="32"/>
      <c r="S4659" s="32"/>
      <c r="T4659" s="32"/>
      <c r="U4659" s="32"/>
      <c r="V4659" s="32"/>
      <c r="W4659" s="32"/>
      <c r="X4659" s="32"/>
      <c r="Y4659" s="32"/>
      <c r="Z4659" s="32"/>
    </row>
    <row r="4660" spans="1:26" ht="14.25" customHeight="1">
      <c r="A4660" s="36">
        <v>4</v>
      </c>
      <c r="B4660" s="39" t="s">
        <v>17</v>
      </c>
      <c r="C4660" s="38"/>
      <c r="D4660" s="38"/>
      <c r="E4660" s="38"/>
      <c r="F4660" s="60"/>
      <c r="G4660" s="37">
        <f t="shared" si="295"/>
        <v>0</v>
      </c>
      <c r="H4660" s="38"/>
      <c r="I4660" s="32"/>
      <c r="J4660" s="32"/>
      <c r="K4660" s="32"/>
      <c r="L4660" s="32"/>
      <c r="M4660" s="32"/>
      <c r="N4660" s="32"/>
      <c r="O4660" s="32"/>
      <c r="P4660" s="32"/>
      <c r="Q4660" s="32"/>
      <c r="R4660" s="32"/>
      <c r="S4660" s="32"/>
      <c r="T4660" s="32"/>
      <c r="U4660" s="32"/>
      <c r="V4660" s="32"/>
      <c r="W4660" s="32"/>
      <c r="X4660" s="32"/>
      <c r="Y4660" s="32"/>
      <c r="Z4660" s="32"/>
    </row>
    <row r="4661" spans="1:26" ht="14.25" customHeight="1">
      <c r="A4661" s="83" t="s">
        <v>18</v>
      </c>
      <c r="B4661" s="81"/>
      <c r="C4661" s="81"/>
      <c r="D4661" s="81"/>
      <c r="E4661" s="81"/>
      <c r="F4661" s="81"/>
      <c r="G4661" s="82"/>
      <c r="H4661" s="41">
        <f>SUM(G4658:G4660)</f>
        <v>1216750</v>
      </c>
      <c r="I4661" s="32"/>
      <c r="J4661" s="32"/>
      <c r="K4661" s="32"/>
      <c r="L4661" s="32"/>
      <c r="M4661" s="32"/>
      <c r="N4661" s="32"/>
      <c r="O4661" s="32"/>
      <c r="P4661" s="32"/>
      <c r="Q4661" s="32"/>
      <c r="R4661" s="32"/>
      <c r="S4661" s="32"/>
      <c r="T4661" s="32"/>
      <c r="U4661" s="32"/>
      <c r="V4661" s="32"/>
      <c r="W4661" s="32"/>
      <c r="X4661" s="32"/>
      <c r="Y4661" s="32"/>
      <c r="Z4661" s="32"/>
    </row>
    <row r="4662" spans="1:26" ht="14.25" customHeight="1">
      <c r="A4662" s="83" t="s">
        <v>19</v>
      </c>
      <c r="B4662" s="81"/>
      <c r="C4662" s="81"/>
      <c r="D4662" s="81"/>
      <c r="E4662" s="81"/>
      <c r="F4662" s="81"/>
      <c r="G4662" s="82"/>
      <c r="H4662" s="41">
        <f>MAX(0,H4661-648000)</f>
        <v>568750</v>
      </c>
      <c r="I4662" s="32"/>
      <c r="J4662" s="32"/>
      <c r="K4662" s="32"/>
      <c r="L4662" s="32"/>
      <c r="M4662" s="32"/>
      <c r="N4662" s="32"/>
      <c r="O4662" s="32"/>
      <c r="P4662" s="32"/>
      <c r="Q4662" s="32"/>
      <c r="R4662" s="32"/>
      <c r="S4662" s="32"/>
      <c r="T4662" s="32"/>
      <c r="U4662" s="32"/>
      <c r="V4662" s="32"/>
      <c r="W4662" s="32"/>
      <c r="X4662" s="32"/>
      <c r="Y4662" s="32"/>
      <c r="Z4662" s="32"/>
    </row>
    <row r="4663" spans="1:26" ht="14.25" customHeight="1">
      <c r="A4663" s="84" t="s">
        <v>20</v>
      </c>
      <c r="B4663" s="81"/>
      <c r="C4663" s="81"/>
      <c r="D4663" s="81"/>
      <c r="E4663" s="81"/>
      <c r="F4663" s="81"/>
      <c r="G4663" s="82"/>
      <c r="H4663" s="42">
        <v>649000</v>
      </c>
      <c r="I4663" s="32"/>
      <c r="J4663" s="32"/>
      <c r="K4663" s="32"/>
      <c r="L4663" s="32"/>
      <c r="M4663" s="32"/>
      <c r="N4663" s="32"/>
      <c r="O4663" s="32"/>
      <c r="P4663" s="32"/>
      <c r="Q4663" s="32"/>
      <c r="R4663" s="32"/>
      <c r="S4663" s="32"/>
      <c r="T4663" s="32"/>
      <c r="U4663" s="32"/>
      <c r="V4663" s="32"/>
      <c r="W4663" s="32"/>
      <c r="X4663" s="32"/>
      <c r="Y4663" s="32"/>
      <c r="Z4663" s="32"/>
    </row>
    <row r="4664" spans="1:26" ht="14.25" customHeight="1">
      <c r="A4664" s="80"/>
      <c r="B4664" s="81"/>
      <c r="C4664" s="81"/>
      <c r="D4664" s="81"/>
      <c r="E4664" s="81"/>
      <c r="F4664" s="81"/>
      <c r="G4664" s="81"/>
      <c r="H4664" s="82"/>
      <c r="I4664" s="32"/>
      <c r="J4664" s="32"/>
      <c r="K4664" s="32"/>
      <c r="L4664" s="32"/>
      <c r="M4664" s="32"/>
      <c r="N4664" s="32"/>
      <c r="O4664" s="32"/>
      <c r="P4664" s="32"/>
      <c r="Q4664" s="32"/>
      <c r="R4664" s="32"/>
      <c r="S4664" s="32"/>
      <c r="T4664" s="32"/>
      <c r="U4664" s="32"/>
      <c r="V4664" s="32"/>
      <c r="W4664" s="32"/>
      <c r="X4664" s="32"/>
      <c r="Y4664" s="32"/>
      <c r="Z4664" s="32"/>
    </row>
    <row r="4665" spans="1:26" ht="14.25" customHeight="1"/>
    <row r="4666" spans="1:26" ht="14.25" customHeight="1"/>
    <row r="4667" spans="1:26" ht="14.25" customHeight="1"/>
    <row r="4668" spans="1:26" ht="14.25" customHeight="1"/>
    <row r="4669" spans="1:26" ht="14.25" customHeight="1"/>
    <row r="4670" spans="1:26" ht="14.25" customHeight="1"/>
    <row r="4671" spans="1:26" ht="14.25" customHeight="1"/>
    <row r="4672" spans="1:26" ht="14.25" customHeight="1"/>
    <row r="4673" spans="1:26" ht="14.25" customHeight="1"/>
    <row r="4674" spans="1:26" ht="14.25" customHeight="1">
      <c r="A4674" s="80" t="s">
        <v>0</v>
      </c>
      <c r="B4674" s="81"/>
      <c r="C4674" s="81"/>
      <c r="D4674" s="81"/>
      <c r="E4674" s="81"/>
      <c r="F4674" s="81"/>
      <c r="G4674" s="81"/>
      <c r="H4674" s="82"/>
      <c r="I4674" s="32"/>
      <c r="J4674" s="32"/>
      <c r="K4674" s="32"/>
      <c r="L4674" s="32"/>
      <c r="M4674" s="32"/>
      <c r="N4674" s="32"/>
      <c r="O4674" s="32"/>
      <c r="P4674" s="32"/>
      <c r="Q4674" s="32"/>
      <c r="R4674" s="32"/>
      <c r="S4674" s="32"/>
      <c r="T4674" s="32"/>
      <c r="U4674" s="32"/>
      <c r="V4674" s="32"/>
      <c r="W4674" s="32"/>
      <c r="X4674" s="32"/>
      <c r="Y4674" s="32"/>
      <c r="Z4674" s="32"/>
    </row>
    <row r="4675" spans="1:26" ht="14.25" customHeight="1">
      <c r="A4675" s="80" t="s">
        <v>1156</v>
      </c>
      <c r="B4675" s="81"/>
      <c r="C4675" s="81"/>
      <c r="D4675" s="81"/>
      <c r="E4675" s="81"/>
      <c r="F4675" s="81"/>
      <c r="G4675" s="81"/>
      <c r="H4675" s="82"/>
      <c r="I4675" s="32"/>
      <c r="J4675" s="32"/>
      <c r="K4675" s="32"/>
      <c r="L4675" s="32"/>
      <c r="M4675" s="32"/>
      <c r="N4675" s="32"/>
      <c r="O4675" s="32"/>
      <c r="P4675" s="32"/>
      <c r="Q4675" s="32"/>
      <c r="R4675" s="32"/>
      <c r="S4675" s="32"/>
      <c r="T4675" s="32"/>
      <c r="U4675" s="32"/>
      <c r="V4675" s="32"/>
      <c r="W4675" s="32"/>
      <c r="X4675" s="32"/>
      <c r="Y4675" s="32"/>
      <c r="Z4675" s="32"/>
    </row>
    <row r="4676" spans="1:26" ht="14.25" customHeight="1">
      <c r="A4676" s="33" t="s">
        <v>2</v>
      </c>
      <c r="B4676" s="33" t="s">
        <v>3</v>
      </c>
      <c r="C4676" s="33" t="s">
        <v>4</v>
      </c>
      <c r="D4676" s="33" t="s">
        <v>5</v>
      </c>
      <c r="E4676" s="33" t="s">
        <v>6</v>
      </c>
      <c r="F4676" s="34" t="s">
        <v>7</v>
      </c>
      <c r="G4676" s="33" t="s">
        <v>8</v>
      </c>
      <c r="H4676" s="35"/>
      <c r="I4676" s="32"/>
      <c r="J4676" s="32"/>
      <c r="K4676" s="32"/>
      <c r="L4676" s="32"/>
      <c r="M4676" s="32"/>
      <c r="N4676" s="32"/>
      <c r="O4676" s="32"/>
      <c r="P4676" s="32"/>
      <c r="Q4676" s="32"/>
      <c r="R4676" s="32"/>
      <c r="S4676" s="32"/>
      <c r="T4676" s="32"/>
      <c r="U4676" s="32"/>
      <c r="V4676" s="32"/>
      <c r="W4676" s="32"/>
      <c r="X4676" s="32"/>
      <c r="Y4676" s="32"/>
      <c r="Z4676" s="32"/>
    </row>
    <row r="4677" spans="1:26" ht="14.25" customHeight="1">
      <c r="A4677" s="36">
        <v>1</v>
      </c>
      <c r="B4677" s="18" t="s">
        <v>278</v>
      </c>
      <c r="C4677" s="5">
        <v>4388</v>
      </c>
      <c r="D4677" s="18" t="s">
        <v>11</v>
      </c>
      <c r="E4677" s="18">
        <v>1.8</v>
      </c>
      <c r="F4677" s="6">
        <v>293000</v>
      </c>
      <c r="G4677" s="37">
        <f t="shared" ref="G4677:G4679" si="296">IFERROR(E4677*F4677,0)</f>
        <v>527400</v>
      </c>
      <c r="H4677" s="38"/>
      <c r="I4677" s="32"/>
      <c r="J4677" s="32"/>
      <c r="K4677" s="32"/>
      <c r="L4677" s="32"/>
      <c r="M4677" s="32"/>
      <c r="N4677" s="32"/>
      <c r="O4677" s="32"/>
      <c r="P4677" s="32"/>
      <c r="Q4677" s="32"/>
      <c r="R4677" s="32"/>
      <c r="S4677" s="32"/>
      <c r="T4677" s="32"/>
      <c r="U4677" s="32"/>
      <c r="V4677" s="32"/>
      <c r="W4677" s="32"/>
      <c r="X4677" s="32"/>
      <c r="Y4677" s="32"/>
      <c r="Z4677" s="32"/>
    </row>
    <row r="4678" spans="1:26" ht="14.25" customHeight="1">
      <c r="A4678" s="36">
        <v>2</v>
      </c>
      <c r="B4678" s="12" t="s">
        <v>9</v>
      </c>
      <c r="C4678" s="10" t="s">
        <v>1089</v>
      </c>
      <c r="D4678" s="12" t="s">
        <v>14</v>
      </c>
      <c r="E4678" s="12">
        <v>1.75</v>
      </c>
      <c r="F4678" s="43">
        <v>435000</v>
      </c>
      <c r="G4678" s="37">
        <f t="shared" si="296"/>
        <v>761250</v>
      </c>
      <c r="H4678" s="38"/>
      <c r="I4678" s="32"/>
      <c r="J4678" s="32"/>
      <c r="K4678" s="32"/>
      <c r="L4678" s="32"/>
      <c r="M4678" s="32"/>
      <c r="N4678" s="32"/>
      <c r="O4678" s="32"/>
      <c r="P4678" s="32"/>
      <c r="Q4678" s="32"/>
      <c r="R4678" s="32"/>
      <c r="S4678" s="32"/>
      <c r="T4678" s="32"/>
      <c r="U4678" s="32"/>
      <c r="V4678" s="32"/>
      <c r="W4678" s="32"/>
      <c r="X4678" s="32"/>
      <c r="Y4678" s="32"/>
      <c r="Z4678" s="32"/>
    </row>
    <row r="4679" spans="1:26" ht="14.25" customHeight="1">
      <c r="A4679" s="36">
        <v>4</v>
      </c>
      <c r="B4679" s="39" t="s">
        <v>17</v>
      </c>
      <c r="C4679" s="38"/>
      <c r="D4679" s="38"/>
      <c r="E4679" s="38"/>
      <c r="F4679" s="60"/>
      <c r="G4679" s="37">
        <f t="shared" si="296"/>
        <v>0</v>
      </c>
      <c r="H4679" s="38"/>
      <c r="I4679" s="32"/>
      <c r="J4679" s="32"/>
      <c r="K4679" s="32"/>
      <c r="L4679" s="32"/>
      <c r="M4679" s="32"/>
      <c r="N4679" s="32"/>
      <c r="O4679" s="32"/>
      <c r="P4679" s="32"/>
      <c r="Q4679" s="32"/>
      <c r="R4679" s="32"/>
      <c r="S4679" s="32"/>
      <c r="T4679" s="32"/>
      <c r="U4679" s="32"/>
      <c r="V4679" s="32"/>
      <c r="W4679" s="32"/>
      <c r="X4679" s="32"/>
      <c r="Y4679" s="32"/>
      <c r="Z4679" s="32"/>
    </row>
    <row r="4680" spans="1:26" ht="14.25" customHeight="1">
      <c r="A4680" s="83" t="s">
        <v>18</v>
      </c>
      <c r="B4680" s="81"/>
      <c r="C4680" s="81"/>
      <c r="D4680" s="81"/>
      <c r="E4680" s="81"/>
      <c r="F4680" s="81"/>
      <c r="G4680" s="82"/>
      <c r="H4680" s="41">
        <f>SUM(G4677:G4679)</f>
        <v>1288650</v>
      </c>
      <c r="I4680" s="32"/>
      <c r="J4680" s="32"/>
      <c r="K4680" s="32"/>
      <c r="L4680" s="32"/>
      <c r="M4680" s="32"/>
      <c r="N4680" s="32"/>
      <c r="O4680" s="32"/>
      <c r="P4680" s="32"/>
      <c r="Q4680" s="32"/>
      <c r="R4680" s="32"/>
      <c r="S4680" s="32"/>
      <c r="T4680" s="32"/>
      <c r="U4680" s="32"/>
      <c r="V4680" s="32"/>
      <c r="W4680" s="32"/>
      <c r="X4680" s="32"/>
      <c r="Y4680" s="32"/>
      <c r="Z4680" s="32"/>
    </row>
    <row r="4681" spans="1:26" ht="14.25" customHeight="1">
      <c r="A4681" s="83" t="s">
        <v>19</v>
      </c>
      <c r="B4681" s="81"/>
      <c r="C4681" s="81"/>
      <c r="D4681" s="81"/>
      <c r="E4681" s="81"/>
      <c r="F4681" s="81"/>
      <c r="G4681" s="82"/>
      <c r="H4681" s="41">
        <f>MAX(0,H4680-648000)</f>
        <v>640650</v>
      </c>
      <c r="I4681" s="32"/>
      <c r="J4681" s="32"/>
      <c r="K4681" s="32"/>
      <c r="L4681" s="32"/>
      <c r="M4681" s="32"/>
      <c r="N4681" s="32"/>
      <c r="O4681" s="32"/>
      <c r="P4681" s="32"/>
      <c r="Q4681" s="32"/>
      <c r="R4681" s="32"/>
      <c r="S4681" s="32"/>
      <c r="T4681" s="32"/>
      <c r="U4681" s="32"/>
      <c r="V4681" s="32"/>
      <c r="W4681" s="32"/>
      <c r="X4681" s="32"/>
      <c r="Y4681" s="32"/>
      <c r="Z4681" s="32"/>
    </row>
    <row r="4682" spans="1:26" ht="14.25" customHeight="1">
      <c r="A4682" s="84" t="s">
        <v>20</v>
      </c>
      <c r="B4682" s="81"/>
      <c r="C4682" s="81"/>
      <c r="D4682" s="81"/>
      <c r="E4682" s="81"/>
      <c r="F4682" s="81"/>
      <c r="G4682" s="82"/>
      <c r="H4682" s="42">
        <v>649000</v>
      </c>
      <c r="I4682" s="32"/>
      <c r="J4682" s="32"/>
      <c r="K4682" s="32"/>
      <c r="L4682" s="32"/>
      <c r="M4682" s="32"/>
      <c r="N4682" s="32"/>
      <c r="O4682" s="32"/>
      <c r="P4682" s="32"/>
      <c r="Q4682" s="32"/>
      <c r="R4682" s="32"/>
      <c r="S4682" s="32"/>
      <c r="T4682" s="32"/>
      <c r="U4682" s="32"/>
      <c r="V4682" s="32"/>
      <c r="W4682" s="32"/>
      <c r="X4682" s="32"/>
      <c r="Y4682" s="32"/>
      <c r="Z4682" s="32"/>
    </row>
    <row r="4683" spans="1:26" ht="14.25" customHeight="1">
      <c r="A4683" s="80"/>
      <c r="B4683" s="81"/>
      <c r="C4683" s="81"/>
      <c r="D4683" s="81"/>
      <c r="E4683" s="81"/>
      <c r="F4683" s="81"/>
      <c r="G4683" s="81"/>
      <c r="H4683" s="82"/>
      <c r="I4683" s="32"/>
      <c r="J4683" s="32"/>
      <c r="K4683" s="32"/>
      <c r="L4683" s="32"/>
      <c r="M4683" s="32"/>
      <c r="N4683" s="32"/>
      <c r="O4683" s="32"/>
      <c r="P4683" s="32"/>
      <c r="Q4683" s="32"/>
      <c r="R4683" s="32"/>
      <c r="S4683" s="32"/>
      <c r="T4683" s="32"/>
      <c r="U4683" s="32"/>
      <c r="V4683" s="32"/>
      <c r="W4683" s="32"/>
      <c r="X4683" s="32"/>
      <c r="Y4683" s="32"/>
      <c r="Z4683" s="32"/>
    </row>
    <row r="4684" spans="1:26" ht="14.25" customHeight="1"/>
    <row r="4685" spans="1:26" ht="14.25" customHeight="1"/>
    <row r="4686" spans="1:26" ht="14.25" customHeight="1"/>
    <row r="4687" spans="1:26" ht="14.25" customHeight="1"/>
    <row r="4688" spans="1:26" ht="14.25" customHeight="1"/>
    <row r="4689" spans="1:26" ht="14.25" customHeight="1"/>
    <row r="4690" spans="1:26" ht="14.25" customHeight="1"/>
    <row r="4691" spans="1:26" ht="14.25" customHeight="1">
      <c r="A4691" s="80" t="s">
        <v>0</v>
      </c>
      <c r="B4691" s="81"/>
      <c r="C4691" s="81"/>
      <c r="D4691" s="81"/>
      <c r="E4691" s="81"/>
      <c r="F4691" s="81"/>
      <c r="G4691" s="81"/>
      <c r="H4691" s="82"/>
      <c r="I4691" s="32"/>
      <c r="J4691" s="32"/>
      <c r="K4691" s="32"/>
      <c r="L4691" s="32"/>
      <c r="M4691" s="32"/>
      <c r="N4691" s="32"/>
      <c r="O4691" s="32"/>
      <c r="P4691" s="32"/>
      <c r="Q4691" s="32"/>
      <c r="R4691" s="32"/>
      <c r="S4691" s="32"/>
      <c r="T4691" s="32"/>
      <c r="U4691" s="32"/>
      <c r="V4691" s="32"/>
      <c r="W4691" s="32"/>
      <c r="X4691" s="32"/>
      <c r="Y4691" s="32"/>
      <c r="Z4691" s="32"/>
    </row>
    <row r="4692" spans="1:26" ht="14.25" customHeight="1">
      <c r="A4692" s="80" t="s">
        <v>1157</v>
      </c>
      <c r="B4692" s="81"/>
      <c r="C4692" s="81"/>
      <c r="D4692" s="81"/>
      <c r="E4692" s="81"/>
      <c r="F4692" s="81"/>
      <c r="G4692" s="81"/>
      <c r="H4692" s="82"/>
      <c r="I4692" s="32"/>
      <c r="J4692" s="32"/>
      <c r="K4692" s="32"/>
      <c r="L4692" s="32"/>
      <c r="M4692" s="32"/>
      <c r="N4692" s="32"/>
      <c r="O4692" s="32"/>
      <c r="P4692" s="32"/>
      <c r="Q4692" s="32"/>
      <c r="R4692" s="32"/>
      <c r="S4692" s="32"/>
      <c r="T4692" s="32"/>
      <c r="U4692" s="32"/>
      <c r="V4692" s="32"/>
      <c r="W4692" s="32"/>
      <c r="X4692" s="32"/>
      <c r="Y4692" s="32"/>
      <c r="Z4692" s="32"/>
    </row>
    <row r="4693" spans="1:26" ht="14.25" customHeight="1">
      <c r="A4693" s="33" t="s">
        <v>2</v>
      </c>
      <c r="B4693" s="33" t="s">
        <v>3</v>
      </c>
      <c r="C4693" s="33" t="s">
        <v>4</v>
      </c>
      <c r="D4693" s="33" t="s">
        <v>5</v>
      </c>
      <c r="E4693" s="33" t="s">
        <v>6</v>
      </c>
      <c r="F4693" s="34" t="s">
        <v>7</v>
      </c>
      <c r="G4693" s="33" t="s">
        <v>8</v>
      </c>
      <c r="H4693" s="35"/>
      <c r="I4693" s="32"/>
      <c r="J4693" s="32"/>
      <c r="K4693" s="32"/>
      <c r="L4693" s="32"/>
      <c r="M4693" s="32"/>
      <c r="N4693" s="32"/>
      <c r="O4693" s="32"/>
      <c r="P4693" s="32"/>
      <c r="Q4693" s="32"/>
      <c r="R4693" s="32"/>
      <c r="S4693" s="32"/>
      <c r="T4693" s="32"/>
      <c r="U4693" s="32"/>
      <c r="V4693" s="32"/>
      <c r="W4693" s="32"/>
      <c r="X4693" s="32"/>
      <c r="Y4693" s="32"/>
      <c r="Z4693" s="32"/>
    </row>
    <row r="4694" spans="1:26" ht="14.25" customHeight="1">
      <c r="A4694" s="36">
        <v>1</v>
      </c>
      <c r="B4694" s="18" t="s">
        <v>1158</v>
      </c>
      <c r="C4694" s="5" t="s">
        <v>1159</v>
      </c>
      <c r="D4694" s="18" t="s">
        <v>11</v>
      </c>
      <c r="E4694" s="18">
        <v>1.4</v>
      </c>
      <c r="F4694" s="6">
        <v>293000</v>
      </c>
      <c r="G4694" s="37">
        <f t="shared" ref="G4694:G4696" si="297">IFERROR(E4694*F4694,0)</f>
        <v>410200</v>
      </c>
      <c r="H4694" s="38"/>
      <c r="I4694" s="32"/>
      <c r="J4694" s="32"/>
      <c r="K4694" s="32"/>
      <c r="L4694" s="32"/>
      <c r="M4694" s="32"/>
      <c r="N4694" s="32"/>
      <c r="O4694" s="32"/>
      <c r="P4694" s="32"/>
      <c r="Q4694" s="32"/>
      <c r="R4694" s="32"/>
      <c r="S4694" s="32"/>
      <c r="T4694" s="32"/>
      <c r="U4694" s="32"/>
      <c r="V4694" s="32"/>
      <c r="W4694" s="32"/>
      <c r="X4694" s="32"/>
      <c r="Y4694" s="32"/>
      <c r="Z4694" s="32"/>
    </row>
    <row r="4695" spans="1:26" ht="14.25" customHeight="1">
      <c r="A4695" s="36">
        <v>2</v>
      </c>
      <c r="B4695" s="12" t="s">
        <v>9</v>
      </c>
      <c r="C4695" s="10" t="s">
        <v>1160</v>
      </c>
      <c r="D4695" s="12" t="s">
        <v>14</v>
      </c>
      <c r="E4695" s="12">
        <v>2</v>
      </c>
      <c r="F4695" s="43">
        <v>435000</v>
      </c>
      <c r="G4695" s="37">
        <f t="shared" si="297"/>
        <v>870000</v>
      </c>
      <c r="H4695" s="38"/>
      <c r="I4695" s="32"/>
      <c r="J4695" s="32"/>
      <c r="K4695" s="32"/>
      <c r="L4695" s="32"/>
      <c r="M4695" s="32"/>
      <c r="N4695" s="32"/>
      <c r="O4695" s="32"/>
      <c r="P4695" s="32"/>
      <c r="Q4695" s="32"/>
      <c r="R4695" s="32"/>
      <c r="S4695" s="32"/>
      <c r="T4695" s="32"/>
      <c r="U4695" s="32"/>
      <c r="V4695" s="32"/>
      <c r="W4695" s="32"/>
      <c r="X4695" s="32"/>
      <c r="Y4695" s="32"/>
      <c r="Z4695" s="32"/>
    </row>
    <row r="4696" spans="1:26" ht="14.25" customHeight="1">
      <c r="A4696" s="36">
        <v>4</v>
      </c>
      <c r="B4696" s="39" t="s">
        <v>17</v>
      </c>
      <c r="C4696" s="38"/>
      <c r="D4696" s="38"/>
      <c r="E4696" s="38"/>
      <c r="F4696" s="60"/>
      <c r="G4696" s="37">
        <f t="shared" si="297"/>
        <v>0</v>
      </c>
      <c r="H4696" s="38"/>
      <c r="I4696" s="32"/>
      <c r="J4696" s="32"/>
      <c r="K4696" s="32"/>
      <c r="L4696" s="32"/>
      <c r="M4696" s="32"/>
      <c r="N4696" s="32"/>
      <c r="O4696" s="32"/>
      <c r="P4696" s="32"/>
      <c r="Q4696" s="32"/>
      <c r="R4696" s="32"/>
      <c r="S4696" s="32"/>
      <c r="T4696" s="32"/>
      <c r="U4696" s="32"/>
      <c r="V4696" s="32"/>
      <c r="W4696" s="32"/>
      <c r="X4696" s="32"/>
      <c r="Y4696" s="32"/>
      <c r="Z4696" s="32"/>
    </row>
    <row r="4697" spans="1:26" ht="14.25" customHeight="1">
      <c r="A4697" s="83" t="s">
        <v>18</v>
      </c>
      <c r="B4697" s="81"/>
      <c r="C4697" s="81"/>
      <c r="D4697" s="81"/>
      <c r="E4697" s="81"/>
      <c r="F4697" s="81"/>
      <c r="G4697" s="82"/>
      <c r="H4697" s="41">
        <f>SUM(G4694:G4696)</f>
        <v>1280200</v>
      </c>
      <c r="I4697" s="32"/>
      <c r="J4697" s="32"/>
      <c r="K4697" s="32"/>
      <c r="L4697" s="32"/>
      <c r="M4697" s="32"/>
      <c r="N4697" s="32"/>
      <c r="O4697" s="32"/>
      <c r="P4697" s="32"/>
      <c r="Q4697" s="32"/>
      <c r="R4697" s="32"/>
      <c r="S4697" s="32"/>
      <c r="T4697" s="32"/>
      <c r="U4697" s="32"/>
      <c r="V4697" s="32"/>
      <c r="W4697" s="32"/>
      <c r="X4697" s="32"/>
      <c r="Y4697" s="32"/>
      <c r="Z4697" s="32"/>
    </row>
    <row r="4698" spans="1:26" ht="14.25" customHeight="1">
      <c r="A4698" s="83" t="s">
        <v>19</v>
      </c>
      <c r="B4698" s="81"/>
      <c r="C4698" s="81"/>
      <c r="D4698" s="81"/>
      <c r="E4698" s="81"/>
      <c r="F4698" s="81"/>
      <c r="G4698" s="82"/>
      <c r="H4698" s="41">
        <f>MAX(0,H4697-648000)</f>
        <v>632200</v>
      </c>
      <c r="I4698" s="32"/>
      <c r="J4698" s="32"/>
      <c r="K4698" s="32"/>
      <c r="L4698" s="32"/>
      <c r="M4698" s="32"/>
      <c r="N4698" s="32"/>
      <c r="O4698" s="32"/>
      <c r="P4698" s="32"/>
      <c r="Q4698" s="32"/>
      <c r="R4698" s="32"/>
      <c r="S4698" s="32"/>
      <c r="T4698" s="32"/>
      <c r="U4698" s="32"/>
      <c r="V4698" s="32"/>
      <c r="W4698" s="32"/>
      <c r="X4698" s="32"/>
      <c r="Y4698" s="32"/>
      <c r="Z4698" s="32"/>
    </row>
    <row r="4699" spans="1:26" ht="14.25" customHeight="1">
      <c r="A4699" s="84" t="s">
        <v>20</v>
      </c>
      <c r="B4699" s="81"/>
      <c r="C4699" s="81"/>
      <c r="D4699" s="81"/>
      <c r="E4699" s="81"/>
      <c r="F4699" s="81"/>
      <c r="G4699" s="82"/>
      <c r="H4699" s="42">
        <v>649000</v>
      </c>
      <c r="I4699" s="32"/>
      <c r="J4699" s="32"/>
      <c r="K4699" s="32"/>
      <c r="L4699" s="32"/>
      <c r="M4699" s="32"/>
      <c r="N4699" s="32"/>
      <c r="O4699" s="32"/>
      <c r="P4699" s="32"/>
      <c r="Q4699" s="32"/>
      <c r="R4699" s="32"/>
      <c r="S4699" s="32"/>
      <c r="T4699" s="32"/>
      <c r="U4699" s="32"/>
      <c r="V4699" s="32"/>
      <c r="W4699" s="32"/>
      <c r="X4699" s="32"/>
      <c r="Y4699" s="32"/>
      <c r="Z4699" s="32"/>
    </row>
    <row r="4700" spans="1:26" ht="14.25" customHeight="1">
      <c r="A4700" s="80"/>
      <c r="B4700" s="81"/>
      <c r="C4700" s="81"/>
      <c r="D4700" s="81"/>
      <c r="E4700" s="81"/>
      <c r="F4700" s="81"/>
      <c r="G4700" s="81"/>
      <c r="H4700" s="82"/>
      <c r="I4700" s="32"/>
      <c r="J4700" s="32"/>
      <c r="K4700" s="32"/>
      <c r="L4700" s="32"/>
      <c r="M4700" s="32"/>
      <c r="N4700" s="32"/>
      <c r="O4700" s="32"/>
      <c r="P4700" s="32"/>
      <c r="Q4700" s="32"/>
      <c r="R4700" s="32"/>
      <c r="S4700" s="32"/>
      <c r="T4700" s="32"/>
      <c r="U4700" s="32"/>
      <c r="V4700" s="32"/>
      <c r="W4700" s="32"/>
      <c r="X4700" s="32"/>
      <c r="Y4700" s="32"/>
      <c r="Z4700" s="32"/>
    </row>
    <row r="4701" spans="1:26" ht="14.25" customHeight="1"/>
    <row r="4702" spans="1:26" ht="14.25" customHeight="1"/>
    <row r="4703" spans="1:26" ht="14.25" customHeight="1"/>
    <row r="4704" spans="1:26" ht="14.25" customHeight="1"/>
    <row r="4705" spans="1:26" ht="14.25" customHeight="1"/>
    <row r="4706" spans="1:26" ht="14.25" customHeight="1"/>
    <row r="4707" spans="1:26" ht="14.25" customHeight="1">
      <c r="A4707" s="80" t="s">
        <v>0</v>
      </c>
      <c r="B4707" s="81"/>
      <c r="C4707" s="81"/>
      <c r="D4707" s="81"/>
      <c r="E4707" s="81"/>
      <c r="F4707" s="81"/>
      <c r="G4707" s="81"/>
      <c r="H4707" s="82"/>
      <c r="I4707" s="32"/>
      <c r="J4707" s="32"/>
      <c r="K4707" s="32"/>
      <c r="L4707" s="32"/>
      <c r="M4707" s="32"/>
      <c r="N4707" s="32"/>
      <c r="O4707" s="32"/>
      <c r="P4707" s="32"/>
      <c r="Q4707" s="32"/>
      <c r="R4707" s="32"/>
      <c r="S4707" s="32"/>
      <c r="T4707" s="32"/>
      <c r="U4707" s="32"/>
      <c r="V4707" s="32"/>
      <c r="W4707" s="32"/>
      <c r="X4707" s="32"/>
      <c r="Y4707" s="32"/>
      <c r="Z4707" s="32"/>
    </row>
    <row r="4708" spans="1:26" ht="14.25" customHeight="1">
      <c r="A4708" s="80" t="s">
        <v>1161</v>
      </c>
      <c r="B4708" s="81"/>
      <c r="C4708" s="81"/>
      <c r="D4708" s="81"/>
      <c r="E4708" s="81"/>
      <c r="F4708" s="81"/>
      <c r="G4708" s="81"/>
      <c r="H4708" s="82"/>
      <c r="I4708" s="32"/>
      <c r="J4708" s="32"/>
      <c r="K4708" s="32"/>
      <c r="L4708" s="32"/>
      <c r="M4708" s="32"/>
      <c r="N4708" s="32"/>
      <c r="O4708" s="32"/>
      <c r="P4708" s="32"/>
      <c r="Q4708" s="32"/>
      <c r="R4708" s="32"/>
      <c r="S4708" s="32"/>
      <c r="T4708" s="32"/>
      <c r="U4708" s="32"/>
      <c r="V4708" s="32"/>
      <c r="W4708" s="32"/>
      <c r="X4708" s="32"/>
      <c r="Y4708" s="32"/>
      <c r="Z4708" s="32"/>
    </row>
    <row r="4709" spans="1:26" ht="14.25" customHeight="1">
      <c r="A4709" s="33" t="s">
        <v>2</v>
      </c>
      <c r="B4709" s="33" t="s">
        <v>3</v>
      </c>
      <c r="C4709" s="33" t="s">
        <v>4</v>
      </c>
      <c r="D4709" s="33" t="s">
        <v>5</v>
      </c>
      <c r="E4709" s="33" t="s">
        <v>6</v>
      </c>
      <c r="F4709" s="34" t="s">
        <v>7</v>
      </c>
      <c r="G4709" s="33" t="s">
        <v>8</v>
      </c>
      <c r="H4709" s="35"/>
      <c r="I4709" s="32"/>
      <c r="J4709" s="32"/>
      <c r="K4709" s="32"/>
      <c r="L4709" s="32"/>
      <c r="M4709" s="32"/>
      <c r="N4709" s="32"/>
      <c r="O4709" s="32"/>
      <c r="P4709" s="32"/>
      <c r="Q4709" s="32"/>
      <c r="R4709" s="32"/>
      <c r="S4709" s="32"/>
      <c r="T4709" s="32"/>
      <c r="U4709" s="32"/>
      <c r="V4709" s="32"/>
      <c r="W4709" s="32"/>
      <c r="X4709" s="32"/>
      <c r="Y4709" s="32"/>
      <c r="Z4709" s="32"/>
    </row>
    <row r="4710" spans="1:26" ht="14.25" customHeight="1">
      <c r="A4710" s="36">
        <v>1</v>
      </c>
      <c r="B4710" s="18" t="s">
        <v>45</v>
      </c>
      <c r="C4710" s="5" t="s">
        <v>1162</v>
      </c>
      <c r="D4710" s="18" t="s">
        <v>11</v>
      </c>
      <c r="E4710" s="18">
        <v>1.2</v>
      </c>
      <c r="F4710" s="6">
        <v>293000</v>
      </c>
      <c r="G4710" s="37">
        <f t="shared" ref="G4710:G4712" si="298">IFERROR(E4710*F4710,0)</f>
        <v>351600</v>
      </c>
      <c r="H4710" s="38"/>
      <c r="I4710" s="32"/>
      <c r="J4710" s="32"/>
      <c r="K4710" s="32"/>
      <c r="L4710" s="32"/>
      <c r="M4710" s="32"/>
      <c r="N4710" s="32"/>
      <c r="O4710" s="32"/>
      <c r="P4710" s="32"/>
      <c r="Q4710" s="32"/>
      <c r="R4710" s="32"/>
      <c r="S4710" s="32"/>
      <c r="T4710" s="32"/>
      <c r="U4710" s="32"/>
      <c r="V4710" s="32"/>
      <c r="W4710" s="32"/>
      <c r="X4710" s="32"/>
      <c r="Y4710" s="32"/>
      <c r="Z4710" s="32"/>
    </row>
    <row r="4711" spans="1:26" ht="14.25" customHeight="1">
      <c r="A4711" s="36">
        <v>2</v>
      </c>
      <c r="B4711" s="12" t="s">
        <v>1163</v>
      </c>
      <c r="C4711" s="10" t="s">
        <v>1164</v>
      </c>
      <c r="D4711" s="12" t="s">
        <v>14</v>
      </c>
      <c r="E4711" s="12">
        <v>1.95</v>
      </c>
      <c r="F4711" s="43">
        <v>435000</v>
      </c>
      <c r="G4711" s="37">
        <f t="shared" si="298"/>
        <v>848250</v>
      </c>
      <c r="H4711" s="38"/>
      <c r="I4711" s="32"/>
      <c r="J4711" s="32"/>
      <c r="K4711" s="32"/>
      <c r="L4711" s="32"/>
      <c r="M4711" s="32"/>
      <c r="N4711" s="32"/>
      <c r="O4711" s="32"/>
      <c r="P4711" s="32"/>
      <c r="Q4711" s="32"/>
      <c r="R4711" s="32"/>
      <c r="S4711" s="32"/>
      <c r="T4711" s="32"/>
      <c r="U4711" s="32"/>
      <c r="V4711" s="32"/>
      <c r="W4711" s="32"/>
      <c r="X4711" s="32"/>
      <c r="Y4711" s="32"/>
      <c r="Z4711" s="32"/>
    </row>
    <row r="4712" spans="1:26" ht="14.25" customHeight="1">
      <c r="A4712" s="36">
        <v>4</v>
      </c>
      <c r="B4712" s="39" t="s">
        <v>17</v>
      </c>
      <c r="C4712" s="38"/>
      <c r="D4712" s="38"/>
      <c r="E4712" s="38"/>
      <c r="F4712" s="60"/>
      <c r="G4712" s="37">
        <f t="shared" si="298"/>
        <v>0</v>
      </c>
      <c r="H4712" s="38"/>
      <c r="I4712" s="32"/>
      <c r="J4712" s="32"/>
      <c r="K4712" s="32"/>
      <c r="L4712" s="32"/>
      <c r="M4712" s="32"/>
      <c r="N4712" s="32"/>
      <c r="O4712" s="32"/>
      <c r="P4712" s="32"/>
      <c r="Q4712" s="32"/>
      <c r="R4712" s="32"/>
      <c r="S4712" s="32"/>
      <c r="T4712" s="32"/>
      <c r="U4712" s="32"/>
      <c r="V4712" s="32"/>
      <c r="W4712" s="32"/>
      <c r="X4712" s="32"/>
      <c r="Y4712" s="32"/>
      <c r="Z4712" s="32"/>
    </row>
    <row r="4713" spans="1:26" ht="14.25" customHeight="1">
      <c r="A4713" s="83" t="s">
        <v>18</v>
      </c>
      <c r="B4713" s="81"/>
      <c r="C4713" s="81"/>
      <c r="D4713" s="81"/>
      <c r="E4713" s="81"/>
      <c r="F4713" s="81"/>
      <c r="G4713" s="82"/>
      <c r="H4713" s="41">
        <f>SUM(G4710:G4712)</f>
        <v>1199850</v>
      </c>
      <c r="I4713" s="32"/>
      <c r="J4713" s="32"/>
      <c r="K4713" s="32"/>
      <c r="L4713" s="32"/>
      <c r="M4713" s="32"/>
      <c r="N4713" s="32"/>
      <c r="O4713" s="32"/>
      <c r="P4713" s="32"/>
      <c r="Q4713" s="32"/>
      <c r="R4713" s="32"/>
      <c r="S4713" s="32"/>
      <c r="T4713" s="32"/>
      <c r="U4713" s="32"/>
      <c r="V4713" s="32"/>
      <c r="W4713" s="32"/>
      <c r="X4713" s="32"/>
      <c r="Y4713" s="32"/>
      <c r="Z4713" s="32"/>
    </row>
    <row r="4714" spans="1:26" ht="14.25" customHeight="1">
      <c r="A4714" s="83" t="s">
        <v>19</v>
      </c>
      <c r="B4714" s="81"/>
      <c r="C4714" s="81"/>
      <c r="D4714" s="81"/>
      <c r="E4714" s="81"/>
      <c r="F4714" s="81"/>
      <c r="G4714" s="82"/>
      <c r="H4714" s="41">
        <f>MAX(0,H4713-648000)</f>
        <v>551850</v>
      </c>
      <c r="I4714" s="32"/>
      <c r="J4714" s="32"/>
      <c r="K4714" s="32"/>
      <c r="L4714" s="32"/>
      <c r="M4714" s="32"/>
      <c r="N4714" s="32"/>
      <c r="O4714" s="32"/>
      <c r="P4714" s="32"/>
      <c r="Q4714" s="32"/>
      <c r="R4714" s="32"/>
      <c r="S4714" s="32"/>
      <c r="T4714" s="32"/>
      <c r="U4714" s="32"/>
      <c r="V4714" s="32"/>
      <c r="W4714" s="32"/>
      <c r="X4714" s="32"/>
      <c r="Y4714" s="32"/>
      <c r="Z4714" s="32"/>
    </row>
    <row r="4715" spans="1:26" ht="14.25" customHeight="1">
      <c r="A4715" s="84" t="s">
        <v>20</v>
      </c>
      <c r="B4715" s="81"/>
      <c r="C4715" s="81"/>
      <c r="D4715" s="81"/>
      <c r="E4715" s="81"/>
      <c r="F4715" s="81"/>
      <c r="G4715" s="82"/>
      <c r="H4715" s="42">
        <v>649000</v>
      </c>
      <c r="I4715" s="32"/>
      <c r="J4715" s="32"/>
      <c r="K4715" s="32"/>
      <c r="L4715" s="32"/>
      <c r="M4715" s="32"/>
      <c r="N4715" s="32"/>
      <c r="O4715" s="32"/>
      <c r="P4715" s="32"/>
      <c r="Q4715" s="32"/>
      <c r="R4715" s="32"/>
      <c r="S4715" s="32"/>
      <c r="T4715" s="32"/>
      <c r="U4715" s="32"/>
      <c r="V4715" s="32"/>
      <c r="W4715" s="32"/>
      <c r="X4715" s="32"/>
      <c r="Y4715" s="32"/>
      <c r="Z4715" s="32"/>
    </row>
    <row r="4716" spans="1:26" ht="14.25" customHeight="1">
      <c r="A4716" s="80"/>
      <c r="B4716" s="81"/>
      <c r="C4716" s="81"/>
      <c r="D4716" s="81"/>
      <c r="E4716" s="81"/>
      <c r="F4716" s="81"/>
      <c r="G4716" s="81"/>
      <c r="H4716" s="82"/>
      <c r="I4716" s="32"/>
      <c r="J4716" s="32"/>
      <c r="K4716" s="32"/>
      <c r="L4716" s="32"/>
      <c r="M4716" s="32"/>
      <c r="N4716" s="32"/>
      <c r="O4716" s="32"/>
      <c r="P4716" s="32"/>
      <c r="Q4716" s="32"/>
      <c r="R4716" s="32"/>
      <c r="S4716" s="32"/>
      <c r="T4716" s="32"/>
      <c r="U4716" s="32"/>
      <c r="V4716" s="32"/>
      <c r="W4716" s="32"/>
      <c r="X4716" s="32"/>
      <c r="Y4716" s="32"/>
      <c r="Z4716" s="32"/>
    </row>
    <row r="4717" spans="1:26" ht="14.25" customHeight="1"/>
    <row r="4718" spans="1:26" ht="14.25" customHeight="1"/>
    <row r="4719" spans="1:26" ht="14.25" customHeight="1"/>
    <row r="4720" spans="1:26" ht="14.25" customHeight="1"/>
    <row r="4721" spans="1:26" ht="14.25" customHeight="1"/>
    <row r="4722" spans="1:26" ht="14.25" customHeight="1"/>
    <row r="4723" spans="1:26" ht="14.25" customHeight="1"/>
    <row r="4724" spans="1:26" ht="14.25" customHeight="1">
      <c r="A4724" s="80" t="s">
        <v>0</v>
      </c>
      <c r="B4724" s="81"/>
      <c r="C4724" s="81"/>
      <c r="D4724" s="81"/>
      <c r="E4724" s="81"/>
      <c r="F4724" s="81"/>
      <c r="G4724" s="81"/>
      <c r="H4724" s="82"/>
      <c r="I4724" s="32"/>
      <c r="J4724" s="32"/>
      <c r="K4724" s="32"/>
      <c r="L4724" s="32"/>
      <c r="M4724" s="32"/>
      <c r="N4724" s="32"/>
      <c r="O4724" s="32"/>
      <c r="P4724" s="32"/>
      <c r="Q4724" s="32"/>
      <c r="R4724" s="32"/>
      <c r="S4724" s="32"/>
      <c r="T4724" s="32"/>
      <c r="U4724" s="32"/>
      <c r="V4724" s="32"/>
      <c r="W4724" s="32"/>
      <c r="X4724" s="32"/>
      <c r="Y4724" s="32"/>
      <c r="Z4724" s="32"/>
    </row>
    <row r="4725" spans="1:26" ht="14.25" customHeight="1">
      <c r="A4725" s="80" t="s">
        <v>1165</v>
      </c>
      <c r="B4725" s="81"/>
      <c r="C4725" s="81"/>
      <c r="D4725" s="81"/>
      <c r="E4725" s="81"/>
      <c r="F4725" s="81"/>
      <c r="G4725" s="81"/>
      <c r="H4725" s="82"/>
      <c r="I4725" s="32"/>
      <c r="J4725" s="32"/>
      <c r="K4725" s="32"/>
      <c r="L4725" s="32"/>
      <c r="M4725" s="32"/>
      <c r="N4725" s="32"/>
      <c r="O4725" s="32"/>
      <c r="P4725" s="32"/>
      <c r="Q4725" s="32"/>
      <c r="R4725" s="32"/>
      <c r="S4725" s="32"/>
      <c r="T4725" s="32"/>
      <c r="U4725" s="32"/>
      <c r="V4725" s="32"/>
      <c r="W4725" s="32"/>
      <c r="X4725" s="32"/>
      <c r="Y4725" s="32"/>
      <c r="Z4725" s="32"/>
    </row>
    <row r="4726" spans="1:26" ht="14.25" customHeight="1">
      <c r="A4726" s="33" t="s">
        <v>2</v>
      </c>
      <c r="B4726" s="33" t="s">
        <v>3</v>
      </c>
      <c r="C4726" s="33" t="s">
        <v>4</v>
      </c>
      <c r="D4726" s="33" t="s">
        <v>5</v>
      </c>
      <c r="E4726" s="33" t="s">
        <v>6</v>
      </c>
      <c r="F4726" s="34" t="s">
        <v>7</v>
      </c>
      <c r="G4726" s="33" t="s">
        <v>8</v>
      </c>
      <c r="H4726" s="35"/>
      <c r="I4726" s="32"/>
      <c r="J4726" s="32"/>
      <c r="K4726" s="32"/>
      <c r="L4726" s="32"/>
      <c r="M4726" s="32"/>
      <c r="N4726" s="32"/>
      <c r="O4726" s="32"/>
      <c r="P4726" s="32"/>
      <c r="Q4726" s="32"/>
      <c r="R4726" s="32"/>
      <c r="S4726" s="32"/>
      <c r="T4726" s="32"/>
      <c r="U4726" s="32"/>
      <c r="V4726" s="32"/>
      <c r="W4726" s="32"/>
      <c r="X4726" s="32"/>
      <c r="Y4726" s="32"/>
      <c r="Z4726" s="32"/>
    </row>
    <row r="4727" spans="1:26" ht="14.25" customHeight="1">
      <c r="A4727" s="36">
        <v>1</v>
      </c>
      <c r="B4727" s="18" t="s">
        <v>91</v>
      </c>
      <c r="C4727" s="5" t="s">
        <v>1166</v>
      </c>
      <c r="D4727" s="18" t="s">
        <v>11</v>
      </c>
      <c r="E4727" s="18">
        <v>1.55</v>
      </c>
      <c r="F4727" s="6">
        <v>293000</v>
      </c>
      <c r="G4727" s="37">
        <f t="shared" ref="G4727:G4729" si="299">IFERROR(E4727*F4727,0)</f>
        <v>454150</v>
      </c>
      <c r="H4727" s="38"/>
      <c r="I4727" s="32"/>
      <c r="J4727" s="32"/>
      <c r="K4727" s="32"/>
      <c r="L4727" s="32"/>
      <c r="M4727" s="32"/>
      <c r="N4727" s="32"/>
      <c r="O4727" s="32"/>
      <c r="P4727" s="32"/>
      <c r="Q4727" s="32"/>
      <c r="R4727" s="32"/>
      <c r="S4727" s="32"/>
      <c r="T4727" s="32"/>
      <c r="U4727" s="32"/>
      <c r="V4727" s="32"/>
      <c r="W4727" s="32"/>
      <c r="X4727" s="32"/>
      <c r="Y4727" s="32"/>
      <c r="Z4727" s="32"/>
    </row>
    <row r="4728" spans="1:26" ht="14.25" customHeight="1">
      <c r="A4728" s="36">
        <v>2</v>
      </c>
      <c r="B4728" s="12" t="s">
        <v>33</v>
      </c>
      <c r="C4728" s="10" t="s">
        <v>1008</v>
      </c>
      <c r="D4728" s="12" t="s">
        <v>14</v>
      </c>
      <c r="E4728" s="12">
        <v>2</v>
      </c>
      <c r="F4728" s="43">
        <v>435000</v>
      </c>
      <c r="G4728" s="37">
        <f t="shared" si="299"/>
        <v>870000</v>
      </c>
      <c r="H4728" s="38"/>
      <c r="I4728" s="32"/>
      <c r="J4728" s="32"/>
      <c r="K4728" s="32"/>
      <c r="L4728" s="32"/>
      <c r="M4728" s="32"/>
      <c r="N4728" s="32"/>
      <c r="O4728" s="32"/>
      <c r="P4728" s="32"/>
      <c r="Q4728" s="32"/>
      <c r="R4728" s="32"/>
      <c r="S4728" s="32"/>
      <c r="T4728" s="32"/>
      <c r="U4728" s="32"/>
      <c r="V4728" s="32"/>
      <c r="W4728" s="32"/>
      <c r="X4728" s="32"/>
      <c r="Y4728" s="32"/>
      <c r="Z4728" s="32"/>
    </row>
    <row r="4729" spans="1:26" ht="14.25" customHeight="1">
      <c r="A4729" s="36">
        <v>4</v>
      </c>
      <c r="B4729" s="39" t="s">
        <v>17</v>
      </c>
      <c r="C4729" s="38"/>
      <c r="D4729" s="38"/>
      <c r="E4729" s="38"/>
      <c r="F4729" s="60"/>
      <c r="G4729" s="37">
        <f t="shared" si="299"/>
        <v>0</v>
      </c>
      <c r="H4729" s="38"/>
      <c r="I4729" s="32"/>
      <c r="J4729" s="32"/>
      <c r="K4729" s="32"/>
      <c r="L4729" s="32"/>
      <c r="M4729" s="32"/>
      <c r="N4729" s="32"/>
      <c r="O4729" s="32"/>
      <c r="P4729" s="32"/>
      <c r="Q4729" s="32"/>
      <c r="R4729" s="32"/>
      <c r="S4729" s="32"/>
      <c r="T4729" s="32"/>
      <c r="U4729" s="32"/>
      <c r="V4729" s="32"/>
      <c r="W4729" s="32"/>
      <c r="X4729" s="32"/>
      <c r="Y4729" s="32"/>
      <c r="Z4729" s="32"/>
    </row>
    <row r="4730" spans="1:26" ht="14.25" customHeight="1">
      <c r="A4730" s="83" t="s">
        <v>18</v>
      </c>
      <c r="B4730" s="81"/>
      <c r="C4730" s="81"/>
      <c r="D4730" s="81"/>
      <c r="E4730" s="81"/>
      <c r="F4730" s="81"/>
      <c r="G4730" s="82"/>
      <c r="H4730" s="41">
        <f>SUM(G4727:G4729)</f>
        <v>1324150</v>
      </c>
      <c r="I4730" s="32"/>
      <c r="J4730" s="32"/>
      <c r="K4730" s="32"/>
      <c r="L4730" s="32"/>
      <c r="M4730" s="32"/>
      <c r="N4730" s="32"/>
      <c r="O4730" s="32"/>
      <c r="P4730" s="32"/>
      <c r="Q4730" s="32"/>
      <c r="R4730" s="32"/>
      <c r="S4730" s="32"/>
      <c r="T4730" s="32"/>
      <c r="U4730" s="32"/>
      <c r="V4730" s="32"/>
      <c r="W4730" s="32"/>
      <c r="X4730" s="32"/>
      <c r="Y4730" s="32"/>
      <c r="Z4730" s="32"/>
    </row>
    <row r="4731" spans="1:26" ht="14.25" customHeight="1">
      <c r="A4731" s="83" t="s">
        <v>19</v>
      </c>
      <c r="B4731" s="81"/>
      <c r="C4731" s="81"/>
      <c r="D4731" s="81"/>
      <c r="E4731" s="81"/>
      <c r="F4731" s="81"/>
      <c r="G4731" s="82"/>
      <c r="H4731" s="41">
        <f>MAX(0,H4730-648000)</f>
        <v>676150</v>
      </c>
      <c r="I4731" s="32"/>
      <c r="J4731" s="32"/>
      <c r="K4731" s="32"/>
      <c r="L4731" s="32"/>
      <c r="M4731" s="32"/>
      <c r="N4731" s="32"/>
      <c r="O4731" s="32"/>
      <c r="P4731" s="32"/>
      <c r="Q4731" s="32"/>
      <c r="R4731" s="32"/>
      <c r="S4731" s="32"/>
      <c r="T4731" s="32"/>
      <c r="U4731" s="32"/>
      <c r="V4731" s="32"/>
      <c r="W4731" s="32"/>
      <c r="X4731" s="32"/>
      <c r="Y4731" s="32"/>
      <c r="Z4731" s="32"/>
    </row>
    <row r="4732" spans="1:26" ht="14.25" customHeight="1">
      <c r="A4732" s="84" t="s">
        <v>20</v>
      </c>
      <c r="B4732" s="81"/>
      <c r="C4732" s="81"/>
      <c r="D4732" s="81"/>
      <c r="E4732" s="81"/>
      <c r="F4732" s="81"/>
      <c r="G4732" s="82"/>
      <c r="H4732" s="42">
        <v>649000</v>
      </c>
      <c r="I4732" s="32"/>
      <c r="J4732" s="32"/>
      <c r="K4732" s="32"/>
      <c r="L4732" s="32"/>
      <c r="M4732" s="32"/>
      <c r="N4732" s="32"/>
      <c r="O4732" s="32"/>
      <c r="P4732" s="32"/>
      <c r="Q4732" s="32"/>
      <c r="R4732" s="32"/>
      <c r="S4732" s="32"/>
      <c r="T4732" s="32"/>
      <c r="U4732" s="32"/>
      <c r="V4732" s="32"/>
      <c r="W4732" s="32"/>
      <c r="X4732" s="32"/>
      <c r="Y4732" s="32"/>
      <c r="Z4732" s="32"/>
    </row>
    <row r="4733" spans="1:26" ht="14.25" customHeight="1">
      <c r="A4733" s="80"/>
      <c r="B4733" s="81"/>
      <c r="C4733" s="81"/>
      <c r="D4733" s="81"/>
      <c r="E4733" s="81"/>
      <c r="F4733" s="81"/>
      <c r="G4733" s="81"/>
      <c r="H4733" s="82"/>
      <c r="I4733" s="32"/>
      <c r="J4733" s="32"/>
      <c r="K4733" s="32"/>
      <c r="L4733" s="32"/>
      <c r="M4733" s="32"/>
      <c r="N4733" s="32"/>
      <c r="O4733" s="32"/>
      <c r="P4733" s="32"/>
      <c r="Q4733" s="32"/>
      <c r="R4733" s="32"/>
      <c r="S4733" s="32"/>
      <c r="T4733" s="32"/>
      <c r="U4733" s="32"/>
      <c r="V4733" s="32"/>
      <c r="W4733" s="32"/>
      <c r="X4733" s="32"/>
      <c r="Y4733" s="32"/>
      <c r="Z4733" s="32"/>
    </row>
    <row r="4734" spans="1:26" ht="14.25" customHeight="1"/>
    <row r="4735" spans="1:26" ht="14.25" customHeight="1"/>
    <row r="4736" spans="1:26" ht="14.25" customHeight="1"/>
    <row r="4737" spans="1:26" ht="14.25" customHeight="1"/>
    <row r="4738" spans="1:26" ht="14.25" customHeight="1"/>
    <row r="4739" spans="1:26" ht="14.25" customHeight="1">
      <c r="A4739" s="80" t="s">
        <v>0</v>
      </c>
      <c r="B4739" s="81"/>
      <c r="C4739" s="81"/>
      <c r="D4739" s="81"/>
      <c r="E4739" s="81"/>
      <c r="F4739" s="81"/>
      <c r="G4739" s="81"/>
      <c r="H4739" s="82"/>
      <c r="I4739" s="32"/>
      <c r="J4739" s="32"/>
      <c r="K4739" s="32"/>
      <c r="L4739" s="32"/>
      <c r="M4739" s="32"/>
      <c r="N4739" s="32"/>
      <c r="O4739" s="32"/>
      <c r="P4739" s="32"/>
      <c r="Q4739" s="32"/>
      <c r="R4739" s="32"/>
      <c r="S4739" s="32"/>
      <c r="T4739" s="32"/>
      <c r="U4739" s="32"/>
      <c r="V4739" s="32"/>
      <c r="W4739" s="32"/>
      <c r="X4739" s="32"/>
      <c r="Y4739" s="32"/>
      <c r="Z4739" s="32"/>
    </row>
    <row r="4740" spans="1:26" ht="14.25" customHeight="1">
      <c r="A4740" s="80" t="s">
        <v>1167</v>
      </c>
      <c r="B4740" s="81"/>
      <c r="C4740" s="81"/>
      <c r="D4740" s="81"/>
      <c r="E4740" s="81"/>
      <c r="F4740" s="81"/>
      <c r="G4740" s="81"/>
      <c r="H4740" s="82"/>
      <c r="I4740" s="32"/>
      <c r="J4740" s="32"/>
      <c r="K4740" s="32"/>
      <c r="L4740" s="32"/>
      <c r="M4740" s="32"/>
      <c r="N4740" s="32"/>
      <c r="O4740" s="32"/>
      <c r="P4740" s="32"/>
      <c r="Q4740" s="32"/>
      <c r="R4740" s="32"/>
      <c r="S4740" s="32"/>
      <c r="T4740" s="32"/>
      <c r="U4740" s="32"/>
      <c r="V4740" s="32"/>
      <c r="W4740" s="32"/>
      <c r="X4740" s="32"/>
      <c r="Y4740" s="32"/>
      <c r="Z4740" s="32"/>
    </row>
    <row r="4741" spans="1:26" ht="14.25" customHeight="1">
      <c r="A4741" s="33" t="s">
        <v>2</v>
      </c>
      <c r="B4741" s="33" t="s">
        <v>3</v>
      </c>
      <c r="C4741" s="33" t="s">
        <v>4</v>
      </c>
      <c r="D4741" s="33" t="s">
        <v>5</v>
      </c>
      <c r="E4741" s="33" t="s">
        <v>6</v>
      </c>
      <c r="F4741" s="34" t="s">
        <v>7</v>
      </c>
      <c r="G4741" s="33" t="s">
        <v>8</v>
      </c>
      <c r="H4741" s="35"/>
      <c r="I4741" s="32"/>
      <c r="J4741" s="32"/>
      <c r="K4741" s="32"/>
      <c r="L4741" s="32"/>
      <c r="M4741" s="32"/>
      <c r="N4741" s="32"/>
      <c r="O4741" s="32"/>
      <c r="P4741" s="32"/>
      <c r="Q4741" s="32"/>
      <c r="R4741" s="32"/>
      <c r="S4741" s="32"/>
      <c r="T4741" s="32"/>
      <c r="U4741" s="32"/>
      <c r="V4741" s="32"/>
      <c r="W4741" s="32"/>
      <c r="X4741" s="32"/>
      <c r="Y4741" s="32"/>
      <c r="Z4741" s="32"/>
    </row>
    <row r="4742" spans="1:26" ht="14.25" customHeight="1">
      <c r="A4742" s="36">
        <v>1</v>
      </c>
      <c r="B4742" s="18" t="s">
        <v>33</v>
      </c>
      <c r="C4742" s="5">
        <v>7839</v>
      </c>
      <c r="D4742" s="18" t="s">
        <v>11</v>
      </c>
      <c r="E4742" s="18">
        <v>1.4</v>
      </c>
      <c r="F4742" s="6">
        <v>293000</v>
      </c>
      <c r="G4742" s="37">
        <f t="shared" ref="G4742:G4744" si="300">IFERROR(E4742*F4742,0)</f>
        <v>410200</v>
      </c>
      <c r="H4742" s="38"/>
      <c r="I4742" s="32"/>
      <c r="J4742" s="32"/>
      <c r="K4742" s="32"/>
      <c r="L4742" s="32"/>
      <c r="M4742" s="32"/>
      <c r="N4742" s="32"/>
      <c r="O4742" s="32"/>
      <c r="P4742" s="32"/>
      <c r="Q4742" s="32"/>
      <c r="R4742" s="32"/>
      <c r="S4742" s="32"/>
      <c r="T4742" s="32"/>
      <c r="U4742" s="32"/>
      <c r="V4742" s="32"/>
      <c r="W4742" s="32"/>
      <c r="X4742" s="32"/>
      <c r="Y4742" s="32"/>
      <c r="Z4742" s="32"/>
    </row>
    <row r="4743" spans="1:26" ht="14.25" customHeight="1">
      <c r="A4743" s="36">
        <v>2</v>
      </c>
      <c r="B4743" s="12" t="s">
        <v>1163</v>
      </c>
      <c r="C4743" s="10" t="s">
        <v>1164</v>
      </c>
      <c r="D4743" s="12" t="s">
        <v>233</v>
      </c>
      <c r="E4743" s="12">
        <v>2</v>
      </c>
      <c r="F4743" s="43">
        <v>435000</v>
      </c>
      <c r="G4743" s="37">
        <f t="shared" si="300"/>
        <v>870000</v>
      </c>
      <c r="H4743" s="38"/>
      <c r="I4743" s="32"/>
      <c r="J4743" s="32"/>
      <c r="K4743" s="32"/>
      <c r="L4743" s="32"/>
      <c r="M4743" s="32"/>
      <c r="N4743" s="32"/>
      <c r="O4743" s="32"/>
      <c r="P4743" s="32"/>
      <c r="Q4743" s="32"/>
      <c r="R4743" s="32"/>
      <c r="S4743" s="32"/>
      <c r="T4743" s="32"/>
      <c r="U4743" s="32"/>
      <c r="V4743" s="32"/>
      <c r="W4743" s="32"/>
      <c r="X4743" s="32"/>
      <c r="Y4743" s="32"/>
      <c r="Z4743" s="32"/>
    </row>
    <row r="4744" spans="1:26" ht="14.25" customHeight="1">
      <c r="A4744" s="36">
        <v>4</v>
      </c>
      <c r="B4744" s="39" t="s">
        <v>17</v>
      </c>
      <c r="C4744" s="38"/>
      <c r="D4744" s="38"/>
      <c r="E4744" s="38"/>
      <c r="F4744" s="60"/>
      <c r="G4744" s="37">
        <f t="shared" si="300"/>
        <v>0</v>
      </c>
      <c r="H4744" s="38"/>
      <c r="I4744" s="32"/>
      <c r="J4744" s="32"/>
      <c r="K4744" s="32"/>
      <c r="L4744" s="32"/>
      <c r="M4744" s="32"/>
      <c r="N4744" s="32"/>
      <c r="O4744" s="32"/>
      <c r="P4744" s="32"/>
      <c r="Q4744" s="32"/>
      <c r="R4744" s="32"/>
      <c r="S4744" s="32"/>
      <c r="T4744" s="32"/>
      <c r="U4744" s="32"/>
      <c r="V4744" s="32"/>
      <c r="W4744" s="32"/>
      <c r="X4744" s="32"/>
      <c r="Y4744" s="32"/>
      <c r="Z4744" s="32"/>
    </row>
    <row r="4745" spans="1:26" ht="14.25" customHeight="1">
      <c r="A4745" s="83" t="s">
        <v>18</v>
      </c>
      <c r="B4745" s="81"/>
      <c r="C4745" s="81"/>
      <c r="D4745" s="81"/>
      <c r="E4745" s="81"/>
      <c r="F4745" s="81"/>
      <c r="G4745" s="82"/>
      <c r="H4745" s="41">
        <f>SUM(G4742:G4744)</f>
        <v>1280200</v>
      </c>
      <c r="I4745" s="32"/>
      <c r="J4745" s="32"/>
      <c r="K4745" s="32"/>
      <c r="L4745" s="32"/>
      <c r="M4745" s="32"/>
      <c r="N4745" s="32"/>
      <c r="O4745" s="32"/>
      <c r="P4745" s="32"/>
      <c r="Q4745" s="32"/>
      <c r="R4745" s="32"/>
      <c r="S4745" s="32"/>
      <c r="T4745" s="32"/>
      <c r="U4745" s="32"/>
      <c r="V4745" s="32"/>
      <c r="W4745" s="32"/>
      <c r="X4745" s="32"/>
      <c r="Y4745" s="32"/>
      <c r="Z4745" s="32"/>
    </row>
    <row r="4746" spans="1:26" ht="14.25" customHeight="1">
      <c r="A4746" s="83" t="s">
        <v>19</v>
      </c>
      <c r="B4746" s="81"/>
      <c r="C4746" s="81"/>
      <c r="D4746" s="81"/>
      <c r="E4746" s="81"/>
      <c r="F4746" s="81"/>
      <c r="G4746" s="82"/>
      <c r="H4746" s="41">
        <f>MAX(0,H4745-648000)</f>
        <v>632200</v>
      </c>
      <c r="I4746" s="32"/>
      <c r="J4746" s="32"/>
      <c r="K4746" s="32"/>
      <c r="L4746" s="32"/>
      <c r="M4746" s="32"/>
      <c r="N4746" s="32"/>
      <c r="O4746" s="32"/>
      <c r="P4746" s="32"/>
      <c r="Q4746" s="32"/>
      <c r="R4746" s="32"/>
      <c r="S4746" s="32"/>
      <c r="T4746" s="32"/>
      <c r="U4746" s="32"/>
      <c r="V4746" s="32"/>
      <c r="W4746" s="32"/>
      <c r="X4746" s="32"/>
      <c r="Y4746" s="32"/>
      <c r="Z4746" s="32"/>
    </row>
    <row r="4747" spans="1:26" ht="14.25" customHeight="1">
      <c r="A4747" s="84" t="s">
        <v>20</v>
      </c>
      <c r="B4747" s="81"/>
      <c r="C4747" s="81"/>
      <c r="D4747" s="81"/>
      <c r="E4747" s="81"/>
      <c r="F4747" s="81"/>
      <c r="G4747" s="82"/>
      <c r="H4747" s="42">
        <v>649000</v>
      </c>
      <c r="I4747" s="32"/>
      <c r="J4747" s="32"/>
      <c r="K4747" s="32"/>
      <c r="L4747" s="32"/>
      <c r="M4747" s="32"/>
      <c r="N4747" s="32"/>
      <c r="O4747" s="32"/>
      <c r="P4747" s="32"/>
      <c r="Q4747" s="32"/>
      <c r="R4747" s="32"/>
      <c r="S4747" s="32"/>
      <c r="T4747" s="32"/>
      <c r="U4747" s="32"/>
      <c r="V4747" s="32"/>
      <c r="W4747" s="32"/>
      <c r="X4747" s="32"/>
      <c r="Y4747" s="32"/>
      <c r="Z4747" s="32"/>
    </row>
    <row r="4748" spans="1:26" ht="14.25" customHeight="1">
      <c r="A4748" s="80"/>
      <c r="B4748" s="81"/>
      <c r="C4748" s="81"/>
      <c r="D4748" s="81"/>
      <c r="E4748" s="81"/>
      <c r="F4748" s="81"/>
      <c r="G4748" s="81"/>
      <c r="H4748" s="82"/>
      <c r="I4748" s="32"/>
      <c r="J4748" s="32"/>
      <c r="K4748" s="32"/>
      <c r="L4748" s="32"/>
      <c r="M4748" s="32"/>
      <c r="N4748" s="32"/>
      <c r="O4748" s="32"/>
      <c r="P4748" s="32"/>
      <c r="Q4748" s="32"/>
      <c r="R4748" s="32"/>
      <c r="S4748" s="32"/>
      <c r="T4748" s="32"/>
      <c r="U4748" s="32"/>
      <c r="V4748" s="32"/>
      <c r="W4748" s="32"/>
      <c r="X4748" s="32"/>
      <c r="Y4748" s="32"/>
      <c r="Z4748" s="32"/>
    </row>
    <row r="4749" spans="1:26" ht="14.25" customHeight="1"/>
    <row r="4750" spans="1:26" ht="14.25" customHeight="1"/>
    <row r="4751" spans="1:26" ht="14.25" customHeight="1"/>
    <row r="4752" spans="1:26" ht="14.25" customHeight="1"/>
    <row r="4753" spans="1:26" ht="14.25" customHeight="1"/>
    <row r="4754" spans="1:26" ht="14.25" customHeight="1">
      <c r="A4754" s="80" t="s">
        <v>0</v>
      </c>
      <c r="B4754" s="81"/>
      <c r="C4754" s="81"/>
      <c r="D4754" s="81"/>
      <c r="E4754" s="81"/>
      <c r="F4754" s="81"/>
      <c r="G4754" s="81"/>
      <c r="H4754" s="82"/>
      <c r="I4754" s="32"/>
      <c r="J4754" s="32"/>
      <c r="K4754" s="32"/>
      <c r="L4754" s="32"/>
      <c r="M4754" s="32"/>
      <c r="N4754" s="32"/>
      <c r="O4754" s="32"/>
      <c r="P4754" s="32"/>
      <c r="Q4754" s="32"/>
      <c r="R4754" s="32"/>
      <c r="S4754" s="32"/>
      <c r="T4754" s="32"/>
      <c r="U4754" s="32"/>
      <c r="V4754" s="32"/>
      <c r="W4754" s="32"/>
      <c r="X4754" s="32"/>
      <c r="Y4754" s="32"/>
      <c r="Z4754" s="32"/>
    </row>
    <row r="4755" spans="1:26" ht="14.25" customHeight="1">
      <c r="A4755" s="80" t="s">
        <v>1168</v>
      </c>
      <c r="B4755" s="81"/>
      <c r="C4755" s="81"/>
      <c r="D4755" s="81"/>
      <c r="E4755" s="81"/>
      <c r="F4755" s="81"/>
      <c r="G4755" s="81"/>
      <c r="H4755" s="82"/>
      <c r="I4755" s="32"/>
      <c r="J4755" s="32"/>
      <c r="K4755" s="32"/>
      <c r="L4755" s="32"/>
      <c r="M4755" s="32"/>
      <c r="N4755" s="32"/>
      <c r="O4755" s="32"/>
      <c r="P4755" s="32"/>
      <c r="Q4755" s="32"/>
      <c r="R4755" s="32"/>
      <c r="S4755" s="32"/>
      <c r="T4755" s="32"/>
      <c r="U4755" s="32"/>
      <c r="V4755" s="32"/>
      <c r="W4755" s="32"/>
      <c r="X4755" s="32"/>
      <c r="Y4755" s="32"/>
      <c r="Z4755" s="32"/>
    </row>
    <row r="4756" spans="1:26" ht="14.25" customHeight="1">
      <c r="A4756" s="33" t="s">
        <v>2</v>
      </c>
      <c r="B4756" s="33" t="s">
        <v>3</v>
      </c>
      <c r="C4756" s="33" t="s">
        <v>4</v>
      </c>
      <c r="D4756" s="33" t="s">
        <v>5</v>
      </c>
      <c r="E4756" s="33" t="s">
        <v>6</v>
      </c>
      <c r="F4756" s="34" t="s">
        <v>7</v>
      </c>
      <c r="G4756" s="33" t="s">
        <v>8</v>
      </c>
      <c r="H4756" s="35"/>
      <c r="I4756" s="32"/>
      <c r="J4756" s="32"/>
      <c r="K4756" s="32"/>
      <c r="L4756" s="32"/>
      <c r="M4756" s="32"/>
      <c r="N4756" s="32"/>
      <c r="O4756" s="32"/>
      <c r="P4756" s="32"/>
      <c r="Q4756" s="32"/>
      <c r="R4756" s="32"/>
      <c r="S4756" s="32"/>
      <c r="T4756" s="32"/>
      <c r="U4756" s="32"/>
      <c r="V4756" s="32"/>
      <c r="W4756" s="32"/>
      <c r="X4756" s="32"/>
      <c r="Y4756" s="32"/>
      <c r="Z4756" s="32"/>
    </row>
    <row r="4757" spans="1:26" ht="14.25" customHeight="1">
      <c r="A4757" s="36">
        <v>1</v>
      </c>
      <c r="B4757" s="18" t="s">
        <v>601</v>
      </c>
      <c r="C4757" s="5" t="s">
        <v>1169</v>
      </c>
      <c r="D4757" s="18" t="s">
        <v>11</v>
      </c>
      <c r="E4757" s="18">
        <v>3</v>
      </c>
      <c r="F4757" s="6">
        <v>293000</v>
      </c>
      <c r="G4757" s="37">
        <f t="shared" ref="G4757:G4759" si="301">IFERROR(E4757*F4757,0)</f>
        <v>879000</v>
      </c>
      <c r="H4757" s="38"/>
      <c r="I4757" s="32"/>
      <c r="J4757" s="32"/>
      <c r="K4757" s="32"/>
      <c r="L4757" s="32"/>
      <c r="M4757" s="32"/>
      <c r="N4757" s="32"/>
      <c r="O4757" s="32"/>
      <c r="P4757" s="32"/>
      <c r="Q4757" s="32"/>
      <c r="R4757" s="32"/>
      <c r="S4757" s="32"/>
      <c r="T4757" s="32"/>
      <c r="U4757" s="32"/>
      <c r="V4757" s="32"/>
      <c r="W4757" s="32"/>
      <c r="X4757" s="32"/>
      <c r="Y4757" s="32"/>
      <c r="Z4757" s="32"/>
    </row>
    <row r="4758" spans="1:26" ht="14.25" customHeight="1">
      <c r="A4758" s="36">
        <v>2</v>
      </c>
      <c r="B4758" s="12" t="s">
        <v>621</v>
      </c>
      <c r="C4758" s="10" t="s">
        <v>1170</v>
      </c>
      <c r="D4758" s="12" t="s">
        <v>233</v>
      </c>
      <c r="E4758" s="12">
        <v>0.65</v>
      </c>
      <c r="F4758" s="43">
        <v>435000</v>
      </c>
      <c r="G4758" s="37">
        <f t="shared" si="301"/>
        <v>282750</v>
      </c>
      <c r="H4758" s="38"/>
      <c r="I4758" s="32"/>
      <c r="J4758" s="32"/>
      <c r="K4758" s="32"/>
      <c r="L4758" s="32"/>
      <c r="M4758" s="32"/>
      <c r="N4758" s="32"/>
      <c r="O4758" s="32"/>
      <c r="P4758" s="32"/>
      <c r="Q4758" s="32"/>
      <c r="R4758" s="32"/>
      <c r="S4758" s="32"/>
      <c r="T4758" s="32"/>
      <c r="U4758" s="32"/>
      <c r="V4758" s="32"/>
      <c r="W4758" s="32"/>
      <c r="X4758" s="32"/>
      <c r="Y4758" s="32"/>
      <c r="Z4758" s="32"/>
    </row>
    <row r="4759" spans="1:26" ht="14.25" customHeight="1">
      <c r="A4759" s="36">
        <v>4</v>
      </c>
      <c r="B4759" s="39" t="s">
        <v>17</v>
      </c>
      <c r="C4759" s="38"/>
      <c r="D4759" s="38"/>
      <c r="E4759" s="38"/>
      <c r="F4759" s="60"/>
      <c r="G4759" s="37">
        <f t="shared" si="301"/>
        <v>0</v>
      </c>
      <c r="H4759" s="38"/>
      <c r="I4759" s="32"/>
      <c r="J4759" s="32"/>
      <c r="K4759" s="32"/>
      <c r="L4759" s="32"/>
      <c r="M4759" s="32"/>
      <c r="N4759" s="32"/>
      <c r="O4759" s="32"/>
      <c r="P4759" s="32"/>
      <c r="Q4759" s="32"/>
      <c r="R4759" s="32"/>
      <c r="S4759" s="32"/>
      <c r="T4759" s="32"/>
      <c r="U4759" s="32"/>
      <c r="V4759" s="32"/>
      <c r="W4759" s="32"/>
      <c r="X4759" s="32"/>
      <c r="Y4759" s="32"/>
      <c r="Z4759" s="32"/>
    </row>
    <row r="4760" spans="1:26" ht="14.25" customHeight="1">
      <c r="A4760" s="83" t="s">
        <v>18</v>
      </c>
      <c r="B4760" s="81"/>
      <c r="C4760" s="81"/>
      <c r="D4760" s="81"/>
      <c r="E4760" s="81"/>
      <c r="F4760" s="81"/>
      <c r="G4760" s="82"/>
      <c r="H4760" s="41">
        <f>SUM(G4757:G4759)</f>
        <v>1161750</v>
      </c>
      <c r="I4760" s="32"/>
      <c r="J4760" s="32"/>
      <c r="K4760" s="32"/>
      <c r="L4760" s="32"/>
      <c r="M4760" s="32"/>
      <c r="N4760" s="32"/>
      <c r="O4760" s="32"/>
      <c r="P4760" s="32"/>
      <c r="Q4760" s="32"/>
      <c r="R4760" s="32"/>
      <c r="S4760" s="32"/>
      <c r="T4760" s="32"/>
      <c r="U4760" s="32"/>
      <c r="V4760" s="32"/>
      <c r="W4760" s="32"/>
      <c r="X4760" s="32"/>
      <c r="Y4760" s="32"/>
      <c r="Z4760" s="32"/>
    </row>
    <row r="4761" spans="1:26" ht="14.25" customHeight="1">
      <c r="A4761" s="83" t="s">
        <v>19</v>
      </c>
      <c r="B4761" s="81"/>
      <c r="C4761" s="81"/>
      <c r="D4761" s="81"/>
      <c r="E4761" s="81"/>
      <c r="F4761" s="81"/>
      <c r="G4761" s="82"/>
      <c r="H4761" s="41">
        <f>MAX(0,H4760-648000)</f>
        <v>513750</v>
      </c>
      <c r="I4761" s="32"/>
      <c r="J4761" s="32"/>
      <c r="K4761" s="32"/>
      <c r="L4761" s="32"/>
      <c r="M4761" s="32"/>
      <c r="N4761" s="32"/>
      <c r="O4761" s="32"/>
      <c r="P4761" s="32"/>
      <c r="Q4761" s="32"/>
      <c r="R4761" s="32"/>
      <c r="S4761" s="32"/>
      <c r="T4761" s="32"/>
      <c r="U4761" s="32"/>
      <c r="V4761" s="32"/>
      <c r="W4761" s="32"/>
      <c r="X4761" s="32"/>
      <c r="Y4761" s="32"/>
      <c r="Z4761" s="32"/>
    </row>
    <row r="4762" spans="1:26" ht="14.25" customHeight="1">
      <c r="A4762" s="84" t="s">
        <v>20</v>
      </c>
      <c r="B4762" s="81"/>
      <c r="C4762" s="81"/>
      <c r="D4762" s="81"/>
      <c r="E4762" s="81"/>
      <c r="F4762" s="81"/>
      <c r="G4762" s="82"/>
      <c r="H4762" s="42">
        <v>649000</v>
      </c>
      <c r="I4762" s="32"/>
      <c r="J4762" s="32"/>
      <c r="K4762" s="32"/>
      <c r="L4762" s="32"/>
      <c r="M4762" s="32"/>
      <c r="N4762" s="32"/>
      <c r="O4762" s="32"/>
      <c r="P4762" s="32"/>
      <c r="Q4762" s="32"/>
      <c r="R4762" s="32"/>
      <c r="S4762" s="32"/>
      <c r="T4762" s="32"/>
      <c r="U4762" s="32"/>
      <c r="V4762" s="32"/>
      <c r="W4762" s="32"/>
      <c r="X4762" s="32"/>
      <c r="Y4762" s="32"/>
      <c r="Z4762" s="32"/>
    </row>
    <row r="4763" spans="1:26" ht="14.25" customHeight="1">
      <c r="A4763" s="80"/>
      <c r="B4763" s="81"/>
      <c r="C4763" s="81"/>
      <c r="D4763" s="81"/>
      <c r="E4763" s="81"/>
      <c r="F4763" s="81"/>
      <c r="G4763" s="81"/>
      <c r="H4763" s="82"/>
      <c r="I4763" s="32"/>
      <c r="J4763" s="32"/>
      <c r="K4763" s="32"/>
      <c r="L4763" s="32"/>
      <c r="M4763" s="32"/>
      <c r="N4763" s="32"/>
      <c r="O4763" s="32"/>
      <c r="P4763" s="32"/>
      <c r="Q4763" s="32"/>
      <c r="R4763" s="32"/>
      <c r="S4763" s="32"/>
      <c r="T4763" s="32"/>
      <c r="U4763" s="32"/>
      <c r="V4763" s="32"/>
      <c r="W4763" s="32"/>
      <c r="X4763" s="32"/>
      <c r="Y4763" s="32"/>
      <c r="Z4763" s="32"/>
    </row>
    <row r="4764" spans="1:26" ht="14.25" customHeight="1"/>
    <row r="4765" spans="1:26" ht="14.25" customHeight="1"/>
    <row r="4766" spans="1:26" ht="14.25" customHeight="1"/>
    <row r="4767" spans="1:26" ht="14.25" customHeight="1"/>
    <row r="4768" spans="1:26" ht="14.25" customHeight="1"/>
    <row r="4769" spans="1:26" ht="14.25" customHeight="1"/>
    <row r="4770" spans="1:26" ht="14.25" customHeight="1"/>
    <row r="4771" spans="1:26" ht="14.25" customHeight="1"/>
    <row r="4772" spans="1:26" ht="14.25" customHeight="1">
      <c r="A4772" s="80" t="s">
        <v>0</v>
      </c>
      <c r="B4772" s="81"/>
      <c r="C4772" s="81"/>
      <c r="D4772" s="81"/>
      <c r="E4772" s="81"/>
      <c r="F4772" s="81"/>
      <c r="G4772" s="81"/>
      <c r="H4772" s="82"/>
      <c r="I4772" s="32"/>
      <c r="J4772" s="32"/>
      <c r="K4772" s="32"/>
      <c r="L4772" s="32"/>
      <c r="M4772" s="32"/>
      <c r="N4772" s="32"/>
      <c r="O4772" s="32"/>
      <c r="P4772" s="32"/>
      <c r="Q4772" s="32"/>
      <c r="R4772" s="32"/>
      <c r="S4772" s="32"/>
      <c r="T4772" s="32"/>
      <c r="U4772" s="32"/>
      <c r="V4772" s="32"/>
      <c r="W4772" s="32"/>
      <c r="X4772" s="32"/>
      <c r="Y4772" s="32"/>
      <c r="Z4772" s="32"/>
    </row>
    <row r="4773" spans="1:26" ht="14.25" customHeight="1">
      <c r="A4773" s="80" t="s">
        <v>1171</v>
      </c>
      <c r="B4773" s="81"/>
      <c r="C4773" s="81"/>
      <c r="D4773" s="81"/>
      <c r="E4773" s="81"/>
      <c r="F4773" s="81"/>
      <c r="G4773" s="81"/>
      <c r="H4773" s="82"/>
      <c r="I4773" s="32"/>
      <c r="J4773" s="32"/>
      <c r="K4773" s="32"/>
      <c r="L4773" s="32"/>
      <c r="M4773" s="32"/>
      <c r="N4773" s="32"/>
      <c r="O4773" s="32"/>
      <c r="P4773" s="32"/>
      <c r="Q4773" s="32"/>
      <c r="R4773" s="32"/>
      <c r="S4773" s="32"/>
      <c r="T4773" s="32"/>
      <c r="U4773" s="32"/>
      <c r="V4773" s="32"/>
      <c r="W4773" s="32"/>
      <c r="X4773" s="32"/>
      <c r="Y4773" s="32"/>
      <c r="Z4773" s="32"/>
    </row>
    <row r="4774" spans="1:26" ht="14.25" customHeight="1">
      <c r="A4774" s="33" t="s">
        <v>2</v>
      </c>
      <c r="B4774" s="33" t="s">
        <v>3</v>
      </c>
      <c r="C4774" s="33" t="s">
        <v>4</v>
      </c>
      <c r="D4774" s="33" t="s">
        <v>5</v>
      </c>
      <c r="E4774" s="33" t="s">
        <v>6</v>
      </c>
      <c r="F4774" s="34" t="s">
        <v>7</v>
      </c>
      <c r="G4774" s="33" t="s">
        <v>8</v>
      </c>
      <c r="H4774" s="35"/>
      <c r="I4774" s="32"/>
      <c r="J4774" s="32"/>
      <c r="K4774" s="32"/>
      <c r="L4774" s="32"/>
      <c r="M4774" s="32"/>
      <c r="N4774" s="32"/>
      <c r="O4774" s="32"/>
      <c r="P4774" s="32"/>
      <c r="Q4774" s="32"/>
      <c r="R4774" s="32"/>
      <c r="S4774" s="32"/>
      <c r="T4774" s="32"/>
      <c r="U4774" s="32"/>
      <c r="V4774" s="32"/>
      <c r="W4774" s="32"/>
      <c r="X4774" s="32"/>
      <c r="Y4774" s="32"/>
      <c r="Z4774" s="32"/>
    </row>
    <row r="4775" spans="1:26" ht="14.25" customHeight="1">
      <c r="A4775" s="36">
        <v>1</v>
      </c>
      <c r="B4775" s="18" t="s">
        <v>154</v>
      </c>
      <c r="C4775" s="5" t="s">
        <v>1172</v>
      </c>
      <c r="D4775" s="18" t="s">
        <v>11</v>
      </c>
      <c r="E4775" s="18">
        <v>1.5</v>
      </c>
      <c r="F4775" s="6">
        <v>293000</v>
      </c>
      <c r="G4775" s="37">
        <f t="shared" ref="G4775:G4777" si="302">IFERROR(E4775*F4775,0)</f>
        <v>439500</v>
      </c>
      <c r="H4775" s="38"/>
      <c r="I4775" s="32"/>
      <c r="J4775" s="32"/>
      <c r="K4775" s="32"/>
      <c r="L4775" s="32"/>
      <c r="M4775" s="32"/>
      <c r="N4775" s="32"/>
      <c r="O4775" s="32"/>
      <c r="P4775" s="32"/>
      <c r="Q4775" s="32"/>
      <c r="R4775" s="32"/>
      <c r="S4775" s="32"/>
      <c r="T4775" s="32"/>
      <c r="U4775" s="32"/>
      <c r="V4775" s="32"/>
      <c r="W4775" s="32"/>
      <c r="X4775" s="32"/>
      <c r="Y4775" s="32"/>
      <c r="Z4775" s="32"/>
    </row>
    <row r="4776" spans="1:26" ht="14.25" customHeight="1">
      <c r="A4776" s="36">
        <v>2</v>
      </c>
      <c r="B4776" s="12" t="s">
        <v>1173</v>
      </c>
      <c r="C4776" s="10" t="s">
        <v>1174</v>
      </c>
      <c r="D4776" s="12" t="s">
        <v>233</v>
      </c>
      <c r="E4776" s="12">
        <v>2</v>
      </c>
      <c r="F4776" s="43">
        <v>435000</v>
      </c>
      <c r="G4776" s="37">
        <f t="shared" si="302"/>
        <v>870000</v>
      </c>
      <c r="H4776" s="38"/>
      <c r="I4776" s="32"/>
      <c r="J4776" s="32"/>
      <c r="K4776" s="32"/>
      <c r="L4776" s="32"/>
      <c r="M4776" s="32"/>
      <c r="N4776" s="32"/>
      <c r="O4776" s="32"/>
      <c r="P4776" s="32"/>
      <c r="Q4776" s="32"/>
      <c r="R4776" s="32"/>
      <c r="S4776" s="32"/>
      <c r="T4776" s="32"/>
      <c r="U4776" s="32"/>
      <c r="V4776" s="32"/>
      <c r="W4776" s="32"/>
      <c r="X4776" s="32"/>
      <c r="Y4776" s="32"/>
      <c r="Z4776" s="32"/>
    </row>
    <row r="4777" spans="1:26" ht="14.25" customHeight="1">
      <c r="A4777" s="36">
        <v>4</v>
      </c>
      <c r="B4777" s="39" t="s">
        <v>17</v>
      </c>
      <c r="C4777" s="38"/>
      <c r="D4777" s="38"/>
      <c r="E4777" s="38"/>
      <c r="F4777" s="60"/>
      <c r="G4777" s="37">
        <f t="shared" si="302"/>
        <v>0</v>
      </c>
      <c r="H4777" s="38"/>
      <c r="I4777" s="32"/>
      <c r="J4777" s="32"/>
      <c r="K4777" s="32"/>
      <c r="L4777" s="32"/>
      <c r="M4777" s="32"/>
      <c r="N4777" s="32"/>
      <c r="O4777" s="32"/>
      <c r="P4777" s="32"/>
      <c r="Q4777" s="32"/>
      <c r="R4777" s="32"/>
      <c r="S4777" s="32"/>
      <c r="T4777" s="32"/>
      <c r="U4777" s="32"/>
      <c r="V4777" s="32"/>
      <c r="W4777" s="32"/>
      <c r="X4777" s="32"/>
      <c r="Y4777" s="32"/>
      <c r="Z4777" s="32"/>
    </row>
    <row r="4778" spans="1:26" ht="14.25" customHeight="1">
      <c r="A4778" s="83" t="s">
        <v>18</v>
      </c>
      <c r="B4778" s="81"/>
      <c r="C4778" s="81"/>
      <c r="D4778" s="81"/>
      <c r="E4778" s="81"/>
      <c r="F4778" s="81"/>
      <c r="G4778" s="82"/>
      <c r="H4778" s="41">
        <f>SUM(G4775:G4777)</f>
        <v>1309500</v>
      </c>
      <c r="I4778" s="32"/>
      <c r="J4778" s="32"/>
      <c r="K4778" s="32"/>
      <c r="L4778" s="32"/>
      <c r="M4778" s="32"/>
      <c r="N4778" s="32"/>
      <c r="O4778" s="32"/>
      <c r="P4778" s="32"/>
      <c r="Q4778" s="32"/>
      <c r="R4778" s="32"/>
      <c r="S4778" s="32"/>
      <c r="T4778" s="32"/>
      <c r="U4778" s="32"/>
      <c r="V4778" s="32"/>
      <c r="W4778" s="32"/>
      <c r="X4778" s="32"/>
      <c r="Y4778" s="32"/>
      <c r="Z4778" s="32"/>
    </row>
    <row r="4779" spans="1:26" ht="14.25" customHeight="1">
      <c r="A4779" s="83" t="s">
        <v>19</v>
      </c>
      <c r="B4779" s="81"/>
      <c r="C4779" s="81"/>
      <c r="D4779" s="81"/>
      <c r="E4779" s="81"/>
      <c r="F4779" s="81"/>
      <c r="G4779" s="82"/>
      <c r="H4779" s="41">
        <f>MAX(0,H4778-648000)</f>
        <v>661500</v>
      </c>
      <c r="I4779" s="32"/>
      <c r="J4779" s="32"/>
      <c r="K4779" s="32"/>
      <c r="L4779" s="32"/>
      <c r="M4779" s="32"/>
      <c r="N4779" s="32"/>
      <c r="O4779" s="32"/>
      <c r="P4779" s="32"/>
      <c r="Q4779" s="32"/>
      <c r="R4779" s="32"/>
      <c r="S4779" s="32"/>
      <c r="T4779" s="32"/>
      <c r="U4779" s="32"/>
      <c r="V4779" s="32"/>
      <c r="W4779" s="32"/>
      <c r="X4779" s="32"/>
      <c r="Y4779" s="32"/>
      <c r="Z4779" s="32"/>
    </row>
    <row r="4780" spans="1:26" ht="14.25" customHeight="1">
      <c r="A4780" s="84" t="s">
        <v>20</v>
      </c>
      <c r="B4780" s="81"/>
      <c r="C4780" s="81"/>
      <c r="D4780" s="81"/>
      <c r="E4780" s="81"/>
      <c r="F4780" s="81"/>
      <c r="G4780" s="82"/>
      <c r="H4780" s="42">
        <v>649000</v>
      </c>
      <c r="I4780" s="32"/>
      <c r="J4780" s="32"/>
      <c r="K4780" s="32"/>
      <c r="L4780" s="32"/>
      <c r="M4780" s="32"/>
      <c r="N4780" s="32"/>
      <c r="O4780" s="32"/>
      <c r="P4780" s="32"/>
      <c r="Q4780" s="32"/>
      <c r="R4780" s="32"/>
      <c r="S4780" s="32"/>
      <c r="T4780" s="32"/>
      <c r="U4780" s="32"/>
      <c r="V4780" s="32"/>
      <c r="W4780" s="32"/>
      <c r="X4780" s="32"/>
      <c r="Y4780" s="32"/>
      <c r="Z4780" s="32"/>
    </row>
    <row r="4781" spans="1:26" ht="14.25" customHeight="1">
      <c r="A4781" s="80"/>
      <c r="B4781" s="81"/>
      <c r="C4781" s="81"/>
      <c r="D4781" s="81"/>
      <c r="E4781" s="81"/>
      <c r="F4781" s="81"/>
      <c r="G4781" s="81"/>
      <c r="H4781" s="82"/>
      <c r="I4781" s="32"/>
      <c r="J4781" s="32"/>
      <c r="K4781" s="32"/>
      <c r="L4781" s="32"/>
      <c r="M4781" s="32"/>
      <c r="N4781" s="32"/>
      <c r="O4781" s="32"/>
      <c r="P4781" s="32"/>
      <c r="Q4781" s="32"/>
      <c r="R4781" s="32"/>
      <c r="S4781" s="32"/>
      <c r="T4781" s="32"/>
      <c r="U4781" s="32"/>
      <c r="V4781" s="32"/>
      <c r="W4781" s="32"/>
      <c r="X4781" s="32"/>
      <c r="Y4781" s="32"/>
      <c r="Z4781" s="32"/>
    </row>
    <row r="4782" spans="1:26" ht="14.25" customHeight="1"/>
    <row r="4783" spans="1:26" ht="14.25" customHeight="1"/>
    <row r="4784" spans="1:26" ht="14.25" customHeight="1"/>
    <row r="4785" spans="1:26" ht="14.25" customHeight="1"/>
    <row r="4786" spans="1:26" ht="14.25" customHeight="1">
      <c r="A4786" s="80" t="s">
        <v>0</v>
      </c>
      <c r="B4786" s="81"/>
      <c r="C4786" s="81"/>
      <c r="D4786" s="81"/>
      <c r="E4786" s="81"/>
      <c r="F4786" s="81"/>
      <c r="G4786" s="81"/>
      <c r="H4786" s="82"/>
      <c r="I4786" s="32"/>
      <c r="J4786" s="32"/>
      <c r="K4786" s="32"/>
      <c r="L4786" s="32"/>
      <c r="M4786" s="32"/>
      <c r="N4786" s="32"/>
      <c r="O4786" s="32"/>
      <c r="P4786" s="32"/>
      <c r="Q4786" s="32"/>
      <c r="R4786" s="32"/>
      <c r="S4786" s="32"/>
      <c r="T4786" s="32"/>
      <c r="U4786" s="32"/>
      <c r="V4786" s="32"/>
      <c r="W4786" s="32"/>
      <c r="X4786" s="32"/>
      <c r="Y4786" s="32"/>
      <c r="Z4786" s="32"/>
    </row>
    <row r="4787" spans="1:26" ht="14.25" customHeight="1">
      <c r="A4787" s="80" t="s">
        <v>1175</v>
      </c>
      <c r="B4787" s="81"/>
      <c r="C4787" s="81"/>
      <c r="D4787" s="81"/>
      <c r="E4787" s="81"/>
      <c r="F4787" s="81"/>
      <c r="G4787" s="81"/>
      <c r="H4787" s="82"/>
      <c r="I4787" s="32"/>
      <c r="J4787" s="32"/>
      <c r="K4787" s="32"/>
      <c r="L4787" s="32"/>
      <c r="M4787" s="32"/>
      <c r="N4787" s="32"/>
      <c r="O4787" s="32"/>
      <c r="P4787" s="32"/>
      <c r="Q4787" s="32"/>
      <c r="R4787" s="32"/>
      <c r="S4787" s="32"/>
      <c r="T4787" s="32"/>
      <c r="U4787" s="32"/>
      <c r="V4787" s="32"/>
      <c r="W4787" s="32"/>
      <c r="X4787" s="32"/>
      <c r="Y4787" s="32"/>
      <c r="Z4787" s="32"/>
    </row>
    <row r="4788" spans="1:26" ht="14.25" customHeight="1">
      <c r="A4788" s="33" t="s">
        <v>2</v>
      </c>
      <c r="B4788" s="33" t="s">
        <v>3</v>
      </c>
      <c r="C4788" s="33" t="s">
        <v>4</v>
      </c>
      <c r="D4788" s="33" t="s">
        <v>5</v>
      </c>
      <c r="E4788" s="33" t="s">
        <v>6</v>
      </c>
      <c r="F4788" s="34" t="s">
        <v>7</v>
      </c>
      <c r="G4788" s="33" t="s">
        <v>8</v>
      </c>
      <c r="H4788" s="35"/>
      <c r="I4788" s="32"/>
      <c r="J4788" s="32"/>
      <c r="K4788" s="32"/>
      <c r="L4788" s="32"/>
      <c r="M4788" s="32"/>
      <c r="N4788" s="32"/>
      <c r="O4788" s="32"/>
      <c r="P4788" s="32"/>
      <c r="Q4788" s="32"/>
      <c r="R4788" s="32"/>
      <c r="S4788" s="32"/>
      <c r="T4788" s="32"/>
      <c r="U4788" s="32"/>
      <c r="V4788" s="32"/>
      <c r="W4788" s="32"/>
      <c r="X4788" s="32"/>
      <c r="Y4788" s="32"/>
      <c r="Z4788" s="32"/>
    </row>
    <row r="4789" spans="1:26" ht="14.25" customHeight="1">
      <c r="A4789" s="36">
        <v>1</v>
      </c>
      <c r="B4789" s="18" t="s">
        <v>1176</v>
      </c>
      <c r="C4789" s="5" t="s">
        <v>1177</v>
      </c>
      <c r="D4789" s="18" t="s">
        <v>11</v>
      </c>
      <c r="E4789" s="18">
        <v>1</v>
      </c>
      <c r="F4789" s="6">
        <v>293000</v>
      </c>
      <c r="G4789" s="37">
        <f t="shared" ref="G4789:G4790" si="303">IFERROR(E4789*F4803,0)</f>
        <v>293000</v>
      </c>
      <c r="H4789" s="38"/>
      <c r="I4789" s="32"/>
      <c r="J4789" s="32"/>
      <c r="K4789" s="32"/>
      <c r="L4789" s="32"/>
      <c r="M4789" s="32"/>
      <c r="N4789" s="32"/>
      <c r="O4789" s="32"/>
      <c r="P4789" s="32"/>
      <c r="Q4789" s="32"/>
      <c r="R4789" s="32"/>
      <c r="S4789" s="32"/>
      <c r="T4789" s="32"/>
      <c r="U4789" s="32"/>
      <c r="V4789" s="32"/>
      <c r="W4789" s="32"/>
      <c r="X4789" s="32"/>
      <c r="Y4789" s="32"/>
      <c r="Z4789" s="32"/>
    </row>
    <row r="4790" spans="1:26" ht="14.25" customHeight="1">
      <c r="A4790" s="36">
        <v>2</v>
      </c>
      <c r="B4790" s="12" t="s">
        <v>38</v>
      </c>
      <c r="C4790" s="10" t="s">
        <v>1178</v>
      </c>
      <c r="D4790" s="12" t="s">
        <v>233</v>
      </c>
      <c r="E4790" s="12">
        <v>2.44</v>
      </c>
      <c r="F4790" s="43">
        <v>435000</v>
      </c>
      <c r="G4790" s="37">
        <f t="shared" si="303"/>
        <v>1061400</v>
      </c>
      <c r="H4790" s="38"/>
      <c r="I4790" s="32"/>
      <c r="J4790" s="32"/>
      <c r="K4790" s="32"/>
      <c r="L4790" s="32"/>
      <c r="M4790" s="32"/>
      <c r="N4790" s="32"/>
      <c r="O4790" s="32"/>
      <c r="P4790" s="32"/>
      <c r="Q4790" s="32"/>
      <c r="R4790" s="32"/>
      <c r="S4790" s="32"/>
      <c r="T4790" s="32"/>
      <c r="U4790" s="32"/>
      <c r="V4790" s="32"/>
      <c r="W4790" s="32"/>
      <c r="X4790" s="32"/>
      <c r="Y4790" s="32"/>
      <c r="Z4790" s="32"/>
    </row>
    <row r="4791" spans="1:26" ht="14.25" customHeight="1">
      <c r="A4791" s="36">
        <v>4</v>
      </c>
      <c r="B4791" s="39" t="s">
        <v>17</v>
      </c>
      <c r="C4791" s="38"/>
      <c r="D4791" s="38"/>
      <c r="E4791" s="38"/>
      <c r="F4791" s="60"/>
      <c r="G4791" s="37">
        <f>IFERROR(E4791*F4791,0)</f>
        <v>0</v>
      </c>
      <c r="H4791" s="38"/>
      <c r="I4791" s="32"/>
      <c r="J4791" s="32"/>
      <c r="K4791" s="32"/>
      <c r="L4791" s="32"/>
      <c r="M4791" s="32"/>
      <c r="N4791" s="32"/>
      <c r="O4791" s="32"/>
      <c r="P4791" s="32"/>
      <c r="Q4791" s="32"/>
      <c r="R4791" s="32"/>
      <c r="S4791" s="32"/>
      <c r="T4791" s="32"/>
      <c r="U4791" s="32"/>
      <c r="V4791" s="32"/>
      <c r="W4791" s="32"/>
      <c r="X4791" s="32"/>
      <c r="Y4791" s="32"/>
      <c r="Z4791" s="32"/>
    </row>
    <row r="4792" spans="1:26" ht="14.25" customHeight="1">
      <c r="A4792" s="83" t="s">
        <v>18</v>
      </c>
      <c r="B4792" s="81"/>
      <c r="C4792" s="81"/>
      <c r="D4792" s="81"/>
      <c r="E4792" s="81"/>
      <c r="F4792" s="81"/>
      <c r="G4792" s="82"/>
      <c r="H4792" s="41">
        <f>SUM(G4789:G4791)</f>
        <v>1354400</v>
      </c>
      <c r="I4792" s="32"/>
      <c r="J4792" s="32"/>
      <c r="K4792" s="32"/>
      <c r="L4792" s="32"/>
      <c r="M4792" s="32"/>
      <c r="N4792" s="32"/>
      <c r="O4792" s="32"/>
      <c r="P4792" s="32"/>
      <c r="Q4792" s="32"/>
      <c r="R4792" s="32"/>
      <c r="S4792" s="32"/>
      <c r="T4792" s="32"/>
      <c r="U4792" s="32"/>
      <c r="V4792" s="32"/>
      <c r="W4792" s="32"/>
      <c r="X4792" s="32"/>
      <c r="Y4792" s="32"/>
      <c r="Z4792" s="32"/>
    </row>
    <row r="4793" spans="1:26" ht="14.25" customHeight="1">
      <c r="A4793" s="83" t="s">
        <v>19</v>
      </c>
      <c r="B4793" s="81"/>
      <c r="C4793" s="81"/>
      <c r="D4793" s="81"/>
      <c r="E4793" s="81"/>
      <c r="F4793" s="81"/>
      <c r="G4793" s="82"/>
      <c r="H4793" s="41">
        <f>MAX(0,H4792-648000)</f>
        <v>706400</v>
      </c>
      <c r="I4793" s="32"/>
      <c r="J4793" s="32"/>
      <c r="K4793" s="32"/>
      <c r="L4793" s="32"/>
      <c r="M4793" s="32"/>
      <c r="N4793" s="32"/>
      <c r="O4793" s="32"/>
      <c r="P4793" s="32"/>
      <c r="Q4793" s="32"/>
      <c r="R4793" s="32"/>
      <c r="S4793" s="32"/>
      <c r="T4793" s="32"/>
      <c r="U4793" s="32"/>
      <c r="V4793" s="32"/>
      <c r="W4793" s="32"/>
      <c r="X4793" s="32"/>
      <c r="Y4793" s="32"/>
      <c r="Z4793" s="32"/>
    </row>
    <row r="4794" spans="1:26" ht="14.25" customHeight="1">
      <c r="A4794" s="84" t="s">
        <v>20</v>
      </c>
      <c r="B4794" s="81"/>
      <c r="C4794" s="81"/>
      <c r="D4794" s="81"/>
      <c r="E4794" s="81"/>
      <c r="F4794" s="81"/>
      <c r="G4794" s="82"/>
      <c r="H4794" s="42">
        <v>649000</v>
      </c>
      <c r="I4794" s="32"/>
      <c r="J4794" s="32"/>
      <c r="K4794" s="32"/>
      <c r="L4794" s="32"/>
      <c r="M4794" s="32"/>
      <c r="N4794" s="32"/>
      <c r="O4794" s="32"/>
      <c r="P4794" s="32"/>
      <c r="Q4794" s="32"/>
      <c r="R4794" s="32"/>
      <c r="S4794" s="32"/>
      <c r="T4794" s="32"/>
      <c r="U4794" s="32"/>
      <c r="V4794" s="32"/>
      <c r="W4794" s="32"/>
      <c r="X4794" s="32"/>
      <c r="Y4794" s="32"/>
      <c r="Z4794" s="32"/>
    </row>
    <row r="4795" spans="1:26" ht="14.25" customHeight="1">
      <c r="A4795" s="80"/>
      <c r="B4795" s="81"/>
      <c r="C4795" s="81"/>
      <c r="D4795" s="81"/>
      <c r="E4795" s="81"/>
      <c r="F4795" s="81"/>
      <c r="G4795" s="81"/>
      <c r="H4795" s="82"/>
      <c r="I4795" s="32"/>
      <c r="J4795" s="32"/>
      <c r="K4795" s="32"/>
      <c r="L4795" s="32"/>
      <c r="M4795" s="32"/>
      <c r="N4795" s="32"/>
      <c r="O4795" s="32"/>
      <c r="P4795" s="32"/>
      <c r="Q4795" s="32"/>
      <c r="R4795" s="32"/>
      <c r="S4795" s="32"/>
      <c r="T4795" s="32"/>
      <c r="U4795" s="32"/>
      <c r="V4795" s="32"/>
      <c r="W4795" s="32"/>
      <c r="X4795" s="32"/>
      <c r="Y4795" s="32"/>
      <c r="Z4795" s="32"/>
    </row>
    <row r="4796" spans="1:26" ht="14.25" customHeight="1"/>
    <row r="4797" spans="1:26" ht="14.25" customHeight="1"/>
    <row r="4798" spans="1:26" ht="14.25" customHeight="1"/>
    <row r="4799" spans="1:26" ht="14.25" customHeight="1"/>
    <row r="4800" spans="1:26" ht="14.25" customHeight="1">
      <c r="A4800" s="80" t="s">
        <v>0</v>
      </c>
      <c r="B4800" s="81"/>
      <c r="C4800" s="81"/>
      <c r="D4800" s="81"/>
      <c r="E4800" s="81"/>
      <c r="F4800" s="81"/>
      <c r="G4800" s="81"/>
      <c r="H4800" s="82"/>
      <c r="I4800" s="32"/>
      <c r="J4800" s="32"/>
      <c r="K4800" s="32"/>
      <c r="L4800" s="32"/>
      <c r="M4800" s="32"/>
      <c r="N4800" s="32"/>
      <c r="O4800" s="32"/>
      <c r="P4800" s="32"/>
      <c r="Q4800" s="32"/>
      <c r="R4800" s="32"/>
      <c r="S4800" s="32"/>
      <c r="T4800" s="32"/>
      <c r="U4800" s="32"/>
      <c r="V4800" s="32"/>
      <c r="W4800" s="32"/>
      <c r="X4800" s="32"/>
      <c r="Y4800" s="32"/>
      <c r="Z4800" s="32"/>
    </row>
    <row r="4801" spans="1:26" ht="14.25" customHeight="1">
      <c r="A4801" s="80" t="s">
        <v>1179</v>
      </c>
      <c r="B4801" s="81"/>
      <c r="C4801" s="81"/>
      <c r="D4801" s="81"/>
      <c r="E4801" s="81"/>
      <c r="F4801" s="81"/>
      <c r="G4801" s="81"/>
      <c r="H4801" s="82"/>
      <c r="I4801" s="32"/>
      <c r="J4801" s="32"/>
      <c r="K4801" s="32"/>
      <c r="L4801" s="32"/>
      <c r="M4801" s="32"/>
      <c r="N4801" s="32"/>
      <c r="O4801" s="32"/>
      <c r="P4801" s="32"/>
      <c r="Q4801" s="32"/>
      <c r="R4801" s="32"/>
      <c r="S4801" s="32"/>
      <c r="T4801" s="32"/>
      <c r="U4801" s="32"/>
      <c r="V4801" s="32"/>
      <c r="W4801" s="32"/>
      <c r="X4801" s="32"/>
      <c r="Y4801" s="32"/>
      <c r="Z4801" s="32"/>
    </row>
    <row r="4802" spans="1:26" ht="14.25" customHeight="1">
      <c r="A4802" s="33" t="s">
        <v>2</v>
      </c>
      <c r="B4802" s="33" t="s">
        <v>3</v>
      </c>
      <c r="C4802" s="33" t="s">
        <v>4</v>
      </c>
      <c r="D4802" s="33" t="s">
        <v>5</v>
      </c>
      <c r="E4802" s="33" t="s">
        <v>6</v>
      </c>
      <c r="F4802" s="34" t="s">
        <v>7</v>
      </c>
      <c r="G4802" s="33" t="s">
        <v>8</v>
      </c>
      <c r="H4802" s="35"/>
      <c r="I4802" s="32"/>
      <c r="J4802" s="32"/>
      <c r="K4802" s="32"/>
      <c r="L4802" s="32"/>
      <c r="M4802" s="32"/>
      <c r="N4802" s="32"/>
      <c r="O4802" s="32"/>
      <c r="P4802" s="32"/>
      <c r="Q4802" s="32"/>
      <c r="R4802" s="32"/>
      <c r="S4802" s="32"/>
      <c r="T4802" s="32"/>
      <c r="U4802" s="32"/>
      <c r="V4802" s="32"/>
      <c r="W4802" s="32"/>
      <c r="X4802" s="32"/>
      <c r="Y4802" s="32"/>
      <c r="Z4802" s="32"/>
    </row>
    <row r="4803" spans="1:26" ht="14.25" customHeight="1">
      <c r="A4803" s="36">
        <v>1</v>
      </c>
      <c r="B4803" s="51" t="s">
        <v>272</v>
      </c>
      <c r="C4803" s="51" t="s">
        <v>1180</v>
      </c>
      <c r="D4803" s="18" t="s">
        <v>11</v>
      </c>
      <c r="E4803" s="18">
        <v>0.64</v>
      </c>
      <c r="F4803" s="6">
        <v>293000</v>
      </c>
      <c r="G4803" s="37">
        <f t="shared" ref="G4803:G4805" si="304">IFERROR(E4803*F4803,0)</f>
        <v>187520</v>
      </c>
      <c r="H4803" s="38"/>
      <c r="I4803" s="32"/>
      <c r="J4803" s="32"/>
      <c r="K4803" s="32"/>
      <c r="L4803" s="32"/>
      <c r="M4803" s="32"/>
      <c r="N4803" s="32"/>
      <c r="O4803" s="32"/>
      <c r="P4803" s="32"/>
      <c r="Q4803" s="32"/>
      <c r="R4803" s="32"/>
      <c r="S4803" s="32"/>
      <c r="T4803" s="32"/>
      <c r="U4803" s="32"/>
      <c r="V4803" s="32"/>
      <c r="W4803" s="32"/>
      <c r="X4803" s="32"/>
      <c r="Y4803" s="32"/>
      <c r="Z4803" s="32"/>
    </row>
    <row r="4804" spans="1:26" ht="14.25" customHeight="1">
      <c r="A4804" s="36">
        <v>2</v>
      </c>
      <c r="B4804" s="51" t="s">
        <v>502</v>
      </c>
      <c r="C4804" s="51" t="s">
        <v>1181</v>
      </c>
      <c r="D4804" s="12" t="s">
        <v>233</v>
      </c>
      <c r="E4804" s="12">
        <v>2.95</v>
      </c>
      <c r="F4804" s="43">
        <v>435000</v>
      </c>
      <c r="G4804" s="37">
        <f t="shared" si="304"/>
        <v>1283250</v>
      </c>
      <c r="H4804" s="38"/>
      <c r="I4804" s="32"/>
      <c r="J4804" s="32"/>
      <c r="K4804" s="32"/>
      <c r="L4804" s="32"/>
      <c r="M4804" s="32"/>
      <c r="N4804" s="32"/>
      <c r="O4804" s="32"/>
      <c r="P4804" s="32"/>
      <c r="Q4804" s="32"/>
      <c r="R4804" s="32"/>
      <c r="S4804" s="32"/>
      <c r="T4804" s="32"/>
      <c r="U4804" s="32"/>
      <c r="V4804" s="32"/>
      <c r="W4804" s="32"/>
      <c r="X4804" s="32"/>
      <c r="Y4804" s="32"/>
      <c r="Z4804" s="32"/>
    </row>
    <row r="4805" spans="1:26" ht="14.25" customHeight="1">
      <c r="A4805" s="36">
        <v>4</v>
      </c>
      <c r="B4805" s="39" t="s">
        <v>17</v>
      </c>
      <c r="C4805" s="38"/>
      <c r="D4805" s="38"/>
      <c r="E4805" s="38"/>
      <c r="F4805" s="60"/>
      <c r="G4805" s="37">
        <f t="shared" si="304"/>
        <v>0</v>
      </c>
      <c r="H4805" s="38"/>
      <c r="I4805" s="32"/>
      <c r="J4805" s="32"/>
      <c r="K4805" s="32"/>
      <c r="L4805" s="32"/>
      <c r="M4805" s="32"/>
      <c r="N4805" s="32"/>
      <c r="O4805" s="32"/>
      <c r="P4805" s="32"/>
      <c r="Q4805" s="32"/>
      <c r="R4805" s="32"/>
      <c r="S4805" s="32"/>
      <c r="T4805" s="32"/>
      <c r="U4805" s="32"/>
      <c r="V4805" s="32"/>
      <c r="W4805" s="32"/>
      <c r="X4805" s="32"/>
      <c r="Y4805" s="32"/>
      <c r="Z4805" s="32"/>
    </row>
    <row r="4806" spans="1:26" ht="14.25" customHeight="1">
      <c r="A4806" s="83" t="s">
        <v>18</v>
      </c>
      <c r="B4806" s="81"/>
      <c r="C4806" s="81"/>
      <c r="D4806" s="81"/>
      <c r="E4806" s="81"/>
      <c r="F4806" s="81"/>
      <c r="G4806" s="82"/>
      <c r="H4806" s="41">
        <f>SUM(G4789:G4805)</f>
        <v>2825170</v>
      </c>
      <c r="I4806" s="32"/>
      <c r="J4806" s="32"/>
      <c r="K4806" s="32"/>
      <c r="L4806" s="32"/>
      <c r="M4806" s="32"/>
      <c r="N4806" s="32"/>
      <c r="O4806" s="32"/>
      <c r="P4806" s="32"/>
      <c r="Q4806" s="32"/>
      <c r="R4806" s="32"/>
      <c r="S4806" s="32"/>
      <c r="T4806" s="32"/>
      <c r="U4806" s="32"/>
      <c r="V4806" s="32"/>
      <c r="W4806" s="32"/>
      <c r="X4806" s="32"/>
      <c r="Y4806" s="32"/>
      <c r="Z4806" s="32"/>
    </row>
    <row r="4807" spans="1:26" ht="14.25" customHeight="1">
      <c r="A4807" s="83" t="s">
        <v>19</v>
      </c>
      <c r="B4807" s="81"/>
      <c r="C4807" s="81"/>
      <c r="D4807" s="81"/>
      <c r="E4807" s="81"/>
      <c r="F4807" s="81"/>
      <c r="G4807" s="82"/>
      <c r="H4807" s="41">
        <f>MAX(0,H4806-648000)</f>
        <v>2177170</v>
      </c>
      <c r="I4807" s="32"/>
      <c r="J4807" s="32"/>
      <c r="K4807" s="32"/>
      <c r="L4807" s="32"/>
      <c r="M4807" s="32"/>
      <c r="N4807" s="32"/>
      <c r="O4807" s="32"/>
      <c r="P4807" s="32"/>
      <c r="Q4807" s="32"/>
      <c r="R4807" s="32"/>
      <c r="S4807" s="32"/>
      <c r="T4807" s="32"/>
      <c r="U4807" s="32"/>
      <c r="V4807" s="32"/>
      <c r="W4807" s="32"/>
      <c r="X4807" s="32"/>
      <c r="Y4807" s="32"/>
      <c r="Z4807" s="32"/>
    </row>
    <row r="4808" spans="1:26" ht="14.25" customHeight="1">
      <c r="A4808" s="84" t="s">
        <v>20</v>
      </c>
      <c r="B4808" s="81"/>
      <c r="C4808" s="81"/>
      <c r="D4808" s="81"/>
      <c r="E4808" s="81"/>
      <c r="F4808" s="81"/>
      <c r="G4808" s="82"/>
      <c r="H4808" s="42">
        <v>649000</v>
      </c>
      <c r="I4808" s="32"/>
      <c r="J4808" s="32"/>
      <c r="K4808" s="32"/>
      <c r="L4808" s="32"/>
      <c r="M4808" s="32"/>
      <c r="N4808" s="32"/>
      <c r="O4808" s="32"/>
      <c r="P4808" s="32"/>
      <c r="Q4808" s="32"/>
      <c r="R4808" s="32"/>
      <c r="S4808" s="32"/>
      <c r="T4808" s="32"/>
      <c r="U4808" s="32"/>
      <c r="V4808" s="32"/>
      <c r="W4808" s="32"/>
      <c r="X4808" s="32"/>
      <c r="Y4808" s="32"/>
      <c r="Z4808" s="32"/>
    </row>
    <row r="4809" spans="1:26" ht="14.25" customHeight="1">
      <c r="A4809" s="80"/>
      <c r="B4809" s="81"/>
      <c r="C4809" s="81"/>
      <c r="D4809" s="81"/>
      <c r="E4809" s="81"/>
      <c r="F4809" s="81"/>
      <c r="G4809" s="81"/>
      <c r="H4809" s="82"/>
      <c r="I4809" s="32"/>
      <c r="J4809" s="32"/>
      <c r="K4809" s="32"/>
      <c r="L4809" s="32"/>
      <c r="M4809" s="32"/>
      <c r="N4809" s="32"/>
      <c r="O4809" s="32"/>
      <c r="P4809" s="32"/>
      <c r="Q4809" s="32"/>
      <c r="R4809" s="32"/>
      <c r="S4809" s="32"/>
      <c r="T4809" s="32"/>
      <c r="U4809" s="32"/>
      <c r="V4809" s="32"/>
      <c r="W4809" s="32"/>
      <c r="X4809" s="32"/>
      <c r="Y4809" s="32"/>
      <c r="Z4809" s="32"/>
    </row>
    <row r="4810" spans="1:26" ht="14.25" customHeight="1"/>
    <row r="4811" spans="1:26" ht="14.25" customHeight="1"/>
    <row r="4812" spans="1:26" ht="14.25" customHeight="1"/>
    <row r="4813" spans="1:26" ht="14.25" customHeight="1"/>
    <row r="4814" spans="1:26" ht="14.25" customHeight="1"/>
    <row r="4815" spans="1:26" ht="14.25" customHeight="1">
      <c r="A4815" s="80" t="s">
        <v>0</v>
      </c>
      <c r="B4815" s="81"/>
      <c r="C4815" s="81"/>
      <c r="D4815" s="81"/>
      <c r="E4815" s="81"/>
      <c r="F4815" s="81"/>
      <c r="G4815" s="81"/>
      <c r="H4815" s="82"/>
      <c r="I4815" s="32"/>
      <c r="J4815" s="32"/>
      <c r="K4815" s="32"/>
      <c r="L4815" s="32"/>
      <c r="M4815" s="32"/>
      <c r="N4815" s="32"/>
      <c r="O4815" s="32"/>
      <c r="P4815" s="32"/>
      <c r="Q4815" s="32"/>
      <c r="R4815" s="32"/>
      <c r="S4815" s="32"/>
      <c r="T4815" s="32"/>
      <c r="U4815" s="32"/>
      <c r="V4815" s="32"/>
      <c r="W4815" s="32"/>
      <c r="X4815" s="32"/>
      <c r="Y4815" s="32"/>
      <c r="Z4815" s="32"/>
    </row>
    <row r="4816" spans="1:26" ht="14.25" customHeight="1">
      <c r="A4816" s="80" t="s">
        <v>1182</v>
      </c>
      <c r="B4816" s="81"/>
      <c r="C4816" s="81"/>
      <c r="D4816" s="81"/>
      <c r="E4816" s="81"/>
      <c r="F4816" s="81"/>
      <c r="G4816" s="81"/>
      <c r="H4816" s="82"/>
      <c r="I4816" s="32"/>
      <c r="J4816" s="32"/>
      <c r="K4816" s="32"/>
      <c r="L4816" s="32"/>
      <c r="M4816" s="32"/>
      <c r="N4816" s="32"/>
      <c r="O4816" s="32"/>
      <c r="P4816" s="32"/>
      <c r="Q4816" s="32"/>
      <c r="R4816" s="32"/>
      <c r="S4816" s="32"/>
      <c r="T4816" s="32"/>
      <c r="U4816" s="32"/>
      <c r="V4816" s="32"/>
      <c r="W4816" s="32"/>
      <c r="X4816" s="32"/>
      <c r="Y4816" s="32"/>
      <c r="Z4816" s="32"/>
    </row>
    <row r="4817" spans="1:26" ht="14.25" customHeight="1">
      <c r="A4817" s="33" t="s">
        <v>2</v>
      </c>
      <c r="B4817" s="33" t="s">
        <v>3</v>
      </c>
      <c r="C4817" s="33" t="s">
        <v>4</v>
      </c>
      <c r="D4817" s="33" t="s">
        <v>5</v>
      </c>
      <c r="E4817" s="33" t="s">
        <v>6</v>
      </c>
      <c r="F4817" s="34" t="s">
        <v>7</v>
      </c>
      <c r="G4817" s="33" t="s">
        <v>8</v>
      </c>
      <c r="H4817" s="35"/>
      <c r="I4817" s="32"/>
      <c r="J4817" s="32"/>
      <c r="K4817" s="32"/>
      <c r="L4817" s="32"/>
      <c r="M4817" s="32"/>
      <c r="N4817" s="32"/>
      <c r="O4817" s="32"/>
      <c r="P4817" s="32"/>
      <c r="Q4817" s="32"/>
      <c r="R4817" s="32"/>
      <c r="S4817" s="32"/>
      <c r="T4817" s="32"/>
      <c r="U4817" s="32"/>
      <c r="V4817" s="32"/>
      <c r="W4817" s="32"/>
      <c r="X4817" s="32"/>
      <c r="Y4817" s="32"/>
      <c r="Z4817" s="32"/>
    </row>
    <row r="4818" spans="1:26" ht="14.25" customHeight="1">
      <c r="A4818" s="36">
        <v>1</v>
      </c>
      <c r="B4818" s="18" t="s">
        <v>33</v>
      </c>
      <c r="C4818" s="5" t="s">
        <v>1183</v>
      </c>
      <c r="D4818" s="18" t="s">
        <v>11</v>
      </c>
      <c r="E4818" s="18">
        <v>1.02</v>
      </c>
      <c r="F4818" s="6">
        <v>293000</v>
      </c>
      <c r="G4818" s="37">
        <f t="shared" ref="G4818:G4820" si="305">IFERROR(E4818*F4818,0)</f>
        <v>298860</v>
      </c>
      <c r="H4818" s="38"/>
      <c r="I4818" s="32"/>
      <c r="J4818" s="32"/>
      <c r="K4818" s="32"/>
      <c r="L4818" s="32"/>
      <c r="M4818" s="32"/>
      <c r="N4818" s="32"/>
      <c r="O4818" s="32"/>
      <c r="P4818" s="32"/>
      <c r="Q4818" s="32"/>
      <c r="R4818" s="32"/>
      <c r="S4818" s="32"/>
      <c r="T4818" s="32"/>
      <c r="U4818" s="32"/>
      <c r="V4818" s="32"/>
      <c r="W4818" s="32"/>
      <c r="X4818" s="32"/>
      <c r="Y4818" s="32"/>
      <c r="Z4818" s="32"/>
    </row>
    <row r="4819" spans="1:26" ht="14.25" customHeight="1">
      <c r="A4819" s="36">
        <v>2</v>
      </c>
      <c r="B4819" s="12" t="s">
        <v>45</v>
      </c>
      <c r="C4819" s="10">
        <v>4364</v>
      </c>
      <c r="D4819" s="12" t="s">
        <v>233</v>
      </c>
      <c r="E4819" s="12">
        <v>2.15</v>
      </c>
      <c r="F4819" s="43">
        <v>435000</v>
      </c>
      <c r="G4819" s="37">
        <f t="shared" si="305"/>
        <v>935250</v>
      </c>
      <c r="H4819" s="38"/>
      <c r="I4819" s="32"/>
      <c r="J4819" s="32"/>
      <c r="K4819" s="32"/>
      <c r="L4819" s="32"/>
      <c r="M4819" s="32"/>
      <c r="N4819" s="32"/>
      <c r="O4819" s="32"/>
      <c r="P4819" s="32"/>
      <c r="Q4819" s="32"/>
      <c r="R4819" s="32"/>
      <c r="S4819" s="32"/>
      <c r="T4819" s="32"/>
      <c r="U4819" s="32"/>
      <c r="V4819" s="32"/>
      <c r="W4819" s="32"/>
      <c r="X4819" s="32"/>
      <c r="Y4819" s="32"/>
      <c r="Z4819" s="32"/>
    </row>
    <row r="4820" spans="1:26" ht="14.25" customHeight="1">
      <c r="A4820" s="36">
        <v>4</v>
      </c>
      <c r="B4820" s="39" t="s">
        <v>17</v>
      </c>
      <c r="C4820" s="38"/>
      <c r="D4820" s="38"/>
      <c r="E4820" s="38"/>
      <c r="F4820" s="60"/>
      <c r="G4820" s="37">
        <f t="shared" si="305"/>
        <v>0</v>
      </c>
      <c r="H4820" s="38"/>
      <c r="I4820" s="32"/>
      <c r="J4820" s="32"/>
      <c r="K4820" s="32"/>
      <c r="L4820" s="32"/>
      <c r="M4820" s="32"/>
      <c r="N4820" s="32"/>
      <c r="O4820" s="32"/>
      <c r="P4820" s="32"/>
      <c r="Q4820" s="32"/>
      <c r="R4820" s="32"/>
      <c r="S4820" s="32"/>
      <c r="T4820" s="32"/>
      <c r="U4820" s="32"/>
      <c r="V4820" s="32"/>
      <c r="W4820" s="32"/>
      <c r="X4820" s="32"/>
      <c r="Y4820" s="32"/>
      <c r="Z4820" s="32"/>
    </row>
    <row r="4821" spans="1:26" ht="14.25" customHeight="1">
      <c r="A4821" s="83" t="s">
        <v>18</v>
      </c>
      <c r="B4821" s="81"/>
      <c r="C4821" s="81"/>
      <c r="D4821" s="81"/>
      <c r="E4821" s="81"/>
      <c r="F4821" s="81"/>
      <c r="G4821" s="82"/>
      <c r="H4821" s="41">
        <f>SUM(G4818:G4820)</f>
        <v>1234110</v>
      </c>
      <c r="I4821" s="32"/>
      <c r="J4821" s="32"/>
      <c r="K4821" s="32"/>
      <c r="L4821" s="32"/>
      <c r="M4821" s="32"/>
      <c r="N4821" s="32"/>
      <c r="O4821" s="32"/>
      <c r="P4821" s="32"/>
      <c r="Q4821" s="32"/>
      <c r="R4821" s="32"/>
      <c r="S4821" s="32"/>
      <c r="T4821" s="32"/>
      <c r="U4821" s="32"/>
      <c r="V4821" s="32"/>
      <c r="W4821" s="32"/>
      <c r="X4821" s="32"/>
      <c r="Y4821" s="32"/>
      <c r="Z4821" s="32"/>
    </row>
    <row r="4822" spans="1:26" ht="14.25" customHeight="1">
      <c r="A4822" s="83" t="s">
        <v>19</v>
      </c>
      <c r="B4822" s="81"/>
      <c r="C4822" s="81"/>
      <c r="D4822" s="81"/>
      <c r="E4822" s="81"/>
      <c r="F4822" s="81"/>
      <c r="G4822" s="82"/>
      <c r="H4822" s="41">
        <f>MAX(0,H4821-648000)</f>
        <v>586110</v>
      </c>
      <c r="I4822" s="32"/>
      <c r="J4822" s="32"/>
      <c r="K4822" s="32"/>
      <c r="L4822" s="32"/>
      <c r="M4822" s="32"/>
      <c r="N4822" s="32"/>
      <c r="O4822" s="32"/>
      <c r="P4822" s="32"/>
      <c r="Q4822" s="32"/>
      <c r="R4822" s="32"/>
      <c r="S4822" s="32"/>
      <c r="T4822" s="32"/>
      <c r="U4822" s="32"/>
      <c r="V4822" s="32"/>
      <c r="W4822" s="32"/>
      <c r="X4822" s="32"/>
      <c r="Y4822" s="32"/>
      <c r="Z4822" s="32"/>
    </row>
    <row r="4823" spans="1:26" ht="14.25" customHeight="1">
      <c r="A4823" s="84" t="s">
        <v>20</v>
      </c>
      <c r="B4823" s="81"/>
      <c r="C4823" s="81"/>
      <c r="D4823" s="81"/>
      <c r="E4823" s="81"/>
      <c r="F4823" s="81"/>
      <c r="G4823" s="82"/>
      <c r="H4823" s="42">
        <v>649000</v>
      </c>
      <c r="I4823" s="32"/>
      <c r="J4823" s="32"/>
      <c r="K4823" s="32"/>
      <c r="L4823" s="32"/>
      <c r="M4823" s="32"/>
      <c r="N4823" s="32"/>
      <c r="O4823" s="32"/>
      <c r="P4823" s="32"/>
      <c r="Q4823" s="32"/>
      <c r="R4823" s="32"/>
      <c r="S4823" s="32"/>
      <c r="T4823" s="32"/>
      <c r="U4823" s="32"/>
      <c r="V4823" s="32"/>
      <c r="W4823" s="32"/>
      <c r="X4823" s="32"/>
      <c r="Y4823" s="32"/>
      <c r="Z4823" s="32"/>
    </row>
    <row r="4824" spans="1:26" ht="14.25" customHeight="1">
      <c r="A4824" s="80"/>
      <c r="B4824" s="81"/>
      <c r="C4824" s="81"/>
      <c r="D4824" s="81"/>
      <c r="E4824" s="81"/>
      <c r="F4824" s="81"/>
      <c r="G4824" s="81"/>
      <c r="H4824" s="82"/>
      <c r="I4824" s="32"/>
      <c r="J4824" s="32"/>
      <c r="K4824" s="32"/>
      <c r="L4824" s="32"/>
      <c r="M4824" s="32"/>
      <c r="N4824" s="32"/>
      <c r="O4824" s="32"/>
      <c r="P4824" s="32"/>
      <c r="Q4824" s="32"/>
      <c r="R4824" s="32"/>
      <c r="S4824" s="32"/>
      <c r="T4824" s="32"/>
      <c r="U4824" s="32"/>
      <c r="V4824" s="32"/>
      <c r="W4824" s="32"/>
      <c r="X4824" s="32"/>
      <c r="Y4824" s="32"/>
      <c r="Z4824" s="32"/>
    </row>
    <row r="4825" spans="1:26" ht="14.25" customHeight="1"/>
    <row r="4826" spans="1:26" ht="14.25" customHeight="1"/>
    <row r="4827" spans="1:26" ht="14.25" customHeight="1"/>
    <row r="4828" spans="1:26" ht="14.25" customHeight="1"/>
    <row r="4829" spans="1:26" ht="14.25" customHeight="1"/>
    <row r="4830" spans="1:26" ht="14.25" customHeight="1"/>
    <row r="4831" spans="1:26" ht="14.25" customHeight="1"/>
    <row r="4832" spans="1:26" ht="14.25" customHeight="1">
      <c r="A4832" s="80" t="s">
        <v>0</v>
      </c>
      <c r="B4832" s="81"/>
      <c r="C4832" s="81"/>
      <c r="D4832" s="81"/>
      <c r="E4832" s="81"/>
      <c r="F4832" s="81"/>
      <c r="G4832" s="81"/>
      <c r="H4832" s="82"/>
      <c r="I4832" s="32"/>
      <c r="J4832" s="32"/>
      <c r="K4832" s="32"/>
      <c r="L4832" s="32"/>
      <c r="M4832" s="32"/>
      <c r="N4832" s="32"/>
      <c r="O4832" s="32"/>
      <c r="P4832" s="32"/>
      <c r="Q4832" s="32"/>
      <c r="R4832" s="32"/>
      <c r="S4832" s="32"/>
      <c r="T4832" s="32"/>
      <c r="U4832" s="32"/>
      <c r="V4832" s="32"/>
      <c r="W4832" s="32"/>
      <c r="X4832" s="32"/>
      <c r="Y4832" s="32"/>
      <c r="Z4832" s="32"/>
    </row>
    <row r="4833" spans="1:26" ht="14.25" customHeight="1">
      <c r="A4833" s="80" t="s">
        <v>1184</v>
      </c>
      <c r="B4833" s="81"/>
      <c r="C4833" s="81"/>
      <c r="D4833" s="81"/>
      <c r="E4833" s="81"/>
      <c r="F4833" s="81"/>
      <c r="G4833" s="81"/>
      <c r="H4833" s="82"/>
      <c r="I4833" s="32"/>
      <c r="J4833" s="32"/>
      <c r="K4833" s="32"/>
      <c r="L4833" s="32"/>
      <c r="M4833" s="32"/>
      <c r="N4833" s="32"/>
      <c r="O4833" s="32"/>
      <c r="P4833" s="32"/>
      <c r="Q4833" s="32"/>
      <c r="R4833" s="32"/>
      <c r="S4833" s="32"/>
      <c r="T4833" s="32"/>
      <c r="U4833" s="32"/>
      <c r="V4833" s="32"/>
      <c r="W4833" s="32"/>
      <c r="X4833" s="32"/>
      <c r="Y4833" s="32"/>
      <c r="Z4833" s="32"/>
    </row>
    <row r="4834" spans="1:26" ht="14.25" customHeight="1">
      <c r="A4834" s="33" t="s">
        <v>2</v>
      </c>
      <c r="B4834" s="33" t="s">
        <v>3</v>
      </c>
      <c r="C4834" s="33" t="s">
        <v>4</v>
      </c>
      <c r="D4834" s="33" t="s">
        <v>5</v>
      </c>
      <c r="E4834" s="33" t="s">
        <v>6</v>
      </c>
      <c r="F4834" s="34" t="s">
        <v>7</v>
      </c>
      <c r="G4834" s="33" t="s">
        <v>8</v>
      </c>
      <c r="H4834" s="35"/>
      <c r="I4834" s="32"/>
      <c r="J4834" s="32"/>
      <c r="K4834" s="32"/>
      <c r="L4834" s="32"/>
      <c r="M4834" s="32"/>
      <c r="N4834" s="32"/>
      <c r="O4834" s="32"/>
      <c r="P4834" s="32"/>
      <c r="Q4834" s="32"/>
      <c r="R4834" s="32"/>
      <c r="S4834" s="32"/>
      <c r="T4834" s="32"/>
      <c r="U4834" s="32"/>
      <c r="V4834" s="32"/>
      <c r="W4834" s="32"/>
      <c r="X4834" s="32"/>
      <c r="Y4834" s="32"/>
      <c r="Z4834" s="32"/>
    </row>
    <row r="4835" spans="1:26" ht="14.25" customHeight="1">
      <c r="A4835" s="36">
        <v>1</v>
      </c>
      <c r="B4835" s="18" t="s">
        <v>911</v>
      </c>
      <c r="C4835" s="5" t="s">
        <v>1185</v>
      </c>
      <c r="D4835" s="18" t="s">
        <v>11</v>
      </c>
      <c r="E4835" s="18">
        <v>2</v>
      </c>
      <c r="F4835" s="6">
        <v>293000</v>
      </c>
      <c r="G4835" s="37">
        <f t="shared" ref="G4835:G4837" si="306">IFERROR(E4835*F4835,0)</f>
        <v>586000</v>
      </c>
      <c r="H4835" s="38"/>
      <c r="I4835" s="32"/>
      <c r="J4835" s="32"/>
      <c r="K4835" s="32"/>
      <c r="L4835" s="32"/>
      <c r="M4835" s="32"/>
      <c r="N4835" s="32"/>
      <c r="O4835" s="32"/>
      <c r="P4835" s="32"/>
      <c r="Q4835" s="32"/>
      <c r="R4835" s="32"/>
      <c r="S4835" s="32"/>
      <c r="T4835" s="32"/>
      <c r="U4835" s="32"/>
      <c r="V4835" s="32"/>
      <c r="W4835" s="32"/>
      <c r="X4835" s="32"/>
      <c r="Y4835" s="32"/>
      <c r="Z4835" s="32"/>
    </row>
    <row r="4836" spans="1:26" ht="14.25" customHeight="1">
      <c r="A4836" s="36">
        <v>2</v>
      </c>
      <c r="B4836" s="12" t="s">
        <v>1186</v>
      </c>
      <c r="C4836" s="10" t="s">
        <v>1187</v>
      </c>
      <c r="D4836" s="12" t="s">
        <v>233</v>
      </c>
      <c r="E4836" s="12">
        <v>1.4</v>
      </c>
      <c r="F4836" s="43">
        <v>435000</v>
      </c>
      <c r="G4836" s="37">
        <f t="shared" si="306"/>
        <v>609000</v>
      </c>
      <c r="H4836" s="38"/>
      <c r="I4836" s="32"/>
      <c r="J4836" s="32"/>
      <c r="K4836" s="32"/>
      <c r="L4836" s="32"/>
      <c r="M4836" s="32"/>
      <c r="N4836" s="32"/>
      <c r="O4836" s="32"/>
      <c r="P4836" s="32"/>
      <c r="Q4836" s="32"/>
      <c r="R4836" s="32"/>
      <c r="S4836" s="32"/>
      <c r="T4836" s="32"/>
      <c r="U4836" s="32"/>
      <c r="V4836" s="32"/>
      <c r="W4836" s="32"/>
      <c r="X4836" s="32"/>
      <c r="Y4836" s="32"/>
      <c r="Z4836" s="32"/>
    </row>
    <row r="4837" spans="1:26" ht="14.25" customHeight="1">
      <c r="A4837" s="36">
        <v>4</v>
      </c>
      <c r="B4837" s="39" t="s">
        <v>17</v>
      </c>
      <c r="C4837" s="38"/>
      <c r="D4837" s="38"/>
      <c r="E4837" s="38"/>
      <c r="F4837" s="60"/>
      <c r="G4837" s="37">
        <f t="shared" si="306"/>
        <v>0</v>
      </c>
      <c r="H4837" s="38"/>
      <c r="I4837" s="32"/>
      <c r="J4837" s="32"/>
      <c r="K4837" s="32"/>
      <c r="L4837" s="32"/>
      <c r="M4837" s="32"/>
      <c r="N4837" s="32"/>
      <c r="O4837" s="32"/>
      <c r="P4837" s="32"/>
      <c r="Q4837" s="32"/>
      <c r="R4837" s="32"/>
      <c r="S4837" s="32"/>
      <c r="T4837" s="32"/>
      <c r="U4837" s="32"/>
      <c r="V4837" s="32"/>
      <c r="W4837" s="32"/>
      <c r="X4837" s="32"/>
      <c r="Y4837" s="32"/>
      <c r="Z4837" s="32"/>
    </row>
    <row r="4838" spans="1:26" ht="14.25" customHeight="1">
      <c r="A4838" s="83" t="s">
        <v>18</v>
      </c>
      <c r="B4838" s="81"/>
      <c r="C4838" s="81"/>
      <c r="D4838" s="81"/>
      <c r="E4838" s="81"/>
      <c r="F4838" s="81"/>
      <c r="G4838" s="82"/>
      <c r="H4838" s="41">
        <f>SUM(G4835:G4837)</f>
        <v>1195000</v>
      </c>
      <c r="I4838" s="32"/>
      <c r="J4838" s="32"/>
      <c r="K4838" s="32"/>
      <c r="L4838" s="32"/>
      <c r="M4838" s="32"/>
      <c r="N4838" s="32"/>
      <c r="O4838" s="32"/>
      <c r="P4838" s="32"/>
      <c r="Q4838" s="32"/>
      <c r="R4838" s="32"/>
      <c r="S4838" s="32"/>
      <c r="T4838" s="32"/>
      <c r="U4838" s="32"/>
      <c r="V4838" s="32"/>
      <c r="W4838" s="32"/>
      <c r="X4838" s="32"/>
      <c r="Y4838" s="32"/>
      <c r="Z4838" s="32"/>
    </row>
    <row r="4839" spans="1:26" ht="14.25" customHeight="1">
      <c r="A4839" s="83" t="s">
        <v>19</v>
      </c>
      <c r="B4839" s="81"/>
      <c r="C4839" s="81"/>
      <c r="D4839" s="81"/>
      <c r="E4839" s="81"/>
      <c r="F4839" s="81"/>
      <c r="G4839" s="82"/>
      <c r="H4839" s="41">
        <f>MAX(0,H4838-648000)</f>
        <v>547000</v>
      </c>
      <c r="I4839" s="32"/>
      <c r="J4839" s="32"/>
      <c r="K4839" s="32"/>
      <c r="L4839" s="32"/>
      <c r="M4839" s="32"/>
      <c r="N4839" s="32"/>
      <c r="O4839" s="32"/>
      <c r="P4839" s="32"/>
      <c r="Q4839" s="32"/>
      <c r="R4839" s="32"/>
      <c r="S4839" s="32"/>
      <c r="T4839" s="32"/>
      <c r="U4839" s="32"/>
      <c r="V4839" s="32"/>
      <c r="W4839" s="32"/>
      <c r="X4839" s="32"/>
      <c r="Y4839" s="32"/>
      <c r="Z4839" s="32"/>
    </row>
    <row r="4840" spans="1:26" ht="14.25" customHeight="1">
      <c r="A4840" s="84" t="s">
        <v>20</v>
      </c>
      <c r="B4840" s="81"/>
      <c r="C4840" s="81"/>
      <c r="D4840" s="81"/>
      <c r="E4840" s="81"/>
      <c r="F4840" s="81"/>
      <c r="G4840" s="82"/>
      <c r="H4840" s="42">
        <v>649000</v>
      </c>
      <c r="I4840" s="32"/>
      <c r="J4840" s="32"/>
      <c r="K4840" s="32"/>
      <c r="L4840" s="32"/>
      <c r="M4840" s="32"/>
      <c r="N4840" s="32"/>
      <c r="O4840" s="32"/>
      <c r="P4840" s="32"/>
      <c r="Q4840" s="32"/>
      <c r="R4840" s="32"/>
      <c r="S4840" s="32"/>
      <c r="T4840" s="32"/>
      <c r="U4840" s="32"/>
      <c r="V4840" s="32"/>
      <c r="W4840" s="32"/>
      <c r="X4840" s="32"/>
      <c r="Y4840" s="32"/>
      <c r="Z4840" s="32"/>
    </row>
    <row r="4841" spans="1:26" ht="14.25" customHeight="1">
      <c r="A4841" s="80"/>
      <c r="B4841" s="81"/>
      <c r="C4841" s="81"/>
      <c r="D4841" s="81"/>
      <c r="E4841" s="81"/>
      <c r="F4841" s="81"/>
      <c r="G4841" s="81"/>
      <c r="H4841" s="82"/>
      <c r="I4841" s="32"/>
      <c r="J4841" s="32"/>
      <c r="K4841" s="32"/>
      <c r="L4841" s="32"/>
      <c r="M4841" s="32"/>
      <c r="N4841" s="32"/>
      <c r="O4841" s="32"/>
      <c r="P4841" s="32"/>
      <c r="Q4841" s="32"/>
      <c r="R4841" s="32"/>
      <c r="S4841" s="32"/>
      <c r="T4841" s="32"/>
      <c r="U4841" s="32"/>
      <c r="V4841" s="32"/>
      <c r="W4841" s="32"/>
      <c r="X4841" s="32"/>
      <c r="Y4841" s="32"/>
      <c r="Z4841" s="32"/>
    </row>
    <row r="4842" spans="1:26" ht="14.25" customHeight="1"/>
    <row r="4843" spans="1:26" ht="14.25" customHeight="1"/>
    <row r="4844" spans="1:26" ht="14.25" customHeight="1"/>
    <row r="4845" spans="1:26" ht="14.25" customHeight="1"/>
    <row r="4846" spans="1:26" ht="14.25" customHeight="1">
      <c r="B4846" s="66"/>
    </row>
    <row r="4847" spans="1:26" ht="14.25" customHeight="1">
      <c r="A4847" s="80" t="s">
        <v>0</v>
      </c>
      <c r="B4847" s="81"/>
      <c r="C4847" s="81"/>
      <c r="D4847" s="81"/>
      <c r="E4847" s="81"/>
      <c r="F4847" s="81"/>
      <c r="G4847" s="81"/>
      <c r="H4847" s="82"/>
      <c r="I4847" s="32"/>
      <c r="J4847" s="32"/>
      <c r="K4847" s="32"/>
      <c r="L4847" s="32"/>
      <c r="M4847" s="32"/>
      <c r="N4847" s="32"/>
      <c r="O4847" s="32"/>
      <c r="P4847" s="32"/>
      <c r="Q4847" s="32"/>
      <c r="R4847" s="32"/>
      <c r="S4847" s="32"/>
      <c r="T4847" s="32"/>
      <c r="U4847" s="32"/>
      <c r="V4847" s="32"/>
      <c r="W4847" s="32"/>
      <c r="X4847" s="32"/>
      <c r="Y4847" s="32"/>
      <c r="Z4847" s="32"/>
    </row>
    <row r="4848" spans="1:26" ht="14.25" customHeight="1">
      <c r="A4848" s="80" t="s">
        <v>1188</v>
      </c>
      <c r="B4848" s="81"/>
      <c r="C4848" s="81"/>
      <c r="D4848" s="81"/>
      <c r="E4848" s="81"/>
      <c r="F4848" s="81"/>
      <c r="G4848" s="81"/>
      <c r="H4848" s="82"/>
      <c r="I4848" s="32"/>
      <c r="J4848" s="32"/>
      <c r="K4848" s="32"/>
      <c r="L4848" s="32"/>
      <c r="M4848" s="32"/>
      <c r="N4848" s="32"/>
      <c r="O4848" s="32"/>
      <c r="P4848" s="32"/>
      <c r="Q4848" s="32"/>
      <c r="R4848" s="32"/>
      <c r="S4848" s="32"/>
      <c r="T4848" s="32"/>
      <c r="U4848" s="32"/>
      <c r="V4848" s="32"/>
      <c r="W4848" s="32"/>
      <c r="X4848" s="32"/>
      <c r="Y4848" s="32"/>
      <c r="Z4848" s="32"/>
    </row>
    <row r="4849" spans="1:26" ht="14.25" customHeight="1">
      <c r="A4849" s="33" t="s">
        <v>2</v>
      </c>
      <c r="B4849" s="33" t="s">
        <v>3</v>
      </c>
      <c r="C4849" s="33" t="s">
        <v>4</v>
      </c>
      <c r="D4849" s="33" t="s">
        <v>5</v>
      </c>
      <c r="E4849" s="33" t="s">
        <v>6</v>
      </c>
      <c r="F4849" s="34" t="s">
        <v>7</v>
      </c>
      <c r="G4849" s="33" t="s">
        <v>8</v>
      </c>
      <c r="H4849" s="35"/>
      <c r="I4849" s="32"/>
      <c r="J4849" s="32"/>
      <c r="K4849" s="32"/>
      <c r="L4849" s="32"/>
      <c r="M4849" s="32"/>
      <c r="N4849" s="32"/>
      <c r="O4849" s="32"/>
      <c r="P4849" s="32"/>
      <c r="Q4849" s="32"/>
      <c r="R4849" s="32"/>
      <c r="S4849" s="32"/>
      <c r="T4849" s="32"/>
      <c r="U4849" s="32"/>
      <c r="V4849" s="32"/>
      <c r="W4849" s="32"/>
      <c r="X4849" s="32"/>
      <c r="Y4849" s="32"/>
      <c r="Z4849" s="32"/>
    </row>
    <row r="4850" spans="1:26" ht="14.25" customHeight="1">
      <c r="A4850" s="36">
        <v>1</v>
      </c>
      <c r="B4850" s="18" t="s">
        <v>73</v>
      </c>
      <c r="C4850" s="5" t="s">
        <v>1189</v>
      </c>
      <c r="D4850" s="18" t="s">
        <v>11</v>
      </c>
      <c r="E4850" s="18">
        <v>1.5</v>
      </c>
      <c r="F4850" s="6">
        <v>293000</v>
      </c>
      <c r="G4850" s="37">
        <f t="shared" ref="G4850:G4852" si="307">IFERROR(E4850*F4850,0)</f>
        <v>439500</v>
      </c>
      <c r="H4850" s="38"/>
      <c r="I4850" s="32"/>
      <c r="J4850" s="32"/>
      <c r="K4850" s="32"/>
      <c r="L4850" s="32"/>
      <c r="M4850" s="32"/>
      <c r="N4850" s="32"/>
      <c r="O4850" s="32"/>
      <c r="P4850" s="32"/>
      <c r="Q4850" s="32"/>
      <c r="R4850" s="32"/>
      <c r="S4850" s="32"/>
      <c r="T4850" s="32"/>
      <c r="U4850" s="32"/>
      <c r="V4850" s="32"/>
      <c r="W4850" s="32"/>
      <c r="X4850" s="32"/>
      <c r="Y4850" s="32"/>
      <c r="Z4850" s="32"/>
    </row>
    <row r="4851" spans="1:26" ht="14.25" customHeight="1">
      <c r="A4851" s="36">
        <v>2</v>
      </c>
      <c r="B4851" s="12" t="s">
        <v>601</v>
      </c>
      <c r="C4851" s="10" t="s">
        <v>1190</v>
      </c>
      <c r="D4851" s="12" t="s">
        <v>233</v>
      </c>
      <c r="E4851" s="12">
        <v>1.95</v>
      </c>
      <c r="F4851" s="43">
        <v>435000</v>
      </c>
      <c r="G4851" s="37">
        <f t="shared" si="307"/>
        <v>848250</v>
      </c>
      <c r="H4851" s="38"/>
      <c r="I4851" s="32"/>
      <c r="J4851" s="32"/>
      <c r="K4851" s="32"/>
      <c r="L4851" s="32"/>
      <c r="M4851" s="32"/>
      <c r="N4851" s="32"/>
      <c r="O4851" s="32"/>
      <c r="P4851" s="32"/>
      <c r="Q4851" s="32"/>
      <c r="R4851" s="32"/>
      <c r="S4851" s="32"/>
      <c r="T4851" s="32"/>
      <c r="U4851" s="32"/>
      <c r="V4851" s="32"/>
      <c r="W4851" s="32"/>
      <c r="X4851" s="32"/>
      <c r="Y4851" s="32"/>
      <c r="Z4851" s="32"/>
    </row>
    <row r="4852" spans="1:26" ht="14.25" customHeight="1">
      <c r="A4852" s="36">
        <v>4</v>
      </c>
      <c r="B4852" s="39" t="s">
        <v>17</v>
      </c>
      <c r="C4852" s="38"/>
      <c r="D4852" s="38"/>
      <c r="E4852" s="38"/>
      <c r="F4852" s="60"/>
      <c r="G4852" s="37">
        <f t="shared" si="307"/>
        <v>0</v>
      </c>
      <c r="H4852" s="38"/>
      <c r="I4852" s="32"/>
      <c r="J4852" s="32"/>
      <c r="K4852" s="32"/>
      <c r="L4852" s="32"/>
      <c r="M4852" s="32"/>
      <c r="N4852" s="32"/>
      <c r="O4852" s="32"/>
      <c r="P4852" s="32"/>
      <c r="Q4852" s="32"/>
      <c r="R4852" s="32"/>
      <c r="S4852" s="32"/>
      <c r="T4852" s="32"/>
      <c r="U4852" s="32"/>
      <c r="V4852" s="32"/>
      <c r="W4852" s="32"/>
      <c r="X4852" s="32"/>
      <c r="Y4852" s="32"/>
      <c r="Z4852" s="32"/>
    </row>
    <row r="4853" spans="1:26" ht="14.25" customHeight="1">
      <c r="A4853" s="83" t="s">
        <v>18</v>
      </c>
      <c r="B4853" s="81"/>
      <c r="C4853" s="81"/>
      <c r="D4853" s="81"/>
      <c r="E4853" s="81"/>
      <c r="F4853" s="81"/>
      <c r="G4853" s="82"/>
      <c r="H4853" s="41">
        <f>SUM(G4850:G4852)</f>
        <v>1287750</v>
      </c>
      <c r="I4853" s="32"/>
      <c r="J4853" s="32"/>
      <c r="K4853" s="32"/>
      <c r="L4853" s="32"/>
      <c r="M4853" s="32"/>
      <c r="N4853" s="32"/>
      <c r="O4853" s="32"/>
      <c r="P4853" s="32"/>
      <c r="Q4853" s="32"/>
      <c r="R4853" s="32"/>
      <c r="S4853" s="32"/>
      <c r="T4853" s="32"/>
      <c r="U4853" s="32"/>
      <c r="V4853" s="32"/>
      <c r="W4853" s="32"/>
      <c r="X4853" s="32"/>
      <c r="Y4853" s="32"/>
      <c r="Z4853" s="32"/>
    </row>
    <row r="4854" spans="1:26" ht="14.25" customHeight="1">
      <c r="A4854" s="83" t="s">
        <v>19</v>
      </c>
      <c r="B4854" s="81"/>
      <c r="C4854" s="81"/>
      <c r="D4854" s="81"/>
      <c r="E4854" s="81"/>
      <c r="F4854" s="81"/>
      <c r="G4854" s="82"/>
      <c r="H4854" s="41">
        <f>MAX(0,H4853-648000)</f>
        <v>639750</v>
      </c>
      <c r="I4854" s="32"/>
      <c r="J4854" s="32"/>
      <c r="K4854" s="32"/>
      <c r="L4854" s="32"/>
      <c r="M4854" s="32"/>
      <c r="N4854" s="32"/>
      <c r="O4854" s="32"/>
      <c r="P4854" s="32"/>
      <c r="Q4854" s="32"/>
      <c r="R4854" s="32"/>
      <c r="S4854" s="32"/>
      <c r="T4854" s="32"/>
      <c r="U4854" s="32"/>
      <c r="V4854" s="32"/>
      <c r="W4854" s="32"/>
      <c r="X4854" s="32"/>
      <c r="Y4854" s="32"/>
      <c r="Z4854" s="32"/>
    </row>
    <row r="4855" spans="1:26" ht="14.25" customHeight="1">
      <c r="A4855" s="84" t="s">
        <v>20</v>
      </c>
      <c r="B4855" s="81"/>
      <c r="C4855" s="81"/>
      <c r="D4855" s="81"/>
      <c r="E4855" s="81"/>
      <c r="F4855" s="81"/>
      <c r="G4855" s="82"/>
      <c r="H4855" s="42">
        <v>649000</v>
      </c>
      <c r="I4855" s="32"/>
      <c r="J4855" s="32"/>
      <c r="K4855" s="32"/>
      <c r="L4855" s="32"/>
      <c r="M4855" s="32"/>
      <c r="N4855" s="32"/>
      <c r="O4855" s="32"/>
      <c r="P4855" s="32"/>
      <c r="Q4855" s="32"/>
      <c r="R4855" s="32"/>
      <c r="S4855" s="32"/>
      <c r="T4855" s="32"/>
      <c r="U4855" s="32"/>
      <c r="V4855" s="32"/>
      <c r="W4855" s="32"/>
      <c r="X4855" s="32"/>
      <c r="Y4855" s="32"/>
      <c r="Z4855" s="32"/>
    </row>
    <row r="4856" spans="1:26" ht="14.25" customHeight="1">
      <c r="A4856" s="80"/>
      <c r="B4856" s="81"/>
      <c r="C4856" s="81"/>
      <c r="D4856" s="81"/>
      <c r="E4856" s="81"/>
      <c r="F4856" s="81"/>
      <c r="G4856" s="81"/>
      <c r="H4856" s="82"/>
      <c r="I4856" s="32"/>
      <c r="J4856" s="32"/>
      <c r="K4856" s="32"/>
      <c r="L4856" s="32"/>
      <c r="M4856" s="32"/>
      <c r="N4856" s="32"/>
      <c r="O4856" s="32"/>
      <c r="P4856" s="32"/>
      <c r="Q4856" s="32"/>
      <c r="R4856" s="32"/>
      <c r="S4856" s="32"/>
      <c r="T4856" s="32"/>
      <c r="U4856" s="32"/>
      <c r="V4856" s="32"/>
      <c r="W4856" s="32"/>
      <c r="X4856" s="32"/>
      <c r="Y4856" s="32"/>
      <c r="Z4856" s="32"/>
    </row>
    <row r="4857" spans="1:26" ht="14.25" customHeight="1"/>
    <row r="4858" spans="1:26" ht="14.25" customHeight="1"/>
    <row r="4859" spans="1:26" ht="14.25" customHeight="1"/>
    <row r="4860" spans="1:26" ht="14.25" customHeight="1"/>
    <row r="4861" spans="1:26" ht="14.25" customHeight="1"/>
    <row r="4862" spans="1:26" ht="14.25" customHeight="1"/>
    <row r="4863" spans="1:26" ht="14.25" customHeight="1"/>
    <row r="4864" spans="1:26" ht="14.25" customHeight="1"/>
    <row r="4865" spans="1:26" ht="14.25" customHeight="1">
      <c r="A4865" s="80" t="s">
        <v>0</v>
      </c>
      <c r="B4865" s="81"/>
      <c r="C4865" s="81"/>
      <c r="D4865" s="81"/>
      <c r="E4865" s="81"/>
      <c r="F4865" s="81"/>
      <c r="G4865" s="81"/>
      <c r="H4865" s="82"/>
      <c r="I4865" s="32"/>
      <c r="J4865" s="32"/>
      <c r="K4865" s="32"/>
      <c r="L4865" s="32"/>
      <c r="M4865" s="32"/>
      <c r="N4865" s="32"/>
      <c r="O4865" s="32"/>
      <c r="P4865" s="32"/>
      <c r="Q4865" s="32"/>
      <c r="R4865" s="32"/>
      <c r="S4865" s="32"/>
      <c r="T4865" s="32"/>
      <c r="U4865" s="32"/>
      <c r="V4865" s="32"/>
      <c r="W4865" s="32"/>
      <c r="X4865" s="32"/>
      <c r="Y4865" s="32"/>
      <c r="Z4865" s="32"/>
    </row>
    <row r="4866" spans="1:26" ht="14.25" customHeight="1">
      <c r="A4866" s="80" t="s">
        <v>1191</v>
      </c>
      <c r="B4866" s="81"/>
      <c r="C4866" s="81"/>
      <c r="D4866" s="81"/>
      <c r="E4866" s="81"/>
      <c r="F4866" s="81"/>
      <c r="G4866" s="81"/>
      <c r="H4866" s="82"/>
      <c r="I4866" s="32"/>
      <c r="J4866" s="32"/>
      <c r="K4866" s="32"/>
      <c r="L4866" s="32"/>
      <c r="M4866" s="32"/>
      <c r="N4866" s="32"/>
      <c r="O4866" s="32"/>
      <c r="P4866" s="32"/>
      <c r="Q4866" s="32"/>
      <c r="R4866" s="32"/>
      <c r="S4866" s="32"/>
      <c r="T4866" s="32"/>
      <c r="U4866" s="32"/>
      <c r="V4866" s="32"/>
      <c r="W4866" s="32"/>
      <c r="X4866" s="32"/>
      <c r="Y4866" s="32"/>
      <c r="Z4866" s="32"/>
    </row>
    <row r="4867" spans="1:26" ht="14.25" customHeight="1">
      <c r="A4867" s="33" t="s">
        <v>2</v>
      </c>
      <c r="B4867" s="33" t="s">
        <v>3</v>
      </c>
      <c r="C4867" s="33" t="s">
        <v>4</v>
      </c>
      <c r="D4867" s="33" t="s">
        <v>5</v>
      </c>
      <c r="E4867" s="33" t="s">
        <v>6</v>
      </c>
      <c r="F4867" s="34" t="s">
        <v>7</v>
      </c>
      <c r="G4867" s="33" t="s">
        <v>8</v>
      </c>
      <c r="H4867" s="35"/>
      <c r="I4867" s="32"/>
      <c r="J4867" s="32"/>
      <c r="K4867" s="32"/>
      <c r="L4867" s="32"/>
      <c r="M4867" s="32"/>
      <c r="N4867" s="32"/>
      <c r="O4867" s="32"/>
      <c r="P4867" s="32"/>
      <c r="Q4867" s="32"/>
      <c r="R4867" s="32"/>
      <c r="S4867" s="32"/>
      <c r="T4867" s="32"/>
      <c r="U4867" s="32"/>
      <c r="V4867" s="32"/>
      <c r="W4867" s="32"/>
      <c r="X4867" s="32"/>
      <c r="Y4867" s="32"/>
      <c r="Z4867" s="32"/>
    </row>
    <row r="4868" spans="1:26" ht="14.25" customHeight="1">
      <c r="A4868" s="36">
        <v>1</v>
      </c>
      <c r="B4868" s="18" t="s">
        <v>295</v>
      </c>
      <c r="C4868" s="5" t="s">
        <v>1192</v>
      </c>
      <c r="D4868" s="18" t="s">
        <v>11</v>
      </c>
      <c r="E4868" s="18">
        <v>1.7</v>
      </c>
      <c r="F4868" s="6">
        <v>293000</v>
      </c>
      <c r="G4868" s="37">
        <f t="shared" ref="G4868:G4870" si="308">IFERROR(E4868*F4868,0)</f>
        <v>498100</v>
      </c>
      <c r="H4868" s="38"/>
      <c r="I4868" s="32"/>
      <c r="J4868" s="32"/>
      <c r="K4868" s="32"/>
      <c r="L4868" s="32"/>
      <c r="M4868" s="32"/>
      <c r="N4868" s="32"/>
      <c r="O4868" s="32"/>
      <c r="P4868" s="32"/>
      <c r="Q4868" s="32"/>
      <c r="R4868" s="32"/>
      <c r="S4868" s="32"/>
      <c r="T4868" s="32"/>
      <c r="U4868" s="32"/>
      <c r="V4868" s="32"/>
      <c r="W4868" s="32"/>
      <c r="X4868" s="32"/>
      <c r="Y4868" s="32"/>
      <c r="Z4868" s="32"/>
    </row>
    <row r="4869" spans="1:26" ht="14.25" customHeight="1">
      <c r="A4869" s="36">
        <v>2</v>
      </c>
      <c r="B4869" s="12" t="s">
        <v>73</v>
      </c>
      <c r="C4869" s="10" t="s">
        <v>1132</v>
      </c>
      <c r="D4869" s="12" t="s">
        <v>233</v>
      </c>
      <c r="E4869" s="12">
        <v>1.87</v>
      </c>
      <c r="F4869" s="43">
        <v>435000</v>
      </c>
      <c r="G4869" s="37">
        <f t="shared" si="308"/>
        <v>813450</v>
      </c>
      <c r="H4869" s="38"/>
      <c r="I4869" s="32"/>
      <c r="J4869" s="32"/>
      <c r="K4869" s="32"/>
      <c r="L4869" s="32"/>
      <c r="M4869" s="32"/>
      <c r="N4869" s="32"/>
      <c r="O4869" s="32"/>
      <c r="P4869" s="32"/>
      <c r="Q4869" s="32"/>
      <c r="R4869" s="32"/>
      <c r="S4869" s="32"/>
      <c r="T4869" s="32"/>
      <c r="U4869" s="32"/>
      <c r="V4869" s="32"/>
      <c r="W4869" s="32"/>
      <c r="X4869" s="32"/>
      <c r="Y4869" s="32"/>
      <c r="Z4869" s="32"/>
    </row>
    <row r="4870" spans="1:26" ht="14.25" customHeight="1">
      <c r="A4870" s="36">
        <v>4</v>
      </c>
      <c r="B4870" s="39" t="s">
        <v>17</v>
      </c>
      <c r="C4870" s="38"/>
      <c r="D4870" s="38"/>
      <c r="E4870" s="38"/>
      <c r="F4870" s="60"/>
      <c r="G4870" s="37">
        <f t="shared" si="308"/>
        <v>0</v>
      </c>
      <c r="H4870" s="38"/>
      <c r="I4870" s="32"/>
      <c r="J4870" s="32"/>
      <c r="K4870" s="32"/>
      <c r="L4870" s="32"/>
      <c r="M4870" s="32"/>
      <c r="N4870" s="32"/>
      <c r="O4870" s="32"/>
      <c r="P4870" s="32"/>
      <c r="Q4870" s="32"/>
      <c r="R4870" s="32"/>
      <c r="S4870" s="32"/>
      <c r="T4870" s="32"/>
      <c r="U4870" s="32"/>
      <c r="V4870" s="32"/>
      <c r="W4870" s="32"/>
      <c r="X4870" s="32"/>
      <c r="Y4870" s="32"/>
      <c r="Z4870" s="32"/>
    </row>
    <row r="4871" spans="1:26" ht="14.25" customHeight="1">
      <c r="A4871" s="83" t="s">
        <v>18</v>
      </c>
      <c r="B4871" s="81"/>
      <c r="C4871" s="81"/>
      <c r="D4871" s="81"/>
      <c r="E4871" s="81"/>
      <c r="F4871" s="81"/>
      <c r="G4871" s="82"/>
      <c r="H4871" s="41">
        <f>SUM(G4868:G4870)</f>
        <v>1311550</v>
      </c>
      <c r="I4871" s="32"/>
      <c r="J4871" s="32"/>
      <c r="K4871" s="32"/>
      <c r="L4871" s="32"/>
      <c r="M4871" s="32"/>
      <c r="N4871" s="32"/>
      <c r="O4871" s="32"/>
      <c r="P4871" s="32"/>
      <c r="Q4871" s="32"/>
      <c r="R4871" s="32"/>
      <c r="S4871" s="32"/>
      <c r="T4871" s="32"/>
      <c r="U4871" s="32"/>
      <c r="V4871" s="32"/>
      <c r="W4871" s="32"/>
      <c r="X4871" s="32"/>
      <c r="Y4871" s="32"/>
      <c r="Z4871" s="32"/>
    </row>
    <row r="4872" spans="1:26" ht="14.25" customHeight="1">
      <c r="A4872" s="83" t="s">
        <v>19</v>
      </c>
      <c r="B4872" s="81"/>
      <c r="C4872" s="81"/>
      <c r="D4872" s="81"/>
      <c r="E4872" s="81"/>
      <c r="F4872" s="81"/>
      <c r="G4872" s="82"/>
      <c r="H4872" s="41">
        <f>MAX(0,H4871-648000)</f>
        <v>663550</v>
      </c>
      <c r="I4872" s="32"/>
      <c r="J4872" s="32"/>
      <c r="K4872" s="32"/>
      <c r="L4872" s="32"/>
      <c r="M4872" s="32"/>
      <c r="N4872" s="32"/>
      <c r="O4872" s="32"/>
      <c r="P4872" s="32"/>
      <c r="Q4872" s="32"/>
      <c r="R4872" s="32"/>
      <c r="S4872" s="32"/>
      <c r="T4872" s="32"/>
      <c r="U4872" s="32"/>
      <c r="V4872" s="32"/>
      <c r="W4872" s="32"/>
      <c r="X4872" s="32"/>
      <c r="Y4872" s="32"/>
      <c r="Z4872" s="32"/>
    </row>
    <row r="4873" spans="1:26" ht="14.25" customHeight="1">
      <c r="A4873" s="84" t="s">
        <v>20</v>
      </c>
      <c r="B4873" s="81"/>
      <c r="C4873" s="81"/>
      <c r="D4873" s="81"/>
      <c r="E4873" s="81"/>
      <c r="F4873" s="81"/>
      <c r="G4873" s="82"/>
      <c r="H4873" s="42">
        <v>649000</v>
      </c>
      <c r="I4873" s="32"/>
      <c r="J4873" s="32"/>
      <c r="K4873" s="32"/>
      <c r="L4873" s="32"/>
      <c r="M4873" s="32"/>
      <c r="N4873" s="32"/>
      <c r="O4873" s="32"/>
      <c r="P4873" s="32"/>
      <c r="Q4873" s="32"/>
      <c r="R4873" s="32"/>
      <c r="S4873" s="32"/>
      <c r="T4873" s="32"/>
      <c r="U4873" s="32"/>
      <c r="V4873" s="32"/>
      <c r="W4873" s="32"/>
      <c r="X4873" s="32"/>
      <c r="Y4873" s="32"/>
      <c r="Z4873" s="32"/>
    </row>
    <row r="4874" spans="1:26" ht="14.25" customHeight="1">
      <c r="A4874" s="80"/>
      <c r="B4874" s="81"/>
      <c r="C4874" s="81"/>
      <c r="D4874" s="81"/>
      <c r="E4874" s="81"/>
      <c r="F4874" s="81"/>
      <c r="G4874" s="81"/>
      <c r="H4874" s="82"/>
      <c r="I4874" s="32"/>
      <c r="J4874" s="32"/>
      <c r="K4874" s="32"/>
      <c r="L4874" s="32"/>
      <c r="M4874" s="32"/>
      <c r="N4874" s="32"/>
      <c r="O4874" s="32"/>
      <c r="P4874" s="32"/>
      <c r="Q4874" s="32"/>
      <c r="R4874" s="32"/>
      <c r="S4874" s="32"/>
      <c r="T4874" s="32"/>
      <c r="U4874" s="32"/>
      <c r="V4874" s="32"/>
      <c r="W4874" s="32"/>
      <c r="X4874" s="32"/>
      <c r="Y4874" s="32"/>
      <c r="Z4874" s="32"/>
    </row>
    <row r="4875" spans="1:26" ht="14.25" customHeight="1"/>
    <row r="4876" spans="1:26" ht="14.25" customHeight="1"/>
    <row r="4877" spans="1:26" ht="14.25" customHeight="1"/>
    <row r="4878" spans="1:26" ht="14.25" customHeight="1"/>
    <row r="4879" spans="1:26" ht="14.25" customHeight="1"/>
    <row r="4880" spans="1:26" ht="14.25" customHeight="1"/>
    <row r="4881" spans="1:26" ht="14.25" customHeight="1"/>
    <row r="4882" spans="1:26" ht="14.25" customHeight="1"/>
    <row r="4883" spans="1:26" ht="14.25" customHeight="1">
      <c r="A4883" s="80" t="s">
        <v>0</v>
      </c>
      <c r="B4883" s="81"/>
      <c r="C4883" s="81"/>
      <c r="D4883" s="81"/>
      <c r="E4883" s="81"/>
      <c r="F4883" s="81"/>
      <c r="G4883" s="81"/>
      <c r="H4883" s="82"/>
      <c r="I4883" s="32"/>
      <c r="J4883" s="32"/>
      <c r="K4883" s="32"/>
      <c r="L4883" s="32"/>
      <c r="M4883" s="32"/>
      <c r="N4883" s="32"/>
      <c r="O4883" s="32"/>
      <c r="P4883" s="32"/>
      <c r="Q4883" s="32"/>
      <c r="R4883" s="32"/>
      <c r="S4883" s="32"/>
      <c r="T4883" s="32"/>
      <c r="U4883" s="32"/>
      <c r="V4883" s="32"/>
      <c r="W4883" s="32"/>
      <c r="X4883" s="32"/>
      <c r="Y4883" s="32"/>
      <c r="Z4883" s="32"/>
    </row>
    <row r="4884" spans="1:26" ht="14.25" customHeight="1">
      <c r="A4884" s="80" t="s">
        <v>1193</v>
      </c>
      <c r="B4884" s="81"/>
      <c r="C4884" s="81"/>
      <c r="D4884" s="81"/>
      <c r="E4884" s="81"/>
      <c r="F4884" s="81"/>
      <c r="G4884" s="81"/>
      <c r="H4884" s="82"/>
      <c r="I4884" s="32"/>
      <c r="J4884" s="32"/>
      <c r="K4884" s="32"/>
      <c r="L4884" s="32"/>
      <c r="M4884" s="32"/>
      <c r="N4884" s="32"/>
      <c r="O4884" s="32"/>
      <c r="P4884" s="32"/>
      <c r="Q4884" s="32"/>
      <c r="R4884" s="32"/>
      <c r="S4884" s="32"/>
      <c r="T4884" s="32"/>
      <c r="U4884" s="32"/>
      <c r="V4884" s="32"/>
      <c r="W4884" s="32"/>
      <c r="X4884" s="32"/>
      <c r="Y4884" s="32"/>
      <c r="Z4884" s="32"/>
    </row>
    <row r="4885" spans="1:26" ht="14.25" customHeight="1">
      <c r="A4885" s="33" t="s">
        <v>2</v>
      </c>
      <c r="B4885" s="33" t="s">
        <v>3</v>
      </c>
      <c r="C4885" s="33" t="s">
        <v>4</v>
      </c>
      <c r="D4885" s="33" t="s">
        <v>5</v>
      </c>
      <c r="E4885" s="33" t="s">
        <v>6</v>
      </c>
      <c r="F4885" s="34" t="s">
        <v>7</v>
      </c>
      <c r="G4885" s="33" t="s">
        <v>8</v>
      </c>
      <c r="H4885" s="35"/>
      <c r="I4885" s="32"/>
      <c r="J4885" s="32"/>
      <c r="K4885" s="32"/>
      <c r="L4885" s="32"/>
      <c r="M4885" s="32"/>
      <c r="N4885" s="32"/>
      <c r="O4885" s="32"/>
      <c r="P4885" s="32"/>
      <c r="Q4885" s="32"/>
      <c r="R4885" s="32"/>
      <c r="S4885" s="32"/>
      <c r="T4885" s="32"/>
      <c r="U4885" s="32"/>
      <c r="V4885" s="32"/>
      <c r="W4885" s="32"/>
      <c r="X4885" s="32"/>
      <c r="Y4885" s="32"/>
      <c r="Z4885" s="32"/>
    </row>
    <row r="4886" spans="1:26" ht="14.25" customHeight="1">
      <c r="A4886" s="36">
        <v>1</v>
      </c>
      <c r="B4886" s="18" t="s">
        <v>190</v>
      </c>
      <c r="C4886" s="5">
        <v>6203</v>
      </c>
      <c r="D4886" s="18" t="s">
        <v>11</v>
      </c>
      <c r="E4886" s="18">
        <v>2.0499999999999998</v>
      </c>
      <c r="F4886" s="6">
        <v>293000</v>
      </c>
      <c r="G4886" s="37">
        <f t="shared" ref="G4886:G4888" si="309">IFERROR(E4886*F4886,0)</f>
        <v>600650</v>
      </c>
      <c r="H4886" s="38"/>
      <c r="I4886" s="32"/>
      <c r="J4886" s="32"/>
      <c r="K4886" s="32"/>
      <c r="L4886" s="32"/>
      <c r="M4886" s="32"/>
      <c r="N4886" s="32"/>
      <c r="O4886" s="32"/>
      <c r="P4886" s="32"/>
      <c r="Q4886" s="32"/>
      <c r="R4886" s="32"/>
      <c r="S4886" s="32"/>
      <c r="T4886" s="32"/>
      <c r="U4886" s="32"/>
      <c r="V4886" s="32"/>
      <c r="W4886" s="32"/>
      <c r="X4886" s="32"/>
      <c r="Y4886" s="32"/>
      <c r="Z4886" s="32"/>
    </row>
    <row r="4887" spans="1:26" ht="14.25" customHeight="1">
      <c r="A4887" s="36">
        <v>2</v>
      </c>
      <c r="B4887" s="12" t="s">
        <v>1194</v>
      </c>
      <c r="C4887" s="10" t="s">
        <v>1195</v>
      </c>
      <c r="D4887" s="12" t="s">
        <v>233</v>
      </c>
      <c r="E4887" s="12">
        <v>1.65</v>
      </c>
      <c r="F4887" s="43">
        <v>435000</v>
      </c>
      <c r="G4887" s="37">
        <f t="shared" si="309"/>
        <v>717750</v>
      </c>
      <c r="H4887" s="38"/>
      <c r="I4887" s="32"/>
      <c r="J4887" s="32"/>
      <c r="K4887" s="32"/>
      <c r="L4887" s="32"/>
      <c r="M4887" s="32"/>
      <c r="N4887" s="32"/>
      <c r="O4887" s="32"/>
      <c r="P4887" s="32"/>
      <c r="Q4887" s="32"/>
      <c r="R4887" s="32"/>
      <c r="S4887" s="32"/>
      <c r="T4887" s="32"/>
      <c r="U4887" s="32"/>
      <c r="V4887" s="32"/>
      <c r="W4887" s="32"/>
      <c r="X4887" s="32"/>
      <c r="Y4887" s="32"/>
      <c r="Z4887" s="32"/>
    </row>
    <row r="4888" spans="1:26" ht="14.25" customHeight="1">
      <c r="A4888" s="36">
        <v>4</v>
      </c>
      <c r="B4888" s="39" t="s">
        <v>17</v>
      </c>
      <c r="C4888" s="38"/>
      <c r="D4888" s="38"/>
      <c r="E4888" s="38"/>
      <c r="F4888" s="60"/>
      <c r="G4888" s="37">
        <f t="shared" si="309"/>
        <v>0</v>
      </c>
      <c r="H4888" s="38"/>
      <c r="I4888" s="32"/>
      <c r="J4888" s="32"/>
      <c r="K4888" s="32"/>
      <c r="L4888" s="32"/>
      <c r="M4888" s="32"/>
      <c r="N4888" s="32"/>
      <c r="O4888" s="32"/>
      <c r="P4888" s="32"/>
      <c r="Q4888" s="32"/>
      <c r="R4888" s="32"/>
      <c r="S4888" s="32"/>
      <c r="T4888" s="32"/>
      <c r="U4888" s="32"/>
      <c r="V4888" s="32"/>
      <c r="W4888" s="32"/>
      <c r="X4888" s="32"/>
      <c r="Y4888" s="32"/>
      <c r="Z4888" s="32"/>
    </row>
    <row r="4889" spans="1:26" ht="14.25" customHeight="1">
      <c r="A4889" s="83" t="s">
        <v>18</v>
      </c>
      <c r="B4889" s="81"/>
      <c r="C4889" s="81"/>
      <c r="D4889" s="81"/>
      <c r="E4889" s="81"/>
      <c r="F4889" s="81"/>
      <c r="G4889" s="82"/>
      <c r="H4889" s="41">
        <f>SUM(G4886:G4888)</f>
        <v>1318400</v>
      </c>
      <c r="I4889" s="32"/>
      <c r="J4889" s="32"/>
      <c r="K4889" s="32"/>
      <c r="L4889" s="32"/>
      <c r="M4889" s="32"/>
      <c r="N4889" s="32"/>
      <c r="O4889" s="32"/>
      <c r="P4889" s="32"/>
      <c r="Q4889" s="32"/>
      <c r="R4889" s="32"/>
      <c r="S4889" s="32"/>
      <c r="T4889" s="32"/>
      <c r="U4889" s="32"/>
      <c r="V4889" s="32"/>
      <c r="W4889" s="32"/>
      <c r="X4889" s="32"/>
      <c r="Y4889" s="32"/>
      <c r="Z4889" s="32"/>
    </row>
    <row r="4890" spans="1:26" ht="14.25" customHeight="1">
      <c r="A4890" s="83" t="s">
        <v>19</v>
      </c>
      <c r="B4890" s="81"/>
      <c r="C4890" s="81"/>
      <c r="D4890" s="81"/>
      <c r="E4890" s="81"/>
      <c r="F4890" s="81"/>
      <c r="G4890" s="82"/>
      <c r="H4890" s="41">
        <f>MAX(0,H4889-648000)</f>
        <v>670400</v>
      </c>
      <c r="I4890" s="32"/>
      <c r="J4890" s="32"/>
      <c r="K4890" s="32"/>
      <c r="L4890" s="32"/>
      <c r="M4890" s="32"/>
      <c r="N4890" s="32"/>
      <c r="O4890" s="32"/>
      <c r="P4890" s="32"/>
      <c r="Q4890" s="32"/>
      <c r="R4890" s="32"/>
      <c r="S4890" s="32"/>
      <c r="T4890" s="32"/>
      <c r="U4890" s="32"/>
      <c r="V4890" s="32"/>
      <c r="W4890" s="32"/>
      <c r="X4890" s="32"/>
      <c r="Y4890" s="32"/>
      <c r="Z4890" s="32"/>
    </row>
    <row r="4891" spans="1:26" ht="14.25" customHeight="1">
      <c r="A4891" s="84" t="s">
        <v>20</v>
      </c>
      <c r="B4891" s="81"/>
      <c r="C4891" s="81"/>
      <c r="D4891" s="81"/>
      <c r="E4891" s="81"/>
      <c r="F4891" s="81"/>
      <c r="G4891" s="82"/>
      <c r="H4891" s="42">
        <v>649000</v>
      </c>
      <c r="I4891" s="32"/>
      <c r="J4891" s="32"/>
      <c r="K4891" s="32"/>
      <c r="L4891" s="32"/>
      <c r="M4891" s="32"/>
      <c r="N4891" s="32"/>
      <c r="O4891" s="32"/>
      <c r="P4891" s="32"/>
      <c r="Q4891" s="32"/>
      <c r="R4891" s="32"/>
      <c r="S4891" s="32"/>
      <c r="T4891" s="32"/>
      <c r="U4891" s="32"/>
      <c r="V4891" s="32"/>
      <c r="W4891" s="32"/>
      <c r="X4891" s="32"/>
      <c r="Y4891" s="32"/>
      <c r="Z4891" s="32"/>
    </row>
    <row r="4892" spans="1:26" ht="14.25" customHeight="1">
      <c r="A4892" s="80"/>
      <c r="B4892" s="81"/>
      <c r="C4892" s="81"/>
      <c r="D4892" s="81"/>
      <c r="E4892" s="81"/>
      <c r="F4892" s="81"/>
      <c r="G4892" s="81"/>
      <c r="H4892" s="82"/>
      <c r="I4892" s="32"/>
      <c r="J4892" s="32"/>
      <c r="K4892" s="32"/>
      <c r="L4892" s="32"/>
      <c r="M4892" s="32"/>
      <c r="N4892" s="32"/>
      <c r="O4892" s="32"/>
      <c r="P4892" s="32"/>
      <c r="Q4892" s="32"/>
      <c r="R4892" s="32"/>
      <c r="S4892" s="32"/>
      <c r="T4892" s="32"/>
      <c r="U4892" s="32"/>
      <c r="V4892" s="32"/>
      <c r="W4892" s="32"/>
      <c r="X4892" s="32"/>
      <c r="Y4892" s="32"/>
      <c r="Z4892" s="32"/>
    </row>
    <row r="4893" spans="1:26" ht="14.25" customHeight="1"/>
    <row r="4894" spans="1:26" ht="14.25" customHeight="1"/>
    <row r="4895" spans="1:26" ht="14.25" customHeight="1"/>
    <row r="4896" spans="1:26" ht="14.25" customHeight="1"/>
    <row r="4897" spans="1:26" ht="14.25" customHeight="1"/>
    <row r="4898" spans="1:26" ht="14.25" customHeight="1"/>
    <row r="4899" spans="1:26" ht="14.25" customHeight="1">
      <c r="A4899" s="80" t="s">
        <v>0</v>
      </c>
      <c r="B4899" s="81"/>
      <c r="C4899" s="81"/>
      <c r="D4899" s="81"/>
      <c r="E4899" s="81"/>
      <c r="F4899" s="81"/>
      <c r="G4899" s="81"/>
      <c r="H4899" s="82"/>
      <c r="I4899" s="32"/>
      <c r="J4899" s="32"/>
      <c r="K4899" s="32"/>
      <c r="L4899" s="32"/>
      <c r="M4899" s="32"/>
      <c r="N4899" s="32"/>
      <c r="O4899" s="32"/>
      <c r="P4899" s="32"/>
      <c r="Q4899" s="32"/>
      <c r="R4899" s="32"/>
      <c r="S4899" s="32"/>
      <c r="T4899" s="32"/>
      <c r="U4899" s="32"/>
      <c r="V4899" s="32"/>
      <c r="W4899" s="32"/>
      <c r="X4899" s="32"/>
      <c r="Y4899" s="32"/>
      <c r="Z4899" s="32"/>
    </row>
    <row r="4900" spans="1:26" ht="14.25" customHeight="1">
      <c r="A4900" s="80" t="s">
        <v>1196</v>
      </c>
      <c r="B4900" s="81"/>
      <c r="C4900" s="81"/>
      <c r="D4900" s="81"/>
      <c r="E4900" s="81"/>
      <c r="F4900" s="81"/>
      <c r="G4900" s="81"/>
      <c r="H4900" s="82"/>
      <c r="I4900" s="32"/>
      <c r="J4900" s="32"/>
      <c r="K4900" s="32"/>
      <c r="L4900" s="32"/>
      <c r="M4900" s="32"/>
      <c r="N4900" s="32"/>
      <c r="O4900" s="32"/>
      <c r="P4900" s="32"/>
      <c r="Q4900" s="32"/>
      <c r="R4900" s="32"/>
      <c r="S4900" s="32"/>
      <c r="T4900" s="32"/>
      <c r="U4900" s="32"/>
      <c r="V4900" s="32"/>
      <c r="W4900" s="32"/>
      <c r="X4900" s="32"/>
      <c r="Y4900" s="32"/>
      <c r="Z4900" s="32"/>
    </row>
    <row r="4901" spans="1:26" ht="14.25" customHeight="1">
      <c r="A4901" s="33" t="s">
        <v>2</v>
      </c>
      <c r="B4901" s="33" t="s">
        <v>3</v>
      </c>
      <c r="C4901" s="33" t="s">
        <v>4</v>
      </c>
      <c r="D4901" s="33" t="s">
        <v>5</v>
      </c>
      <c r="E4901" s="33" t="s">
        <v>6</v>
      </c>
      <c r="F4901" s="34" t="s">
        <v>7</v>
      </c>
      <c r="G4901" s="33" t="s">
        <v>8</v>
      </c>
      <c r="H4901" s="35"/>
      <c r="I4901" s="32"/>
      <c r="J4901" s="32"/>
      <c r="K4901" s="32"/>
      <c r="L4901" s="32"/>
      <c r="M4901" s="32"/>
      <c r="N4901" s="32"/>
      <c r="O4901" s="32"/>
      <c r="P4901" s="32"/>
      <c r="Q4901" s="32"/>
      <c r="R4901" s="32"/>
      <c r="S4901" s="32"/>
      <c r="T4901" s="32"/>
      <c r="U4901" s="32"/>
      <c r="V4901" s="32"/>
      <c r="W4901" s="32"/>
      <c r="X4901" s="32"/>
      <c r="Y4901" s="32"/>
      <c r="Z4901" s="32"/>
    </row>
    <row r="4902" spans="1:26" ht="14.25" customHeight="1">
      <c r="A4902" s="36">
        <v>1</v>
      </c>
      <c r="B4902" s="18" t="s">
        <v>1197</v>
      </c>
      <c r="C4902" s="5"/>
      <c r="D4902" s="18" t="s">
        <v>11</v>
      </c>
      <c r="E4902" s="18"/>
      <c r="F4902" s="6">
        <v>293000</v>
      </c>
      <c r="G4902" s="37">
        <f t="shared" ref="G4902:G4904" si="310">IFERROR(E4902*F4902,0)</f>
        <v>0</v>
      </c>
      <c r="H4902" s="38"/>
      <c r="I4902" s="32"/>
      <c r="J4902" s="32"/>
      <c r="K4902" s="32"/>
      <c r="L4902" s="32"/>
      <c r="M4902" s="32"/>
      <c r="N4902" s="32"/>
      <c r="O4902" s="32"/>
      <c r="P4902" s="32"/>
      <c r="Q4902" s="32"/>
      <c r="R4902" s="32"/>
      <c r="S4902" s="32"/>
      <c r="T4902" s="32"/>
      <c r="U4902" s="32"/>
      <c r="V4902" s="32"/>
      <c r="W4902" s="32"/>
      <c r="X4902" s="32"/>
      <c r="Y4902" s="32"/>
      <c r="Z4902" s="32"/>
    </row>
    <row r="4903" spans="1:26" ht="14.25" customHeight="1">
      <c r="A4903" s="36">
        <v>2</v>
      </c>
      <c r="B4903" s="12" t="s">
        <v>1198</v>
      </c>
      <c r="C4903" s="10" t="s">
        <v>1199</v>
      </c>
      <c r="D4903" s="12" t="s">
        <v>233</v>
      </c>
      <c r="E4903" s="12">
        <v>1.8</v>
      </c>
      <c r="F4903" s="43">
        <v>435000</v>
      </c>
      <c r="G4903" s="37">
        <f t="shared" si="310"/>
        <v>783000</v>
      </c>
      <c r="H4903" s="38"/>
      <c r="I4903" s="32"/>
      <c r="J4903" s="32"/>
      <c r="K4903" s="32"/>
      <c r="L4903" s="32"/>
      <c r="M4903" s="32"/>
      <c r="N4903" s="32"/>
      <c r="O4903" s="32"/>
      <c r="P4903" s="32"/>
      <c r="Q4903" s="32"/>
      <c r="R4903" s="32"/>
      <c r="S4903" s="32"/>
      <c r="T4903" s="32"/>
      <c r="U4903" s="32"/>
      <c r="V4903" s="32"/>
      <c r="W4903" s="32"/>
      <c r="X4903" s="32"/>
      <c r="Y4903" s="32"/>
      <c r="Z4903" s="32"/>
    </row>
    <row r="4904" spans="1:26" ht="14.25" customHeight="1">
      <c r="A4904" s="36">
        <v>4</v>
      </c>
      <c r="B4904" s="39"/>
      <c r="C4904" s="38"/>
      <c r="D4904" s="38"/>
      <c r="E4904" s="38"/>
      <c r="F4904" s="60"/>
      <c r="G4904" s="37">
        <f t="shared" si="310"/>
        <v>0</v>
      </c>
      <c r="H4904" s="38"/>
      <c r="I4904" s="32"/>
      <c r="J4904" s="32"/>
      <c r="K4904" s="32"/>
      <c r="L4904" s="32"/>
      <c r="M4904" s="32"/>
      <c r="N4904" s="32"/>
      <c r="O4904" s="32"/>
      <c r="P4904" s="32"/>
      <c r="Q4904" s="32"/>
      <c r="R4904" s="32"/>
      <c r="S4904" s="32"/>
      <c r="T4904" s="32"/>
      <c r="U4904" s="32"/>
      <c r="V4904" s="32"/>
      <c r="W4904" s="32"/>
      <c r="X4904" s="32"/>
      <c r="Y4904" s="32"/>
      <c r="Z4904" s="32"/>
    </row>
    <row r="4905" spans="1:26" ht="14.25" customHeight="1">
      <c r="A4905" s="83" t="s">
        <v>18</v>
      </c>
      <c r="B4905" s="81"/>
      <c r="C4905" s="81"/>
      <c r="D4905" s="81"/>
      <c r="E4905" s="81"/>
      <c r="F4905" s="81"/>
      <c r="G4905" s="82"/>
      <c r="H4905" s="41">
        <f>SUM(G4902:G4904)</f>
        <v>783000</v>
      </c>
      <c r="I4905" s="32"/>
      <c r="J4905" s="32"/>
      <c r="K4905" s="32"/>
      <c r="L4905" s="32"/>
      <c r="M4905" s="32"/>
      <c r="N4905" s="32"/>
      <c r="O4905" s="32"/>
      <c r="P4905" s="32"/>
      <c r="Q4905" s="32"/>
      <c r="R4905" s="32"/>
      <c r="S4905" s="32"/>
      <c r="T4905" s="32"/>
      <c r="U4905" s="32"/>
      <c r="V4905" s="32"/>
      <c r="W4905" s="32"/>
      <c r="X4905" s="32"/>
      <c r="Y4905" s="32"/>
      <c r="Z4905" s="32"/>
    </row>
    <row r="4906" spans="1:26" ht="14.25" customHeight="1">
      <c r="A4906" s="83" t="s">
        <v>19</v>
      </c>
      <c r="B4906" s="81"/>
      <c r="C4906" s="81"/>
      <c r="D4906" s="81"/>
      <c r="E4906" s="81"/>
      <c r="F4906" s="81"/>
      <c r="G4906" s="82"/>
      <c r="H4906" s="41">
        <f>MAX(0,H4905-648000)</f>
        <v>135000</v>
      </c>
      <c r="I4906" s="32"/>
      <c r="J4906" s="32"/>
      <c r="K4906" s="32"/>
      <c r="L4906" s="32"/>
      <c r="M4906" s="32"/>
      <c r="N4906" s="32"/>
      <c r="O4906" s="32"/>
      <c r="P4906" s="32"/>
      <c r="Q4906" s="32"/>
      <c r="R4906" s="32"/>
      <c r="S4906" s="32"/>
      <c r="T4906" s="32"/>
      <c r="U4906" s="32"/>
      <c r="V4906" s="32"/>
      <c r="W4906" s="32"/>
      <c r="X4906" s="32"/>
      <c r="Y4906" s="32"/>
      <c r="Z4906" s="32"/>
    </row>
    <row r="4907" spans="1:26" ht="14.25" customHeight="1">
      <c r="A4907" s="84" t="s">
        <v>20</v>
      </c>
      <c r="B4907" s="81"/>
      <c r="C4907" s="81"/>
      <c r="D4907" s="81"/>
      <c r="E4907" s="81"/>
      <c r="F4907" s="81"/>
      <c r="G4907" s="82"/>
      <c r="H4907" s="42">
        <v>649000</v>
      </c>
      <c r="I4907" s="32"/>
      <c r="J4907" s="32"/>
      <c r="K4907" s="32"/>
      <c r="L4907" s="32"/>
      <c r="M4907" s="32"/>
      <c r="N4907" s="32"/>
      <c r="O4907" s="32"/>
      <c r="P4907" s="32"/>
      <c r="Q4907" s="32"/>
      <c r="R4907" s="32"/>
      <c r="S4907" s="32"/>
      <c r="T4907" s="32"/>
      <c r="U4907" s="32"/>
      <c r="V4907" s="32"/>
      <c r="W4907" s="32"/>
      <c r="X4907" s="32"/>
      <c r="Y4907" s="32"/>
      <c r="Z4907" s="32"/>
    </row>
    <row r="4908" spans="1:26" ht="14.25" customHeight="1">
      <c r="A4908" s="80"/>
      <c r="B4908" s="81"/>
      <c r="C4908" s="81"/>
      <c r="D4908" s="81"/>
      <c r="E4908" s="81"/>
      <c r="F4908" s="81"/>
      <c r="G4908" s="81"/>
      <c r="H4908" s="82"/>
      <c r="I4908" s="32"/>
      <c r="J4908" s="32"/>
      <c r="K4908" s="32"/>
      <c r="L4908" s="32"/>
      <c r="M4908" s="32"/>
      <c r="N4908" s="32"/>
      <c r="O4908" s="32"/>
      <c r="P4908" s="32"/>
      <c r="Q4908" s="32"/>
      <c r="R4908" s="32"/>
      <c r="S4908" s="32"/>
      <c r="T4908" s="32"/>
      <c r="U4908" s="32"/>
      <c r="V4908" s="32"/>
      <c r="W4908" s="32"/>
      <c r="X4908" s="32"/>
      <c r="Y4908" s="32"/>
      <c r="Z4908" s="32"/>
    </row>
    <row r="4909" spans="1:26" ht="14.25" customHeight="1"/>
    <row r="4910" spans="1:26" ht="14.25" customHeight="1"/>
    <row r="4911" spans="1:26" ht="14.25" customHeight="1"/>
    <row r="4912" spans="1:26" ht="14.25" customHeight="1"/>
    <row r="4913" spans="1:26" ht="14.25" customHeight="1"/>
    <row r="4914" spans="1:26" ht="14.25" customHeight="1"/>
    <row r="4915" spans="1:26" ht="14.25" customHeight="1">
      <c r="A4915" s="80" t="s">
        <v>0</v>
      </c>
      <c r="B4915" s="81"/>
      <c r="C4915" s="81"/>
      <c r="D4915" s="81"/>
      <c r="E4915" s="81"/>
      <c r="F4915" s="81"/>
      <c r="G4915" s="81"/>
      <c r="H4915" s="82"/>
      <c r="I4915" s="32"/>
      <c r="J4915" s="32"/>
      <c r="K4915" s="32"/>
      <c r="L4915" s="32"/>
      <c r="M4915" s="32"/>
      <c r="N4915" s="32"/>
      <c r="O4915" s="32"/>
      <c r="P4915" s="32"/>
      <c r="Q4915" s="32"/>
      <c r="R4915" s="32"/>
      <c r="S4915" s="32"/>
      <c r="T4915" s="32"/>
      <c r="U4915" s="32"/>
      <c r="V4915" s="32"/>
      <c r="W4915" s="32"/>
      <c r="X4915" s="32"/>
      <c r="Y4915" s="32"/>
      <c r="Z4915" s="32"/>
    </row>
    <row r="4916" spans="1:26" ht="14.25" customHeight="1">
      <c r="A4916" s="80" t="s">
        <v>1200</v>
      </c>
      <c r="B4916" s="81"/>
      <c r="C4916" s="81"/>
      <c r="D4916" s="81"/>
      <c r="E4916" s="81"/>
      <c r="F4916" s="81"/>
      <c r="G4916" s="81"/>
      <c r="H4916" s="82"/>
      <c r="I4916" s="32"/>
      <c r="J4916" s="32"/>
      <c r="K4916" s="32"/>
      <c r="L4916" s="32"/>
      <c r="M4916" s="32"/>
      <c r="N4916" s="32"/>
      <c r="O4916" s="32"/>
      <c r="P4916" s="32"/>
      <c r="Q4916" s="32"/>
      <c r="R4916" s="32"/>
      <c r="S4916" s="32"/>
      <c r="T4916" s="32"/>
      <c r="U4916" s="32"/>
      <c r="V4916" s="32"/>
      <c r="W4916" s="32"/>
      <c r="X4916" s="32"/>
      <c r="Y4916" s="32"/>
      <c r="Z4916" s="32"/>
    </row>
    <row r="4917" spans="1:26" ht="14.25" customHeight="1">
      <c r="A4917" s="33" t="s">
        <v>2</v>
      </c>
      <c r="B4917" s="33" t="s">
        <v>3</v>
      </c>
      <c r="C4917" s="33" t="s">
        <v>4</v>
      </c>
      <c r="D4917" s="33" t="s">
        <v>5</v>
      </c>
      <c r="E4917" s="33" t="s">
        <v>6</v>
      </c>
      <c r="F4917" s="34" t="s">
        <v>7</v>
      </c>
      <c r="G4917" s="33" t="s">
        <v>8</v>
      </c>
      <c r="H4917" s="35"/>
      <c r="I4917" s="32"/>
      <c r="J4917" s="32"/>
      <c r="K4917" s="32"/>
      <c r="L4917" s="32"/>
      <c r="M4917" s="32"/>
      <c r="N4917" s="32"/>
      <c r="O4917" s="32"/>
      <c r="P4917" s="32"/>
      <c r="Q4917" s="32"/>
      <c r="R4917" s="32"/>
      <c r="S4917" s="32"/>
      <c r="T4917" s="32"/>
      <c r="U4917" s="32"/>
      <c r="V4917" s="32"/>
      <c r="W4917" s="32"/>
      <c r="X4917" s="32"/>
      <c r="Y4917" s="32"/>
      <c r="Z4917" s="32"/>
    </row>
    <row r="4918" spans="1:26" ht="14.25" customHeight="1">
      <c r="A4918" s="36">
        <v>1</v>
      </c>
      <c r="B4918" s="18" t="s">
        <v>984</v>
      </c>
      <c r="C4918" s="5">
        <v>6150</v>
      </c>
      <c r="D4918" s="18" t="s">
        <v>11</v>
      </c>
      <c r="E4918" s="18">
        <v>1.8</v>
      </c>
      <c r="F4918" s="6">
        <v>293000</v>
      </c>
      <c r="G4918" s="37">
        <f t="shared" ref="G4918:G4920" si="311">IFERROR(E4918*F4918,0)</f>
        <v>527400</v>
      </c>
      <c r="H4918" s="38"/>
      <c r="I4918" s="32"/>
      <c r="J4918" s="32"/>
      <c r="K4918" s="32"/>
      <c r="L4918" s="32"/>
      <c r="M4918" s="32"/>
      <c r="N4918" s="32"/>
      <c r="O4918" s="32"/>
      <c r="P4918" s="32"/>
      <c r="Q4918" s="32"/>
      <c r="R4918" s="32"/>
      <c r="S4918" s="32"/>
      <c r="T4918" s="32"/>
      <c r="U4918" s="32"/>
      <c r="V4918" s="32"/>
      <c r="W4918" s="32"/>
      <c r="X4918" s="32"/>
      <c r="Y4918" s="32"/>
      <c r="Z4918" s="32"/>
    </row>
    <row r="4919" spans="1:26" ht="14.25" customHeight="1">
      <c r="A4919" s="36">
        <v>2</v>
      </c>
      <c r="B4919" s="12" t="s">
        <v>33</v>
      </c>
      <c r="C4919" s="10">
        <v>8173</v>
      </c>
      <c r="D4919" s="12" t="s">
        <v>233</v>
      </c>
      <c r="E4919" s="12">
        <v>1.85</v>
      </c>
      <c r="F4919" s="43">
        <v>435000</v>
      </c>
      <c r="G4919" s="37">
        <f t="shared" si="311"/>
        <v>804750</v>
      </c>
      <c r="H4919" s="38"/>
      <c r="I4919" s="32"/>
      <c r="J4919" s="32"/>
      <c r="K4919" s="32"/>
      <c r="L4919" s="32"/>
      <c r="M4919" s="32"/>
      <c r="N4919" s="32"/>
      <c r="O4919" s="32"/>
      <c r="P4919" s="32"/>
      <c r="Q4919" s="32"/>
      <c r="R4919" s="32"/>
      <c r="S4919" s="32"/>
      <c r="T4919" s="32"/>
      <c r="U4919" s="32"/>
      <c r="V4919" s="32"/>
      <c r="W4919" s="32"/>
      <c r="X4919" s="32"/>
      <c r="Y4919" s="32"/>
      <c r="Z4919" s="32"/>
    </row>
    <row r="4920" spans="1:26" ht="14.25" customHeight="1">
      <c r="A4920" s="36">
        <v>4</v>
      </c>
      <c r="B4920" s="39" t="s">
        <v>17</v>
      </c>
      <c r="C4920" s="38"/>
      <c r="D4920" s="38"/>
      <c r="E4920" s="38"/>
      <c r="F4920" s="60"/>
      <c r="G4920" s="37">
        <f t="shared" si="311"/>
        <v>0</v>
      </c>
      <c r="H4920" s="38"/>
      <c r="I4920" s="32"/>
      <c r="J4920" s="32"/>
      <c r="K4920" s="32"/>
      <c r="L4920" s="32"/>
      <c r="M4920" s="32"/>
      <c r="N4920" s="32"/>
      <c r="O4920" s="32"/>
      <c r="P4920" s="32"/>
      <c r="Q4920" s="32"/>
      <c r="R4920" s="32"/>
      <c r="S4920" s="32"/>
      <c r="T4920" s="32"/>
      <c r="U4920" s="32"/>
      <c r="V4920" s="32"/>
      <c r="W4920" s="32"/>
      <c r="X4920" s="32"/>
      <c r="Y4920" s="32"/>
      <c r="Z4920" s="32"/>
    </row>
    <row r="4921" spans="1:26" ht="14.25" customHeight="1">
      <c r="A4921" s="83" t="s">
        <v>18</v>
      </c>
      <c r="B4921" s="81"/>
      <c r="C4921" s="81"/>
      <c r="D4921" s="81"/>
      <c r="E4921" s="81"/>
      <c r="F4921" s="81"/>
      <c r="G4921" s="82"/>
      <c r="H4921" s="41">
        <f>SUM(G4918:G4920)</f>
        <v>1332150</v>
      </c>
      <c r="I4921" s="32"/>
      <c r="J4921" s="32"/>
      <c r="K4921" s="32"/>
      <c r="L4921" s="32"/>
      <c r="M4921" s="32"/>
      <c r="N4921" s="32"/>
      <c r="O4921" s="32"/>
      <c r="P4921" s="32"/>
      <c r="Q4921" s="32"/>
      <c r="R4921" s="32"/>
      <c r="S4921" s="32"/>
      <c r="T4921" s="32"/>
      <c r="U4921" s="32"/>
      <c r="V4921" s="32"/>
      <c r="W4921" s="32"/>
      <c r="X4921" s="32"/>
      <c r="Y4921" s="32"/>
      <c r="Z4921" s="32"/>
    </row>
    <row r="4922" spans="1:26" ht="14.25" customHeight="1">
      <c r="A4922" s="83" t="s">
        <v>19</v>
      </c>
      <c r="B4922" s="81"/>
      <c r="C4922" s="81"/>
      <c r="D4922" s="81"/>
      <c r="E4922" s="81"/>
      <c r="F4922" s="81"/>
      <c r="G4922" s="82"/>
      <c r="H4922" s="41">
        <f>MAX(0,H4921-648000)</f>
        <v>684150</v>
      </c>
      <c r="I4922" s="32"/>
      <c r="J4922" s="32"/>
      <c r="K4922" s="32"/>
      <c r="L4922" s="32"/>
      <c r="M4922" s="32"/>
      <c r="N4922" s="32"/>
      <c r="O4922" s="32"/>
      <c r="P4922" s="32"/>
      <c r="Q4922" s="32"/>
      <c r="R4922" s="32"/>
      <c r="S4922" s="32"/>
      <c r="T4922" s="32"/>
      <c r="U4922" s="32"/>
      <c r="V4922" s="32"/>
      <c r="W4922" s="32"/>
      <c r="X4922" s="32"/>
      <c r="Y4922" s="32"/>
      <c r="Z4922" s="32"/>
    </row>
    <row r="4923" spans="1:26" ht="14.25" customHeight="1">
      <c r="A4923" s="84" t="s">
        <v>20</v>
      </c>
      <c r="B4923" s="81"/>
      <c r="C4923" s="81"/>
      <c r="D4923" s="81"/>
      <c r="E4923" s="81"/>
      <c r="F4923" s="81"/>
      <c r="G4923" s="82"/>
      <c r="H4923" s="42">
        <v>649000</v>
      </c>
      <c r="I4923" s="32"/>
      <c r="J4923" s="32"/>
      <c r="K4923" s="32"/>
      <c r="L4923" s="32"/>
      <c r="M4923" s="32"/>
      <c r="N4923" s="32"/>
      <c r="O4923" s="32"/>
      <c r="P4923" s="32"/>
      <c r="Q4923" s="32"/>
      <c r="R4923" s="32"/>
      <c r="S4923" s="32"/>
      <c r="T4923" s="32"/>
      <c r="U4923" s="32"/>
      <c r="V4923" s="32"/>
      <c r="W4923" s="32"/>
      <c r="X4923" s="32"/>
      <c r="Y4923" s="32"/>
      <c r="Z4923" s="32"/>
    </row>
    <row r="4924" spans="1:26" ht="14.25" customHeight="1">
      <c r="A4924" s="80"/>
      <c r="B4924" s="81"/>
      <c r="C4924" s="81"/>
      <c r="D4924" s="81"/>
      <c r="E4924" s="81"/>
      <c r="F4924" s="81"/>
      <c r="G4924" s="81"/>
      <c r="H4924" s="82"/>
      <c r="I4924" s="32"/>
      <c r="J4924" s="32"/>
      <c r="K4924" s="32"/>
      <c r="L4924" s="32"/>
      <c r="M4924" s="32"/>
      <c r="N4924" s="32"/>
      <c r="O4924" s="32"/>
      <c r="P4924" s="32"/>
      <c r="Q4924" s="32"/>
      <c r="R4924" s="32"/>
      <c r="S4924" s="32"/>
      <c r="T4924" s="32"/>
      <c r="U4924" s="32"/>
      <c r="V4924" s="32"/>
      <c r="W4924" s="32"/>
      <c r="X4924" s="32"/>
      <c r="Y4924" s="32"/>
      <c r="Z4924" s="32"/>
    </row>
    <row r="4925" spans="1:26" ht="14.25" customHeight="1"/>
    <row r="4926" spans="1:26" ht="14.25" customHeight="1"/>
    <row r="4927" spans="1:26" ht="14.25" customHeight="1"/>
    <row r="4928" spans="1:26" ht="14.25" customHeight="1"/>
    <row r="4929" spans="1:26" ht="14.25" customHeight="1"/>
    <row r="4930" spans="1:26" ht="14.25" customHeight="1"/>
    <row r="4931" spans="1:26" ht="14.25" customHeight="1">
      <c r="A4931" s="80" t="s">
        <v>0</v>
      </c>
      <c r="B4931" s="81"/>
      <c r="C4931" s="81"/>
      <c r="D4931" s="81"/>
      <c r="E4931" s="81"/>
      <c r="F4931" s="81"/>
      <c r="G4931" s="81"/>
      <c r="H4931" s="82"/>
      <c r="I4931" s="32"/>
      <c r="J4931" s="32"/>
      <c r="K4931" s="32"/>
      <c r="L4931" s="32"/>
      <c r="M4931" s="32"/>
      <c r="N4931" s="32"/>
      <c r="O4931" s="32"/>
      <c r="P4931" s="32"/>
      <c r="Q4931" s="32"/>
      <c r="R4931" s="32"/>
      <c r="S4931" s="32"/>
      <c r="T4931" s="32"/>
      <c r="U4931" s="32"/>
      <c r="V4931" s="32"/>
      <c r="W4931" s="32"/>
      <c r="X4931" s="32"/>
      <c r="Y4931" s="32"/>
      <c r="Z4931" s="32"/>
    </row>
    <row r="4932" spans="1:26" ht="14.25" customHeight="1">
      <c r="A4932" s="80" t="s">
        <v>1201</v>
      </c>
      <c r="B4932" s="81"/>
      <c r="C4932" s="81"/>
      <c r="D4932" s="81"/>
      <c r="E4932" s="81"/>
      <c r="F4932" s="81"/>
      <c r="G4932" s="81"/>
      <c r="H4932" s="82"/>
      <c r="I4932" s="32"/>
      <c r="J4932" s="32"/>
      <c r="K4932" s="32"/>
      <c r="L4932" s="32"/>
      <c r="M4932" s="32"/>
      <c r="N4932" s="32"/>
      <c r="O4932" s="32"/>
      <c r="P4932" s="32"/>
      <c r="Q4932" s="32"/>
      <c r="R4932" s="32"/>
      <c r="S4932" s="32"/>
      <c r="T4932" s="32"/>
      <c r="U4932" s="32"/>
      <c r="V4932" s="32"/>
      <c r="W4932" s="32"/>
      <c r="X4932" s="32"/>
      <c r="Y4932" s="32"/>
      <c r="Z4932" s="32"/>
    </row>
    <row r="4933" spans="1:26" ht="14.25" customHeight="1">
      <c r="A4933" s="33" t="s">
        <v>2</v>
      </c>
      <c r="B4933" s="33" t="s">
        <v>3</v>
      </c>
      <c r="C4933" s="33" t="s">
        <v>4</v>
      </c>
      <c r="D4933" s="33" t="s">
        <v>5</v>
      </c>
      <c r="E4933" s="33" t="s">
        <v>6</v>
      </c>
      <c r="F4933" s="34" t="s">
        <v>7</v>
      </c>
      <c r="G4933" s="33" t="s">
        <v>8</v>
      </c>
      <c r="H4933" s="35"/>
      <c r="I4933" s="32"/>
      <c r="J4933" s="32"/>
      <c r="K4933" s="32"/>
      <c r="L4933" s="32"/>
      <c r="M4933" s="32"/>
      <c r="N4933" s="32"/>
      <c r="O4933" s="32"/>
      <c r="P4933" s="32"/>
      <c r="Q4933" s="32"/>
      <c r="R4933" s="32"/>
      <c r="S4933" s="32"/>
      <c r="T4933" s="32"/>
      <c r="U4933" s="32"/>
      <c r="V4933" s="32"/>
      <c r="W4933" s="32"/>
      <c r="X4933" s="32"/>
      <c r="Y4933" s="32"/>
      <c r="Z4933" s="32"/>
    </row>
    <row r="4934" spans="1:26" ht="14.25" customHeight="1">
      <c r="A4934" s="36">
        <v>1</v>
      </c>
      <c r="B4934" s="18" t="s">
        <v>1202</v>
      </c>
      <c r="C4934" s="5" t="s">
        <v>1203</v>
      </c>
      <c r="D4934" s="18" t="s">
        <v>11</v>
      </c>
      <c r="E4934" s="18">
        <v>1.6</v>
      </c>
      <c r="F4934" s="6">
        <v>293000</v>
      </c>
      <c r="G4934" s="37">
        <f t="shared" ref="G4934:G4936" si="312">IFERROR(E4934*F4934,0)</f>
        <v>468800</v>
      </c>
      <c r="H4934" s="38"/>
      <c r="I4934" s="32"/>
      <c r="J4934" s="32"/>
      <c r="K4934" s="32"/>
      <c r="L4934" s="32"/>
      <c r="M4934" s="32"/>
      <c r="N4934" s="32"/>
      <c r="O4934" s="32"/>
      <c r="P4934" s="32"/>
      <c r="Q4934" s="32"/>
      <c r="R4934" s="32"/>
      <c r="S4934" s="32"/>
      <c r="T4934" s="32"/>
      <c r="U4934" s="32"/>
      <c r="V4934" s="32"/>
      <c r="W4934" s="32"/>
      <c r="X4934" s="32"/>
      <c r="Y4934" s="32"/>
      <c r="Z4934" s="32"/>
    </row>
    <row r="4935" spans="1:26" ht="14.25" customHeight="1">
      <c r="A4935" s="36">
        <v>2</v>
      </c>
      <c r="B4935" s="12" t="s">
        <v>1198</v>
      </c>
      <c r="C4935" s="10" t="s">
        <v>1199</v>
      </c>
      <c r="D4935" s="12" t="s">
        <v>233</v>
      </c>
      <c r="E4935" s="12">
        <v>1.75</v>
      </c>
      <c r="F4935" s="43">
        <v>435000</v>
      </c>
      <c r="G4935" s="37">
        <f t="shared" si="312"/>
        <v>761250</v>
      </c>
      <c r="H4935" s="38"/>
      <c r="I4935" s="32"/>
      <c r="J4935" s="32"/>
      <c r="K4935" s="32"/>
      <c r="L4935" s="32"/>
      <c r="M4935" s="32"/>
      <c r="N4935" s="32"/>
      <c r="O4935" s="32"/>
      <c r="P4935" s="32"/>
      <c r="Q4935" s="32"/>
      <c r="R4935" s="32"/>
      <c r="S4935" s="32"/>
      <c r="T4935" s="32"/>
      <c r="U4935" s="32"/>
      <c r="V4935" s="32"/>
      <c r="W4935" s="32"/>
      <c r="X4935" s="32"/>
      <c r="Y4935" s="32"/>
      <c r="Z4935" s="32"/>
    </row>
    <row r="4936" spans="1:26" ht="14.25" customHeight="1">
      <c r="A4936" s="36">
        <v>4</v>
      </c>
      <c r="B4936" s="39" t="s">
        <v>17</v>
      </c>
      <c r="C4936" s="38"/>
      <c r="D4936" s="38"/>
      <c r="E4936" s="38"/>
      <c r="F4936" s="60"/>
      <c r="G4936" s="37">
        <f t="shared" si="312"/>
        <v>0</v>
      </c>
      <c r="H4936" s="38"/>
      <c r="I4936" s="32"/>
      <c r="J4936" s="32"/>
      <c r="K4936" s="32"/>
      <c r="L4936" s="32"/>
      <c r="M4936" s="32"/>
      <c r="N4936" s="32"/>
      <c r="O4936" s="32"/>
      <c r="P4936" s="32"/>
      <c r="Q4936" s="32"/>
      <c r="R4936" s="32"/>
      <c r="S4936" s="32"/>
      <c r="T4936" s="32"/>
      <c r="U4936" s="32"/>
      <c r="V4936" s="32"/>
      <c r="W4936" s="32"/>
      <c r="X4936" s="32"/>
      <c r="Y4936" s="32"/>
      <c r="Z4936" s="32"/>
    </row>
    <row r="4937" spans="1:26" ht="14.25" customHeight="1">
      <c r="A4937" s="83" t="s">
        <v>18</v>
      </c>
      <c r="B4937" s="81"/>
      <c r="C4937" s="81"/>
      <c r="D4937" s="81"/>
      <c r="E4937" s="81"/>
      <c r="F4937" s="81"/>
      <c r="G4937" s="82"/>
      <c r="H4937" s="41">
        <f>SUM(G4934:G4936)</f>
        <v>1230050</v>
      </c>
      <c r="I4937" s="32"/>
      <c r="J4937" s="32"/>
      <c r="K4937" s="32"/>
      <c r="L4937" s="32"/>
      <c r="M4937" s="32"/>
      <c r="N4937" s="32"/>
      <c r="O4937" s="32"/>
      <c r="P4937" s="32"/>
      <c r="Q4937" s="32"/>
      <c r="R4937" s="32"/>
      <c r="S4937" s="32"/>
      <c r="T4937" s="32"/>
      <c r="U4937" s="32"/>
      <c r="V4937" s="32"/>
      <c r="W4937" s="32"/>
      <c r="X4937" s="32"/>
      <c r="Y4937" s="32"/>
      <c r="Z4937" s="32"/>
    </row>
    <row r="4938" spans="1:26" ht="14.25" customHeight="1">
      <c r="A4938" s="83" t="s">
        <v>19</v>
      </c>
      <c r="B4938" s="81"/>
      <c r="C4938" s="81"/>
      <c r="D4938" s="81"/>
      <c r="E4938" s="81"/>
      <c r="F4938" s="81"/>
      <c r="G4938" s="82"/>
      <c r="H4938" s="41">
        <f>MAX(0,H4937-648000)</f>
        <v>582050</v>
      </c>
      <c r="I4938" s="32"/>
      <c r="J4938" s="32"/>
      <c r="K4938" s="32"/>
      <c r="L4938" s="32"/>
      <c r="M4938" s="32"/>
      <c r="N4938" s="32"/>
      <c r="O4938" s="32"/>
      <c r="P4938" s="32"/>
      <c r="Q4938" s="32"/>
      <c r="R4938" s="32"/>
      <c r="S4938" s="32"/>
      <c r="T4938" s="32"/>
      <c r="U4938" s="32"/>
      <c r="V4938" s="32"/>
      <c r="W4938" s="32"/>
      <c r="X4938" s="32"/>
      <c r="Y4938" s="32"/>
      <c r="Z4938" s="32"/>
    </row>
    <row r="4939" spans="1:26" ht="14.25" customHeight="1">
      <c r="A4939" s="84" t="s">
        <v>20</v>
      </c>
      <c r="B4939" s="81"/>
      <c r="C4939" s="81"/>
      <c r="D4939" s="81"/>
      <c r="E4939" s="81"/>
      <c r="F4939" s="81"/>
      <c r="G4939" s="82"/>
      <c r="H4939" s="42">
        <v>649000</v>
      </c>
      <c r="I4939" s="32"/>
      <c r="J4939" s="32"/>
      <c r="K4939" s="32"/>
      <c r="L4939" s="32"/>
      <c r="M4939" s="32"/>
      <c r="N4939" s="32"/>
      <c r="O4939" s="32"/>
      <c r="P4939" s="32"/>
      <c r="Q4939" s="32"/>
      <c r="R4939" s="32"/>
      <c r="S4939" s="32"/>
      <c r="T4939" s="32"/>
      <c r="U4939" s="32"/>
      <c r="V4939" s="32"/>
      <c r="W4939" s="32"/>
      <c r="X4939" s="32"/>
      <c r="Y4939" s="32"/>
      <c r="Z4939" s="32"/>
    </row>
    <row r="4940" spans="1:26" ht="14.25" customHeight="1">
      <c r="A4940" s="80"/>
      <c r="B4940" s="81"/>
      <c r="C4940" s="81"/>
      <c r="D4940" s="81"/>
      <c r="E4940" s="81"/>
      <c r="F4940" s="81"/>
      <c r="G4940" s="81"/>
      <c r="H4940" s="82"/>
      <c r="I4940" s="32"/>
      <c r="J4940" s="32"/>
      <c r="K4940" s="32"/>
      <c r="L4940" s="32"/>
      <c r="M4940" s="32"/>
      <c r="N4940" s="32"/>
      <c r="O4940" s="32"/>
      <c r="P4940" s="32"/>
      <c r="Q4940" s="32"/>
      <c r="R4940" s="32"/>
      <c r="S4940" s="32"/>
      <c r="T4940" s="32"/>
      <c r="U4940" s="32"/>
      <c r="V4940" s="32"/>
      <c r="W4940" s="32"/>
      <c r="X4940" s="32"/>
      <c r="Y4940" s="32"/>
      <c r="Z4940" s="32"/>
    </row>
    <row r="4941" spans="1:26" ht="14.25" customHeight="1"/>
    <row r="4942" spans="1:26" ht="14.25" customHeight="1"/>
    <row r="4943" spans="1:26" ht="14.25" customHeight="1"/>
    <row r="4944" spans="1:26" ht="14.25" customHeight="1"/>
    <row r="4945" spans="1:26" ht="14.25" customHeight="1"/>
    <row r="4946" spans="1:26" ht="14.25" customHeight="1">
      <c r="A4946" s="80" t="s">
        <v>0</v>
      </c>
      <c r="B4946" s="81"/>
      <c r="C4946" s="81"/>
      <c r="D4946" s="81"/>
      <c r="E4946" s="81"/>
      <c r="F4946" s="81"/>
      <c r="G4946" s="81"/>
      <c r="H4946" s="82"/>
      <c r="I4946" s="32"/>
      <c r="J4946" s="32"/>
      <c r="K4946" s="32"/>
      <c r="L4946" s="32"/>
      <c r="M4946" s="32"/>
      <c r="N4946" s="32"/>
      <c r="O4946" s="32"/>
      <c r="P4946" s="32"/>
      <c r="Q4946" s="32"/>
      <c r="R4946" s="32"/>
      <c r="S4946" s="32"/>
      <c r="T4946" s="32"/>
      <c r="U4946" s="32"/>
      <c r="V4946" s="32"/>
      <c r="W4946" s="32"/>
      <c r="X4946" s="32"/>
      <c r="Y4946" s="32"/>
      <c r="Z4946" s="32"/>
    </row>
    <row r="4947" spans="1:26" ht="14.25" customHeight="1">
      <c r="A4947" s="80" t="s">
        <v>1204</v>
      </c>
      <c r="B4947" s="81"/>
      <c r="C4947" s="81"/>
      <c r="D4947" s="81"/>
      <c r="E4947" s="81"/>
      <c r="F4947" s="81"/>
      <c r="G4947" s="81"/>
      <c r="H4947" s="82"/>
      <c r="I4947" s="32"/>
      <c r="J4947" s="32"/>
      <c r="K4947" s="32"/>
      <c r="L4947" s="32"/>
      <c r="M4947" s="32"/>
      <c r="N4947" s="32"/>
      <c r="O4947" s="32"/>
      <c r="P4947" s="32"/>
      <c r="Q4947" s="32"/>
      <c r="R4947" s="32"/>
      <c r="S4947" s="32"/>
      <c r="T4947" s="32"/>
      <c r="U4947" s="32"/>
      <c r="V4947" s="32"/>
      <c r="W4947" s="32"/>
      <c r="X4947" s="32"/>
      <c r="Y4947" s="32"/>
      <c r="Z4947" s="32"/>
    </row>
    <row r="4948" spans="1:26" ht="14.25" customHeight="1">
      <c r="A4948" s="33" t="s">
        <v>2</v>
      </c>
      <c r="B4948" s="33" t="s">
        <v>3</v>
      </c>
      <c r="C4948" s="33" t="s">
        <v>4</v>
      </c>
      <c r="D4948" s="33" t="s">
        <v>5</v>
      </c>
      <c r="E4948" s="33" t="s">
        <v>6</v>
      </c>
      <c r="F4948" s="34" t="s">
        <v>7</v>
      </c>
      <c r="G4948" s="33" t="s">
        <v>8</v>
      </c>
      <c r="H4948" s="35"/>
      <c r="I4948" s="32"/>
      <c r="J4948" s="32"/>
      <c r="K4948" s="32"/>
      <c r="L4948" s="32"/>
      <c r="M4948" s="32"/>
      <c r="N4948" s="32"/>
      <c r="O4948" s="32"/>
      <c r="P4948" s="32"/>
      <c r="Q4948" s="32"/>
      <c r="R4948" s="32"/>
      <c r="S4948" s="32"/>
      <c r="T4948" s="32"/>
      <c r="U4948" s="32"/>
      <c r="V4948" s="32"/>
      <c r="W4948" s="32"/>
      <c r="X4948" s="32"/>
      <c r="Y4948" s="32"/>
      <c r="Z4948" s="32"/>
    </row>
    <row r="4949" spans="1:26" ht="14.25" customHeight="1">
      <c r="A4949" s="36">
        <v>1</v>
      </c>
      <c r="B4949" s="18" t="s">
        <v>33</v>
      </c>
      <c r="C4949" s="5" t="s">
        <v>1205</v>
      </c>
      <c r="D4949" s="18" t="s">
        <v>11</v>
      </c>
      <c r="E4949" s="18">
        <v>1.55</v>
      </c>
      <c r="F4949" s="6">
        <v>293000</v>
      </c>
      <c r="G4949" s="37">
        <f t="shared" ref="G4949:G4951" si="313">IFERROR(E4949*F4949,0)</f>
        <v>454150</v>
      </c>
      <c r="H4949" s="38"/>
      <c r="I4949" s="32"/>
      <c r="J4949" s="32"/>
      <c r="K4949" s="32"/>
      <c r="L4949" s="32"/>
      <c r="M4949" s="32"/>
      <c r="N4949" s="32"/>
      <c r="O4949" s="32"/>
      <c r="P4949" s="32"/>
      <c r="Q4949" s="32"/>
      <c r="R4949" s="32"/>
      <c r="S4949" s="32"/>
      <c r="T4949" s="32"/>
      <c r="U4949" s="32"/>
      <c r="V4949" s="32"/>
      <c r="W4949" s="32"/>
      <c r="X4949" s="32"/>
      <c r="Y4949" s="32"/>
      <c r="Z4949" s="32"/>
    </row>
    <row r="4950" spans="1:26" ht="14.25" customHeight="1">
      <c r="A4950" s="36">
        <v>2</v>
      </c>
      <c r="B4950" s="12" t="s">
        <v>54</v>
      </c>
      <c r="C4950" s="10" t="s">
        <v>1206</v>
      </c>
      <c r="D4950" s="12" t="s">
        <v>233</v>
      </c>
      <c r="E4950" s="12">
        <v>1.96</v>
      </c>
      <c r="F4950" s="43">
        <v>435000</v>
      </c>
      <c r="G4950" s="37">
        <f t="shared" si="313"/>
        <v>852600</v>
      </c>
      <c r="H4950" s="38"/>
      <c r="I4950" s="32"/>
      <c r="J4950" s="32"/>
      <c r="K4950" s="32"/>
      <c r="L4950" s="32"/>
      <c r="M4950" s="32"/>
      <c r="N4950" s="32"/>
      <c r="O4950" s="32"/>
      <c r="P4950" s="32"/>
      <c r="Q4950" s="32"/>
      <c r="R4950" s="32"/>
      <c r="S4950" s="32"/>
      <c r="T4950" s="32"/>
      <c r="U4950" s="32"/>
      <c r="V4950" s="32"/>
      <c r="W4950" s="32"/>
      <c r="X4950" s="32"/>
      <c r="Y4950" s="32"/>
      <c r="Z4950" s="32"/>
    </row>
    <row r="4951" spans="1:26" ht="14.25" customHeight="1">
      <c r="A4951" s="36">
        <v>4</v>
      </c>
      <c r="B4951" s="39" t="s">
        <v>17</v>
      </c>
      <c r="C4951" s="38"/>
      <c r="D4951" s="38"/>
      <c r="E4951" s="38"/>
      <c r="F4951" s="60"/>
      <c r="G4951" s="37">
        <f t="shared" si="313"/>
        <v>0</v>
      </c>
      <c r="H4951" s="38"/>
      <c r="I4951" s="32"/>
      <c r="J4951" s="32"/>
      <c r="K4951" s="32"/>
      <c r="L4951" s="32"/>
      <c r="M4951" s="32"/>
      <c r="N4951" s="32"/>
      <c r="O4951" s="32"/>
      <c r="P4951" s="32"/>
      <c r="Q4951" s="32"/>
      <c r="R4951" s="32"/>
      <c r="S4951" s="32"/>
      <c r="T4951" s="32"/>
      <c r="U4951" s="32"/>
      <c r="V4951" s="32"/>
      <c r="W4951" s="32"/>
      <c r="X4951" s="32"/>
      <c r="Y4951" s="32"/>
      <c r="Z4951" s="32"/>
    </row>
    <row r="4952" spans="1:26" ht="14.25" customHeight="1">
      <c r="A4952" s="83" t="s">
        <v>18</v>
      </c>
      <c r="B4952" s="81"/>
      <c r="C4952" s="81"/>
      <c r="D4952" s="81"/>
      <c r="E4952" s="81"/>
      <c r="F4952" s="81"/>
      <c r="G4952" s="82"/>
      <c r="H4952" s="41">
        <f>SUM(G4949:G4951)</f>
        <v>1306750</v>
      </c>
      <c r="I4952" s="32"/>
      <c r="J4952" s="32"/>
      <c r="K4952" s="32"/>
      <c r="L4952" s="32"/>
      <c r="M4952" s="32"/>
      <c r="N4952" s="32"/>
      <c r="O4952" s="32"/>
      <c r="P4952" s="32"/>
      <c r="Q4952" s="32"/>
      <c r="R4952" s="32"/>
      <c r="S4952" s="32"/>
      <c r="T4952" s="32"/>
      <c r="U4952" s="32"/>
      <c r="V4952" s="32"/>
      <c r="W4952" s="32"/>
      <c r="X4952" s="32"/>
      <c r="Y4952" s="32"/>
      <c r="Z4952" s="32"/>
    </row>
    <row r="4953" spans="1:26" ht="14.25" customHeight="1">
      <c r="A4953" s="83" t="s">
        <v>19</v>
      </c>
      <c r="B4953" s="81"/>
      <c r="C4953" s="81"/>
      <c r="D4953" s="81"/>
      <c r="E4953" s="81"/>
      <c r="F4953" s="81"/>
      <c r="G4953" s="82"/>
      <c r="H4953" s="41">
        <f>MAX(0,H4952-648000)</f>
        <v>658750</v>
      </c>
      <c r="I4953" s="32"/>
      <c r="J4953" s="32"/>
      <c r="K4953" s="32"/>
      <c r="L4953" s="32"/>
      <c r="M4953" s="32"/>
      <c r="N4953" s="32"/>
      <c r="O4953" s="32"/>
      <c r="P4953" s="32"/>
      <c r="Q4953" s="32"/>
      <c r="R4953" s="32"/>
      <c r="S4953" s="32"/>
      <c r="T4953" s="32"/>
      <c r="U4953" s="32"/>
      <c r="V4953" s="32"/>
      <c r="W4953" s="32"/>
      <c r="X4953" s="32"/>
      <c r="Y4953" s="32"/>
      <c r="Z4953" s="32"/>
    </row>
    <row r="4954" spans="1:26" ht="14.25" customHeight="1">
      <c r="A4954" s="84" t="s">
        <v>20</v>
      </c>
      <c r="B4954" s="81"/>
      <c r="C4954" s="81"/>
      <c r="D4954" s="81"/>
      <c r="E4954" s="81"/>
      <c r="F4954" s="81"/>
      <c r="G4954" s="82"/>
      <c r="H4954" s="42">
        <v>649000</v>
      </c>
      <c r="I4954" s="32"/>
      <c r="J4954" s="32"/>
      <c r="K4954" s="32"/>
      <c r="L4954" s="32"/>
      <c r="M4954" s="32"/>
      <c r="N4954" s="32"/>
      <c r="O4954" s="32"/>
      <c r="P4954" s="32"/>
      <c r="Q4954" s="32"/>
      <c r="R4954" s="32"/>
      <c r="S4954" s="32"/>
      <c r="T4954" s="32"/>
      <c r="U4954" s="32"/>
      <c r="V4954" s="32"/>
      <c r="W4954" s="32"/>
      <c r="X4954" s="32"/>
      <c r="Y4954" s="32"/>
      <c r="Z4954" s="32"/>
    </row>
    <row r="4955" spans="1:26" ht="14.25" customHeight="1">
      <c r="A4955" s="80"/>
      <c r="B4955" s="81"/>
      <c r="C4955" s="81"/>
      <c r="D4955" s="81"/>
      <c r="E4955" s="81"/>
      <c r="F4955" s="81"/>
      <c r="G4955" s="81"/>
      <c r="H4955" s="82"/>
      <c r="I4955" s="32"/>
      <c r="J4955" s="32"/>
      <c r="K4955" s="32"/>
      <c r="L4955" s="32"/>
      <c r="M4955" s="32"/>
      <c r="N4955" s="32"/>
      <c r="O4955" s="32"/>
      <c r="P4955" s="32"/>
      <c r="Q4955" s="32"/>
      <c r="R4955" s="32"/>
      <c r="S4955" s="32"/>
      <c r="T4955" s="32"/>
      <c r="U4955" s="32"/>
      <c r="V4955" s="32"/>
      <c r="W4955" s="32"/>
      <c r="X4955" s="32"/>
      <c r="Y4955" s="32"/>
      <c r="Z4955" s="32"/>
    </row>
    <row r="4956" spans="1:26" ht="14.25" customHeight="1"/>
    <row r="4957" spans="1:26" ht="14.25" customHeight="1"/>
    <row r="4958" spans="1:26" ht="14.25" customHeight="1"/>
    <row r="4959" spans="1:26" ht="14.25" customHeight="1"/>
    <row r="4960" spans="1:26" ht="14.25" customHeight="1"/>
    <row r="4961" spans="1:26" ht="14.25" customHeight="1"/>
    <row r="4962" spans="1:26" ht="14.25" customHeight="1"/>
    <row r="4963" spans="1:26" ht="14.25" customHeight="1">
      <c r="A4963" s="80" t="s">
        <v>0</v>
      </c>
      <c r="B4963" s="81"/>
      <c r="C4963" s="81"/>
      <c r="D4963" s="81"/>
      <c r="E4963" s="81"/>
      <c r="F4963" s="81"/>
      <c r="G4963" s="81"/>
      <c r="H4963" s="82"/>
      <c r="I4963" s="32"/>
      <c r="J4963" s="32"/>
      <c r="K4963" s="32"/>
      <c r="L4963" s="32"/>
      <c r="M4963" s="32"/>
      <c r="N4963" s="32"/>
      <c r="O4963" s="32"/>
      <c r="P4963" s="32"/>
      <c r="Q4963" s="32"/>
      <c r="R4963" s="32"/>
      <c r="S4963" s="32"/>
      <c r="T4963" s="32"/>
      <c r="U4963" s="32"/>
      <c r="V4963" s="32"/>
      <c r="W4963" s="32"/>
      <c r="X4963" s="32"/>
      <c r="Y4963" s="32"/>
      <c r="Z4963" s="32"/>
    </row>
    <row r="4964" spans="1:26" ht="14.25" customHeight="1">
      <c r="A4964" s="80" t="s">
        <v>1207</v>
      </c>
      <c r="B4964" s="81"/>
      <c r="C4964" s="81"/>
      <c r="D4964" s="81"/>
      <c r="E4964" s="81"/>
      <c r="F4964" s="81"/>
      <c r="G4964" s="81"/>
      <c r="H4964" s="82"/>
      <c r="I4964" s="32"/>
      <c r="J4964" s="32"/>
      <c r="K4964" s="32"/>
      <c r="L4964" s="32"/>
      <c r="M4964" s="32"/>
      <c r="N4964" s="32"/>
      <c r="O4964" s="32"/>
      <c r="P4964" s="32"/>
      <c r="Q4964" s="32"/>
      <c r="R4964" s="32"/>
      <c r="S4964" s="32"/>
      <c r="T4964" s="32"/>
      <c r="U4964" s="32"/>
      <c r="V4964" s="32"/>
      <c r="W4964" s="32"/>
      <c r="X4964" s="32"/>
      <c r="Y4964" s="32"/>
      <c r="Z4964" s="32"/>
    </row>
    <row r="4965" spans="1:26" ht="14.25" customHeight="1">
      <c r="A4965" s="33" t="s">
        <v>2</v>
      </c>
      <c r="B4965" s="33" t="s">
        <v>3</v>
      </c>
      <c r="C4965" s="33" t="s">
        <v>4</v>
      </c>
      <c r="D4965" s="33" t="s">
        <v>5</v>
      </c>
      <c r="E4965" s="33" t="s">
        <v>6</v>
      </c>
      <c r="F4965" s="34" t="s">
        <v>7</v>
      </c>
      <c r="G4965" s="33" t="s">
        <v>8</v>
      </c>
      <c r="H4965" s="35"/>
      <c r="I4965" s="32"/>
      <c r="J4965" s="32"/>
      <c r="K4965" s="32"/>
      <c r="L4965" s="32"/>
      <c r="M4965" s="32"/>
      <c r="N4965" s="32"/>
      <c r="O4965" s="32"/>
      <c r="P4965" s="32"/>
      <c r="Q4965" s="32"/>
      <c r="R4965" s="32"/>
      <c r="S4965" s="32"/>
      <c r="T4965" s="32"/>
      <c r="U4965" s="32"/>
      <c r="V4965" s="32"/>
      <c r="W4965" s="32"/>
      <c r="X4965" s="32"/>
      <c r="Y4965" s="32"/>
      <c r="Z4965" s="32"/>
    </row>
    <row r="4966" spans="1:26" ht="14.25" customHeight="1">
      <c r="A4966" s="36">
        <v>1</v>
      </c>
      <c r="B4966" s="18" t="s">
        <v>1208</v>
      </c>
      <c r="C4966" s="5" t="s">
        <v>1209</v>
      </c>
      <c r="D4966" s="18" t="s">
        <v>11</v>
      </c>
      <c r="E4966" s="18">
        <v>1.2</v>
      </c>
      <c r="F4966" s="6">
        <v>293000</v>
      </c>
      <c r="G4966" s="37">
        <f t="shared" ref="G4966:G4968" si="314">IFERROR(E4966*F4966,0)</f>
        <v>351600</v>
      </c>
      <c r="H4966" s="38"/>
      <c r="I4966" s="32"/>
      <c r="J4966" s="32"/>
      <c r="K4966" s="32"/>
      <c r="L4966" s="32"/>
      <c r="M4966" s="32"/>
      <c r="N4966" s="32"/>
      <c r="O4966" s="32"/>
      <c r="P4966" s="32"/>
      <c r="Q4966" s="32"/>
      <c r="R4966" s="32"/>
      <c r="S4966" s="32"/>
      <c r="T4966" s="32"/>
      <c r="U4966" s="32"/>
      <c r="V4966" s="32"/>
      <c r="W4966" s="32"/>
      <c r="X4966" s="32"/>
      <c r="Y4966" s="32"/>
      <c r="Z4966" s="32"/>
    </row>
    <row r="4967" spans="1:26" ht="14.25" customHeight="1">
      <c r="A4967" s="36">
        <v>2</v>
      </c>
      <c r="B4967" s="12" t="s">
        <v>1210</v>
      </c>
      <c r="C4967" s="10" t="s">
        <v>1211</v>
      </c>
      <c r="D4967" s="12" t="s">
        <v>233</v>
      </c>
      <c r="E4967" s="12">
        <v>2.2999999999999998</v>
      </c>
      <c r="F4967" s="43">
        <v>435000</v>
      </c>
      <c r="G4967" s="37">
        <f t="shared" si="314"/>
        <v>1000499.9999999999</v>
      </c>
      <c r="H4967" s="38"/>
      <c r="I4967" s="32"/>
      <c r="J4967" s="32"/>
      <c r="K4967" s="32"/>
      <c r="L4967" s="32"/>
      <c r="M4967" s="32"/>
      <c r="N4967" s="32"/>
      <c r="O4967" s="32"/>
      <c r="P4967" s="32"/>
      <c r="Q4967" s="32"/>
      <c r="R4967" s="32"/>
      <c r="S4967" s="32"/>
      <c r="T4967" s="32"/>
      <c r="U4967" s="32"/>
      <c r="V4967" s="32"/>
      <c r="W4967" s="32"/>
      <c r="X4967" s="32"/>
      <c r="Y4967" s="32"/>
      <c r="Z4967" s="32"/>
    </row>
    <row r="4968" spans="1:26" ht="14.25" customHeight="1">
      <c r="A4968" s="36">
        <v>4</v>
      </c>
      <c r="B4968" s="39" t="s">
        <v>17</v>
      </c>
      <c r="C4968" s="38"/>
      <c r="D4968" s="38"/>
      <c r="E4968" s="38"/>
      <c r="F4968" s="60"/>
      <c r="G4968" s="37">
        <f t="shared" si="314"/>
        <v>0</v>
      </c>
      <c r="H4968" s="38"/>
      <c r="I4968" s="32"/>
      <c r="J4968" s="32"/>
      <c r="K4968" s="32"/>
      <c r="L4968" s="32"/>
      <c r="M4968" s="32"/>
      <c r="N4968" s="32"/>
      <c r="O4968" s="32"/>
      <c r="P4968" s="32"/>
      <c r="Q4968" s="32"/>
      <c r="R4968" s="32"/>
      <c r="S4968" s="32"/>
      <c r="T4968" s="32"/>
      <c r="U4968" s="32"/>
      <c r="V4968" s="32"/>
      <c r="W4968" s="32"/>
      <c r="X4968" s="32"/>
      <c r="Y4968" s="32"/>
      <c r="Z4968" s="32"/>
    </row>
    <row r="4969" spans="1:26" ht="14.25" customHeight="1">
      <c r="A4969" s="83" t="s">
        <v>18</v>
      </c>
      <c r="B4969" s="81"/>
      <c r="C4969" s="81"/>
      <c r="D4969" s="81"/>
      <c r="E4969" s="81"/>
      <c r="F4969" s="81"/>
      <c r="G4969" s="82"/>
      <c r="H4969" s="41">
        <f>SUM(G4966:G4968)</f>
        <v>1352100</v>
      </c>
      <c r="I4969" s="32"/>
      <c r="J4969" s="32"/>
      <c r="K4969" s="32"/>
      <c r="L4969" s="32"/>
      <c r="M4969" s="32"/>
      <c r="N4969" s="32"/>
      <c r="O4969" s="32"/>
      <c r="P4969" s="32"/>
      <c r="Q4969" s="32"/>
      <c r="R4969" s="32"/>
      <c r="S4969" s="32"/>
      <c r="T4969" s="32"/>
      <c r="U4969" s="32"/>
      <c r="V4969" s="32"/>
      <c r="W4969" s="32"/>
      <c r="X4969" s="32"/>
      <c r="Y4969" s="32"/>
      <c r="Z4969" s="32"/>
    </row>
    <row r="4970" spans="1:26" ht="14.25" customHeight="1">
      <c r="A4970" s="83" t="s">
        <v>19</v>
      </c>
      <c r="B4970" s="81"/>
      <c r="C4970" s="81"/>
      <c r="D4970" s="81"/>
      <c r="E4970" s="81"/>
      <c r="F4970" s="81"/>
      <c r="G4970" s="82"/>
      <c r="H4970" s="41">
        <f>MAX(0,H4969-648000)</f>
        <v>704100</v>
      </c>
      <c r="I4970" s="32"/>
      <c r="J4970" s="32"/>
      <c r="K4970" s="32"/>
      <c r="L4970" s="32"/>
      <c r="M4970" s="32"/>
      <c r="N4970" s="32"/>
      <c r="O4970" s="32"/>
      <c r="P4970" s="32"/>
      <c r="Q4970" s="32"/>
      <c r="R4970" s="32"/>
      <c r="S4970" s="32"/>
      <c r="T4970" s="32"/>
      <c r="U4970" s="32"/>
      <c r="V4970" s="32"/>
      <c r="W4970" s="32"/>
      <c r="X4970" s="32"/>
      <c r="Y4970" s="32"/>
      <c r="Z4970" s="32"/>
    </row>
    <row r="4971" spans="1:26" ht="14.25" customHeight="1">
      <c r="A4971" s="84" t="s">
        <v>20</v>
      </c>
      <c r="B4971" s="81"/>
      <c r="C4971" s="81"/>
      <c r="D4971" s="81"/>
      <c r="E4971" s="81"/>
      <c r="F4971" s="81"/>
      <c r="G4971" s="82"/>
      <c r="H4971" s="42">
        <v>649000</v>
      </c>
      <c r="I4971" s="32"/>
      <c r="J4971" s="32"/>
      <c r="K4971" s="32"/>
      <c r="L4971" s="32"/>
      <c r="M4971" s="32"/>
      <c r="N4971" s="32"/>
      <c r="O4971" s="32"/>
      <c r="P4971" s="32"/>
      <c r="Q4971" s="32"/>
      <c r="R4971" s="32"/>
      <c r="S4971" s="32"/>
      <c r="T4971" s="32"/>
      <c r="U4971" s="32"/>
      <c r="V4971" s="32"/>
      <c r="W4971" s="32"/>
      <c r="X4971" s="32"/>
      <c r="Y4971" s="32"/>
      <c r="Z4971" s="32"/>
    </row>
    <row r="4972" spans="1:26" ht="14.25" customHeight="1">
      <c r="A4972" s="80"/>
      <c r="B4972" s="81"/>
      <c r="C4972" s="81"/>
      <c r="D4972" s="81"/>
      <c r="E4972" s="81"/>
      <c r="F4972" s="81"/>
      <c r="G4972" s="81"/>
      <c r="H4972" s="82"/>
      <c r="I4972" s="32"/>
      <c r="J4972" s="32"/>
      <c r="K4972" s="32"/>
      <c r="L4972" s="32"/>
      <c r="M4972" s="32"/>
      <c r="N4972" s="32"/>
      <c r="O4972" s="32"/>
      <c r="P4972" s="32"/>
      <c r="Q4972" s="32"/>
      <c r="R4972" s="32"/>
      <c r="S4972" s="32"/>
      <c r="T4972" s="32"/>
      <c r="U4972" s="32"/>
      <c r="V4972" s="32"/>
      <c r="W4972" s="32"/>
      <c r="X4972" s="32"/>
      <c r="Y4972" s="32"/>
      <c r="Z4972" s="32"/>
    </row>
    <row r="4976" spans="1:26" ht="14.25" customHeight="1"/>
    <row r="4977" spans="1:26" ht="14.25" customHeight="1"/>
    <row r="4978" spans="1:26" ht="14.25" customHeight="1"/>
    <row r="4979" spans="1:26" ht="14.25" customHeight="1">
      <c r="A4979" s="80" t="s">
        <v>0</v>
      </c>
      <c r="B4979" s="81"/>
      <c r="C4979" s="81"/>
      <c r="D4979" s="81"/>
      <c r="E4979" s="81"/>
      <c r="F4979" s="81"/>
      <c r="G4979" s="81"/>
      <c r="H4979" s="82"/>
      <c r="I4979" s="32"/>
      <c r="J4979" s="32"/>
      <c r="K4979" s="32"/>
      <c r="L4979" s="32"/>
      <c r="M4979" s="32"/>
      <c r="N4979" s="32"/>
      <c r="O4979" s="32"/>
      <c r="P4979" s="32"/>
      <c r="Q4979" s="32"/>
      <c r="R4979" s="32"/>
      <c r="S4979" s="32"/>
      <c r="T4979" s="32"/>
      <c r="U4979" s="32"/>
      <c r="V4979" s="32"/>
      <c r="W4979" s="32"/>
      <c r="X4979" s="32"/>
      <c r="Y4979" s="32"/>
      <c r="Z4979" s="32"/>
    </row>
    <row r="4980" spans="1:26" ht="14.25" customHeight="1">
      <c r="A4980" s="80" t="s">
        <v>1212</v>
      </c>
      <c r="B4980" s="81"/>
      <c r="C4980" s="81"/>
      <c r="D4980" s="81"/>
      <c r="E4980" s="81"/>
      <c r="F4980" s="81"/>
      <c r="G4980" s="81"/>
      <c r="H4980" s="82"/>
      <c r="I4980" s="32"/>
      <c r="J4980" s="32"/>
      <c r="K4980" s="32"/>
      <c r="L4980" s="32"/>
      <c r="M4980" s="32"/>
      <c r="N4980" s="32"/>
      <c r="O4980" s="32"/>
      <c r="P4980" s="32"/>
      <c r="Q4980" s="32"/>
      <c r="R4980" s="32"/>
      <c r="S4980" s="32"/>
      <c r="T4980" s="32"/>
      <c r="U4980" s="32"/>
      <c r="V4980" s="32"/>
      <c r="W4980" s="32"/>
      <c r="X4980" s="32"/>
      <c r="Y4980" s="32"/>
      <c r="Z4980" s="32"/>
    </row>
    <row r="4981" spans="1:26" ht="14.25" customHeight="1">
      <c r="A4981" s="33" t="s">
        <v>2</v>
      </c>
      <c r="B4981" s="33" t="s">
        <v>3</v>
      </c>
      <c r="C4981" s="33" t="s">
        <v>4</v>
      </c>
      <c r="D4981" s="33" t="s">
        <v>5</v>
      </c>
      <c r="E4981" s="33" t="s">
        <v>6</v>
      </c>
      <c r="F4981" s="34" t="s">
        <v>7</v>
      </c>
      <c r="G4981" s="33" t="s">
        <v>8</v>
      </c>
      <c r="H4981" s="35"/>
      <c r="I4981" s="32"/>
      <c r="J4981" s="32"/>
      <c r="K4981" s="32"/>
      <c r="L4981" s="32"/>
      <c r="M4981" s="32"/>
      <c r="N4981" s="32"/>
      <c r="O4981" s="32"/>
      <c r="P4981" s="32"/>
      <c r="Q4981" s="32"/>
      <c r="R4981" s="32"/>
      <c r="S4981" s="32"/>
      <c r="T4981" s="32"/>
      <c r="U4981" s="32"/>
      <c r="V4981" s="32"/>
      <c r="W4981" s="32"/>
      <c r="X4981" s="32"/>
      <c r="Y4981" s="32"/>
      <c r="Z4981" s="32"/>
    </row>
    <row r="4982" spans="1:26" ht="14.25" customHeight="1">
      <c r="A4982" s="36">
        <v>1</v>
      </c>
      <c r="B4982" s="18" t="s">
        <v>61</v>
      </c>
      <c r="C4982" s="5" t="s">
        <v>1213</v>
      </c>
      <c r="D4982" s="18" t="s">
        <v>11</v>
      </c>
      <c r="E4982" s="18">
        <v>1.1000000000000001</v>
      </c>
      <c r="F4982" s="6">
        <v>293000</v>
      </c>
      <c r="G4982" s="37">
        <f t="shared" ref="G4982:G4984" si="315">IFERROR(E4982*F4982,0)</f>
        <v>322300</v>
      </c>
      <c r="H4982" s="38"/>
      <c r="I4982" s="32"/>
      <c r="J4982" s="32"/>
      <c r="K4982" s="32"/>
      <c r="L4982" s="32"/>
      <c r="M4982" s="32"/>
      <c r="N4982" s="32"/>
      <c r="O4982" s="32"/>
      <c r="P4982" s="32"/>
      <c r="Q4982" s="32"/>
      <c r="R4982" s="32"/>
      <c r="S4982" s="32"/>
      <c r="T4982" s="32"/>
      <c r="U4982" s="32"/>
      <c r="V4982" s="32"/>
      <c r="W4982" s="32"/>
      <c r="X4982" s="32"/>
      <c r="Y4982" s="32"/>
      <c r="Z4982" s="32"/>
    </row>
    <row r="4983" spans="1:26" ht="14.25" customHeight="1">
      <c r="A4983" s="36">
        <v>2</v>
      </c>
      <c r="B4983" s="12" t="s">
        <v>175</v>
      </c>
      <c r="C4983" s="10" t="s">
        <v>1214</v>
      </c>
      <c r="D4983" s="12" t="s">
        <v>233</v>
      </c>
      <c r="E4983" s="12">
        <v>2.5</v>
      </c>
      <c r="F4983" s="43">
        <v>435000</v>
      </c>
      <c r="G4983" s="37">
        <f t="shared" si="315"/>
        <v>1087500</v>
      </c>
      <c r="H4983" s="38"/>
      <c r="I4983" s="32"/>
      <c r="J4983" s="32"/>
      <c r="K4983" s="32"/>
      <c r="L4983" s="32"/>
      <c r="M4983" s="32"/>
      <c r="N4983" s="32"/>
      <c r="O4983" s="32"/>
      <c r="P4983" s="32"/>
      <c r="Q4983" s="32"/>
      <c r="R4983" s="32"/>
      <c r="S4983" s="32"/>
      <c r="T4983" s="32"/>
      <c r="U4983" s="32"/>
      <c r="V4983" s="32"/>
      <c r="W4983" s="32"/>
      <c r="X4983" s="32"/>
      <c r="Y4983" s="32"/>
      <c r="Z4983" s="32"/>
    </row>
    <row r="4984" spans="1:26" ht="14.25" customHeight="1">
      <c r="A4984" s="36">
        <v>4</v>
      </c>
      <c r="B4984" s="39" t="s">
        <v>17</v>
      </c>
      <c r="C4984" s="38"/>
      <c r="D4984" s="38"/>
      <c r="E4984" s="38"/>
      <c r="F4984" s="60"/>
      <c r="G4984" s="37">
        <f t="shared" si="315"/>
        <v>0</v>
      </c>
      <c r="H4984" s="38"/>
      <c r="I4984" s="32"/>
      <c r="J4984" s="32"/>
      <c r="K4984" s="32"/>
      <c r="L4984" s="32"/>
      <c r="M4984" s="32"/>
      <c r="N4984" s="32"/>
      <c r="O4984" s="32"/>
      <c r="P4984" s="32"/>
      <c r="Q4984" s="32"/>
      <c r="R4984" s="32"/>
      <c r="S4984" s="32"/>
      <c r="T4984" s="32"/>
      <c r="U4984" s="32"/>
      <c r="V4984" s="32"/>
      <c r="W4984" s="32"/>
      <c r="X4984" s="32"/>
      <c r="Y4984" s="32"/>
      <c r="Z4984" s="32"/>
    </row>
    <row r="4985" spans="1:26" ht="14.25" customHeight="1">
      <c r="A4985" s="83" t="s">
        <v>18</v>
      </c>
      <c r="B4985" s="81"/>
      <c r="C4985" s="81"/>
      <c r="D4985" s="81"/>
      <c r="E4985" s="81"/>
      <c r="F4985" s="81"/>
      <c r="G4985" s="82"/>
      <c r="H4985" s="41">
        <f>SUM(G4982:G4984)</f>
        <v>1409800</v>
      </c>
      <c r="I4985" s="32"/>
      <c r="J4985" s="32"/>
      <c r="K4985" s="32"/>
      <c r="L4985" s="32"/>
      <c r="M4985" s="32"/>
      <c r="N4985" s="32"/>
      <c r="O4985" s="32"/>
      <c r="P4985" s="32"/>
      <c r="Q4985" s="32"/>
      <c r="R4985" s="32"/>
      <c r="S4985" s="32"/>
      <c r="T4985" s="32"/>
      <c r="U4985" s="32"/>
      <c r="V4985" s="32"/>
      <c r="W4985" s="32"/>
      <c r="X4985" s="32"/>
      <c r="Y4985" s="32"/>
      <c r="Z4985" s="32"/>
    </row>
    <row r="4986" spans="1:26" ht="14.25" customHeight="1">
      <c r="A4986" s="83" t="s">
        <v>19</v>
      </c>
      <c r="B4986" s="81"/>
      <c r="C4986" s="81"/>
      <c r="D4986" s="81"/>
      <c r="E4986" s="81"/>
      <c r="F4986" s="81"/>
      <c r="G4986" s="82"/>
      <c r="H4986" s="41">
        <f>MAX(0,H4985-648000)</f>
        <v>761800</v>
      </c>
      <c r="I4986" s="32"/>
      <c r="J4986" s="32"/>
      <c r="K4986" s="32"/>
      <c r="L4986" s="32"/>
      <c r="M4986" s="32"/>
      <c r="N4986" s="32"/>
      <c r="O4986" s="32"/>
      <c r="P4986" s="32"/>
      <c r="Q4986" s="32"/>
      <c r="R4986" s="32"/>
      <c r="S4986" s="32"/>
      <c r="T4986" s="32"/>
      <c r="U4986" s="32"/>
      <c r="V4986" s="32"/>
      <c r="W4986" s="32"/>
      <c r="X4986" s="32"/>
      <c r="Y4986" s="32"/>
      <c r="Z4986" s="32"/>
    </row>
    <row r="4987" spans="1:26" ht="14.25" customHeight="1">
      <c r="A4987" s="84" t="s">
        <v>20</v>
      </c>
      <c r="B4987" s="81"/>
      <c r="C4987" s="81"/>
      <c r="D4987" s="81"/>
      <c r="E4987" s="81"/>
      <c r="F4987" s="81"/>
      <c r="G4987" s="82"/>
      <c r="H4987" s="42">
        <v>649000</v>
      </c>
      <c r="I4987" s="32"/>
      <c r="J4987" s="32"/>
      <c r="K4987" s="32"/>
      <c r="L4987" s="32"/>
      <c r="M4987" s="32"/>
      <c r="N4987" s="32"/>
      <c r="O4987" s="32"/>
      <c r="P4987" s="32"/>
      <c r="Q4987" s="32"/>
      <c r="R4987" s="32"/>
      <c r="S4987" s="32"/>
      <c r="T4987" s="32"/>
      <c r="U4987" s="32"/>
      <c r="V4987" s="32"/>
      <c r="W4987" s="32"/>
      <c r="X4987" s="32"/>
      <c r="Y4987" s="32"/>
      <c r="Z4987" s="32"/>
    </row>
    <row r="4988" spans="1:26" ht="14.25" customHeight="1">
      <c r="A4988" s="80"/>
      <c r="B4988" s="81"/>
      <c r="C4988" s="81"/>
      <c r="D4988" s="81"/>
      <c r="E4988" s="81"/>
      <c r="F4988" s="81"/>
      <c r="G4988" s="81"/>
      <c r="H4988" s="82"/>
      <c r="I4988" s="32"/>
      <c r="J4988" s="32"/>
      <c r="K4988" s="32"/>
      <c r="L4988" s="32"/>
      <c r="M4988" s="32"/>
      <c r="N4988" s="32"/>
      <c r="O4988" s="32"/>
      <c r="P4988" s="32"/>
      <c r="Q4988" s="32"/>
      <c r="R4988" s="32"/>
      <c r="S4988" s="32"/>
      <c r="T4988" s="32"/>
      <c r="U4988" s="32"/>
      <c r="V4988" s="32"/>
      <c r="W4988" s="32"/>
      <c r="X4988" s="32"/>
      <c r="Y4988" s="32"/>
      <c r="Z4988" s="32"/>
    </row>
    <row r="4989" spans="1:26" ht="14.25" customHeight="1"/>
    <row r="4990" spans="1:26" ht="14.25" customHeight="1"/>
    <row r="4991" spans="1:26" ht="14.25" customHeight="1"/>
    <row r="4992" spans="1:26" ht="14.25" customHeight="1"/>
    <row r="4993" spans="1:26" ht="14.25" customHeight="1"/>
    <row r="4994" spans="1:26" ht="14.25" customHeight="1"/>
    <row r="4995" spans="1:26" ht="14.25" customHeight="1"/>
    <row r="4996" spans="1:26" ht="14.25" customHeight="1"/>
    <row r="4997" spans="1:26" ht="14.25" customHeight="1">
      <c r="A4997" s="80" t="s">
        <v>0</v>
      </c>
      <c r="B4997" s="81"/>
      <c r="C4997" s="81"/>
      <c r="D4997" s="81"/>
      <c r="E4997" s="81"/>
      <c r="F4997" s="81"/>
      <c r="G4997" s="81"/>
      <c r="H4997" s="82"/>
      <c r="I4997" s="32"/>
      <c r="J4997" s="32"/>
      <c r="K4997" s="32"/>
      <c r="L4997" s="32"/>
      <c r="M4997" s="32"/>
      <c r="N4997" s="32"/>
      <c r="O4997" s="32"/>
      <c r="P4997" s="32"/>
      <c r="Q4997" s="32"/>
      <c r="R4997" s="32"/>
      <c r="S4997" s="32"/>
      <c r="T4997" s="32"/>
      <c r="U4997" s="32"/>
      <c r="V4997" s="32"/>
      <c r="W4997" s="32"/>
      <c r="X4997" s="32"/>
      <c r="Y4997" s="32"/>
      <c r="Z4997" s="32"/>
    </row>
    <row r="4998" spans="1:26" ht="14.25" customHeight="1">
      <c r="A4998" s="80" t="s">
        <v>1215</v>
      </c>
      <c r="B4998" s="81"/>
      <c r="C4998" s="81"/>
      <c r="D4998" s="81"/>
      <c r="E4998" s="81"/>
      <c r="F4998" s="81"/>
      <c r="G4998" s="81"/>
      <c r="H4998" s="82"/>
      <c r="I4998" s="32"/>
      <c r="J4998" s="32"/>
      <c r="K4998" s="32"/>
      <c r="L4998" s="32"/>
      <c r="M4998" s="32"/>
      <c r="N4998" s="32"/>
      <c r="O4998" s="32"/>
      <c r="P4998" s="32"/>
      <c r="Q4998" s="32"/>
      <c r="R4998" s="32"/>
      <c r="S4998" s="32"/>
      <c r="T4998" s="32"/>
      <c r="U4998" s="32"/>
      <c r="V4998" s="32"/>
      <c r="W4998" s="32"/>
      <c r="X4998" s="32"/>
      <c r="Y4998" s="32"/>
      <c r="Z4998" s="32"/>
    </row>
    <row r="4999" spans="1:26" ht="14.25" customHeight="1">
      <c r="A4999" s="33" t="s">
        <v>2</v>
      </c>
      <c r="B4999" s="33" t="s">
        <v>3</v>
      </c>
      <c r="C4999" s="33" t="s">
        <v>4</v>
      </c>
      <c r="D4999" s="33" t="s">
        <v>5</v>
      </c>
      <c r="E4999" s="33" t="s">
        <v>6</v>
      </c>
      <c r="F4999" s="34" t="s">
        <v>7</v>
      </c>
      <c r="G4999" s="33" t="s">
        <v>8</v>
      </c>
      <c r="H4999" s="35"/>
      <c r="I4999" s="32"/>
      <c r="J4999" s="32"/>
      <c r="K4999" s="32"/>
      <c r="L4999" s="32"/>
      <c r="M4999" s="32"/>
      <c r="N4999" s="32"/>
      <c r="O4999" s="32"/>
      <c r="P4999" s="32"/>
      <c r="Q4999" s="32"/>
      <c r="R4999" s="32"/>
      <c r="S4999" s="32"/>
      <c r="T4999" s="32"/>
      <c r="U4999" s="32"/>
      <c r="V4999" s="32"/>
      <c r="W4999" s="32"/>
      <c r="X4999" s="32"/>
      <c r="Y4999" s="32"/>
      <c r="Z4999" s="32"/>
    </row>
    <row r="5000" spans="1:26" ht="14.25" customHeight="1">
      <c r="A5000" s="36">
        <v>1</v>
      </c>
      <c r="B5000" s="18" t="s">
        <v>823</v>
      </c>
      <c r="C5000" s="5" t="s">
        <v>1216</v>
      </c>
      <c r="D5000" s="18" t="s">
        <v>11</v>
      </c>
      <c r="E5000" s="18">
        <v>1.52</v>
      </c>
      <c r="F5000" s="6">
        <v>293000</v>
      </c>
      <c r="G5000" s="37">
        <f t="shared" ref="G5000:G5002" si="316">IFERROR(E5000*F5000,0)</f>
        <v>445360</v>
      </c>
      <c r="H5000" s="38"/>
      <c r="I5000" s="32"/>
      <c r="J5000" s="32"/>
      <c r="K5000" s="32"/>
      <c r="L5000" s="32"/>
      <c r="M5000" s="32"/>
      <c r="N5000" s="32"/>
      <c r="O5000" s="32"/>
      <c r="P5000" s="32"/>
      <c r="Q5000" s="32"/>
      <c r="R5000" s="32"/>
      <c r="S5000" s="32"/>
      <c r="T5000" s="32"/>
      <c r="U5000" s="32"/>
      <c r="V5000" s="32"/>
      <c r="W5000" s="32"/>
      <c r="X5000" s="32"/>
      <c r="Y5000" s="32"/>
      <c r="Z5000" s="32"/>
    </row>
    <row r="5001" spans="1:26" ht="14.25" customHeight="1">
      <c r="A5001" s="36">
        <v>2</v>
      </c>
      <c r="B5001" s="12" t="s">
        <v>1217</v>
      </c>
      <c r="C5001" s="10">
        <v>8881</v>
      </c>
      <c r="D5001" s="12" t="s">
        <v>233</v>
      </c>
      <c r="E5001" s="12">
        <v>2</v>
      </c>
      <c r="F5001" s="43">
        <v>435000</v>
      </c>
      <c r="G5001" s="37">
        <f t="shared" si="316"/>
        <v>870000</v>
      </c>
      <c r="H5001" s="38"/>
      <c r="I5001" s="32"/>
      <c r="J5001" s="32"/>
      <c r="K5001" s="32"/>
      <c r="L5001" s="32"/>
      <c r="M5001" s="32"/>
      <c r="N5001" s="32"/>
      <c r="O5001" s="32"/>
      <c r="P5001" s="32"/>
      <c r="Q5001" s="32"/>
      <c r="R5001" s="32"/>
      <c r="S5001" s="32"/>
      <c r="T5001" s="32"/>
      <c r="U5001" s="32"/>
      <c r="V5001" s="32"/>
      <c r="W5001" s="32"/>
      <c r="X5001" s="32"/>
      <c r="Y5001" s="32"/>
      <c r="Z5001" s="32"/>
    </row>
    <row r="5002" spans="1:26" ht="14.25" customHeight="1">
      <c r="A5002" s="36">
        <v>4</v>
      </c>
      <c r="B5002" s="39" t="s">
        <v>17</v>
      </c>
      <c r="C5002" s="38"/>
      <c r="D5002" s="38"/>
      <c r="E5002" s="38"/>
      <c r="F5002" s="60"/>
      <c r="G5002" s="37">
        <f t="shared" si="316"/>
        <v>0</v>
      </c>
      <c r="H5002" s="38"/>
      <c r="I5002" s="32"/>
      <c r="J5002" s="32"/>
      <c r="K5002" s="32"/>
      <c r="L5002" s="32"/>
      <c r="M5002" s="32"/>
      <c r="N5002" s="32"/>
      <c r="O5002" s="32"/>
      <c r="P5002" s="32"/>
      <c r="Q5002" s="32"/>
      <c r="R5002" s="32"/>
      <c r="S5002" s="32"/>
      <c r="T5002" s="32"/>
      <c r="U5002" s="32"/>
      <c r="V5002" s="32"/>
      <c r="W5002" s="32"/>
      <c r="X5002" s="32"/>
      <c r="Y5002" s="32"/>
      <c r="Z5002" s="32"/>
    </row>
    <row r="5003" spans="1:26" ht="14.25" customHeight="1">
      <c r="A5003" s="83" t="s">
        <v>18</v>
      </c>
      <c r="B5003" s="81"/>
      <c r="C5003" s="81"/>
      <c r="D5003" s="81"/>
      <c r="E5003" s="81"/>
      <c r="F5003" s="81"/>
      <c r="G5003" s="82"/>
      <c r="H5003" s="41">
        <f>SUM(G5000:G5002)</f>
        <v>1315360</v>
      </c>
      <c r="I5003" s="32"/>
      <c r="J5003" s="32"/>
      <c r="K5003" s="32"/>
      <c r="L5003" s="32"/>
      <c r="M5003" s="32"/>
      <c r="N5003" s="32"/>
      <c r="O5003" s="32"/>
      <c r="P5003" s="32"/>
      <c r="Q5003" s="32"/>
      <c r="R5003" s="32"/>
      <c r="S5003" s="32"/>
      <c r="T5003" s="32"/>
      <c r="U5003" s="32"/>
      <c r="V5003" s="32"/>
      <c r="W5003" s="32"/>
      <c r="X5003" s="32"/>
      <c r="Y5003" s="32"/>
      <c r="Z5003" s="32"/>
    </row>
    <row r="5004" spans="1:26" ht="14.25" customHeight="1">
      <c r="A5004" s="83" t="s">
        <v>19</v>
      </c>
      <c r="B5004" s="81"/>
      <c r="C5004" s="81"/>
      <c r="D5004" s="81"/>
      <c r="E5004" s="81"/>
      <c r="F5004" s="81"/>
      <c r="G5004" s="82"/>
      <c r="H5004" s="41">
        <f>MAX(0,H5003-648000)</f>
        <v>667360</v>
      </c>
      <c r="I5004" s="32"/>
      <c r="J5004" s="32"/>
      <c r="K5004" s="32"/>
      <c r="L5004" s="32"/>
      <c r="M5004" s="32"/>
      <c r="N5004" s="32"/>
      <c r="O5004" s="32"/>
      <c r="P5004" s="32"/>
      <c r="Q5004" s="32"/>
      <c r="R5004" s="32"/>
      <c r="S5004" s="32"/>
      <c r="T5004" s="32"/>
      <c r="U5004" s="32"/>
      <c r="V5004" s="32"/>
      <c r="W5004" s="32"/>
      <c r="X5004" s="32"/>
      <c r="Y5004" s="32"/>
      <c r="Z5004" s="32"/>
    </row>
    <row r="5005" spans="1:26" ht="14.25" customHeight="1">
      <c r="A5005" s="84" t="s">
        <v>20</v>
      </c>
      <c r="B5005" s="81"/>
      <c r="C5005" s="81"/>
      <c r="D5005" s="81"/>
      <c r="E5005" s="81"/>
      <c r="F5005" s="81"/>
      <c r="G5005" s="82"/>
      <c r="H5005" s="42">
        <v>649000</v>
      </c>
      <c r="I5005" s="32"/>
      <c r="J5005" s="32"/>
      <c r="K5005" s="32"/>
      <c r="L5005" s="32"/>
      <c r="M5005" s="32"/>
      <c r="N5005" s="32"/>
      <c r="O5005" s="32"/>
      <c r="P5005" s="32"/>
      <c r="Q5005" s="32"/>
      <c r="R5005" s="32"/>
      <c r="S5005" s="32"/>
      <c r="T5005" s="32"/>
      <c r="U5005" s="32"/>
      <c r="V5005" s="32"/>
      <c r="W5005" s="32"/>
      <c r="X5005" s="32"/>
      <c r="Y5005" s="32"/>
      <c r="Z5005" s="32"/>
    </row>
    <row r="5006" spans="1:26" ht="14.25" customHeight="1">
      <c r="A5006" s="80"/>
      <c r="B5006" s="81"/>
      <c r="C5006" s="81"/>
      <c r="D5006" s="81"/>
      <c r="E5006" s="81"/>
      <c r="F5006" s="81"/>
      <c r="G5006" s="81"/>
      <c r="H5006" s="82"/>
      <c r="I5006" s="32"/>
      <c r="J5006" s="32"/>
      <c r="K5006" s="32"/>
      <c r="L5006" s="32"/>
      <c r="M5006" s="32"/>
      <c r="N5006" s="32"/>
      <c r="O5006" s="32"/>
      <c r="P5006" s="32"/>
      <c r="Q5006" s="32"/>
      <c r="R5006" s="32"/>
      <c r="S5006" s="32"/>
      <c r="T5006" s="32"/>
      <c r="U5006" s="32"/>
      <c r="V5006" s="32"/>
      <c r="W5006" s="32"/>
      <c r="X5006" s="32"/>
      <c r="Y5006" s="32"/>
      <c r="Z5006" s="32"/>
    </row>
    <row r="5007" spans="1:26" ht="14.25" customHeight="1"/>
    <row r="5008" spans="1:26" ht="14.25" customHeight="1"/>
    <row r="5009" spans="1:26" ht="14.25" customHeight="1"/>
    <row r="5010" spans="1:26" ht="14.25" customHeight="1"/>
    <row r="5011" spans="1:26" ht="14.25" customHeight="1"/>
    <row r="5012" spans="1:26" ht="14.25" customHeight="1">
      <c r="A5012" s="80" t="s">
        <v>0</v>
      </c>
      <c r="B5012" s="81"/>
      <c r="C5012" s="81"/>
      <c r="D5012" s="81"/>
      <c r="E5012" s="81"/>
      <c r="F5012" s="81"/>
      <c r="G5012" s="81"/>
      <c r="H5012" s="82"/>
      <c r="I5012" s="32"/>
      <c r="J5012" s="32"/>
      <c r="K5012" s="32"/>
      <c r="L5012" s="32"/>
      <c r="M5012" s="32"/>
      <c r="N5012" s="32"/>
      <c r="O5012" s="32"/>
      <c r="P5012" s="32"/>
      <c r="Q5012" s="32"/>
      <c r="R5012" s="32"/>
      <c r="S5012" s="32"/>
      <c r="T5012" s="32"/>
      <c r="U5012" s="32"/>
      <c r="V5012" s="32"/>
      <c r="W5012" s="32"/>
      <c r="X5012" s="32"/>
      <c r="Y5012" s="32"/>
      <c r="Z5012" s="32"/>
    </row>
    <row r="5013" spans="1:26" ht="14.25" customHeight="1">
      <c r="A5013" s="80" t="s">
        <v>1218</v>
      </c>
      <c r="B5013" s="81"/>
      <c r="C5013" s="81"/>
      <c r="D5013" s="81"/>
      <c r="E5013" s="81"/>
      <c r="F5013" s="81"/>
      <c r="G5013" s="81"/>
      <c r="H5013" s="82"/>
      <c r="I5013" s="32"/>
      <c r="J5013" s="32"/>
      <c r="K5013" s="32"/>
      <c r="L5013" s="32"/>
      <c r="M5013" s="32"/>
      <c r="N5013" s="32"/>
      <c r="O5013" s="32"/>
      <c r="P5013" s="32"/>
      <c r="Q5013" s="32"/>
      <c r="R5013" s="32"/>
      <c r="S5013" s="32"/>
      <c r="T5013" s="32"/>
      <c r="U5013" s="32"/>
      <c r="V5013" s="32"/>
      <c r="W5013" s="32"/>
      <c r="X5013" s="32"/>
      <c r="Y5013" s="32"/>
      <c r="Z5013" s="32"/>
    </row>
    <row r="5014" spans="1:26" ht="14.25" customHeight="1">
      <c r="A5014" s="33" t="s">
        <v>2</v>
      </c>
      <c r="B5014" s="33" t="s">
        <v>3</v>
      </c>
      <c r="C5014" s="33" t="s">
        <v>4</v>
      </c>
      <c r="D5014" s="33" t="s">
        <v>5</v>
      </c>
      <c r="E5014" s="33" t="s">
        <v>6</v>
      </c>
      <c r="F5014" s="34" t="s">
        <v>7</v>
      </c>
      <c r="G5014" s="33" t="s">
        <v>8</v>
      </c>
      <c r="H5014" s="35"/>
      <c r="I5014" s="32"/>
      <c r="J5014" s="32"/>
      <c r="K5014" s="32"/>
      <c r="L5014" s="32"/>
      <c r="M5014" s="32"/>
      <c r="N5014" s="32"/>
      <c r="O5014" s="32"/>
      <c r="P5014" s="32"/>
      <c r="Q5014" s="32"/>
      <c r="R5014" s="32"/>
      <c r="S5014" s="32"/>
      <c r="T5014" s="32"/>
      <c r="U5014" s="32"/>
      <c r="V5014" s="32"/>
      <c r="W5014" s="32"/>
      <c r="X5014" s="32"/>
      <c r="Y5014" s="32"/>
      <c r="Z5014" s="32"/>
    </row>
    <row r="5015" spans="1:26" ht="14.25" customHeight="1">
      <c r="A5015" s="36">
        <v>1</v>
      </c>
      <c r="B5015" s="18" t="s">
        <v>179</v>
      </c>
      <c r="C5015" s="5" t="s">
        <v>1219</v>
      </c>
      <c r="D5015" s="18" t="s">
        <v>11</v>
      </c>
      <c r="E5015" s="18">
        <v>2</v>
      </c>
      <c r="F5015" s="6">
        <v>293000</v>
      </c>
      <c r="G5015" s="37">
        <f t="shared" ref="G5015:G5017" si="317">IFERROR(E5015*F5015,0)</f>
        <v>586000</v>
      </c>
      <c r="H5015" s="38"/>
      <c r="I5015" s="32"/>
      <c r="J5015" s="32"/>
      <c r="K5015" s="32"/>
      <c r="L5015" s="32"/>
      <c r="M5015" s="32"/>
      <c r="N5015" s="32"/>
      <c r="O5015" s="32"/>
      <c r="P5015" s="32"/>
      <c r="Q5015" s="32"/>
      <c r="R5015" s="32"/>
      <c r="S5015" s="32"/>
      <c r="T5015" s="32"/>
      <c r="U5015" s="32"/>
      <c r="V5015" s="32"/>
      <c r="W5015" s="32"/>
      <c r="X5015" s="32"/>
      <c r="Y5015" s="32"/>
      <c r="Z5015" s="32"/>
    </row>
    <row r="5016" spans="1:26" ht="14.25" customHeight="1">
      <c r="A5016" s="36">
        <v>2</v>
      </c>
      <c r="B5016" s="12" t="s">
        <v>54</v>
      </c>
      <c r="C5016" s="10" t="s">
        <v>1220</v>
      </c>
      <c r="D5016" s="12" t="s">
        <v>233</v>
      </c>
      <c r="E5016" s="12">
        <v>1.5</v>
      </c>
      <c r="F5016" s="43">
        <v>435000</v>
      </c>
      <c r="G5016" s="37">
        <f t="shared" si="317"/>
        <v>652500</v>
      </c>
      <c r="H5016" s="38"/>
      <c r="I5016" s="32"/>
      <c r="J5016" s="32"/>
      <c r="K5016" s="32"/>
      <c r="L5016" s="32"/>
      <c r="M5016" s="32"/>
      <c r="N5016" s="32"/>
      <c r="O5016" s="32"/>
      <c r="P5016" s="32"/>
      <c r="Q5016" s="32"/>
      <c r="R5016" s="32"/>
      <c r="S5016" s="32"/>
      <c r="T5016" s="32"/>
      <c r="U5016" s="32"/>
      <c r="V5016" s="32"/>
      <c r="W5016" s="32"/>
      <c r="X5016" s="32"/>
      <c r="Y5016" s="32"/>
      <c r="Z5016" s="32"/>
    </row>
    <row r="5017" spans="1:26" ht="14.25" customHeight="1">
      <c r="A5017" s="36">
        <v>4</v>
      </c>
      <c r="B5017" s="39" t="s">
        <v>17</v>
      </c>
      <c r="C5017" s="38"/>
      <c r="D5017" s="38"/>
      <c r="E5017" s="38"/>
      <c r="F5017" s="60"/>
      <c r="G5017" s="37">
        <f t="shared" si="317"/>
        <v>0</v>
      </c>
      <c r="H5017" s="38"/>
      <c r="I5017" s="32"/>
      <c r="J5017" s="32"/>
      <c r="K5017" s="32"/>
      <c r="L5017" s="32"/>
      <c r="M5017" s="32"/>
      <c r="N5017" s="32"/>
      <c r="O5017" s="32"/>
      <c r="P5017" s="32"/>
      <c r="Q5017" s="32"/>
      <c r="R5017" s="32"/>
      <c r="S5017" s="32"/>
      <c r="T5017" s="32"/>
      <c r="U5017" s="32"/>
      <c r="V5017" s="32"/>
      <c r="W5017" s="32"/>
      <c r="X5017" s="32"/>
      <c r="Y5017" s="32"/>
      <c r="Z5017" s="32"/>
    </row>
    <row r="5018" spans="1:26" ht="14.25" customHeight="1">
      <c r="A5018" s="83" t="s">
        <v>18</v>
      </c>
      <c r="B5018" s="81"/>
      <c r="C5018" s="81"/>
      <c r="D5018" s="81"/>
      <c r="E5018" s="81"/>
      <c r="F5018" s="81"/>
      <c r="G5018" s="82"/>
      <c r="H5018" s="41">
        <f>SUM(G5015:G5017)</f>
        <v>1238500</v>
      </c>
      <c r="I5018" s="32"/>
      <c r="J5018" s="32"/>
      <c r="K5018" s="32"/>
      <c r="L5018" s="32"/>
      <c r="M5018" s="32"/>
      <c r="N5018" s="32"/>
      <c r="O5018" s="32"/>
      <c r="P5018" s="32"/>
      <c r="Q5018" s="32"/>
      <c r="R5018" s="32"/>
      <c r="S5018" s="32"/>
      <c r="T5018" s="32"/>
      <c r="U5018" s="32"/>
      <c r="V5018" s="32"/>
      <c r="W5018" s="32"/>
      <c r="X5018" s="32"/>
      <c r="Y5018" s="32"/>
      <c r="Z5018" s="32"/>
    </row>
    <row r="5019" spans="1:26" ht="14.25" customHeight="1">
      <c r="A5019" s="83" t="s">
        <v>19</v>
      </c>
      <c r="B5019" s="81"/>
      <c r="C5019" s="81"/>
      <c r="D5019" s="81"/>
      <c r="E5019" s="81"/>
      <c r="F5019" s="81"/>
      <c r="G5019" s="82"/>
      <c r="H5019" s="41">
        <f>MAX(0,H5018-648000)</f>
        <v>590500</v>
      </c>
      <c r="I5019" s="32"/>
      <c r="J5019" s="32"/>
      <c r="K5019" s="32"/>
      <c r="L5019" s="32"/>
      <c r="M5019" s="32"/>
      <c r="N5019" s="32"/>
      <c r="O5019" s="32"/>
      <c r="P5019" s="32"/>
      <c r="Q5019" s="32"/>
      <c r="R5019" s="32"/>
      <c r="S5019" s="32"/>
      <c r="T5019" s="32"/>
      <c r="U5019" s="32"/>
      <c r="V5019" s="32"/>
      <c r="W5019" s="32"/>
      <c r="X5019" s="32"/>
      <c r="Y5019" s="32"/>
      <c r="Z5019" s="32"/>
    </row>
    <row r="5020" spans="1:26" ht="14.25" customHeight="1">
      <c r="A5020" s="84" t="s">
        <v>20</v>
      </c>
      <c r="B5020" s="81"/>
      <c r="C5020" s="81"/>
      <c r="D5020" s="81"/>
      <c r="E5020" s="81"/>
      <c r="F5020" s="81"/>
      <c r="G5020" s="82"/>
      <c r="H5020" s="42">
        <v>649000</v>
      </c>
      <c r="I5020" s="32"/>
      <c r="J5020" s="32"/>
      <c r="K5020" s="32"/>
      <c r="L5020" s="32"/>
      <c r="M5020" s="32"/>
      <c r="N5020" s="32"/>
      <c r="O5020" s="32"/>
      <c r="P5020" s="32"/>
      <c r="Q5020" s="32"/>
      <c r="R5020" s="32"/>
      <c r="S5020" s="32"/>
      <c r="T5020" s="32"/>
      <c r="U5020" s="32"/>
      <c r="V5020" s="32"/>
      <c r="W5020" s="32"/>
      <c r="X5020" s="32"/>
      <c r="Y5020" s="32"/>
      <c r="Z5020" s="32"/>
    </row>
    <row r="5021" spans="1:26" ht="14.25" customHeight="1">
      <c r="A5021" s="80"/>
      <c r="B5021" s="81"/>
      <c r="C5021" s="81"/>
      <c r="D5021" s="81"/>
      <c r="E5021" s="81"/>
      <c r="F5021" s="81"/>
      <c r="G5021" s="81"/>
      <c r="H5021" s="82"/>
      <c r="I5021" s="32"/>
      <c r="J5021" s="32"/>
      <c r="K5021" s="32"/>
      <c r="L5021" s="32"/>
      <c r="M5021" s="32"/>
      <c r="N5021" s="32"/>
      <c r="O5021" s="32"/>
      <c r="P5021" s="32"/>
      <c r="Q5021" s="32"/>
      <c r="R5021" s="32"/>
      <c r="S5021" s="32"/>
      <c r="T5021" s="32"/>
      <c r="U5021" s="32"/>
      <c r="V5021" s="32"/>
      <c r="W5021" s="32"/>
      <c r="X5021" s="32"/>
      <c r="Y5021" s="32"/>
      <c r="Z5021" s="32"/>
    </row>
    <row r="5022" spans="1:26" ht="14.25" customHeight="1"/>
    <row r="5023" spans="1:26" ht="14.25" customHeight="1"/>
    <row r="5024" spans="1:26" ht="14.25" customHeight="1"/>
    <row r="5025" spans="1:26" ht="14.25" customHeight="1"/>
    <row r="5026" spans="1:26" ht="14.25" customHeight="1"/>
    <row r="5027" spans="1:26" ht="14.25" customHeight="1">
      <c r="A5027" s="80" t="s">
        <v>0</v>
      </c>
      <c r="B5027" s="81"/>
      <c r="C5027" s="81"/>
      <c r="D5027" s="81"/>
      <c r="E5027" s="81"/>
      <c r="F5027" s="81"/>
      <c r="G5027" s="81"/>
      <c r="H5027" s="82"/>
      <c r="I5027" s="32"/>
      <c r="J5027" s="32"/>
      <c r="K5027" s="32"/>
      <c r="L5027" s="32"/>
      <c r="M5027" s="32"/>
      <c r="N5027" s="32"/>
      <c r="O5027" s="32"/>
      <c r="P5027" s="32"/>
      <c r="Q5027" s="32"/>
      <c r="R5027" s="32"/>
      <c r="S5027" s="32"/>
      <c r="T5027" s="32"/>
      <c r="U5027" s="32"/>
      <c r="V5027" s="32"/>
      <c r="W5027" s="32"/>
      <c r="X5027" s="32"/>
      <c r="Y5027" s="32"/>
      <c r="Z5027" s="32"/>
    </row>
    <row r="5028" spans="1:26" ht="14.25" customHeight="1">
      <c r="A5028" s="80" t="s">
        <v>1221</v>
      </c>
      <c r="B5028" s="81"/>
      <c r="C5028" s="81"/>
      <c r="D5028" s="81"/>
      <c r="E5028" s="81"/>
      <c r="F5028" s="81"/>
      <c r="G5028" s="81"/>
      <c r="H5028" s="82"/>
      <c r="I5028" s="32"/>
      <c r="J5028" s="32"/>
      <c r="K5028" s="32"/>
      <c r="L5028" s="32"/>
      <c r="M5028" s="32"/>
      <c r="N5028" s="32"/>
      <c r="O5028" s="32"/>
      <c r="P5028" s="32"/>
      <c r="Q5028" s="32"/>
      <c r="R5028" s="32"/>
      <c r="S5028" s="32"/>
      <c r="T5028" s="32"/>
      <c r="U5028" s="32"/>
      <c r="V5028" s="32"/>
      <c r="W5028" s="32"/>
      <c r="X5028" s="32"/>
      <c r="Y5028" s="32"/>
      <c r="Z5028" s="32"/>
    </row>
    <row r="5029" spans="1:26" ht="14.25" customHeight="1">
      <c r="A5029" s="33" t="s">
        <v>2</v>
      </c>
      <c r="B5029" s="33" t="s">
        <v>3</v>
      </c>
      <c r="C5029" s="33" t="s">
        <v>4</v>
      </c>
      <c r="D5029" s="33" t="s">
        <v>5</v>
      </c>
      <c r="E5029" s="33" t="s">
        <v>6</v>
      </c>
      <c r="F5029" s="34" t="s">
        <v>7</v>
      </c>
      <c r="G5029" s="33" t="s">
        <v>8</v>
      </c>
      <c r="H5029" s="35"/>
      <c r="I5029" s="32"/>
      <c r="J5029" s="32"/>
      <c r="K5029" s="32"/>
      <c r="L5029" s="32"/>
      <c r="M5029" s="32"/>
      <c r="N5029" s="32"/>
      <c r="O5029" s="32"/>
      <c r="P5029" s="32"/>
      <c r="Q5029" s="32"/>
      <c r="R5029" s="32"/>
      <c r="S5029" s="32"/>
      <c r="T5029" s="32"/>
      <c r="U5029" s="32"/>
      <c r="V5029" s="32"/>
      <c r="W5029" s="32"/>
      <c r="X5029" s="32"/>
      <c r="Y5029" s="32"/>
      <c r="Z5029" s="32"/>
    </row>
    <row r="5030" spans="1:26" ht="14.25" customHeight="1">
      <c r="A5030" s="36">
        <v>1</v>
      </c>
      <c r="B5030" s="18" t="s">
        <v>179</v>
      </c>
      <c r="C5030" s="5" t="s">
        <v>1219</v>
      </c>
      <c r="D5030" s="18" t="s">
        <v>11</v>
      </c>
      <c r="E5030" s="18">
        <v>2</v>
      </c>
      <c r="F5030" s="6">
        <v>293000</v>
      </c>
      <c r="G5030" s="37">
        <f t="shared" ref="G5030:G5032" si="318">IFERROR(E5030*F5030,0)</f>
        <v>586000</v>
      </c>
      <c r="H5030" s="38"/>
      <c r="I5030" s="32"/>
      <c r="J5030" s="32"/>
      <c r="K5030" s="32"/>
      <c r="L5030" s="32"/>
      <c r="M5030" s="32"/>
      <c r="N5030" s="32"/>
      <c r="O5030" s="32"/>
      <c r="P5030" s="32"/>
      <c r="Q5030" s="32"/>
      <c r="R5030" s="32"/>
      <c r="S5030" s="32"/>
      <c r="T5030" s="32"/>
      <c r="U5030" s="32"/>
      <c r="V5030" s="32"/>
      <c r="W5030" s="32"/>
      <c r="X5030" s="32"/>
      <c r="Y5030" s="32"/>
      <c r="Z5030" s="32"/>
    </row>
    <row r="5031" spans="1:26" ht="14.25" customHeight="1">
      <c r="A5031" s="36">
        <v>2</v>
      </c>
      <c r="B5031" s="12" t="s">
        <v>992</v>
      </c>
      <c r="C5031" s="10" t="s">
        <v>993</v>
      </c>
      <c r="D5031" s="12" t="s">
        <v>233</v>
      </c>
      <c r="E5031" s="12">
        <v>1.49</v>
      </c>
      <c r="F5031" s="43">
        <v>435000</v>
      </c>
      <c r="G5031" s="37">
        <f t="shared" si="318"/>
        <v>648150</v>
      </c>
      <c r="H5031" s="38"/>
      <c r="I5031" s="32"/>
      <c r="J5031" s="32"/>
      <c r="K5031" s="32"/>
      <c r="L5031" s="32"/>
      <c r="M5031" s="32"/>
      <c r="N5031" s="32"/>
      <c r="O5031" s="32"/>
      <c r="P5031" s="32"/>
      <c r="Q5031" s="32"/>
      <c r="R5031" s="32"/>
      <c r="S5031" s="32"/>
      <c r="T5031" s="32"/>
      <c r="U5031" s="32"/>
      <c r="V5031" s="32"/>
      <c r="W5031" s="32"/>
      <c r="X5031" s="32"/>
      <c r="Y5031" s="32"/>
      <c r="Z5031" s="32"/>
    </row>
    <row r="5032" spans="1:26" ht="14.25" customHeight="1">
      <c r="A5032" s="36">
        <v>4</v>
      </c>
      <c r="B5032" s="39" t="s">
        <v>17</v>
      </c>
      <c r="C5032" s="38"/>
      <c r="D5032" s="38"/>
      <c r="E5032" s="38"/>
      <c r="F5032" s="60"/>
      <c r="G5032" s="37">
        <f t="shared" si="318"/>
        <v>0</v>
      </c>
      <c r="H5032" s="38"/>
      <c r="I5032" s="32"/>
      <c r="J5032" s="32"/>
      <c r="K5032" s="32"/>
      <c r="L5032" s="32"/>
      <c r="M5032" s="32"/>
      <c r="N5032" s="32"/>
      <c r="O5032" s="32"/>
      <c r="P5032" s="32"/>
      <c r="Q5032" s="32"/>
      <c r="R5032" s="32"/>
      <c r="S5032" s="32"/>
      <c r="T5032" s="32"/>
      <c r="U5032" s="32"/>
      <c r="V5032" s="32"/>
      <c r="W5032" s="32"/>
      <c r="X5032" s="32"/>
      <c r="Y5032" s="32"/>
      <c r="Z5032" s="32"/>
    </row>
    <row r="5033" spans="1:26" ht="14.25" customHeight="1">
      <c r="A5033" s="83" t="s">
        <v>18</v>
      </c>
      <c r="B5033" s="81"/>
      <c r="C5033" s="81"/>
      <c r="D5033" s="81"/>
      <c r="E5033" s="81"/>
      <c r="F5033" s="81"/>
      <c r="G5033" s="82"/>
      <c r="H5033" s="41">
        <f>SUM(G5030:G5032)</f>
        <v>1234150</v>
      </c>
      <c r="I5033" s="32"/>
      <c r="J5033" s="32"/>
      <c r="K5033" s="32"/>
      <c r="L5033" s="32"/>
      <c r="M5033" s="32"/>
      <c r="N5033" s="32"/>
      <c r="O5033" s="32"/>
      <c r="P5033" s="32"/>
      <c r="Q5033" s="32"/>
      <c r="R5033" s="32"/>
      <c r="S5033" s="32"/>
      <c r="T5033" s="32"/>
      <c r="U5033" s="32"/>
      <c r="V5033" s="32"/>
      <c r="W5033" s="32"/>
      <c r="X5033" s="32"/>
      <c r="Y5033" s="32"/>
      <c r="Z5033" s="32"/>
    </row>
    <row r="5034" spans="1:26" ht="14.25" customHeight="1">
      <c r="A5034" s="83" t="s">
        <v>19</v>
      </c>
      <c r="B5034" s="81"/>
      <c r="C5034" s="81"/>
      <c r="D5034" s="81"/>
      <c r="E5034" s="81"/>
      <c r="F5034" s="81"/>
      <c r="G5034" s="82"/>
      <c r="H5034" s="41">
        <f>MAX(0,H5033-648000)</f>
        <v>586150</v>
      </c>
      <c r="I5034" s="32"/>
      <c r="J5034" s="32"/>
      <c r="K5034" s="32"/>
      <c r="L5034" s="32"/>
      <c r="M5034" s="32"/>
      <c r="N5034" s="32"/>
      <c r="O5034" s="32"/>
      <c r="P5034" s="32"/>
      <c r="Q5034" s="32"/>
      <c r="R5034" s="32"/>
      <c r="S5034" s="32"/>
      <c r="T5034" s="32"/>
      <c r="U5034" s="32"/>
      <c r="V5034" s="32"/>
      <c r="W5034" s="32"/>
      <c r="X5034" s="32"/>
      <c r="Y5034" s="32"/>
      <c r="Z5034" s="32"/>
    </row>
    <row r="5035" spans="1:26" ht="14.25" customHeight="1">
      <c r="A5035" s="84" t="s">
        <v>20</v>
      </c>
      <c r="B5035" s="81"/>
      <c r="C5035" s="81"/>
      <c r="D5035" s="81"/>
      <c r="E5035" s="81"/>
      <c r="F5035" s="81"/>
      <c r="G5035" s="82"/>
      <c r="H5035" s="42">
        <v>649000</v>
      </c>
      <c r="I5035" s="32"/>
      <c r="J5035" s="32"/>
      <c r="K5035" s="32"/>
      <c r="L5035" s="32"/>
      <c r="M5035" s="32"/>
      <c r="N5035" s="32"/>
      <c r="O5035" s="32"/>
      <c r="P5035" s="32"/>
      <c r="Q5035" s="32"/>
      <c r="R5035" s="32"/>
      <c r="S5035" s="32"/>
      <c r="T5035" s="32"/>
      <c r="U5035" s="32"/>
      <c r="V5035" s="32"/>
      <c r="W5035" s="32"/>
      <c r="X5035" s="32"/>
      <c r="Y5035" s="32"/>
      <c r="Z5035" s="32"/>
    </row>
    <row r="5036" spans="1:26" ht="14.25" customHeight="1">
      <c r="A5036" s="80"/>
      <c r="B5036" s="81"/>
      <c r="C5036" s="81"/>
      <c r="D5036" s="81"/>
      <c r="E5036" s="81"/>
      <c r="F5036" s="81"/>
      <c r="G5036" s="81"/>
      <c r="H5036" s="82"/>
      <c r="I5036" s="32"/>
      <c r="J5036" s="32"/>
      <c r="K5036" s="32"/>
      <c r="L5036" s="32"/>
      <c r="M5036" s="32"/>
      <c r="N5036" s="32"/>
      <c r="O5036" s="32"/>
      <c r="P5036" s="32"/>
      <c r="Q5036" s="32"/>
      <c r="R5036" s="32"/>
      <c r="S5036" s="32"/>
      <c r="T5036" s="32"/>
      <c r="U5036" s="32"/>
      <c r="V5036" s="32"/>
      <c r="W5036" s="32"/>
      <c r="X5036" s="32"/>
      <c r="Y5036" s="32"/>
      <c r="Z5036" s="32"/>
    </row>
    <row r="5037" spans="1:26" ht="14.25" customHeight="1"/>
    <row r="5038" spans="1:26" ht="14.25" customHeight="1"/>
    <row r="5039" spans="1:26" ht="14.25" customHeight="1"/>
    <row r="5040" spans="1:26" ht="14.25" customHeight="1"/>
    <row r="5041" spans="1:26" ht="14.25" customHeight="1"/>
    <row r="5042" spans="1:26" ht="14.25" customHeight="1">
      <c r="A5042" s="80" t="s">
        <v>0</v>
      </c>
      <c r="B5042" s="81"/>
      <c r="C5042" s="81"/>
      <c r="D5042" s="81"/>
      <c r="E5042" s="81"/>
      <c r="F5042" s="81"/>
      <c r="G5042" s="81"/>
      <c r="H5042" s="82"/>
      <c r="I5042" s="32"/>
      <c r="J5042" s="32"/>
      <c r="K5042" s="32"/>
      <c r="L5042" s="32"/>
      <c r="M5042" s="32"/>
      <c r="N5042" s="32"/>
      <c r="O5042" s="32"/>
      <c r="P5042" s="32"/>
      <c r="Q5042" s="32"/>
      <c r="R5042" s="32"/>
      <c r="S5042" s="32"/>
      <c r="T5042" s="32"/>
      <c r="U5042" s="32"/>
      <c r="V5042" s="32"/>
      <c r="W5042" s="32"/>
      <c r="X5042" s="32"/>
      <c r="Y5042" s="32"/>
      <c r="Z5042" s="32"/>
    </row>
    <row r="5043" spans="1:26" ht="14.25" customHeight="1">
      <c r="A5043" s="80" t="s">
        <v>1222</v>
      </c>
      <c r="B5043" s="81"/>
      <c r="C5043" s="81"/>
      <c r="D5043" s="81"/>
      <c r="E5043" s="81"/>
      <c r="F5043" s="81"/>
      <c r="G5043" s="81"/>
      <c r="H5043" s="82"/>
      <c r="I5043" s="32"/>
      <c r="J5043" s="32"/>
      <c r="K5043" s="32"/>
      <c r="L5043" s="32"/>
      <c r="M5043" s="32"/>
      <c r="N5043" s="32"/>
      <c r="O5043" s="32"/>
      <c r="P5043" s="32"/>
      <c r="Q5043" s="32"/>
      <c r="R5043" s="32"/>
      <c r="S5043" s="32"/>
      <c r="T5043" s="32"/>
      <c r="U5043" s="32"/>
      <c r="V5043" s="32"/>
      <c r="W5043" s="32"/>
      <c r="X5043" s="32"/>
      <c r="Y5043" s="32"/>
      <c r="Z5043" s="32"/>
    </row>
    <row r="5044" spans="1:26" ht="14.25" customHeight="1">
      <c r="A5044" s="33" t="s">
        <v>2</v>
      </c>
      <c r="B5044" s="33" t="s">
        <v>3</v>
      </c>
      <c r="C5044" s="33" t="s">
        <v>4</v>
      </c>
      <c r="D5044" s="33" t="s">
        <v>5</v>
      </c>
      <c r="E5044" s="33" t="s">
        <v>6</v>
      </c>
      <c r="F5044" s="34" t="s">
        <v>7</v>
      </c>
      <c r="G5044" s="33" t="s">
        <v>8</v>
      </c>
      <c r="H5044" s="35"/>
      <c r="I5044" s="32"/>
      <c r="J5044" s="32"/>
      <c r="K5044" s="32"/>
      <c r="L5044" s="32"/>
      <c r="M5044" s="32"/>
      <c r="N5044" s="32"/>
      <c r="O5044" s="32"/>
      <c r="P5044" s="32"/>
      <c r="Q5044" s="32"/>
      <c r="R5044" s="32"/>
      <c r="S5044" s="32"/>
      <c r="T5044" s="32"/>
      <c r="U5044" s="32"/>
      <c r="V5044" s="32"/>
      <c r="W5044" s="32"/>
      <c r="X5044" s="32"/>
      <c r="Y5044" s="32"/>
      <c r="Z5044" s="32"/>
    </row>
    <row r="5045" spans="1:26" ht="14.25" customHeight="1">
      <c r="A5045" s="36">
        <v>1</v>
      </c>
      <c r="B5045" s="18" t="s">
        <v>179</v>
      </c>
      <c r="C5045" s="5" t="s">
        <v>1219</v>
      </c>
      <c r="D5045" s="18" t="s">
        <v>11</v>
      </c>
      <c r="E5045" s="18">
        <v>2</v>
      </c>
      <c r="F5045" s="6">
        <v>293000</v>
      </c>
      <c r="G5045" s="37">
        <f t="shared" ref="G5045:G5047" si="319">IFERROR(E5045*F5045,0)</f>
        <v>586000</v>
      </c>
      <c r="H5045" s="38"/>
      <c r="I5045" s="32"/>
      <c r="J5045" s="32"/>
      <c r="K5045" s="32"/>
      <c r="L5045" s="32"/>
      <c r="M5045" s="32"/>
      <c r="N5045" s="32"/>
      <c r="O5045" s="32"/>
      <c r="P5045" s="32"/>
      <c r="Q5045" s="32"/>
      <c r="R5045" s="32"/>
      <c r="S5045" s="32"/>
      <c r="T5045" s="32"/>
      <c r="U5045" s="32"/>
      <c r="V5045" s="32"/>
      <c r="W5045" s="32"/>
      <c r="X5045" s="32"/>
      <c r="Y5045" s="32"/>
      <c r="Z5045" s="32"/>
    </row>
    <row r="5046" spans="1:26" ht="14.25" customHeight="1">
      <c r="A5046" s="36">
        <v>2</v>
      </c>
      <c r="B5046" s="12" t="s">
        <v>33</v>
      </c>
      <c r="C5046" s="10" t="s">
        <v>1223</v>
      </c>
      <c r="D5046" s="12" t="s">
        <v>233</v>
      </c>
      <c r="E5046" s="12">
        <v>1.56</v>
      </c>
      <c r="F5046" s="43">
        <v>435000</v>
      </c>
      <c r="G5046" s="37">
        <f t="shared" si="319"/>
        <v>678600</v>
      </c>
      <c r="H5046" s="38"/>
      <c r="I5046" s="32"/>
      <c r="J5046" s="32"/>
      <c r="K5046" s="32"/>
      <c r="L5046" s="32"/>
      <c r="M5046" s="32"/>
      <c r="N5046" s="32"/>
      <c r="O5046" s="32"/>
      <c r="P5046" s="32"/>
      <c r="Q5046" s="32"/>
      <c r="R5046" s="32"/>
      <c r="S5046" s="32"/>
      <c r="T5046" s="32"/>
      <c r="U5046" s="32"/>
      <c r="V5046" s="32"/>
      <c r="W5046" s="32"/>
      <c r="X5046" s="32"/>
      <c r="Y5046" s="32"/>
      <c r="Z5046" s="32"/>
    </row>
    <row r="5047" spans="1:26" ht="14.25" customHeight="1">
      <c r="A5047" s="36">
        <v>4</v>
      </c>
      <c r="B5047" s="39" t="s">
        <v>17</v>
      </c>
      <c r="C5047" s="38"/>
      <c r="D5047" s="38"/>
      <c r="E5047" s="38"/>
      <c r="F5047" s="60"/>
      <c r="G5047" s="37">
        <f t="shared" si="319"/>
        <v>0</v>
      </c>
      <c r="H5047" s="38"/>
      <c r="I5047" s="32"/>
      <c r="J5047" s="32"/>
      <c r="K5047" s="32"/>
      <c r="L5047" s="32"/>
      <c r="M5047" s="32"/>
      <c r="N5047" s="32"/>
      <c r="O5047" s="32"/>
      <c r="P5047" s="32"/>
      <c r="Q5047" s="32"/>
      <c r="R5047" s="32"/>
      <c r="S5047" s="32"/>
      <c r="T5047" s="32"/>
      <c r="U5047" s="32"/>
      <c r="V5047" s="32"/>
      <c r="W5047" s="32"/>
      <c r="X5047" s="32"/>
      <c r="Y5047" s="32"/>
      <c r="Z5047" s="32"/>
    </row>
    <row r="5048" spans="1:26" ht="14.25" customHeight="1">
      <c r="A5048" s="83" t="s">
        <v>18</v>
      </c>
      <c r="B5048" s="81"/>
      <c r="C5048" s="81"/>
      <c r="D5048" s="81"/>
      <c r="E5048" s="81"/>
      <c r="F5048" s="81"/>
      <c r="G5048" s="82"/>
      <c r="H5048" s="41">
        <f>SUM(G5045:G5047)</f>
        <v>1264600</v>
      </c>
      <c r="I5048" s="32"/>
      <c r="J5048" s="32"/>
      <c r="K5048" s="32"/>
      <c r="L5048" s="32"/>
      <c r="M5048" s="32"/>
      <c r="N5048" s="32"/>
      <c r="O5048" s="32"/>
      <c r="P5048" s="32"/>
      <c r="Q5048" s="32"/>
      <c r="R5048" s="32"/>
      <c r="S5048" s="32"/>
      <c r="T5048" s="32"/>
      <c r="U5048" s="32"/>
      <c r="V5048" s="32"/>
      <c r="W5048" s="32"/>
      <c r="X5048" s="32"/>
      <c r="Y5048" s="32"/>
      <c r="Z5048" s="32"/>
    </row>
    <row r="5049" spans="1:26" ht="14.25" customHeight="1">
      <c r="A5049" s="83" t="s">
        <v>19</v>
      </c>
      <c r="B5049" s="81"/>
      <c r="C5049" s="81"/>
      <c r="D5049" s="81"/>
      <c r="E5049" s="81"/>
      <c r="F5049" s="81"/>
      <c r="G5049" s="82"/>
      <c r="H5049" s="41">
        <f>MAX(0,H5048-648000)</f>
        <v>616600</v>
      </c>
      <c r="I5049" s="32"/>
      <c r="J5049" s="32"/>
      <c r="K5049" s="32"/>
      <c r="L5049" s="32"/>
      <c r="M5049" s="32"/>
      <c r="N5049" s="32"/>
      <c r="O5049" s="32"/>
      <c r="P5049" s="32"/>
      <c r="Q5049" s="32"/>
      <c r="R5049" s="32"/>
      <c r="S5049" s="32"/>
      <c r="T5049" s="32"/>
      <c r="U5049" s="32"/>
      <c r="V5049" s="32"/>
      <c r="W5049" s="32"/>
      <c r="X5049" s="32"/>
      <c r="Y5049" s="32"/>
      <c r="Z5049" s="32"/>
    </row>
    <row r="5050" spans="1:26" ht="14.25" customHeight="1">
      <c r="A5050" s="84" t="s">
        <v>20</v>
      </c>
      <c r="B5050" s="81"/>
      <c r="C5050" s="81"/>
      <c r="D5050" s="81"/>
      <c r="E5050" s="81"/>
      <c r="F5050" s="81"/>
      <c r="G5050" s="82"/>
      <c r="H5050" s="42">
        <v>649000</v>
      </c>
      <c r="I5050" s="32"/>
      <c r="J5050" s="32"/>
      <c r="K5050" s="32"/>
      <c r="L5050" s="32"/>
      <c r="M5050" s="32"/>
      <c r="N5050" s="32"/>
      <c r="O5050" s="32"/>
      <c r="P5050" s="32"/>
      <c r="Q5050" s="32"/>
      <c r="R5050" s="32"/>
      <c r="S5050" s="32"/>
      <c r="T5050" s="32"/>
      <c r="U5050" s="32"/>
      <c r="V5050" s="32"/>
      <c r="W5050" s="32"/>
      <c r="X5050" s="32"/>
      <c r="Y5050" s="32"/>
      <c r="Z5050" s="32"/>
    </row>
    <row r="5051" spans="1:26" ht="14.25" customHeight="1">
      <c r="A5051" s="80"/>
      <c r="B5051" s="81"/>
      <c r="C5051" s="81"/>
      <c r="D5051" s="81"/>
      <c r="E5051" s="81"/>
      <c r="F5051" s="81"/>
      <c r="G5051" s="81"/>
      <c r="H5051" s="82"/>
      <c r="I5051" s="32"/>
      <c r="J5051" s="32"/>
      <c r="K5051" s="32"/>
      <c r="L5051" s="32"/>
      <c r="M5051" s="32"/>
      <c r="N5051" s="32"/>
      <c r="O5051" s="32"/>
      <c r="P5051" s="32"/>
      <c r="Q5051" s="32"/>
      <c r="R5051" s="32"/>
      <c r="S5051" s="32"/>
      <c r="T5051" s="32"/>
      <c r="U5051" s="32"/>
      <c r="V5051" s="32"/>
      <c r="W5051" s="32"/>
      <c r="X5051" s="32"/>
      <c r="Y5051" s="32"/>
      <c r="Z5051" s="32"/>
    </row>
    <row r="5052" spans="1:26" ht="14.25" customHeight="1"/>
    <row r="5053" spans="1:26" ht="14.25" customHeight="1"/>
    <row r="5054" spans="1:26" ht="14.25" customHeight="1"/>
    <row r="5055" spans="1:26" ht="14.25" customHeight="1"/>
    <row r="5056" spans="1:26" ht="14.25" customHeight="1"/>
    <row r="5057" spans="1:26" ht="14.25" customHeight="1"/>
    <row r="5058" spans="1:26" ht="14.25" customHeight="1">
      <c r="A5058" s="80" t="s">
        <v>0</v>
      </c>
      <c r="B5058" s="81"/>
      <c r="C5058" s="81"/>
      <c r="D5058" s="81"/>
      <c r="E5058" s="81"/>
      <c r="F5058" s="81"/>
      <c r="G5058" s="81"/>
      <c r="H5058" s="82"/>
      <c r="I5058" s="32"/>
      <c r="J5058" s="32"/>
      <c r="K5058" s="32"/>
      <c r="L5058" s="32"/>
      <c r="M5058" s="32"/>
      <c r="N5058" s="32"/>
      <c r="O5058" s="32"/>
      <c r="P5058" s="32"/>
      <c r="Q5058" s="32"/>
      <c r="R5058" s="32"/>
      <c r="S5058" s="32"/>
      <c r="T5058" s="32"/>
      <c r="U5058" s="32"/>
      <c r="V5058" s="32"/>
      <c r="W5058" s="32"/>
      <c r="X5058" s="32"/>
      <c r="Y5058" s="32"/>
      <c r="Z5058" s="32"/>
    </row>
    <row r="5059" spans="1:26" ht="14.25" customHeight="1">
      <c r="A5059" s="80" t="s">
        <v>1224</v>
      </c>
      <c r="B5059" s="81"/>
      <c r="C5059" s="81"/>
      <c r="D5059" s="81"/>
      <c r="E5059" s="81"/>
      <c r="F5059" s="81"/>
      <c r="G5059" s="81"/>
      <c r="H5059" s="82"/>
      <c r="I5059" s="32"/>
      <c r="J5059" s="32"/>
      <c r="K5059" s="32"/>
      <c r="L5059" s="32"/>
      <c r="M5059" s="32"/>
      <c r="N5059" s="32"/>
      <c r="O5059" s="32"/>
      <c r="P5059" s="32"/>
      <c r="Q5059" s="32"/>
      <c r="R5059" s="32"/>
      <c r="S5059" s="32"/>
      <c r="T5059" s="32"/>
      <c r="U5059" s="32"/>
      <c r="V5059" s="32"/>
      <c r="W5059" s="32"/>
      <c r="X5059" s="32"/>
      <c r="Y5059" s="32"/>
      <c r="Z5059" s="32"/>
    </row>
    <row r="5060" spans="1:26" ht="14.25" customHeight="1">
      <c r="A5060" s="33" t="s">
        <v>2</v>
      </c>
      <c r="B5060" s="33" t="s">
        <v>3</v>
      </c>
      <c r="C5060" s="33" t="s">
        <v>4</v>
      </c>
      <c r="D5060" s="33" t="s">
        <v>5</v>
      </c>
      <c r="E5060" s="33" t="s">
        <v>6</v>
      </c>
      <c r="F5060" s="34" t="s">
        <v>7</v>
      </c>
      <c r="G5060" s="33" t="s">
        <v>8</v>
      </c>
      <c r="H5060" s="35"/>
      <c r="I5060" s="32"/>
      <c r="J5060" s="32"/>
      <c r="K5060" s="32"/>
      <c r="L5060" s="32"/>
      <c r="M5060" s="32"/>
      <c r="N5060" s="32"/>
      <c r="O5060" s="32"/>
      <c r="P5060" s="32"/>
      <c r="Q5060" s="32"/>
      <c r="R5060" s="32"/>
      <c r="S5060" s="32"/>
      <c r="T5060" s="32"/>
      <c r="U5060" s="32"/>
      <c r="V5060" s="32"/>
      <c r="W5060" s="32"/>
      <c r="X5060" s="32"/>
      <c r="Y5060" s="32"/>
      <c r="Z5060" s="32"/>
    </row>
    <row r="5061" spans="1:26" ht="14.25" customHeight="1">
      <c r="A5061" s="36">
        <v>1</v>
      </c>
      <c r="B5061" s="18" t="s">
        <v>1225</v>
      </c>
      <c r="C5061" s="5" t="s">
        <v>1226</v>
      </c>
      <c r="D5061" s="18" t="s">
        <v>11</v>
      </c>
      <c r="E5061" s="18">
        <v>2.4</v>
      </c>
      <c r="F5061" s="6">
        <v>293000</v>
      </c>
      <c r="G5061" s="37">
        <f t="shared" ref="G5061:G5063" si="320">IFERROR(E5061*F5061,0)</f>
        <v>703200</v>
      </c>
      <c r="H5061" s="38"/>
      <c r="I5061" s="32"/>
      <c r="J5061" s="32"/>
      <c r="K5061" s="32"/>
      <c r="L5061" s="32"/>
      <c r="M5061" s="32"/>
      <c r="N5061" s="32"/>
      <c r="O5061" s="32"/>
      <c r="P5061" s="32"/>
      <c r="Q5061" s="32"/>
      <c r="R5061" s="32"/>
      <c r="S5061" s="32"/>
      <c r="T5061" s="32"/>
      <c r="U5061" s="32"/>
      <c r="V5061" s="32"/>
      <c r="W5061" s="32"/>
      <c r="X5061" s="32"/>
      <c r="Y5061" s="32"/>
      <c r="Z5061" s="32"/>
    </row>
    <row r="5062" spans="1:26" ht="14.25" customHeight="1">
      <c r="A5062" s="36">
        <v>2</v>
      </c>
      <c r="B5062" s="12" t="s">
        <v>73</v>
      </c>
      <c r="C5062" s="10" t="s">
        <v>1227</v>
      </c>
      <c r="D5062" s="12" t="s">
        <v>233</v>
      </c>
      <c r="E5062" s="12">
        <v>1</v>
      </c>
      <c r="F5062" s="43">
        <v>435000</v>
      </c>
      <c r="G5062" s="37">
        <f t="shared" si="320"/>
        <v>435000</v>
      </c>
      <c r="H5062" s="38"/>
      <c r="I5062" s="32"/>
      <c r="J5062" s="32"/>
      <c r="K5062" s="32"/>
      <c r="L5062" s="32"/>
      <c r="M5062" s="32"/>
      <c r="N5062" s="32"/>
      <c r="O5062" s="32"/>
      <c r="P5062" s="32"/>
      <c r="Q5062" s="32"/>
      <c r="R5062" s="32"/>
      <c r="S5062" s="32"/>
      <c r="T5062" s="32"/>
      <c r="U5062" s="32"/>
      <c r="V5062" s="32"/>
      <c r="W5062" s="32"/>
      <c r="X5062" s="32"/>
      <c r="Y5062" s="32"/>
      <c r="Z5062" s="32"/>
    </row>
    <row r="5063" spans="1:26" ht="14.25" customHeight="1">
      <c r="A5063" s="36">
        <v>4</v>
      </c>
      <c r="B5063" s="39" t="s">
        <v>17</v>
      </c>
      <c r="C5063" s="38"/>
      <c r="D5063" s="38"/>
      <c r="E5063" s="38"/>
      <c r="F5063" s="60"/>
      <c r="G5063" s="37">
        <f t="shared" si="320"/>
        <v>0</v>
      </c>
      <c r="H5063" s="38"/>
      <c r="I5063" s="32"/>
      <c r="J5063" s="32"/>
      <c r="K5063" s="32"/>
      <c r="L5063" s="32"/>
      <c r="M5063" s="32"/>
      <c r="N5063" s="32"/>
      <c r="O5063" s="32"/>
      <c r="P5063" s="32"/>
      <c r="Q5063" s="32"/>
      <c r="R5063" s="32"/>
      <c r="S5063" s="32"/>
      <c r="T5063" s="32"/>
      <c r="U5063" s="32"/>
      <c r="V5063" s="32"/>
      <c r="W5063" s="32"/>
      <c r="X5063" s="32"/>
      <c r="Y5063" s="32"/>
      <c r="Z5063" s="32"/>
    </row>
    <row r="5064" spans="1:26" ht="14.25" customHeight="1">
      <c r="A5064" s="83" t="s">
        <v>18</v>
      </c>
      <c r="B5064" s="81"/>
      <c r="C5064" s="81"/>
      <c r="D5064" s="81"/>
      <c r="E5064" s="81"/>
      <c r="F5064" s="81"/>
      <c r="G5064" s="82"/>
      <c r="H5064" s="41">
        <f>SUM(G5061:G5063)</f>
        <v>1138200</v>
      </c>
      <c r="I5064" s="32"/>
      <c r="J5064" s="32"/>
      <c r="K5064" s="32"/>
      <c r="L5064" s="32"/>
      <c r="M5064" s="32"/>
      <c r="N5064" s="32"/>
      <c r="O5064" s="32"/>
      <c r="P5064" s="32"/>
      <c r="Q5064" s="32"/>
      <c r="R5064" s="32"/>
      <c r="S5064" s="32"/>
      <c r="T5064" s="32"/>
      <c r="U5064" s="32"/>
      <c r="V5064" s="32"/>
      <c r="W5064" s="32"/>
      <c r="X5064" s="32"/>
      <c r="Y5064" s="32"/>
      <c r="Z5064" s="32"/>
    </row>
    <row r="5065" spans="1:26" ht="14.25" customHeight="1">
      <c r="A5065" s="83" t="s">
        <v>19</v>
      </c>
      <c r="B5065" s="81"/>
      <c r="C5065" s="81"/>
      <c r="D5065" s="81"/>
      <c r="E5065" s="81"/>
      <c r="F5065" s="81"/>
      <c r="G5065" s="82"/>
      <c r="H5065" s="41">
        <f>MAX(0,H5064-648000)</f>
        <v>490200</v>
      </c>
      <c r="I5065" s="32"/>
      <c r="J5065" s="32"/>
      <c r="K5065" s="32"/>
      <c r="L5065" s="32"/>
      <c r="M5065" s="32"/>
      <c r="N5065" s="32"/>
      <c r="O5065" s="32"/>
      <c r="P5065" s="32"/>
      <c r="Q5065" s="32"/>
      <c r="R5065" s="32"/>
      <c r="S5065" s="32"/>
      <c r="T5065" s="32"/>
      <c r="U5065" s="32"/>
      <c r="V5065" s="32"/>
      <c r="W5065" s="32"/>
      <c r="X5065" s="32"/>
      <c r="Y5065" s="32"/>
      <c r="Z5065" s="32"/>
    </row>
    <row r="5066" spans="1:26" ht="14.25" customHeight="1">
      <c r="A5066" s="84" t="s">
        <v>20</v>
      </c>
      <c r="B5066" s="81"/>
      <c r="C5066" s="81"/>
      <c r="D5066" s="81"/>
      <c r="E5066" s="81"/>
      <c r="F5066" s="81"/>
      <c r="G5066" s="82"/>
      <c r="H5066" s="42">
        <v>649000</v>
      </c>
      <c r="I5066" s="32"/>
      <c r="J5066" s="32"/>
      <c r="K5066" s="32"/>
      <c r="L5066" s="32"/>
      <c r="M5066" s="32"/>
      <c r="N5066" s="32"/>
      <c r="O5066" s="32"/>
      <c r="P5066" s="32"/>
      <c r="Q5066" s="32"/>
      <c r="R5066" s="32"/>
      <c r="S5066" s="32"/>
      <c r="T5066" s="32"/>
      <c r="U5066" s="32"/>
      <c r="V5066" s="32"/>
      <c r="W5066" s="32"/>
      <c r="X5066" s="32"/>
      <c r="Y5066" s="32"/>
      <c r="Z5066" s="32"/>
    </row>
    <row r="5067" spans="1:26" ht="14.25" customHeight="1">
      <c r="A5067" s="80"/>
      <c r="B5067" s="81"/>
      <c r="C5067" s="81"/>
      <c r="D5067" s="81"/>
      <c r="E5067" s="81"/>
      <c r="F5067" s="81"/>
      <c r="G5067" s="81"/>
      <c r="H5067" s="82"/>
      <c r="I5067" s="32"/>
      <c r="J5067" s="32"/>
      <c r="K5067" s="32"/>
      <c r="L5067" s="32"/>
      <c r="M5067" s="32"/>
      <c r="N5067" s="32"/>
      <c r="O5067" s="32"/>
      <c r="P5067" s="32"/>
      <c r="Q5067" s="32"/>
      <c r="R5067" s="32"/>
      <c r="S5067" s="32"/>
      <c r="T5067" s="32"/>
      <c r="U5067" s="32"/>
      <c r="V5067" s="32"/>
      <c r="W5067" s="32"/>
      <c r="X5067" s="32"/>
      <c r="Y5067" s="32"/>
      <c r="Z5067" s="32"/>
    </row>
    <row r="5068" spans="1:26" ht="14.25" customHeight="1"/>
    <row r="5069" spans="1:26" ht="14.25" customHeight="1"/>
    <row r="5070" spans="1:26" ht="14.25" customHeight="1"/>
    <row r="5071" spans="1:26" ht="14.25" customHeight="1"/>
    <row r="5072" spans="1:26" ht="14.25" customHeight="1"/>
    <row r="5073" spans="1:26" ht="14.25" customHeight="1"/>
    <row r="5074" spans="1:26" ht="14.25" customHeight="1">
      <c r="A5074" s="80" t="s">
        <v>0</v>
      </c>
      <c r="B5074" s="81"/>
      <c r="C5074" s="81"/>
      <c r="D5074" s="81"/>
      <c r="E5074" s="81"/>
      <c r="F5074" s="81"/>
      <c r="G5074" s="81"/>
      <c r="H5074" s="82"/>
      <c r="I5074" s="32"/>
      <c r="J5074" s="32"/>
      <c r="K5074" s="32"/>
      <c r="L5074" s="32"/>
      <c r="M5074" s="32"/>
      <c r="N5074" s="32"/>
      <c r="O5074" s="32"/>
      <c r="P5074" s="32"/>
      <c r="Q5074" s="32"/>
      <c r="R5074" s="32"/>
      <c r="S5074" s="32"/>
      <c r="T5074" s="32"/>
      <c r="U5074" s="32"/>
      <c r="V5074" s="32"/>
      <c r="W5074" s="32"/>
      <c r="X5074" s="32"/>
      <c r="Y5074" s="32"/>
      <c r="Z5074" s="32"/>
    </row>
    <row r="5075" spans="1:26" ht="14.25" customHeight="1">
      <c r="A5075" s="80" t="s">
        <v>1228</v>
      </c>
      <c r="B5075" s="81"/>
      <c r="C5075" s="81"/>
      <c r="D5075" s="81"/>
      <c r="E5075" s="81"/>
      <c r="F5075" s="81"/>
      <c r="G5075" s="81"/>
      <c r="H5075" s="82"/>
      <c r="I5075" s="32"/>
      <c r="J5075" s="32"/>
      <c r="K5075" s="32"/>
      <c r="L5075" s="32"/>
      <c r="M5075" s="32"/>
      <c r="N5075" s="32"/>
      <c r="O5075" s="32"/>
      <c r="P5075" s="32"/>
      <c r="Q5075" s="32"/>
      <c r="R5075" s="32"/>
      <c r="S5075" s="32"/>
      <c r="T5075" s="32"/>
      <c r="U5075" s="32"/>
      <c r="V5075" s="32"/>
      <c r="W5075" s="32"/>
      <c r="X5075" s="32"/>
      <c r="Y5075" s="32"/>
      <c r="Z5075" s="32"/>
    </row>
    <row r="5076" spans="1:26" ht="14.25" customHeight="1">
      <c r="A5076" s="33" t="s">
        <v>2</v>
      </c>
      <c r="B5076" s="33" t="s">
        <v>3</v>
      </c>
      <c r="C5076" s="33" t="s">
        <v>4</v>
      </c>
      <c r="D5076" s="33" t="s">
        <v>5</v>
      </c>
      <c r="E5076" s="33" t="s">
        <v>6</v>
      </c>
      <c r="F5076" s="34" t="s">
        <v>7</v>
      </c>
      <c r="G5076" s="33" t="s">
        <v>8</v>
      </c>
      <c r="H5076" s="35"/>
      <c r="I5076" s="32"/>
      <c r="J5076" s="32"/>
      <c r="K5076" s="32"/>
      <c r="L5076" s="32"/>
      <c r="M5076" s="32"/>
      <c r="N5076" s="32"/>
      <c r="O5076" s="32"/>
      <c r="P5076" s="32"/>
      <c r="Q5076" s="32"/>
      <c r="R5076" s="32"/>
      <c r="S5076" s="32"/>
      <c r="T5076" s="32"/>
      <c r="U5076" s="32"/>
      <c r="V5076" s="32"/>
      <c r="W5076" s="32"/>
      <c r="X5076" s="32"/>
      <c r="Y5076" s="32"/>
      <c r="Z5076" s="32"/>
    </row>
    <row r="5077" spans="1:26" ht="14.25" customHeight="1">
      <c r="A5077" s="36">
        <v>1</v>
      </c>
      <c r="B5077" s="18" t="s">
        <v>203</v>
      </c>
      <c r="C5077" s="5" t="s">
        <v>1229</v>
      </c>
      <c r="D5077" s="18" t="s">
        <v>11</v>
      </c>
      <c r="E5077" s="18">
        <v>2</v>
      </c>
      <c r="F5077" s="6">
        <v>293000</v>
      </c>
      <c r="G5077" s="37">
        <f t="shared" ref="G5077:G5079" si="321">IFERROR(E5077*F5077,0)</f>
        <v>586000</v>
      </c>
      <c r="H5077" s="38"/>
      <c r="I5077" s="32"/>
      <c r="J5077" s="32"/>
      <c r="K5077" s="32"/>
      <c r="L5077" s="32"/>
      <c r="M5077" s="32"/>
      <c r="N5077" s="32"/>
      <c r="O5077" s="32"/>
      <c r="P5077" s="32"/>
      <c r="Q5077" s="32"/>
      <c r="R5077" s="32"/>
      <c r="S5077" s="32"/>
      <c r="T5077" s="32"/>
      <c r="U5077" s="32"/>
      <c r="V5077" s="32"/>
      <c r="W5077" s="32"/>
      <c r="X5077" s="32"/>
      <c r="Y5077" s="32"/>
      <c r="Z5077" s="32"/>
    </row>
    <row r="5078" spans="1:26" ht="14.25" customHeight="1">
      <c r="A5078" s="36">
        <v>2</v>
      </c>
      <c r="B5078" s="12" t="s">
        <v>33</v>
      </c>
      <c r="C5078" s="10" t="s">
        <v>1230</v>
      </c>
      <c r="D5078" s="12" t="s">
        <v>233</v>
      </c>
      <c r="E5078" s="12">
        <v>1.48</v>
      </c>
      <c r="F5078" s="43">
        <v>435000</v>
      </c>
      <c r="G5078" s="37">
        <f t="shared" si="321"/>
        <v>643800</v>
      </c>
      <c r="H5078" s="38"/>
      <c r="I5078" s="32"/>
      <c r="J5078" s="32"/>
      <c r="K5078" s="32"/>
      <c r="L5078" s="32"/>
      <c r="M5078" s="32"/>
      <c r="N5078" s="32"/>
      <c r="O5078" s="32"/>
      <c r="P5078" s="32"/>
      <c r="Q5078" s="32"/>
      <c r="R5078" s="32"/>
      <c r="S5078" s="32"/>
      <c r="T5078" s="32"/>
      <c r="U5078" s="32"/>
      <c r="V5078" s="32"/>
      <c r="W5078" s="32"/>
      <c r="X5078" s="32"/>
      <c r="Y5078" s="32"/>
      <c r="Z5078" s="32"/>
    </row>
    <row r="5079" spans="1:26" ht="14.25" customHeight="1">
      <c r="A5079" s="36">
        <v>4</v>
      </c>
      <c r="B5079" s="39" t="s">
        <v>17</v>
      </c>
      <c r="C5079" s="38"/>
      <c r="D5079" s="38"/>
      <c r="E5079" s="38"/>
      <c r="F5079" s="60"/>
      <c r="G5079" s="37">
        <f t="shared" si="321"/>
        <v>0</v>
      </c>
      <c r="H5079" s="38"/>
      <c r="I5079" s="32"/>
      <c r="J5079" s="32"/>
      <c r="K5079" s="32"/>
      <c r="L5079" s="32"/>
      <c r="M5079" s="32"/>
      <c r="N5079" s="32"/>
      <c r="O5079" s="32"/>
      <c r="P5079" s="32"/>
      <c r="Q5079" s="32"/>
      <c r="R5079" s="32"/>
      <c r="S5079" s="32"/>
      <c r="T5079" s="32"/>
      <c r="U5079" s="32"/>
      <c r="V5079" s="32"/>
      <c r="W5079" s="32"/>
      <c r="X5079" s="32"/>
      <c r="Y5079" s="32"/>
      <c r="Z5079" s="32"/>
    </row>
    <row r="5080" spans="1:26" ht="14.25" customHeight="1">
      <c r="A5080" s="83" t="s">
        <v>18</v>
      </c>
      <c r="B5080" s="81"/>
      <c r="C5080" s="81"/>
      <c r="D5080" s="81"/>
      <c r="E5080" s="81"/>
      <c r="F5080" s="81"/>
      <c r="G5080" s="82"/>
      <c r="H5080" s="41">
        <f>SUM(G5077:G5079)</f>
        <v>1229800</v>
      </c>
      <c r="I5080" s="32"/>
      <c r="J5080" s="32"/>
      <c r="K5080" s="32"/>
      <c r="L5080" s="32"/>
      <c r="M5080" s="32"/>
      <c r="N5080" s="32"/>
      <c r="O5080" s="32"/>
      <c r="P5080" s="32"/>
      <c r="Q5080" s="32"/>
      <c r="R5080" s="32"/>
      <c r="S5080" s="32"/>
      <c r="T5080" s="32"/>
      <c r="U5080" s="32"/>
      <c r="V5080" s="32"/>
      <c r="W5080" s="32"/>
      <c r="X5080" s="32"/>
      <c r="Y5080" s="32"/>
      <c r="Z5080" s="32"/>
    </row>
    <row r="5081" spans="1:26" ht="14.25" customHeight="1">
      <c r="A5081" s="83" t="s">
        <v>19</v>
      </c>
      <c r="B5081" s="81"/>
      <c r="C5081" s="81"/>
      <c r="D5081" s="81"/>
      <c r="E5081" s="81"/>
      <c r="F5081" s="81"/>
      <c r="G5081" s="82"/>
      <c r="H5081" s="41">
        <f>MAX(0,H5080-648000)</f>
        <v>581800</v>
      </c>
      <c r="I5081" s="32"/>
      <c r="J5081" s="32"/>
      <c r="K5081" s="32"/>
      <c r="L5081" s="32"/>
      <c r="M5081" s="32"/>
      <c r="N5081" s="32"/>
      <c r="O5081" s="32"/>
      <c r="P5081" s="32"/>
      <c r="Q5081" s="32"/>
      <c r="R5081" s="32"/>
      <c r="S5081" s="32"/>
      <c r="T5081" s="32"/>
      <c r="U5081" s="32"/>
      <c r="V5081" s="32"/>
      <c r="W5081" s="32"/>
      <c r="X5081" s="32"/>
      <c r="Y5081" s="32"/>
      <c r="Z5081" s="32"/>
    </row>
    <row r="5082" spans="1:26" ht="14.25" customHeight="1">
      <c r="A5082" s="84" t="s">
        <v>20</v>
      </c>
      <c r="B5082" s="81"/>
      <c r="C5082" s="81"/>
      <c r="D5082" s="81"/>
      <c r="E5082" s="81"/>
      <c r="F5082" s="81"/>
      <c r="G5082" s="82"/>
      <c r="H5082" s="42">
        <v>649000</v>
      </c>
      <c r="I5082" s="32"/>
      <c r="J5082" s="32"/>
      <c r="K5082" s="32"/>
      <c r="L5082" s="32"/>
      <c r="M5082" s="32"/>
      <c r="N5082" s="32"/>
      <c r="O5082" s="32"/>
      <c r="P5082" s="32"/>
      <c r="Q5082" s="32"/>
      <c r="R5082" s="32"/>
      <c r="S5082" s="32"/>
      <c r="T5082" s="32"/>
      <c r="U5082" s="32"/>
      <c r="V5082" s="32"/>
      <c r="W5082" s="32"/>
      <c r="X5082" s="32"/>
      <c r="Y5082" s="32"/>
      <c r="Z5082" s="32"/>
    </row>
    <row r="5083" spans="1:26" ht="14.25" customHeight="1">
      <c r="A5083" s="80"/>
      <c r="B5083" s="81"/>
      <c r="C5083" s="81"/>
      <c r="D5083" s="81"/>
      <c r="E5083" s="81"/>
      <c r="F5083" s="81"/>
      <c r="G5083" s="81"/>
      <c r="H5083" s="82"/>
      <c r="I5083" s="32"/>
      <c r="J5083" s="32"/>
      <c r="K5083" s="32"/>
      <c r="L5083" s="32"/>
      <c r="M5083" s="32"/>
      <c r="N5083" s="32"/>
      <c r="O5083" s="32"/>
      <c r="P5083" s="32"/>
      <c r="Q5083" s="32"/>
      <c r="R5083" s="32"/>
      <c r="S5083" s="32"/>
      <c r="T5083" s="32"/>
      <c r="U5083" s="32"/>
      <c r="V5083" s="32"/>
      <c r="W5083" s="32"/>
      <c r="X5083" s="32"/>
      <c r="Y5083" s="32"/>
      <c r="Z5083" s="32"/>
    </row>
    <row r="5084" spans="1:26" ht="14.25" customHeight="1"/>
    <row r="5085" spans="1:26" ht="14.25" customHeight="1"/>
    <row r="5086" spans="1:26" ht="14.25" customHeight="1"/>
    <row r="5087" spans="1:26" ht="14.25" customHeight="1"/>
    <row r="5088" spans="1:26" ht="14.25" customHeight="1">
      <c r="A5088" s="80" t="s">
        <v>0</v>
      </c>
      <c r="B5088" s="81"/>
      <c r="C5088" s="81"/>
      <c r="D5088" s="81"/>
      <c r="E5088" s="81"/>
      <c r="F5088" s="81"/>
      <c r="G5088" s="81"/>
      <c r="H5088" s="82"/>
      <c r="I5088" s="32"/>
      <c r="J5088" s="32"/>
      <c r="K5088" s="32"/>
      <c r="L5088" s="32"/>
      <c r="M5088" s="32"/>
      <c r="N5088" s="32"/>
      <c r="O5088" s="32"/>
      <c r="P5088" s="32"/>
      <c r="Q5088" s="32"/>
      <c r="R5088" s="32"/>
      <c r="S5088" s="32"/>
      <c r="T5088" s="32"/>
      <c r="U5088" s="32"/>
      <c r="V5088" s="32"/>
      <c r="W5088" s="32"/>
      <c r="X5088" s="32"/>
      <c r="Y5088" s="32"/>
      <c r="Z5088" s="32"/>
    </row>
    <row r="5089" spans="1:26" ht="14.25" customHeight="1">
      <c r="A5089" s="80" t="s">
        <v>1231</v>
      </c>
      <c r="B5089" s="81"/>
      <c r="C5089" s="81"/>
      <c r="D5089" s="81"/>
      <c r="E5089" s="81"/>
      <c r="F5089" s="81"/>
      <c r="G5089" s="81"/>
      <c r="H5089" s="82"/>
      <c r="I5089" s="32"/>
      <c r="J5089" s="32"/>
      <c r="K5089" s="32"/>
      <c r="L5089" s="32"/>
      <c r="M5089" s="32"/>
      <c r="N5089" s="32"/>
      <c r="O5089" s="32"/>
      <c r="P5089" s="32"/>
      <c r="Q5089" s="32"/>
      <c r="R5089" s="32"/>
      <c r="S5089" s="32"/>
      <c r="T5089" s="32"/>
      <c r="U5089" s="32"/>
      <c r="V5089" s="32"/>
      <c r="W5089" s="32"/>
      <c r="X5089" s="32"/>
      <c r="Y5089" s="32"/>
      <c r="Z5089" s="32"/>
    </row>
    <row r="5090" spans="1:26" ht="14.25" customHeight="1">
      <c r="A5090" s="33" t="s">
        <v>2</v>
      </c>
      <c r="B5090" s="33" t="s">
        <v>3</v>
      </c>
      <c r="C5090" s="33" t="s">
        <v>4</v>
      </c>
      <c r="D5090" s="33" t="s">
        <v>5</v>
      </c>
      <c r="E5090" s="33" t="s">
        <v>6</v>
      </c>
      <c r="F5090" s="34" t="s">
        <v>7</v>
      </c>
      <c r="G5090" s="33" t="s">
        <v>8</v>
      </c>
      <c r="H5090" s="35"/>
      <c r="I5090" s="32"/>
      <c r="J5090" s="32"/>
      <c r="K5090" s="32"/>
      <c r="L5090" s="32"/>
      <c r="M5090" s="32"/>
      <c r="N5090" s="32"/>
      <c r="O5090" s="32"/>
      <c r="P5090" s="32"/>
      <c r="Q5090" s="32"/>
      <c r="R5090" s="32"/>
      <c r="S5090" s="32"/>
      <c r="T5090" s="32"/>
      <c r="U5090" s="32"/>
      <c r="V5090" s="32"/>
      <c r="W5090" s="32"/>
      <c r="X5090" s="32"/>
      <c r="Y5090" s="32"/>
      <c r="Z5090" s="32"/>
    </row>
    <row r="5091" spans="1:26" ht="14.25" customHeight="1">
      <c r="A5091" s="36">
        <v>1</v>
      </c>
      <c r="B5091" s="18" t="s">
        <v>203</v>
      </c>
      <c r="C5091" s="5" t="s">
        <v>1232</v>
      </c>
      <c r="D5091" s="18" t="s">
        <v>11</v>
      </c>
      <c r="E5091" s="18">
        <v>2.5</v>
      </c>
      <c r="F5091" s="6">
        <v>293000</v>
      </c>
      <c r="G5091" s="37">
        <f t="shared" ref="G5091:G5093" si="322">IFERROR(E5091*F5091,0)</f>
        <v>732500</v>
      </c>
      <c r="H5091" s="38"/>
      <c r="I5091" s="32"/>
      <c r="J5091" s="32"/>
      <c r="K5091" s="32"/>
      <c r="L5091" s="32"/>
      <c r="M5091" s="32"/>
      <c r="N5091" s="32"/>
      <c r="O5091" s="32"/>
      <c r="P5091" s="32"/>
      <c r="Q5091" s="32"/>
      <c r="R5091" s="32"/>
      <c r="S5091" s="32"/>
      <c r="T5091" s="32"/>
      <c r="U5091" s="32"/>
      <c r="V5091" s="32"/>
      <c r="W5091" s="32"/>
      <c r="X5091" s="32"/>
      <c r="Y5091" s="32"/>
      <c r="Z5091" s="32"/>
    </row>
    <row r="5092" spans="1:26" ht="14.25" customHeight="1">
      <c r="A5092" s="36">
        <v>2</v>
      </c>
      <c r="B5092" s="12" t="s">
        <v>144</v>
      </c>
      <c r="C5092" s="10" t="s">
        <v>1233</v>
      </c>
      <c r="D5092" s="12" t="s">
        <v>233</v>
      </c>
      <c r="E5092" s="12">
        <v>1</v>
      </c>
      <c r="F5092" s="43">
        <v>435000</v>
      </c>
      <c r="G5092" s="37">
        <f t="shared" si="322"/>
        <v>435000</v>
      </c>
      <c r="H5092" s="38"/>
      <c r="I5092" s="32"/>
      <c r="J5092" s="32"/>
      <c r="K5092" s="32"/>
      <c r="L5092" s="32"/>
      <c r="M5092" s="32"/>
      <c r="N5092" s="32"/>
      <c r="O5092" s="32"/>
      <c r="P5092" s="32"/>
      <c r="Q5092" s="32"/>
      <c r="R5092" s="32"/>
      <c r="S5092" s="32"/>
      <c r="T5092" s="32"/>
      <c r="U5092" s="32"/>
      <c r="V5092" s="32"/>
      <c r="W5092" s="32"/>
      <c r="X5092" s="32"/>
      <c r="Y5092" s="32"/>
      <c r="Z5092" s="32"/>
    </row>
    <row r="5093" spans="1:26" ht="14.25" customHeight="1">
      <c r="A5093" s="36">
        <v>4</v>
      </c>
      <c r="B5093" s="39" t="s">
        <v>17</v>
      </c>
      <c r="C5093" s="38"/>
      <c r="D5093" s="38"/>
      <c r="E5093" s="38"/>
      <c r="F5093" s="60"/>
      <c r="G5093" s="37">
        <f t="shared" si="322"/>
        <v>0</v>
      </c>
      <c r="H5093" s="38"/>
      <c r="I5093" s="32"/>
      <c r="J5093" s="32"/>
      <c r="K5093" s="32"/>
      <c r="L5093" s="32"/>
      <c r="M5093" s="32"/>
      <c r="N5093" s="32"/>
      <c r="O5093" s="32"/>
      <c r="P5093" s="32"/>
      <c r="Q5093" s="32"/>
      <c r="R5093" s="32"/>
      <c r="S5093" s="32"/>
      <c r="T5093" s="32"/>
      <c r="U5093" s="32"/>
      <c r="V5093" s="32"/>
      <c r="W5093" s="32"/>
      <c r="X5093" s="32"/>
      <c r="Y5093" s="32"/>
      <c r="Z5093" s="32"/>
    </row>
    <row r="5094" spans="1:26" ht="14.25" customHeight="1">
      <c r="A5094" s="83" t="s">
        <v>18</v>
      </c>
      <c r="B5094" s="81"/>
      <c r="C5094" s="81"/>
      <c r="D5094" s="81"/>
      <c r="E5094" s="81"/>
      <c r="F5094" s="81"/>
      <c r="G5094" s="82"/>
      <c r="H5094" s="41">
        <f>SUM(G5091:G5093)</f>
        <v>1167500</v>
      </c>
      <c r="I5094" s="32"/>
      <c r="J5094" s="32"/>
      <c r="K5094" s="32"/>
      <c r="L5094" s="32"/>
      <c r="M5094" s="32"/>
      <c r="N5094" s="32"/>
      <c r="O5094" s="32"/>
      <c r="P5094" s="32"/>
      <c r="Q5094" s="32"/>
      <c r="R5094" s="32"/>
      <c r="S5094" s="32"/>
      <c r="T5094" s="32"/>
      <c r="U5094" s="32"/>
      <c r="V5094" s="32"/>
      <c r="W5094" s="32"/>
      <c r="X5094" s="32"/>
      <c r="Y5094" s="32"/>
      <c r="Z5094" s="32"/>
    </row>
    <row r="5095" spans="1:26" ht="14.25" customHeight="1">
      <c r="A5095" s="83" t="s">
        <v>19</v>
      </c>
      <c r="B5095" s="81"/>
      <c r="C5095" s="81"/>
      <c r="D5095" s="81"/>
      <c r="E5095" s="81"/>
      <c r="F5095" s="81"/>
      <c r="G5095" s="82"/>
      <c r="H5095" s="41">
        <f>MAX(0,H5094-648000)</f>
        <v>519500</v>
      </c>
      <c r="I5095" s="32"/>
      <c r="J5095" s="32"/>
      <c r="K5095" s="32"/>
      <c r="L5095" s="32"/>
      <c r="M5095" s="32"/>
      <c r="N5095" s="32"/>
      <c r="O5095" s="32"/>
      <c r="P5095" s="32"/>
      <c r="Q5095" s="32"/>
      <c r="R5095" s="32"/>
      <c r="S5095" s="32"/>
      <c r="T5095" s="32"/>
      <c r="U5095" s="32"/>
      <c r="V5095" s="32"/>
      <c r="W5095" s="32"/>
      <c r="X5095" s="32"/>
      <c r="Y5095" s="32"/>
      <c r="Z5095" s="32"/>
    </row>
    <row r="5096" spans="1:26" ht="14.25" customHeight="1">
      <c r="A5096" s="84" t="s">
        <v>20</v>
      </c>
      <c r="B5096" s="81"/>
      <c r="C5096" s="81"/>
      <c r="D5096" s="81"/>
      <c r="E5096" s="81"/>
      <c r="F5096" s="81"/>
      <c r="G5096" s="82"/>
      <c r="H5096" s="42">
        <v>649000</v>
      </c>
      <c r="I5096" s="32"/>
      <c r="J5096" s="32"/>
      <c r="K5096" s="32"/>
      <c r="L5096" s="32"/>
      <c r="M5096" s="32"/>
      <c r="N5096" s="32"/>
      <c r="O5096" s="32"/>
      <c r="P5096" s="32"/>
      <c r="Q5096" s="32"/>
      <c r="R5096" s="32"/>
      <c r="S5096" s="32"/>
      <c r="T5096" s="32"/>
      <c r="U5096" s="32"/>
      <c r="V5096" s="32"/>
      <c r="W5096" s="32"/>
      <c r="X5096" s="32"/>
      <c r="Y5096" s="32"/>
      <c r="Z5096" s="32"/>
    </row>
    <row r="5097" spans="1:26" ht="14.25" customHeight="1">
      <c r="A5097" s="80"/>
      <c r="B5097" s="81"/>
      <c r="C5097" s="81"/>
      <c r="D5097" s="81"/>
      <c r="E5097" s="81"/>
      <c r="F5097" s="81"/>
      <c r="G5097" s="81"/>
      <c r="H5097" s="82"/>
      <c r="I5097" s="32"/>
      <c r="J5097" s="32"/>
      <c r="K5097" s="32"/>
      <c r="L5097" s="32"/>
      <c r="M5097" s="32"/>
      <c r="N5097" s="32"/>
      <c r="O5097" s="32"/>
      <c r="P5097" s="32"/>
      <c r="Q5097" s="32"/>
      <c r="R5097" s="32"/>
      <c r="S5097" s="32"/>
      <c r="T5097" s="32"/>
      <c r="U5097" s="32"/>
      <c r="V5097" s="32"/>
      <c r="W5097" s="32"/>
      <c r="X5097" s="32"/>
      <c r="Y5097" s="32"/>
      <c r="Z5097" s="32"/>
    </row>
    <row r="5098" spans="1:26" ht="14.25" customHeight="1"/>
    <row r="5099" spans="1:26" ht="14.25" customHeight="1"/>
    <row r="5100" spans="1:26" ht="14.25" customHeight="1"/>
    <row r="5101" spans="1:26" ht="14.25" customHeight="1"/>
    <row r="5102" spans="1:26" ht="14.25" customHeight="1"/>
    <row r="5103" spans="1:26" ht="14.25" customHeight="1">
      <c r="A5103" s="80" t="s">
        <v>0</v>
      </c>
      <c r="B5103" s="81"/>
      <c r="C5103" s="81"/>
      <c r="D5103" s="81"/>
      <c r="E5103" s="81"/>
      <c r="F5103" s="81"/>
      <c r="G5103" s="81"/>
      <c r="H5103" s="82"/>
      <c r="I5103" s="32"/>
      <c r="J5103" s="32"/>
      <c r="K5103" s="32"/>
      <c r="L5103" s="32"/>
      <c r="M5103" s="32"/>
      <c r="N5103" s="32"/>
      <c r="O5103" s="32"/>
      <c r="P5103" s="32"/>
      <c r="Q5103" s="32"/>
      <c r="R5103" s="32"/>
      <c r="S5103" s="32"/>
      <c r="T5103" s="32"/>
      <c r="U5103" s="32"/>
      <c r="V5103" s="32"/>
      <c r="W5103" s="32"/>
      <c r="X5103" s="32"/>
      <c r="Y5103" s="32"/>
      <c r="Z5103" s="32"/>
    </row>
    <row r="5104" spans="1:26" ht="14.25" customHeight="1">
      <c r="A5104" s="80" t="s">
        <v>1234</v>
      </c>
      <c r="B5104" s="81"/>
      <c r="C5104" s="81"/>
      <c r="D5104" s="81"/>
      <c r="E5104" s="81"/>
      <c r="F5104" s="81"/>
      <c r="G5104" s="81"/>
      <c r="H5104" s="82"/>
      <c r="I5104" s="32"/>
      <c r="J5104" s="32"/>
      <c r="K5104" s="32"/>
      <c r="L5104" s="32"/>
      <c r="M5104" s="32"/>
      <c r="N5104" s="32"/>
      <c r="O5104" s="32"/>
      <c r="P5104" s="32"/>
      <c r="Q5104" s="32"/>
      <c r="R5104" s="32"/>
      <c r="S5104" s="32"/>
      <c r="T5104" s="32"/>
      <c r="U5104" s="32"/>
      <c r="V5104" s="32"/>
      <c r="W5104" s="32"/>
      <c r="X5104" s="32"/>
      <c r="Y5104" s="32"/>
      <c r="Z5104" s="32"/>
    </row>
    <row r="5105" spans="1:26" ht="14.25" customHeight="1">
      <c r="A5105" s="33" t="s">
        <v>2</v>
      </c>
      <c r="B5105" s="33" t="s">
        <v>3</v>
      </c>
      <c r="C5105" s="33" t="s">
        <v>4</v>
      </c>
      <c r="D5105" s="33" t="s">
        <v>5</v>
      </c>
      <c r="E5105" s="33" t="s">
        <v>6</v>
      </c>
      <c r="F5105" s="34" t="s">
        <v>7</v>
      </c>
      <c r="G5105" s="33" t="s">
        <v>8</v>
      </c>
      <c r="H5105" s="35"/>
      <c r="I5105" s="32"/>
      <c r="J5105" s="32"/>
      <c r="K5105" s="32"/>
      <c r="L5105" s="32"/>
      <c r="M5105" s="32"/>
      <c r="N5105" s="32"/>
      <c r="O5105" s="32"/>
      <c r="P5105" s="32"/>
      <c r="Q5105" s="32"/>
      <c r="R5105" s="32"/>
      <c r="S5105" s="32"/>
      <c r="T5105" s="32"/>
      <c r="U5105" s="32"/>
      <c r="V5105" s="32"/>
      <c r="W5105" s="32"/>
      <c r="X5105" s="32"/>
      <c r="Y5105" s="32"/>
      <c r="Z5105" s="32"/>
    </row>
    <row r="5106" spans="1:26" ht="14.25" customHeight="1">
      <c r="A5106" s="36">
        <v>1</v>
      </c>
      <c r="B5106" s="18" t="s">
        <v>203</v>
      </c>
      <c r="C5106" s="5" t="s">
        <v>1235</v>
      </c>
      <c r="D5106" s="18" t="s">
        <v>11</v>
      </c>
      <c r="E5106" s="18">
        <v>2.8</v>
      </c>
      <c r="F5106" s="6">
        <v>293000</v>
      </c>
      <c r="G5106" s="37">
        <f t="shared" ref="G5106:G5108" si="323">IFERROR(E5106*F5106,0)</f>
        <v>820400</v>
      </c>
      <c r="H5106" s="38"/>
      <c r="I5106" s="32"/>
      <c r="J5106" s="32"/>
      <c r="K5106" s="32"/>
      <c r="L5106" s="32"/>
      <c r="M5106" s="32"/>
      <c r="N5106" s="32"/>
      <c r="O5106" s="32"/>
      <c r="P5106" s="32"/>
      <c r="Q5106" s="32"/>
      <c r="R5106" s="32"/>
      <c r="S5106" s="32"/>
      <c r="T5106" s="32"/>
      <c r="U5106" s="32"/>
      <c r="V5106" s="32"/>
      <c r="W5106" s="32"/>
      <c r="X5106" s="32"/>
      <c r="Y5106" s="32"/>
      <c r="Z5106" s="32"/>
    </row>
    <row r="5107" spans="1:26" ht="14.25" customHeight="1">
      <c r="A5107" s="36">
        <v>2</v>
      </c>
      <c r="B5107" s="12" t="s">
        <v>1109</v>
      </c>
      <c r="C5107" s="10" t="s">
        <v>1236</v>
      </c>
      <c r="D5107" s="12" t="s">
        <v>233</v>
      </c>
      <c r="E5107" s="12">
        <v>0.94</v>
      </c>
      <c r="F5107" s="43">
        <v>435000</v>
      </c>
      <c r="G5107" s="37">
        <f t="shared" si="323"/>
        <v>408900</v>
      </c>
      <c r="H5107" s="38"/>
      <c r="I5107" s="32"/>
      <c r="J5107" s="32"/>
      <c r="K5107" s="32"/>
      <c r="L5107" s="32"/>
      <c r="M5107" s="32"/>
      <c r="N5107" s="32"/>
      <c r="O5107" s="32"/>
      <c r="P5107" s="32"/>
      <c r="Q5107" s="32"/>
      <c r="R5107" s="32"/>
      <c r="S5107" s="32"/>
      <c r="T5107" s="32"/>
      <c r="U5107" s="32"/>
      <c r="V5107" s="32"/>
      <c r="W5107" s="32"/>
      <c r="X5107" s="32"/>
      <c r="Y5107" s="32"/>
      <c r="Z5107" s="32"/>
    </row>
    <row r="5108" spans="1:26" ht="14.25" customHeight="1">
      <c r="A5108" s="36">
        <v>4</v>
      </c>
      <c r="B5108" s="39" t="s">
        <v>17</v>
      </c>
      <c r="C5108" s="38"/>
      <c r="D5108" s="38"/>
      <c r="E5108" s="38"/>
      <c r="F5108" s="60"/>
      <c r="G5108" s="37">
        <f t="shared" si="323"/>
        <v>0</v>
      </c>
      <c r="H5108" s="38"/>
      <c r="I5108" s="32"/>
      <c r="J5108" s="32"/>
      <c r="K5108" s="32"/>
      <c r="L5108" s="32"/>
      <c r="M5108" s="32"/>
      <c r="N5108" s="32"/>
      <c r="O5108" s="32"/>
      <c r="P5108" s="32"/>
      <c r="Q5108" s="32"/>
      <c r="R5108" s="32"/>
      <c r="S5108" s="32"/>
      <c r="T5108" s="32"/>
      <c r="U5108" s="32"/>
      <c r="V5108" s="32"/>
      <c r="W5108" s="32"/>
      <c r="X5108" s="32"/>
      <c r="Y5108" s="32"/>
      <c r="Z5108" s="32"/>
    </row>
    <row r="5109" spans="1:26" ht="14.25" customHeight="1">
      <c r="A5109" s="83" t="s">
        <v>18</v>
      </c>
      <c r="B5109" s="81"/>
      <c r="C5109" s="81"/>
      <c r="D5109" s="81"/>
      <c r="E5109" s="81"/>
      <c r="F5109" s="81"/>
      <c r="G5109" s="82"/>
      <c r="H5109" s="41">
        <f>SUM(G5106:G5108)</f>
        <v>1229300</v>
      </c>
      <c r="I5109" s="32"/>
      <c r="J5109" s="32"/>
      <c r="K5109" s="32"/>
      <c r="L5109" s="32"/>
      <c r="M5109" s="32"/>
      <c r="N5109" s="32"/>
      <c r="O5109" s="32"/>
      <c r="P5109" s="32"/>
      <c r="Q5109" s="32"/>
      <c r="R5109" s="32"/>
      <c r="S5109" s="32"/>
      <c r="T5109" s="32"/>
      <c r="U5109" s="32"/>
      <c r="V5109" s="32"/>
      <c r="W5109" s="32"/>
      <c r="X5109" s="32"/>
      <c r="Y5109" s="32"/>
      <c r="Z5109" s="32"/>
    </row>
    <row r="5110" spans="1:26" ht="14.25" customHeight="1">
      <c r="A5110" s="83" t="s">
        <v>19</v>
      </c>
      <c r="B5110" s="81"/>
      <c r="C5110" s="81"/>
      <c r="D5110" s="81"/>
      <c r="E5110" s="81"/>
      <c r="F5110" s="81"/>
      <c r="G5110" s="82"/>
      <c r="H5110" s="41">
        <f>MAX(0,H5109-648000)</f>
        <v>581300</v>
      </c>
      <c r="I5110" s="32"/>
      <c r="J5110" s="32"/>
      <c r="K5110" s="32"/>
      <c r="L5110" s="32"/>
      <c r="M5110" s="32"/>
      <c r="N5110" s="32"/>
      <c r="O5110" s="32"/>
      <c r="P5110" s="32"/>
      <c r="Q5110" s="32"/>
      <c r="R5110" s="32"/>
      <c r="S5110" s="32"/>
      <c r="T5110" s="32"/>
      <c r="U5110" s="32"/>
      <c r="V5110" s="32"/>
      <c r="W5110" s="32"/>
      <c r="X5110" s="32"/>
      <c r="Y5110" s="32"/>
      <c r="Z5110" s="32"/>
    </row>
    <row r="5111" spans="1:26" ht="14.25" customHeight="1">
      <c r="A5111" s="84" t="s">
        <v>20</v>
      </c>
      <c r="B5111" s="81"/>
      <c r="C5111" s="81"/>
      <c r="D5111" s="81"/>
      <c r="E5111" s="81"/>
      <c r="F5111" s="81"/>
      <c r="G5111" s="82"/>
      <c r="H5111" s="42">
        <v>649000</v>
      </c>
      <c r="I5111" s="32"/>
      <c r="J5111" s="32"/>
      <c r="K5111" s="32"/>
      <c r="L5111" s="32"/>
      <c r="M5111" s="32"/>
      <c r="N5111" s="32"/>
      <c r="O5111" s="32"/>
      <c r="P5111" s="32"/>
      <c r="Q5111" s="32"/>
      <c r="R5111" s="32"/>
      <c r="S5111" s="32"/>
      <c r="T5111" s="32"/>
      <c r="U5111" s="32"/>
      <c r="V5111" s="32"/>
      <c r="W5111" s="32"/>
      <c r="X5111" s="32"/>
      <c r="Y5111" s="32"/>
      <c r="Z5111" s="32"/>
    </row>
    <row r="5112" spans="1:26" ht="14.25" customHeight="1">
      <c r="A5112" s="80"/>
      <c r="B5112" s="81"/>
      <c r="C5112" s="81"/>
      <c r="D5112" s="81"/>
      <c r="E5112" s="81"/>
      <c r="F5112" s="81"/>
      <c r="G5112" s="81"/>
      <c r="H5112" s="82"/>
      <c r="I5112" s="32"/>
      <c r="J5112" s="32"/>
      <c r="K5112" s="32"/>
      <c r="L5112" s="32"/>
      <c r="M5112" s="32"/>
      <c r="N5112" s="32"/>
      <c r="O5112" s="32"/>
      <c r="P5112" s="32"/>
      <c r="Q5112" s="32"/>
      <c r="R5112" s="32"/>
      <c r="S5112" s="32"/>
      <c r="T5112" s="32"/>
      <c r="U5112" s="32"/>
      <c r="V5112" s="32"/>
      <c r="W5112" s="32"/>
      <c r="X5112" s="32"/>
      <c r="Y5112" s="32"/>
      <c r="Z5112" s="32"/>
    </row>
    <row r="5113" spans="1:26" ht="14.25" customHeight="1"/>
    <row r="5114" spans="1:26" ht="14.25" customHeight="1"/>
    <row r="5115" spans="1:26" ht="14.25" customHeight="1"/>
    <row r="5116" spans="1:26" ht="14.25" customHeight="1"/>
    <row r="5117" spans="1:26" ht="14.25" customHeight="1"/>
    <row r="5118" spans="1:26" ht="14.25" customHeight="1">
      <c r="A5118" s="80" t="s">
        <v>0</v>
      </c>
      <c r="B5118" s="81"/>
      <c r="C5118" s="81"/>
      <c r="D5118" s="81"/>
      <c r="E5118" s="81"/>
      <c r="F5118" s="81"/>
      <c r="G5118" s="81"/>
      <c r="H5118" s="82"/>
      <c r="I5118" s="32"/>
      <c r="J5118" s="32"/>
      <c r="K5118" s="32"/>
      <c r="L5118" s="32"/>
      <c r="M5118" s="32"/>
      <c r="N5118" s="32"/>
      <c r="O5118" s="32"/>
      <c r="P5118" s="32"/>
      <c r="Q5118" s="32"/>
      <c r="R5118" s="32"/>
      <c r="S5118" s="32"/>
      <c r="T5118" s="32"/>
      <c r="U5118" s="32"/>
      <c r="V5118" s="32"/>
      <c r="W5118" s="32"/>
      <c r="X5118" s="32"/>
      <c r="Y5118" s="32"/>
      <c r="Z5118" s="32"/>
    </row>
    <row r="5119" spans="1:26" ht="14.25" customHeight="1">
      <c r="A5119" s="80" t="s">
        <v>1237</v>
      </c>
      <c r="B5119" s="81"/>
      <c r="C5119" s="81"/>
      <c r="D5119" s="81"/>
      <c r="E5119" s="81"/>
      <c r="F5119" s="81"/>
      <c r="G5119" s="81"/>
      <c r="H5119" s="82"/>
      <c r="I5119" s="32"/>
      <c r="J5119" s="32"/>
      <c r="K5119" s="32"/>
      <c r="L5119" s="32"/>
      <c r="M5119" s="32"/>
      <c r="N5119" s="32"/>
      <c r="O5119" s="32"/>
      <c r="P5119" s="32"/>
      <c r="Q5119" s="32"/>
      <c r="R5119" s="32"/>
      <c r="S5119" s="32"/>
      <c r="T5119" s="32"/>
      <c r="U5119" s="32"/>
      <c r="V5119" s="32"/>
      <c r="W5119" s="32"/>
      <c r="X5119" s="32"/>
      <c r="Y5119" s="32"/>
      <c r="Z5119" s="32"/>
    </row>
    <row r="5120" spans="1:26" ht="14.25" customHeight="1">
      <c r="A5120" s="33" t="s">
        <v>2</v>
      </c>
      <c r="B5120" s="33" t="s">
        <v>3</v>
      </c>
      <c r="C5120" s="33" t="s">
        <v>4</v>
      </c>
      <c r="D5120" s="33" t="s">
        <v>5</v>
      </c>
      <c r="E5120" s="33" t="s">
        <v>6</v>
      </c>
      <c r="F5120" s="34" t="s">
        <v>7</v>
      </c>
      <c r="G5120" s="33" t="s">
        <v>8</v>
      </c>
      <c r="H5120" s="35"/>
      <c r="I5120" s="32"/>
      <c r="J5120" s="32"/>
      <c r="K5120" s="32"/>
      <c r="L5120" s="32"/>
      <c r="M5120" s="32"/>
      <c r="N5120" s="32"/>
      <c r="O5120" s="32"/>
      <c r="P5120" s="32"/>
      <c r="Q5120" s="32"/>
      <c r="R5120" s="32"/>
      <c r="S5120" s="32"/>
      <c r="T5120" s="32"/>
      <c r="U5120" s="32"/>
      <c r="V5120" s="32"/>
      <c r="W5120" s="32"/>
      <c r="X5120" s="32"/>
      <c r="Y5120" s="32"/>
      <c r="Z5120" s="32"/>
    </row>
    <row r="5121" spans="1:26" ht="14.25" customHeight="1">
      <c r="A5121" s="36">
        <v>1</v>
      </c>
      <c r="B5121" s="18" t="s">
        <v>140</v>
      </c>
      <c r="C5121" s="5" t="s">
        <v>1238</v>
      </c>
      <c r="D5121" s="18" t="s">
        <v>11</v>
      </c>
      <c r="E5121" s="18">
        <v>2.2000000000000002</v>
      </c>
      <c r="F5121" s="6">
        <v>293000</v>
      </c>
      <c r="G5121" s="37">
        <f t="shared" ref="G5121:G5123" si="324">IFERROR(E5121*F5121,0)</f>
        <v>644600</v>
      </c>
      <c r="H5121" s="38"/>
      <c r="I5121" s="32"/>
      <c r="J5121" s="32"/>
      <c r="K5121" s="32"/>
      <c r="L5121" s="32"/>
      <c r="M5121" s="32"/>
      <c r="N5121" s="32"/>
      <c r="O5121" s="32"/>
      <c r="P5121" s="32"/>
      <c r="Q5121" s="32"/>
      <c r="R5121" s="32"/>
      <c r="S5121" s="32"/>
      <c r="T5121" s="32"/>
      <c r="U5121" s="32"/>
      <c r="V5121" s="32"/>
      <c r="W5121" s="32"/>
      <c r="X5121" s="32"/>
      <c r="Y5121" s="32"/>
      <c r="Z5121" s="32"/>
    </row>
    <row r="5122" spans="1:26" ht="14.25" customHeight="1">
      <c r="A5122" s="36">
        <v>2</v>
      </c>
      <c r="B5122" s="12" t="s">
        <v>73</v>
      </c>
      <c r="C5122" s="10" t="s">
        <v>1239</v>
      </c>
      <c r="D5122" s="12" t="s">
        <v>233</v>
      </c>
      <c r="E5122" s="12">
        <v>1.08</v>
      </c>
      <c r="F5122" s="43">
        <v>435000</v>
      </c>
      <c r="G5122" s="37">
        <f t="shared" si="324"/>
        <v>469800.00000000006</v>
      </c>
      <c r="H5122" s="38"/>
      <c r="I5122" s="32"/>
      <c r="J5122" s="32"/>
      <c r="K5122" s="32"/>
      <c r="L5122" s="32"/>
      <c r="M5122" s="32"/>
      <c r="N5122" s="32"/>
      <c r="O5122" s="32"/>
      <c r="P5122" s="32"/>
      <c r="Q5122" s="32"/>
      <c r="R5122" s="32"/>
      <c r="S5122" s="32"/>
      <c r="T5122" s="32"/>
      <c r="U5122" s="32"/>
      <c r="V5122" s="32"/>
      <c r="W5122" s="32"/>
      <c r="X5122" s="32"/>
      <c r="Y5122" s="32"/>
      <c r="Z5122" s="32"/>
    </row>
    <row r="5123" spans="1:26" ht="14.25" customHeight="1">
      <c r="A5123" s="36">
        <v>4</v>
      </c>
      <c r="B5123" s="39" t="s">
        <v>17</v>
      </c>
      <c r="C5123" s="38"/>
      <c r="D5123" s="38"/>
      <c r="E5123" s="38"/>
      <c r="F5123" s="60"/>
      <c r="G5123" s="37">
        <f t="shared" si="324"/>
        <v>0</v>
      </c>
      <c r="H5123" s="38"/>
      <c r="I5123" s="32"/>
      <c r="J5123" s="32"/>
      <c r="K5123" s="32"/>
      <c r="L5123" s="32"/>
      <c r="M5123" s="32"/>
      <c r="N5123" s="32"/>
      <c r="O5123" s="32"/>
      <c r="P5123" s="32"/>
      <c r="Q5123" s="32"/>
      <c r="R5123" s="32"/>
      <c r="S5123" s="32"/>
      <c r="T5123" s="32"/>
      <c r="U5123" s="32"/>
      <c r="V5123" s="32"/>
      <c r="W5123" s="32"/>
      <c r="X5123" s="32"/>
      <c r="Y5123" s="32"/>
      <c r="Z5123" s="32"/>
    </row>
    <row r="5124" spans="1:26" ht="14.25" customHeight="1">
      <c r="A5124" s="83" t="s">
        <v>18</v>
      </c>
      <c r="B5124" s="81"/>
      <c r="C5124" s="81"/>
      <c r="D5124" s="81"/>
      <c r="E5124" s="81"/>
      <c r="F5124" s="81"/>
      <c r="G5124" s="82"/>
      <c r="H5124" s="41">
        <f>SUM(G5121:G5123)</f>
        <v>1114400</v>
      </c>
      <c r="I5124" s="32"/>
      <c r="J5124" s="32"/>
      <c r="K5124" s="32"/>
      <c r="L5124" s="32"/>
      <c r="M5124" s="32"/>
      <c r="N5124" s="32"/>
      <c r="O5124" s="32"/>
      <c r="P5124" s="32"/>
      <c r="Q5124" s="32"/>
      <c r="R5124" s="32"/>
      <c r="S5124" s="32"/>
      <c r="T5124" s="32"/>
      <c r="U5124" s="32"/>
      <c r="V5124" s="32"/>
      <c r="W5124" s="32"/>
      <c r="X5124" s="32"/>
      <c r="Y5124" s="32"/>
      <c r="Z5124" s="32"/>
    </row>
    <row r="5125" spans="1:26" ht="14.25" customHeight="1">
      <c r="A5125" s="83" t="s">
        <v>19</v>
      </c>
      <c r="B5125" s="81"/>
      <c r="C5125" s="81"/>
      <c r="D5125" s="81"/>
      <c r="E5125" s="81"/>
      <c r="F5125" s="81"/>
      <c r="G5125" s="82"/>
      <c r="H5125" s="41">
        <f>MAX(0,H5124-648000)</f>
        <v>466400</v>
      </c>
      <c r="I5125" s="32"/>
      <c r="J5125" s="32"/>
      <c r="K5125" s="32"/>
      <c r="L5125" s="32"/>
      <c r="M5125" s="32"/>
      <c r="N5125" s="32"/>
      <c r="O5125" s="32"/>
      <c r="P5125" s="32"/>
      <c r="Q5125" s="32"/>
      <c r="R5125" s="32"/>
      <c r="S5125" s="32"/>
      <c r="T5125" s="32"/>
      <c r="U5125" s="32"/>
      <c r="V5125" s="32"/>
      <c r="W5125" s="32"/>
      <c r="X5125" s="32"/>
      <c r="Y5125" s="32"/>
      <c r="Z5125" s="32"/>
    </row>
    <row r="5126" spans="1:26" ht="14.25" customHeight="1">
      <c r="A5126" s="84" t="s">
        <v>20</v>
      </c>
      <c r="B5126" s="81"/>
      <c r="C5126" s="81"/>
      <c r="D5126" s="81"/>
      <c r="E5126" s="81"/>
      <c r="F5126" s="81"/>
      <c r="G5126" s="82"/>
      <c r="H5126" s="42">
        <v>649000</v>
      </c>
      <c r="I5126" s="32"/>
      <c r="J5126" s="32"/>
      <c r="K5126" s="32"/>
      <c r="L5126" s="32"/>
      <c r="M5126" s="32"/>
      <c r="N5126" s="32"/>
      <c r="O5126" s="32"/>
      <c r="P5126" s="32"/>
      <c r="Q5126" s="32"/>
      <c r="R5126" s="32"/>
      <c r="S5126" s="32"/>
      <c r="T5126" s="32"/>
      <c r="U5126" s="32"/>
      <c r="V5126" s="32"/>
      <c r="W5126" s="32"/>
      <c r="X5126" s="32"/>
      <c r="Y5126" s="32"/>
      <c r="Z5126" s="32"/>
    </row>
    <row r="5127" spans="1:26" ht="14.25" customHeight="1">
      <c r="A5127" s="80"/>
      <c r="B5127" s="81"/>
      <c r="C5127" s="81"/>
      <c r="D5127" s="81"/>
      <c r="E5127" s="81"/>
      <c r="F5127" s="81"/>
      <c r="G5127" s="81"/>
      <c r="H5127" s="82"/>
      <c r="I5127" s="32"/>
      <c r="J5127" s="32"/>
      <c r="K5127" s="32"/>
      <c r="L5127" s="32"/>
      <c r="M5127" s="32"/>
      <c r="N5127" s="32"/>
      <c r="O5127" s="32"/>
      <c r="P5127" s="32"/>
      <c r="Q5127" s="32"/>
      <c r="R5127" s="32"/>
      <c r="S5127" s="32"/>
      <c r="T5127" s="32"/>
      <c r="U5127" s="32"/>
      <c r="V5127" s="32"/>
      <c r="W5127" s="32"/>
      <c r="X5127" s="32"/>
      <c r="Y5127" s="32"/>
      <c r="Z5127" s="32"/>
    </row>
    <row r="5128" spans="1:26" ht="14.25" customHeight="1"/>
    <row r="5129" spans="1:26" ht="14.25" customHeight="1"/>
    <row r="5130" spans="1:26" ht="14.25" customHeight="1"/>
    <row r="5131" spans="1:26" ht="14.25" customHeight="1"/>
    <row r="5132" spans="1:26" ht="14.25" customHeight="1"/>
    <row r="5133" spans="1:26" ht="14.25" customHeight="1"/>
    <row r="5134" spans="1:26" ht="14.25" customHeight="1"/>
    <row r="5135" spans="1:26" ht="14.25" customHeight="1">
      <c r="A5135" s="80" t="s">
        <v>0</v>
      </c>
      <c r="B5135" s="81"/>
      <c r="C5135" s="81"/>
      <c r="D5135" s="81"/>
      <c r="E5135" s="81"/>
      <c r="F5135" s="81"/>
      <c r="G5135" s="81"/>
      <c r="H5135" s="82"/>
      <c r="I5135" s="32"/>
      <c r="J5135" s="32"/>
      <c r="K5135" s="32"/>
      <c r="L5135" s="32"/>
      <c r="M5135" s="32"/>
      <c r="N5135" s="32"/>
      <c r="O5135" s="32"/>
      <c r="P5135" s="32"/>
      <c r="Q5135" s="32"/>
      <c r="R5135" s="32"/>
      <c r="S5135" s="32"/>
      <c r="T5135" s="32"/>
      <c r="U5135" s="32"/>
      <c r="V5135" s="32"/>
      <c r="W5135" s="32"/>
      <c r="X5135" s="32"/>
      <c r="Y5135" s="32"/>
      <c r="Z5135" s="32"/>
    </row>
    <row r="5136" spans="1:26" ht="14.25" customHeight="1">
      <c r="A5136" s="80" t="s">
        <v>1240</v>
      </c>
      <c r="B5136" s="81"/>
      <c r="C5136" s="81"/>
      <c r="D5136" s="81"/>
      <c r="E5136" s="81"/>
      <c r="F5136" s="81"/>
      <c r="G5136" s="81"/>
      <c r="H5136" s="82"/>
      <c r="I5136" s="32"/>
      <c r="J5136" s="32"/>
      <c r="K5136" s="32"/>
      <c r="L5136" s="32"/>
      <c r="M5136" s="32"/>
      <c r="N5136" s="32"/>
      <c r="O5136" s="32"/>
      <c r="P5136" s="32"/>
      <c r="Q5136" s="32"/>
      <c r="R5136" s="32"/>
      <c r="S5136" s="32"/>
      <c r="T5136" s="32"/>
      <c r="U5136" s="32"/>
      <c r="V5136" s="32"/>
      <c r="W5136" s="32"/>
      <c r="X5136" s="32"/>
      <c r="Y5136" s="32"/>
      <c r="Z5136" s="32"/>
    </row>
    <row r="5137" spans="1:26" ht="14.25" customHeight="1">
      <c r="A5137" s="33" t="s">
        <v>2</v>
      </c>
      <c r="B5137" s="33" t="s">
        <v>3</v>
      </c>
      <c r="C5137" s="33" t="s">
        <v>4</v>
      </c>
      <c r="D5137" s="33" t="s">
        <v>5</v>
      </c>
      <c r="E5137" s="33" t="s">
        <v>6</v>
      </c>
      <c r="F5137" s="34" t="s">
        <v>7</v>
      </c>
      <c r="G5137" s="33" t="s">
        <v>8</v>
      </c>
      <c r="H5137" s="35"/>
      <c r="I5137" s="32"/>
      <c r="J5137" s="32"/>
      <c r="K5137" s="32"/>
      <c r="L5137" s="32"/>
      <c r="M5137" s="32"/>
      <c r="N5137" s="32"/>
      <c r="O5137" s="32"/>
      <c r="P5137" s="32"/>
      <c r="Q5137" s="32"/>
      <c r="R5137" s="32"/>
      <c r="S5137" s="32"/>
      <c r="T5137" s="32"/>
      <c r="U5137" s="32"/>
      <c r="V5137" s="32"/>
      <c r="W5137" s="32"/>
      <c r="X5137" s="32"/>
      <c r="Y5137" s="32"/>
      <c r="Z5137" s="32"/>
    </row>
    <row r="5138" spans="1:26" ht="14.25" customHeight="1">
      <c r="A5138" s="36">
        <v>1</v>
      </c>
      <c r="B5138" s="18" t="s">
        <v>422</v>
      </c>
      <c r="C5138" s="5" t="s">
        <v>1241</v>
      </c>
      <c r="D5138" s="18" t="s">
        <v>11</v>
      </c>
      <c r="E5138" s="18">
        <v>2.6</v>
      </c>
      <c r="F5138" s="6">
        <v>293000</v>
      </c>
      <c r="G5138" s="37">
        <f t="shared" ref="G5138:G5140" si="325">IFERROR(E5138*F5138,0)</f>
        <v>761800</v>
      </c>
      <c r="H5138" s="38"/>
      <c r="I5138" s="32"/>
      <c r="J5138" s="32"/>
      <c r="K5138" s="32"/>
      <c r="L5138" s="32"/>
      <c r="M5138" s="32"/>
      <c r="N5138" s="32"/>
      <c r="O5138" s="32"/>
      <c r="P5138" s="32"/>
      <c r="Q5138" s="32"/>
      <c r="R5138" s="32"/>
      <c r="S5138" s="32"/>
      <c r="T5138" s="32"/>
      <c r="U5138" s="32"/>
      <c r="V5138" s="32"/>
      <c r="W5138" s="32"/>
      <c r="X5138" s="32"/>
      <c r="Y5138" s="32"/>
      <c r="Z5138" s="32"/>
    </row>
    <row r="5139" spans="1:26" ht="14.25" customHeight="1">
      <c r="A5139" s="36">
        <v>2</v>
      </c>
      <c r="B5139" s="12" t="s">
        <v>406</v>
      </c>
      <c r="C5139" s="10" t="s">
        <v>1242</v>
      </c>
      <c r="D5139" s="12" t="s">
        <v>233</v>
      </c>
      <c r="E5139" s="12">
        <v>1</v>
      </c>
      <c r="F5139" s="43">
        <v>435000</v>
      </c>
      <c r="G5139" s="37">
        <f t="shared" si="325"/>
        <v>435000</v>
      </c>
      <c r="H5139" s="38"/>
      <c r="I5139" s="32"/>
      <c r="J5139" s="32"/>
      <c r="K5139" s="32"/>
      <c r="L5139" s="32"/>
      <c r="M5139" s="32"/>
      <c r="N5139" s="32"/>
      <c r="O5139" s="32"/>
      <c r="P5139" s="32"/>
      <c r="Q5139" s="32"/>
      <c r="R5139" s="32"/>
      <c r="S5139" s="32"/>
      <c r="T5139" s="32"/>
      <c r="U5139" s="32"/>
      <c r="V5139" s="32"/>
      <c r="W5139" s="32"/>
      <c r="X5139" s="32"/>
      <c r="Y5139" s="32"/>
      <c r="Z5139" s="32"/>
    </row>
    <row r="5140" spans="1:26" ht="14.25" customHeight="1">
      <c r="A5140" s="36">
        <v>4</v>
      </c>
      <c r="B5140" s="39" t="s">
        <v>17</v>
      </c>
      <c r="C5140" s="38"/>
      <c r="D5140" s="38"/>
      <c r="E5140" s="38"/>
      <c r="F5140" s="60"/>
      <c r="G5140" s="37">
        <f t="shared" si="325"/>
        <v>0</v>
      </c>
      <c r="H5140" s="38"/>
      <c r="I5140" s="32"/>
      <c r="J5140" s="32"/>
      <c r="K5140" s="32"/>
      <c r="L5140" s="32"/>
      <c r="M5140" s="32"/>
      <c r="N5140" s="32"/>
      <c r="O5140" s="32"/>
      <c r="P5140" s="32"/>
      <c r="Q5140" s="32"/>
      <c r="R5140" s="32"/>
      <c r="S5140" s="32"/>
      <c r="T5140" s="32"/>
      <c r="U5140" s="32"/>
      <c r="V5140" s="32"/>
      <c r="W5140" s="32"/>
      <c r="X5140" s="32"/>
      <c r="Y5140" s="32"/>
      <c r="Z5140" s="32"/>
    </row>
    <row r="5141" spans="1:26" ht="14.25" customHeight="1">
      <c r="A5141" s="83" t="s">
        <v>18</v>
      </c>
      <c r="B5141" s="81"/>
      <c r="C5141" s="81"/>
      <c r="D5141" s="81"/>
      <c r="E5141" s="81"/>
      <c r="F5141" s="81"/>
      <c r="G5141" s="82"/>
      <c r="H5141" s="41">
        <f>SUM(G5138:G5140)</f>
        <v>1196800</v>
      </c>
      <c r="I5141" s="32"/>
      <c r="J5141" s="32"/>
      <c r="K5141" s="32"/>
      <c r="L5141" s="32"/>
      <c r="M5141" s="32"/>
      <c r="N5141" s="32"/>
      <c r="O5141" s="32"/>
      <c r="P5141" s="32"/>
      <c r="Q5141" s="32"/>
      <c r="R5141" s="32"/>
      <c r="S5141" s="32"/>
      <c r="T5141" s="32"/>
      <c r="U5141" s="32"/>
      <c r="V5141" s="32"/>
      <c r="W5141" s="32"/>
      <c r="X5141" s="32"/>
      <c r="Y5141" s="32"/>
      <c r="Z5141" s="32"/>
    </row>
    <row r="5142" spans="1:26" ht="14.25" customHeight="1">
      <c r="A5142" s="83" t="s">
        <v>19</v>
      </c>
      <c r="B5142" s="81"/>
      <c r="C5142" s="81"/>
      <c r="D5142" s="81"/>
      <c r="E5142" s="81"/>
      <c r="F5142" s="81"/>
      <c r="G5142" s="82"/>
      <c r="H5142" s="41">
        <f>MAX(0,H5141-648000)</f>
        <v>548800</v>
      </c>
      <c r="I5142" s="32"/>
      <c r="J5142" s="32"/>
      <c r="K5142" s="32"/>
      <c r="L5142" s="32"/>
      <c r="M5142" s="32"/>
      <c r="N5142" s="32"/>
      <c r="O5142" s="32"/>
      <c r="P5142" s="32"/>
      <c r="Q5142" s="32"/>
      <c r="R5142" s="32"/>
      <c r="S5142" s="32"/>
      <c r="T5142" s="32"/>
      <c r="U5142" s="32"/>
      <c r="V5142" s="32"/>
      <c r="W5142" s="32"/>
      <c r="X5142" s="32"/>
      <c r="Y5142" s="32"/>
      <c r="Z5142" s="32"/>
    </row>
    <row r="5143" spans="1:26" ht="14.25" customHeight="1">
      <c r="A5143" s="84" t="s">
        <v>20</v>
      </c>
      <c r="B5143" s="81"/>
      <c r="C5143" s="81"/>
      <c r="D5143" s="81"/>
      <c r="E5143" s="81"/>
      <c r="F5143" s="81"/>
      <c r="G5143" s="82"/>
      <c r="H5143" s="42">
        <v>649000</v>
      </c>
      <c r="I5143" s="32"/>
      <c r="J5143" s="32"/>
      <c r="K5143" s="32"/>
      <c r="L5143" s="32"/>
      <c r="M5143" s="32"/>
      <c r="N5143" s="32"/>
      <c r="O5143" s="32"/>
      <c r="P5143" s="32"/>
      <c r="Q5143" s="32"/>
      <c r="R5143" s="32"/>
      <c r="S5143" s="32"/>
      <c r="T5143" s="32"/>
      <c r="U5143" s="32"/>
      <c r="V5143" s="32"/>
      <c r="W5143" s="32"/>
      <c r="X5143" s="32"/>
      <c r="Y5143" s="32"/>
      <c r="Z5143" s="32"/>
    </row>
    <row r="5144" spans="1:26" ht="14.25" customHeight="1">
      <c r="A5144" s="80"/>
      <c r="B5144" s="81"/>
      <c r="C5144" s="81"/>
      <c r="D5144" s="81"/>
      <c r="E5144" s="81"/>
      <c r="F5144" s="81"/>
      <c r="G5144" s="81"/>
      <c r="H5144" s="82"/>
      <c r="I5144" s="32"/>
      <c r="J5144" s="32"/>
      <c r="K5144" s="32"/>
      <c r="L5144" s="32"/>
      <c r="M5144" s="32"/>
      <c r="N5144" s="32"/>
      <c r="O5144" s="32"/>
      <c r="P5144" s="32"/>
      <c r="Q5144" s="32"/>
      <c r="R5144" s="32"/>
      <c r="S5144" s="32"/>
      <c r="T5144" s="32"/>
      <c r="U5144" s="32"/>
      <c r="V5144" s="32"/>
      <c r="W5144" s="32"/>
      <c r="X5144" s="32"/>
      <c r="Y5144" s="32"/>
      <c r="Z5144" s="32"/>
    </row>
    <row r="5145" spans="1:26" ht="14.25" customHeight="1"/>
    <row r="5146" spans="1:26" ht="14.25" customHeight="1"/>
    <row r="5147" spans="1:26" ht="14.25" customHeight="1"/>
    <row r="5148" spans="1:26" ht="14.25" customHeight="1"/>
    <row r="5149" spans="1:26" ht="14.25" customHeight="1"/>
    <row r="5150" spans="1:26" ht="14.25" customHeight="1">
      <c r="A5150" s="80" t="s">
        <v>0</v>
      </c>
      <c r="B5150" s="81"/>
      <c r="C5150" s="81"/>
      <c r="D5150" s="81"/>
      <c r="E5150" s="81"/>
      <c r="F5150" s="81"/>
      <c r="G5150" s="81"/>
      <c r="H5150" s="82"/>
      <c r="I5150" s="32"/>
      <c r="J5150" s="32"/>
      <c r="K5150" s="32"/>
      <c r="L5150" s="32"/>
      <c r="M5150" s="32"/>
      <c r="N5150" s="32"/>
      <c r="O5150" s="32"/>
      <c r="P5150" s="32"/>
      <c r="Q5150" s="32"/>
      <c r="R5150" s="32"/>
      <c r="S5150" s="32"/>
      <c r="T5150" s="32"/>
      <c r="U5150" s="32"/>
      <c r="V5150" s="32"/>
      <c r="W5150" s="32"/>
      <c r="X5150" s="32"/>
      <c r="Y5150" s="32"/>
      <c r="Z5150" s="32"/>
    </row>
    <row r="5151" spans="1:26" ht="14.25" customHeight="1">
      <c r="A5151" s="80" t="s">
        <v>1243</v>
      </c>
      <c r="B5151" s="81"/>
      <c r="C5151" s="81"/>
      <c r="D5151" s="81"/>
      <c r="E5151" s="81"/>
      <c r="F5151" s="81"/>
      <c r="G5151" s="81"/>
      <c r="H5151" s="82"/>
      <c r="I5151" s="32"/>
      <c r="J5151" s="32"/>
      <c r="K5151" s="32"/>
      <c r="L5151" s="32"/>
      <c r="M5151" s="32"/>
      <c r="N5151" s="32"/>
      <c r="O5151" s="32"/>
      <c r="P5151" s="32"/>
      <c r="Q5151" s="32"/>
      <c r="R5151" s="32"/>
      <c r="S5151" s="32"/>
      <c r="T5151" s="32"/>
      <c r="U5151" s="32"/>
      <c r="V5151" s="32"/>
      <c r="W5151" s="32"/>
      <c r="X5151" s="32"/>
      <c r="Y5151" s="32"/>
      <c r="Z5151" s="32"/>
    </row>
    <row r="5152" spans="1:26" ht="14.25" customHeight="1">
      <c r="A5152" s="33" t="s">
        <v>2</v>
      </c>
      <c r="B5152" s="33" t="s">
        <v>3</v>
      </c>
      <c r="C5152" s="33" t="s">
        <v>4</v>
      </c>
      <c r="D5152" s="33" t="s">
        <v>5</v>
      </c>
      <c r="E5152" s="33" t="s">
        <v>6</v>
      </c>
      <c r="F5152" s="34" t="s">
        <v>7</v>
      </c>
      <c r="G5152" s="33" t="s">
        <v>8</v>
      </c>
      <c r="H5152" s="35"/>
      <c r="I5152" s="32"/>
      <c r="J5152" s="32"/>
      <c r="K5152" s="32"/>
      <c r="L5152" s="32"/>
      <c r="M5152" s="32"/>
      <c r="N5152" s="32"/>
      <c r="O5152" s="32"/>
      <c r="P5152" s="32"/>
      <c r="Q5152" s="32"/>
      <c r="R5152" s="32"/>
      <c r="S5152" s="32"/>
      <c r="T5152" s="32"/>
      <c r="U5152" s="32"/>
      <c r="V5152" s="32"/>
      <c r="W5152" s="32"/>
      <c r="X5152" s="32"/>
      <c r="Y5152" s="32"/>
      <c r="Z5152" s="32"/>
    </row>
    <row r="5153" spans="1:26" ht="14.25" customHeight="1">
      <c r="A5153" s="36">
        <v>1</v>
      </c>
      <c r="B5153" s="18" t="s">
        <v>422</v>
      </c>
      <c r="C5153" s="5" t="s">
        <v>1244</v>
      </c>
      <c r="D5153" s="18" t="s">
        <v>11</v>
      </c>
      <c r="E5153" s="18">
        <v>2.7</v>
      </c>
      <c r="F5153" s="6">
        <v>293000</v>
      </c>
      <c r="G5153" s="37">
        <f t="shared" ref="G5153:G5155" si="326">IFERROR(E5153*F5153,0)</f>
        <v>791100</v>
      </c>
      <c r="H5153" s="38"/>
      <c r="I5153" s="32"/>
      <c r="J5153" s="32"/>
      <c r="K5153" s="32"/>
      <c r="L5153" s="32"/>
      <c r="M5153" s="32"/>
      <c r="N5153" s="32"/>
      <c r="O5153" s="32"/>
      <c r="P5153" s="32"/>
      <c r="Q5153" s="32"/>
      <c r="R5153" s="32"/>
      <c r="S5153" s="32"/>
      <c r="T5153" s="32"/>
      <c r="U5153" s="32"/>
      <c r="V5153" s="32"/>
      <c r="W5153" s="32"/>
      <c r="X5153" s="32"/>
      <c r="Y5153" s="32"/>
      <c r="Z5153" s="32"/>
    </row>
    <row r="5154" spans="1:26" ht="14.25" customHeight="1">
      <c r="A5154" s="36">
        <v>2</v>
      </c>
      <c r="B5154" s="12" t="s">
        <v>54</v>
      </c>
      <c r="C5154" s="10" t="s">
        <v>1245</v>
      </c>
      <c r="D5154" s="12" t="s">
        <v>233</v>
      </c>
      <c r="E5154" s="12">
        <v>0.86</v>
      </c>
      <c r="F5154" s="43">
        <v>435000</v>
      </c>
      <c r="G5154" s="37">
        <f t="shared" si="326"/>
        <v>374100</v>
      </c>
      <c r="H5154" s="38"/>
      <c r="I5154" s="32"/>
      <c r="J5154" s="32"/>
      <c r="K5154" s="32"/>
      <c r="L5154" s="32"/>
      <c r="M5154" s="32"/>
      <c r="N5154" s="32"/>
      <c r="O5154" s="32"/>
      <c r="P5154" s="32"/>
      <c r="Q5154" s="32"/>
      <c r="R5154" s="32"/>
      <c r="S5154" s="32"/>
      <c r="T5154" s="32"/>
      <c r="U5154" s="32"/>
      <c r="V5154" s="32"/>
      <c r="W5154" s="32"/>
      <c r="X5154" s="32"/>
      <c r="Y5154" s="32"/>
      <c r="Z5154" s="32"/>
    </row>
    <row r="5155" spans="1:26" ht="14.25" customHeight="1">
      <c r="A5155" s="36">
        <v>4</v>
      </c>
      <c r="B5155" s="39" t="s">
        <v>17</v>
      </c>
      <c r="C5155" s="38"/>
      <c r="D5155" s="38"/>
      <c r="E5155" s="38"/>
      <c r="F5155" s="60"/>
      <c r="G5155" s="37">
        <f t="shared" si="326"/>
        <v>0</v>
      </c>
      <c r="H5155" s="38"/>
      <c r="I5155" s="32"/>
      <c r="J5155" s="32"/>
      <c r="K5155" s="32"/>
      <c r="L5155" s="32"/>
      <c r="M5155" s="32"/>
      <c r="N5155" s="32"/>
      <c r="O5155" s="32"/>
      <c r="P5155" s="32"/>
      <c r="Q5155" s="32"/>
      <c r="R5155" s="32"/>
      <c r="S5155" s="32"/>
      <c r="T5155" s="32"/>
      <c r="U5155" s="32"/>
      <c r="V5155" s="32"/>
      <c r="W5155" s="32"/>
      <c r="X5155" s="32"/>
      <c r="Y5155" s="32"/>
      <c r="Z5155" s="32"/>
    </row>
    <row r="5156" spans="1:26" ht="14.25" customHeight="1">
      <c r="A5156" s="83" t="s">
        <v>18</v>
      </c>
      <c r="B5156" s="81"/>
      <c r="C5156" s="81"/>
      <c r="D5156" s="81"/>
      <c r="E5156" s="81"/>
      <c r="F5156" s="81"/>
      <c r="G5156" s="82"/>
      <c r="H5156" s="41">
        <f>SUM(G5153:G5155)</f>
        <v>1165200</v>
      </c>
      <c r="I5156" s="32"/>
      <c r="J5156" s="32"/>
      <c r="K5156" s="32"/>
      <c r="L5156" s="32"/>
      <c r="M5156" s="32"/>
      <c r="N5156" s="32"/>
      <c r="O5156" s="32"/>
      <c r="P5156" s="32"/>
      <c r="Q5156" s="32"/>
      <c r="R5156" s="32"/>
      <c r="S5156" s="32"/>
      <c r="T5156" s="32"/>
      <c r="U5156" s="32"/>
      <c r="V5156" s="32"/>
      <c r="W5156" s="32"/>
      <c r="X5156" s="32"/>
      <c r="Y5156" s="32"/>
      <c r="Z5156" s="32"/>
    </row>
    <row r="5157" spans="1:26" ht="14.25" customHeight="1">
      <c r="A5157" s="83" t="s">
        <v>19</v>
      </c>
      <c r="B5157" s="81"/>
      <c r="C5157" s="81"/>
      <c r="D5157" s="81"/>
      <c r="E5157" s="81"/>
      <c r="F5157" s="81"/>
      <c r="G5157" s="82"/>
      <c r="H5157" s="41">
        <f>MAX(0,H5156-648000)</f>
        <v>517200</v>
      </c>
      <c r="I5157" s="32"/>
      <c r="J5157" s="32"/>
      <c r="K5157" s="32"/>
      <c r="L5157" s="32"/>
      <c r="M5157" s="32"/>
      <c r="N5157" s="32"/>
      <c r="O5157" s="32"/>
      <c r="P5157" s="32"/>
      <c r="Q5157" s="32"/>
      <c r="R5157" s="32"/>
      <c r="S5157" s="32"/>
      <c r="T5157" s="32"/>
      <c r="U5157" s="32"/>
      <c r="V5157" s="32"/>
      <c r="W5157" s="32"/>
      <c r="X5157" s="32"/>
      <c r="Y5157" s="32"/>
      <c r="Z5157" s="32"/>
    </row>
    <row r="5158" spans="1:26" ht="14.25" customHeight="1">
      <c r="A5158" s="84" t="s">
        <v>20</v>
      </c>
      <c r="B5158" s="81"/>
      <c r="C5158" s="81"/>
      <c r="D5158" s="81"/>
      <c r="E5158" s="81"/>
      <c r="F5158" s="81"/>
      <c r="G5158" s="82"/>
      <c r="H5158" s="42">
        <v>649000</v>
      </c>
      <c r="I5158" s="32"/>
      <c r="J5158" s="32"/>
      <c r="K5158" s="32"/>
      <c r="L5158" s="32"/>
      <c r="M5158" s="32"/>
      <c r="N5158" s="32"/>
      <c r="O5158" s="32"/>
      <c r="P5158" s="32"/>
      <c r="Q5158" s="32"/>
      <c r="R5158" s="32"/>
      <c r="S5158" s="32"/>
      <c r="T5158" s="32"/>
      <c r="U5158" s="32"/>
      <c r="V5158" s="32"/>
      <c r="W5158" s="32"/>
      <c r="X5158" s="32"/>
      <c r="Y5158" s="32"/>
      <c r="Z5158" s="32"/>
    </row>
    <row r="5159" spans="1:26" ht="14.25" customHeight="1">
      <c r="A5159" s="80"/>
      <c r="B5159" s="81"/>
      <c r="C5159" s="81"/>
      <c r="D5159" s="81"/>
      <c r="E5159" s="81"/>
      <c r="F5159" s="81"/>
      <c r="G5159" s="81"/>
      <c r="H5159" s="82"/>
      <c r="I5159" s="32"/>
      <c r="J5159" s="32"/>
      <c r="K5159" s="32"/>
      <c r="L5159" s="32"/>
      <c r="M5159" s="32"/>
      <c r="N5159" s="32"/>
      <c r="O5159" s="32"/>
      <c r="P5159" s="32"/>
      <c r="Q5159" s="32"/>
      <c r="R5159" s="32"/>
      <c r="S5159" s="32"/>
      <c r="T5159" s="32"/>
      <c r="U5159" s="32"/>
      <c r="V5159" s="32"/>
      <c r="W5159" s="32"/>
      <c r="X5159" s="32"/>
      <c r="Y5159" s="32"/>
      <c r="Z5159" s="32"/>
    </row>
    <row r="5160" spans="1:26" ht="14.25" customHeight="1"/>
    <row r="5161" spans="1:26" ht="14.25" customHeight="1"/>
    <row r="5162" spans="1:26" ht="14.25" customHeight="1"/>
    <row r="5163" spans="1:26" ht="14.25" customHeight="1"/>
    <row r="5164" spans="1:26" ht="14.25" customHeight="1"/>
    <row r="5165" spans="1:26" ht="14.25" customHeight="1"/>
    <row r="5166" spans="1:26" ht="14.25" customHeight="1"/>
    <row r="5167" spans="1:26" ht="14.25" customHeight="1"/>
    <row r="5168" spans="1:26" ht="14.25" customHeight="1">
      <c r="A5168" s="80" t="s">
        <v>0</v>
      </c>
      <c r="B5168" s="81"/>
      <c r="C5168" s="81"/>
      <c r="D5168" s="81"/>
      <c r="E5168" s="81"/>
      <c r="F5168" s="81"/>
      <c r="G5168" s="81"/>
      <c r="H5168" s="82"/>
      <c r="I5168" s="32"/>
      <c r="J5168" s="32"/>
      <c r="K5168" s="32"/>
      <c r="L5168" s="32"/>
      <c r="M5168" s="32"/>
      <c r="N5168" s="32"/>
      <c r="O5168" s="32"/>
      <c r="P5168" s="32"/>
      <c r="Q5168" s="32"/>
      <c r="R5168" s="32"/>
      <c r="S5168" s="32"/>
      <c r="T5168" s="32"/>
      <c r="U5168" s="32"/>
      <c r="V5168" s="32"/>
      <c r="W5168" s="32"/>
      <c r="X5168" s="32"/>
      <c r="Y5168" s="32"/>
      <c r="Z5168" s="32"/>
    </row>
    <row r="5169" spans="1:26" ht="14.25" customHeight="1">
      <c r="A5169" s="80" t="s">
        <v>1246</v>
      </c>
      <c r="B5169" s="81"/>
      <c r="C5169" s="81"/>
      <c r="D5169" s="81"/>
      <c r="E5169" s="81"/>
      <c r="F5169" s="81"/>
      <c r="G5169" s="81"/>
      <c r="H5169" s="82"/>
      <c r="I5169" s="32"/>
      <c r="J5169" s="32"/>
      <c r="K5169" s="32"/>
      <c r="L5169" s="32"/>
      <c r="M5169" s="32"/>
      <c r="N5169" s="32"/>
      <c r="O5169" s="32"/>
      <c r="P5169" s="32"/>
      <c r="Q5169" s="32"/>
      <c r="R5169" s="32"/>
      <c r="S5169" s="32"/>
      <c r="T5169" s="32"/>
      <c r="U5169" s="32"/>
      <c r="V5169" s="32"/>
      <c r="W5169" s="32"/>
      <c r="X5169" s="32"/>
      <c r="Y5169" s="32"/>
      <c r="Z5169" s="32"/>
    </row>
    <row r="5170" spans="1:26" ht="14.25" customHeight="1">
      <c r="A5170" s="33" t="s">
        <v>2</v>
      </c>
      <c r="B5170" s="33" t="s">
        <v>3</v>
      </c>
      <c r="C5170" s="33" t="s">
        <v>4</v>
      </c>
      <c r="D5170" s="33" t="s">
        <v>5</v>
      </c>
      <c r="E5170" s="33" t="s">
        <v>6</v>
      </c>
      <c r="F5170" s="34" t="s">
        <v>7</v>
      </c>
      <c r="G5170" s="33" t="s">
        <v>8</v>
      </c>
      <c r="H5170" s="35"/>
      <c r="I5170" s="32"/>
      <c r="J5170" s="32"/>
      <c r="K5170" s="32"/>
      <c r="L5170" s="32"/>
      <c r="M5170" s="32"/>
      <c r="N5170" s="32"/>
      <c r="O5170" s="32"/>
      <c r="P5170" s="32"/>
      <c r="Q5170" s="32"/>
      <c r="R5170" s="32"/>
      <c r="S5170" s="32"/>
      <c r="T5170" s="32"/>
      <c r="U5170" s="32"/>
      <c r="V5170" s="32"/>
      <c r="W5170" s="32"/>
      <c r="X5170" s="32"/>
      <c r="Y5170" s="32"/>
      <c r="Z5170" s="32"/>
    </row>
    <row r="5171" spans="1:26" ht="14.25" customHeight="1">
      <c r="A5171" s="36">
        <v>1</v>
      </c>
      <c r="B5171" s="18" t="s">
        <v>73</v>
      </c>
      <c r="C5171" s="5" t="s">
        <v>1247</v>
      </c>
      <c r="D5171" s="18" t="s">
        <v>11</v>
      </c>
      <c r="E5171" s="18">
        <v>1.6</v>
      </c>
      <c r="F5171" s="6">
        <v>293000</v>
      </c>
      <c r="G5171" s="37">
        <f t="shared" ref="G5171:G5173" si="327">IFERROR(E5171*F5171,0)</f>
        <v>468800</v>
      </c>
      <c r="H5171" s="38"/>
      <c r="I5171" s="32"/>
      <c r="J5171" s="32"/>
      <c r="K5171" s="32"/>
      <c r="L5171" s="32"/>
      <c r="M5171" s="32"/>
      <c r="N5171" s="32"/>
      <c r="O5171" s="32"/>
      <c r="P5171" s="32"/>
      <c r="Q5171" s="32"/>
      <c r="R5171" s="32"/>
      <c r="S5171" s="32"/>
      <c r="T5171" s="32"/>
      <c r="U5171" s="32"/>
      <c r="V5171" s="32"/>
      <c r="W5171" s="32"/>
      <c r="X5171" s="32"/>
      <c r="Y5171" s="32"/>
      <c r="Z5171" s="32"/>
    </row>
    <row r="5172" spans="1:26" ht="14.25" customHeight="1">
      <c r="A5172" s="36">
        <v>2</v>
      </c>
      <c r="B5172" s="12" t="s">
        <v>1248</v>
      </c>
      <c r="C5172" s="10" t="s">
        <v>1249</v>
      </c>
      <c r="D5172" s="12" t="s">
        <v>233</v>
      </c>
      <c r="E5172" s="12">
        <v>1.8</v>
      </c>
      <c r="F5172" s="43">
        <v>435000</v>
      </c>
      <c r="G5172" s="37">
        <f t="shared" si="327"/>
        <v>783000</v>
      </c>
      <c r="H5172" s="38"/>
      <c r="I5172" s="32"/>
      <c r="J5172" s="32"/>
      <c r="K5172" s="32"/>
      <c r="L5172" s="32"/>
      <c r="M5172" s="32"/>
      <c r="N5172" s="32"/>
      <c r="O5172" s="32"/>
      <c r="P5172" s="32"/>
      <c r="Q5172" s="32"/>
      <c r="R5172" s="32"/>
      <c r="S5172" s="32"/>
      <c r="T5172" s="32"/>
      <c r="U5172" s="32"/>
      <c r="V5172" s="32"/>
      <c r="W5172" s="32"/>
      <c r="X5172" s="32"/>
      <c r="Y5172" s="32"/>
      <c r="Z5172" s="32"/>
    </row>
    <row r="5173" spans="1:26" ht="14.25" customHeight="1">
      <c r="A5173" s="36">
        <v>4</v>
      </c>
      <c r="B5173" s="39" t="s">
        <v>17</v>
      </c>
      <c r="C5173" s="38"/>
      <c r="D5173" s="38"/>
      <c r="E5173" s="38"/>
      <c r="F5173" s="60"/>
      <c r="G5173" s="37">
        <f t="shared" si="327"/>
        <v>0</v>
      </c>
      <c r="H5173" s="38"/>
      <c r="I5173" s="32"/>
      <c r="J5173" s="32"/>
      <c r="K5173" s="32"/>
      <c r="L5173" s="32"/>
      <c r="M5173" s="32"/>
      <c r="N5173" s="32"/>
      <c r="O5173" s="32"/>
      <c r="P5173" s="32"/>
      <c r="Q5173" s="32"/>
      <c r="R5173" s="32"/>
      <c r="S5173" s="32"/>
      <c r="T5173" s="32"/>
      <c r="U5173" s="32"/>
      <c r="V5173" s="32"/>
      <c r="W5173" s="32"/>
      <c r="X5173" s="32"/>
      <c r="Y5173" s="32"/>
      <c r="Z5173" s="32"/>
    </row>
    <row r="5174" spans="1:26" ht="14.25" customHeight="1">
      <c r="A5174" s="83" t="s">
        <v>18</v>
      </c>
      <c r="B5174" s="81"/>
      <c r="C5174" s="81"/>
      <c r="D5174" s="81"/>
      <c r="E5174" s="81"/>
      <c r="F5174" s="81"/>
      <c r="G5174" s="82"/>
      <c r="H5174" s="41">
        <f>SUM(G5171:G5173)</f>
        <v>1251800</v>
      </c>
      <c r="I5174" s="32"/>
      <c r="J5174" s="32"/>
      <c r="K5174" s="32"/>
      <c r="L5174" s="32"/>
      <c r="M5174" s="32"/>
      <c r="N5174" s="32"/>
      <c r="O5174" s="32"/>
      <c r="P5174" s="32"/>
      <c r="Q5174" s="32"/>
      <c r="R5174" s="32"/>
      <c r="S5174" s="32"/>
      <c r="T5174" s="32"/>
      <c r="U5174" s="32"/>
      <c r="V5174" s="32"/>
      <c r="W5174" s="32"/>
      <c r="X5174" s="32"/>
      <c r="Y5174" s="32"/>
      <c r="Z5174" s="32"/>
    </row>
    <row r="5175" spans="1:26" ht="14.25" customHeight="1">
      <c r="A5175" s="83" t="s">
        <v>19</v>
      </c>
      <c r="B5175" s="81"/>
      <c r="C5175" s="81"/>
      <c r="D5175" s="81"/>
      <c r="E5175" s="81"/>
      <c r="F5175" s="81"/>
      <c r="G5175" s="82"/>
      <c r="H5175" s="41">
        <f>MAX(0,H5174-648000)</f>
        <v>603800</v>
      </c>
      <c r="I5175" s="32"/>
      <c r="J5175" s="32"/>
      <c r="K5175" s="32"/>
      <c r="L5175" s="32"/>
      <c r="M5175" s="32"/>
      <c r="N5175" s="32"/>
      <c r="O5175" s="32"/>
      <c r="P5175" s="32"/>
      <c r="Q5175" s="32"/>
      <c r="R5175" s="32"/>
      <c r="S5175" s="32"/>
      <c r="T5175" s="32"/>
      <c r="U5175" s="32"/>
      <c r="V5175" s="32"/>
      <c r="W5175" s="32"/>
      <c r="X5175" s="32"/>
      <c r="Y5175" s="32"/>
      <c r="Z5175" s="32"/>
    </row>
    <row r="5176" spans="1:26" ht="14.25" customHeight="1">
      <c r="A5176" s="84" t="s">
        <v>20</v>
      </c>
      <c r="B5176" s="81"/>
      <c r="C5176" s="81"/>
      <c r="D5176" s="81"/>
      <c r="E5176" s="81"/>
      <c r="F5176" s="81"/>
      <c r="G5176" s="82"/>
      <c r="H5176" s="42">
        <v>649000</v>
      </c>
      <c r="I5176" s="32"/>
      <c r="J5176" s="32"/>
      <c r="K5176" s="32"/>
      <c r="L5176" s="32"/>
      <c r="M5176" s="32"/>
      <c r="N5176" s="32"/>
      <c r="O5176" s="32"/>
      <c r="P5176" s="32"/>
      <c r="Q5176" s="32"/>
      <c r="R5176" s="32"/>
      <c r="S5176" s="32"/>
      <c r="T5176" s="32"/>
      <c r="U5176" s="32"/>
      <c r="V5176" s="32"/>
      <c r="W5176" s="32"/>
      <c r="X5176" s="32"/>
      <c r="Y5176" s="32"/>
      <c r="Z5176" s="32"/>
    </row>
    <row r="5177" spans="1:26" ht="14.25" customHeight="1">
      <c r="A5177" s="80"/>
      <c r="B5177" s="81"/>
      <c r="C5177" s="81"/>
      <c r="D5177" s="81"/>
      <c r="E5177" s="81"/>
      <c r="F5177" s="81"/>
      <c r="G5177" s="81"/>
      <c r="H5177" s="82"/>
      <c r="I5177" s="32"/>
      <c r="J5177" s="32"/>
      <c r="K5177" s="32"/>
      <c r="L5177" s="32"/>
      <c r="M5177" s="32"/>
      <c r="N5177" s="32"/>
      <c r="O5177" s="32"/>
      <c r="P5177" s="32"/>
      <c r="Q5177" s="32"/>
      <c r="R5177" s="32"/>
      <c r="S5177" s="32"/>
      <c r="T5177" s="32"/>
      <c r="U5177" s="32"/>
      <c r="V5177" s="32"/>
      <c r="W5177" s="32"/>
      <c r="X5177" s="32"/>
      <c r="Y5177" s="32"/>
      <c r="Z5177" s="32"/>
    </row>
    <row r="5178" spans="1:26" ht="14.25" customHeight="1"/>
    <row r="5179" spans="1:26" ht="14.25" customHeight="1"/>
    <row r="5180" spans="1:26" ht="14.25" customHeight="1"/>
    <row r="5181" spans="1:26" ht="14.25" customHeight="1"/>
    <row r="5182" spans="1:26" ht="14.25" customHeight="1"/>
    <row r="5183" spans="1:26" ht="14.25" customHeight="1"/>
    <row r="5184" spans="1:26" ht="14.25" customHeight="1"/>
    <row r="5185" spans="1:26" ht="14.25" customHeight="1"/>
    <row r="5186" spans="1:26" ht="14.25" customHeight="1"/>
    <row r="5187" spans="1:26" ht="14.25" customHeight="1">
      <c r="A5187" s="80" t="s">
        <v>0</v>
      </c>
      <c r="B5187" s="81"/>
      <c r="C5187" s="81"/>
      <c r="D5187" s="81"/>
      <c r="E5187" s="81"/>
      <c r="F5187" s="81"/>
      <c r="G5187" s="81"/>
      <c r="H5187" s="82"/>
      <c r="I5187" s="32"/>
      <c r="J5187" s="32"/>
      <c r="K5187" s="32"/>
      <c r="L5187" s="32"/>
      <c r="M5187" s="32"/>
      <c r="N5187" s="32"/>
      <c r="O5187" s="32"/>
      <c r="P5187" s="32"/>
      <c r="Q5187" s="32"/>
      <c r="R5187" s="32"/>
      <c r="S5187" s="32"/>
      <c r="T5187" s="32"/>
      <c r="U5187" s="32"/>
      <c r="V5187" s="32"/>
      <c r="W5187" s="32"/>
      <c r="X5187" s="32"/>
      <c r="Y5187" s="32"/>
      <c r="Z5187" s="32"/>
    </row>
    <row r="5188" spans="1:26" ht="14.25" customHeight="1">
      <c r="A5188" s="80" t="s">
        <v>1250</v>
      </c>
      <c r="B5188" s="81"/>
      <c r="C5188" s="81"/>
      <c r="D5188" s="81"/>
      <c r="E5188" s="81"/>
      <c r="F5188" s="81"/>
      <c r="G5188" s="81"/>
      <c r="H5188" s="82"/>
      <c r="I5188" s="32"/>
      <c r="J5188" s="32"/>
      <c r="K5188" s="32"/>
      <c r="L5188" s="32"/>
      <c r="M5188" s="32"/>
      <c r="N5188" s="32"/>
      <c r="O5188" s="32"/>
      <c r="P5188" s="32"/>
      <c r="Q5188" s="32"/>
      <c r="R5188" s="32"/>
      <c r="S5188" s="32"/>
      <c r="T5188" s="32"/>
      <c r="U5188" s="32"/>
      <c r="V5188" s="32"/>
      <c r="W5188" s="32"/>
      <c r="X5188" s="32"/>
      <c r="Y5188" s="32"/>
      <c r="Z5188" s="32"/>
    </row>
    <row r="5189" spans="1:26" ht="14.25" customHeight="1">
      <c r="A5189" s="33" t="s">
        <v>2</v>
      </c>
      <c r="B5189" s="33" t="s">
        <v>3</v>
      </c>
      <c r="C5189" s="33" t="s">
        <v>4</v>
      </c>
      <c r="D5189" s="33" t="s">
        <v>5</v>
      </c>
      <c r="E5189" s="33" t="s">
        <v>6</v>
      </c>
      <c r="F5189" s="34" t="s">
        <v>7</v>
      </c>
      <c r="G5189" s="33" t="s">
        <v>8</v>
      </c>
      <c r="H5189" s="35"/>
      <c r="I5189" s="32"/>
      <c r="J5189" s="32"/>
      <c r="K5189" s="32"/>
      <c r="L5189" s="32"/>
      <c r="M5189" s="32"/>
      <c r="N5189" s="32"/>
      <c r="O5189" s="32"/>
      <c r="P5189" s="32"/>
      <c r="Q5189" s="32"/>
      <c r="R5189" s="32"/>
      <c r="S5189" s="32"/>
      <c r="T5189" s="32"/>
      <c r="U5189" s="32"/>
      <c r="V5189" s="32"/>
      <c r="W5189" s="32"/>
      <c r="X5189" s="32"/>
      <c r="Y5189" s="32"/>
      <c r="Z5189" s="32"/>
    </row>
    <row r="5190" spans="1:26" ht="14.25" customHeight="1">
      <c r="A5190" s="36">
        <v>1</v>
      </c>
      <c r="B5190" s="18" t="s">
        <v>272</v>
      </c>
      <c r="C5190" s="5" t="s">
        <v>1251</v>
      </c>
      <c r="D5190" s="18" t="s">
        <v>11</v>
      </c>
      <c r="E5190" s="18">
        <v>0.7</v>
      </c>
      <c r="F5190" s="6">
        <v>293000</v>
      </c>
      <c r="G5190" s="37">
        <f t="shared" ref="G5190:G5192" si="328">IFERROR(E5190*F5190,0)</f>
        <v>205100</v>
      </c>
      <c r="H5190" s="38"/>
      <c r="I5190" s="32"/>
      <c r="J5190" s="32"/>
      <c r="K5190" s="32"/>
      <c r="L5190" s="32"/>
      <c r="M5190" s="32"/>
      <c r="N5190" s="32"/>
      <c r="O5190" s="32"/>
      <c r="P5190" s="32"/>
      <c r="Q5190" s="32"/>
      <c r="R5190" s="32"/>
      <c r="S5190" s="32"/>
      <c r="T5190" s="32"/>
      <c r="U5190" s="32"/>
      <c r="V5190" s="32"/>
      <c r="W5190" s="32"/>
      <c r="X5190" s="32"/>
      <c r="Y5190" s="32"/>
      <c r="Z5190" s="32"/>
    </row>
    <row r="5191" spans="1:26" ht="14.25" customHeight="1">
      <c r="A5191" s="36">
        <v>2</v>
      </c>
      <c r="B5191" s="12" t="s">
        <v>38</v>
      </c>
      <c r="C5191" s="10" t="s">
        <v>1252</v>
      </c>
      <c r="D5191" s="12" t="s">
        <v>233</v>
      </c>
      <c r="E5191" s="12">
        <v>2.85</v>
      </c>
      <c r="F5191" s="43">
        <v>435000</v>
      </c>
      <c r="G5191" s="37">
        <f t="shared" si="328"/>
        <v>1239750</v>
      </c>
      <c r="H5191" s="38"/>
      <c r="I5191" s="32"/>
      <c r="J5191" s="32"/>
      <c r="K5191" s="32"/>
      <c r="L5191" s="32"/>
      <c r="M5191" s="32"/>
      <c r="N5191" s="32"/>
      <c r="O5191" s="32"/>
      <c r="P5191" s="32"/>
      <c r="Q5191" s="32"/>
      <c r="R5191" s="32"/>
      <c r="S5191" s="32"/>
      <c r="T5191" s="32"/>
      <c r="U5191" s="32"/>
      <c r="V5191" s="32"/>
      <c r="W5191" s="32"/>
      <c r="X5191" s="32"/>
      <c r="Y5191" s="32"/>
      <c r="Z5191" s="32"/>
    </row>
    <row r="5192" spans="1:26" ht="14.25" customHeight="1">
      <c r="A5192" s="36">
        <v>4</v>
      </c>
      <c r="B5192" s="39" t="s">
        <v>17</v>
      </c>
      <c r="C5192" s="38"/>
      <c r="D5192" s="38"/>
      <c r="E5192" s="38"/>
      <c r="F5192" s="60"/>
      <c r="G5192" s="37">
        <f t="shared" si="328"/>
        <v>0</v>
      </c>
      <c r="H5192" s="38"/>
      <c r="I5192" s="32"/>
      <c r="J5192" s="32"/>
      <c r="K5192" s="32"/>
      <c r="L5192" s="32"/>
      <c r="M5192" s="32"/>
      <c r="N5192" s="32"/>
      <c r="O5192" s="32"/>
      <c r="P5192" s="32"/>
      <c r="Q5192" s="32"/>
      <c r="R5192" s="32"/>
      <c r="S5192" s="32"/>
      <c r="T5192" s="32"/>
      <c r="U5192" s="32"/>
      <c r="V5192" s="32"/>
      <c r="W5192" s="32"/>
      <c r="X5192" s="32"/>
      <c r="Y5192" s="32"/>
      <c r="Z5192" s="32"/>
    </row>
    <row r="5193" spans="1:26" ht="14.25" customHeight="1">
      <c r="A5193" s="83" t="s">
        <v>18</v>
      </c>
      <c r="B5193" s="81"/>
      <c r="C5193" s="81"/>
      <c r="D5193" s="81"/>
      <c r="E5193" s="81"/>
      <c r="F5193" s="81"/>
      <c r="G5193" s="82"/>
      <c r="H5193" s="41">
        <f>SUM(G5190:G5192)</f>
        <v>1444850</v>
      </c>
      <c r="I5193" s="32"/>
      <c r="J5193" s="32"/>
      <c r="K5193" s="32"/>
      <c r="L5193" s="32"/>
      <c r="M5193" s="32"/>
      <c r="N5193" s="32"/>
      <c r="O5193" s="32"/>
      <c r="P5193" s="32"/>
      <c r="Q5193" s="32"/>
      <c r="R5193" s="32"/>
      <c r="S5193" s="32"/>
      <c r="T5193" s="32"/>
      <c r="U5193" s="32"/>
      <c r="V5193" s="32"/>
      <c r="W5193" s="32"/>
      <c r="X5193" s="32"/>
      <c r="Y5193" s="32"/>
      <c r="Z5193" s="32"/>
    </row>
    <row r="5194" spans="1:26" ht="14.25" customHeight="1">
      <c r="A5194" s="83" t="s">
        <v>19</v>
      </c>
      <c r="B5194" s="81"/>
      <c r="C5194" s="81"/>
      <c r="D5194" s="81"/>
      <c r="E5194" s="81"/>
      <c r="F5194" s="81"/>
      <c r="G5194" s="82"/>
      <c r="H5194" s="41">
        <f>MAX(0,H5193-648000)</f>
        <v>796850</v>
      </c>
      <c r="I5194" s="32"/>
      <c r="J5194" s="32"/>
      <c r="K5194" s="32"/>
      <c r="L5194" s="32"/>
      <c r="M5194" s="32"/>
      <c r="N5194" s="32"/>
      <c r="O5194" s="32"/>
      <c r="P5194" s="32"/>
      <c r="Q5194" s="32"/>
      <c r="R5194" s="32"/>
      <c r="S5194" s="32"/>
      <c r="T5194" s="32"/>
      <c r="U5194" s="32"/>
      <c r="V5194" s="32"/>
      <c r="W5194" s="32"/>
      <c r="X5194" s="32"/>
      <c r="Y5194" s="32"/>
      <c r="Z5194" s="32"/>
    </row>
    <row r="5195" spans="1:26" ht="14.25" customHeight="1">
      <c r="A5195" s="84" t="s">
        <v>20</v>
      </c>
      <c r="B5195" s="81"/>
      <c r="C5195" s="81"/>
      <c r="D5195" s="81"/>
      <c r="E5195" s="81"/>
      <c r="F5195" s="81"/>
      <c r="G5195" s="82"/>
      <c r="H5195" s="42">
        <v>649000</v>
      </c>
      <c r="I5195" s="32"/>
      <c r="J5195" s="32"/>
      <c r="K5195" s="32"/>
      <c r="L5195" s="32"/>
      <c r="M5195" s="32"/>
      <c r="N5195" s="32"/>
      <c r="O5195" s="32"/>
      <c r="P5195" s="32"/>
      <c r="Q5195" s="32"/>
      <c r="R5195" s="32"/>
      <c r="S5195" s="32"/>
      <c r="T5195" s="32"/>
      <c r="U5195" s="32"/>
      <c r="V5195" s="32"/>
      <c r="W5195" s="32"/>
      <c r="X5195" s="32"/>
      <c r="Y5195" s="32"/>
      <c r="Z5195" s="32"/>
    </row>
    <row r="5196" spans="1:26" ht="14.25" customHeight="1">
      <c r="A5196" s="80"/>
      <c r="B5196" s="81"/>
      <c r="C5196" s="81"/>
      <c r="D5196" s="81"/>
      <c r="E5196" s="81"/>
      <c r="F5196" s="81"/>
      <c r="G5196" s="81"/>
      <c r="H5196" s="82"/>
      <c r="I5196" s="32"/>
      <c r="J5196" s="32"/>
      <c r="K5196" s="32"/>
      <c r="L5196" s="32"/>
      <c r="M5196" s="32"/>
      <c r="N5196" s="32"/>
      <c r="O5196" s="32"/>
      <c r="P5196" s="32"/>
      <c r="Q5196" s="32"/>
      <c r="R5196" s="32"/>
      <c r="S5196" s="32"/>
      <c r="T5196" s="32"/>
      <c r="U5196" s="32"/>
      <c r="V5196" s="32"/>
      <c r="W5196" s="32"/>
      <c r="X5196" s="32"/>
      <c r="Y5196" s="32"/>
      <c r="Z5196" s="32"/>
    </row>
    <row r="5197" spans="1:26" ht="14.25" customHeight="1"/>
    <row r="5198" spans="1:26" ht="14.25" customHeight="1"/>
    <row r="5199" spans="1:26" ht="14.25" customHeight="1"/>
    <row r="5200" spans="1:26" ht="14.25" customHeight="1"/>
    <row r="5201" spans="1:26" ht="14.25" customHeight="1"/>
    <row r="5202" spans="1:26" ht="14.25" customHeight="1"/>
    <row r="5203" spans="1:26" ht="14.25" customHeight="1">
      <c r="A5203" s="80" t="s">
        <v>0</v>
      </c>
      <c r="B5203" s="81"/>
      <c r="C5203" s="81"/>
      <c r="D5203" s="81"/>
      <c r="E5203" s="81"/>
      <c r="F5203" s="81"/>
      <c r="G5203" s="81"/>
      <c r="H5203" s="82"/>
      <c r="I5203" s="32"/>
      <c r="J5203" s="32"/>
      <c r="K5203" s="32"/>
      <c r="L5203" s="32"/>
      <c r="M5203" s="32"/>
      <c r="N5203" s="32"/>
      <c r="O5203" s="32"/>
      <c r="P5203" s="32"/>
      <c r="Q5203" s="32"/>
      <c r="R5203" s="32"/>
      <c r="S5203" s="32"/>
      <c r="T5203" s="32"/>
      <c r="U5203" s="32"/>
      <c r="V5203" s="32"/>
      <c r="W5203" s="32"/>
      <c r="X5203" s="32"/>
      <c r="Y5203" s="32"/>
      <c r="Z5203" s="32"/>
    </row>
    <row r="5204" spans="1:26" ht="14.25" customHeight="1">
      <c r="A5204" s="80" t="s">
        <v>1253</v>
      </c>
      <c r="B5204" s="81"/>
      <c r="C5204" s="81"/>
      <c r="D5204" s="81"/>
      <c r="E5204" s="81"/>
      <c r="F5204" s="81"/>
      <c r="G5204" s="81"/>
      <c r="H5204" s="82"/>
      <c r="I5204" s="32"/>
      <c r="J5204" s="32"/>
      <c r="K5204" s="32"/>
      <c r="L5204" s="32"/>
      <c r="M5204" s="32"/>
      <c r="N5204" s="32"/>
      <c r="O5204" s="32"/>
      <c r="P5204" s="32"/>
      <c r="Q5204" s="32"/>
      <c r="R5204" s="32"/>
      <c r="S5204" s="32"/>
      <c r="T5204" s="32"/>
      <c r="U5204" s="32"/>
      <c r="V5204" s="32"/>
      <c r="W5204" s="32"/>
      <c r="X5204" s="32"/>
      <c r="Y5204" s="32"/>
      <c r="Z5204" s="32"/>
    </row>
    <row r="5205" spans="1:26" ht="14.25" customHeight="1">
      <c r="A5205" s="33" t="s">
        <v>2</v>
      </c>
      <c r="B5205" s="33" t="s">
        <v>3</v>
      </c>
      <c r="C5205" s="33" t="s">
        <v>4</v>
      </c>
      <c r="D5205" s="33" t="s">
        <v>5</v>
      </c>
      <c r="E5205" s="33" t="s">
        <v>6</v>
      </c>
      <c r="F5205" s="34" t="s">
        <v>7</v>
      </c>
      <c r="G5205" s="33" t="s">
        <v>8</v>
      </c>
      <c r="H5205" s="35"/>
      <c r="I5205" s="32"/>
      <c r="J5205" s="32"/>
      <c r="K5205" s="32"/>
      <c r="L5205" s="32"/>
      <c r="M5205" s="32"/>
      <c r="N5205" s="32"/>
      <c r="O5205" s="32"/>
      <c r="P5205" s="32"/>
      <c r="Q5205" s="32"/>
      <c r="R5205" s="32"/>
      <c r="S5205" s="32"/>
      <c r="T5205" s="32"/>
      <c r="U5205" s="32"/>
      <c r="V5205" s="32"/>
      <c r="W5205" s="32"/>
      <c r="X5205" s="32"/>
      <c r="Y5205" s="32"/>
      <c r="Z5205" s="32"/>
    </row>
    <row r="5206" spans="1:26" ht="14.25" customHeight="1">
      <c r="A5206" s="36">
        <v>1</v>
      </c>
      <c r="B5206" s="18" t="s">
        <v>886</v>
      </c>
      <c r="C5206" s="5" t="s">
        <v>1254</v>
      </c>
      <c r="D5206" s="18" t="s">
        <v>11</v>
      </c>
      <c r="E5206" s="18">
        <v>1.5</v>
      </c>
      <c r="F5206" s="6">
        <v>293000</v>
      </c>
      <c r="G5206" s="37">
        <f t="shared" ref="G5206:G5208" si="329">IFERROR(E5206*F5206,0)</f>
        <v>439500</v>
      </c>
      <c r="H5206" s="38"/>
      <c r="I5206" s="32"/>
      <c r="J5206" s="32"/>
      <c r="K5206" s="32"/>
      <c r="L5206" s="32"/>
      <c r="M5206" s="32"/>
      <c r="N5206" s="32"/>
      <c r="O5206" s="32"/>
      <c r="P5206" s="32"/>
      <c r="Q5206" s="32"/>
      <c r="R5206" s="32"/>
      <c r="S5206" s="32"/>
      <c r="T5206" s="32"/>
      <c r="U5206" s="32"/>
      <c r="V5206" s="32"/>
      <c r="W5206" s="32"/>
      <c r="X5206" s="32"/>
      <c r="Y5206" s="32"/>
      <c r="Z5206" s="32"/>
    </row>
    <row r="5207" spans="1:26" ht="14.25" customHeight="1">
      <c r="A5207" s="36">
        <v>2</v>
      </c>
      <c r="B5207" s="12" t="s">
        <v>12</v>
      </c>
      <c r="C5207" s="10" t="s">
        <v>327</v>
      </c>
      <c r="D5207" s="12" t="s">
        <v>233</v>
      </c>
      <c r="E5207" s="12">
        <v>2</v>
      </c>
      <c r="F5207" s="43">
        <v>435000</v>
      </c>
      <c r="G5207" s="37">
        <f t="shared" si="329"/>
        <v>870000</v>
      </c>
      <c r="H5207" s="38"/>
      <c r="I5207" s="32"/>
      <c r="J5207" s="32"/>
      <c r="K5207" s="32"/>
      <c r="L5207" s="32"/>
      <c r="M5207" s="32"/>
      <c r="N5207" s="32"/>
      <c r="O5207" s="32"/>
      <c r="P5207" s="32"/>
      <c r="Q5207" s="32"/>
      <c r="R5207" s="32"/>
      <c r="S5207" s="32"/>
      <c r="T5207" s="32"/>
      <c r="U5207" s="32"/>
      <c r="V5207" s="32"/>
      <c r="W5207" s="32"/>
      <c r="X5207" s="32"/>
      <c r="Y5207" s="32"/>
      <c r="Z5207" s="32"/>
    </row>
    <row r="5208" spans="1:26" ht="14.25" customHeight="1">
      <c r="A5208" s="36">
        <v>4</v>
      </c>
      <c r="B5208" s="39" t="s">
        <v>17</v>
      </c>
      <c r="C5208" s="38"/>
      <c r="D5208" s="38"/>
      <c r="E5208" s="38"/>
      <c r="F5208" s="60"/>
      <c r="G5208" s="37">
        <f t="shared" si="329"/>
        <v>0</v>
      </c>
      <c r="H5208" s="38"/>
      <c r="I5208" s="32"/>
      <c r="J5208" s="32"/>
      <c r="K5208" s="32"/>
      <c r="L5208" s="32"/>
      <c r="M5208" s="32"/>
      <c r="N5208" s="32"/>
      <c r="O5208" s="32"/>
      <c r="P5208" s="32"/>
      <c r="Q5208" s="32"/>
      <c r="R5208" s="32"/>
      <c r="S5208" s="32"/>
      <c r="T5208" s="32"/>
      <c r="U5208" s="32"/>
      <c r="V5208" s="32"/>
      <c r="W5208" s="32"/>
      <c r="X5208" s="32"/>
      <c r="Y5208" s="32"/>
      <c r="Z5208" s="32"/>
    </row>
    <row r="5209" spans="1:26" ht="14.25" customHeight="1">
      <c r="A5209" s="83" t="s">
        <v>18</v>
      </c>
      <c r="B5209" s="81"/>
      <c r="C5209" s="81"/>
      <c r="D5209" s="81"/>
      <c r="E5209" s="81"/>
      <c r="F5209" s="81"/>
      <c r="G5209" s="82"/>
      <c r="H5209" s="41">
        <f>SUM(G5206:G5208)</f>
        <v>1309500</v>
      </c>
      <c r="I5209" s="32"/>
      <c r="J5209" s="32"/>
      <c r="K5209" s="32"/>
      <c r="L5209" s="32"/>
      <c r="M5209" s="32"/>
      <c r="N5209" s="32"/>
      <c r="O5209" s="32"/>
      <c r="P5209" s="32"/>
      <c r="Q5209" s="32"/>
      <c r="R5209" s="32"/>
      <c r="S5209" s="32"/>
      <c r="T5209" s="32"/>
      <c r="U5209" s="32"/>
      <c r="V5209" s="32"/>
      <c r="W5209" s="32"/>
      <c r="X5209" s="32"/>
      <c r="Y5209" s="32"/>
      <c r="Z5209" s="32"/>
    </row>
    <row r="5210" spans="1:26" ht="14.25" customHeight="1">
      <c r="A5210" s="83" t="s">
        <v>19</v>
      </c>
      <c r="B5210" s="81"/>
      <c r="C5210" s="81"/>
      <c r="D5210" s="81"/>
      <c r="E5210" s="81"/>
      <c r="F5210" s="81"/>
      <c r="G5210" s="82"/>
      <c r="H5210" s="41">
        <f>MAX(0,H5209-648000)</f>
        <v>661500</v>
      </c>
      <c r="I5210" s="32"/>
      <c r="J5210" s="32"/>
      <c r="K5210" s="32"/>
      <c r="L5210" s="32"/>
      <c r="M5210" s="32"/>
      <c r="N5210" s="32"/>
      <c r="O5210" s="32"/>
      <c r="P5210" s="32"/>
      <c r="Q5210" s="32"/>
      <c r="R5210" s="32"/>
      <c r="S5210" s="32"/>
      <c r="T5210" s="32"/>
      <c r="U5210" s="32"/>
      <c r="V5210" s="32"/>
      <c r="W5210" s="32"/>
      <c r="X5210" s="32"/>
      <c r="Y5210" s="32"/>
      <c r="Z5210" s="32"/>
    </row>
    <row r="5211" spans="1:26" ht="14.25" customHeight="1">
      <c r="A5211" s="84" t="s">
        <v>20</v>
      </c>
      <c r="B5211" s="81"/>
      <c r="C5211" s="81"/>
      <c r="D5211" s="81"/>
      <c r="E5211" s="81"/>
      <c r="F5211" s="81"/>
      <c r="G5211" s="82"/>
      <c r="H5211" s="42">
        <v>649000</v>
      </c>
      <c r="I5211" s="32"/>
      <c r="J5211" s="32"/>
      <c r="K5211" s="32"/>
      <c r="L5211" s="32"/>
      <c r="M5211" s="32"/>
      <c r="N5211" s="32"/>
      <c r="O5211" s="32"/>
      <c r="P5211" s="32"/>
      <c r="Q5211" s="32"/>
      <c r="R5211" s="32"/>
      <c r="S5211" s="32"/>
      <c r="T5211" s="32"/>
      <c r="U5211" s="32"/>
      <c r="V5211" s="32"/>
      <c r="W5211" s="32"/>
      <c r="X5211" s="32"/>
      <c r="Y5211" s="32"/>
      <c r="Z5211" s="32"/>
    </row>
    <row r="5212" spans="1:26" ht="14.25" customHeight="1">
      <c r="A5212" s="80"/>
      <c r="B5212" s="81"/>
      <c r="C5212" s="81"/>
      <c r="D5212" s="81"/>
      <c r="E5212" s="81"/>
      <c r="F5212" s="81"/>
      <c r="G5212" s="81"/>
      <c r="H5212" s="82"/>
      <c r="I5212" s="32"/>
      <c r="J5212" s="32"/>
      <c r="K5212" s="32"/>
      <c r="L5212" s="32"/>
      <c r="M5212" s="32"/>
      <c r="N5212" s="32"/>
      <c r="O5212" s="32"/>
      <c r="P5212" s="32"/>
      <c r="Q5212" s="32"/>
      <c r="R5212" s="32"/>
      <c r="S5212" s="32"/>
      <c r="T5212" s="32"/>
      <c r="U5212" s="32"/>
      <c r="V5212" s="32"/>
      <c r="W5212" s="32"/>
      <c r="X5212" s="32"/>
      <c r="Y5212" s="32"/>
      <c r="Z5212" s="32"/>
    </row>
    <row r="5213" spans="1:26" ht="14.25" customHeight="1"/>
    <row r="5214" spans="1:26" ht="14.25" customHeight="1"/>
    <row r="5215" spans="1:26" ht="14.25" customHeight="1"/>
    <row r="5216" spans="1:26" ht="14.25" customHeight="1"/>
    <row r="5217" spans="1:26" ht="14.25" customHeight="1"/>
    <row r="5218" spans="1:26" ht="14.25" customHeight="1">
      <c r="A5218" s="80" t="s">
        <v>0</v>
      </c>
      <c r="B5218" s="81"/>
      <c r="C5218" s="81"/>
      <c r="D5218" s="81"/>
      <c r="E5218" s="81"/>
      <c r="F5218" s="81"/>
      <c r="G5218" s="81"/>
      <c r="H5218" s="82"/>
      <c r="I5218" s="32"/>
      <c r="J5218" s="32"/>
      <c r="K5218" s="32"/>
      <c r="L5218" s="32"/>
      <c r="M5218" s="32"/>
      <c r="N5218" s="32"/>
      <c r="O5218" s="32"/>
      <c r="P5218" s="32"/>
      <c r="Q5218" s="32"/>
      <c r="R5218" s="32"/>
      <c r="S5218" s="32"/>
      <c r="T5218" s="32"/>
      <c r="U5218" s="32"/>
      <c r="V5218" s="32"/>
      <c r="W5218" s="32"/>
      <c r="X5218" s="32"/>
      <c r="Y5218" s="32"/>
      <c r="Z5218" s="32"/>
    </row>
    <row r="5219" spans="1:26" ht="14.25" customHeight="1">
      <c r="A5219" s="80" t="s">
        <v>1255</v>
      </c>
      <c r="B5219" s="81"/>
      <c r="C5219" s="81"/>
      <c r="D5219" s="81"/>
      <c r="E5219" s="81"/>
      <c r="F5219" s="81"/>
      <c r="G5219" s="81"/>
      <c r="H5219" s="82"/>
      <c r="I5219" s="32"/>
      <c r="J5219" s="32"/>
      <c r="K5219" s="32"/>
      <c r="L5219" s="32"/>
      <c r="M5219" s="32"/>
      <c r="N5219" s="32"/>
      <c r="O5219" s="32"/>
      <c r="P5219" s="32"/>
      <c r="Q5219" s="32"/>
      <c r="R5219" s="32"/>
      <c r="S5219" s="32"/>
      <c r="T5219" s="32"/>
      <c r="U5219" s="32"/>
      <c r="V5219" s="32"/>
      <c r="W5219" s="32"/>
      <c r="X5219" s="32"/>
      <c r="Y5219" s="32"/>
      <c r="Z5219" s="32"/>
    </row>
    <row r="5220" spans="1:26" ht="14.25" customHeight="1">
      <c r="A5220" s="33" t="s">
        <v>2</v>
      </c>
      <c r="B5220" s="33" t="s">
        <v>3</v>
      </c>
      <c r="C5220" s="33" t="s">
        <v>4</v>
      </c>
      <c r="D5220" s="33" t="s">
        <v>5</v>
      </c>
      <c r="E5220" s="33" t="s">
        <v>6</v>
      </c>
      <c r="F5220" s="34" t="s">
        <v>7</v>
      </c>
      <c r="G5220" s="33" t="s">
        <v>8</v>
      </c>
      <c r="H5220" s="35"/>
      <c r="I5220" s="32"/>
      <c r="J5220" s="32"/>
      <c r="K5220" s="32"/>
      <c r="L5220" s="32"/>
      <c r="M5220" s="32"/>
      <c r="N5220" s="32"/>
      <c r="O5220" s="32"/>
      <c r="P5220" s="32"/>
      <c r="Q5220" s="32"/>
      <c r="R5220" s="32"/>
      <c r="S5220" s="32"/>
      <c r="T5220" s="32"/>
      <c r="U5220" s="32"/>
      <c r="V5220" s="32"/>
      <c r="W5220" s="32"/>
      <c r="X5220" s="32"/>
      <c r="Y5220" s="32"/>
      <c r="Z5220" s="32"/>
    </row>
    <row r="5221" spans="1:26" ht="14.25" customHeight="1">
      <c r="A5221" s="36">
        <v>1</v>
      </c>
      <c r="B5221" s="18" t="s">
        <v>1256</v>
      </c>
      <c r="C5221" s="5" t="s">
        <v>1257</v>
      </c>
      <c r="D5221" s="18" t="s">
        <v>11</v>
      </c>
      <c r="E5221" s="18">
        <v>1.5</v>
      </c>
      <c r="F5221" s="6">
        <v>293000</v>
      </c>
      <c r="G5221" s="37">
        <f t="shared" ref="G5221:G5223" si="330">IFERROR(E5221*F5221,0)</f>
        <v>439500</v>
      </c>
      <c r="H5221" s="38"/>
      <c r="I5221" s="32"/>
      <c r="J5221" s="32"/>
      <c r="K5221" s="32"/>
      <c r="L5221" s="32"/>
      <c r="M5221" s="32"/>
      <c r="N5221" s="32"/>
      <c r="O5221" s="32"/>
      <c r="P5221" s="32"/>
      <c r="Q5221" s="32"/>
      <c r="R5221" s="32"/>
      <c r="S5221" s="32"/>
      <c r="T5221" s="32"/>
      <c r="U5221" s="32"/>
      <c r="V5221" s="32"/>
      <c r="W5221" s="32"/>
      <c r="X5221" s="32"/>
      <c r="Y5221" s="32"/>
      <c r="Z5221" s="32"/>
    </row>
    <row r="5222" spans="1:26" ht="14.25" customHeight="1">
      <c r="A5222" s="36">
        <v>2</v>
      </c>
      <c r="B5222" s="12" t="s">
        <v>12</v>
      </c>
      <c r="C5222" s="10" t="s">
        <v>328</v>
      </c>
      <c r="D5222" s="12" t="s">
        <v>233</v>
      </c>
      <c r="E5222" s="12">
        <v>2.0299999999999998</v>
      </c>
      <c r="F5222" s="43">
        <v>435000</v>
      </c>
      <c r="G5222" s="37">
        <f t="shared" si="330"/>
        <v>883049.99999999988</v>
      </c>
      <c r="H5222" s="38"/>
      <c r="I5222" s="32"/>
      <c r="J5222" s="32"/>
      <c r="K5222" s="32"/>
      <c r="L5222" s="32"/>
      <c r="M5222" s="32"/>
      <c r="N5222" s="32"/>
      <c r="O5222" s="32"/>
      <c r="P5222" s="32"/>
      <c r="Q5222" s="32"/>
      <c r="R5222" s="32"/>
      <c r="S5222" s="32"/>
      <c r="T5222" s="32"/>
      <c r="U5222" s="32"/>
      <c r="V5222" s="32"/>
      <c r="W5222" s="32"/>
      <c r="X5222" s="32"/>
      <c r="Y5222" s="32"/>
      <c r="Z5222" s="32"/>
    </row>
    <row r="5223" spans="1:26" ht="14.25" customHeight="1">
      <c r="A5223" s="36">
        <v>4</v>
      </c>
      <c r="B5223" s="39" t="s">
        <v>17</v>
      </c>
      <c r="C5223" s="38"/>
      <c r="D5223" s="38"/>
      <c r="E5223" s="38"/>
      <c r="F5223" s="60"/>
      <c r="G5223" s="37">
        <f t="shared" si="330"/>
        <v>0</v>
      </c>
      <c r="H5223" s="38"/>
      <c r="I5223" s="32"/>
      <c r="J5223" s="32"/>
      <c r="K5223" s="32"/>
      <c r="L5223" s="32"/>
      <c r="M5223" s="32"/>
      <c r="N5223" s="32"/>
      <c r="O5223" s="32"/>
      <c r="P5223" s="32"/>
      <c r="Q5223" s="32"/>
      <c r="R5223" s="32"/>
      <c r="S5223" s="32"/>
      <c r="T5223" s="32"/>
      <c r="U5223" s="32"/>
      <c r="V5223" s="32"/>
      <c r="W5223" s="32"/>
      <c r="X5223" s="32"/>
      <c r="Y5223" s="32"/>
      <c r="Z5223" s="32"/>
    </row>
    <row r="5224" spans="1:26" ht="14.25" customHeight="1">
      <c r="A5224" s="83" t="s">
        <v>18</v>
      </c>
      <c r="B5224" s="81"/>
      <c r="C5224" s="81"/>
      <c r="D5224" s="81"/>
      <c r="E5224" s="81"/>
      <c r="F5224" s="81"/>
      <c r="G5224" s="82"/>
      <c r="H5224" s="41">
        <f>SUM(G5221:G5223)</f>
        <v>1322550</v>
      </c>
      <c r="I5224" s="32"/>
      <c r="J5224" s="32"/>
      <c r="K5224" s="32"/>
      <c r="L5224" s="32"/>
      <c r="M5224" s="32"/>
      <c r="N5224" s="32"/>
      <c r="O5224" s="32"/>
      <c r="P5224" s="32"/>
      <c r="Q5224" s="32"/>
      <c r="R5224" s="32"/>
      <c r="S5224" s="32"/>
      <c r="T5224" s="32"/>
      <c r="U5224" s="32"/>
      <c r="V5224" s="32"/>
      <c r="W5224" s="32"/>
      <c r="X5224" s="32"/>
      <c r="Y5224" s="32"/>
      <c r="Z5224" s="32"/>
    </row>
    <row r="5225" spans="1:26" ht="14.25" customHeight="1">
      <c r="A5225" s="83" t="s">
        <v>19</v>
      </c>
      <c r="B5225" s="81"/>
      <c r="C5225" s="81"/>
      <c r="D5225" s="81"/>
      <c r="E5225" s="81"/>
      <c r="F5225" s="81"/>
      <c r="G5225" s="82"/>
      <c r="H5225" s="41">
        <f>MAX(0,H5224-648000)</f>
        <v>674550</v>
      </c>
      <c r="I5225" s="32"/>
      <c r="J5225" s="32"/>
      <c r="K5225" s="32"/>
      <c r="L5225" s="32"/>
      <c r="M5225" s="32"/>
      <c r="N5225" s="32"/>
      <c r="O5225" s="32"/>
      <c r="P5225" s="32"/>
      <c r="Q5225" s="32"/>
      <c r="R5225" s="32"/>
      <c r="S5225" s="32"/>
      <c r="T5225" s="32"/>
      <c r="U5225" s="32"/>
      <c r="V5225" s="32"/>
      <c r="W5225" s="32"/>
      <c r="X5225" s="32"/>
      <c r="Y5225" s="32"/>
      <c r="Z5225" s="32"/>
    </row>
    <row r="5226" spans="1:26" ht="14.25" customHeight="1">
      <c r="A5226" s="84" t="s">
        <v>20</v>
      </c>
      <c r="B5226" s="81"/>
      <c r="C5226" s="81"/>
      <c r="D5226" s="81"/>
      <c r="E5226" s="81"/>
      <c r="F5226" s="81"/>
      <c r="G5226" s="82"/>
      <c r="H5226" s="42">
        <v>649000</v>
      </c>
      <c r="I5226" s="32"/>
      <c r="J5226" s="32"/>
      <c r="K5226" s="32"/>
      <c r="L5226" s="32"/>
      <c r="M5226" s="32"/>
      <c r="N5226" s="32"/>
      <c r="O5226" s="32"/>
      <c r="P5226" s="32"/>
      <c r="Q5226" s="32"/>
      <c r="R5226" s="32"/>
      <c r="S5226" s="32"/>
      <c r="T5226" s="32"/>
      <c r="U5226" s="32"/>
      <c r="V5226" s="32"/>
      <c r="W5226" s="32"/>
      <c r="X5226" s="32"/>
      <c r="Y5226" s="32"/>
      <c r="Z5226" s="32"/>
    </row>
    <row r="5227" spans="1:26" ht="14.25" customHeight="1">
      <c r="A5227" s="80"/>
      <c r="B5227" s="81"/>
      <c r="C5227" s="81"/>
      <c r="D5227" s="81"/>
      <c r="E5227" s="81"/>
      <c r="F5227" s="81"/>
      <c r="G5227" s="81"/>
      <c r="H5227" s="82"/>
      <c r="I5227" s="32"/>
      <c r="J5227" s="32"/>
      <c r="K5227" s="32"/>
      <c r="L5227" s="32"/>
      <c r="M5227" s="32"/>
      <c r="N5227" s="32"/>
      <c r="O5227" s="32"/>
      <c r="P5227" s="32"/>
      <c r="Q5227" s="32"/>
      <c r="R5227" s="32"/>
      <c r="S5227" s="32"/>
      <c r="T5227" s="32"/>
      <c r="U5227" s="32"/>
      <c r="V5227" s="32"/>
      <c r="W5227" s="32"/>
      <c r="X5227" s="32"/>
      <c r="Y5227" s="32"/>
      <c r="Z5227" s="32"/>
    </row>
    <row r="5228" spans="1:26" ht="14.25" customHeight="1"/>
    <row r="5229" spans="1:26" ht="14.25" customHeight="1"/>
    <row r="5230" spans="1:26" ht="14.25" customHeight="1"/>
    <row r="5231" spans="1:26" ht="14.25" customHeight="1"/>
    <row r="5232" spans="1:26" ht="14.25" customHeight="1"/>
    <row r="5233" spans="1:26" ht="14.25" customHeight="1"/>
    <row r="5234" spans="1:26" ht="14.25" customHeight="1">
      <c r="A5234" s="80" t="s">
        <v>0</v>
      </c>
      <c r="B5234" s="81"/>
      <c r="C5234" s="81"/>
      <c r="D5234" s="81"/>
      <c r="E5234" s="81"/>
      <c r="F5234" s="81"/>
      <c r="G5234" s="81"/>
      <c r="H5234" s="82"/>
      <c r="I5234" s="32"/>
      <c r="J5234" s="32"/>
      <c r="K5234" s="32"/>
      <c r="L5234" s="32"/>
      <c r="M5234" s="32"/>
      <c r="N5234" s="32"/>
      <c r="O5234" s="32"/>
      <c r="P5234" s="32"/>
      <c r="Q5234" s="32"/>
      <c r="R5234" s="32"/>
      <c r="S5234" s="32"/>
      <c r="T5234" s="32"/>
      <c r="U5234" s="32"/>
      <c r="V5234" s="32"/>
      <c r="W5234" s="32"/>
      <c r="X5234" s="32"/>
      <c r="Y5234" s="32"/>
      <c r="Z5234" s="32"/>
    </row>
    <row r="5235" spans="1:26" ht="14.25" customHeight="1">
      <c r="A5235" s="80" t="s">
        <v>1258</v>
      </c>
      <c r="B5235" s="81"/>
      <c r="C5235" s="81"/>
      <c r="D5235" s="81"/>
      <c r="E5235" s="81"/>
      <c r="F5235" s="81"/>
      <c r="G5235" s="81"/>
      <c r="H5235" s="82"/>
      <c r="I5235" s="32"/>
      <c r="J5235" s="32"/>
      <c r="K5235" s="32"/>
      <c r="L5235" s="32"/>
      <c r="M5235" s="32"/>
      <c r="N5235" s="32"/>
      <c r="O5235" s="32"/>
      <c r="P5235" s="32"/>
      <c r="Q5235" s="32"/>
      <c r="R5235" s="32"/>
      <c r="S5235" s="32"/>
      <c r="T5235" s="32"/>
      <c r="U5235" s="32"/>
      <c r="V5235" s="32"/>
      <c r="W5235" s="32"/>
      <c r="X5235" s="32"/>
      <c r="Y5235" s="32"/>
      <c r="Z5235" s="32"/>
    </row>
    <row r="5236" spans="1:26" ht="14.25" customHeight="1">
      <c r="A5236" s="33" t="s">
        <v>2</v>
      </c>
      <c r="B5236" s="33" t="s">
        <v>3</v>
      </c>
      <c r="C5236" s="33" t="s">
        <v>4</v>
      </c>
      <c r="D5236" s="33" t="s">
        <v>5</v>
      </c>
      <c r="E5236" s="33" t="s">
        <v>6</v>
      </c>
      <c r="F5236" s="34" t="s">
        <v>7</v>
      </c>
      <c r="G5236" s="33" t="s">
        <v>8</v>
      </c>
      <c r="H5236" s="35"/>
      <c r="I5236" s="32"/>
      <c r="J5236" s="32"/>
      <c r="K5236" s="32"/>
      <c r="L5236" s="32"/>
      <c r="M5236" s="32"/>
      <c r="N5236" s="32"/>
      <c r="O5236" s="32"/>
      <c r="P5236" s="32"/>
      <c r="Q5236" s="32"/>
      <c r="R5236" s="32"/>
      <c r="S5236" s="32"/>
      <c r="T5236" s="32"/>
      <c r="U5236" s="32"/>
      <c r="V5236" s="32"/>
      <c r="W5236" s="32"/>
      <c r="X5236" s="32"/>
      <c r="Y5236" s="32"/>
      <c r="Z5236" s="32"/>
    </row>
    <row r="5237" spans="1:26" ht="14.25" customHeight="1">
      <c r="A5237" s="36">
        <v>1</v>
      </c>
      <c r="B5237" s="18" t="s">
        <v>1259</v>
      </c>
      <c r="C5237" s="5" t="s">
        <v>1260</v>
      </c>
      <c r="D5237" s="18" t="s">
        <v>11</v>
      </c>
      <c r="E5237" s="18">
        <v>1.5</v>
      </c>
      <c r="F5237" s="6">
        <v>293000</v>
      </c>
      <c r="G5237" s="37">
        <f t="shared" ref="G5237:G5239" si="331">IFERROR(E5237*F5237,0)</f>
        <v>439500</v>
      </c>
      <c r="H5237" s="38"/>
      <c r="I5237" s="32"/>
      <c r="J5237" s="32"/>
      <c r="K5237" s="32"/>
      <c r="L5237" s="32"/>
      <c r="M5237" s="32"/>
      <c r="N5237" s="32"/>
      <c r="O5237" s="32"/>
      <c r="P5237" s="32"/>
      <c r="Q5237" s="32"/>
      <c r="R5237" s="32"/>
      <c r="S5237" s="32"/>
      <c r="T5237" s="32"/>
      <c r="U5237" s="32"/>
      <c r="V5237" s="32"/>
      <c r="W5237" s="32"/>
      <c r="X5237" s="32"/>
      <c r="Y5237" s="32"/>
      <c r="Z5237" s="32"/>
    </row>
    <row r="5238" spans="1:26" ht="14.25" customHeight="1">
      <c r="A5238" s="36">
        <v>2</v>
      </c>
      <c r="B5238" s="12" t="s">
        <v>12</v>
      </c>
      <c r="C5238" s="10" t="s">
        <v>328</v>
      </c>
      <c r="D5238" s="12" t="s">
        <v>233</v>
      </c>
      <c r="E5238" s="12">
        <v>2.0499999999999998</v>
      </c>
      <c r="F5238" s="43">
        <v>435000</v>
      </c>
      <c r="G5238" s="37">
        <f t="shared" si="331"/>
        <v>891749.99999999988</v>
      </c>
      <c r="H5238" s="38"/>
      <c r="I5238" s="32"/>
      <c r="J5238" s="32"/>
      <c r="K5238" s="32"/>
      <c r="L5238" s="32"/>
      <c r="M5238" s="32"/>
      <c r="N5238" s="32"/>
      <c r="O5238" s="32"/>
      <c r="P5238" s="32"/>
      <c r="Q5238" s="32"/>
      <c r="R5238" s="32"/>
      <c r="S5238" s="32"/>
      <c r="T5238" s="32"/>
      <c r="U5238" s="32"/>
      <c r="V5238" s="32"/>
      <c r="W5238" s="32"/>
      <c r="X5238" s="32"/>
      <c r="Y5238" s="32"/>
      <c r="Z5238" s="32"/>
    </row>
    <row r="5239" spans="1:26" ht="14.25" customHeight="1">
      <c r="A5239" s="36">
        <v>4</v>
      </c>
      <c r="B5239" s="39" t="s">
        <v>17</v>
      </c>
      <c r="C5239" s="38"/>
      <c r="D5239" s="38"/>
      <c r="E5239" s="38"/>
      <c r="F5239" s="60"/>
      <c r="G5239" s="37">
        <f t="shared" si="331"/>
        <v>0</v>
      </c>
      <c r="H5239" s="38"/>
      <c r="I5239" s="32"/>
      <c r="J5239" s="32"/>
      <c r="K5239" s="32"/>
      <c r="L5239" s="32"/>
      <c r="M5239" s="32"/>
      <c r="N5239" s="32"/>
      <c r="O5239" s="32"/>
      <c r="P5239" s="32"/>
      <c r="Q5239" s="32"/>
      <c r="R5239" s="32"/>
      <c r="S5239" s="32"/>
      <c r="T5239" s="32"/>
      <c r="U5239" s="32"/>
      <c r="V5239" s="32"/>
      <c r="W5239" s="32"/>
      <c r="X5239" s="32"/>
      <c r="Y5239" s="32"/>
      <c r="Z5239" s="32"/>
    </row>
    <row r="5240" spans="1:26" ht="14.25" customHeight="1">
      <c r="A5240" s="83" t="s">
        <v>18</v>
      </c>
      <c r="B5240" s="81"/>
      <c r="C5240" s="81"/>
      <c r="D5240" s="81"/>
      <c r="E5240" s="81"/>
      <c r="F5240" s="81"/>
      <c r="G5240" s="82"/>
      <c r="H5240" s="41">
        <f>SUM(G5237:G5239)</f>
        <v>1331250</v>
      </c>
      <c r="I5240" s="32"/>
      <c r="J5240" s="32"/>
      <c r="K5240" s="32"/>
      <c r="L5240" s="32"/>
      <c r="M5240" s="32"/>
      <c r="N5240" s="32"/>
      <c r="O5240" s="32"/>
      <c r="P5240" s="32"/>
      <c r="Q5240" s="32"/>
      <c r="R5240" s="32"/>
      <c r="S5240" s="32"/>
      <c r="T5240" s="32"/>
      <c r="U5240" s="32"/>
      <c r="V5240" s="32"/>
      <c r="W5240" s="32"/>
      <c r="X5240" s="32"/>
      <c r="Y5240" s="32"/>
      <c r="Z5240" s="32"/>
    </row>
    <row r="5241" spans="1:26" ht="14.25" customHeight="1">
      <c r="A5241" s="83" t="s">
        <v>19</v>
      </c>
      <c r="B5241" s="81"/>
      <c r="C5241" s="81"/>
      <c r="D5241" s="81"/>
      <c r="E5241" s="81"/>
      <c r="F5241" s="81"/>
      <c r="G5241" s="82"/>
      <c r="H5241" s="41">
        <f>MAX(0,H5240-648000)</f>
        <v>683250</v>
      </c>
      <c r="I5241" s="32"/>
      <c r="J5241" s="32"/>
      <c r="K5241" s="32"/>
      <c r="L5241" s="32"/>
      <c r="M5241" s="32"/>
      <c r="N5241" s="32"/>
      <c r="O5241" s="32"/>
      <c r="P5241" s="32"/>
      <c r="Q5241" s="32"/>
      <c r="R5241" s="32"/>
      <c r="S5241" s="32"/>
      <c r="T5241" s="32"/>
      <c r="U5241" s="32"/>
      <c r="V5241" s="32"/>
      <c r="W5241" s="32"/>
      <c r="X5241" s="32"/>
      <c r="Y5241" s="32"/>
      <c r="Z5241" s="32"/>
    </row>
    <row r="5242" spans="1:26" ht="14.25" customHeight="1">
      <c r="A5242" s="84" t="s">
        <v>20</v>
      </c>
      <c r="B5242" s="81"/>
      <c r="C5242" s="81"/>
      <c r="D5242" s="81"/>
      <c r="E5242" s="81"/>
      <c r="F5242" s="81"/>
      <c r="G5242" s="82"/>
      <c r="H5242" s="42">
        <v>649000</v>
      </c>
      <c r="I5242" s="32"/>
      <c r="J5242" s="32"/>
      <c r="K5242" s="32"/>
      <c r="L5242" s="32"/>
      <c r="M5242" s="32"/>
      <c r="N5242" s="32"/>
      <c r="O5242" s="32"/>
      <c r="P5242" s="32"/>
      <c r="Q5242" s="32"/>
      <c r="R5242" s="32"/>
      <c r="S5242" s="32"/>
      <c r="T5242" s="32"/>
      <c r="U5242" s="32"/>
      <c r="V5242" s="32"/>
      <c r="W5242" s="32"/>
      <c r="X5242" s="32"/>
      <c r="Y5242" s="32"/>
      <c r="Z5242" s="32"/>
    </row>
    <row r="5243" spans="1:26" ht="14.25" customHeight="1">
      <c r="A5243" s="80"/>
      <c r="B5243" s="81"/>
      <c r="C5243" s="81"/>
      <c r="D5243" s="81"/>
      <c r="E5243" s="81"/>
      <c r="F5243" s="81"/>
      <c r="G5243" s="81"/>
      <c r="H5243" s="82"/>
      <c r="I5243" s="32"/>
      <c r="J5243" s="32"/>
      <c r="K5243" s="32"/>
      <c r="L5243" s="32"/>
      <c r="M5243" s="32"/>
      <c r="N5243" s="32"/>
      <c r="O5243" s="32"/>
      <c r="P5243" s="32"/>
      <c r="Q5243" s="32"/>
      <c r="R5243" s="32"/>
      <c r="S5243" s="32"/>
      <c r="T5243" s="32"/>
      <c r="U5243" s="32"/>
      <c r="V5243" s="32"/>
      <c r="W5243" s="32"/>
      <c r="X5243" s="32"/>
      <c r="Y5243" s="32"/>
      <c r="Z5243" s="32"/>
    </row>
    <row r="5244" spans="1:26" ht="14.25" customHeight="1"/>
    <row r="5245" spans="1:26" ht="14.25" customHeight="1"/>
    <row r="5246" spans="1:26" ht="14.25" customHeight="1"/>
    <row r="5247" spans="1:26" ht="14.25" customHeight="1"/>
    <row r="5248" spans="1:26" ht="14.25" customHeight="1"/>
    <row r="5249" spans="1:26" ht="14.25" customHeight="1"/>
    <row r="5250" spans="1:26" ht="14.25" customHeight="1">
      <c r="A5250" s="80" t="s">
        <v>0</v>
      </c>
      <c r="B5250" s="81"/>
      <c r="C5250" s="81"/>
      <c r="D5250" s="81"/>
      <c r="E5250" s="81"/>
      <c r="F5250" s="81"/>
      <c r="G5250" s="81"/>
      <c r="H5250" s="82"/>
      <c r="I5250" s="32"/>
      <c r="J5250" s="32"/>
      <c r="K5250" s="32"/>
      <c r="L5250" s="32"/>
      <c r="M5250" s="32"/>
      <c r="N5250" s="32"/>
      <c r="O5250" s="32"/>
      <c r="P5250" s="32"/>
      <c r="Q5250" s="32"/>
      <c r="R5250" s="32"/>
      <c r="S5250" s="32"/>
      <c r="T5250" s="32"/>
      <c r="U5250" s="32"/>
      <c r="V5250" s="32"/>
      <c r="W5250" s="32"/>
      <c r="X5250" s="32"/>
      <c r="Y5250" s="32"/>
      <c r="Z5250" s="32"/>
    </row>
    <row r="5251" spans="1:26" ht="14.25" customHeight="1">
      <c r="A5251" s="80" t="s">
        <v>1261</v>
      </c>
      <c r="B5251" s="81"/>
      <c r="C5251" s="81"/>
      <c r="D5251" s="81"/>
      <c r="E5251" s="81"/>
      <c r="F5251" s="81"/>
      <c r="G5251" s="81"/>
      <c r="H5251" s="82"/>
      <c r="I5251" s="32"/>
      <c r="J5251" s="32"/>
      <c r="K5251" s="32"/>
      <c r="L5251" s="32"/>
      <c r="M5251" s="32"/>
      <c r="N5251" s="32"/>
      <c r="O5251" s="32"/>
      <c r="P5251" s="32"/>
      <c r="Q5251" s="32"/>
      <c r="R5251" s="32"/>
      <c r="S5251" s="32"/>
      <c r="T5251" s="32"/>
      <c r="U5251" s="32"/>
      <c r="V5251" s="32"/>
      <c r="W5251" s="32"/>
      <c r="X5251" s="32"/>
      <c r="Y5251" s="32"/>
      <c r="Z5251" s="32"/>
    </row>
    <row r="5252" spans="1:26" ht="14.25" customHeight="1">
      <c r="A5252" s="33" t="s">
        <v>2</v>
      </c>
      <c r="B5252" s="33" t="s">
        <v>3</v>
      </c>
      <c r="C5252" s="33" t="s">
        <v>4</v>
      </c>
      <c r="D5252" s="33" t="s">
        <v>5</v>
      </c>
      <c r="E5252" s="33" t="s">
        <v>6</v>
      </c>
      <c r="F5252" s="34" t="s">
        <v>7</v>
      </c>
      <c r="G5252" s="33" t="s">
        <v>8</v>
      </c>
      <c r="H5252" s="35"/>
      <c r="I5252" s="32"/>
      <c r="J5252" s="32"/>
      <c r="K5252" s="32"/>
      <c r="L5252" s="32"/>
      <c r="M5252" s="32"/>
      <c r="N5252" s="32"/>
      <c r="O5252" s="32"/>
      <c r="P5252" s="32"/>
      <c r="Q5252" s="32"/>
      <c r="R5252" s="32"/>
      <c r="S5252" s="32"/>
      <c r="T5252" s="32"/>
      <c r="U5252" s="32"/>
      <c r="V5252" s="32"/>
      <c r="W5252" s="32"/>
      <c r="X5252" s="32"/>
      <c r="Y5252" s="32"/>
      <c r="Z5252" s="32"/>
    </row>
    <row r="5253" spans="1:26" ht="14.25" customHeight="1">
      <c r="A5253" s="36">
        <v>1</v>
      </c>
      <c r="B5253" s="18" t="s">
        <v>351</v>
      </c>
      <c r="C5253" s="5" t="s">
        <v>1262</v>
      </c>
      <c r="D5253" s="18" t="s">
        <v>11</v>
      </c>
      <c r="E5253" s="18">
        <v>0.84</v>
      </c>
      <c r="F5253" s="6">
        <v>293000</v>
      </c>
      <c r="G5253" s="37">
        <f t="shared" ref="G5253:G5255" si="332">IFERROR(E5253*F5253,0)</f>
        <v>246120</v>
      </c>
      <c r="H5253" s="38"/>
      <c r="I5253" s="32"/>
      <c r="J5253" s="32"/>
      <c r="K5253" s="32"/>
      <c r="L5253" s="32"/>
      <c r="M5253" s="32"/>
      <c r="N5253" s="32"/>
      <c r="O5253" s="32"/>
      <c r="P5253" s="32"/>
      <c r="Q5253" s="32"/>
      <c r="R5253" s="32"/>
      <c r="S5253" s="32"/>
      <c r="T5253" s="32"/>
      <c r="U5253" s="32"/>
      <c r="V5253" s="32"/>
      <c r="W5253" s="32"/>
      <c r="X5253" s="32"/>
      <c r="Y5253" s="32"/>
      <c r="Z5253" s="32"/>
    </row>
    <row r="5254" spans="1:26" ht="14.25" customHeight="1">
      <c r="A5254" s="36">
        <v>2</v>
      </c>
      <c r="B5254" s="12" t="s">
        <v>12</v>
      </c>
      <c r="C5254" s="10" t="s">
        <v>1263</v>
      </c>
      <c r="D5254" s="12" t="s">
        <v>233</v>
      </c>
      <c r="E5254" s="12">
        <v>2.8</v>
      </c>
      <c r="F5254" s="43">
        <v>435000</v>
      </c>
      <c r="G5254" s="37">
        <f t="shared" si="332"/>
        <v>1218000</v>
      </c>
      <c r="H5254" s="38"/>
      <c r="I5254" s="32"/>
      <c r="J5254" s="32"/>
      <c r="K5254" s="32"/>
      <c r="L5254" s="32"/>
      <c r="M5254" s="32"/>
      <c r="N5254" s="32"/>
      <c r="O5254" s="32"/>
      <c r="P5254" s="32"/>
      <c r="Q5254" s="32"/>
      <c r="R5254" s="32"/>
      <c r="S5254" s="32"/>
      <c r="T5254" s="32"/>
      <c r="U5254" s="32"/>
      <c r="V5254" s="32"/>
      <c r="W5254" s="32"/>
      <c r="X5254" s="32"/>
      <c r="Y5254" s="32"/>
      <c r="Z5254" s="32"/>
    </row>
    <row r="5255" spans="1:26" ht="14.25" customHeight="1">
      <c r="A5255" s="36">
        <v>4</v>
      </c>
      <c r="B5255" s="39" t="s">
        <v>17</v>
      </c>
      <c r="C5255" s="38"/>
      <c r="D5255" s="38"/>
      <c r="E5255" s="38"/>
      <c r="F5255" s="60"/>
      <c r="G5255" s="37">
        <f t="shared" si="332"/>
        <v>0</v>
      </c>
      <c r="H5255" s="38"/>
      <c r="I5255" s="32"/>
      <c r="J5255" s="32"/>
      <c r="K5255" s="32"/>
      <c r="L5255" s="32"/>
      <c r="M5255" s="32"/>
      <c r="N5255" s="32"/>
      <c r="O5255" s="32"/>
      <c r="P5255" s="32"/>
      <c r="Q5255" s="32"/>
      <c r="R5255" s="32"/>
      <c r="S5255" s="32"/>
      <c r="T5255" s="32"/>
      <c r="U5255" s="32"/>
      <c r="V5255" s="32"/>
      <c r="W5255" s="32"/>
      <c r="X5255" s="32"/>
      <c r="Y5255" s="32"/>
      <c r="Z5255" s="32"/>
    </row>
    <row r="5256" spans="1:26" ht="14.25" customHeight="1">
      <c r="A5256" s="83" t="s">
        <v>18</v>
      </c>
      <c r="B5256" s="81"/>
      <c r="C5256" s="81"/>
      <c r="D5256" s="81"/>
      <c r="E5256" s="81"/>
      <c r="F5256" s="81"/>
      <c r="G5256" s="82"/>
      <c r="H5256" s="41">
        <f>SUM(G5253:G5255)</f>
        <v>1464120</v>
      </c>
      <c r="I5256" s="32"/>
      <c r="J5256" s="32"/>
      <c r="K5256" s="32"/>
      <c r="L5256" s="32"/>
      <c r="M5256" s="32"/>
      <c r="N5256" s="32"/>
      <c r="O5256" s="32"/>
      <c r="P5256" s="32"/>
      <c r="Q5256" s="32"/>
      <c r="R5256" s="32"/>
      <c r="S5256" s="32"/>
      <c r="T5256" s="32"/>
      <c r="U5256" s="32"/>
      <c r="V5256" s="32"/>
      <c r="W5256" s="32"/>
      <c r="X5256" s="32"/>
      <c r="Y5256" s="32"/>
      <c r="Z5256" s="32"/>
    </row>
    <row r="5257" spans="1:26" ht="14.25" customHeight="1">
      <c r="A5257" s="83" t="s">
        <v>19</v>
      </c>
      <c r="B5257" s="81"/>
      <c r="C5257" s="81"/>
      <c r="D5257" s="81"/>
      <c r="E5257" s="81"/>
      <c r="F5257" s="81"/>
      <c r="G5257" s="82"/>
      <c r="H5257" s="41">
        <f>MAX(0,H5256-648000)</f>
        <v>816120</v>
      </c>
      <c r="I5257" s="32"/>
      <c r="J5257" s="32"/>
      <c r="K5257" s="32"/>
      <c r="L5257" s="32"/>
      <c r="M5257" s="32"/>
      <c r="N5257" s="32"/>
      <c r="O5257" s="32"/>
      <c r="P5257" s="32"/>
      <c r="Q5257" s="32"/>
      <c r="R5257" s="32"/>
      <c r="S5257" s="32"/>
      <c r="T5257" s="32"/>
      <c r="U5257" s="32"/>
      <c r="V5257" s="32"/>
      <c r="W5257" s="32"/>
      <c r="X5257" s="32"/>
      <c r="Y5257" s="32"/>
      <c r="Z5257" s="32"/>
    </row>
    <row r="5258" spans="1:26" ht="14.25" customHeight="1">
      <c r="A5258" s="84" t="s">
        <v>20</v>
      </c>
      <c r="B5258" s="81"/>
      <c r="C5258" s="81"/>
      <c r="D5258" s="81"/>
      <c r="E5258" s="81"/>
      <c r="F5258" s="81"/>
      <c r="G5258" s="82"/>
      <c r="H5258" s="42">
        <v>649000</v>
      </c>
      <c r="I5258" s="32"/>
      <c r="J5258" s="32"/>
      <c r="K5258" s="32"/>
      <c r="L5258" s="32"/>
      <c r="M5258" s="32"/>
      <c r="N5258" s="32"/>
      <c r="O5258" s="32"/>
      <c r="P5258" s="32"/>
      <c r="Q5258" s="32"/>
      <c r="R5258" s="32"/>
      <c r="S5258" s="32"/>
      <c r="T5258" s="32"/>
      <c r="U5258" s="32"/>
      <c r="V5258" s="32"/>
      <c r="W5258" s="32"/>
      <c r="X5258" s="32"/>
      <c r="Y5258" s="32"/>
      <c r="Z5258" s="32"/>
    </row>
    <row r="5259" spans="1:26" ht="14.25" customHeight="1">
      <c r="A5259" s="80"/>
      <c r="B5259" s="81"/>
      <c r="C5259" s="81"/>
      <c r="D5259" s="81"/>
      <c r="E5259" s="81"/>
      <c r="F5259" s="81"/>
      <c r="G5259" s="81"/>
      <c r="H5259" s="82"/>
      <c r="I5259" s="32"/>
      <c r="J5259" s="32"/>
      <c r="K5259" s="32"/>
      <c r="L5259" s="32"/>
      <c r="M5259" s="32"/>
      <c r="N5259" s="32"/>
      <c r="O5259" s="32"/>
      <c r="P5259" s="32"/>
      <c r="Q5259" s="32"/>
      <c r="R5259" s="32"/>
      <c r="S5259" s="32"/>
      <c r="T5259" s="32"/>
      <c r="U5259" s="32"/>
      <c r="V5259" s="32"/>
      <c r="W5259" s="32"/>
      <c r="X5259" s="32"/>
      <c r="Y5259" s="32"/>
      <c r="Z5259" s="32"/>
    </row>
    <row r="5260" spans="1:26" ht="14.25" customHeight="1"/>
    <row r="5261" spans="1:26" ht="14.25" customHeight="1"/>
    <row r="5262" spans="1:26" ht="14.25" customHeight="1"/>
    <row r="5263" spans="1:26" ht="14.25" customHeight="1"/>
    <row r="5264" spans="1:26" ht="14.25" customHeight="1"/>
    <row r="5265" spans="1:26" ht="14.25" customHeight="1"/>
    <row r="5266" spans="1:26" ht="14.25" customHeight="1">
      <c r="A5266" s="80" t="s">
        <v>0</v>
      </c>
      <c r="B5266" s="81"/>
      <c r="C5266" s="81"/>
      <c r="D5266" s="81"/>
      <c r="E5266" s="81"/>
      <c r="F5266" s="81"/>
      <c r="G5266" s="81"/>
      <c r="H5266" s="82"/>
      <c r="I5266" s="32"/>
      <c r="J5266" s="32"/>
      <c r="K5266" s="32"/>
      <c r="L5266" s="32"/>
      <c r="M5266" s="32"/>
      <c r="N5266" s="32"/>
      <c r="O5266" s="32"/>
      <c r="P5266" s="32"/>
      <c r="Q5266" s="32"/>
      <c r="R5266" s="32"/>
      <c r="S5266" s="32"/>
      <c r="T5266" s="32"/>
      <c r="U5266" s="32"/>
      <c r="V5266" s="32"/>
      <c r="W5266" s="32"/>
      <c r="X5266" s="32"/>
      <c r="Y5266" s="32"/>
      <c r="Z5266" s="32"/>
    </row>
    <row r="5267" spans="1:26" ht="14.25" customHeight="1">
      <c r="A5267" s="80" t="s">
        <v>1264</v>
      </c>
      <c r="B5267" s="81"/>
      <c r="C5267" s="81"/>
      <c r="D5267" s="81"/>
      <c r="E5267" s="81"/>
      <c r="F5267" s="81"/>
      <c r="G5267" s="81"/>
      <c r="H5267" s="82"/>
      <c r="I5267" s="32"/>
      <c r="J5267" s="32"/>
      <c r="K5267" s="32"/>
      <c r="L5267" s="32"/>
      <c r="M5267" s="32"/>
      <c r="N5267" s="32"/>
      <c r="O5267" s="32"/>
      <c r="P5267" s="32"/>
      <c r="Q5267" s="32"/>
      <c r="R5267" s="32"/>
      <c r="S5267" s="32"/>
      <c r="T5267" s="32"/>
      <c r="U5267" s="32"/>
      <c r="V5267" s="32"/>
      <c r="W5267" s="32"/>
      <c r="X5267" s="32"/>
      <c r="Y5267" s="32"/>
      <c r="Z5267" s="32"/>
    </row>
    <row r="5268" spans="1:26" ht="14.25" customHeight="1">
      <c r="A5268" s="33" t="s">
        <v>2</v>
      </c>
      <c r="B5268" s="33" t="s">
        <v>3</v>
      </c>
      <c r="C5268" s="33" t="s">
        <v>4</v>
      </c>
      <c r="D5268" s="33" t="s">
        <v>5</v>
      </c>
      <c r="E5268" s="33" t="s">
        <v>6</v>
      </c>
      <c r="F5268" s="34" t="s">
        <v>7</v>
      </c>
      <c r="G5268" s="33" t="s">
        <v>8</v>
      </c>
      <c r="H5268" s="35"/>
      <c r="I5268" s="32"/>
      <c r="J5268" s="32"/>
      <c r="K5268" s="32"/>
      <c r="L5268" s="32"/>
      <c r="M5268" s="32"/>
      <c r="N5268" s="32"/>
      <c r="O5268" s="32"/>
      <c r="P5268" s="32"/>
      <c r="Q5268" s="32"/>
      <c r="R5268" s="32"/>
      <c r="S5268" s="32"/>
      <c r="T5268" s="32"/>
      <c r="U5268" s="32"/>
      <c r="V5268" s="32"/>
      <c r="W5268" s="32"/>
      <c r="X5268" s="32"/>
      <c r="Y5268" s="32"/>
      <c r="Z5268" s="32"/>
    </row>
    <row r="5269" spans="1:26" ht="14.25" customHeight="1">
      <c r="A5269" s="36">
        <v>1</v>
      </c>
      <c r="B5269" s="18" t="s">
        <v>1265</v>
      </c>
      <c r="C5269" s="5">
        <v>2637</v>
      </c>
      <c r="D5269" s="18" t="s">
        <v>413</v>
      </c>
      <c r="E5269" s="18">
        <v>0.96</v>
      </c>
      <c r="F5269" s="6">
        <v>293000</v>
      </c>
      <c r="G5269" s="37">
        <f t="shared" ref="G5269:G5271" si="333">IFERROR(E5269*F5269,0)</f>
        <v>281280</v>
      </c>
      <c r="H5269" s="38"/>
      <c r="I5269" s="32"/>
      <c r="J5269" s="32"/>
      <c r="K5269" s="32"/>
      <c r="L5269" s="32"/>
      <c r="M5269" s="32"/>
      <c r="N5269" s="32"/>
      <c r="O5269" s="32"/>
      <c r="P5269" s="32"/>
      <c r="Q5269" s="32"/>
      <c r="R5269" s="32"/>
      <c r="S5269" s="32"/>
      <c r="T5269" s="32"/>
      <c r="U5269" s="32"/>
      <c r="V5269" s="32"/>
      <c r="W5269" s="32"/>
      <c r="X5269" s="32"/>
      <c r="Y5269" s="32"/>
      <c r="Z5269" s="32"/>
    </row>
    <row r="5270" spans="1:26" ht="14.25" customHeight="1">
      <c r="A5270" s="36">
        <v>2</v>
      </c>
      <c r="B5270" s="12" t="s">
        <v>12</v>
      </c>
      <c r="C5270" s="10" t="s">
        <v>1263</v>
      </c>
      <c r="D5270" s="12" t="s">
        <v>233</v>
      </c>
      <c r="E5270" s="12">
        <v>2.67</v>
      </c>
      <c r="F5270" s="43">
        <v>435000</v>
      </c>
      <c r="G5270" s="37">
        <f t="shared" si="333"/>
        <v>1161450</v>
      </c>
      <c r="H5270" s="38"/>
      <c r="I5270" s="32"/>
      <c r="J5270" s="32"/>
      <c r="K5270" s="32"/>
      <c r="L5270" s="32"/>
      <c r="M5270" s="32"/>
      <c r="N5270" s="32"/>
      <c r="O5270" s="32"/>
      <c r="P5270" s="32"/>
      <c r="Q5270" s="32"/>
      <c r="R5270" s="32"/>
      <c r="S5270" s="32"/>
      <c r="T5270" s="32"/>
      <c r="U5270" s="32"/>
      <c r="V5270" s="32"/>
      <c r="W5270" s="32"/>
      <c r="X5270" s="32"/>
      <c r="Y5270" s="32"/>
      <c r="Z5270" s="32"/>
    </row>
    <row r="5271" spans="1:26" ht="14.25" customHeight="1">
      <c r="A5271" s="36">
        <v>4</v>
      </c>
      <c r="B5271" s="39" t="s">
        <v>17</v>
      </c>
      <c r="C5271" s="38"/>
      <c r="D5271" s="38"/>
      <c r="E5271" s="38"/>
      <c r="F5271" s="60"/>
      <c r="G5271" s="37">
        <f t="shared" si="333"/>
        <v>0</v>
      </c>
      <c r="H5271" s="38"/>
      <c r="I5271" s="32"/>
      <c r="J5271" s="32"/>
      <c r="K5271" s="32"/>
      <c r="L5271" s="32"/>
      <c r="M5271" s="32"/>
      <c r="N5271" s="32"/>
      <c r="O5271" s="32"/>
      <c r="P5271" s="32"/>
      <c r="Q5271" s="32"/>
      <c r="R5271" s="32"/>
      <c r="S5271" s="32"/>
      <c r="T5271" s="32"/>
      <c r="U5271" s="32"/>
      <c r="V5271" s="32"/>
      <c r="W5271" s="32"/>
      <c r="X5271" s="32"/>
      <c r="Y5271" s="32"/>
      <c r="Z5271" s="32"/>
    </row>
    <row r="5272" spans="1:26" ht="14.25" customHeight="1">
      <c r="A5272" s="83" t="s">
        <v>18</v>
      </c>
      <c r="B5272" s="81"/>
      <c r="C5272" s="81"/>
      <c r="D5272" s="81"/>
      <c r="E5272" s="81"/>
      <c r="F5272" s="81"/>
      <c r="G5272" s="82"/>
      <c r="H5272" s="41">
        <f>SUM(G5269:G5271)</f>
        <v>1442730</v>
      </c>
      <c r="I5272" s="32"/>
      <c r="J5272" s="32"/>
      <c r="K5272" s="32"/>
      <c r="L5272" s="32"/>
      <c r="M5272" s="32"/>
      <c r="N5272" s="32"/>
      <c r="O5272" s="32"/>
      <c r="P5272" s="32"/>
      <c r="Q5272" s="32"/>
      <c r="R5272" s="32"/>
      <c r="S5272" s="32"/>
      <c r="T5272" s="32"/>
      <c r="U5272" s="32"/>
      <c r="V5272" s="32"/>
      <c r="W5272" s="32"/>
      <c r="X5272" s="32"/>
      <c r="Y5272" s="32"/>
      <c r="Z5272" s="32"/>
    </row>
    <row r="5273" spans="1:26" ht="14.25" customHeight="1">
      <c r="A5273" s="83" t="s">
        <v>19</v>
      </c>
      <c r="B5273" s="81"/>
      <c r="C5273" s="81"/>
      <c r="D5273" s="81"/>
      <c r="E5273" s="81"/>
      <c r="F5273" s="81"/>
      <c r="G5273" s="82"/>
      <c r="H5273" s="41">
        <f>MAX(0,H5272-648000)</f>
        <v>794730</v>
      </c>
      <c r="I5273" s="32"/>
      <c r="J5273" s="32"/>
      <c r="K5273" s="32"/>
      <c r="L5273" s="32"/>
      <c r="M5273" s="32"/>
      <c r="N5273" s="32"/>
      <c r="O5273" s="32"/>
      <c r="P5273" s="32"/>
      <c r="Q5273" s="32"/>
      <c r="R5273" s="32"/>
      <c r="S5273" s="32"/>
      <c r="T5273" s="32"/>
      <c r="U5273" s="32"/>
      <c r="V5273" s="32"/>
      <c r="W5273" s="32"/>
      <c r="X5273" s="32"/>
      <c r="Y5273" s="32"/>
      <c r="Z5273" s="32"/>
    </row>
    <row r="5274" spans="1:26" ht="14.25" customHeight="1">
      <c r="A5274" s="84" t="s">
        <v>20</v>
      </c>
      <c r="B5274" s="81"/>
      <c r="C5274" s="81"/>
      <c r="D5274" s="81"/>
      <c r="E5274" s="81"/>
      <c r="F5274" s="81"/>
      <c r="G5274" s="82"/>
      <c r="H5274" s="42">
        <v>649000</v>
      </c>
      <c r="I5274" s="32"/>
      <c r="J5274" s="32"/>
      <c r="K5274" s="32"/>
      <c r="L5274" s="32"/>
      <c r="M5274" s="32"/>
      <c r="N5274" s="32"/>
      <c r="O5274" s="32"/>
      <c r="P5274" s="32"/>
      <c r="Q5274" s="32"/>
      <c r="R5274" s="32"/>
      <c r="S5274" s="32"/>
      <c r="T5274" s="32"/>
      <c r="U5274" s="32"/>
      <c r="V5274" s="32"/>
      <c r="W5274" s="32"/>
      <c r="X5274" s="32"/>
      <c r="Y5274" s="32"/>
      <c r="Z5274" s="32"/>
    </row>
    <row r="5275" spans="1:26" ht="14.25" customHeight="1">
      <c r="A5275" s="80"/>
      <c r="B5275" s="81"/>
      <c r="C5275" s="81"/>
      <c r="D5275" s="81"/>
      <c r="E5275" s="81"/>
      <c r="F5275" s="81"/>
      <c r="G5275" s="81"/>
      <c r="H5275" s="82"/>
      <c r="I5275" s="32"/>
      <c r="J5275" s="32"/>
      <c r="K5275" s="32"/>
      <c r="L5275" s="32"/>
      <c r="M5275" s="32"/>
      <c r="N5275" s="32"/>
      <c r="O5275" s="32"/>
      <c r="P5275" s="32"/>
      <c r="Q5275" s="32"/>
      <c r="R5275" s="32"/>
      <c r="S5275" s="32"/>
      <c r="T5275" s="32"/>
      <c r="U5275" s="32"/>
      <c r="V5275" s="32"/>
      <c r="W5275" s="32"/>
      <c r="X5275" s="32"/>
      <c r="Y5275" s="32"/>
      <c r="Z5275" s="32"/>
    </row>
    <row r="5276" spans="1:26" ht="14.25" customHeight="1"/>
    <row r="5277" spans="1:26" ht="14.25" customHeight="1"/>
    <row r="5278" spans="1:26" ht="14.25" customHeight="1"/>
    <row r="5279" spans="1:26" ht="14.25" customHeight="1"/>
    <row r="5280" spans="1:26" ht="14.25" customHeight="1"/>
    <row r="5281" spans="1:26" ht="14.25" customHeight="1"/>
    <row r="5282" spans="1:26" ht="14.25" customHeight="1"/>
    <row r="5283" spans="1:26" ht="14.25" customHeight="1"/>
    <row r="5284" spans="1:26" ht="14.25" customHeight="1">
      <c r="A5284" s="80" t="s">
        <v>0</v>
      </c>
      <c r="B5284" s="81"/>
      <c r="C5284" s="81"/>
      <c r="D5284" s="81"/>
      <c r="E5284" s="81"/>
      <c r="F5284" s="81"/>
      <c r="G5284" s="81"/>
      <c r="H5284" s="82"/>
      <c r="I5284" s="32"/>
      <c r="J5284" s="32"/>
      <c r="K5284" s="32"/>
      <c r="L5284" s="32"/>
      <c r="M5284" s="32"/>
      <c r="N5284" s="32"/>
      <c r="O5284" s="32"/>
      <c r="P5284" s="32"/>
      <c r="Q5284" s="32"/>
      <c r="R5284" s="32"/>
      <c r="S5284" s="32"/>
      <c r="T5284" s="32"/>
      <c r="U5284" s="32"/>
      <c r="V5284" s="32"/>
      <c r="W5284" s="32"/>
      <c r="X5284" s="32"/>
      <c r="Y5284" s="32"/>
      <c r="Z5284" s="32"/>
    </row>
    <row r="5285" spans="1:26" ht="14.25" customHeight="1">
      <c r="A5285" s="80" t="s">
        <v>1266</v>
      </c>
      <c r="B5285" s="81"/>
      <c r="C5285" s="81"/>
      <c r="D5285" s="81"/>
      <c r="E5285" s="81"/>
      <c r="F5285" s="81"/>
      <c r="G5285" s="81"/>
      <c r="H5285" s="82"/>
      <c r="I5285" s="32"/>
      <c r="J5285" s="32"/>
      <c r="K5285" s="32"/>
      <c r="L5285" s="32"/>
      <c r="M5285" s="32"/>
      <c r="N5285" s="32"/>
      <c r="O5285" s="32"/>
      <c r="P5285" s="32"/>
      <c r="Q5285" s="32"/>
      <c r="R5285" s="32"/>
      <c r="S5285" s="32"/>
      <c r="T5285" s="32"/>
      <c r="U5285" s="32"/>
      <c r="V5285" s="32"/>
      <c r="W5285" s="32"/>
      <c r="X5285" s="32"/>
      <c r="Y5285" s="32"/>
      <c r="Z5285" s="32"/>
    </row>
    <row r="5286" spans="1:26" ht="14.25" customHeight="1">
      <c r="A5286" s="33" t="s">
        <v>2</v>
      </c>
      <c r="B5286" s="33" t="s">
        <v>3</v>
      </c>
      <c r="C5286" s="33" t="s">
        <v>4</v>
      </c>
      <c r="D5286" s="33" t="s">
        <v>5</v>
      </c>
      <c r="E5286" s="33" t="s">
        <v>6</v>
      </c>
      <c r="F5286" s="34" t="s">
        <v>7</v>
      </c>
      <c r="G5286" s="33" t="s">
        <v>8</v>
      </c>
      <c r="H5286" s="35"/>
      <c r="I5286" s="32"/>
      <c r="J5286" s="32"/>
      <c r="K5286" s="32"/>
      <c r="L5286" s="32"/>
      <c r="M5286" s="32"/>
      <c r="N5286" s="32"/>
      <c r="O5286" s="32"/>
      <c r="P5286" s="32"/>
      <c r="Q5286" s="32"/>
      <c r="R5286" s="32"/>
      <c r="S5286" s="32"/>
      <c r="T5286" s="32"/>
      <c r="U5286" s="32"/>
      <c r="V5286" s="32"/>
      <c r="W5286" s="32"/>
      <c r="X5286" s="32"/>
      <c r="Y5286" s="32"/>
      <c r="Z5286" s="32"/>
    </row>
    <row r="5287" spans="1:26" ht="14.25" customHeight="1">
      <c r="A5287" s="36">
        <v>1</v>
      </c>
      <c r="B5287" s="18" t="s">
        <v>1267</v>
      </c>
      <c r="C5287" s="5" t="s">
        <v>1268</v>
      </c>
      <c r="D5287" s="18" t="s">
        <v>11</v>
      </c>
      <c r="E5287" s="18">
        <v>2.59</v>
      </c>
      <c r="F5287" s="6">
        <v>293000</v>
      </c>
      <c r="G5287" s="37">
        <f t="shared" ref="G5287:G5289" si="334">IFERROR(E5287*F5287,0)</f>
        <v>758870</v>
      </c>
      <c r="H5287" s="38"/>
      <c r="I5287" s="32"/>
      <c r="J5287" s="32"/>
      <c r="K5287" s="32"/>
      <c r="L5287" s="32"/>
      <c r="M5287" s="32"/>
      <c r="N5287" s="32"/>
      <c r="O5287" s="32"/>
      <c r="P5287" s="32"/>
      <c r="Q5287" s="32"/>
      <c r="R5287" s="32"/>
      <c r="S5287" s="32"/>
      <c r="T5287" s="32"/>
      <c r="U5287" s="32"/>
      <c r="V5287" s="32"/>
      <c r="W5287" s="32"/>
      <c r="X5287" s="32"/>
      <c r="Y5287" s="32"/>
      <c r="Z5287" s="32"/>
    </row>
    <row r="5288" spans="1:26" ht="14.25" customHeight="1">
      <c r="A5288" s="36">
        <v>2</v>
      </c>
      <c r="B5288" s="12" t="s">
        <v>1269</v>
      </c>
      <c r="C5288" s="10" t="s">
        <v>1026</v>
      </c>
      <c r="D5288" s="12" t="s">
        <v>233</v>
      </c>
      <c r="E5288" s="12">
        <v>1.05</v>
      </c>
      <c r="F5288" s="43">
        <v>435000</v>
      </c>
      <c r="G5288" s="37">
        <f t="shared" si="334"/>
        <v>456750</v>
      </c>
      <c r="H5288" s="38"/>
      <c r="I5288" s="32"/>
      <c r="J5288" s="32"/>
      <c r="K5288" s="32"/>
      <c r="L5288" s="32"/>
      <c r="M5288" s="32"/>
      <c r="N5288" s="32"/>
      <c r="O5288" s="32"/>
      <c r="P5288" s="32"/>
      <c r="Q5288" s="32"/>
      <c r="R5288" s="32"/>
      <c r="S5288" s="32"/>
      <c r="T5288" s="32"/>
      <c r="U5288" s="32"/>
      <c r="V5288" s="32"/>
      <c r="W5288" s="32"/>
      <c r="X5288" s="32"/>
      <c r="Y5288" s="32"/>
      <c r="Z5288" s="32"/>
    </row>
    <row r="5289" spans="1:26" ht="14.25" customHeight="1">
      <c r="A5289" s="36">
        <v>4</v>
      </c>
      <c r="B5289" s="39" t="s">
        <v>17</v>
      </c>
      <c r="C5289" s="38"/>
      <c r="D5289" s="38"/>
      <c r="E5289" s="38"/>
      <c r="F5289" s="60"/>
      <c r="G5289" s="37">
        <f t="shared" si="334"/>
        <v>0</v>
      </c>
      <c r="H5289" s="38"/>
      <c r="I5289" s="32"/>
      <c r="J5289" s="32"/>
      <c r="K5289" s="32"/>
      <c r="L5289" s="32"/>
      <c r="M5289" s="32"/>
      <c r="N5289" s="32"/>
      <c r="O5289" s="32"/>
      <c r="P5289" s="32"/>
      <c r="Q5289" s="32"/>
      <c r="R5289" s="32"/>
      <c r="S5289" s="32"/>
      <c r="T5289" s="32"/>
      <c r="U5289" s="32"/>
      <c r="V5289" s="32"/>
      <c r="W5289" s="32"/>
      <c r="X5289" s="32"/>
      <c r="Y5289" s="32"/>
      <c r="Z5289" s="32"/>
    </row>
    <row r="5290" spans="1:26" ht="14.25" customHeight="1">
      <c r="A5290" s="83" t="s">
        <v>18</v>
      </c>
      <c r="B5290" s="81"/>
      <c r="C5290" s="81"/>
      <c r="D5290" s="81"/>
      <c r="E5290" s="81"/>
      <c r="F5290" s="81"/>
      <c r="G5290" s="82"/>
      <c r="H5290" s="41">
        <f>SUM(G5287:G5289)</f>
        <v>1215620</v>
      </c>
      <c r="I5290" s="32"/>
      <c r="J5290" s="32"/>
      <c r="K5290" s="32"/>
      <c r="L5290" s="32"/>
      <c r="M5290" s="32"/>
      <c r="N5290" s="32"/>
      <c r="O5290" s="32"/>
      <c r="P5290" s="32"/>
      <c r="Q5290" s="32"/>
      <c r="R5290" s="32"/>
      <c r="S5290" s="32"/>
      <c r="T5290" s="32"/>
      <c r="U5290" s="32"/>
      <c r="V5290" s="32"/>
      <c r="W5290" s="32"/>
      <c r="X5290" s="32"/>
      <c r="Y5290" s="32"/>
      <c r="Z5290" s="32"/>
    </row>
    <row r="5291" spans="1:26" ht="14.25" customHeight="1">
      <c r="A5291" s="83" t="s">
        <v>19</v>
      </c>
      <c r="B5291" s="81"/>
      <c r="C5291" s="81"/>
      <c r="D5291" s="81"/>
      <c r="E5291" s="81"/>
      <c r="F5291" s="81"/>
      <c r="G5291" s="82"/>
      <c r="H5291" s="41">
        <f>MAX(0,H5290-648000)</f>
        <v>567620</v>
      </c>
      <c r="I5291" s="32"/>
      <c r="J5291" s="32"/>
      <c r="K5291" s="32"/>
      <c r="L5291" s="32"/>
      <c r="M5291" s="32"/>
      <c r="N5291" s="32"/>
      <c r="O5291" s="32"/>
      <c r="P5291" s="32"/>
      <c r="Q5291" s="32"/>
      <c r="R5291" s="32"/>
      <c r="S5291" s="32"/>
      <c r="T5291" s="32"/>
      <c r="U5291" s="32"/>
      <c r="V5291" s="32"/>
      <c r="W5291" s="32"/>
      <c r="X5291" s="32"/>
      <c r="Y5291" s="32"/>
      <c r="Z5291" s="32"/>
    </row>
    <row r="5292" spans="1:26" ht="14.25" customHeight="1">
      <c r="A5292" s="84" t="s">
        <v>20</v>
      </c>
      <c r="B5292" s="81"/>
      <c r="C5292" s="81"/>
      <c r="D5292" s="81"/>
      <c r="E5292" s="81"/>
      <c r="F5292" s="81"/>
      <c r="G5292" s="82"/>
      <c r="H5292" s="42">
        <v>649000</v>
      </c>
      <c r="I5292" s="32"/>
      <c r="J5292" s="32"/>
      <c r="K5292" s="32"/>
      <c r="L5292" s="32"/>
      <c r="M5292" s="32"/>
      <c r="N5292" s="32"/>
      <c r="O5292" s="32"/>
      <c r="P5292" s="32"/>
      <c r="Q5292" s="32"/>
      <c r="R5292" s="32"/>
      <c r="S5292" s="32"/>
      <c r="T5292" s="32"/>
      <c r="U5292" s="32"/>
      <c r="V5292" s="32"/>
      <c r="W5292" s="32"/>
      <c r="X5292" s="32"/>
      <c r="Y5292" s="32"/>
      <c r="Z5292" s="32"/>
    </row>
    <row r="5293" spans="1:26" ht="14.25" customHeight="1">
      <c r="A5293" s="80"/>
      <c r="B5293" s="81"/>
      <c r="C5293" s="81"/>
      <c r="D5293" s="81"/>
      <c r="E5293" s="81"/>
      <c r="F5293" s="81"/>
      <c r="G5293" s="81"/>
      <c r="H5293" s="82"/>
      <c r="I5293" s="32"/>
      <c r="J5293" s="32"/>
      <c r="K5293" s="32"/>
      <c r="L5293" s="32"/>
      <c r="M5293" s="32"/>
      <c r="N5293" s="32"/>
      <c r="O5293" s="32"/>
      <c r="P5293" s="32"/>
      <c r="Q5293" s="32"/>
      <c r="R5293" s="32"/>
      <c r="S5293" s="32"/>
      <c r="T5293" s="32"/>
      <c r="U5293" s="32"/>
      <c r="V5293" s="32"/>
      <c r="W5293" s="32"/>
      <c r="X5293" s="32"/>
      <c r="Y5293" s="32"/>
      <c r="Z5293" s="32"/>
    </row>
    <row r="5294" spans="1:26" ht="14.25" customHeight="1"/>
    <row r="5295" spans="1:26" ht="14.25" customHeight="1"/>
    <row r="5296" spans="1:26" ht="14.25" customHeight="1"/>
    <row r="5297" spans="1:26" ht="14.25" customHeight="1"/>
    <row r="5298" spans="1:26" ht="14.25" customHeight="1"/>
    <row r="5299" spans="1:26" ht="14.25" customHeight="1"/>
    <row r="5300" spans="1:26" ht="14.25" customHeight="1"/>
    <row r="5301" spans="1:26" ht="14.25" customHeight="1"/>
    <row r="5302" spans="1:26" ht="14.25" customHeight="1"/>
    <row r="5303" spans="1:26" ht="14.25" customHeight="1"/>
    <row r="5304" spans="1:26" ht="14.25" customHeight="1">
      <c r="A5304" s="80" t="s">
        <v>0</v>
      </c>
      <c r="B5304" s="81"/>
      <c r="C5304" s="81"/>
      <c r="D5304" s="81"/>
      <c r="E5304" s="81"/>
      <c r="F5304" s="81"/>
      <c r="G5304" s="81"/>
      <c r="H5304" s="82"/>
      <c r="I5304" s="32"/>
      <c r="J5304" s="32"/>
      <c r="K5304" s="32"/>
      <c r="L5304" s="32"/>
      <c r="M5304" s="32"/>
      <c r="N5304" s="32"/>
      <c r="O5304" s="32"/>
      <c r="P5304" s="32"/>
      <c r="Q5304" s="32"/>
      <c r="R5304" s="32"/>
      <c r="S5304" s="32"/>
      <c r="T5304" s="32"/>
      <c r="U5304" s="32"/>
      <c r="V5304" s="32"/>
      <c r="W5304" s="32"/>
      <c r="X5304" s="32"/>
      <c r="Y5304" s="32"/>
      <c r="Z5304" s="32"/>
    </row>
    <row r="5305" spans="1:26" ht="14.25" customHeight="1">
      <c r="A5305" s="80" t="s">
        <v>1270</v>
      </c>
      <c r="B5305" s="81"/>
      <c r="C5305" s="81"/>
      <c r="D5305" s="81"/>
      <c r="E5305" s="81"/>
      <c r="F5305" s="81"/>
      <c r="G5305" s="81"/>
      <c r="H5305" s="82"/>
      <c r="I5305" s="32"/>
      <c r="J5305" s="32"/>
      <c r="K5305" s="32"/>
      <c r="L5305" s="32"/>
      <c r="M5305" s="32"/>
      <c r="N5305" s="32"/>
      <c r="O5305" s="32"/>
      <c r="P5305" s="32"/>
      <c r="Q5305" s="32"/>
      <c r="R5305" s="32"/>
      <c r="S5305" s="32"/>
      <c r="T5305" s="32"/>
      <c r="U5305" s="32"/>
      <c r="V5305" s="32"/>
      <c r="W5305" s="32"/>
      <c r="X5305" s="32"/>
      <c r="Y5305" s="32"/>
      <c r="Z5305" s="32"/>
    </row>
    <row r="5306" spans="1:26" ht="14.25" customHeight="1">
      <c r="A5306" s="33" t="s">
        <v>2</v>
      </c>
      <c r="B5306" s="33" t="s">
        <v>3</v>
      </c>
      <c r="C5306" s="33" t="s">
        <v>4</v>
      </c>
      <c r="D5306" s="33" t="s">
        <v>5</v>
      </c>
      <c r="E5306" s="33" t="s">
        <v>6</v>
      </c>
      <c r="F5306" s="34" t="s">
        <v>7</v>
      </c>
      <c r="G5306" s="33" t="s">
        <v>8</v>
      </c>
      <c r="H5306" s="35"/>
      <c r="I5306" s="32"/>
      <c r="J5306" s="32"/>
      <c r="K5306" s="32"/>
      <c r="L5306" s="32"/>
      <c r="M5306" s="32"/>
      <c r="N5306" s="32"/>
      <c r="O5306" s="32"/>
      <c r="P5306" s="32"/>
      <c r="Q5306" s="32"/>
      <c r="R5306" s="32"/>
      <c r="S5306" s="32"/>
      <c r="T5306" s="32"/>
      <c r="U5306" s="32"/>
      <c r="V5306" s="32"/>
      <c r="W5306" s="32"/>
      <c r="X5306" s="32"/>
      <c r="Y5306" s="32"/>
      <c r="Z5306" s="32"/>
    </row>
    <row r="5307" spans="1:26" ht="14.25" customHeight="1">
      <c r="A5307" s="36">
        <v>1</v>
      </c>
      <c r="B5307" s="18" t="s">
        <v>1271</v>
      </c>
      <c r="C5307" s="5" t="s">
        <v>1272</v>
      </c>
      <c r="D5307" s="18" t="s">
        <v>11</v>
      </c>
      <c r="E5307" s="18">
        <v>2.4</v>
      </c>
      <c r="F5307" s="6">
        <v>293000</v>
      </c>
      <c r="G5307" s="37">
        <f t="shared" ref="G5307:G5309" si="335">IFERROR(E5307*F5307,0)</f>
        <v>703200</v>
      </c>
      <c r="H5307" s="38"/>
      <c r="I5307" s="32"/>
      <c r="J5307" s="32"/>
      <c r="K5307" s="32"/>
      <c r="L5307" s="32"/>
      <c r="M5307" s="32"/>
      <c r="N5307" s="32"/>
      <c r="O5307" s="32"/>
      <c r="P5307" s="32"/>
      <c r="Q5307" s="32"/>
      <c r="R5307" s="32"/>
      <c r="S5307" s="32"/>
      <c r="T5307" s="32"/>
      <c r="U5307" s="32"/>
      <c r="V5307" s="32"/>
      <c r="W5307" s="32"/>
      <c r="X5307" s="32"/>
      <c r="Y5307" s="32"/>
      <c r="Z5307" s="32"/>
    </row>
    <row r="5308" spans="1:26" ht="14.25" customHeight="1">
      <c r="A5308" s="36">
        <v>2</v>
      </c>
      <c r="B5308" s="12" t="s">
        <v>1273</v>
      </c>
      <c r="C5308" s="10" t="s">
        <v>1274</v>
      </c>
      <c r="D5308" s="12" t="s">
        <v>233</v>
      </c>
      <c r="E5308" s="12">
        <v>1</v>
      </c>
      <c r="F5308" s="43">
        <v>435000</v>
      </c>
      <c r="G5308" s="37">
        <f t="shared" si="335"/>
        <v>435000</v>
      </c>
      <c r="H5308" s="38"/>
      <c r="I5308" s="32"/>
      <c r="J5308" s="32"/>
      <c r="K5308" s="32"/>
      <c r="L5308" s="32"/>
      <c r="M5308" s="32"/>
      <c r="N5308" s="32"/>
      <c r="O5308" s="32"/>
      <c r="P5308" s="32"/>
      <c r="Q5308" s="32"/>
      <c r="R5308" s="32"/>
      <c r="S5308" s="32"/>
      <c r="T5308" s="32"/>
      <c r="U5308" s="32"/>
      <c r="V5308" s="32"/>
      <c r="W5308" s="32"/>
      <c r="X5308" s="32"/>
      <c r="Y5308" s="32"/>
      <c r="Z5308" s="32"/>
    </row>
    <row r="5309" spans="1:26" ht="14.25" customHeight="1">
      <c r="A5309" s="36">
        <v>4</v>
      </c>
      <c r="B5309" s="39" t="s">
        <v>17</v>
      </c>
      <c r="C5309" s="38"/>
      <c r="D5309" s="38"/>
      <c r="E5309" s="38"/>
      <c r="F5309" s="60"/>
      <c r="G5309" s="37">
        <f t="shared" si="335"/>
        <v>0</v>
      </c>
      <c r="H5309" s="38"/>
      <c r="I5309" s="32"/>
      <c r="J5309" s="32"/>
      <c r="K5309" s="32"/>
      <c r="L5309" s="32"/>
      <c r="M5309" s="32"/>
      <c r="N5309" s="32"/>
      <c r="O5309" s="32"/>
      <c r="P5309" s="32"/>
      <c r="Q5309" s="32"/>
      <c r="R5309" s="32"/>
      <c r="S5309" s="32"/>
      <c r="T5309" s="32"/>
      <c r="U5309" s="32"/>
      <c r="V5309" s="32"/>
      <c r="W5309" s="32"/>
      <c r="X5309" s="32"/>
      <c r="Y5309" s="32"/>
      <c r="Z5309" s="32"/>
    </row>
    <row r="5310" spans="1:26" ht="14.25" customHeight="1">
      <c r="A5310" s="83" t="s">
        <v>18</v>
      </c>
      <c r="B5310" s="81"/>
      <c r="C5310" s="81"/>
      <c r="D5310" s="81"/>
      <c r="E5310" s="81"/>
      <c r="F5310" s="81"/>
      <c r="G5310" s="82"/>
      <c r="H5310" s="41">
        <f>SUM(G5307:G5309)</f>
        <v>1138200</v>
      </c>
      <c r="I5310" s="32"/>
      <c r="J5310" s="32"/>
      <c r="K5310" s="32"/>
      <c r="L5310" s="32"/>
      <c r="M5310" s="32"/>
      <c r="N5310" s="32"/>
      <c r="O5310" s="32"/>
      <c r="P5310" s="32"/>
      <c r="Q5310" s="32"/>
      <c r="R5310" s="32"/>
      <c r="S5310" s="32"/>
      <c r="T5310" s="32"/>
      <c r="U5310" s="32"/>
      <c r="V5310" s="32"/>
      <c r="W5310" s="32"/>
      <c r="X5310" s="32"/>
      <c r="Y5310" s="32"/>
      <c r="Z5310" s="32"/>
    </row>
    <row r="5311" spans="1:26" ht="14.25" customHeight="1">
      <c r="A5311" s="83" t="s">
        <v>19</v>
      </c>
      <c r="B5311" s="81"/>
      <c r="C5311" s="81"/>
      <c r="D5311" s="81"/>
      <c r="E5311" s="81"/>
      <c r="F5311" s="81"/>
      <c r="G5311" s="82"/>
      <c r="H5311" s="41">
        <f>MAX(0,H5310-648000)</f>
        <v>490200</v>
      </c>
      <c r="I5311" s="32"/>
      <c r="J5311" s="32"/>
      <c r="K5311" s="32"/>
      <c r="L5311" s="32"/>
      <c r="M5311" s="32"/>
      <c r="N5311" s="32"/>
      <c r="O5311" s="32"/>
      <c r="P5311" s="32"/>
      <c r="Q5311" s="32"/>
      <c r="R5311" s="32"/>
      <c r="S5311" s="32"/>
      <c r="T5311" s="32"/>
      <c r="U5311" s="32"/>
      <c r="V5311" s="32"/>
      <c r="W5311" s="32"/>
      <c r="X5311" s="32"/>
      <c r="Y5311" s="32"/>
      <c r="Z5311" s="32"/>
    </row>
    <row r="5312" spans="1:26" ht="14.25" customHeight="1">
      <c r="A5312" s="84" t="s">
        <v>20</v>
      </c>
      <c r="B5312" s="81"/>
      <c r="C5312" s="81"/>
      <c r="D5312" s="81"/>
      <c r="E5312" s="81"/>
      <c r="F5312" s="81"/>
      <c r="G5312" s="82"/>
      <c r="H5312" s="42">
        <v>649000</v>
      </c>
      <c r="I5312" s="32"/>
      <c r="J5312" s="32"/>
      <c r="K5312" s="32"/>
      <c r="L5312" s="32"/>
      <c r="M5312" s="32"/>
      <c r="N5312" s="32"/>
      <c r="O5312" s="32"/>
      <c r="P5312" s="32"/>
      <c r="Q5312" s="32"/>
      <c r="R5312" s="32"/>
      <c r="S5312" s="32"/>
      <c r="T5312" s="32"/>
      <c r="U5312" s="32"/>
      <c r="V5312" s="32"/>
      <c r="W5312" s="32"/>
      <c r="X5312" s="32"/>
      <c r="Y5312" s="32"/>
      <c r="Z5312" s="32"/>
    </row>
    <row r="5313" spans="1:26" ht="14.25" customHeight="1">
      <c r="A5313" s="80"/>
      <c r="B5313" s="81"/>
      <c r="C5313" s="81"/>
      <c r="D5313" s="81"/>
      <c r="E5313" s="81"/>
      <c r="F5313" s="81"/>
      <c r="G5313" s="81"/>
      <c r="H5313" s="82"/>
      <c r="I5313" s="32"/>
      <c r="J5313" s="32"/>
      <c r="K5313" s="32"/>
      <c r="L5313" s="32"/>
      <c r="M5313" s="32"/>
      <c r="N5313" s="32"/>
      <c r="O5313" s="32"/>
      <c r="P5313" s="32"/>
      <c r="Q5313" s="32"/>
      <c r="R5313" s="32"/>
      <c r="S5313" s="32"/>
      <c r="T5313" s="32"/>
      <c r="U5313" s="32"/>
      <c r="V5313" s="32"/>
      <c r="W5313" s="32"/>
      <c r="X5313" s="32"/>
      <c r="Y5313" s="32"/>
      <c r="Z5313" s="32"/>
    </row>
    <row r="5314" spans="1:26" ht="14.25" customHeight="1"/>
    <row r="5315" spans="1:26" ht="14.25" customHeight="1"/>
    <row r="5316" spans="1:26" ht="14.25" customHeight="1"/>
    <row r="5317" spans="1:26" ht="14.25" customHeight="1"/>
    <row r="5318" spans="1:26" ht="14.25" customHeight="1"/>
    <row r="5319" spans="1:26" ht="14.25" customHeight="1"/>
    <row r="5320" spans="1:26" ht="14.25" customHeight="1"/>
    <row r="5321" spans="1:26" ht="14.25" customHeight="1"/>
    <row r="5322" spans="1:26" ht="14.25" customHeight="1">
      <c r="A5322" s="80" t="s">
        <v>0</v>
      </c>
      <c r="B5322" s="81"/>
      <c r="C5322" s="81"/>
      <c r="D5322" s="81"/>
      <c r="E5322" s="81"/>
      <c r="F5322" s="81"/>
      <c r="G5322" s="81"/>
      <c r="H5322" s="82"/>
      <c r="I5322" s="32"/>
      <c r="J5322" s="32"/>
      <c r="K5322" s="32"/>
      <c r="L5322" s="32"/>
      <c r="M5322" s="32"/>
      <c r="N5322" s="32"/>
      <c r="O5322" s="32"/>
      <c r="P5322" s="32"/>
      <c r="Q5322" s="32"/>
      <c r="R5322" s="32"/>
      <c r="S5322" s="32"/>
      <c r="T5322" s="32"/>
      <c r="U5322" s="32"/>
      <c r="V5322" s="32"/>
      <c r="W5322" s="32"/>
      <c r="X5322" s="32"/>
      <c r="Y5322" s="32"/>
      <c r="Z5322" s="32"/>
    </row>
    <row r="5323" spans="1:26" ht="14.25" customHeight="1">
      <c r="A5323" s="80" t="s">
        <v>1275</v>
      </c>
      <c r="B5323" s="81"/>
      <c r="C5323" s="81"/>
      <c r="D5323" s="81"/>
      <c r="E5323" s="81"/>
      <c r="F5323" s="81"/>
      <c r="G5323" s="81"/>
      <c r="H5323" s="82"/>
      <c r="I5323" s="32"/>
      <c r="J5323" s="32"/>
      <c r="K5323" s="32"/>
      <c r="L5323" s="32"/>
      <c r="M5323" s="32"/>
      <c r="N5323" s="32"/>
      <c r="O5323" s="32"/>
      <c r="P5323" s="32"/>
      <c r="Q5323" s="32"/>
      <c r="R5323" s="32"/>
      <c r="S5323" s="32"/>
      <c r="T5323" s="32"/>
      <c r="U5323" s="32"/>
      <c r="V5323" s="32"/>
      <c r="W5323" s="32"/>
      <c r="X5323" s="32"/>
      <c r="Y5323" s="32"/>
      <c r="Z5323" s="32"/>
    </row>
    <row r="5324" spans="1:26" ht="14.25" customHeight="1">
      <c r="A5324" s="33" t="s">
        <v>2</v>
      </c>
      <c r="B5324" s="33" t="s">
        <v>3</v>
      </c>
      <c r="C5324" s="33" t="s">
        <v>4</v>
      </c>
      <c r="D5324" s="33" t="s">
        <v>5</v>
      </c>
      <c r="E5324" s="33" t="s">
        <v>6</v>
      </c>
      <c r="F5324" s="34" t="s">
        <v>7</v>
      </c>
      <c r="G5324" s="33" t="s">
        <v>8</v>
      </c>
      <c r="H5324" s="35"/>
      <c r="I5324" s="32"/>
      <c r="J5324" s="32"/>
      <c r="K5324" s="32"/>
      <c r="L5324" s="32"/>
      <c r="M5324" s="32"/>
      <c r="N5324" s="32"/>
      <c r="O5324" s="32"/>
      <c r="P5324" s="32"/>
      <c r="Q5324" s="32"/>
      <c r="R5324" s="32"/>
      <c r="S5324" s="32"/>
      <c r="T5324" s="32"/>
      <c r="U5324" s="32"/>
      <c r="V5324" s="32"/>
      <c r="W5324" s="32"/>
      <c r="X5324" s="32"/>
      <c r="Y5324" s="32"/>
      <c r="Z5324" s="32"/>
    </row>
    <row r="5325" spans="1:26" ht="14.25" customHeight="1">
      <c r="A5325" s="36">
        <v>1</v>
      </c>
      <c r="B5325" s="18" t="s">
        <v>54</v>
      </c>
      <c r="C5325" s="5" t="s">
        <v>1276</v>
      </c>
      <c r="D5325" s="18" t="s">
        <v>11</v>
      </c>
      <c r="E5325" s="18">
        <v>2.4</v>
      </c>
      <c r="F5325" s="6">
        <v>293000</v>
      </c>
      <c r="G5325" s="37">
        <f t="shared" ref="G5325:G5327" si="336">IFERROR(E5325*F5325,0)</f>
        <v>703200</v>
      </c>
      <c r="H5325" s="38"/>
      <c r="I5325" s="32"/>
      <c r="J5325" s="32"/>
      <c r="K5325" s="32"/>
      <c r="L5325" s="32"/>
      <c r="M5325" s="32"/>
      <c r="N5325" s="32"/>
      <c r="O5325" s="32"/>
      <c r="P5325" s="32"/>
      <c r="Q5325" s="32"/>
      <c r="R5325" s="32"/>
      <c r="S5325" s="32"/>
      <c r="T5325" s="32"/>
      <c r="U5325" s="32"/>
      <c r="V5325" s="32"/>
      <c r="W5325" s="32"/>
      <c r="X5325" s="32"/>
      <c r="Y5325" s="32"/>
      <c r="Z5325" s="32"/>
    </row>
    <row r="5326" spans="1:26" ht="14.25" customHeight="1">
      <c r="A5326" s="36">
        <v>2</v>
      </c>
      <c r="B5326" s="12" t="s">
        <v>278</v>
      </c>
      <c r="C5326" s="10" t="s">
        <v>1277</v>
      </c>
      <c r="D5326" s="12" t="s">
        <v>233</v>
      </c>
      <c r="E5326" s="12">
        <v>1</v>
      </c>
      <c r="F5326" s="43">
        <v>435000</v>
      </c>
      <c r="G5326" s="37">
        <f t="shared" si="336"/>
        <v>435000</v>
      </c>
      <c r="H5326" s="38"/>
      <c r="I5326" s="32"/>
      <c r="J5326" s="32"/>
      <c r="K5326" s="32"/>
      <c r="L5326" s="32"/>
      <c r="M5326" s="32"/>
      <c r="N5326" s="32"/>
      <c r="O5326" s="32"/>
      <c r="P5326" s="32"/>
      <c r="Q5326" s="32"/>
      <c r="R5326" s="32"/>
      <c r="S5326" s="32"/>
      <c r="T5326" s="32"/>
      <c r="U5326" s="32"/>
      <c r="V5326" s="32"/>
      <c r="W5326" s="32"/>
      <c r="X5326" s="32"/>
      <c r="Y5326" s="32"/>
      <c r="Z5326" s="32"/>
    </row>
    <row r="5327" spans="1:26" ht="14.25" customHeight="1">
      <c r="A5327" s="36">
        <v>4</v>
      </c>
      <c r="B5327" s="39" t="s">
        <v>17</v>
      </c>
      <c r="C5327" s="38"/>
      <c r="D5327" s="38"/>
      <c r="E5327" s="38"/>
      <c r="F5327" s="60"/>
      <c r="G5327" s="37">
        <f t="shared" si="336"/>
        <v>0</v>
      </c>
      <c r="H5327" s="38"/>
      <c r="I5327" s="32"/>
      <c r="J5327" s="32"/>
      <c r="K5327" s="32"/>
      <c r="L5327" s="32"/>
      <c r="M5327" s="32"/>
      <c r="N5327" s="32"/>
      <c r="O5327" s="32"/>
      <c r="P5327" s="32"/>
      <c r="Q5327" s="32"/>
      <c r="R5327" s="32"/>
      <c r="S5327" s="32"/>
      <c r="T5327" s="32"/>
      <c r="U5327" s="32"/>
      <c r="V5327" s="32"/>
      <c r="W5327" s="32"/>
      <c r="X5327" s="32"/>
      <c r="Y5327" s="32"/>
      <c r="Z5327" s="32"/>
    </row>
    <row r="5328" spans="1:26" ht="14.25" customHeight="1">
      <c r="A5328" s="83" t="s">
        <v>18</v>
      </c>
      <c r="B5328" s="81"/>
      <c r="C5328" s="81"/>
      <c r="D5328" s="81"/>
      <c r="E5328" s="81"/>
      <c r="F5328" s="81"/>
      <c r="G5328" s="82"/>
      <c r="H5328" s="41">
        <f>SUM(G5325:G5327)</f>
        <v>1138200</v>
      </c>
      <c r="I5328" s="32"/>
      <c r="J5328" s="32"/>
      <c r="K5328" s="32"/>
      <c r="L5328" s="32"/>
      <c r="M5328" s="32"/>
      <c r="N5328" s="32"/>
      <c r="O5328" s="32"/>
      <c r="P5328" s="32"/>
      <c r="Q5328" s="32"/>
      <c r="R5328" s="32"/>
      <c r="S5328" s="32"/>
      <c r="T5328" s="32"/>
      <c r="U5328" s="32"/>
      <c r="V5328" s="32"/>
      <c r="W5328" s="32"/>
      <c r="X5328" s="32"/>
      <c r="Y5328" s="32"/>
      <c r="Z5328" s="32"/>
    </row>
    <row r="5329" spans="1:26" ht="14.25" customHeight="1">
      <c r="A5329" s="83" t="s">
        <v>19</v>
      </c>
      <c r="B5329" s="81"/>
      <c r="C5329" s="81"/>
      <c r="D5329" s="81"/>
      <c r="E5329" s="81"/>
      <c r="F5329" s="81"/>
      <c r="G5329" s="82"/>
      <c r="H5329" s="41">
        <f>MAX(0,H5328-648000)</f>
        <v>490200</v>
      </c>
      <c r="I5329" s="32"/>
      <c r="J5329" s="32"/>
      <c r="K5329" s="32"/>
      <c r="L5329" s="32"/>
      <c r="M5329" s="32"/>
      <c r="N5329" s="32"/>
      <c r="O5329" s="32"/>
      <c r="P5329" s="32"/>
      <c r="Q5329" s="32"/>
      <c r="R5329" s="32"/>
      <c r="S5329" s="32"/>
      <c r="T5329" s="32"/>
      <c r="U5329" s="32"/>
      <c r="V5329" s="32"/>
      <c r="W5329" s="32"/>
      <c r="X5329" s="32"/>
      <c r="Y5329" s="32"/>
      <c r="Z5329" s="32"/>
    </row>
    <row r="5330" spans="1:26" ht="14.25" customHeight="1">
      <c r="A5330" s="84" t="s">
        <v>20</v>
      </c>
      <c r="B5330" s="81"/>
      <c r="C5330" s="81"/>
      <c r="D5330" s="81"/>
      <c r="E5330" s="81"/>
      <c r="F5330" s="81"/>
      <c r="G5330" s="82"/>
      <c r="H5330" s="42">
        <v>649000</v>
      </c>
      <c r="I5330" s="32"/>
      <c r="J5330" s="32"/>
      <c r="K5330" s="32"/>
      <c r="L5330" s="32"/>
      <c r="M5330" s="32"/>
      <c r="N5330" s="32"/>
      <c r="O5330" s="32"/>
      <c r="P5330" s="32"/>
      <c r="Q5330" s="32"/>
      <c r="R5330" s="32"/>
      <c r="S5330" s="32"/>
      <c r="T5330" s="32"/>
      <c r="U5330" s="32"/>
      <c r="V5330" s="32"/>
      <c r="W5330" s="32"/>
      <c r="X5330" s="32"/>
      <c r="Y5330" s="32"/>
      <c r="Z5330" s="32"/>
    </row>
    <row r="5331" spans="1:26" ht="14.25" customHeight="1">
      <c r="A5331" s="80"/>
      <c r="B5331" s="81"/>
      <c r="C5331" s="81"/>
      <c r="D5331" s="81"/>
      <c r="E5331" s="81"/>
      <c r="F5331" s="81"/>
      <c r="G5331" s="81"/>
      <c r="H5331" s="82"/>
      <c r="I5331" s="32"/>
      <c r="J5331" s="32"/>
      <c r="K5331" s="32"/>
      <c r="L5331" s="32"/>
      <c r="M5331" s="32"/>
      <c r="N5331" s="32"/>
      <c r="O5331" s="32"/>
      <c r="P5331" s="32"/>
      <c r="Q5331" s="32"/>
      <c r="R5331" s="32"/>
      <c r="S5331" s="32"/>
      <c r="T5331" s="32"/>
      <c r="U5331" s="32"/>
      <c r="V5331" s="32"/>
      <c r="W5331" s="32"/>
      <c r="X5331" s="32"/>
      <c r="Y5331" s="32"/>
      <c r="Z5331" s="32"/>
    </row>
    <row r="5332" spans="1:26" ht="14.25" customHeight="1"/>
    <row r="5333" spans="1:26" ht="14.25" customHeight="1"/>
    <row r="5334" spans="1:26" ht="14.25" customHeight="1"/>
    <row r="5335" spans="1:26" ht="14.25" customHeight="1"/>
    <row r="5336" spans="1:26" ht="14.25" customHeight="1"/>
    <row r="5337" spans="1:26" ht="14.25" customHeight="1"/>
    <row r="5338" spans="1:26" ht="14.25" customHeight="1">
      <c r="A5338" s="80" t="s">
        <v>0</v>
      </c>
      <c r="B5338" s="81"/>
      <c r="C5338" s="81"/>
      <c r="D5338" s="81"/>
      <c r="E5338" s="81"/>
      <c r="F5338" s="81"/>
      <c r="G5338" s="81"/>
      <c r="H5338" s="82"/>
      <c r="I5338" s="32"/>
      <c r="J5338" s="32"/>
      <c r="K5338" s="32"/>
      <c r="L5338" s="32"/>
      <c r="M5338" s="32"/>
      <c r="N5338" s="32"/>
      <c r="O5338" s="32"/>
      <c r="P5338" s="32"/>
      <c r="Q5338" s="32"/>
      <c r="R5338" s="32"/>
      <c r="S5338" s="32"/>
      <c r="T5338" s="32"/>
      <c r="U5338" s="32"/>
      <c r="V5338" s="32"/>
      <c r="W5338" s="32"/>
      <c r="X5338" s="32"/>
      <c r="Y5338" s="32"/>
      <c r="Z5338" s="32"/>
    </row>
    <row r="5339" spans="1:26" ht="14.25" customHeight="1">
      <c r="A5339" s="80" t="s">
        <v>1278</v>
      </c>
      <c r="B5339" s="81"/>
      <c r="C5339" s="81"/>
      <c r="D5339" s="81"/>
      <c r="E5339" s="81"/>
      <c r="F5339" s="81"/>
      <c r="G5339" s="81"/>
      <c r="H5339" s="82"/>
      <c r="I5339" s="32"/>
      <c r="J5339" s="32"/>
      <c r="K5339" s="32"/>
      <c r="L5339" s="32"/>
      <c r="M5339" s="32"/>
      <c r="N5339" s="32"/>
      <c r="O5339" s="32"/>
      <c r="P5339" s="32"/>
      <c r="Q5339" s="32"/>
      <c r="R5339" s="32"/>
      <c r="S5339" s="32"/>
      <c r="T5339" s="32"/>
      <c r="U5339" s="32"/>
      <c r="V5339" s="32"/>
      <c r="W5339" s="32"/>
      <c r="X5339" s="32"/>
      <c r="Y5339" s="32"/>
      <c r="Z5339" s="32"/>
    </row>
    <row r="5340" spans="1:26" ht="14.25" customHeight="1">
      <c r="A5340" s="33" t="s">
        <v>2</v>
      </c>
      <c r="B5340" s="33" t="s">
        <v>3</v>
      </c>
      <c r="C5340" s="33" t="s">
        <v>4</v>
      </c>
      <c r="D5340" s="33" t="s">
        <v>5</v>
      </c>
      <c r="E5340" s="33" t="s">
        <v>6</v>
      </c>
      <c r="F5340" s="34" t="s">
        <v>7</v>
      </c>
      <c r="G5340" s="33" t="s">
        <v>8</v>
      </c>
      <c r="H5340" s="35"/>
      <c r="I5340" s="32"/>
      <c r="J5340" s="32"/>
      <c r="K5340" s="32"/>
      <c r="L5340" s="32"/>
      <c r="M5340" s="32"/>
      <c r="N5340" s="32"/>
      <c r="O5340" s="32"/>
      <c r="P5340" s="32"/>
      <c r="Q5340" s="32"/>
      <c r="R5340" s="32"/>
      <c r="S5340" s="32"/>
      <c r="T5340" s="32"/>
      <c r="U5340" s="32"/>
      <c r="V5340" s="32"/>
      <c r="W5340" s="32"/>
      <c r="X5340" s="32"/>
      <c r="Y5340" s="32"/>
      <c r="Z5340" s="32"/>
    </row>
    <row r="5341" spans="1:26" ht="14.25" customHeight="1">
      <c r="A5341" s="36">
        <v>1</v>
      </c>
      <c r="B5341" s="18" t="s">
        <v>43</v>
      </c>
      <c r="C5341" s="5" t="s">
        <v>1279</v>
      </c>
      <c r="D5341" s="18" t="s">
        <v>11</v>
      </c>
      <c r="E5341" s="18">
        <v>2</v>
      </c>
      <c r="F5341" s="6">
        <v>293000</v>
      </c>
      <c r="G5341" s="37">
        <f t="shared" ref="G5341:G5343" si="337">IFERROR(E5341*F5341,0)</f>
        <v>586000</v>
      </c>
      <c r="H5341" s="38"/>
      <c r="I5341" s="32"/>
      <c r="J5341" s="32"/>
      <c r="K5341" s="32"/>
      <c r="L5341" s="32"/>
      <c r="M5341" s="32"/>
      <c r="N5341" s="32"/>
      <c r="O5341" s="32"/>
      <c r="P5341" s="32"/>
      <c r="Q5341" s="32"/>
      <c r="R5341" s="32"/>
      <c r="S5341" s="32"/>
      <c r="T5341" s="32"/>
      <c r="U5341" s="32"/>
      <c r="V5341" s="32"/>
      <c r="W5341" s="32"/>
      <c r="X5341" s="32"/>
      <c r="Y5341" s="32"/>
      <c r="Z5341" s="32"/>
    </row>
    <row r="5342" spans="1:26" ht="14.25" customHeight="1">
      <c r="A5342" s="36">
        <v>2</v>
      </c>
      <c r="B5342" s="12" t="s">
        <v>65</v>
      </c>
      <c r="C5342" s="10" t="s">
        <v>1280</v>
      </c>
      <c r="D5342" s="12" t="s">
        <v>233</v>
      </c>
      <c r="E5342" s="12">
        <v>1.5</v>
      </c>
      <c r="F5342" s="43">
        <v>435000</v>
      </c>
      <c r="G5342" s="37">
        <f t="shared" si="337"/>
        <v>652500</v>
      </c>
      <c r="H5342" s="38"/>
      <c r="I5342" s="32"/>
      <c r="J5342" s="32"/>
      <c r="K5342" s="32"/>
      <c r="L5342" s="32"/>
      <c r="M5342" s="32"/>
      <c r="N5342" s="32"/>
      <c r="O5342" s="32"/>
      <c r="P5342" s="32"/>
      <c r="Q5342" s="32"/>
      <c r="R5342" s="32"/>
      <c r="S5342" s="32"/>
      <c r="T5342" s="32"/>
      <c r="U5342" s="32"/>
      <c r="V5342" s="32"/>
      <c r="W5342" s="32"/>
      <c r="X5342" s="32"/>
      <c r="Y5342" s="32"/>
      <c r="Z5342" s="32"/>
    </row>
    <row r="5343" spans="1:26" ht="14.25" customHeight="1">
      <c r="A5343" s="36">
        <v>4</v>
      </c>
      <c r="B5343" s="39" t="s">
        <v>17</v>
      </c>
      <c r="C5343" s="38"/>
      <c r="D5343" s="38"/>
      <c r="E5343" s="38"/>
      <c r="F5343" s="60"/>
      <c r="G5343" s="37">
        <f t="shared" si="337"/>
        <v>0</v>
      </c>
      <c r="H5343" s="38"/>
      <c r="I5343" s="32"/>
      <c r="J5343" s="32"/>
      <c r="K5343" s="32"/>
      <c r="L5343" s="32"/>
      <c r="M5343" s="32"/>
      <c r="N5343" s="32"/>
      <c r="O5343" s="32"/>
      <c r="P5343" s="32"/>
      <c r="Q5343" s="32"/>
      <c r="R5343" s="32"/>
      <c r="S5343" s="32"/>
      <c r="T5343" s="32"/>
      <c r="U5343" s="32"/>
      <c r="V5343" s="32"/>
      <c r="W5343" s="32"/>
      <c r="X5343" s="32"/>
      <c r="Y5343" s="32"/>
      <c r="Z5343" s="32"/>
    </row>
    <row r="5344" spans="1:26" ht="14.25" customHeight="1">
      <c r="A5344" s="83" t="s">
        <v>18</v>
      </c>
      <c r="B5344" s="81"/>
      <c r="C5344" s="81"/>
      <c r="D5344" s="81"/>
      <c r="E5344" s="81"/>
      <c r="F5344" s="81"/>
      <c r="G5344" s="82"/>
      <c r="H5344" s="41">
        <f>SUM(G5341:G5343)</f>
        <v>1238500</v>
      </c>
      <c r="I5344" s="32"/>
      <c r="J5344" s="32"/>
      <c r="K5344" s="32"/>
      <c r="L5344" s="32"/>
      <c r="M5344" s="32"/>
      <c r="N5344" s="32"/>
      <c r="O5344" s="32"/>
      <c r="P5344" s="32"/>
      <c r="Q5344" s="32"/>
      <c r="R5344" s="32"/>
      <c r="S5344" s="32"/>
      <c r="T5344" s="32"/>
      <c r="U5344" s="32"/>
      <c r="V5344" s="32"/>
      <c r="W5344" s="32"/>
      <c r="X5344" s="32"/>
      <c r="Y5344" s="32"/>
      <c r="Z5344" s="32"/>
    </row>
    <row r="5345" spans="1:26" ht="14.25" customHeight="1">
      <c r="A5345" s="83" t="s">
        <v>19</v>
      </c>
      <c r="B5345" s="81"/>
      <c r="C5345" s="81"/>
      <c r="D5345" s="81"/>
      <c r="E5345" s="81"/>
      <c r="F5345" s="81"/>
      <c r="G5345" s="82"/>
      <c r="H5345" s="41">
        <f>MAX(0,H5344-648000)</f>
        <v>590500</v>
      </c>
      <c r="I5345" s="32"/>
      <c r="J5345" s="32"/>
      <c r="K5345" s="32"/>
      <c r="L5345" s="32"/>
      <c r="M5345" s="32"/>
      <c r="N5345" s="32"/>
      <c r="O5345" s="32"/>
      <c r="P5345" s="32"/>
      <c r="Q5345" s="32"/>
      <c r="R5345" s="32"/>
      <c r="S5345" s="32"/>
      <c r="T5345" s="32"/>
      <c r="U5345" s="32"/>
      <c r="V5345" s="32"/>
      <c r="W5345" s="32"/>
      <c r="X5345" s="32"/>
      <c r="Y5345" s="32"/>
      <c r="Z5345" s="32"/>
    </row>
    <row r="5346" spans="1:26" ht="14.25" customHeight="1">
      <c r="A5346" s="84" t="s">
        <v>20</v>
      </c>
      <c r="B5346" s="81"/>
      <c r="C5346" s="81"/>
      <c r="D5346" s="81"/>
      <c r="E5346" s="81"/>
      <c r="F5346" s="81"/>
      <c r="G5346" s="82"/>
      <c r="H5346" s="42">
        <v>649000</v>
      </c>
      <c r="I5346" s="32"/>
      <c r="J5346" s="32"/>
      <c r="K5346" s="32"/>
      <c r="L5346" s="32"/>
      <c r="M5346" s="32"/>
      <c r="N5346" s="32"/>
      <c r="O5346" s="32"/>
      <c r="P5346" s="32"/>
      <c r="Q5346" s="32"/>
      <c r="R5346" s="32"/>
      <c r="S5346" s="32"/>
      <c r="T5346" s="32"/>
      <c r="U5346" s="32"/>
      <c r="V5346" s="32"/>
      <c r="W5346" s="32"/>
      <c r="X5346" s="32"/>
      <c r="Y5346" s="32"/>
      <c r="Z5346" s="32"/>
    </row>
    <row r="5347" spans="1:26" ht="14.25" customHeight="1">
      <c r="A5347" s="80"/>
      <c r="B5347" s="81"/>
      <c r="C5347" s="81"/>
      <c r="D5347" s="81"/>
      <c r="E5347" s="81"/>
      <c r="F5347" s="81"/>
      <c r="G5347" s="81"/>
      <c r="H5347" s="82"/>
      <c r="I5347" s="32"/>
      <c r="J5347" s="32"/>
      <c r="K5347" s="32"/>
      <c r="L5347" s="32"/>
      <c r="M5347" s="32"/>
      <c r="N5347" s="32"/>
      <c r="O5347" s="32"/>
      <c r="P5347" s="32"/>
      <c r="Q5347" s="32"/>
      <c r="R5347" s="32"/>
      <c r="S5347" s="32"/>
      <c r="T5347" s="32"/>
      <c r="U5347" s="32"/>
      <c r="V5347" s="32"/>
      <c r="W5347" s="32"/>
      <c r="X5347" s="32"/>
      <c r="Y5347" s="32"/>
      <c r="Z5347" s="32"/>
    </row>
    <row r="5348" spans="1:26" ht="14.25" customHeight="1"/>
    <row r="5349" spans="1:26" ht="14.25" customHeight="1"/>
    <row r="5350" spans="1:26" ht="14.25" customHeight="1"/>
    <row r="5351" spans="1:26" ht="14.25" customHeight="1"/>
    <row r="5352" spans="1:26" ht="14.25" customHeight="1"/>
    <row r="5353" spans="1:26" ht="14.25" customHeight="1"/>
    <row r="5354" spans="1:26" ht="14.25" customHeight="1">
      <c r="A5354" s="80" t="s">
        <v>0</v>
      </c>
      <c r="B5354" s="81"/>
      <c r="C5354" s="81"/>
      <c r="D5354" s="81"/>
      <c r="E5354" s="81"/>
      <c r="F5354" s="81"/>
      <c r="G5354" s="81"/>
      <c r="H5354" s="82"/>
      <c r="I5354" s="32"/>
      <c r="J5354" s="32"/>
      <c r="K5354" s="32"/>
      <c r="L5354" s="32"/>
      <c r="M5354" s="32"/>
      <c r="N5354" s="32"/>
      <c r="O5354" s="32"/>
      <c r="P5354" s="32"/>
      <c r="Q5354" s="32"/>
      <c r="R5354" s="32"/>
      <c r="S5354" s="32"/>
      <c r="T5354" s="32"/>
      <c r="U5354" s="32"/>
      <c r="V5354" s="32"/>
      <c r="W5354" s="32"/>
      <c r="X5354" s="32"/>
      <c r="Y5354" s="32"/>
      <c r="Z5354" s="32"/>
    </row>
    <row r="5355" spans="1:26" ht="14.25" customHeight="1">
      <c r="A5355" s="80" t="s">
        <v>1281</v>
      </c>
      <c r="B5355" s="81"/>
      <c r="C5355" s="81"/>
      <c r="D5355" s="81"/>
      <c r="E5355" s="81"/>
      <c r="F5355" s="81"/>
      <c r="G5355" s="81"/>
      <c r="H5355" s="82"/>
      <c r="I5355" s="32"/>
      <c r="J5355" s="32"/>
      <c r="K5355" s="32"/>
      <c r="L5355" s="32"/>
      <c r="M5355" s="32"/>
      <c r="N5355" s="32"/>
      <c r="O5355" s="32"/>
      <c r="P5355" s="32"/>
      <c r="Q5355" s="32"/>
      <c r="R5355" s="32"/>
      <c r="S5355" s="32"/>
      <c r="T5355" s="32"/>
      <c r="U5355" s="32"/>
      <c r="V5355" s="32"/>
      <c r="W5355" s="32"/>
      <c r="X5355" s="32"/>
      <c r="Y5355" s="32"/>
      <c r="Z5355" s="32"/>
    </row>
    <row r="5356" spans="1:26" ht="14.25" customHeight="1">
      <c r="A5356" s="33" t="s">
        <v>2</v>
      </c>
      <c r="B5356" s="33" t="s">
        <v>3</v>
      </c>
      <c r="C5356" s="33" t="s">
        <v>4</v>
      </c>
      <c r="D5356" s="33" t="s">
        <v>5</v>
      </c>
      <c r="E5356" s="33" t="s">
        <v>6</v>
      </c>
      <c r="F5356" s="34" t="s">
        <v>7</v>
      </c>
      <c r="G5356" s="33" t="s">
        <v>8</v>
      </c>
      <c r="H5356" s="35"/>
      <c r="I5356" s="32"/>
      <c r="J5356" s="32"/>
      <c r="K5356" s="32"/>
      <c r="L5356" s="32"/>
      <c r="M5356" s="32"/>
      <c r="N5356" s="32"/>
      <c r="O5356" s="32"/>
      <c r="P5356" s="32"/>
      <c r="Q5356" s="32"/>
      <c r="R5356" s="32"/>
      <c r="S5356" s="32"/>
      <c r="T5356" s="32"/>
      <c r="U5356" s="32"/>
      <c r="V5356" s="32"/>
      <c r="W5356" s="32"/>
      <c r="X5356" s="32"/>
      <c r="Y5356" s="32"/>
      <c r="Z5356" s="32"/>
    </row>
    <row r="5357" spans="1:26" ht="14.25" customHeight="1">
      <c r="A5357" s="36">
        <v>1</v>
      </c>
      <c r="B5357" s="18" t="s">
        <v>625</v>
      </c>
      <c r="C5357" s="5" t="s">
        <v>1282</v>
      </c>
      <c r="D5357" s="18" t="s">
        <v>11</v>
      </c>
      <c r="E5357" s="18">
        <v>2.4</v>
      </c>
      <c r="F5357" s="6">
        <v>293000</v>
      </c>
      <c r="G5357" s="37">
        <f t="shared" ref="G5357:G5359" si="338">IFERROR(E5357*F5357,0)</f>
        <v>703200</v>
      </c>
      <c r="H5357" s="38"/>
      <c r="I5357" s="32"/>
      <c r="J5357" s="32"/>
      <c r="K5357" s="32"/>
      <c r="L5357" s="32"/>
      <c r="M5357" s="32"/>
      <c r="N5357" s="32"/>
      <c r="O5357" s="32"/>
      <c r="P5357" s="32"/>
      <c r="Q5357" s="32"/>
      <c r="R5357" s="32"/>
      <c r="S5357" s="32"/>
      <c r="T5357" s="32"/>
      <c r="U5357" s="32"/>
      <c r="V5357" s="32"/>
      <c r="W5357" s="32"/>
      <c r="X5357" s="32"/>
      <c r="Y5357" s="32"/>
      <c r="Z5357" s="32"/>
    </row>
    <row r="5358" spans="1:26" ht="14.25" customHeight="1">
      <c r="A5358" s="36">
        <v>2</v>
      </c>
      <c r="B5358" s="12" t="s">
        <v>33</v>
      </c>
      <c r="C5358" s="10" t="s">
        <v>1283</v>
      </c>
      <c r="D5358" s="12" t="s">
        <v>233</v>
      </c>
      <c r="E5358" s="12">
        <v>1.1000000000000001</v>
      </c>
      <c r="F5358" s="43">
        <v>435000</v>
      </c>
      <c r="G5358" s="37">
        <f t="shared" si="338"/>
        <v>478500.00000000006</v>
      </c>
      <c r="H5358" s="38"/>
      <c r="I5358" s="32"/>
      <c r="J5358" s="32"/>
      <c r="K5358" s="32"/>
      <c r="L5358" s="32"/>
      <c r="M5358" s="32"/>
      <c r="N5358" s="32"/>
      <c r="O5358" s="32"/>
      <c r="P5358" s="32"/>
      <c r="Q5358" s="32"/>
      <c r="R5358" s="32"/>
      <c r="S5358" s="32"/>
      <c r="T5358" s="32"/>
      <c r="U5358" s="32"/>
      <c r="V5358" s="32"/>
      <c r="W5358" s="32"/>
      <c r="X5358" s="32"/>
      <c r="Y5358" s="32"/>
      <c r="Z5358" s="32"/>
    </row>
    <row r="5359" spans="1:26" ht="14.25" customHeight="1">
      <c r="A5359" s="36">
        <v>4</v>
      </c>
      <c r="B5359" s="39" t="s">
        <v>17</v>
      </c>
      <c r="C5359" s="38"/>
      <c r="D5359" s="38"/>
      <c r="E5359" s="38"/>
      <c r="F5359" s="60"/>
      <c r="G5359" s="37">
        <f t="shared" si="338"/>
        <v>0</v>
      </c>
      <c r="H5359" s="38"/>
      <c r="I5359" s="32"/>
      <c r="J5359" s="32"/>
      <c r="K5359" s="32"/>
      <c r="L5359" s="32"/>
      <c r="M5359" s="32"/>
      <c r="N5359" s="32"/>
      <c r="O5359" s="32"/>
      <c r="P5359" s="32"/>
      <c r="Q5359" s="32"/>
      <c r="R5359" s="32"/>
      <c r="S5359" s="32"/>
      <c r="T5359" s="32"/>
      <c r="U5359" s="32"/>
      <c r="V5359" s="32"/>
      <c r="W5359" s="32"/>
      <c r="X5359" s="32"/>
      <c r="Y5359" s="32"/>
      <c r="Z5359" s="32"/>
    </row>
    <row r="5360" spans="1:26" ht="14.25" customHeight="1">
      <c r="A5360" s="83" t="s">
        <v>18</v>
      </c>
      <c r="B5360" s="81"/>
      <c r="C5360" s="81"/>
      <c r="D5360" s="81"/>
      <c r="E5360" s="81"/>
      <c r="F5360" s="81"/>
      <c r="G5360" s="82"/>
      <c r="H5360" s="41">
        <f>SUM(G5357:G5359)</f>
        <v>1181700</v>
      </c>
      <c r="I5360" s="32"/>
      <c r="J5360" s="32"/>
      <c r="K5360" s="32"/>
      <c r="L5360" s="32"/>
      <c r="M5360" s="32"/>
      <c r="N5360" s="32"/>
      <c r="O5360" s="32"/>
      <c r="P5360" s="32"/>
      <c r="Q5360" s="32"/>
      <c r="R5360" s="32"/>
      <c r="S5360" s="32"/>
      <c r="T5360" s="32"/>
      <c r="U5360" s="32"/>
      <c r="V5360" s="32"/>
      <c r="W5360" s="32"/>
      <c r="X5360" s="32"/>
      <c r="Y5360" s="32"/>
      <c r="Z5360" s="32"/>
    </row>
    <row r="5361" spans="1:26" ht="14.25" customHeight="1">
      <c r="A5361" s="83" t="s">
        <v>19</v>
      </c>
      <c r="B5361" s="81"/>
      <c r="C5361" s="81"/>
      <c r="D5361" s="81"/>
      <c r="E5361" s="81"/>
      <c r="F5361" s="81"/>
      <c r="G5361" s="82"/>
      <c r="H5361" s="41">
        <f>MAX(0,H5360-648000)</f>
        <v>533700</v>
      </c>
      <c r="I5361" s="32"/>
      <c r="J5361" s="32"/>
      <c r="K5361" s="32"/>
      <c r="L5361" s="32"/>
      <c r="M5361" s="32"/>
      <c r="N5361" s="32"/>
      <c r="O5361" s="32"/>
      <c r="P5361" s="32"/>
      <c r="Q5361" s="32"/>
      <c r="R5361" s="32"/>
      <c r="S5361" s="32"/>
      <c r="T5361" s="32"/>
      <c r="U5361" s="32"/>
      <c r="V5361" s="32"/>
      <c r="W5361" s="32"/>
      <c r="X5361" s="32"/>
      <c r="Y5361" s="32"/>
      <c r="Z5361" s="32"/>
    </row>
    <row r="5362" spans="1:26" ht="14.25" customHeight="1">
      <c r="A5362" s="84" t="s">
        <v>20</v>
      </c>
      <c r="B5362" s="81"/>
      <c r="C5362" s="81"/>
      <c r="D5362" s="81"/>
      <c r="E5362" s="81"/>
      <c r="F5362" s="81"/>
      <c r="G5362" s="82"/>
      <c r="H5362" s="42">
        <v>649000</v>
      </c>
      <c r="I5362" s="32"/>
      <c r="J5362" s="32"/>
      <c r="K5362" s="32"/>
      <c r="L5362" s="32"/>
      <c r="M5362" s="32"/>
      <c r="N5362" s="32"/>
      <c r="O5362" s="32"/>
      <c r="P5362" s="32"/>
      <c r="Q5362" s="32"/>
      <c r="R5362" s="32"/>
      <c r="S5362" s="32"/>
      <c r="T5362" s="32"/>
      <c r="U5362" s="32"/>
      <c r="V5362" s="32"/>
      <c r="W5362" s="32"/>
      <c r="X5362" s="32"/>
      <c r="Y5362" s="32"/>
      <c r="Z5362" s="32"/>
    </row>
    <row r="5363" spans="1:26" ht="14.25" customHeight="1">
      <c r="A5363" s="80"/>
      <c r="B5363" s="81"/>
      <c r="C5363" s="81"/>
      <c r="D5363" s="81"/>
      <c r="E5363" s="81"/>
      <c r="F5363" s="81"/>
      <c r="G5363" s="81"/>
      <c r="H5363" s="82"/>
      <c r="I5363" s="32"/>
      <c r="J5363" s="32"/>
      <c r="K5363" s="32"/>
      <c r="L5363" s="32"/>
      <c r="M5363" s="32"/>
      <c r="N5363" s="32"/>
      <c r="O5363" s="32"/>
      <c r="P5363" s="32"/>
      <c r="Q5363" s="32"/>
      <c r="R5363" s="32"/>
      <c r="S5363" s="32"/>
      <c r="T5363" s="32"/>
      <c r="U5363" s="32"/>
      <c r="V5363" s="32"/>
      <c r="W5363" s="32"/>
      <c r="X5363" s="32"/>
      <c r="Y5363" s="32"/>
      <c r="Z5363" s="32"/>
    </row>
    <row r="5364" spans="1:26" ht="14.25" customHeight="1"/>
    <row r="5365" spans="1:26" ht="14.25" customHeight="1"/>
    <row r="5366" spans="1:26" ht="14.25" customHeight="1"/>
    <row r="5367" spans="1:26" ht="14.25" customHeight="1"/>
    <row r="5368" spans="1:26" ht="14.25" customHeight="1"/>
    <row r="5369" spans="1:26" ht="14.25" customHeight="1"/>
    <row r="5370" spans="1:26" ht="14.25" customHeight="1">
      <c r="A5370" s="80" t="s">
        <v>0</v>
      </c>
      <c r="B5370" s="81"/>
      <c r="C5370" s="81"/>
      <c r="D5370" s="81"/>
      <c r="E5370" s="81"/>
      <c r="F5370" s="81"/>
      <c r="G5370" s="81"/>
      <c r="H5370" s="82"/>
      <c r="I5370" s="32"/>
      <c r="J5370" s="32"/>
      <c r="K5370" s="32"/>
      <c r="L5370" s="32"/>
      <c r="M5370" s="32"/>
      <c r="N5370" s="32"/>
      <c r="O5370" s="32"/>
      <c r="P5370" s="32"/>
      <c r="Q5370" s="32"/>
      <c r="R5370" s="32"/>
      <c r="S5370" s="32"/>
      <c r="T5370" s="32"/>
      <c r="U5370" s="32"/>
      <c r="V5370" s="32"/>
      <c r="W5370" s="32"/>
      <c r="X5370" s="32"/>
      <c r="Y5370" s="32"/>
      <c r="Z5370" s="32"/>
    </row>
    <row r="5371" spans="1:26" ht="14.25" customHeight="1">
      <c r="A5371" s="80" t="s">
        <v>1284</v>
      </c>
      <c r="B5371" s="81"/>
      <c r="C5371" s="81"/>
      <c r="D5371" s="81"/>
      <c r="E5371" s="81"/>
      <c r="F5371" s="81"/>
      <c r="G5371" s="81"/>
      <c r="H5371" s="82"/>
      <c r="I5371" s="32"/>
      <c r="J5371" s="32"/>
      <c r="K5371" s="32"/>
      <c r="L5371" s="32"/>
      <c r="M5371" s="32"/>
      <c r="N5371" s="32"/>
      <c r="O5371" s="32"/>
      <c r="P5371" s="32"/>
      <c r="Q5371" s="32"/>
      <c r="R5371" s="32"/>
      <c r="S5371" s="32"/>
      <c r="T5371" s="32"/>
      <c r="U5371" s="32"/>
      <c r="V5371" s="32"/>
      <c r="W5371" s="32"/>
      <c r="X5371" s="32"/>
      <c r="Y5371" s="32"/>
      <c r="Z5371" s="32"/>
    </row>
    <row r="5372" spans="1:26" ht="14.25" customHeight="1">
      <c r="A5372" s="33" t="s">
        <v>2</v>
      </c>
      <c r="B5372" s="33" t="s">
        <v>3</v>
      </c>
      <c r="C5372" s="33" t="s">
        <v>4</v>
      </c>
      <c r="D5372" s="33" t="s">
        <v>5</v>
      </c>
      <c r="E5372" s="33" t="s">
        <v>6</v>
      </c>
      <c r="F5372" s="34" t="s">
        <v>7</v>
      </c>
      <c r="G5372" s="33" t="s">
        <v>8</v>
      </c>
      <c r="H5372" s="35"/>
      <c r="I5372" s="32"/>
      <c r="J5372" s="32"/>
      <c r="K5372" s="32"/>
      <c r="L5372" s="32"/>
      <c r="M5372" s="32"/>
      <c r="N5372" s="32"/>
      <c r="O5372" s="32"/>
      <c r="P5372" s="32"/>
      <c r="Q5372" s="32"/>
      <c r="R5372" s="32"/>
      <c r="S5372" s="32"/>
      <c r="T5372" s="32"/>
      <c r="U5372" s="32"/>
      <c r="V5372" s="32"/>
      <c r="W5372" s="32"/>
      <c r="X5372" s="32"/>
      <c r="Y5372" s="32"/>
      <c r="Z5372" s="32"/>
    </row>
    <row r="5373" spans="1:26" ht="14.25" customHeight="1">
      <c r="A5373" s="36">
        <v>1</v>
      </c>
      <c r="B5373" s="18" t="s">
        <v>668</v>
      </c>
      <c r="C5373" s="5" t="s">
        <v>1285</v>
      </c>
      <c r="D5373" s="18" t="s">
        <v>11</v>
      </c>
      <c r="E5373" s="18">
        <v>2.5</v>
      </c>
      <c r="F5373" s="6">
        <v>293000</v>
      </c>
      <c r="G5373" s="37">
        <f t="shared" ref="G5373:G5375" si="339">IFERROR(E5373*F5373,0)</f>
        <v>732500</v>
      </c>
      <c r="H5373" s="38"/>
      <c r="I5373" s="32"/>
      <c r="J5373" s="32"/>
      <c r="K5373" s="32"/>
      <c r="L5373" s="32"/>
      <c r="M5373" s="32"/>
      <c r="N5373" s="32"/>
      <c r="O5373" s="32"/>
      <c r="P5373" s="32"/>
      <c r="Q5373" s="32"/>
      <c r="R5373" s="32"/>
      <c r="S5373" s="32"/>
      <c r="T5373" s="32"/>
      <c r="U5373" s="32"/>
      <c r="V5373" s="32"/>
      <c r="W5373" s="32"/>
      <c r="X5373" s="32"/>
      <c r="Y5373" s="32"/>
      <c r="Z5373" s="32"/>
    </row>
    <row r="5374" spans="1:26" ht="14.25" customHeight="1">
      <c r="A5374" s="36">
        <v>2</v>
      </c>
      <c r="B5374" s="12" t="s">
        <v>578</v>
      </c>
      <c r="C5374" s="10" t="s">
        <v>1286</v>
      </c>
      <c r="D5374" s="12" t="s">
        <v>233</v>
      </c>
      <c r="E5374" s="12">
        <v>1.1000000000000001</v>
      </c>
      <c r="F5374" s="43">
        <v>435000</v>
      </c>
      <c r="G5374" s="37">
        <f t="shared" si="339"/>
        <v>478500.00000000006</v>
      </c>
      <c r="H5374" s="38"/>
      <c r="I5374" s="32"/>
      <c r="J5374" s="32"/>
      <c r="K5374" s="32"/>
      <c r="L5374" s="32"/>
      <c r="M5374" s="32"/>
      <c r="N5374" s="32"/>
      <c r="O5374" s="32"/>
      <c r="P5374" s="32"/>
      <c r="Q5374" s="32"/>
      <c r="R5374" s="32"/>
      <c r="S5374" s="32"/>
      <c r="T5374" s="32"/>
      <c r="U5374" s="32"/>
      <c r="V5374" s="32"/>
      <c r="W5374" s="32"/>
      <c r="X5374" s="32"/>
      <c r="Y5374" s="32"/>
      <c r="Z5374" s="32"/>
    </row>
    <row r="5375" spans="1:26" ht="14.25" customHeight="1">
      <c r="A5375" s="36">
        <v>4</v>
      </c>
      <c r="B5375" s="39" t="s">
        <v>17</v>
      </c>
      <c r="C5375" s="38"/>
      <c r="D5375" s="38"/>
      <c r="E5375" s="38"/>
      <c r="F5375" s="60"/>
      <c r="G5375" s="37">
        <f t="shared" si="339"/>
        <v>0</v>
      </c>
      <c r="H5375" s="38"/>
      <c r="I5375" s="32"/>
      <c r="J5375" s="32"/>
      <c r="K5375" s="32"/>
      <c r="L5375" s="32"/>
      <c r="M5375" s="32"/>
      <c r="N5375" s="32"/>
      <c r="O5375" s="32"/>
      <c r="P5375" s="32"/>
      <c r="Q5375" s="32"/>
      <c r="R5375" s="32"/>
      <c r="S5375" s="32"/>
      <c r="T5375" s="32"/>
      <c r="U5375" s="32"/>
      <c r="V5375" s="32"/>
      <c r="W5375" s="32"/>
      <c r="X5375" s="32"/>
      <c r="Y5375" s="32"/>
      <c r="Z5375" s="32"/>
    </row>
    <row r="5376" spans="1:26" ht="14.25" customHeight="1">
      <c r="A5376" s="83" t="s">
        <v>18</v>
      </c>
      <c r="B5376" s="81"/>
      <c r="C5376" s="81"/>
      <c r="D5376" s="81"/>
      <c r="E5376" s="81"/>
      <c r="F5376" s="81"/>
      <c r="G5376" s="82"/>
      <c r="H5376" s="41">
        <f>SUM(G5373:G5375)</f>
        <v>1211000</v>
      </c>
      <c r="I5376" s="32"/>
      <c r="J5376" s="32"/>
      <c r="K5376" s="32"/>
      <c r="L5376" s="32"/>
      <c r="M5376" s="32"/>
      <c r="N5376" s="32"/>
      <c r="O5376" s="32"/>
      <c r="P5376" s="32"/>
      <c r="Q5376" s="32"/>
      <c r="R5376" s="32"/>
      <c r="S5376" s="32"/>
      <c r="T5376" s="32"/>
      <c r="U5376" s="32"/>
      <c r="V5376" s="32"/>
      <c r="W5376" s="32"/>
      <c r="X5376" s="32"/>
      <c r="Y5376" s="32"/>
      <c r="Z5376" s="32"/>
    </row>
    <row r="5377" spans="1:26" ht="14.25" customHeight="1">
      <c r="A5377" s="83" t="s">
        <v>19</v>
      </c>
      <c r="B5377" s="81"/>
      <c r="C5377" s="81"/>
      <c r="D5377" s="81"/>
      <c r="E5377" s="81"/>
      <c r="F5377" s="81"/>
      <c r="G5377" s="82"/>
      <c r="H5377" s="41">
        <f>MAX(0,H5376-648000)</f>
        <v>563000</v>
      </c>
      <c r="I5377" s="32"/>
      <c r="J5377" s="32"/>
      <c r="K5377" s="32"/>
      <c r="L5377" s="32"/>
      <c r="M5377" s="32"/>
      <c r="N5377" s="32"/>
      <c r="O5377" s="32"/>
      <c r="P5377" s="32"/>
      <c r="Q5377" s="32"/>
      <c r="R5377" s="32"/>
      <c r="S5377" s="32"/>
      <c r="T5377" s="32"/>
      <c r="U5377" s="32"/>
      <c r="V5377" s="32"/>
      <c r="W5377" s="32"/>
      <c r="X5377" s="32"/>
      <c r="Y5377" s="32"/>
      <c r="Z5377" s="32"/>
    </row>
    <row r="5378" spans="1:26" ht="14.25" customHeight="1">
      <c r="A5378" s="84" t="s">
        <v>20</v>
      </c>
      <c r="B5378" s="81"/>
      <c r="C5378" s="81"/>
      <c r="D5378" s="81"/>
      <c r="E5378" s="81"/>
      <c r="F5378" s="81"/>
      <c r="G5378" s="82"/>
      <c r="H5378" s="42">
        <v>649000</v>
      </c>
      <c r="I5378" s="32"/>
      <c r="J5378" s="32"/>
      <c r="K5378" s="32"/>
      <c r="L5378" s="32"/>
      <c r="M5378" s="32"/>
      <c r="N5378" s="32"/>
      <c r="O5378" s="32"/>
      <c r="P5378" s="32"/>
      <c r="Q5378" s="32"/>
      <c r="R5378" s="32"/>
      <c r="S5378" s="32"/>
      <c r="T5378" s="32"/>
      <c r="U5378" s="32"/>
      <c r="V5378" s="32"/>
      <c r="W5378" s="32"/>
      <c r="X5378" s="32"/>
      <c r="Y5378" s="32"/>
      <c r="Z5378" s="32"/>
    </row>
    <row r="5379" spans="1:26" ht="14.25" customHeight="1">
      <c r="A5379" s="80"/>
      <c r="B5379" s="81"/>
      <c r="C5379" s="81"/>
      <c r="D5379" s="81"/>
      <c r="E5379" s="81"/>
      <c r="F5379" s="81"/>
      <c r="G5379" s="81"/>
      <c r="H5379" s="82"/>
      <c r="I5379" s="32"/>
      <c r="J5379" s="32"/>
      <c r="K5379" s="32"/>
      <c r="L5379" s="32"/>
      <c r="M5379" s="32"/>
      <c r="N5379" s="32"/>
      <c r="O5379" s="32"/>
      <c r="P5379" s="32"/>
      <c r="Q5379" s="32"/>
      <c r="R5379" s="32"/>
      <c r="S5379" s="32"/>
      <c r="T5379" s="32"/>
      <c r="U5379" s="32"/>
      <c r="V5379" s="32"/>
      <c r="W5379" s="32"/>
      <c r="X5379" s="32"/>
      <c r="Y5379" s="32"/>
      <c r="Z5379" s="32"/>
    </row>
    <row r="5380" spans="1:26" ht="14.25" customHeight="1"/>
    <row r="5381" spans="1:26" ht="14.25" customHeight="1"/>
    <row r="5382" spans="1:26" ht="14.25" customHeight="1"/>
    <row r="5383" spans="1:26" ht="14.25" customHeight="1"/>
    <row r="5384" spans="1:26" ht="14.25" customHeight="1"/>
    <row r="5385" spans="1:26" ht="14.25" customHeight="1"/>
    <row r="5386" spans="1:26" ht="14.25" customHeight="1"/>
    <row r="5387" spans="1:26" ht="14.25" customHeight="1">
      <c r="A5387" s="80" t="s">
        <v>0</v>
      </c>
      <c r="B5387" s="81"/>
      <c r="C5387" s="81"/>
      <c r="D5387" s="81"/>
      <c r="E5387" s="81"/>
      <c r="F5387" s="81"/>
      <c r="G5387" s="81"/>
      <c r="H5387" s="82"/>
      <c r="I5387" s="32"/>
      <c r="J5387" s="32"/>
      <c r="K5387" s="32"/>
      <c r="L5387" s="32"/>
      <c r="M5387" s="32"/>
      <c r="N5387" s="32"/>
      <c r="O5387" s="32"/>
      <c r="P5387" s="32"/>
      <c r="Q5387" s="32"/>
      <c r="R5387" s="32"/>
      <c r="S5387" s="32"/>
      <c r="T5387" s="32"/>
      <c r="U5387" s="32"/>
      <c r="V5387" s="32"/>
      <c r="W5387" s="32"/>
      <c r="X5387" s="32"/>
      <c r="Y5387" s="32"/>
      <c r="Z5387" s="32"/>
    </row>
    <row r="5388" spans="1:26" ht="14.25" customHeight="1">
      <c r="A5388" s="80" t="s">
        <v>1287</v>
      </c>
      <c r="B5388" s="81"/>
      <c r="C5388" s="81"/>
      <c r="D5388" s="81"/>
      <c r="E5388" s="81"/>
      <c r="F5388" s="81"/>
      <c r="G5388" s="81"/>
      <c r="H5388" s="82"/>
      <c r="I5388" s="32"/>
      <c r="J5388" s="32"/>
      <c r="K5388" s="32"/>
      <c r="L5388" s="32"/>
      <c r="M5388" s="32"/>
      <c r="N5388" s="32"/>
      <c r="O5388" s="32"/>
      <c r="P5388" s="32"/>
      <c r="Q5388" s="32"/>
      <c r="R5388" s="32"/>
      <c r="S5388" s="32"/>
      <c r="T5388" s="32"/>
      <c r="U5388" s="32"/>
      <c r="V5388" s="32"/>
      <c r="W5388" s="32"/>
      <c r="X5388" s="32"/>
      <c r="Y5388" s="32"/>
      <c r="Z5388" s="32"/>
    </row>
    <row r="5389" spans="1:26" ht="14.25" customHeight="1">
      <c r="A5389" s="33" t="s">
        <v>2</v>
      </c>
      <c r="B5389" s="33" t="s">
        <v>3</v>
      </c>
      <c r="C5389" s="33" t="s">
        <v>4</v>
      </c>
      <c r="D5389" s="33" t="s">
        <v>5</v>
      </c>
      <c r="E5389" s="33" t="s">
        <v>6</v>
      </c>
      <c r="F5389" s="34" t="s">
        <v>7</v>
      </c>
      <c r="G5389" s="33" t="s">
        <v>8</v>
      </c>
      <c r="H5389" s="35"/>
      <c r="I5389" s="32"/>
      <c r="J5389" s="32"/>
      <c r="K5389" s="32"/>
      <c r="L5389" s="32"/>
      <c r="M5389" s="32"/>
      <c r="N5389" s="32"/>
      <c r="O5389" s="32"/>
      <c r="P5389" s="32"/>
      <c r="Q5389" s="32"/>
      <c r="R5389" s="32"/>
      <c r="S5389" s="32"/>
      <c r="T5389" s="32"/>
      <c r="U5389" s="32"/>
      <c r="V5389" s="32"/>
      <c r="W5389" s="32"/>
      <c r="X5389" s="32"/>
      <c r="Y5389" s="32"/>
      <c r="Z5389" s="32"/>
    </row>
    <row r="5390" spans="1:26" ht="14.25" customHeight="1">
      <c r="A5390" s="36">
        <v>1</v>
      </c>
      <c r="B5390" s="18" t="s">
        <v>1288</v>
      </c>
      <c r="C5390" s="5" t="s">
        <v>1289</v>
      </c>
      <c r="D5390" s="18" t="s">
        <v>11</v>
      </c>
      <c r="E5390" s="18">
        <v>2</v>
      </c>
      <c r="F5390" s="6">
        <v>293000</v>
      </c>
      <c r="G5390" s="37">
        <f t="shared" ref="G5390:G5392" si="340">IFERROR(E5390*F5390,0)</f>
        <v>586000</v>
      </c>
      <c r="H5390" s="38"/>
      <c r="I5390" s="32"/>
      <c r="J5390" s="32"/>
      <c r="K5390" s="32"/>
      <c r="L5390" s="32"/>
      <c r="M5390" s="32"/>
      <c r="N5390" s="32"/>
      <c r="O5390" s="32"/>
      <c r="P5390" s="32"/>
      <c r="Q5390" s="32"/>
      <c r="R5390" s="32"/>
      <c r="S5390" s="32"/>
      <c r="T5390" s="32"/>
      <c r="U5390" s="32"/>
      <c r="V5390" s="32"/>
      <c r="W5390" s="32"/>
      <c r="X5390" s="32"/>
      <c r="Y5390" s="32"/>
      <c r="Z5390" s="32"/>
    </row>
    <row r="5391" spans="1:26" ht="14.25" customHeight="1">
      <c r="A5391" s="36">
        <v>2</v>
      </c>
      <c r="B5391" s="12" t="s">
        <v>33</v>
      </c>
      <c r="C5391" s="10" t="s">
        <v>1143</v>
      </c>
      <c r="D5391" s="12" t="s">
        <v>233</v>
      </c>
      <c r="E5391" s="12">
        <v>1.45</v>
      </c>
      <c r="F5391" s="43">
        <v>435000</v>
      </c>
      <c r="G5391" s="37">
        <f t="shared" si="340"/>
        <v>630750</v>
      </c>
      <c r="H5391" s="38"/>
      <c r="I5391" s="32"/>
      <c r="J5391" s="32"/>
      <c r="K5391" s="32"/>
      <c r="L5391" s="32"/>
      <c r="M5391" s="32"/>
      <c r="N5391" s="32"/>
      <c r="O5391" s="32"/>
      <c r="P5391" s="32"/>
      <c r="Q5391" s="32"/>
      <c r="R5391" s="32"/>
      <c r="S5391" s="32"/>
      <c r="T5391" s="32"/>
      <c r="U5391" s="32"/>
      <c r="V5391" s="32"/>
      <c r="W5391" s="32"/>
      <c r="X5391" s="32"/>
      <c r="Y5391" s="32"/>
      <c r="Z5391" s="32"/>
    </row>
    <row r="5392" spans="1:26" ht="14.25" customHeight="1">
      <c r="A5392" s="36">
        <v>4</v>
      </c>
      <c r="B5392" s="39" t="s">
        <v>17</v>
      </c>
      <c r="C5392" s="38"/>
      <c r="D5392" s="38"/>
      <c r="E5392" s="38"/>
      <c r="F5392" s="60"/>
      <c r="G5392" s="37">
        <f t="shared" si="340"/>
        <v>0</v>
      </c>
      <c r="H5392" s="38"/>
      <c r="I5392" s="32"/>
      <c r="J5392" s="32"/>
      <c r="K5392" s="32"/>
      <c r="L5392" s="32"/>
      <c r="M5392" s="32"/>
      <c r="N5392" s="32"/>
      <c r="O5392" s="32"/>
      <c r="P5392" s="32"/>
      <c r="Q5392" s="32"/>
      <c r="R5392" s="32"/>
      <c r="S5392" s="32"/>
      <c r="T5392" s="32"/>
      <c r="U5392" s="32"/>
      <c r="V5392" s="32"/>
      <c r="W5392" s="32"/>
      <c r="X5392" s="32"/>
      <c r="Y5392" s="32"/>
      <c r="Z5392" s="32"/>
    </row>
    <row r="5393" spans="1:26" ht="14.25" customHeight="1">
      <c r="A5393" s="83" t="s">
        <v>18</v>
      </c>
      <c r="B5393" s="81"/>
      <c r="C5393" s="81"/>
      <c r="D5393" s="81"/>
      <c r="E5393" s="81"/>
      <c r="F5393" s="81"/>
      <c r="G5393" s="82"/>
      <c r="H5393" s="41">
        <f>SUM(G5390:G5392)</f>
        <v>1216750</v>
      </c>
      <c r="I5393" s="32"/>
      <c r="J5393" s="32"/>
      <c r="K5393" s="32"/>
      <c r="L5393" s="32"/>
      <c r="M5393" s="32"/>
      <c r="N5393" s="32"/>
      <c r="O5393" s="32"/>
      <c r="P5393" s="32"/>
      <c r="Q5393" s="32"/>
      <c r="R5393" s="32"/>
      <c r="S5393" s="32"/>
      <c r="T5393" s="32"/>
      <c r="U5393" s="32"/>
      <c r="V5393" s="32"/>
      <c r="W5393" s="32"/>
      <c r="X5393" s="32"/>
      <c r="Y5393" s="32"/>
      <c r="Z5393" s="32"/>
    </row>
    <row r="5394" spans="1:26" ht="14.25" customHeight="1">
      <c r="A5394" s="83" t="s">
        <v>19</v>
      </c>
      <c r="B5394" s="81"/>
      <c r="C5394" s="81"/>
      <c r="D5394" s="81"/>
      <c r="E5394" s="81"/>
      <c r="F5394" s="81"/>
      <c r="G5394" s="82"/>
      <c r="H5394" s="41">
        <f>MAX(0,H5393-648000)</f>
        <v>568750</v>
      </c>
      <c r="I5394" s="32"/>
      <c r="J5394" s="32"/>
      <c r="K5394" s="32"/>
      <c r="L5394" s="32"/>
      <c r="M5394" s="32"/>
      <c r="N5394" s="32"/>
      <c r="O5394" s="32"/>
      <c r="P5394" s="32"/>
      <c r="Q5394" s="32"/>
      <c r="R5394" s="32"/>
      <c r="S5394" s="32"/>
      <c r="T5394" s="32"/>
      <c r="U5394" s="32"/>
      <c r="V5394" s="32"/>
      <c r="W5394" s="32"/>
      <c r="X5394" s="32"/>
      <c r="Y5394" s="32"/>
      <c r="Z5394" s="32"/>
    </row>
    <row r="5395" spans="1:26" ht="14.25" customHeight="1">
      <c r="A5395" s="84" t="s">
        <v>20</v>
      </c>
      <c r="B5395" s="81"/>
      <c r="C5395" s="81"/>
      <c r="D5395" s="81"/>
      <c r="E5395" s="81"/>
      <c r="F5395" s="81"/>
      <c r="G5395" s="82"/>
      <c r="H5395" s="42">
        <v>649000</v>
      </c>
      <c r="I5395" s="32"/>
      <c r="J5395" s="32"/>
      <c r="K5395" s="32"/>
      <c r="L5395" s="32"/>
      <c r="M5395" s="32"/>
      <c r="N5395" s="32"/>
      <c r="O5395" s="32"/>
      <c r="P5395" s="32"/>
      <c r="Q5395" s="32"/>
      <c r="R5395" s="32"/>
      <c r="S5395" s="32"/>
      <c r="T5395" s="32"/>
      <c r="U5395" s="32"/>
      <c r="V5395" s="32"/>
      <c r="W5395" s="32"/>
      <c r="X5395" s="32"/>
      <c r="Y5395" s="32"/>
      <c r="Z5395" s="32"/>
    </row>
    <row r="5396" spans="1:26" ht="14.25" customHeight="1">
      <c r="A5396" s="80"/>
      <c r="B5396" s="81"/>
      <c r="C5396" s="81"/>
      <c r="D5396" s="81"/>
      <c r="E5396" s="81"/>
      <c r="F5396" s="81"/>
      <c r="G5396" s="81"/>
      <c r="H5396" s="82"/>
      <c r="I5396" s="32"/>
      <c r="J5396" s="32"/>
      <c r="K5396" s="32"/>
      <c r="L5396" s="32"/>
      <c r="M5396" s="32"/>
      <c r="N5396" s="32"/>
      <c r="O5396" s="32"/>
      <c r="P5396" s="32"/>
      <c r="Q5396" s="32"/>
      <c r="R5396" s="32"/>
      <c r="S5396" s="32"/>
      <c r="T5396" s="32"/>
      <c r="U5396" s="32"/>
      <c r="V5396" s="32"/>
      <c r="W5396" s="32"/>
      <c r="X5396" s="32"/>
      <c r="Y5396" s="32"/>
      <c r="Z5396" s="32"/>
    </row>
    <row r="5397" spans="1:26" ht="14.25" customHeight="1"/>
    <row r="5398" spans="1:26" ht="14.25" customHeight="1"/>
    <row r="5399" spans="1:26" ht="14.25" customHeight="1"/>
    <row r="5400" spans="1:26" ht="14.25" customHeight="1"/>
    <row r="5401" spans="1:26" ht="14.25" customHeight="1"/>
    <row r="5402" spans="1:26" ht="14.25" customHeight="1"/>
    <row r="5403" spans="1:26" ht="14.25" customHeight="1"/>
    <row r="5404" spans="1:26" ht="14.25" customHeight="1"/>
    <row r="5405" spans="1:26" ht="14.25" customHeight="1">
      <c r="A5405" s="80" t="s">
        <v>0</v>
      </c>
      <c r="B5405" s="81"/>
      <c r="C5405" s="81"/>
      <c r="D5405" s="81"/>
      <c r="E5405" s="81"/>
      <c r="F5405" s="81"/>
      <c r="G5405" s="81"/>
      <c r="H5405" s="82"/>
      <c r="I5405" s="32"/>
      <c r="J5405" s="32"/>
      <c r="K5405" s="32"/>
      <c r="L5405" s="32"/>
      <c r="M5405" s="32"/>
      <c r="N5405" s="32"/>
      <c r="O5405" s="32"/>
      <c r="P5405" s="32"/>
      <c r="Q5405" s="32"/>
      <c r="R5405" s="32"/>
      <c r="S5405" s="32"/>
      <c r="T5405" s="32"/>
      <c r="U5405" s="32"/>
      <c r="V5405" s="32"/>
      <c r="W5405" s="32"/>
      <c r="X5405" s="32"/>
      <c r="Y5405" s="32"/>
      <c r="Z5405" s="32"/>
    </row>
    <row r="5406" spans="1:26" ht="14.25" customHeight="1">
      <c r="A5406" s="80" t="s">
        <v>1290</v>
      </c>
      <c r="B5406" s="81"/>
      <c r="C5406" s="81"/>
      <c r="D5406" s="81"/>
      <c r="E5406" s="81"/>
      <c r="F5406" s="81"/>
      <c r="G5406" s="81"/>
      <c r="H5406" s="82"/>
      <c r="I5406" s="32"/>
      <c r="J5406" s="32"/>
      <c r="K5406" s="32"/>
      <c r="L5406" s="32"/>
      <c r="M5406" s="32"/>
      <c r="N5406" s="32"/>
      <c r="O5406" s="32"/>
      <c r="P5406" s="32"/>
      <c r="Q5406" s="32"/>
      <c r="R5406" s="32"/>
      <c r="S5406" s="32"/>
      <c r="T5406" s="32"/>
      <c r="U5406" s="32"/>
      <c r="V5406" s="32"/>
      <c r="W5406" s="32"/>
      <c r="X5406" s="32"/>
      <c r="Y5406" s="32"/>
      <c r="Z5406" s="32"/>
    </row>
    <row r="5407" spans="1:26" ht="14.25" customHeight="1">
      <c r="A5407" s="33" t="s">
        <v>2</v>
      </c>
      <c r="B5407" s="33" t="s">
        <v>3</v>
      </c>
      <c r="C5407" s="33" t="s">
        <v>4</v>
      </c>
      <c r="D5407" s="33" t="s">
        <v>5</v>
      </c>
      <c r="E5407" s="33" t="s">
        <v>6</v>
      </c>
      <c r="F5407" s="34" t="s">
        <v>7</v>
      </c>
      <c r="G5407" s="33" t="s">
        <v>8</v>
      </c>
      <c r="H5407" s="35"/>
      <c r="I5407" s="32"/>
      <c r="J5407" s="32"/>
      <c r="K5407" s="32"/>
      <c r="L5407" s="32"/>
      <c r="M5407" s="32"/>
      <c r="N5407" s="32"/>
      <c r="O5407" s="32"/>
      <c r="P5407" s="32"/>
      <c r="Q5407" s="32"/>
      <c r="R5407" s="32"/>
      <c r="S5407" s="32"/>
      <c r="T5407" s="32"/>
      <c r="U5407" s="32"/>
      <c r="V5407" s="32"/>
      <c r="W5407" s="32"/>
      <c r="X5407" s="32"/>
      <c r="Y5407" s="32"/>
      <c r="Z5407" s="32"/>
    </row>
    <row r="5408" spans="1:26" ht="14.25" customHeight="1">
      <c r="A5408" s="36">
        <v>1</v>
      </c>
      <c r="B5408" s="18" t="s">
        <v>1158</v>
      </c>
      <c r="C5408" s="5" t="s">
        <v>1291</v>
      </c>
      <c r="D5408" s="18" t="s">
        <v>11</v>
      </c>
      <c r="E5408" s="18">
        <v>2.2000000000000002</v>
      </c>
      <c r="F5408" s="6">
        <v>293000</v>
      </c>
      <c r="G5408" s="37">
        <f t="shared" ref="G5408:G5410" si="341">IFERROR(E5408*F5408,0)</f>
        <v>644600</v>
      </c>
      <c r="H5408" s="38"/>
      <c r="I5408" s="32"/>
      <c r="J5408" s="32"/>
      <c r="K5408" s="32"/>
      <c r="L5408" s="32"/>
      <c r="M5408" s="32"/>
      <c r="N5408" s="32"/>
      <c r="O5408" s="32"/>
      <c r="P5408" s="32"/>
      <c r="Q5408" s="32"/>
      <c r="R5408" s="32"/>
      <c r="S5408" s="32"/>
      <c r="T5408" s="32"/>
      <c r="U5408" s="32"/>
      <c r="V5408" s="32"/>
      <c r="W5408" s="32"/>
      <c r="X5408" s="32"/>
      <c r="Y5408" s="32"/>
      <c r="Z5408" s="32"/>
    </row>
    <row r="5409" spans="1:26" ht="14.25" customHeight="1">
      <c r="A5409" s="36">
        <v>2</v>
      </c>
      <c r="B5409" s="12" t="s">
        <v>1292</v>
      </c>
      <c r="C5409" s="10" t="s">
        <v>1293</v>
      </c>
      <c r="D5409" s="12" t="s">
        <v>233</v>
      </c>
      <c r="E5409" s="12">
        <v>1.3</v>
      </c>
      <c r="F5409" s="43">
        <v>435000</v>
      </c>
      <c r="G5409" s="37">
        <f t="shared" si="341"/>
        <v>565500</v>
      </c>
      <c r="H5409" s="38"/>
      <c r="I5409" s="32"/>
      <c r="J5409" s="32"/>
      <c r="K5409" s="32"/>
      <c r="L5409" s="32"/>
      <c r="M5409" s="32"/>
      <c r="N5409" s="32"/>
      <c r="O5409" s="32"/>
      <c r="P5409" s="32"/>
      <c r="Q5409" s="32"/>
      <c r="R5409" s="32"/>
      <c r="S5409" s="32"/>
      <c r="T5409" s="32"/>
      <c r="U5409" s="32"/>
      <c r="V5409" s="32"/>
      <c r="W5409" s="32"/>
      <c r="X5409" s="32"/>
      <c r="Y5409" s="32"/>
      <c r="Z5409" s="32"/>
    </row>
    <row r="5410" spans="1:26" ht="14.25" customHeight="1">
      <c r="A5410" s="36">
        <v>4</v>
      </c>
      <c r="B5410" s="39" t="s">
        <v>17</v>
      </c>
      <c r="C5410" s="38"/>
      <c r="D5410" s="38"/>
      <c r="E5410" s="38"/>
      <c r="F5410" s="60"/>
      <c r="G5410" s="37">
        <f t="shared" si="341"/>
        <v>0</v>
      </c>
      <c r="H5410" s="38"/>
      <c r="I5410" s="32"/>
      <c r="J5410" s="32"/>
      <c r="K5410" s="32"/>
      <c r="L5410" s="32"/>
      <c r="M5410" s="32"/>
      <c r="N5410" s="32"/>
      <c r="O5410" s="32"/>
      <c r="P5410" s="32"/>
      <c r="Q5410" s="32"/>
      <c r="R5410" s="32"/>
      <c r="S5410" s="32"/>
      <c r="T5410" s="32"/>
      <c r="U5410" s="32"/>
      <c r="V5410" s="32"/>
      <c r="W5410" s="32"/>
      <c r="X5410" s="32"/>
      <c r="Y5410" s="32"/>
      <c r="Z5410" s="32"/>
    </row>
    <row r="5411" spans="1:26" ht="14.25" customHeight="1">
      <c r="A5411" s="83" t="s">
        <v>18</v>
      </c>
      <c r="B5411" s="81"/>
      <c r="C5411" s="81"/>
      <c r="D5411" s="81"/>
      <c r="E5411" s="81"/>
      <c r="F5411" s="81"/>
      <c r="G5411" s="82"/>
      <c r="H5411" s="41">
        <f>SUM(G5408:G5410)</f>
        <v>1210100</v>
      </c>
      <c r="I5411" s="32"/>
      <c r="J5411" s="32"/>
      <c r="K5411" s="32"/>
      <c r="L5411" s="32"/>
      <c r="M5411" s="32"/>
      <c r="N5411" s="32"/>
      <c r="O5411" s="32"/>
      <c r="P5411" s="32"/>
      <c r="Q5411" s="32"/>
      <c r="R5411" s="32"/>
      <c r="S5411" s="32"/>
      <c r="T5411" s="32"/>
      <c r="U5411" s="32"/>
      <c r="V5411" s="32"/>
      <c r="W5411" s="32"/>
      <c r="X5411" s="32"/>
      <c r="Y5411" s="32"/>
      <c r="Z5411" s="32"/>
    </row>
    <row r="5412" spans="1:26" ht="14.25" customHeight="1">
      <c r="A5412" s="83" t="s">
        <v>19</v>
      </c>
      <c r="B5412" s="81"/>
      <c r="C5412" s="81"/>
      <c r="D5412" s="81"/>
      <c r="E5412" s="81"/>
      <c r="F5412" s="81"/>
      <c r="G5412" s="82"/>
      <c r="H5412" s="41">
        <f>MAX(0,H5411-648000)</f>
        <v>562100</v>
      </c>
      <c r="I5412" s="32"/>
      <c r="J5412" s="32"/>
      <c r="K5412" s="32"/>
      <c r="L5412" s="32"/>
      <c r="M5412" s="32"/>
      <c r="N5412" s="32"/>
      <c r="O5412" s="32"/>
      <c r="P5412" s="32"/>
      <c r="Q5412" s="32"/>
      <c r="R5412" s="32"/>
      <c r="S5412" s="32"/>
      <c r="T5412" s="32"/>
      <c r="U5412" s="32"/>
      <c r="V5412" s="32"/>
      <c r="W5412" s="32"/>
      <c r="X5412" s="32"/>
      <c r="Y5412" s="32"/>
      <c r="Z5412" s="32"/>
    </row>
    <row r="5413" spans="1:26" ht="14.25" customHeight="1">
      <c r="A5413" s="84" t="s">
        <v>20</v>
      </c>
      <c r="B5413" s="81"/>
      <c r="C5413" s="81"/>
      <c r="D5413" s="81"/>
      <c r="E5413" s="81"/>
      <c r="F5413" s="81"/>
      <c r="G5413" s="82"/>
      <c r="H5413" s="42">
        <v>649000</v>
      </c>
      <c r="I5413" s="32"/>
      <c r="J5413" s="32"/>
      <c r="K5413" s="32"/>
      <c r="L5413" s="32"/>
      <c r="M5413" s="32"/>
      <c r="N5413" s="32"/>
      <c r="O5413" s="32"/>
      <c r="P5413" s="32"/>
      <c r="Q5413" s="32"/>
      <c r="R5413" s="32"/>
      <c r="S5413" s="32"/>
      <c r="T5413" s="32"/>
      <c r="U5413" s="32"/>
      <c r="V5413" s="32"/>
      <c r="W5413" s="32"/>
      <c r="X5413" s="32"/>
      <c r="Y5413" s="32"/>
      <c r="Z5413" s="32"/>
    </row>
    <row r="5414" spans="1:26" ht="14.25" customHeight="1">
      <c r="A5414" s="80"/>
      <c r="B5414" s="81"/>
      <c r="C5414" s="81"/>
      <c r="D5414" s="81"/>
      <c r="E5414" s="81"/>
      <c r="F5414" s="81"/>
      <c r="G5414" s="81"/>
      <c r="H5414" s="82"/>
      <c r="I5414" s="32"/>
      <c r="J5414" s="32"/>
      <c r="K5414" s="32"/>
      <c r="L5414" s="32"/>
      <c r="M5414" s="32"/>
      <c r="N5414" s="32"/>
      <c r="O5414" s="32"/>
      <c r="P5414" s="32"/>
      <c r="Q5414" s="32"/>
      <c r="R5414" s="32"/>
      <c r="S5414" s="32"/>
      <c r="T5414" s="32"/>
      <c r="U5414" s="32"/>
      <c r="V5414" s="32"/>
      <c r="W5414" s="32"/>
      <c r="X5414" s="32"/>
      <c r="Y5414" s="32"/>
      <c r="Z5414" s="32"/>
    </row>
    <row r="5415" spans="1:26" ht="14.25" customHeight="1"/>
    <row r="5416" spans="1:26" ht="14.25" customHeight="1"/>
    <row r="5417" spans="1:26" ht="14.25" customHeight="1"/>
    <row r="5418" spans="1:26" ht="14.25" customHeight="1"/>
    <row r="5419" spans="1:26" ht="14.25" customHeight="1"/>
    <row r="5420" spans="1:26" ht="14.25" customHeight="1"/>
    <row r="5421" spans="1:26" ht="14.25" customHeight="1"/>
    <row r="5422" spans="1:26" ht="14.25" customHeight="1">
      <c r="A5422" s="80" t="s">
        <v>0</v>
      </c>
      <c r="B5422" s="81"/>
      <c r="C5422" s="81"/>
      <c r="D5422" s="81"/>
      <c r="E5422" s="81"/>
      <c r="F5422" s="81"/>
      <c r="G5422" s="81"/>
      <c r="H5422" s="82"/>
      <c r="I5422" s="32"/>
      <c r="J5422" s="32"/>
      <c r="K5422" s="32"/>
      <c r="L5422" s="32"/>
      <c r="M5422" s="32"/>
      <c r="N5422" s="32"/>
      <c r="O5422" s="32"/>
      <c r="P5422" s="32"/>
      <c r="Q5422" s="32"/>
      <c r="R5422" s="32"/>
      <c r="S5422" s="32"/>
      <c r="T5422" s="32"/>
      <c r="U5422" s="32"/>
      <c r="V5422" s="32"/>
      <c r="W5422" s="32"/>
      <c r="X5422" s="32"/>
      <c r="Y5422" s="32"/>
      <c r="Z5422" s="32"/>
    </row>
    <row r="5423" spans="1:26" ht="14.25" customHeight="1">
      <c r="A5423" s="80" t="s">
        <v>1294</v>
      </c>
      <c r="B5423" s="81"/>
      <c r="C5423" s="81"/>
      <c r="D5423" s="81"/>
      <c r="E5423" s="81"/>
      <c r="F5423" s="81"/>
      <c r="G5423" s="81"/>
      <c r="H5423" s="82"/>
      <c r="I5423" s="32"/>
      <c r="J5423" s="32"/>
      <c r="K5423" s="32"/>
      <c r="L5423" s="32"/>
      <c r="M5423" s="32"/>
      <c r="N5423" s="32"/>
      <c r="O5423" s="32"/>
      <c r="P5423" s="32"/>
      <c r="Q5423" s="32"/>
      <c r="R5423" s="32"/>
      <c r="S5423" s="32"/>
      <c r="T5423" s="32"/>
      <c r="U5423" s="32"/>
      <c r="V5423" s="32"/>
      <c r="W5423" s="32"/>
      <c r="X5423" s="32"/>
      <c r="Y5423" s="32"/>
      <c r="Z5423" s="32"/>
    </row>
    <row r="5424" spans="1:26" ht="14.25" customHeight="1">
      <c r="A5424" s="33" t="s">
        <v>2</v>
      </c>
      <c r="B5424" s="33" t="s">
        <v>3</v>
      </c>
      <c r="C5424" s="33" t="s">
        <v>4</v>
      </c>
      <c r="D5424" s="33" t="s">
        <v>5</v>
      </c>
      <c r="E5424" s="33" t="s">
        <v>6</v>
      </c>
      <c r="F5424" s="34" t="s">
        <v>7</v>
      </c>
      <c r="G5424" s="33" t="s">
        <v>8</v>
      </c>
      <c r="H5424" s="35"/>
      <c r="I5424" s="32"/>
      <c r="J5424" s="32"/>
      <c r="K5424" s="32"/>
      <c r="L5424" s="32"/>
      <c r="M5424" s="32"/>
      <c r="N5424" s="32"/>
      <c r="O5424" s="32"/>
      <c r="P5424" s="32"/>
      <c r="Q5424" s="32"/>
      <c r="R5424" s="32"/>
      <c r="S5424" s="32"/>
      <c r="T5424" s="32"/>
      <c r="U5424" s="32"/>
      <c r="V5424" s="32"/>
      <c r="W5424" s="32"/>
      <c r="X5424" s="32"/>
      <c r="Y5424" s="32"/>
      <c r="Z5424" s="32"/>
    </row>
    <row r="5425" spans="1:26" ht="14.25" customHeight="1">
      <c r="A5425" s="36">
        <v>1</v>
      </c>
      <c r="B5425" s="18" t="s">
        <v>1295</v>
      </c>
      <c r="C5425" s="5">
        <v>8866</v>
      </c>
      <c r="D5425" s="18" t="s">
        <v>11</v>
      </c>
      <c r="E5425" s="18">
        <v>2</v>
      </c>
      <c r="F5425" s="6">
        <v>293000</v>
      </c>
      <c r="G5425" s="37">
        <f t="shared" ref="G5425:G5427" si="342">IFERROR(E5425*F5425,0)</f>
        <v>586000</v>
      </c>
      <c r="H5425" s="38"/>
      <c r="I5425" s="32"/>
      <c r="J5425" s="32"/>
      <c r="K5425" s="32"/>
      <c r="L5425" s="32"/>
      <c r="M5425" s="32"/>
      <c r="N5425" s="32"/>
      <c r="O5425" s="32"/>
      <c r="P5425" s="32"/>
      <c r="Q5425" s="32"/>
      <c r="R5425" s="32"/>
      <c r="S5425" s="32"/>
      <c r="T5425" s="32"/>
      <c r="U5425" s="32"/>
      <c r="V5425" s="32"/>
      <c r="W5425" s="32"/>
      <c r="X5425" s="32"/>
      <c r="Y5425" s="32"/>
      <c r="Z5425" s="32"/>
    </row>
    <row r="5426" spans="1:26" ht="14.25" customHeight="1">
      <c r="A5426" s="36">
        <v>2</v>
      </c>
      <c r="B5426" s="12" t="s">
        <v>418</v>
      </c>
      <c r="C5426" s="10" t="s">
        <v>1296</v>
      </c>
      <c r="D5426" s="12" t="s">
        <v>233</v>
      </c>
      <c r="E5426" s="12">
        <v>1.5</v>
      </c>
      <c r="F5426" s="43">
        <v>435000</v>
      </c>
      <c r="G5426" s="37">
        <f t="shared" si="342"/>
        <v>652500</v>
      </c>
      <c r="H5426" s="38"/>
      <c r="I5426" s="32"/>
      <c r="J5426" s="32"/>
      <c r="K5426" s="32"/>
      <c r="L5426" s="32"/>
      <c r="M5426" s="32"/>
      <c r="N5426" s="32"/>
      <c r="O5426" s="32"/>
      <c r="P5426" s="32"/>
      <c r="Q5426" s="32"/>
      <c r="R5426" s="32"/>
      <c r="S5426" s="32"/>
      <c r="T5426" s="32"/>
      <c r="U5426" s="32"/>
      <c r="V5426" s="32"/>
      <c r="W5426" s="32"/>
      <c r="X5426" s="32"/>
      <c r="Y5426" s="32"/>
      <c r="Z5426" s="32"/>
    </row>
    <row r="5427" spans="1:26" ht="14.25" customHeight="1">
      <c r="A5427" s="36">
        <v>4</v>
      </c>
      <c r="B5427" s="39" t="s">
        <v>17</v>
      </c>
      <c r="C5427" s="38"/>
      <c r="D5427" s="38"/>
      <c r="E5427" s="38"/>
      <c r="F5427" s="60"/>
      <c r="G5427" s="37">
        <f t="shared" si="342"/>
        <v>0</v>
      </c>
      <c r="H5427" s="38"/>
      <c r="I5427" s="32"/>
      <c r="J5427" s="32"/>
      <c r="K5427" s="32"/>
      <c r="L5427" s="32"/>
      <c r="M5427" s="32"/>
      <c r="N5427" s="32"/>
      <c r="O5427" s="32"/>
      <c r="P5427" s="32"/>
      <c r="Q5427" s="32"/>
      <c r="R5427" s="32"/>
      <c r="S5427" s="32"/>
      <c r="T5427" s="32"/>
      <c r="U5427" s="32"/>
      <c r="V5427" s="32"/>
      <c r="W5427" s="32"/>
      <c r="X5427" s="32"/>
      <c r="Y5427" s="32"/>
      <c r="Z5427" s="32"/>
    </row>
    <row r="5428" spans="1:26" ht="14.25" customHeight="1">
      <c r="A5428" s="83" t="s">
        <v>18</v>
      </c>
      <c r="B5428" s="81"/>
      <c r="C5428" s="81"/>
      <c r="D5428" s="81"/>
      <c r="E5428" s="81"/>
      <c r="F5428" s="81"/>
      <c r="G5428" s="82"/>
      <c r="H5428" s="41">
        <f>SUM(G5425:G5427)</f>
        <v>1238500</v>
      </c>
      <c r="I5428" s="32"/>
      <c r="J5428" s="32"/>
      <c r="K5428" s="32"/>
      <c r="L5428" s="32"/>
      <c r="M5428" s="32"/>
      <c r="N5428" s="32"/>
      <c r="O5428" s="32"/>
      <c r="P5428" s="32"/>
      <c r="Q5428" s="32"/>
      <c r="R5428" s="32"/>
      <c r="S5428" s="32"/>
      <c r="T5428" s="32"/>
      <c r="U5428" s="32"/>
      <c r="V5428" s="32"/>
      <c r="W5428" s="32"/>
      <c r="X5428" s="32"/>
      <c r="Y5428" s="32"/>
      <c r="Z5428" s="32"/>
    </row>
    <row r="5429" spans="1:26" ht="14.25" customHeight="1">
      <c r="A5429" s="83" t="s">
        <v>19</v>
      </c>
      <c r="B5429" s="81"/>
      <c r="C5429" s="81"/>
      <c r="D5429" s="81"/>
      <c r="E5429" s="81"/>
      <c r="F5429" s="81"/>
      <c r="G5429" s="82"/>
      <c r="H5429" s="41">
        <f>MAX(0,H5428-648000)</f>
        <v>590500</v>
      </c>
      <c r="I5429" s="32"/>
      <c r="J5429" s="32"/>
      <c r="K5429" s="32"/>
      <c r="L5429" s="32"/>
      <c r="M5429" s="32"/>
      <c r="N5429" s="32"/>
      <c r="O5429" s="32"/>
      <c r="P5429" s="32"/>
      <c r="Q5429" s="32"/>
      <c r="R5429" s="32"/>
      <c r="S5429" s="32"/>
      <c r="T5429" s="32"/>
      <c r="U5429" s="32"/>
      <c r="V5429" s="32"/>
      <c r="W5429" s="32"/>
      <c r="X5429" s="32"/>
      <c r="Y5429" s="32"/>
      <c r="Z5429" s="32"/>
    </row>
    <row r="5430" spans="1:26" ht="14.25" customHeight="1">
      <c r="A5430" s="84" t="s">
        <v>20</v>
      </c>
      <c r="B5430" s="81"/>
      <c r="C5430" s="81"/>
      <c r="D5430" s="81"/>
      <c r="E5430" s="81"/>
      <c r="F5430" s="81"/>
      <c r="G5430" s="82"/>
      <c r="H5430" s="42">
        <v>649000</v>
      </c>
      <c r="I5430" s="32"/>
      <c r="J5430" s="32"/>
      <c r="K5430" s="32"/>
      <c r="L5430" s="32"/>
      <c r="M5430" s="32"/>
      <c r="N5430" s="32"/>
      <c r="O5430" s="32"/>
      <c r="P5430" s="32"/>
      <c r="Q5430" s="32"/>
      <c r="R5430" s="32"/>
      <c r="S5430" s="32"/>
      <c r="T5430" s="32"/>
      <c r="U5430" s="32"/>
      <c r="V5430" s="32"/>
      <c r="W5430" s="32"/>
      <c r="X5430" s="32"/>
      <c r="Y5430" s="32"/>
      <c r="Z5430" s="32"/>
    </row>
    <row r="5431" spans="1:26" ht="14.25" customHeight="1">
      <c r="A5431" s="80"/>
      <c r="B5431" s="81"/>
      <c r="C5431" s="81"/>
      <c r="D5431" s="81"/>
      <c r="E5431" s="81"/>
      <c r="F5431" s="81"/>
      <c r="G5431" s="81"/>
      <c r="H5431" s="82"/>
      <c r="I5431" s="32"/>
      <c r="J5431" s="32"/>
      <c r="K5431" s="32"/>
      <c r="L5431" s="32"/>
      <c r="M5431" s="32"/>
      <c r="N5431" s="32"/>
      <c r="O5431" s="32"/>
      <c r="P5431" s="32"/>
      <c r="Q5431" s="32"/>
      <c r="R5431" s="32"/>
      <c r="S5431" s="32"/>
      <c r="T5431" s="32"/>
      <c r="U5431" s="32"/>
      <c r="V5431" s="32"/>
      <c r="W5431" s="32"/>
      <c r="X5431" s="32"/>
      <c r="Y5431" s="32"/>
      <c r="Z5431" s="32"/>
    </row>
    <row r="5432" spans="1:26" ht="14.25" customHeight="1"/>
    <row r="5433" spans="1:26" ht="14.25" customHeight="1"/>
    <row r="5434" spans="1:26" ht="14.25" customHeight="1"/>
    <row r="5435" spans="1:26" ht="14.25" customHeight="1"/>
    <row r="5436" spans="1:26" ht="14.25" customHeight="1"/>
    <row r="5437" spans="1:26" ht="14.25" customHeight="1"/>
    <row r="5438" spans="1:26" ht="14.25" customHeight="1"/>
    <row r="5439" spans="1:26" ht="14.25" customHeight="1">
      <c r="A5439" s="80" t="s">
        <v>0</v>
      </c>
      <c r="B5439" s="81"/>
      <c r="C5439" s="81"/>
      <c r="D5439" s="81"/>
      <c r="E5439" s="81"/>
      <c r="F5439" s="81"/>
      <c r="G5439" s="81"/>
      <c r="H5439" s="82"/>
      <c r="I5439" s="32"/>
      <c r="J5439" s="32"/>
      <c r="K5439" s="32"/>
      <c r="L5439" s="32"/>
      <c r="M5439" s="32"/>
      <c r="N5439" s="32"/>
      <c r="O5439" s="32"/>
      <c r="P5439" s="32"/>
      <c r="Q5439" s="32"/>
      <c r="R5439" s="32"/>
      <c r="S5439" s="32"/>
      <c r="T5439" s="32"/>
      <c r="U5439" s="32"/>
      <c r="V5439" s="32"/>
      <c r="W5439" s="32"/>
      <c r="X5439" s="32"/>
      <c r="Y5439" s="32"/>
      <c r="Z5439" s="32"/>
    </row>
    <row r="5440" spans="1:26" ht="14.25" customHeight="1">
      <c r="A5440" s="80" t="s">
        <v>1297</v>
      </c>
      <c r="B5440" s="81"/>
      <c r="C5440" s="81"/>
      <c r="D5440" s="81"/>
      <c r="E5440" s="81"/>
      <c r="F5440" s="81"/>
      <c r="G5440" s="81"/>
      <c r="H5440" s="82"/>
      <c r="I5440" s="32"/>
      <c r="J5440" s="32"/>
      <c r="K5440" s="32"/>
      <c r="L5440" s="32"/>
      <c r="M5440" s="32"/>
      <c r="N5440" s="32"/>
      <c r="O5440" s="32"/>
      <c r="P5440" s="32"/>
      <c r="Q5440" s="32"/>
      <c r="R5440" s="32"/>
      <c r="S5440" s="32"/>
      <c r="T5440" s="32"/>
      <c r="U5440" s="32"/>
      <c r="V5440" s="32"/>
      <c r="W5440" s="32"/>
      <c r="X5440" s="32"/>
      <c r="Y5440" s="32"/>
      <c r="Z5440" s="32"/>
    </row>
    <row r="5441" spans="1:26" ht="14.25" customHeight="1">
      <c r="A5441" s="33" t="s">
        <v>2</v>
      </c>
      <c r="B5441" s="33" t="s">
        <v>3</v>
      </c>
      <c r="C5441" s="33" t="s">
        <v>4</v>
      </c>
      <c r="D5441" s="33" t="s">
        <v>5</v>
      </c>
      <c r="E5441" s="33" t="s">
        <v>6</v>
      </c>
      <c r="F5441" s="34" t="s">
        <v>7</v>
      </c>
      <c r="G5441" s="33" t="s">
        <v>8</v>
      </c>
      <c r="H5441" s="35"/>
      <c r="I5441" s="32"/>
      <c r="J5441" s="32"/>
      <c r="K5441" s="32"/>
      <c r="L5441" s="32"/>
      <c r="M5441" s="32"/>
      <c r="N5441" s="32"/>
      <c r="O5441" s="32"/>
      <c r="P5441" s="32"/>
      <c r="Q5441" s="32"/>
      <c r="R5441" s="32"/>
      <c r="S5441" s="32"/>
      <c r="T5441" s="32"/>
      <c r="U5441" s="32"/>
      <c r="V5441" s="32"/>
      <c r="W5441" s="32"/>
      <c r="X5441" s="32"/>
      <c r="Y5441" s="32"/>
      <c r="Z5441" s="32"/>
    </row>
    <row r="5442" spans="1:26" ht="14.25" customHeight="1">
      <c r="A5442" s="36">
        <v>1</v>
      </c>
      <c r="B5442" s="18" t="s">
        <v>278</v>
      </c>
      <c r="C5442" s="5" t="s">
        <v>1298</v>
      </c>
      <c r="D5442" s="18" t="s">
        <v>11</v>
      </c>
      <c r="E5442" s="18">
        <v>1.8</v>
      </c>
      <c r="F5442" s="6">
        <v>293000</v>
      </c>
      <c r="G5442" s="37">
        <f t="shared" ref="G5442:G5444" si="343">IFERROR(E5442*F5442,0)</f>
        <v>527400</v>
      </c>
      <c r="H5442" s="38"/>
      <c r="I5442" s="32"/>
      <c r="J5442" s="32"/>
      <c r="K5442" s="32"/>
      <c r="L5442" s="32"/>
      <c r="M5442" s="32"/>
      <c r="N5442" s="32"/>
      <c r="O5442" s="32"/>
      <c r="P5442" s="32"/>
      <c r="Q5442" s="32"/>
      <c r="R5442" s="32"/>
      <c r="S5442" s="32"/>
      <c r="T5442" s="32"/>
      <c r="U5442" s="32"/>
      <c r="V5442" s="32"/>
      <c r="W5442" s="32"/>
      <c r="X5442" s="32"/>
      <c r="Y5442" s="32"/>
      <c r="Z5442" s="32"/>
    </row>
    <row r="5443" spans="1:26" ht="14.25" customHeight="1">
      <c r="A5443" s="36">
        <v>2</v>
      </c>
      <c r="B5443" s="12" t="s">
        <v>33</v>
      </c>
      <c r="C5443" s="10" t="s">
        <v>1299</v>
      </c>
      <c r="D5443" s="12" t="s">
        <v>233</v>
      </c>
      <c r="E5443" s="12">
        <v>1.64</v>
      </c>
      <c r="F5443" s="43">
        <v>435000</v>
      </c>
      <c r="G5443" s="37">
        <f t="shared" si="343"/>
        <v>713400</v>
      </c>
      <c r="H5443" s="38"/>
      <c r="I5443" s="32"/>
      <c r="J5443" s="32"/>
      <c r="K5443" s="32"/>
      <c r="L5443" s="32"/>
      <c r="M5443" s="32"/>
      <c r="N5443" s="32"/>
      <c r="O5443" s="32"/>
      <c r="P5443" s="32"/>
      <c r="Q5443" s="32"/>
      <c r="R5443" s="32"/>
      <c r="S5443" s="32"/>
      <c r="T5443" s="32"/>
      <c r="U5443" s="32"/>
      <c r="V5443" s="32"/>
      <c r="W5443" s="32"/>
      <c r="X5443" s="32"/>
      <c r="Y5443" s="32"/>
      <c r="Z5443" s="32"/>
    </row>
    <row r="5444" spans="1:26" ht="14.25" customHeight="1">
      <c r="A5444" s="36">
        <v>4</v>
      </c>
      <c r="B5444" s="39" t="s">
        <v>17</v>
      </c>
      <c r="C5444" s="38"/>
      <c r="D5444" s="38"/>
      <c r="E5444" s="38"/>
      <c r="F5444" s="60"/>
      <c r="G5444" s="37">
        <f t="shared" si="343"/>
        <v>0</v>
      </c>
      <c r="H5444" s="38"/>
      <c r="I5444" s="32"/>
      <c r="J5444" s="32"/>
      <c r="K5444" s="32"/>
      <c r="L5444" s="32"/>
      <c r="M5444" s="32"/>
      <c r="N5444" s="32"/>
      <c r="O5444" s="32"/>
      <c r="P5444" s="32"/>
      <c r="Q5444" s="32"/>
      <c r="R5444" s="32"/>
      <c r="S5444" s="32"/>
      <c r="T5444" s="32"/>
      <c r="U5444" s="32"/>
      <c r="V5444" s="32"/>
      <c r="W5444" s="32"/>
      <c r="X5444" s="32"/>
      <c r="Y5444" s="32"/>
      <c r="Z5444" s="32"/>
    </row>
    <row r="5445" spans="1:26" ht="14.25" customHeight="1">
      <c r="A5445" s="83" t="s">
        <v>18</v>
      </c>
      <c r="B5445" s="81"/>
      <c r="C5445" s="81"/>
      <c r="D5445" s="81"/>
      <c r="E5445" s="81"/>
      <c r="F5445" s="81"/>
      <c r="G5445" s="82"/>
      <c r="H5445" s="41">
        <f>SUM(G5442:G5444)</f>
        <v>1240800</v>
      </c>
      <c r="I5445" s="32"/>
      <c r="J5445" s="32"/>
      <c r="K5445" s="32"/>
      <c r="L5445" s="32"/>
      <c r="M5445" s="32"/>
      <c r="N5445" s="32"/>
      <c r="O5445" s="32"/>
      <c r="P5445" s="32"/>
      <c r="Q5445" s="32"/>
      <c r="R5445" s="32"/>
      <c r="S5445" s="32"/>
      <c r="T5445" s="32"/>
      <c r="U5445" s="32"/>
      <c r="V5445" s="32"/>
      <c r="W5445" s="32"/>
      <c r="X5445" s="32"/>
      <c r="Y5445" s="32"/>
      <c r="Z5445" s="32"/>
    </row>
    <row r="5446" spans="1:26" ht="14.25" customHeight="1">
      <c r="A5446" s="83" t="s">
        <v>19</v>
      </c>
      <c r="B5446" s="81"/>
      <c r="C5446" s="81"/>
      <c r="D5446" s="81"/>
      <c r="E5446" s="81"/>
      <c r="F5446" s="81"/>
      <c r="G5446" s="82"/>
      <c r="H5446" s="41">
        <f>MAX(0,H5445-648000)</f>
        <v>592800</v>
      </c>
      <c r="I5446" s="32"/>
      <c r="J5446" s="32"/>
      <c r="K5446" s="32"/>
      <c r="L5446" s="32"/>
      <c r="M5446" s="32"/>
      <c r="N5446" s="32"/>
      <c r="O5446" s="32"/>
      <c r="P5446" s="32"/>
      <c r="Q5446" s="32"/>
      <c r="R5446" s="32"/>
      <c r="S5446" s="32"/>
      <c r="T5446" s="32"/>
      <c r="U5446" s="32"/>
      <c r="V5446" s="32"/>
      <c r="W5446" s="32"/>
      <c r="X5446" s="32"/>
      <c r="Y5446" s="32"/>
      <c r="Z5446" s="32"/>
    </row>
    <row r="5447" spans="1:26" ht="14.25" customHeight="1">
      <c r="A5447" s="84" t="s">
        <v>20</v>
      </c>
      <c r="B5447" s="81"/>
      <c r="C5447" s="81"/>
      <c r="D5447" s="81"/>
      <c r="E5447" s="81"/>
      <c r="F5447" s="81"/>
      <c r="G5447" s="82"/>
      <c r="H5447" s="42">
        <v>649000</v>
      </c>
      <c r="I5447" s="32"/>
      <c r="J5447" s="32"/>
      <c r="K5447" s="32"/>
      <c r="L5447" s="32"/>
      <c r="M5447" s="32"/>
      <c r="N5447" s="32"/>
      <c r="O5447" s="32"/>
      <c r="P5447" s="32"/>
      <c r="Q5447" s="32"/>
      <c r="R5447" s="32"/>
      <c r="S5447" s="32"/>
      <c r="T5447" s="32"/>
      <c r="U5447" s="32"/>
      <c r="V5447" s="32"/>
      <c r="W5447" s="32"/>
      <c r="X5447" s="32"/>
      <c r="Y5447" s="32"/>
      <c r="Z5447" s="32"/>
    </row>
    <row r="5448" spans="1:26" ht="14.25" customHeight="1">
      <c r="A5448" s="80"/>
      <c r="B5448" s="81"/>
      <c r="C5448" s="81"/>
      <c r="D5448" s="81"/>
      <c r="E5448" s="81"/>
      <c r="F5448" s="81"/>
      <c r="G5448" s="81"/>
      <c r="H5448" s="82"/>
      <c r="I5448" s="32"/>
      <c r="J5448" s="32"/>
      <c r="K5448" s="32"/>
      <c r="L5448" s="32"/>
      <c r="M5448" s="32"/>
      <c r="N5448" s="32"/>
      <c r="O5448" s="32"/>
      <c r="P5448" s="32"/>
      <c r="Q5448" s="32"/>
      <c r="R5448" s="32"/>
      <c r="S5448" s="32"/>
      <c r="T5448" s="32"/>
      <c r="U5448" s="32"/>
      <c r="V5448" s="32"/>
      <c r="W5448" s="32"/>
      <c r="X5448" s="32"/>
      <c r="Y5448" s="32"/>
      <c r="Z5448" s="32"/>
    </row>
    <row r="5449" spans="1:26" ht="14.25" customHeight="1"/>
    <row r="5450" spans="1:26" ht="14.25" customHeight="1"/>
    <row r="5451" spans="1:26" ht="14.25" customHeight="1"/>
    <row r="5452" spans="1:26" ht="14.25" customHeight="1"/>
    <row r="5453" spans="1:26" ht="14.25" customHeight="1"/>
    <row r="5454" spans="1:26" ht="14.25" customHeight="1"/>
    <row r="5455" spans="1:26" ht="14.25" customHeight="1"/>
    <row r="5456" spans="1:26" ht="14.25" customHeight="1"/>
    <row r="5457" spans="1:26" ht="14.25" customHeight="1"/>
    <row r="5458" spans="1:26" ht="14.25" customHeight="1">
      <c r="A5458" s="80" t="s">
        <v>0</v>
      </c>
      <c r="B5458" s="81"/>
      <c r="C5458" s="81"/>
      <c r="D5458" s="81"/>
      <c r="E5458" s="81"/>
      <c r="F5458" s="81"/>
      <c r="G5458" s="81"/>
      <c r="H5458" s="82"/>
      <c r="I5458" s="32"/>
      <c r="J5458" s="32"/>
      <c r="K5458" s="32"/>
      <c r="L5458" s="32"/>
      <c r="M5458" s="32"/>
      <c r="N5458" s="32"/>
      <c r="O5458" s="32"/>
      <c r="P5458" s="32"/>
      <c r="Q5458" s="32"/>
      <c r="R5458" s="32"/>
      <c r="S5458" s="32"/>
      <c r="T5458" s="32"/>
      <c r="U5458" s="32"/>
      <c r="V5458" s="32"/>
      <c r="W5458" s="32"/>
      <c r="X5458" s="32"/>
      <c r="Y5458" s="32"/>
      <c r="Z5458" s="32"/>
    </row>
    <row r="5459" spans="1:26" ht="14.25" customHeight="1">
      <c r="A5459" s="80" t="s">
        <v>1300</v>
      </c>
      <c r="B5459" s="81"/>
      <c r="C5459" s="81"/>
      <c r="D5459" s="81"/>
      <c r="E5459" s="81"/>
      <c r="F5459" s="81"/>
      <c r="G5459" s="81"/>
      <c r="H5459" s="82"/>
      <c r="I5459" s="32"/>
      <c r="J5459" s="32"/>
      <c r="K5459" s="32"/>
      <c r="L5459" s="32"/>
      <c r="M5459" s="32"/>
      <c r="N5459" s="32"/>
      <c r="O5459" s="32"/>
      <c r="P5459" s="32"/>
      <c r="Q5459" s="32"/>
      <c r="R5459" s="32"/>
      <c r="S5459" s="32"/>
      <c r="T5459" s="32"/>
      <c r="U5459" s="32"/>
      <c r="V5459" s="32"/>
      <c r="W5459" s="32"/>
      <c r="X5459" s="32"/>
      <c r="Y5459" s="32"/>
      <c r="Z5459" s="32"/>
    </row>
    <row r="5460" spans="1:26" ht="14.25" customHeight="1">
      <c r="A5460" s="33" t="s">
        <v>2</v>
      </c>
      <c r="B5460" s="33" t="s">
        <v>3</v>
      </c>
      <c r="C5460" s="33" t="s">
        <v>4</v>
      </c>
      <c r="D5460" s="33" t="s">
        <v>5</v>
      </c>
      <c r="E5460" s="33" t="s">
        <v>6</v>
      </c>
      <c r="F5460" s="34" t="s">
        <v>7</v>
      </c>
      <c r="G5460" s="33" t="s">
        <v>8</v>
      </c>
      <c r="H5460" s="35"/>
      <c r="I5460" s="32"/>
      <c r="J5460" s="32"/>
      <c r="K5460" s="32"/>
      <c r="L5460" s="32"/>
      <c r="M5460" s="32"/>
      <c r="N5460" s="32"/>
      <c r="O5460" s="32"/>
      <c r="P5460" s="32"/>
      <c r="Q5460" s="32"/>
      <c r="R5460" s="32"/>
      <c r="S5460" s="32"/>
      <c r="T5460" s="32"/>
      <c r="U5460" s="32"/>
      <c r="V5460" s="32"/>
      <c r="W5460" s="32"/>
      <c r="X5460" s="32"/>
      <c r="Y5460" s="32"/>
      <c r="Z5460" s="32"/>
    </row>
    <row r="5461" spans="1:26" ht="14.25" customHeight="1">
      <c r="A5461" s="36">
        <v>1</v>
      </c>
      <c r="B5461" s="18" t="s">
        <v>26</v>
      </c>
      <c r="C5461" s="5" t="s">
        <v>1301</v>
      </c>
      <c r="D5461" s="18" t="s">
        <v>11</v>
      </c>
      <c r="E5461" s="18">
        <v>0.63</v>
      </c>
      <c r="F5461" s="6">
        <v>293000</v>
      </c>
      <c r="G5461" s="37">
        <f t="shared" ref="G5461:G5463" si="344">IFERROR(E5461*F5461,0)</f>
        <v>184590</v>
      </c>
      <c r="H5461" s="38"/>
      <c r="I5461" s="32"/>
      <c r="J5461" s="32"/>
      <c r="K5461" s="32"/>
      <c r="L5461" s="32"/>
      <c r="M5461" s="32"/>
      <c r="N5461" s="32"/>
      <c r="O5461" s="32"/>
      <c r="P5461" s="32"/>
      <c r="Q5461" s="32"/>
      <c r="R5461" s="32"/>
      <c r="S5461" s="32"/>
      <c r="T5461" s="32"/>
      <c r="U5461" s="32"/>
      <c r="V5461" s="32"/>
      <c r="W5461" s="32"/>
      <c r="X5461" s="32"/>
      <c r="Y5461" s="32"/>
      <c r="Z5461" s="32"/>
    </row>
    <row r="5462" spans="1:26" ht="14.25" customHeight="1">
      <c r="A5462" s="36">
        <v>2</v>
      </c>
      <c r="B5462" s="12" t="s">
        <v>1302</v>
      </c>
      <c r="C5462" s="10" t="s">
        <v>1303</v>
      </c>
      <c r="D5462" s="12" t="s">
        <v>233</v>
      </c>
      <c r="E5462" s="12">
        <v>2.2999999999999998</v>
      </c>
      <c r="F5462" s="43">
        <v>435000</v>
      </c>
      <c r="G5462" s="37">
        <f t="shared" si="344"/>
        <v>1000499.9999999999</v>
      </c>
      <c r="H5462" s="38"/>
      <c r="I5462" s="32"/>
      <c r="J5462" s="32"/>
      <c r="K5462" s="32"/>
      <c r="L5462" s="32"/>
      <c r="M5462" s="32"/>
      <c r="N5462" s="32"/>
      <c r="O5462" s="32"/>
      <c r="P5462" s="32"/>
      <c r="Q5462" s="32"/>
      <c r="R5462" s="32"/>
      <c r="S5462" s="32"/>
      <c r="T5462" s="32"/>
      <c r="U5462" s="32"/>
      <c r="V5462" s="32"/>
      <c r="W5462" s="32"/>
      <c r="X5462" s="32"/>
      <c r="Y5462" s="32"/>
      <c r="Z5462" s="32"/>
    </row>
    <row r="5463" spans="1:26" ht="14.25" customHeight="1">
      <c r="A5463" s="36">
        <v>4</v>
      </c>
      <c r="B5463" s="39" t="s">
        <v>17</v>
      </c>
      <c r="C5463" s="38"/>
      <c r="D5463" s="38"/>
      <c r="E5463" s="38"/>
      <c r="F5463" s="60"/>
      <c r="G5463" s="37">
        <f t="shared" si="344"/>
        <v>0</v>
      </c>
      <c r="H5463" s="38"/>
      <c r="I5463" s="32"/>
      <c r="J5463" s="32"/>
      <c r="K5463" s="32"/>
      <c r="L5463" s="32"/>
      <c r="M5463" s="32"/>
      <c r="N5463" s="32"/>
      <c r="O5463" s="32"/>
      <c r="P5463" s="32"/>
      <c r="Q5463" s="32"/>
      <c r="R5463" s="32"/>
      <c r="S5463" s="32"/>
      <c r="T5463" s="32"/>
      <c r="U5463" s="32"/>
      <c r="V5463" s="32"/>
      <c r="W5463" s="32"/>
      <c r="X5463" s="32"/>
      <c r="Y5463" s="32"/>
      <c r="Z5463" s="32"/>
    </row>
    <row r="5464" spans="1:26" ht="14.25" customHeight="1">
      <c r="A5464" s="83" t="s">
        <v>18</v>
      </c>
      <c r="B5464" s="81"/>
      <c r="C5464" s="81"/>
      <c r="D5464" s="81"/>
      <c r="E5464" s="81"/>
      <c r="F5464" s="81"/>
      <c r="G5464" s="82"/>
      <c r="H5464" s="41">
        <f>SUM(G5461:G5463)</f>
        <v>1185090</v>
      </c>
      <c r="I5464" s="32"/>
      <c r="J5464" s="32"/>
      <c r="K5464" s="32"/>
      <c r="L5464" s="32"/>
      <c r="M5464" s="32"/>
      <c r="N5464" s="32"/>
      <c r="O5464" s="32"/>
      <c r="P5464" s="32"/>
      <c r="Q5464" s="32"/>
      <c r="R5464" s="32"/>
      <c r="S5464" s="32"/>
      <c r="T5464" s="32"/>
      <c r="U5464" s="32"/>
      <c r="V5464" s="32"/>
      <c r="W5464" s="32"/>
      <c r="X5464" s="32"/>
      <c r="Y5464" s="32"/>
      <c r="Z5464" s="32"/>
    </row>
    <row r="5465" spans="1:26" ht="14.25" customHeight="1">
      <c r="A5465" s="83" t="s">
        <v>19</v>
      </c>
      <c r="B5465" s="81"/>
      <c r="C5465" s="81"/>
      <c r="D5465" s="81"/>
      <c r="E5465" s="81"/>
      <c r="F5465" s="81"/>
      <c r="G5465" s="82"/>
      <c r="H5465" s="41">
        <f>MAX(0,H5464-648000)</f>
        <v>537090</v>
      </c>
      <c r="I5465" s="32"/>
      <c r="J5465" s="32"/>
      <c r="K5465" s="32"/>
      <c r="L5465" s="32"/>
      <c r="M5465" s="32"/>
      <c r="N5465" s="32"/>
      <c r="O5465" s="32"/>
      <c r="P5465" s="32"/>
      <c r="Q5465" s="32"/>
      <c r="R5465" s="32"/>
      <c r="S5465" s="32"/>
      <c r="T5465" s="32"/>
      <c r="U5465" s="32"/>
      <c r="V5465" s="32"/>
      <c r="W5465" s="32"/>
      <c r="X5465" s="32"/>
      <c r="Y5465" s="32"/>
      <c r="Z5465" s="32"/>
    </row>
    <row r="5466" spans="1:26" ht="14.25" customHeight="1">
      <c r="A5466" s="84" t="s">
        <v>20</v>
      </c>
      <c r="B5466" s="81"/>
      <c r="C5466" s="81"/>
      <c r="D5466" s="81"/>
      <c r="E5466" s="81"/>
      <c r="F5466" s="81"/>
      <c r="G5466" s="82"/>
      <c r="H5466" s="42">
        <v>649000</v>
      </c>
      <c r="I5466" s="32"/>
      <c r="J5466" s="32"/>
      <c r="K5466" s="32"/>
      <c r="L5466" s="32"/>
      <c r="M5466" s="32"/>
      <c r="N5466" s="32"/>
      <c r="O5466" s="32"/>
      <c r="P5466" s="32"/>
      <c r="Q5466" s="32"/>
      <c r="R5466" s="32"/>
      <c r="S5466" s="32"/>
      <c r="T5466" s="32"/>
      <c r="U5466" s="32"/>
      <c r="V5466" s="32"/>
      <c r="W5466" s="32"/>
      <c r="X5466" s="32"/>
      <c r="Y5466" s="32"/>
      <c r="Z5466" s="32"/>
    </row>
    <row r="5467" spans="1:26" ht="14.25" customHeight="1">
      <c r="A5467" s="80"/>
      <c r="B5467" s="81"/>
      <c r="C5467" s="81"/>
      <c r="D5467" s="81"/>
      <c r="E5467" s="81"/>
      <c r="F5467" s="81"/>
      <c r="G5467" s="81"/>
      <c r="H5467" s="82"/>
      <c r="I5467" s="32"/>
      <c r="J5467" s="32"/>
      <c r="K5467" s="32"/>
      <c r="L5467" s="32"/>
      <c r="M5467" s="32"/>
      <c r="N5467" s="32"/>
      <c r="O5467" s="32"/>
      <c r="P5467" s="32"/>
      <c r="Q5467" s="32"/>
      <c r="R5467" s="32"/>
      <c r="S5467" s="32"/>
      <c r="T5467" s="32"/>
      <c r="U5467" s="32"/>
      <c r="V5467" s="32"/>
      <c r="W5467" s="32"/>
      <c r="X5467" s="32"/>
      <c r="Y5467" s="32"/>
      <c r="Z5467" s="32"/>
    </row>
    <row r="5468" spans="1:26" ht="14.25" customHeight="1"/>
    <row r="5469" spans="1:26" ht="14.25" customHeight="1"/>
    <row r="5470" spans="1:26" ht="14.25" customHeight="1"/>
    <row r="5471" spans="1:26" ht="14.25" customHeight="1"/>
    <row r="5472" spans="1:26" ht="14.25" customHeight="1"/>
    <row r="5473" spans="1:26" ht="14.25" customHeight="1"/>
    <row r="5474" spans="1:26" ht="14.25" customHeight="1">
      <c r="A5474" s="80" t="s">
        <v>0</v>
      </c>
      <c r="B5474" s="81"/>
      <c r="C5474" s="81"/>
      <c r="D5474" s="81"/>
      <c r="E5474" s="81"/>
      <c r="F5474" s="81"/>
      <c r="G5474" s="81"/>
      <c r="H5474" s="82"/>
      <c r="I5474" s="32"/>
      <c r="J5474" s="32"/>
      <c r="K5474" s="32"/>
      <c r="L5474" s="32"/>
      <c r="M5474" s="32"/>
      <c r="N5474" s="32"/>
      <c r="O5474" s="32"/>
      <c r="P5474" s="32"/>
      <c r="Q5474" s="32"/>
      <c r="R5474" s="32"/>
      <c r="S5474" s="32"/>
      <c r="T5474" s="32"/>
      <c r="U5474" s="32"/>
      <c r="V5474" s="32"/>
      <c r="W5474" s="32"/>
      <c r="X5474" s="32"/>
      <c r="Y5474" s="32"/>
      <c r="Z5474" s="32"/>
    </row>
    <row r="5475" spans="1:26" ht="14.25" customHeight="1">
      <c r="A5475" s="80" t="s">
        <v>1304</v>
      </c>
      <c r="B5475" s="81"/>
      <c r="C5475" s="81"/>
      <c r="D5475" s="81"/>
      <c r="E5475" s="81"/>
      <c r="F5475" s="81"/>
      <c r="G5475" s="81"/>
      <c r="H5475" s="82"/>
      <c r="I5475" s="32"/>
      <c r="J5475" s="32"/>
      <c r="K5475" s="32"/>
      <c r="L5475" s="32"/>
      <c r="M5475" s="32"/>
      <c r="N5475" s="32"/>
      <c r="O5475" s="32"/>
      <c r="P5475" s="32"/>
      <c r="Q5475" s="32"/>
      <c r="R5475" s="32"/>
      <c r="S5475" s="32"/>
      <c r="T5475" s="32"/>
      <c r="U5475" s="32"/>
      <c r="V5475" s="32"/>
      <c r="W5475" s="32"/>
      <c r="X5475" s="32"/>
      <c r="Y5475" s="32"/>
      <c r="Z5475" s="32"/>
    </row>
    <row r="5476" spans="1:26" ht="14.25" customHeight="1">
      <c r="A5476" s="33" t="s">
        <v>2</v>
      </c>
      <c r="B5476" s="33" t="s">
        <v>3</v>
      </c>
      <c r="C5476" s="33" t="s">
        <v>4</v>
      </c>
      <c r="D5476" s="33" t="s">
        <v>5</v>
      </c>
      <c r="E5476" s="33" t="s">
        <v>6</v>
      </c>
      <c r="F5476" s="34" t="s">
        <v>7</v>
      </c>
      <c r="G5476" s="33" t="s">
        <v>8</v>
      </c>
      <c r="H5476" s="35"/>
      <c r="I5476" s="32"/>
      <c r="J5476" s="32"/>
      <c r="K5476" s="32"/>
      <c r="L5476" s="32"/>
      <c r="M5476" s="32"/>
      <c r="N5476" s="32"/>
      <c r="O5476" s="32"/>
      <c r="P5476" s="32"/>
      <c r="Q5476" s="32"/>
      <c r="R5476" s="32"/>
      <c r="S5476" s="32"/>
      <c r="T5476" s="32"/>
      <c r="U5476" s="32"/>
      <c r="V5476" s="32"/>
      <c r="W5476" s="32"/>
      <c r="X5476" s="32"/>
      <c r="Y5476" s="32"/>
      <c r="Z5476" s="32"/>
    </row>
    <row r="5477" spans="1:26" ht="14.25" customHeight="1">
      <c r="A5477" s="36">
        <v>1</v>
      </c>
      <c r="B5477" s="18" t="s">
        <v>629</v>
      </c>
      <c r="C5477" s="5" t="s">
        <v>1305</v>
      </c>
      <c r="D5477" s="18" t="s">
        <v>11</v>
      </c>
      <c r="E5477" s="18">
        <v>2</v>
      </c>
      <c r="F5477" s="6">
        <v>293000</v>
      </c>
      <c r="G5477" s="37">
        <f t="shared" ref="G5477:G5479" si="345">IFERROR(E5477*F5477,0)</f>
        <v>586000</v>
      </c>
      <c r="H5477" s="38"/>
      <c r="I5477" s="32"/>
      <c r="J5477" s="32"/>
      <c r="K5477" s="32"/>
      <c r="L5477" s="32"/>
      <c r="M5477" s="32"/>
      <c r="N5477" s="32"/>
      <c r="O5477" s="32"/>
      <c r="P5477" s="32"/>
      <c r="Q5477" s="32"/>
      <c r="R5477" s="32"/>
      <c r="S5477" s="32"/>
      <c r="T5477" s="32"/>
      <c r="U5477" s="32"/>
      <c r="V5477" s="32"/>
      <c r="W5477" s="32"/>
      <c r="X5477" s="32"/>
      <c r="Y5477" s="32"/>
      <c r="Z5477" s="32"/>
    </row>
    <row r="5478" spans="1:26" ht="14.25" customHeight="1">
      <c r="A5478" s="36">
        <v>2</v>
      </c>
      <c r="B5478" s="12" t="s">
        <v>166</v>
      </c>
      <c r="C5478" s="10" t="s">
        <v>1306</v>
      </c>
      <c r="D5478" s="12" t="s">
        <v>233</v>
      </c>
      <c r="E5478" s="12">
        <v>1.45</v>
      </c>
      <c r="F5478" s="43">
        <v>435000</v>
      </c>
      <c r="G5478" s="37">
        <f t="shared" si="345"/>
        <v>630750</v>
      </c>
      <c r="H5478" s="38"/>
      <c r="I5478" s="32"/>
      <c r="J5478" s="32"/>
      <c r="K5478" s="32"/>
      <c r="L5478" s="32"/>
      <c r="M5478" s="32"/>
      <c r="N5478" s="32"/>
      <c r="O5478" s="32"/>
      <c r="P5478" s="32"/>
      <c r="Q5478" s="32"/>
      <c r="R5478" s="32"/>
      <c r="S5478" s="32"/>
      <c r="T5478" s="32"/>
      <c r="U5478" s="32"/>
      <c r="V5478" s="32"/>
      <c r="W5478" s="32"/>
      <c r="X5478" s="32"/>
      <c r="Y5478" s="32"/>
      <c r="Z5478" s="32"/>
    </row>
    <row r="5479" spans="1:26" ht="14.25" customHeight="1">
      <c r="A5479" s="36">
        <v>4</v>
      </c>
      <c r="B5479" s="39" t="s">
        <v>17</v>
      </c>
      <c r="C5479" s="38"/>
      <c r="D5479" s="38"/>
      <c r="E5479" s="38"/>
      <c r="F5479" s="60"/>
      <c r="G5479" s="37">
        <f t="shared" si="345"/>
        <v>0</v>
      </c>
      <c r="H5479" s="38"/>
      <c r="I5479" s="32"/>
      <c r="J5479" s="32"/>
      <c r="K5479" s="32"/>
      <c r="L5479" s="32"/>
      <c r="M5479" s="32"/>
      <c r="N5479" s="32"/>
      <c r="O5479" s="32"/>
      <c r="P5479" s="32"/>
      <c r="Q5479" s="32"/>
      <c r="R5479" s="32"/>
      <c r="S5479" s="32"/>
      <c r="T5479" s="32"/>
      <c r="U5479" s="32"/>
      <c r="V5479" s="32"/>
      <c r="W5479" s="32"/>
      <c r="X5479" s="32"/>
      <c r="Y5479" s="32"/>
      <c r="Z5479" s="32"/>
    </row>
    <row r="5480" spans="1:26" ht="14.25" customHeight="1">
      <c r="A5480" s="83" t="s">
        <v>18</v>
      </c>
      <c r="B5480" s="81"/>
      <c r="C5480" s="81"/>
      <c r="D5480" s="81"/>
      <c r="E5480" s="81"/>
      <c r="F5480" s="81"/>
      <c r="G5480" s="82"/>
      <c r="H5480" s="41">
        <f>SUM(G5477:G5479)</f>
        <v>1216750</v>
      </c>
      <c r="I5480" s="32"/>
      <c r="J5480" s="32"/>
      <c r="K5480" s="32"/>
      <c r="L5480" s="32"/>
      <c r="M5480" s="32"/>
      <c r="N5480" s="32"/>
      <c r="O5480" s="32"/>
      <c r="P5480" s="32"/>
      <c r="Q5480" s="32"/>
      <c r="R5480" s="32"/>
      <c r="S5480" s="32"/>
      <c r="T5480" s="32"/>
      <c r="U5480" s="32"/>
      <c r="V5480" s="32"/>
      <c r="W5480" s="32"/>
      <c r="X5480" s="32"/>
      <c r="Y5480" s="32"/>
      <c r="Z5480" s="32"/>
    </row>
    <row r="5481" spans="1:26" ht="14.25" customHeight="1">
      <c r="A5481" s="83" t="s">
        <v>19</v>
      </c>
      <c r="B5481" s="81"/>
      <c r="C5481" s="81"/>
      <c r="D5481" s="81"/>
      <c r="E5481" s="81"/>
      <c r="F5481" s="81"/>
      <c r="G5481" s="82"/>
      <c r="H5481" s="41">
        <f>MAX(0,H5480-648000)</f>
        <v>568750</v>
      </c>
      <c r="I5481" s="32"/>
      <c r="J5481" s="32"/>
      <c r="K5481" s="32"/>
      <c r="L5481" s="32"/>
      <c r="M5481" s="32"/>
      <c r="N5481" s="32"/>
      <c r="O5481" s="32"/>
      <c r="P5481" s="32"/>
      <c r="Q5481" s="32"/>
      <c r="R5481" s="32"/>
      <c r="S5481" s="32"/>
      <c r="T5481" s="32"/>
      <c r="U5481" s="32"/>
      <c r="V5481" s="32"/>
      <c r="W5481" s="32"/>
      <c r="X5481" s="32"/>
      <c r="Y5481" s="32"/>
      <c r="Z5481" s="32"/>
    </row>
    <row r="5482" spans="1:26" ht="14.25" customHeight="1">
      <c r="A5482" s="84" t="s">
        <v>20</v>
      </c>
      <c r="B5482" s="81"/>
      <c r="C5482" s="81"/>
      <c r="D5482" s="81"/>
      <c r="E5482" s="81"/>
      <c r="F5482" s="81"/>
      <c r="G5482" s="82"/>
      <c r="H5482" s="42">
        <v>649000</v>
      </c>
      <c r="I5482" s="32"/>
      <c r="J5482" s="32"/>
      <c r="K5482" s="32"/>
      <c r="L5482" s="32"/>
      <c r="M5482" s="32"/>
      <c r="N5482" s="32"/>
      <c r="O5482" s="32"/>
      <c r="P5482" s="32"/>
      <c r="Q5482" s="32"/>
      <c r="R5482" s="32"/>
      <c r="S5482" s="32"/>
      <c r="T5482" s="32"/>
      <c r="U5482" s="32"/>
      <c r="V5482" s="32"/>
      <c r="W5482" s="32"/>
      <c r="X5482" s="32"/>
      <c r="Y5482" s="32"/>
      <c r="Z5482" s="32"/>
    </row>
    <row r="5483" spans="1:26" ht="14.25" customHeight="1">
      <c r="A5483" s="80"/>
      <c r="B5483" s="81"/>
      <c r="C5483" s="81"/>
      <c r="D5483" s="81"/>
      <c r="E5483" s="81"/>
      <c r="F5483" s="81"/>
      <c r="G5483" s="81"/>
      <c r="H5483" s="82"/>
      <c r="I5483" s="32"/>
      <c r="J5483" s="32"/>
      <c r="K5483" s="32"/>
      <c r="L5483" s="32"/>
      <c r="M5483" s="32"/>
      <c r="N5483" s="32"/>
      <c r="O5483" s="32"/>
      <c r="P5483" s="32"/>
      <c r="Q5483" s="32"/>
      <c r="R5483" s="32"/>
      <c r="S5483" s="32"/>
      <c r="T5483" s="32"/>
      <c r="U5483" s="32"/>
      <c r="V5483" s="32"/>
      <c r="W5483" s="32"/>
      <c r="X5483" s="32"/>
      <c r="Y5483" s="32"/>
      <c r="Z5483" s="32"/>
    </row>
    <row r="5484" spans="1:26" ht="14.25" customHeight="1"/>
    <row r="5485" spans="1:26" ht="14.25" customHeight="1"/>
    <row r="5486" spans="1:26" ht="14.25" customHeight="1"/>
    <row r="5487" spans="1:26" ht="14.25" customHeight="1"/>
    <row r="5488" spans="1:26" ht="14.25" customHeight="1"/>
    <row r="5489" spans="1:26" ht="14.25" customHeight="1">
      <c r="A5489" s="80" t="s">
        <v>0</v>
      </c>
      <c r="B5489" s="81"/>
      <c r="C5489" s="81"/>
      <c r="D5489" s="81"/>
      <c r="E5489" s="81"/>
      <c r="F5489" s="81"/>
      <c r="G5489" s="81"/>
      <c r="H5489" s="82"/>
      <c r="I5489" s="32"/>
      <c r="J5489" s="32"/>
      <c r="K5489" s="32"/>
      <c r="L5489" s="32"/>
      <c r="M5489" s="32"/>
      <c r="N5489" s="32"/>
      <c r="O5489" s="32"/>
      <c r="P5489" s="32"/>
      <c r="Q5489" s="32"/>
      <c r="R5489" s="32"/>
      <c r="S5489" s="32"/>
      <c r="T5489" s="32"/>
      <c r="U5489" s="32"/>
      <c r="V5489" s="32"/>
      <c r="W5489" s="32"/>
      <c r="X5489" s="32"/>
      <c r="Y5489" s="32"/>
      <c r="Z5489" s="32"/>
    </row>
    <row r="5490" spans="1:26" ht="14.25" customHeight="1">
      <c r="A5490" s="80" t="s">
        <v>1307</v>
      </c>
      <c r="B5490" s="81"/>
      <c r="C5490" s="81"/>
      <c r="D5490" s="81"/>
      <c r="E5490" s="81"/>
      <c r="F5490" s="81"/>
      <c r="G5490" s="81"/>
      <c r="H5490" s="82"/>
      <c r="I5490" s="32"/>
      <c r="J5490" s="32"/>
      <c r="K5490" s="32"/>
      <c r="L5490" s="32"/>
      <c r="M5490" s="32"/>
      <c r="N5490" s="32"/>
      <c r="O5490" s="32"/>
      <c r="P5490" s="32"/>
      <c r="Q5490" s="32"/>
      <c r="R5490" s="32"/>
      <c r="S5490" s="32"/>
      <c r="T5490" s="32"/>
      <c r="U5490" s="32"/>
      <c r="V5490" s="32"/>
      <c r="W5490" s="32"/>
      <c r="X5490" s="32"/>
      <c r="Y5490" s="32"/>
      <c r="Z5490" s="32"/>
    </row>
    <row r="5491" spans="1:26" ht="14.25" customHeight="1">
      <c r="A5491" s="33" t="s">
        <v>2</v>
      </c>
      <c r="B5491" s="33" t="s">
        <v>3</v>
      </c>
      <c r="C5491" s="33" t="s">
        <v>4</v>
      </c>
      <c r="D5491" s="33" t="s">
        <v>5</v>
      </c>
      <c r="E5491" s="33" t="s">
        <v>6</v>
      </c>
      <c r="F5491" s="34" t="s">
        <v>7</v>
      </c>
      <c r="G5491" s="33" t="s">
        <v>8</v>
      </c>
      <c r="H5491" s="35"/>
      <c r="I5491" s="32"/>
      <c r="J5491" s="32"/>
      <c r="K5491" s="32"/>
      <c r="L5491" s="32"/>
      <c r="M5491" s="32"/>
      <c r="N5491" s="32"/>
      <c r="O5491" s="32"/>
      <c r="P5491" s="32"/>
      <c r="Q5491" s="32"/>
      <c r="R5491" s="32"/>
      <c r="S5491" s="32"/>
      <c r="T5491" s="32"/>
      <c r="U5491" s="32"/>
      <c r="V5491" s="32"/>
      <c r="W5491" s="32"/>
      <c r="X5491" s="32"/>
      <c r="Y5491" s="32"/>
      <c r="Z5491" s="32"/>
    </row>
    <row r="5492" spans="1:26" ht="14.25" customHeight="1">
      <c r="A5492" s="36">
        <v>1</v>
      </c>
      <c r="B5492" s="18" t="s">
        <v>629</v>
      </c>
      <c r="C5492" s="5" t="s">
        <v>1308</v>
      </c>
      <c r="D5492" s="18" t="s">
        <v>11</v>
      </c>
      <c r="E5492" s="18">
        <v>1.67</v>
      </c>
      <c r="F5492" s="6">
        <v>293000</v>
      </c>
      <c r="G5492" s="37">
        <f t="shared" ref="G5492:G5494" si="346">IFERROR(E5492*F5492,0)</f>
        <v>489310</v>
      </c>
      <c r="H5492" s="38"/>
      <c r="I5492" s="32"/>
      <c r="J5492" s="32"/>
      <c r="K5492" s="32"/>
      <c r="L5492" s="32"/>
      <c r="M5492" s="32"/>
      <c r="N5492" s="32"/>
      <c r="O5492" s="32"/>
      <c r="P5492" s="32"/>
      <c r="Q5492" s="32"/>
      <c r="R5492" s="32"/>
      <c r="S5492" s="32"/>
      <c r="T5492" s="32"/>
      <c r="U5492" s="32"/>
      <c r="V5492" s="32"/>
      <c r="W5492" s="32"/>
      <c r="X5492" s="32"/>
      <c r="Y5492" s="32"/>
      <c r="Z5492" s="32"/>
    </row>
    <row r="5493" spans="1:26" ht="14.25" customHeight="1">
      <c r="A5493" s="36">
        <v>2</v>
      </c>
      <c r="B5493" s="12" t="s">
        <v>1309</v>
      </c>
      <c r="C5493" s="10" t="s">
        <v>1310</v>
      </c>
      <c r="D5493" s="12" t="s">
        <v>233</v>
      </c>
      <c r="E5493" s="12">
        <v>1.75</v>
      </c>
      <c r="F5493" s="43">
        <v>435000</v>
      </c>
      <c r="G5493" s="37">
        <f t="shared" si="346"/>
        <v>761250</v>
      </c>
      <c r="H5493" s="38"/>
      <c r="I5493" s="32"/>
      <c r="J5493" s="32"/>
      <c r="K5493" s="32"/>
      <c r="L5493" s="32"/>
      <c r="M5493" s="32"/>
      <c r="N5493" s="32"/>
      <c r="O5493" s="32"/>
      <c r="P5493" s="32"/>
      <c r="Q5493" s="32"/>
      <c r="R5493" s="32"/>
      <c r="S5493" s="32"/>
      <c r="T5493" s="32"/>
      <c r="U5493" s="32"/>
      <c r="V5493" s="32"/>
      <c r="W5493" s="32"/>
      <c r="X5493" s="32"/>
      <c r="Y5493" s="32"/>
      <c r="Z5493" s="32"/>
    </row>
    <row r="5494" spans="1:26" ht="14.25" customHeight="1">
      <c r="A5494" s="36">
        <v>4</v>
      </c>
      <c r="B5494" s="39" t="s">
        <v>17</v>
      </c>
      <c r="C5494" s="38"/>
      <c r="D5494" s="38"/>
      <c r="E5494" s="38"/>
      <c r="F5494" s="60"/>
      <c r="G5494" s="37">
        <f t="shared" si="346"/>
        <v>0</v>
      </c>
      <c r="H5494" s="38"/>
      <c r="I5494" s="32"/>
      <c r="J5494" s="32"/>
      <c r="K5494" s="32"/>
      <c r="L5494" s="32"/>
      <c r="M5494" s="32"/>
      <c r="N5494" s="32"/>
      <c r="O5494" s="32"/>
      <c r="P5494" s="32"/>
      <c r="Q5494" s="32"/>
      <c r="R5494" s="32"/>
      <c r="S5494" s="32"/>
      <c r="T5494" s="32"/>
      <c r="U5494" s="32"/>
      <c r="V5494" s="32"/>
      <c r="W5494" s="32"/>
      <c r="X5494" s="32"/>
      <c r="Y5494" s="32"/>
      <c r="Z5494" s="32"/>
    </row>
    <row r="5495" spans="1:26" ht="14.25" customHeight="1">
      <c r="A5495" s="83" t="s">
        <v>18</v>
      </c>
      <c r="B5495" s="81"/>
      <c r="C5495" s="81"/>
      <c r="D5495" s="81"/>
      <c r="E5495" s="81"/>
      <c r="F5495" s="81"/>
      <c r="G5495" s="82"/>
      <c r="H5495" s="41">
        <f>SUM(G5492:G5494)</f>
        <v>1250560</v>
      </c>
      <c r="I5495" s="32"/>
      <c r="J5495" s="32"/>
      <c r="K5495" s="32"/>
      <c r="L5495" s="32"/>
      <c r="M5495" s="32"/>
      <c r="N5495" s="32"/>
      <c r="O5495" s="32"/>
      <c r="P5495" s="32"/>
      <c r="Q5495" s="32"/>
      <c r="R5495" s="32"/>
      <c r="S5495" s="32"/>
      <c r="T5495" s="32"/>
      <c r="U5495" s="32"/>
      <c r="V5495" s="32"/>
      <c r="W5495" s="32"/>
      <c r="X5495" s="32"/>
      <c r="Y5495" s="32"/>
      <c r="Z5495" s="32"/>
    </row>
    <row r="5496" spans="1:26" ht="14.25" customHeight="1">
      <c r="A5496" s="83" t="s">
        <v>19</v>
      </c>
      <c r="B5496" s="81"/>
      <c r="C5496" s="81"/>
      <c r="D5496" s="81"/>
      <c r="E5496" s="81"/>
      <c r="F5496" s="81"/>
      <c r="G5496" s="82"/>
      <c r="H5496" s="41">
        <f>MAX(0,H5495-648000)</f>
        <v>602560</v>
      </c>
      <c r="I5496" s="32"/>
      <c r="J5496" s="32"/>
      <c r="K5496" s="32"/>
      <c r="L5496" s="32"/>
      <c r="M5496" s="32"/>
      <c r="N5496" s="32"/>
      <c r="O5496" s="32"/>
      <c r="P5496" s="32"/>
      <c r="Q5496" s="32"/>
      <c r="R5496" s="32"/>
      <c r="S5496" s="32"/>
      <c r="T5496" s="32"/>
      <c r="U5496" s="32"/>
      <c r="V5496" s="32"/>
      <c r="W5496" s="32"/>
      <c r="X5496" s="32"/>
      <c r="Y5496" s="32"/>
      <c r="Z5496" s="32"/>
    </row>
    <row r="5497" spans="1:26" ht="14.25" customHeight="1">
      <c r="A5497" s="84" t="s">
        <v>20</v>
      </c>
      <c r="B5497" s="81"/>
      <c r="C5497" s="81"/>
      <c r="D5497" s="81"/>
      <c r="E5497" s="81"/>
      <c r="F5497" s="81"/>
      <c r="G5497" s="82"/>
      <c r="H5497" s="42">
        <v>649000</v>
      </c>
      <c r="I5497" s="32"/>
      <c r="J5497" s="32"/>
      <c r="K5497" s="32"/>
      <c r="L5497" s="32"/>
      <c r="M5497" s="32"/>
      <c r="N5497" s="32"/>
      <c r="O5497" s="32"/>
      <c r="P5497" s="32"/>
      <c r="Q5497" s="32"/>
      <c r="R5497" s="32"/>
      <c r="S5497" s="32"/>
      <c r="T5497" s="32"/>
      <c r="U5497" s="32"/>
      <c r="V5497" s="32"/>
      <c r="W5497" s="32"/>
      <c r="X5497" s="32"/>
      <c r="Y5497" s="32"/>
      <c r="Z5497" s="32"/>
    </row>
    <row r="5498" spans="1:26" ht="14.25" customHeight="1">
      <c r="A5498" s="80"/>
      <c r="B5498" s="81"/>
      <c r="C5498" s="81"/>
      <c r="D5498" s="81"/>
      <c r="E5498" s="81"/>
      <c r="F5498" s="81"/>
      <c r="G5498" s="81"/>
      <c r="H5498" s="82"/>
      <c r="I5498" s="32"/>
      <c r="J5498" s="32"/>
      <c r="K5498" s="32"/>
      <c r="L5498" s="32"/>
      <c r="M5498" s="32"/>
      <c r="N5498" s="32"/>
      <c r="O5498" s="32"/>
      <c r="P5498" s="32"/>
      <c r="Q5498" s="32"/>
      <c r="R5498" s="32"/>
      <c r="S5498" s="32"/>
      <c r="T5498" s="32"/>
      <c r="U5498" s="32"/>
      <c r="V5498" s="32"/>
      <c r="W5498" s="32"/>
      <c r="X5498" s="32"/>
      <c r="Y5498" s="32"/>
      <c r="Z5498" s="32"/>
    </row>
    <row r="5499" spans="1:26" ht="14.25" customHeight="1"/>
    <row r="5500" spans="1:26" ht="14.25" customHeight="1"/>
    <row r="5501" spans="1:26" ht="14.25" customHeight="1"/>
    <row r="5502" spans="1:26" ht="14.25" customHeight="1"/>
    <row r="5503" spans="1:26" ht="14.25" customHeight="1"/>
    <row r="5504" spans="1:26" ht="14.25" customHeight="1"/>
    <row r="5505" spans="1:26" ht="14.25" customHeight="1"/>
    <row r="5506" spans="1:26" ht="14.25" customHeight="1">
      <c r="A5506" s="80" t="s">
        <v>0</v>
      </c>
      <c r="B5506" s="81"/>
      <c r="C5506" s="81"/>
      <c r="D5506" s="81"/>
      <c r="E5506" s="81"/>
      <c r="F5506" s="81"/>
      <c r="G5506" s="81"/>
      <c r="H5506" s="82"/>
      <c r="I5506" s="32"/>
      <c r="J5506" s="32"/>
      <c r="K5506" s="32"/>
      <c r="L5506" s="32"/>
      <c r="M5506" s="32"/>
      <c r="N5506" s="32"/>
      <c r="O5506" s="32"/>
      <c r="P5506" s="32"/>
      <c r="Q5506" s="32"/>
      <c r="R5506" s="32"/>
      <c r="S5506" s="32"/>
      <c r="T5506" s="32"/>
      <c r="U5506" s="32"/>
      <c r="V5506" s="32"/>
      <c r="W5506" s="32"/>
      <c r="X5506" s="32"/>
      <c r="Y5506" s="32"/>
      <c r="Z5506" s="32"/>
    </row>
    <row r="5507" spans="1:26" ht="14.25" customHeight="1">
      <c r="A5507" s="80" t="s">
        <v>1311</v>
      </c>
      <c r="B5507" s="81"/>
      <c r="C5507" s="81"/>
      <c r="D5507" s="81"/>
      <c r="E5507" s="81"/>
      <c r="F5507" s="81"/>
      <c r="G5507" s="81"/>
      <c r="H5507" s="82"/>
      <c r="I5507" s="32"/>
      <c r="J5507" s="32"/>
      <c r="K5507" s="32"/>
      <c r="L5507" s="32"/>
      <c r="M5507" s="32"/>
      <c r="N5507" s="32"/>
      <c r="O5507" s="32"/>
      <c r="P5507" s="32"/>
      <c r="Q5507" s="32"/>
      <c r="R5507" s="32"/>
      <c r="S5507" s="32"/>
      <c r="T5507" s="32"/>
      <c r="U5507" s="32"/>
      <c r="V5507" s="32"/>
      <c r="W5507" s="32"/>
      <c r="X5507" s="32"/>
      <c r="Y5507" s="32"/>
      <c r="Z5507" s="32"/>
    </row>
    <row r="5508" spans="1:26" ht="14.25" customHeight="1">
      <c r="A5508" s="33" t="s">
        <v>2</v>
      </c>
      <c r="B5508" s="33" t="s">
        <v>3</v>
      </c>
      <c r="C5508" s="33" t="s">
        <v>4</v>
      </c>
      <c r="D5508" s="33" t="s">
        <v>5</v>
      </c>
      <c r="E5508" s="33" t="s">
        <v>6</v>
      </c>
      <c r="F5508" s="34" t="s">
        <v>7</v>
      </c>
      <c r="G5508" s="33" t="s">
        <v>8</v>
      </c>
      <c r="H5508" s="35"/>
      <c r="I5508" s="32"/>
      <c r="J5508" s="32"/>
      <c r="K5508" s="32"/>
      <c r="L5508" s="32"/>
      <c r="M5508" s="32"/>
      <c r="N5508" s="32"/>
      <c r="O5508" s="32"/>
      <c r="P5508" s="32"/>
      <c r="Q5508" s="32"/>
      <c r="R5508" s="32"/>
      <c r="S5508" s="32"/>
      <c r="T5508" s="32"/>
      <c r="U5508" s="32"/>
      <c r="V5508" s="32"/>
      <c r="W5508" s="32"/>
      <c r="X5508" s="32"/>
      <c r="Y5508" s="32"/>
      <c r="Z5508" s="32"/>
    </row>
    <row r="5509" spans="1:26" ht="14.25" customHeight="1">
      <c r="A5509" s="36">
        <v>1</v>
      </c>
      <c r="B5509" s="18" t="s">
        <v>1312</v>
      </c>
      <c r="C5509" s="5" t="s">
        <v>1313</v>
      </c>
      <c r="D5509" s="18" t="s">
        <v>11</v>
      </c>
      <c r="E5509" s="18">
        <v>3</v>
      </c>
      <c r="F5509" s="6">
        <v>293000</v>
      </c>
      <c r="G5509" s="37">
        <f t="shared" ref="G5509:G5511" si="347">IFERROR(E5509*F5509,0)</f>
        <v>879000</v>
      </c>
      <c r="H5509" s="38"/>
      <c r="I5509" s="32"/>
      <c r="J5509" s="32"/>
      <c r="K5509" s="32"/>
      <c r="L5509" s="32"/>
      <c r="M5509" s="32"/>
      <c r="N5509" s="32"/>
      <c r="O5509" s="32"/>
      <c r="P5509" s="32"/>
      <c r="Q5509" s="32"/>
      <c r="R5509" s="32"/>
      <c r="S5509" s="32"/>
      <c r="T5509" s="32"/>
      <c r="U5509" s="32"/>
      <c r="V5509" s="32"/>
      <c r="W5509" s="32"/>
      <c r="X5509" s="32"/>
      <c r="Y5509" s="32"/>
      <c r="Z5509" s="32"/>
    </row>
    <row r="5510" spans="1:26" ht="14.25" customHeight="1">
      <c r="A5510" s="36">
        <v>2</v>
      </c>
      <c r="B5510" s="12" t="s">
        <v>12</v>
      </c>
      <c r="C5510" s="10">
        <v>3256</v>
      </c>
      <c r="D5510" s="12" t="s">
        <v>233</v>
      </c>
      <c r="E5510" s="12">
        <v>0.75</v>
      </c>
      <c r="F5510" s="43">
        <v>435000</v>
      </c>
      <c r="G5510" s="37">
        <f t="shared" si="347"/>
        <v>326250</v>
      </c>
      <c r="H5510" s="38"/>
      <c r="I5510" s="32"/>
      <c r="J5510" s="32"/>
      <c r="K5510" s="32"/>
      <c r="L5510" s="32"/>
      <c r="M5510" s="32"/>
      <c r="N5510" s="32"/>
      <c r="O5510" s="32"/>
      <c r="P5510" s="32"/>
      <c r="Q5510" s="32"/>
      <c r="R5510" s="32"/>
      <c r="S5510" s="32"/>
      <c r="T5510" s="32"/>
      <c r="U5510" s="32"/>
      <c r="V5510" s="32"/>
      <c r="W5510" s="32"/>
      <c r="X5510" s="32"/>
      <c r="Y5510" s="32"/>
      <c r="Z5510" s="32"/>
    </row>
    <row r="5511" spans="1:26" ht="14.25" customHeight="1">
      <c r="A5511" s="36">
        <v>4</v>
      </c>
      <c r="B5511" s="39" t="s">
        <v>17</v>
      </c>
      <c r="C5511" s="38"/>
      <c r="D5511" s="38"/>
      <c r="E5511" s="38"/>
      <c r="F5511" s="60"/>
      <c r="G5511" s="37">
        <f t="shared" si="347"/>
        <v>0</v>
      </c>
      <c r="H5511" s="38"/>
      <c r="I5511" s="32"/>
      <c r="J5511" s="32"/>
      <c r="K5511" s="32"/>
      <c r="L5511" s="32"/>
      <c r="M5511" s="32"/>
      <c r="N5511" s="32"/>
      <c r="O5511" s="32"/>
      <c r="P5511" s="32"/>
      <c r="Q5511" s="32"/>
      <c r="R5511" s="32"/>
      <c r="S5511" s="32"/>
      <c r="T5511" s="32"/>
      <c r="U5511" s="32"/>
      <c r="V5511" s="32"/>
      <c r="W5511" s="32"/>
      <c r="X5511" s="32"/>
      <c r="Y5511" s="32"/>
      <c r="Z5511" s="32"/>
    </row>
    <row r="5512" spans="1:26" ht="14.25" customHeight="1">
      <c r="A5512" s="83" t="s">
        <v>18</v>
      </c>
      <c r="B5512" s="81"/>
      <c r="C5512" s="81"/>
      <c r="D5512" s="81"/>
      <c r="E5512" s="81"/>
      <c r="F5512" s="81"/>
      <c r="G5512" s="82"/>
      <c r="H5512" s="41">
        <f>SUM(G5509:G5511)</f>
        <v>1205250</v>
      </c>
      <c r="I5512" s="32"/>
      <c r="J5512" s="32"/>
      <c r="K5512" s="32"/>
      <c r="L5512" s="32"/>
      <c r="M5512" s="32"/>
      <c r="N5512" s="32"/>
      <c r="O5512" s="32"/>
      <c r="P5512" s="32"/>
      <c r="Q5512" s="32"/>
      <c r="R5512" s="32"/>
      <c r="S5512" s="32"/>
      <c r="T5512" s="32"/>
      <c r="U5512" s="32"/>
      <c r="V5512" s="32"/>
      <c r="W5512" s="32"/>
      <c r="X5512" s="32"/>
      <c r="Y5512" s="32"/>
      <c r="Z5512" s="32"/>
    </row>
    <row r="5513" spans="1:26" ht="14.25" customHeight="1">
      <c r="A5513" s="83" t="s">
        <v>19</v>
      </c>
      <c r="B5513" s="81"/>
      <c r="C5513" s="81"/>
      <c r="D5513" s="81"/>
      <c r="E5513" s="81"/>
      <c r="F5513" s="81"/>
      <c r="G5513" s="82"/>
      <c r="H5513" s="41">
        <f>MAX(0,H5512-648000)</f>
        <v>557250</v>
      </c>
      <c r="I5513" s="32"/>
      <c r="J5513" s="32"/>
      <c r="K5513" s="32"/>
      <c r="L5513" s="32"/>
      <c r="M5513" s="32"/>
      <c r="N5513" s="32"/>
      <c r="O5513" s="32"/>
      <c r="P5513" s="32"/>
      <c r="Q5513" s="32"/>
      <c r="R5513" s="32"/>
      <c r="S5513" s="32"/>
      <c r="T5513" s="32"/>
      <c r="U5513" s="32"/>
      <c r="V5513" s="32"/>
      <c r="W5513" s="32"/>
      <c r="X5513" s="32"/>
      <c r="Y5513" s="32"/>
      <c r="Z5513" s="32"/>
    </row>
    <row r="5514" spans="1:26" ht="14.25" customHeight="1">
      <c r="A5514" s="84" t="s">
        <v>20</v>
      </c>
      <c r="B5514" s="81"/>
      <c r="C5514" s="81"/>
      <c r="D5514" s="81"/>
      <c r="E5514" s="81"/>
      <c r="F5514" s="81"/>
      <c r="G5514" s="82"/>
      <c r="H5514" s="42">
        <v>649000</v>
      </c>
      <c r="I5514" s="32"/>
      <c r="J5514" s="32"/>
      <c r="K5514" s="32"/>
      <c r="L5514" s="32"/>
      <c r="M5514" s="32"/>
      <c r="N5514" s="32"/>
      <c r="O5514" s="32"/>
      <c r="P5514" s="32"/>
      <c r="Q5514" s="32"/>
      <c r="R5514" s="32"/>
      <c r="S5514" s="32"/>
      <c r="T5514" s="32"/>
      <c r="U5514" s="32"/>
      <c r="V5514" s="32"/>
      <c r="W5514" s="32"/>
      <c r="X5514" s="32"/>
      <c r="Y5514" s="32"/>
      <c r="Z5514" s="32"/>
    </row>
    <row r="5515" spans="1:26" ht="14.25" customHeight="1">
      <c r="A5515" s="80"/>
      <c r="B5515" s="81"/>
      <c r="C5515" s="81"/>
      <c r="D5515" s="81"/>
      <c r="E5515" s="81"/>
      <c r="F5515" s="81"/>
      <c r="G5515" s="81"/>
      <c r="H5515" s="82"/>
      <c r="I5515" s="32"/>
      <c r="J5515" s="32"/>
      <c r="K5515" s="32"/>
      <c r="L5515" s="32"/>
      <c r="M5515" s="32"/>
      <c r="N5515" s="32"/>
      <c r="O5515" s="32"/>
      <c r="P5515" s="32"/>
      <c r="Q5515" s="32"/>
      <c r="R5515" s="32"/>
      <c r="S5515" s="32"/>
      <c r="T5515" s="32"/>
      <c r="U5515" s="32"/>
      <c r="V5515" s="32"/>
      <c r="W5515" s="32"/>
      <c r="X5515" s="32"/>
      <c r="Y5515" s="32"/>
      <c r="Z5515" s="32"/>
    </row>
    <row r="5516" spans="1:26" ht="14.25" customHeight="1"/>
    <row r="5517" spans="1:26" ht="14.25" customHeight="1"/>
    <row r="5518" spans="1:26" ht="14.25" customHeight="1"/>
    <row r="5519" spans="1:26" ht="14.25" customHeight="1"/>
    <row r="5520" spans="1:26" ht="14.25" customHeight="1"/>
    <row r="5521" spans="1:26" ht="14.25" customHeight="1"/>
    <row r="5522" spans="1:26" ht="14.25" customHeight="1">
      <c r="A5522" s="80" t="s">
        <v>0</v>
      </c>
      <c r="B5522" s="81"/>
      <c r="C5522" s="81"/>
      <c r="D5522" s="81"/>
      <c r="E5522" s="81"/>
      <c r="F5522" s="81"/>
      <c r="G5522" s="81"/>
      <c r="H5522" s="82"/>
      <c r="I5522" s="32"/>
      <c r="J5522" s="32"/>
      <c r="K5522" s="32"/>
      <c r="L5522" s="32"/>
      <c r="M5522" s="32"/>
      <c r="N5522" s="32"/>
      <c r="O5522" s="32"/>
      <c r="P5522" s="32"/>
      <c r="Q5522" s="32"/>
      <c r="R5522" s="32"/>
      <c r="S5522" s="32"/>
      <c r="T5522" s="32"/>
      <c r="U5522" s="32"/>
      <c r="V5522" s="32"/>
      <c r="W5522" s="32"/>
      <c r="X5522" s="32"/>
      <c r="Y5522" s="32"/>
      <c r="Z5522" s="32"/>
    </row>
    <row r="5523" spans="1:26" ht="14.25" customHeight="1">
      <c r="A5523" s="80" t="s">
        <v>1314</v>
      </c>
      <c r="B5523" s="81"/>
      <c r="C5523" s="81"/>
      <c r="D5523" s="81"/>
      <c r="E5523" s="81"/>
      <c r="F5523" s="81"/>
      <c r="G5523" s="81"/>
      <c r="H5523" s="82"/>
      <c r="I5523" s="32"/>
      <c r="J5523" s="32"/>
      <c r="K5523" s="32"/>
      <c r="L5523" s="32"/>
      <c r="M5523" s="32"/>
      <c r="N5523" s="32"/>
      <c r="O5523" s="32"/>
      <c r="P5523" s="32"/>
      <c r="Q5523" s="32"/>
      <c r="R5523" s="32"/>
      <c r="S5523" s="32"/>
      <c r="T5523" s="32"/>
      <c r="U5523" s="32"/>
      <c r="V5523" s="32"/>
      <c r="W5523" s="32"/>
      <c r="X5523" s="32"/>
      <c r="Y5523" s="32"/>
      <c r="Z5523" s="32"/>
    </row>
    <row r="5524" spans="1:26" ht="14.25" customHeight="1">
      <c r="A5524" s="33" t="s">
        <v>2</v>
      </c>
      <c r="B5524" s="33" t="s">
        <v>3</v>
      </c>
      <c r="C5524" s="33" t="s">
        <v>4</v>
      </c>
      <c r="D5524" s="33" t="s">
        <v>5</v>
      </c>
      <c r="E5524" s="33" t="s">
        <v>6</v>
      </c>
      <c r="F5524" s="34" t="s">
        <v>7</v>
      </c>
      <c r="G5524" s="33" t="s">
        <v>8</v>
      </c>
      <c r="H5524" s="35"/>
      <c r="I5524" s="32"/>
      <c r="J5524" s="32"/>
      <c r="K5524" s="32"/>
      <c r="L5524" s="32"/>
      <c r="M5524" s="32"/>
      <c r="N5524" s="32"/>
      <c r="O5524" s="32"/>
      <c r="P5524" s="32"/>
      <c r="Q5524" s="32"/>
      <c r="R5524" s="32"/>
      <c r="S5524" s="32"/>
      <c r="T5524" s="32"/>
      <c r="U5524" s="32"/>
      <c r="V5524" s="32"/>
      <c r="W5524" s="32"/>
      <c r="X5524" s="32"/>
      <c r="Y5524" s="32"/>
      <c r="Z5524" s="32"/>
    </row>
    <row r="5525" spans="1:26" ht="14.25" customHeight="1">
      <c r="A5525" s="36">
        <v>1</v>
      </c>
      <c r="B5525" s="18" t="s">
        <v>1315</v>
      </c>
      <c r="C5525" s="5" t="s">
        <v>1316</v>
      </c>
      <c r="D5525" s="18" t="s">
        <v>11</v>
      </c>
      <c r="E5525" s="18">
        <v>1.5</v>
      </c>
      <c r="F5525" s="6">
        <v>293000</v>
      </c>
      <c r="G5525" s="37">
        <f t="shared" ref="G5525:G5527" si="348">IFERROR(E5525*F5525,0)</f>
        <v>439500</v>
      </c>
      <c r="H5525" s="38"/>
      <c r="I5525" s="32"/>
      <c r="J5525" s="32"/>
      <c r="K5525" s="32"/>
      <c r="L5525" s="32"/>
      <c r="M5525" s="32"/>
      <c r="N5525" s="32"/>
      <c r="O5525" s="32"/>
      <c r="P5525" s="32"/>
      <c r="Q5525" s="32"/>
      <c r="R5525" s="32"/>
      <c r="S5525" s="32"/>
      <c r="T5525" s="32"/>
      <c r="U5525" s="32"/>
      <c r="V5525" s="32"/>
      <c r="W5525" s="32"/>
      <c r="X5525" s="32"/>
      <c r="Y5525" s="32"/>
      <c r="Z5525" s="32"/>
    </row>
    <row r="5526" spans="1:26" ht="14.25" customHeight="1">
      <c r="A5526" s="36">
        <v>2</v>
      </c>
      <c r="B5526" s="12" t="s">
        <v>1317</v>
      </c>
      <c r="C5526" s="10" t="s">
        <v>1318</v>
      </c>
      <c r="D5526" s="12" t="s">
        <v>233</v>
      </c>
      <c r="E5526" s="12">
        <v>2</v>
      </c>
      <c r="F5526" s="43">
        <v>435000</v>
      </c>
      <c r="G5526" s="37">
        <f t="shared" si="348"/>
        <v>870000</v>
      </c>
      <c r="H5526" s="38"/>
      <c r="I5526" s="32"/>
      <c r="J5526" s="32"/>
      <c r="K5526" s="32"/>
      <c r="L5526" s="32"/>
      <c r="M5526" s="32"/>
      <c r="N5526" s="32"/>
      <c r="O5526" s="32"/>
      <c r="P5526" s="32"/>
      <c r="Q5526" s="32"/>
      <c r="R5526" s="32"/>
      <c r="S5526" s="32"/>
      <c r="T5526" s="32"/>
      <c r="U5526" s="32"/>
      <c r="V5526" s="32"/>
      <c r="W5526" s="32"/>
      <c r="X5526" s="32"/>
      <c r="Y5526" s="32"/>
      <c r="Z5526" s="32"/>
    </row>
    <row r="5527" spans="1:26" ht="14.25" customHeight="1">
      <c r="A5527" s="36">
        <v>4</v>
      </c>
      <c r="B5527" s="39" t="s">
        <v>17</v>
      </c>
      <c r="C5527" s="38"/>
      <c r="D5527" s="38"/>
      <c r="E5527" s="38"/>
      <c r="F5527" s="60"/>
      <c r="G5527" s="37">
        <f t="shared" si="348"/>
        <v>0</v>
      </c>
      <c r="H5527" s="38"/>
      <c r="I5527" s="32"/>
      <c r="J5527" s="32"/>
      <c r="K5527" s="32"/>
      <c r="L5527" s="32"/>
      <c r="M5527" s="32"/>
      <c r="N5527" s="32"/>
      <c r="O5527" s="32"/>
      <c r="P5527" s="32"/>
      <c r="Q5527" s="32"/>
      <c r="R5527" s="32"/>
      <c r="S5527" s="32"/>
      <c r="T5527" s="32"/>
      <c r="U5527" s="32"/>
      <c r="V5527" s="32"/>
      <c r="W5527" s="32"/>
      <c r="X5527" s="32"/>
      <c r="Y5527" s="32"/>
      <c r="Z5527" s="32"/>
    </row>
    <row r="5528" spans="1:26" ht="14.25" customHeight="1">
      <c r="A5528" s="83" t="s">
        <v>18</v>
      </c>
      <c r="B5528" s="81"/>
      <c r="C5528" s="81"/>
      <c r="D5528" s="81"/>
      <c r="E5528" s="81"/>
      <c r="F5528" s="81"/>
      <c r="G5528" s="82"/>
      <c r="H5528" s="41">
        <f>SUM(G5525:G5527)</f>
        <v>1309500</v>
      </c>
      <c r="I5528" s="32"/>
      <c r="J5528" s="32"/>
      <c r="K5528" s="32"/>
      <c r="L5528" s="32"/>
      <c r="M5528" s="32"/>
      <c r="N5528" s="32"/>
      <c r="O5528" s="32"/>
      <c r="P5528" s="32"/>
      <c r="Q5528" s="32"/>
      <c r="R5528" s="32"/>
      <c r="S5528" s="32"/>
      <c r="T5528" s="32"/>
      <c r="U5528" s="32"/>
      <c r="V5528" s="32"/>
      <c r="W5528" s="32"/>
      <c r="X5528" s="32"/>
      <c r="Y5528" s="32"/>
      <c r="Z5528" s="32"/>
    </row>
    <row r="5529" spans="1:26" ht="14.25" customHeight="1">
      <c r="A5529" s="83" t="s">
        <v>19</v>
      </c>
      <c r="B5529" s="81"/>
      <c r="C5529" s="81"/>
      <c r="D5529" s="81"/>
      <c r="E5529" s="81"/>
      <c r="F5529" s="81"/>
      <c r="G5529" s="82"/>
      <c r="H5529" s="41">
        <f>MAX(0,H5528-648000)</f>
        <v>661500</v>
      </c>
      <c r="I5529" s="32"/>
      <c r="J5529" s="32"/>
      <c r="K5529" s="32"/>
      <c r="L5529" s="32"/>
      <c r="M5529" s="32"/>
      <c r="N5529" s="32"/>
      <c r="O5529" s="32"/>
      <c r="P5529" s="32"/>
      <c r="Q5529" s="32"/>
      <c r="R5529" s="32"/>
      <c r="S5529" s="32"/>
      <c r="T5529" s="32"/>
      <c r="U5529" s="32"/>
      <c r="V5529" s="32"/>
      <c r="W5529" s="32"/>
      <c r="X5529" s="32"/>
      <c r="Y5529" s="32"/>
      <c r="Z5529" s="32"/>
    </row>
    <row r="5530" spans="1:26" ht="14.25" customHeight="1">
      <c r="A5530" s="84" t="s">
        <v>20</v>
      </c>
      <c r="B5530" s="81"/>
      <c r="C5530" s="81"/>
      <c r="D5530" s="81"/>
      <c r="E5530" s="81"/>
      <c r="F5530" s="81"/>
      <c r="G5530" s="82"/>
      <c r="H5530" s="42">
        <v>649000</v>
      </c>
      <c r="I5530" s="32"/>
      <c r="J5530" s="32"/>
      <c r="K5530" s="32"/>
      <c r="L5530" s="32"/>
      <c r="M5530" s="32"/>
      <c r="N5530" s="32"/>
      <c r="O5530" s="32"/>
      <c r="P5530" s="32"/>
      <c r="Q5530" s="32"/>
      <c r="R5530" s="32"/>
      <c r="S5530" s="32"/>
      <c r="T5530" s="32"/>
      <c r="U5530" s="32"/>
      <c r="V5530" s="32"/>
      <c r="W5530" s="32"/>
      <c r="X5530" s="32"/>
      <c r="Y5530" s="32"/>
      <c r="Z5530" s="32"/>
    </row>
    <row r="5531" spans="1:26" ht="14.25" customHeight="1">
      <c r="A5531" s="80"/>
      <c r="B5531" s="81"/>
      <c r="C5531" s="81"/>
      <c r="D5531" s="81"/>
      <c r="E5531" s="81"/>
      <c r="F5531" s="81"/>
      <c r="G5531" s="81"/>
      <c r="H5531" s="82"/>
      <c r="I5531" s="32"/>
      <c r="J5531" s="32"/>
      <c r="K5531" s="32"/>
      <c r="L5531" s="32"/>
      <c r="M5531" s="32"/>
      <c r="N5531" s="32"/>
      <c r="O5531" s="32"/>
      <c r="P5531" s="32"/>
      <c r="Q5531" s="32"/>
      <c r="R5531" s="32"/>
      <c r="S5531" s="32"/>
      <c r="T5531" s="32"/>
      <c r="U5531" s="32"/>
      <c r="V5531" s="32"/>
      <c r="W5531" s="32"/>
      <c r="X5531" s="32"/>
      <c r="Y5531" s="32"/>
      <c r="Z5531" s="32"/>
    </row>
    <row r="5532" spans="1:26" ht="14.25" customHeight="1">
      <c r="I5532" s="32"/>
    </row>
    <row r="5533" spans="1:26" ht="14.25" customHeight="1">
      <c r="I5533" s="32"/>
    </row>
    <row r="5534" spans="1:26" ht="14.25" customHeight="1">
      <c r="I5534" s="32"/>
    </row>
    <row r="5535" spans="1:26" ht="14.25" customHeight="1">
      <c r="I5535" s="32"/>
    </row>
    <row r="5536" spans="1:26" ht="14.25" customHeight="1">
      <c r="I5536" s="32"/>
    </row>
    <row r="5537" spans="1:26" ht="14.25" customHeight="1">
      <c r="A5537" s="80" t="s">
        <v>0</v>
      </c>
      <c r="B5537" s="81"/>
      <c r="C5537" s="81"/>
      <c r="D5537" s="81"/>
      <c r="E5537" s="81"/>
      <c r="F5537" s="81"/>
      <c r="G5537" s="81"/>
      <c r="H5537" s="82"/>
      <c r="I5537" s="32"/>
      <c r="J5537" s="32"/>
      <c r="K5537" s="32"/>
      <c r="L5537" s="32"/>
      <c r="M5537" s="32"/>
      <c r="N5537" s="32"/>
      <c r="O5537" s="32"/>
      <c r="P5537" s="32"/>
      <c r="Q5537" s="32"/>
      <c r="R5537" s="32"/>
      <c r="S5537" s="32"/>
      <c r="T5537" s="32"/>
      <c r="U5537" s="32"/>
      <c r="V5537" s="32"/>
      <c r="W5537" s="32"/>
      <c r="X5537" s="32"/>
      <c r="Y5537" s="32"/>
      <c r="Z5537" s="32"/>
    </row>
    <row r="5538" spans="1:26" ht="14.25" customHeight="1">
      <c r="A5538" s="80" t="s">
        <v>1319</v>
      </c>
      <c r="B5538" s="81"/>
      <c r="C5538" s="81"/>
      <c r="D5538" s="81"/>
      <c r="E5538" s="81"/>
      <c r="F5538" s="81"/>
      <c r="G5538" s="81"/>
      <c r="H5538" s="82"/>
      <c r="I5538" s="32"/>
      <c r="J5538" s="32"/>
      <c r="K5538" s="32"/>
      <c r="L5538" s="32"/>
      <c r="M5538" s="32"/>
      <c r="N5538" s="32"/>
      <c r="O5538" s="32"/>
      <c r="P5538" s="32"/>
      <c r="Q5538" s="32"/>
      <c r="R5538" s="32"/>
      <c r="S5538" s="32"/>
      <c r="T5538" s="32"/>
      <c r="U5538" s="32"/>
      <c r="V5538" s="32"/>
      <c r="W5538" s="32"/>
      <c r="X5538" s="32"/>
      <c r="Y5538" s="32"/>
      <c r="Z5538" s="32"/>
    </row>
    <row r="5539" spans="1:26" ht="14.25" customHeight="1">
      <c r="A5539" s="33" t="s">
        <v>2</v>
      </c>
      <c r="B5539" s="33" t="s">
        <v>3</v>
      </c>
      <c r="C5539" s="33" t="s">
        <v>4</v>
      </c>
      <c r="D5539" s="33" t="s">
        <v>5</v>
      </c>
      <c r="E5539" s="33" t="s">
        <v>6</v>
      </c>
      <c r="F5539" s="34" t="s">
        <v>7</v>
      </c>
      <c r="G5539" s="33" t="s">
        <v>8</v>
      </c>
      <c r="H5539" s="35"/>
      <c r="I5539" s="32"/>
      <c r="J5539" s="32"/>
      <c r="K5539" s="32"/>
      <c r="L5539" s="32"/>
      <c r="M5539" s="32"/>
      <c r="N5539" s="32"/>
      <c r="O5539" s="32"/>
      <c r="P5539" s="32"/>
      <c r="Q5539" s="32"/>
      <c r="R5539" s="32"/>
      <c r="S5539" s="32"/>
      <c r="T5539" s="32"/>
      <c r="U5539" s="32"/>
      <c r="V5539" s="32"/>
      <c r="W5539" s="32"/>
      <c r="X5539" s="32"/>
      <c r="Y5539" s="32"/>
      <c r="Z5539" s="32"/>
    </row>
    <row r="5540" spans="1:26" ht="14.25" customHeight="1">
      <c r="A5540" s="36">
        <v>1</v>
      </c>
      <c r="B5540" s="18" t="s">
        <v>38</v>
      </c>
      <c r="C5540" s="5" t="s">
        <v>1320</v>
      </c>
      <c r="D5540" s="18" t="s">
        <v>11</v>
      </c>
      <c r="E5540" s="18">
        <v>1.72</v>
      </c>
      <c r="F5540" s="6">
        <v>293000</v>
      </c>
      <c r="G5540" s="37">
        <f t="shared" ref="G5540:G5542" si="349">IFERROR(E5540*F5540,0)</f>
        <v>503960</v>
      </c>
      <c r="H5540" s="38"/>
      <c r="I5540" s="32"/>
      <c r="J5540" s="32"/>
      <c r="K5540" s="32"/>
      <c r="L5540" s="32"/>
      <c r="M5540" s="32"/>
      <c r="N5540" s="32"/>
      <c r="O5540" s="32"/>
      <c r="P5540" s="32"/>
      <c r="Q5540" s="32"/>
      <c r="R5540" s="32"/>
      <c r="S5540" s="32"/>
      <c r="T5540" s="32"/>
      <c r="U5540" s="32"/>
      <c r="V5540" s="32"/>
      <c r="W5540" s="32"/>
      <c r="X5540" s="32"/>
      <c r="Y5540" s="32"/>
      <c r="Z5540" s="32"/>
    </row>
    <row r="5541" spans="1:26" ht="14.25" customHeight="1">
      <c r="A5541" s="36">
        <v>2</v>
      </c>
      <c r="B5541" s="12" t="s">
        <v>1321</v>
      </c>
      <c r="C5541" s="10" t="s">
        <v>1322</v>
      </c>
      <c r="D5541" s="12" t="s">
        <v>233</v>
      </c>
      <c r="E5541" s="12">
        <v>1.61</v>
      </c>
      <c r="F5541" s="43">
        <v>435000</v>
      </c>
      <c r="G5541" s="37">
        <f t="shared" si="349"/>
        <v>700350</v>
      </c>
      <c r="H5541" s="38"/>
      <c r="I5541" s="32"/>
      <c r="J5541" s="32"/>
      <c r="K5541" s="32"/>
      <c r="L5541" s="32"/>
      <c r="M5541" s="32"/>
      <c r="N5541" s="32"/>
      <c r="O5541" s="32"/>
      <c r="P5541" s="32"/>
      <c r="Q5541" s="32"/>
      <c r="R5541" s="32"/>
      <c r="S5541" s="32"/>
      <c r="T5541" s="32"/>
      <c r="U5541" s="32"/>
      <c r="V5541" s="32"/>
      <c r="W5541" s="32"/>
      <c r="X5541" s="32"/>
      <c r="Y5541" s="32"/>
      <c r="Z5541" s="32"/>
    </row>
    <row r="5542" spans="1:26" ht="14.25" customHeight="1">
      <c r="A5542" s="36">
        <v>4</v>
      </c>
      <c r="B5542" s="39" t="s">
        <v>17</v>
      </c>
      <c r="C5542" s="38"/>
      <c r="D5542" s="38"/>
      <c r="E5542" s="38"/>
      <c r="F5542" s="60"/>
      <c r="G5542" s="37">
        <f t="shared" si="349"/>
        <v>0</v>
      </c>
      <c r="H5542" s="38"/>
      <c r="I5542" s="32"/>
      <c r="J5542" s="32"/>
      <c r="K5542" s="32"/>
      <c r="L5542" s="32"/>
      <c r="M5542" s="32"/>
      <c r="N5542" s="32"/>
      <c r="O5542" s="32"/>
      <c r="P5542" s="32"/>
      <c r="Q5542" s="32"/>
      <c r="R5542" s="32"/>
      <c r="S5542" s="32"/>
      <c r="T5542" s="32"/>
      <c r="U5542" s="32"/>
      <c r="V5542" s="32"/>
      <c r="W5542" s="32"/>
      <c r="X5542" s="32"/>
      <c r="Y5542" s="32"/>
      <c r="Z5542" s="32"/>
    </row>
    <row r="5543" spans="1:26" ht="14.25" customHeight="1">
      <c r="A5543" s="83" t="s">
        <v>18</v>
      </c>
      <c r="B5543" s="81"/>
      <c r="C5543" s="81"/>
      <c r="D5543" s="81"/>
      <c r="E5543" s="81"/>
      <c r="F5543" s="81"/>
      <c r="G5543" s="82"/>
      <c r="H5543" s="41">
        <f>SUM(G5540:G5542)</f>
        <v>1204310</v>
      </c>
      <c r="I5543" s="32"/>
      <c r="J5543" s="32"/>
      <c r="K5543" s="32"/>
      <c r="L5543" s="32"/>
      <c r="M5543" s="32"/>
      <c r="N5543" s="32"/>
      <c r="O5543" s="32"/>
      <c r="P5543" s="32"/>
      <c r="Q5543" s="32"/>
      <c r="R5543" s="32"/>
      <c r="S5543" s="32"/>
      <c r="T5543" s="32"/>
      <c r="U5543" s="32"/>
      <c r="V5543" s="32"/>
      <c r="W5543" s="32"/>
      <c r="X5543" s="32"/>
      <c r="Y5543" s="32"/>
      <c r="Z5543" s="32"/>
    </row>
    <row r="5544" spans="1:26" ht="14.25" customHeight="1">
      <c r="A5544" s="83" t="s">
        <v>19</v>
      </c>
      <c r="B5544" s="81"/>
      <c r="C5544" s="81"/>
      <c r="D5544" s="81"/>
      <c r="E5544" s="81"/>
      <c r="F5544" s="81"/>
      <c r="G5544" s="82"/>
      <c r="H5544" s="41">
        <f>MAX(0,H5543-648000)</f>
        <v>556310</v>
      </c>
      <c r="I5544" s="32"/>
      <c r="J5544" s="32"/>
      <c r="K5544" s="32"/>
      <c r="L5544" s="32"/>
      <c r="M5544" s="32"/>
      <c r="N5544" s="32"/>
      <c r="O5544" s="32"/>
      <c r="P5544" s="32"/>
      <c r="Q5544" s="32"/>
      <c r="R5544" s="32"/>
      <c r="S5544" s="32"/>
      <c r="T5544" s="32"/>
      <c r="U5544" s="32"/>
      <c r="V5544" s="32"/>
      <c r="W5544" s="32"/>
      <c r="X5544" s="32"/>
      <c r="Y5544" s="32"/>
      <c r="Z5544" s="32"/>
    </row>
    <row r="5545" spans="1:26" ht="14.25" customHeight="1">
      <c r="A5545" s="84" t="s">
        <v>20</v>
      </c>
      <c r="B5545" s="81"/>
      <c r="C5545" s="81"/>
      <c r="D5545" s="81"/>
      <c r="E5545" s="81"/>
      <c r="F5545" s="81"/>
      <c r="G5545" s="82"/>
      <c r="H5545" s="42">
        <v>649000</v>
      </c>
      <c r="I5545" s="32"/>
      <c r="J5545" s="32"/>
      <c r="K5545" s="32"/>
      <c r="L5545" s="32"/>
      <c r="M5545" s="32"/>
      <c r="N5545" s="32"/>
      <c r="O5545" s="32"/>
      <c r="P5545" s="32"/>
      <c r="Q5545" s="32"/>
      <c r="R5545" s="32"/>
      <c r="S5545" s="32"/>
      <c r="T5545" s="32"/>
      <c r="U5545" s="32"/>
      <c r="V5545" s="32"/>
      <c r="W5545" s="32"/>
      <c r="X5545" s="32"/>
      <c r="Y5545" s="32"/>
      <c r="Z5545" s="32"/>
    </row>
    <row r="5546" spans="1:26" ht="14.25" customHeight="1">
      <c r="A5546" s="80"/>
      <c r="B5546" s="81"/>
      <c r="C5546" s="81"/>
      <c r="D5546" s="81"/>
      <c r="E5546" s="81"/>
      <c r="F5546" s="81"/>
      <c r="G5546" s="81"/>
      <c r="H5546" s="82"/>
      <c r="I5546" s="32"/>
      <c r="J5546" s="32"/>
      <c r="K5546" s="32"/>
      <c r="L5546" s="32"/>
      <c r="M5546" s="32"/>
      <c r="N5546" s="32"/>
      <c r="O5546" s="32"/>
      <c r="P5546" s="32"/>
      <c r="Q5546" s="32"/>
      <c r="R5546" s="32"/>
      <c r="S5546" s="32"/>
      <c r="T5546" s="32"/>
      <c r="U5546" s="32"/>
      <c r="V5546" s="32"/>
      <c r="W5546" s="32"/>
      <c r="X5546" s="32"/>
      <c r="Y5546" s="32"/>
      <c r="Z5546" s="32"/>
    </row>
    <row r="5547" spans="1:26" ht="14.25" customHeight="1">
      <c r="I5547" s="32"/>
    </row>
    <row r="5548" spans="1:26" ht="14.25" customHeight="1">
      <c r="I5548" s="32"/>
    </row>
    <row r="5549" spans="1:26" ht="14.25" customHeight="1">
      <c r="I5549" s="32"/>
    </row>
    <row r="5550" spans="1:26" ht="14.25" customHeight="1">
      <c r="I5550" s="32"/>
    </row>
    <row r="5551" spans="1:26" ht="14.25" customHeight="1">
      <c r="I5551" s="32"/>
    </row>
    <row r="5552" spans="1:26" ht="14.25" customHeight="1">
      <c r="I5552" s="32"/>
    </row>
    <row r="5553" spans="1:26" ht="14.25" customHeight="1">
      <c r="I5553" s="32"/>
    </row>
    <row r="5554" spans="1:26" ht="14.25" customHeight="1">
      <c r="I5554" s="32"/>
    </row>
    <row r="5555" spans="1:26" ht="14.25" customHeight="1">
      <c r="A5555" s="80" t="s">
        <v>0</v>
      </c>
      <c r="B5555" s="81"/>
      <c r="C5555" s="81"/>
      <c r="D5555" s="81"/>
      <c r="E5555" s="81"/>
      <c r="F5555" s="81"/>
      <c r="G5555" s="81"/>
      <c r="H5555" s="82"/>
      <c r="I5555" s="32"/>
      <c r="J5555" s="32"/>
      <c r="K5555" s="32"/>
      <c r="L5555" s="32"/>
      <c r="M5555" s="32"/>
      <c r="N5555" s="32"/>
      <c r="O5555" s="32"/>
      <c r="P5555" s="32"/>
      <c r="Q5555" s="32"/>
      <c r="R5555" s="32"/>
      <c r="S5555" s="32"/>
      <c r="T5555" s="32"/>
      <c r="U5555" s="32"/>
      <c r="V5555" s="32"/>
      <c r="W5555" s="32"/>
      <c r="X5555" s="32"/>
      <c r="Y5555" s="32"/>
      <c r="Z5555" s="32"/>
    </row>
    <row r="5556" spans="1:26" ht="14.25" customHeight="1">
      <c r="A5556" s="80" t="s">
        <v>1323</v>
      </c>
      <c r="B5556" s="81"/>
      <c r="C5556" s="81"/>
      <c r="D5556" s="81"/>
      <c r="E5556" s="81"/>
      <c r="F5556" s="81"/>
      <c r="G5556" s="81"/>
      <c r="H5556" s="82"/>
      <c r="I5556" s="32"/>
      <c r="J5556" s="32"/>
      <c r="K5556" s="32"/>
      <c r="L5556" s="32"/>
      <c r="M5556" s="32"/>
      <c r="N5556" s="32"/>
      <c r="O5556" s="32"/>
      <c r="P5556" s="32"/>
      <c r="Q5556" s="32"/>
      <c r="R5556" s="32"/>
      <c r="S5556" s="32"/>
      <c r="T5556" s="32"/>
      <c r="U5556" s="32"/>
      <c r="V5556" s="32"/>
      <c r="W5556" s="32"/>
      <c r="X5556" s="32"/>
      <c r="Y5556" s="32"/>
      <c r="Z5556" s="32"/>
    </row>
    <row r="5557" spans="1:26" ht="14.25" customHeight="1">
      <c r="A5557" s="33" t="s">
        <v>2</v>
      </c>
      <c r="B5557" s="33" t="s">
        <v>3</v>
      </c>
      <c r="C5557" s="33" t="s">
        <v>4</v>
      </c>
      <c r="D5557" s="33" t="s">
        <v>5</v>
      </c>
      <c r="E5557" s="33" t="s">
        <v>6</v>
      </c>
      <c r="F5557" s="34" t="s">
        <v>7</v>
      </c>
      <c r="G5557" s="33" t="s">
        <v>8</v>
      </c>
      <c r="H5557" s="35"/>
      <c r="I5557" s="32"/>
      <c r="J5557" s="32"/>
      <c r="K5557" s="32"/>
      <c r="L5557" s="32"/>
      <c r="M5557" s="32"/>
      <c r="N5557" s="32"/>
      <c r="O5557" s="32"/>
      <c r="P5557" s="32"/>
      <c r="Q5557" s="32"/>
      <c r="R5557" s="32"/>
      <c r="S5557" s="32"/>
      <c r="T5557" s="32"/>
      <c r="U5557" s="32"/>
      <c r="V5557" s="32"/>
      <c r="W5557" s="32"/>
      <c r="X5557" s="32"/>
      <c r="Y5557" s="32"/>
      <c r="Z5557" s="32"/>
    </row>
    <row r="5558" spans="1:26" ht="14.25" customHeight="1">
      <c r="A5558" s="36">
        <v>1</v>
      </c>
      <c r="B5558" s="18" t="s">
        <v>203</v>
      </c>
      <c r="C5558" s="5" t="s">
        <v>1140</v>
      </c>
      <c r="D5558" s="18" t="s">
        <v>11</v>
      </c>
      <c r="E5558" s="18">
        <v>2</v>
      </c>
      <c r="F5558" s="6">
        <v>293000</v>
      </c>
      <c r="G5558" s="37">
        <v>586000</v>
      </c>
      <c r="H5558" s="38"/>
      <c r="I5558" s="32"/>
      <c r="J5558" s="32"/>
      <c r="K5558" s="32"/>
      <c r="L5558" s="32"/>
      <c r="M5558" s="32"/>
      <c r="N5558" s="32"/>
      <c r="O5558" s="32"/>
      <c r="P5558" s="32"/>
      <c r="Q5558" s="32"/>
      <c r="R5558" s="32"/>
      <c r="S5558" s="32"/>
      <c r="T5558" s="32"/>
      <c r="U5558" s="32"/>
      <c r="V5558" s="32"/>
      <c r="W5558" s="32"/>
      <c r="X5558" s="32"/>
      <c r="Y5558" s="32"/>
      <c r="Z5558" s="32"/>
    </row>
    <row r="5559" spans="1:26" ht="14.25" customHeight="1">
      <c r="A5559" s="36">
        <v>2</v>
      </c>
      <c r="B5559" s="12" t="s">
        <v>1324</v>
      </c>
      <c r="C5559" s="10" t="s">
        <v>1325</v>
      </c>
      <c r="D5559" s="12" t="s">
        <v>233</v>
      </c>
      <c r="E5559" s="12">
        <v>1.5</v>
      </c>
      <c r="F5559" s="43">
        <v>435000</v>
      </c>
      <c r="G5559" s="37">
        <v>652000</v>
      </c>
      <c r="H5559" s="38"/>
      <c r="I5559" s="32"/>
      <c r="J5559" s="32"/>
      <c r="K5559" s="32"/>
      <c r="L5559" s="32"/>
      <c r="M5559" s="32"/>
      <c r="N5559" s="32"/>
      <c r="O5559" s="32"/>
      <c r="P5559" s="32"/>
      <c r="Q5559" s="32"/>
      <c r="R5559" s="32"/>
      <c r="S5559" s="32"/>
      <c r="T5559" s="32"/>
      <c r="U5559" s="32"/>
      <c r="V5559" s="32"/>
      <c r="W5559" s="32"/>
      <c r="X5559" s="32"/>
      <c r="Y5559" s="32"/>
      <c r="Z5559" s="32"/>
    </row>
    <row r="5560" spans="1:26" ht="14.25" customHeight="1">
      <c r="A5560" s="36">
        <v>4</v>
      </c>
      <c r="B5560" s="39" t="s">
        <v>17</v>
      </c>
      <c r="C5560" s="38"/>
      <c r="D5560" s="38"/>
      <c r="E5560" s="38"/>
      <c r="F5560" s="60"/>
      <c r="G5560" s="37">
        <f>IFERROR(E5560*F5560,0)</f>
        <v>0</v>
      </c>
      <c r="H5560" s="38"/>
      <c r="I5560" s="32"/>
      <c r="J5560" s="32"/>
      <c r="K5560" s="32"/>
      <c r="L5560" s="32"/>
      <c r="M5560" s="32"/>
      <c r="N5560" s="32"/>
      <c r="O5560" s="32"/>
      <c r="P5560" s="32"/>
      <c r="Q5560" s="32"/>
      <c r="R5560" s="32"/>
      <c r="S5560" s="32"/>
      <c r="T5560" s="32"/>
      <c r="U5560" s="32"/>
      <c r="V5560" s="32"/>
      <c r="W5560" s="32"/>
      <c r="X5560" s="32"/>
      <c r="Y5560" s="32"/>
      <c r="Z5560" s="32"/>
    </row>
    <row r="5561" spans="1:26" ht="14.25" customHeight="1">
      <c r="A5561" s="83" t="s">
        <v>18</v>
      </c>
      <c r="B5561" s="81"/>
      <c r="C5561" s="81"/>
      <c r="D5561" s="81"/>
      <c r="E5561" s="81"/>
      <c r="F5561" s="81"/>
      <c r="G5561" s="82"/>
      <c r="H5561" s="41">
        <f>SUM(G5558:G5560)</f>
        <v>1238000</v>
      </c>
      <c r="I5561" s="32"/>
      <c r="J5561" s="32"/>
      <c r="K5561" s="32"/>
      <c r="L5561" s="32"/>
      <c r="M5561" s="32"/>
      <c r="N5561" s="32"/>
      <c r="O5561" s="32"/>
      <c r="P5561" s="32"/>
      <c r="Q5561" s="32"/>
      <c r="R5561" s="32"/>
      <c r="S5561" s="32"/>
      <c r="T5561" s="32"/>
      <c r="U5561" s="32"/>
      <c r="V5561" s="32"/>
      <c r="W5561" s="32"/>
      <c r="X5561" s="32"/>
      <c r="Y5561" s="32"/>
      <c r="Z5561" s="32"/>
    </row>
    <row r="5562" spans="1:26" ht="14.25" customHeight="1">
      <c r="A5562" s="83" t="s">
        <v>19</v>
      </c>
      <c r="B5562" s="81"/>
      <c r="C5562" s="81"/>
      <c r="D5562" s="81"/>
      <c r="E5562" s="81"/>
      <c r="F5562" s="81"/>
      <c r="G5562" s="82"/>
      <c r="H5562" s="41">
        <f>MAX(0,H5561-648000)</f>
        <v>590000</v>
      </c>
      <c r="I5562" s="32"/>
      <c r="J5562" s="32"/>
      <c r="K5562" s="32"/>
      <c r="L5562" s="32"/>
      <c r="M5562" s="32"/>
      <c r="N5562" s="32"/>
      <c r="O5562" s="32"/>
      <c r="P5562" s="32"/>
      <c r="Q5562" s="32"/>
      <c r="R5562" s="32"/>
      <c r="S5562" s="32"/>
      <c r="T5562" s="32"/>
      <c r="U5562" s="32"/>
      <c r="V5562" s="32"/>
      <c r="W5562" s="32"/>
      <c r="X5562" s="32"/>
      <c r="Y5562" s="32"/>
      <c r="Z5562" s="32"/>
    </row>
    <row r="5563" spans="1:26" ht="14.25" customHeight="1">
      <c r="A5563" s="84" t="s">
        <v>20</v>
      </c>
      <c r="B5563" s="81"/>
      <c r="C5563" s="81"/>
      <c r="D5563" s="81"/>
      <c r="E5563" s="81"/>
      <c r="F5563" s="81"/>
      <c r="G5563" s="82"/>
      <c r="H5563" s="42">
        <v>649000</v>
      </c>
      <c r="I5563" s="32"/>
      <c r="J5563" s="32"/>
      <c r="K5563" s="32"/>
      <c r="L5563" s="32"/>
      <c r="M5563" s="32"/>
      <c r="N5563" s="32"/>
      <c r="O5563" s="32"/>
      <c r="P5563" s="32"/>
      <c r="Q5563" s="32"/>
      <c r="R5563" s="32"/>
      <c r="S5563" s="32"/>
      <c r="T5563" s="32"/>
      <c r="U5563" s="32"/>
      <c r="V5563" s="32"/>
      <c r="W5563" s="32"/>
      <c r="X5563" s="32"/>
      <c r="Y5563" s="32"/>
      <c r="Z5563" s="32"/>
    </row>
    <row r="5564" spans="1:26" ht="14.25" customHeight="1">
      <c r="A5564" s="80"/>
      <c r="B5564" s="81"/>
      <c r="C5564" s="81"/>
      <c r="D5564" s="81"/>
      <c r="E5564" s="81"/>
      <c r="F5564" s="81"/>
      <c r="G5564" s="81"/>
      <c r="H5564" s="82"/>
      <c r="I5564" s="32"/>
      <c r="J5564" s="32"/>
      <c r="K5564" s="32"/>
      <c r="L5564" s="32"/>
      <c r="M5564" s="32"/>
      <c r="N5564" s="32"/>
      <c r="O5564" s="32"/>
      <c r="P5564" s="32"/>
      <c r="Q5564" s="32"/>
      <c r="R5564" s="32"/>
      <c r="S5564" s="32"/>
      <c r="T5564" s="32"/>
      <c r="U5564" s="32"/>
      <c r="V5564" s="32"/>
      <c r="W5564" s="32"/>
      <c r="X5564" s="32"/>
      <c r="Y5564" s="32"/>
      <c r="Z5564" s="32"/>
    </row>
    <row r="5565" spans="1:26" ht="14.25" customHeight="1">
      <c r="I5565" s="32"/>
    </row>
    <row r="5566" spans="1:26" ht="14.25" customHeight="1">
      <c r="I5566" s="32"/>
    </row>
    <row r="5567" spans="1:26" ht="14.25" customHeight="1">
      <c r="I5567" s="32"/>
    </row>
    <row r="5568" spans="1:26" ht="14.25" customHeight="1">
      <c r="I5568" s="32"/>
    </row>
    <row r="5569" spans="1:26" ht="14.25" customHeight="1">
      <c r="I5569" s="32"/>
    </row>
    <row r="5570" spans="1:26" ht="14.25" customHeight="1">
      <c r="I5570" s="32"/>
    </row>
    <row r="5571" spans="1:26" ht="14.25" customHeight="1">
      <c r="I5571" s="32"/>
    </row>
    <row r="5572" spans="1:26" ht="14.25" customHeight="1">
      <c r="A5572" s="80" t="s">
        <v>0</v>
      </c>
      <c r="B5572" s="81"/>
      <c r="C5572" s="81"/>
      <c r="D5572" s="81"/>
      <c r="E5572" s="81"/>
      <c r="F5572" s="81"/>
      <c r="G5572" s="81"/>
      <c r="H5572" s="82"/>
      <c r="I5572" s="32"/>
      <c r="J5572" s="32"/>
      <c r="K5572" s="32"/>
      <c r="L5572" s="32"/>
      <c r="M5572" s="32"/>
      <c r="N5572" s="32"/>
      <c r="O5572" s="32"/>
      <c r="P5572" s="32"/>
      <c r="Q5572" s="32"/>
      <c r="R5572" s="32"/>
      <c r="S5572" s="32"/>
      <c r="T5572" s="32"/>
      <c r="U5572" s="32"/>
      <c r="V5572" s="32"/>
      <c r="W5572" s="32"/>
      <c r="X5572" s="32"/>
      <c r="Y5572" s="32"/>
      <c r="Z5572" s="32"/>
    </row>
    <row r="5573" spans="1:26" ht="14.25" customHeight="1">
      <c r="A5573" s="80" t="s">
        <v>1326</v>
      </c>
      <c r="B5573" s="81"/>
      <c r="C5573" s="81"/>
      <c r="D5573" s="81"/>
      <c r="E5573" s="81"/>
      <c r="F5573" s="81"/>
      <c r="G5573" s="81"/>
      <c r="H5573" s="82"/>
      <c r="I5573" s="32"/>
      <c r="J5573" s="32"/>
      <c r="K5573" s="32"/>
      <c r="L5573" s="32"/>
      <c r="M5573" s="32"/>
      <c r="N5573" s="32"/>
      <c r="O5573" s="32"/>
      <c r="P5573" s="32"/>
      <c r="Q5573" s="32"/>
      <c r="R5573" s="32"/>
      <c r="S5573" s="32"/>
      <c r="T5573" s="32"/>
      <c r="U5573" s="32"/>
      <c r="V5573" s="32"/>
      <c r="W5573" s="32"/>
      <c r="X5573" s="32"/>
      <c r="Y5573" s="32"/>
      <c r="Z5573" s="32"/>
    </row>
    <row r="5574" spans="1:26" ht="14.25" customHeight="1">
      <c r="A5574" s="33" t="s">
        <v>2</v>
      </c>
      <c r="B5574" s="33" t="s">
        <v>3</v>
      </c>
      <c r="C5574" s="33" t="s">
        <v>4</v>
      </c>
      <c r="D5574" s="33" t="s">
        <v>5</v>
      </c>
      <c r="E5574" s="33" t="s">
        <v>6</v>
      </c>
      <c r="F5574" s="34" t="s">
        <v>7</v>
      </c>
      <c r="G5574" s="33" t="s">
        <v>8</v>
      </c>
      <c r="H5574" s="35"/>
      <c r="I5574" s="32"/>
      <c r="J5574" s="32"/>
      <c r="K5574" s="32"/>
      <c r="L5574" s="32"/>
      <c r="M5574" s="32"/>
      <c r="N5574" s="32"/>
      <c r="O5574" s="32"/>
      <c r="P5574" s="32"/>
      <c r="Q5574" s="32"/>
      <c r="R5574" s="32"/>
      <c r="S5574" s="32"/>
      <c r="T5574" s="32"/>
      <c r="U5574" s="32"/>
      <c r="V5574" s="32"/>
      <c r="W5574" s="32"/>
      <c r="X5574" s="32"/>
      <c r="Y5574" s="32"/>
      <c r="Z5574" s="32"/>
    </row>
    <row r="5575" spans="1:26" ht="14.25" customHeight="1">
      <c r="A5575" s="36">
        <v>1</v>
      </c>
      <c r="B5575" s="51" t="s">
        <v>629</v>
      </c>
      <c r="C5575" s="51" t="s">
        <v>1327</v>
      </c>
      <c r="D5575" s="51" t="s">
        <v>413</v>
      </c>
      <c r="E5575" s="51">
        <v>2</v>
      </c>
      <c r="F5575" s="6">
        <v>293000</v>
      </c>
      <c r="G5575" s="37">
        <v>586000</v>
      </c>
      <c r="H5575" s="38"/>
      <c r="I5575" s="32"/>
      <c r="J5575" s="32"/>
      <c r="K5575" s="32"/>
      <c r="L5575" s="32"/>
      <c r="M5575" s="32"/>
      <c r="N5575" s="32"/>
      <c r="O5575" s="32"/>
      <c r="P5575" s="32"/>
      <c r="Q5575" s="32"/>
      <c r="R5575" s="32"/>
      <c r="S5575" s="32"/>
      <c r="T5575" s="32"/>
      <c r="U5575" s="32"/>
      <c r="V5575" s="32"/>
      <c r="W5575" s="32"/>
      <c r="X5575" s="32"/>
      <c r="Y5575" s="32"/>
      <c r="Z5575" s="32"/>
    </row>
    <row r="5576" spans="1:26" ht="14.25" customHeight="1">
      <c r="A5576" s="36">
        <v>2</v>
      </c>
      <c r="B5576" s="51" t="s">
        <v>715</v>
      </c>
      <c r="C5576" s="51" t="s">
        <v>1328</v>
      </c>
      <c r="D5576" s="51" t="s">
        <v>14</v>
      </c>
      <c r="E5576" s="51">
        <v>1.36</v>
      </c>
      <c r="F5576" s="43">
        <v>435000</v>
      </c>
      <c r="G5576" s="37">
        <f>IFERROR(E5559*F5576,0)</f>
        <v>652500</v>
      </c>
      <c r="H5576" s="38"/>
      <c r="I5576" s="32"/>
      <c r="J5576" s="32"/>
      <c r="K5576" s="32"/>
      <c r="L5576" s="32"/>
      <c r="M5576" s="32"/>
      <c r="N5576" s="32"/>
      <c r="O5576" s="32"/>
      <c r="P5576" s="32"/>
      <c r="Q5576" s="32"/>
      <c r="R5576" s="32"/>
      <c r="S5576" s="32"/>
      <c r="T5576" s="32"/>
      <c r="U5576" s="32"/>
      <c r="V5576" s="32"/>
      <c r="W5576" s="32"/>
      <c r="X5576" s="32"/>
      <c r="Y5576" s="32"/>
      <c r="Z5576" s="32"/>
    </row>
    <row r="5577" spans="1:26" ht="14.25" customHeight="1">
      <c r="A5577" s="36">
        <v>4</v>
      </c>
      <c r="B5577" s="39" t="s">
        <v>17</v>
      </c>
      <c r="C5577" s="38"/>
      <c r="D5577" s="38"/>
      <c r="E5577" s="38"/>
      <c r="F5577" s="60"/>
      <c r="G5577" s="37">
        <f>IFERROR(E5577*F5577,0)</f>
        <v>0</v>
      </c>
      <c r="H5577" s="38"/>
      <c r="I5577" s="32"/>
      <c r="J5577" s="32"/>
      <c r="K5577" s="32"/>
      <c r="L5577" s="32"/>
      <c r="M5577" s="32"/>
      <c r="N5577" s="32"/>
      <c r="O5577" s="32"/>
      <c r="P5577" s="32"/>
      <c r="Q5577" s="32"/>
      <c r="R5577" s="32"/>
      <c r="S5577" s="32"/>
      <c r="T5577" s="32"/>
      <c r="U5577" s="32"/>
      <c r="V5577" s="32"/>
      <c r="W5577" s="32"/>
      <c r="X5577" s="32"/>
      <c r="Y5577" s="32"/>
      <c r="Z5577" s="32"/>
    </row>
    <row r="5578" spans="1:26" ht="14.25" customHeight="1">
      <c r="A5578" s="83" t="s">
        <v>18</v>
      </c>
      <c r="B5578" s="81"/>
      <c r="C5578" s="81"/>
      <c r="D5578" s="81"/>
      <c r="E5578" s="81"/>
      <c r="F5578" s="81"/>
      <c r="G5578" s="82"/>
      <c r="H5578" s="41">
        <f>SUM(G5575:G5577)</f>
        <v>1238500</v>
      </c>
      <c r="I5578" s="32"/>
      <c r="J5578" s="32"/>
      <c r="K5578" s="32"/>
      <c r="L5578" s="32"/>
      <c r="M5578" s="32"/>
      <c r="N5578" s="32"/>
      <c r="O5578" s="32"/>
      <c r="P5578" s="32"/>
      <c r="Q5578" s="32"/>
      <c r="R5578" s="32"/>
      <c r="S5578" s="32"/>
      <c r="T5578" s="32"/>
      <c r="U5578" s="32"/>
      <c r="V5578" s="32"/>
      <c r="W5578" s="32"/>
      <c r="X5578" s="32"/>
      <c r="Y5578" s="32"/>
      <c r="Z5578" s="32"/>
    </row>
    <row r="5579" spans="1:26" ht="14.25" customHeight="1">
      <c r="A5579" s="83" t="s">
        <v>19</v>
      </c>
      <c r="B5579" s="81"/>
      <c r="C5579" s="81"/>
      <c r="D5579" s="81"/>
      <c r="E5579" s="81"/>
      <c r="F5579" s="81"/>
      <c r="G5579" s="82"/>
      <c r="H5579" s="41">
        <f>MAX(0,H5578-648000)</f>
        <v>590500</v>
      </c>
      <c r="I5579" s="32"/>
      <c r="J5579" s="32"/>
      <c r="K5579" s="32"/>
      <c r="L5579" s="32"/>
      <c r="M5579" s="32"/>
      <c r="N5579" s="32"/>
      <c r="O5579" s="32"/>
      <c r="P5579" s="32"/>
      <c r="Q5579" s="32"/>
      <c r="R5579" s="32"/>
      <c r="S5579" s="32"/>
      <c r="T5579" s="32"/>
      <c r="U5579" s="32"/>
      <c r="V5579" s="32"/>
      <c r="W5579" s="32"/>
      <c r="X5579" s="32"/>
      <c r="Y5579" s="32"/>
      <c r="Z5579" s="32"/>
    </row>
    <row r="5580" spans="1:26" ht="14.25" customHeight="1">
      <c r="A5580" s="84" t="s">
        <v>20</v>
      </c>
      <c r="B5580" s="81"/>
      <c r="C5580" s="81"/>
      <c r="D5580" s="81"/>
      <c r="E5580" s="81"/>
      <c r="F5580" s="81"/>
      <c r="G5580" s="82"/>
      <c r="H5580" s="42">
        <v>649000</v>
      </c>
      <c r="I5580" s="32"/>
      <c r="J5580" s="32"/>
      <c r="K5580" s="32"/>
      <c r="L5580" s="32"/>
      <c r="M5580" s="32"/>
      <c r="N5580" s="32"/>
      <c r="O5580" s="32"/>
      <c r="P5580" s="32"/>
      <c r="Q5580" s="32"/>
      <c r="R5580" s="32"/>
      <c r="S5580" s="32"/>
      <c r="T5580" s="32"/>
      <c r="U5580" s="32"/>
      <c r="V5580" s="32"/>
      <c r="W5580" s="32"/>
      <c r="X5580" s="32"/>
      <c r="Y5580" s="32"/>
      <c r="Z5580" s="32"/>
    </row>
    <row r="5581" spans="1:26" ht="14.25" customHeight="1">
      <c r="A5581" s="80"/>
      <c r="B5581" s="81"/>
      <c r="C5581" s="81"/>
      <c r="D5581" s="81"/>
      <c r="E5581" s="81"/>
      <c r="F5581" s="81"/>
      <c r="G5581" s="81"/>
      <c r="H5581" s="82"/>
      <c r="I5581" s="32"/>
      <c r="J5581" s="32"/>
      <c r="K5581" s="32"/>
      <c r="L5581" s="32"/>
      <c r="M5581" s="32"/>
      <c r="N5581" s="32"/>
      <c r="O5581" s="32"/>
      <c r="P5581" s="32"/>
      <c r="Q5581" s="32"/>
      <c r="R5581" s="32"/>
      <c r="S5581" s="32"/>
      <c r="T5581" s="32"/>
      <c r="U5581" s="32"/>
      <c r="V5581" s="32"/>
      <c r="W5581" s="32"/>
      <c r="X5581" s="32"/>
      <c r="Y5581" s="32"/>
      <c r="Z5581" s="32"/>
    </row>
    <row r="5582" spans="1:26" ht="14.25" customHeight="1">
      <c r="I5582" s="32"/>
    </row>
    <row r="5583" spans="1:26" ht="14.25" customHeight="1">
      <c r="I5583" s="32"/>
    </row>
    <row r="5584" spans="1:26" ht="14.25" customHeight="1">
      <c r="I5584" s="32"/>
    </row>
    <row r="5585" spans="1:26" ht="14.25" customHeight="1">
      <c r="I5585" s="32"/>
    </row>
    <row r="5586" spans="1:26" ht="14.25" customHeight="1">
      <c r="I5586" s="32"/>
    </row>
    <row r="5587" spans="1:26" ht="14.25" customHeight="1">
      <c r="I5587" s="32"/>
    </row>
    <row r="5588" spans="1:26" ht="14.25" customHeight="1">
      <c r="A5588" s="80" t="s">
        <v>0</v>
      </c>
      <c r="B5588" s="81"/>
      <c r="C5588" s="81"/>
      <c r="D5588" s="81"/>
      <c r="E5588" s="81"/>
      <c r="F5588" s="81"/>
      <c r="G5588" s="81"/>
      <c r="H5588" s="82"/>
      <c r="I5588" s="32"/>
      <c r="J5588" s="32"/>
      <c r="K5588" s="32"/>
      <c r="L5588" s="32"/>
      <c r="M5588" s="32"/>
      <c r="N5588" s="32"/>
      <c r="O5588" s="32"/>
      <c r="P5588" s="32"/>
      <c r="Q5588" s="32"/>
      <c r="R5588" s="32"/>
      <c r="S5588" s="32"/>
      <c r="T5588" s="32"/>
      <c r="U5588" s="32"/>
      <c r="V5588" s="32"/>
      <c r="W5588" s="32"/>
      <c r="X5588" s="32"/>
      <c r="Y5588" s="32"/>
      <c r="Z5588" s="32"/>
    </row>
    <row r="5589" spans="1:26" ht="14.25" customHeight="1">
      <c r="A5589" s="80" t="s">
        <v>1329</v>
      </c>
      <c r="B5589" s="81"/>
      <c r="C5589" s="81"/>
      <c r="D5589" s="81"/>
      <c r="E5589" s="81"/>
      <c r="F5589" s="81"/>
      <c r="G5589" s="81"/>
      <c r="H5589" s="82"/>
      <c r="I5589" s="32"/>
      <c r="J5589" s="32"/>
      <c r="K5589" s="32"/>
      <c r="L5589" s="32"/>
      <c r="M5589" s="32"/>
      <c r="N5589" s="32"/>
      <c r="O5589" s="32"/>
      <c r="P5589" s="32"/>
      <c r="Q5589" s="32"/>
      <c r="R5589" s="32"/>
      <c r="S5589" s="32"/>
      <c r="T5589" s="32"/>
      <c r="U5589" s="32"/>
      <c r="V5589" s="32"/>
      <c r="W5589" s="32"/>
      <c r="X5589" s="32"/>
      <c r="Y5589" s="32"/>
      <c r="Z5589" s="32"/>
    </row>
    <row r="5590" spans="1:26" ht="14.25" customHeight="1">
      <c r="A5590" s="33" t="s">
        <v>2</v>
      </c>
      <c r="B5590" s="33" t="s">
        <v>3</v>
      </c>
      <c r="C5590" s="33" t="s">
        <v>4</v>
      </c>
      <c r="D5590" s="33" t="s">
        <v>5</v>
      </c>
      <c r="E5590" s="33" t="s">
        <v>6</v>
      </c>
      <c r="F5590" s="34" t="s">
        <v>7</v>
      </c>
      <c r="G5590" s="33" t="s">
        <v>8</v>
      </c>
      <c r="H5590" s="35"/>
      <c r="I5590" s="32"/>
      <c r="J5590" s="32"/>
      <c r="K5590" s="32"/>
      <c r="L5590" s="32"/>
      <c r="M5590" s="32"/>
      <c r="N5590" s="32"/>
      <c r="O5590" s="32"/>
      <c r="P5590" s="32"/>
      <c r="Q5590" s="32"/>
      <c r="R5590" s="32"/>
      <c r="S5590" s="32"/>
      <c r="T5590" s="32"/>
      <c r="U5590" s="32"/>
      <c r="V5590" s="32"/>
      <c r="W5590" s="32"/>
      <c r="X5590" s="32"/>
      <c r="Y5590" s="32"/>
      <c r="Z5590" s="32"/>
    </row>
    <row r="5591" spans="1:26" ht="14.25" customHeight="1">
      <c r="A5591" s="36">
        <v>1</v>
      </c>
      <c r="B5591" s="18" t="s">
        <v>984</v>
      </c>
      <c r="C5591" s="5" t="s">
        <v>1330</v>
      </c>
      <c r="D5591" s="18" t="s">
        <v>11</v>
      </c>
      <c r="E5591" s="18">
        <v>2</v>
      </c>
      <c r="F5591" s="6">
        <v>293000</v>
      </c>
      <c r="G5591" s="37">
        <f t="shared" ref="G5591:G5593" si="350">IFERROR(E5591*F5591,0)</f>
        <v>586000</v>
      </c>
      <c r="H5591" s="38"/>
      <c r="I5591" s="32"/>
      <c r="J5591" s="32"/>
      <c r="K5591" s="32"/>
      <c r="L5591" s="32"/>
      <c r="M5591" s="32"/>
      <c r="N5591" s="32"/>
      <c r="O5591" s="32"/>
      <c r="P5591" s="32"/>
      <c r="Q5591" s="32"/>
      <c r="R5591" s="32"/>
      <c r="S5591" s="32"/>
      <c r="T5591" s="32"/>
      <c r="U5591" s="32"/>
      <c r="V5591" s="32"/>
      <c r="W5591" s="32"/>
      <c r="X5591" s="32"/>
      <c r="Y5591" s="32"/>
      <c r="Z5591" s="32"/>
    </row>
    <row r="5592" spans="1:26" ht="14.25" customHeight="1">
      <c r="A5592" s="36">
        <v>2</v>
      </c>
      <c r="B5592" s="12" t="s">
        <v>549</v>
      </c>
      <c r="C5592" s="10" t="s">
        <v>1331</v>
      </c>
      <c r="D5592" s="12" t="s">
        <v>233</v>
      </c>
      <c r="E5592" s="12">
        <v>1.48</v>
      </c>
      <c r="F5592" s="43">
        <v>435000</v>
      </c>
      <c r="G5592" s="37">
        <f t="shared" si="350"/>
        <v>643800</v>
      </c>
      <c r="H5592" s="38"/>
      <c r="I5592" s="32"/>
      <c r="J5592" s="32"/>
      <c r="K5592" s="32"/>
      <c r="L5592" s="32"/>
      <c r="M5592" s="32"/>
      <c r="N5592" s="32"/>
      <c r="O5592" s="32"/>
      <c r="P5592" s="32"/>
      <c r="Q5592" s="32"/>
      <c r="R5592" s="32"/>
      <c r="S5592" s="32"/>
      <c r="T5592" s="32"/>
      <c r="U5592" s="32"/>
      <c r="V5592" s="32"/>
      <c r="W5592" s="32"/>
      <c r="X5592" s="32"/>
      <c r="Y5592" s="32"/>
      <c r="Z5592" s="32"/>
    </row>
    <row r="5593" spans="1:26" ht="14.25" customHeight="1">
      <c r="A5593" s="36">
        <v>4</v>
      </c>
      <c r="B5593" s="39" t="s">
        <v>17</v>
      </c>
      <c r="C5593" s="38"/>
      <c r="D5593" s="38"/>
      <c r="E5593" s="38"/>
      <c r="F5593" s="60"/>
      <c r="G5593" s="37">
        <f t="shared" si="350"/>
        <v>0</v>
      </c>
      <c r="H5593" s="38"/>
      <c r="I5593" s="32"/>
      <c r="J5593" s="32"/>
      <c r="K5593" s="32"/>
      <c r="L5593" s="32"/>
      <c r="M5593" s="32"/>
      <c r="N5593" s="32"/>
      <c r="O5593" s="32"/>
      <c r="P5593" s="32"/>
      <c r="Q5593" s="32"/>
      <c r="R5593" s="32"/>
      <c r="S5593" s="32"/>
      <c r="T5593" s="32"/>
      <c r="U5593" s="32"/>
      <c r="V5593" s="32"/>
      <c r="W5593" s="32"/>
      <c r="X5593" s="32"/>
      <c r="Y5593" s="32"/>
      <c r="Z5593" s="32"/>
    </row>
    <row r="5594" spans="1:26" ht="14.25" customHeight="1">
      <c r="A5594" s="83" t="s">
        <v>18</v>
      </c>
      <c r="B5594" s="81"/>
      <c r="C5594" s="81"/>
      <c r="D5594" s="81"/>
      <c r="E5594" s="81"/>
      <c r="F5594" s="81"/>
      <c r="G5594" s="82"/>
      <c r="H5594" s="41">
        <f>SUM(G5591:G5593)</f>
        <v>1229800</v>
      </c>
      <c r="I5594" s="32"/>
      <c r="J5594" s="32"/>
      <c r="K5594" s="32"/>
      <c r="L5594" s="32"/>
      <c r="M5594" s="32"/>
      <c r="N5594" s="32"/>
      <c r="O5594" s="32"/>
      <c r="P5594" s="32"/>
      <c r="Q5594" s="32"/>
      <c r="R5594" s="32"/>
      <c r="S5594" s="32"/>
      <c r="T5594" s="32"/>
      <c r="U5594" s="32"/>
      <c r="V5594" s="32"/>
      <c r="W5594" s="32"/>
      <c r="X5594" s="32"/>
      <c r="Y5594" s="32"/>
      <c r="Z5594" s="32"/>
    </row>
    <row r="5595" spans="1:26" ht="14.25" customHeight="1">
      <c r="A5595" s="83" t="s">
        <v>19</v>
      </c>
      <c r="B5595" s="81"/>
      <c r="C5595" s="81"/>
      <c r="D5595" s="81"/>
      <c r="E5595" s="81"/>
      <c r="F5595" s="81"/>
      <c r="G5595" s="82"/>
      <c r="H5595" s="41">
        <f>MAX(0,H5594-648000)</f>
        <v>581800</v>
      </c>
      <c r="I5595" s="32"/>
      <c r="J5595" s="32"/>
      <c r="K5595" s="32"/>
      <c r="L5595" s="32"/>
      <c r="M5595" s="32"/>
      <c r="N5595" s="32"/>
      <c r="O5595" s="32"/>
      <c r="P5595" s="32"/>
      <c r="Q5595" s="32"/>
      <c r="R5595" s="32"/>
      <c r="S5595" s="32"/>
      <c r="T5595" s="32"/>
      <c r="U5595" s="32"/>
      <c r="V5595" s="32"/>
      <c r="W5595" s="32"/>
      <c r="X5595" s="32"/>
      <c r="Y5595" s="32"/>
      <c r="Z5595" s="32"/>
    </row>
    <row r="5596" spans="1:26" ht="14.25" customHeight="1">
      <c r="A5596" s="84" t="s">
        <v>20</v>
      </c>
      <c r="B5596" s="81"/>
      <c r="C5596" s="81"/>
      <c r="D5596" s="81"/>
      <c r="E5596" s="81"/>
      <c r="F5596" s="81"/>
      <c r="G5596" s="82"/>
      <c r="H5596" s="42">
        <v>649000</v>
      </c>
      <c r="I5596" s="32"/>
      <c r="J5596" s="32"/>
      <c r="K5596" s="32"/>
      <c r="L5596" s="32"/>
      <c r="M5596" s="32"/>
      <c r="N5596" s="32"/>
      <c r="O5596" s="32"/>
      <c r="P5596" s="32"/>
      <c r="Q5596" s="32"/>
      <c r="R5596" s="32"/>
      <c r="S5596" s="32"/>
      <c r="T5596" s="32"/>
      <c r="U5596" s="32"/>
      <c r="V5596" s="32"/>
      <c r="W5596" s="32"/>
      <c r="X5596" s="32"/>
      <c r="Y5596" s="32"/>
      <c r="Z5596" s="32"/>
    </row>
    <row r="5597" spans="1:26" ht="14.25" customHeight="1">
      <c r="A5597" s="80"/>
      <c r="B5597" s="81"/>
      <c r="C5597" s="81"/>
      <c r="D5597" s="81"/>
      <c r="E5597" s="81"/>
      <c r="F5597" s="81"/>
      <c r="G5597" s="81"/>
      <c r="H5597" s="82"/>
      <c r="I5597" s="32"/>
      <c r="J5597" s="32"/>
      <c r="K5597" s="32"/>
      <c r="L5597" s="32"/>
      <c r="M5597" s="32"/>
      <c r="N5597" s="32"/>
      <c r="O5597" s="32"/>
      <c r="P5597" s="32"/>
      <c r="Q5597" s="32"/>
      <c r="R5597" s="32"/>
      <c r="S5597" s="32"/>
      <c r="T5597" s="32"/>
      <c r="U5597" s="32"/>
      <c r="V5597" s="32"/>
      <c r="W5597" s="32"/>
      <c r="X5597" s="32"/>
      <c r="Y5597" s="32"/>
      <c r="Z5597" s="32"/>
    </row>
    <row r="5598" spans="1:26" ht="14.25" customHeight="1">
      <c r="I5598" s="32"/>
    </row>
    <row r="5599" spans="1:26" ht="14.25" customHeight="1">
      <c r="I5599" s="32"/>
    </row>
    <row r="5600" spans="1:26" ht="14.25" customHeight="1">
      <c r="I5600" s="32"/>
    </row>
    <row r="5601" spans="1:26" ht="14.25" customHeight="1">
      <c r="I5601" s="32"/>
    </row>
    <row r="5602" spans="1:26" ht="14.25" customHeight="1">
      <c r="I5602" s="32"/>
    </row>
    <row r="5603" spans="1:26" ht="14.25" customHeight="1">
      <c r="I5603" s="32"/>
    </row>
    <row r="5604" spans="1:26" ht="14.25" customHeight="1">
      <c r="I5604" s="32"/>
    </row>
    <row r="5605" spans="1:26" ht="14.25" customHeight="1">
      <c r="I5605" s="32"/>
    </row>
    <row r="5606" spans="1:26" ht="14.25" customHeight="1">
      <c r="A5606" s="80" t="s">
        <v>0</v>
      </c>
      <c r="B5606" s="81"/>
      <c r="C5606" s="81"/>
      <c r="D5606" s="81"/>
      <c r="E5606" s="81"/>
      <c r="F5606" s="81"/>
      <c r="G5606" s="81"/>
      <c r="H5606" s="82"/>
      <c r="I5606" s="32"/>
      <c r="J5606" s="32"/>
      <c r="K5606" s="32"/>
      <c r="L5606" s="32"/>
      <c r="M5606" s="32"/>
      <c r="N5606" s="32"/>
      <c r="O5606" s="32"/>
      <c r="P5606" s="32"/>
      <c r="Q5606" s="32"/>
      <c r="R5606" s="32"/>
      <c r="S5606" s="32"/>
      <c r="T5606" s="32"/>
      <c r="U5606" s="32"/>
      <c r="V5606" s="32"/>
      <c r="W5606" s="32"/>
      <c r="X5606" s="32"/>
      <c r="Y5606" s="32"/>
      <c r="Z5606" s="32"/>
    </row>
    <row r="5607" spans="1:26" ht="14.25" customHeight="1">
      <c r="A5607" s="80" t="s">
        <v>1332</v>
      </c>
      <c r="B5607" s="81"/>
      <c r="C5607" s="81"/>
      <c r="D5607" s="81"/>
      <c r="E5607" s="81"/>
      <c r="F5607" s="81"/>
      <c r="G5607" s="81"/>
      <c r="H5607" s="82"/>
      <c r="I5607" s="32"/>
      <c r="J5607" s="32"/>
      <c r="K5607" s="32"/>
      <c r="L5607" s="32"/>
      <c r="M5607" s="32"/>
      <c r="N5607" s="32"/>
      <c r="O5607" s="32"/>
      <c r="P5607" s="32"/>
      <c r="Q5607" s="32"/>
      <c r="R5607" s="32"/>
      <c r="S5607" s="32"/>
      <c r="T5607" s="32"/>
      <c r="U5607" s="32"/>
      <c r="V5607" s="32"/>
      <c r="W5607" s="32"/>
      <c r="X5607" s="32"/>
      <c r="Y5607" s="32"/>
      <c r="Z5607" s="32"/>
    </row>
    <row r="5608" spans="1:26" ht="14.25" customHeight="1">
      <c r="A5608" s="33" t="s">
        <v>2</v>
      </c>
      <c r="B5608" s="33" t="s">
        <v>3</v>
      </c>
      <c r="C5608" s="33" t="s">
        <v>4</v>
      </c>
      <c r="D5608" s="33" t="s">
        <v>5</v>
      </c>
      <c r="E5608" s="33" t="s">
        <v>6</v>
      </c>
      <c r="F5608" s="34" t="s">
        <v>7</v>
      </c>
      <c r="G5608" s="33" t="s">
        <v>8</v>
      </c>
      <c r="H5608" s="35"/>
      <c r="I5608" s="32"/>
      <c r="J5608" s="32"/>
      <c r="K5608" s="32"/>
      <c r="L5608" s="32"/>
      <c r="M5608" s="32"/>
      <c r="N5608" s="32"/>
      <c r="O5608" s="32"/>
      <c r="P5608" s="32"/>
      <c r="Q5608" s="32"/>
      <c r="R5608" s="32"/>
      <c r="S5608" s="32"/>
      <c r="T5608" s="32"/>
      <c r="U5608" s="32"/>
      <c r="V5608" s="32"/>
      <c r="W5608" s="32"/>
      <c r="X5608" s="32"/>
      <c r="Y5608" s="32"/>
      <c r="Z5608" s="32"/>
    </row>
    <row r="5609" spans="1:26" ht="14.25" customHeight="1">
      <c r="A5609" s="36">
        <v>1</v>
      </c>
      <c r="B5609" s="18" t="s">
        <v>295</v>
      </c>
      <c r="C5609" s="5" t="s">
        <v>1333</v>
      </c>
      <c r="D5609" s="18" t="s">
        <v>11</v>
      </c>
      <c r="E5609" s="18">
        <v>0.94</v>
      </c>
      <c r="F5609" s="6">
        <v>293000</v>
      </c>
      <c r="G5609" s="37">
        <f t="shared" ref="G5609:G5611" si="351">IFERROR(E5609*F5609,0)</f>
        <v>275420</v>
      </c>
      <c r="H5609" s="38"/>
      <c r="I5609" s="32"/>
      <c r="J5609" s="32"/>
      <c r="K5609" s="32"/>
      <c r="L5609" s="32"/>
      <c r="M5609" s="32"/>
      <c r="N5609" s="32"/>
      <c r="O5609" s="32"/>
      <c r="P5609" s="32"/>
      <c r="Q5609" s="32"/>
      <c r="R5609" s="32"/>
      <c r="S5609" s="32"/>
      <c r="T5609" s="32"/>
      <c r="U5609" s="32"/>
      <c r="V5609" s="32"/>
      <c r="W5609" s="32"/>
      <c r="X5609" s="32"/>
      <c r="Y5609" s="32"/>
      <c r="Z5609" s="32"/>
    </row>
    <row r="5610" spans="1:26" ht="14.25" customHeight="1">
      <c r="A5610" s="36">
        <v>2</v>
      </c>
      <c r="B5610" s="12" t="s">
        <v>38</v>
      </c>
      <c r="C5610" s="10" t="s">
        <v>1334</v>
      </c>
      <c r="D5610" s="12" t="s">
        <v>233</v>
      </c>
      <c r="E5610" s="12">
        <v>2.39</v>
      </c>
      <c r="F5610" s="43">
        <v>435000</v>
      </c>
      <c r="G5610" s="37">
        <f t="shared" si="351"/>
        <v>1039650</v>
      </c>
      <c r="H5610" s="38"/>
      <c r="I5610" s="32"/>
      <c r="J5610" s="32"/>
      <c r="K5610" s="32"/>
      <c r="L5610" s="32"/>
      <c r="M5610" s="32"/>
      <c r="N5610" s="32"/>
      <c r="O5610" s="32"/>
      <c r="P5610" s="32"/>
      <c r="Q5610" s="32"/>
      <c r="R5610" s="32"/>
      <c r="S5610" s="32"/>
      <c r="T5610" s="32"/>
      <c r="U5610" s="32"/>
      <c r="V5610" s="32"/>
      <c r="W5610" s="32"/>
      <c r="X5610" s="32"/>
      <c r="Y5610" s="32"/>
      <c r="Z5610" s="32"/>
    </row>
    <row r="5611" spans="1:26" ht="14.25" customHeight="1">
      <c r="A5611" s="36">
        <v>4</v>
      </c>
      <c r="B5611" s="39" t="s">
        <v>17</v>
      </c>
      <c r="C5611" s="38"/>
      <c r="D5611" s="38"/>
      <c r="E5611" s="38"/>
      <c r="F5611" s="60"/>
      <c r="G5611" s="37">
        <f t="shared" si="351"/>
        <v>0</v>
      </c>
      <c r="H5611" s="38"/>
      <c r="I5611" s="32"/>
      <c r="J5611" s="32"/>
      <c r="K5611" s="32"/>
      <c r="L5611" s="32"/>
      <c r="M5611" s="32"/>
      <c r="N5611" s="32"/>
      <c r="O5611" s="32"/>
      <c r="P5611" s="32"/>
      <c r="Q5611" s="32"/>
      <c r="R5611" s="32"/>
      <c r="S5611" s="32"/>
      <c r="T5611" s="32"/>
      <c r="U5611" s="32"/>
      <c r="V5611" s="32"/>
      <c r="W5611" s="32"/>
      <c r="X5611" s="32"/>
      <c r="Y5611" s="32"/>
      <c r="Z5611" s="32"/>
    </row>
    <row r="5612" spans="1:26" ht="14.25" customHeight="1">
      <c r="A5612" s="83" t="s">
        <v>18</v>
      </c>
      <c r="B5612" s="81"/>
      <c r="C5612" s="81"/>
      <c r="D5612" s="81"/>
      <c r="E5612" s="81"/>
      <c r="F5612" s="81"/>
      <c r="G5612" s="82"/>
      <c r="H5612" s="41">
        <f>SUM(G5609:G5611)</f>
        <v>1315070</v>
      </c>
      <c r="I5612" s="32"/>
      <c r="J5612" s="32"/>
      <c r="K5612" s="32"/>
      <c r="L5612" s="32"/>
      <c r="M5612" s="32"/>
      <c r="N5612" s="32"/>
      <c r="O5612" s="32"/>
      <c r="P5612" s="32"/>
      <c r="Q5612" s="32"/>
      <c r="R5612" s="32"/>
      <c r="S5612" s="32"/>
      <c r="T5612" s="32"/>
      <c r="U5612" s="32"/>
      <c r="V5612" s="32"/>
      <c r="W5612" s="32"/>
      <c r="X5612" s="32"/>
      <c r="Y5612" s="32"/>
      <c r="Z5612" s="32"/>
    </row>
    <row r="5613" spans="1:26" ht="14.25" customHeight="1">
      <c r="A5613" s="83" t="s">
        <v>19</v>
      </c>
      <c r="B5613" s="81"/>
      <c r="C5613" s="81"/>
      <c r="D5613" s="81"/>
      <c r="E5613" s="81"/>
      <c r="F5613" s="81"/>
      <c r="G5613" s="82"/>
      <c r="H5613" s="41">
        <f>MAX(0,H5612-648000)</f>
        <v>667070</v>
      </c>
      <c r="I5613" s="32"/>
      <c r="J5613" s="32"/>
      <c r="K5613" s="32"/>
      <c r="L5613" s="32"/>
      <c r="M5613" s="32"/>
      <c r="N5613" s="32"/>
      <c r="O5613" s="32"/>
      <c r="P5613" s="32"/>
      <c r="Q5613" s="32"/>
      <c r="R5613" s="32"/>
      <c r="S5613" s="32"/>
      <c r="T5613" s="32"/>
      <c r="U5613" s="32"/>
      <c r="V5613" s="32"/>
      <c r="W5613" s="32"/>
      <c r="X5613" s="32"/>
      <c r="Y5613" s="32"/>
      <c r="Z5613" s="32"/>
    </row>
    <row r="5614" spans="1:26" ht="14.25" customHeight="1">
      <c r="A5614" s="84" t="s">
        <v>20</v>
      </c>
      <c r="B5614" s="81"/>
      <c r="C5614" s="81"/>
      <c r="D5614" s="81"/>
      <c r="E5614" s="81"/>
      <c r="F5614" s="81"/>
      <c r="G5614" s="82"/>
      <c r="H5614" s="42">
        <v>649000</v>
      </c>
      <c r="I5614" s="32"/>
      <c r="J5614" s="32"/>
      <c r="K5614" s="32"/>
      <c r="L5614" s="32"/>
      <c r="M5614" s="32"/>
      <c r="N5614" s="32"/>
      <c r="O5614" s="32"/>
      <c r="P5614" s="32"/>
      <c r="Q5614" s="32"/>
      <c r="R5614" s="32"/>
      <c r="S5614" s="32"/>
      <c r="T5614" s="32"/>
      <c r="U5614" s="32"/>
      <c r="V5614" s="32"/>
      <c r="W5614" s="32"/>
      <c r="X5614" s="32"/>
      <c r="Y5614" s="32"/>
      <c r="Z5614" s="32"/>
    </row>
    <row r="5615" spans="1:26" ht="14.25" customHeight="1">
      <c r="A5615" s="80"/>
      <c r="B5615" s="81"/>
      <c r="C5615" s="81"/>
      <c r="D5615" s="81"/>
      <c r="E5615" s="81"/>
      <c r="F5615" s="81"/>
      <c r="G5615" s="81"/>
      <c r="H5615" s="82"/>
      <c r="I5615" s="32"/>
      <c r="J5615" s="32"/>
      <c r="K5615" s="32"/>
      <c r="L5615" s="32"/>
      <c r="M5615" s="32"/>
      <c r="N5615" s="32"/>
      <c r="O5615" s="32"/>
      <c r="P5615" s="32"/>
      <c r="Q5615" s="32"/>
      <c r="R5615" s="32"/>
      <c r="S5615" s="32"/>
      <c r="T5615" s="32"/>
      <c r="U5615" s="32"/>
      <c r="V5615" s="32"/>
      <c r="W5615" s="32"/>
      <c r="X5615" s="32"/>
      <c r="Y5615" s="32"/>
      <c r="Z5615" s="32"/>
    </row>
    <row r="5616" spans="1:26" ht="14.25" customHeight="1">
      <c r="I5616" s="32"/>
    </row>
    <row r="5617" spans="1:26" ht="14.25" customHeight="1">
      <c r="I5617" s="32"/>
    </row>
    <row r="5618" spans="1:26" ht="14.25" customHeight="1">
      <c r="I5618" s="32"/>
    </row>
    <row r="5619" spans="1:26" ht="14.25" customHeight="1">
      <c r="I5619" s="32"/>
    </row>
    <row r="5620" spans="1:26" ht="14.25" customHeight="1">
      <c r="I5620" s="32"/>
    </row>
    <row r="5621" spans="1:26" ht="14.25" customHeight="1">
      <c r="I5621" s="32"/>
    </row>
    <row r="5622" spans="1:26" ht="14.25" customHeight="1">
      <c r="I5622" s="32"/>
    </row>
    <row r="5623" spans="1:26" ht="14.25" customHeight="1">
      <c r="A5623" s="80" t="s">
        <v>0</v>
      </c>
      <c r="B5623" s="81"/>
      <c r="C5623" s="81"/>
      <c r="D5623" s="81"/>
      <c r="E5623" s="81"/>
      <c r="F5623" s="81"/>
      <c r="G5623" s="81"/>
      <c r="H5623" s="82"/>
      <c r="I5623" s="32"/>
      <c r="J5623" s="32"/>
      <c r="K5623" s="32"/>
      <c r="L5623" s="32"/>
      <c r="M5623" s="32"/>
      <c r="N5623" s="32"/>
      <c r="O5623" s="32"/>
      <c r="P5623" s="32"/>
      <c r="Q5623" s="32"/>
      <c r="R5623" s="32"/>
      <c r="S5623" s="32"/>
      <c r="T5623" s="32"/>
      <c r="U5623" s="32"/>
      <c r="V5623" s="32"/>
      <c r="W5623" s="32"/>
      <c r="X5623" s="32"/>
      <c r="Y5623" s="32"/>
      <c r="Z5623" s="32"/>
    </row>
    <row r="5624" spans="1:26" ht="14.25" customHeight="1">
      <c r="A5624" s="80" t="s">
        <v>1335</v>
      </c>
      <c r="B5624" s="81"/>
      <c r="C5624" s="81"/>
      <c r="D5624" s="81"/>
      <c r="E5624" s="81"/>
      <c r="F5624" s="81"/>
      <c r="G5624" s="81"/>
      <c r="H5624" s="82"/>
      <c r="I5624" s="32"/>
      <c r="J5624" s="32"/>
      <c r="K5624" s="32"/>
      <c r="L5624" s="32"/>
      <c r="M5624" s="32"/>
      <c r="N5624" s="32"/>
      <c r="O5624" s="32"/>
      <c r="P5624" s="32"/>
      <c r="Q5624" s="32"/>
      <c r="R5624" s="32"/>
      <c r="S5624" s="32"/>
      <c r="T5624" s="32"/>
      <c r="U5624" s="32"/>
      <c r="V5624" s="32"/>
      <c r="W5624" s="32"/>
      <c r="X5624" s="32"/>
      <c r="Y5624" s="32"/>
      <c r="Z5624" s="32"/>
    </row>
    <row r="5625" spans="1:26" ht="14.25" customHeight="1">
      <c r="A5625" s="33" t="s">
        <v>2</v>
      </c>
      <c r="B5625" s="33" t="s">
        <v>3</v>
      </c>
      <c r="C5625" s="33" t="s">
        <v>4</v>
      </c>
      <c r="D5625" s="33" t="s">
        <v>5</v>
      </c>
      <c r="E5625" s="33" t="s">
        <v>6</v>
      </c>
      <c r="F5625" s="34" t="s">
        <v>7</v>
      </c>
      <c r="G5625" s="33" t="s">
        <v>8</v>
      </c>
      <c r="H5625" s="35"/>
      <c r="I5625" s="32"/>
      <c r="J5625" s="32"/>
      <c r="K5625" s="32"/>
      <c r="L5625" s="32"/>
      <c r="M5625" s="32"/>
      <c r="N5625" s="32"/>
      <c r="O5625" s="32"/>
      <c r="P5625" s="32"/>
      <c r="Q5625" s="32"/>
      <c r="R5625" s="32"/>
      <c r="S5625" s="32"/>
      <c r="T5625" s="32"/>
      <c r="U5625" s="32"/>
      <c r="V5625" s="32"/>
      <c r="W5625" s="32"/>
      <c r="X5625" s="32"/>
      <c r="Y5625" s="32"/>
      <c r="Z5625" s="32"/>
    </row>
    <row r="5626" spans="1:26" ht="14.25" customHeight="1">
      <c r="A5626" s="36">
        <v>1</v>
      </c>
      <c r="B5626" s="18" t="s">
        <v>601</v>
      </c>
      <c r="C5626" s="5" t="s">
        <v>1336</v>
      </c>
      <c r="D5626" s="18" t="s">
        <v>11</v>
      </c>
      <c r="E5626" s="18">
        <v>2.16</v>
      </c>
      <c r="F5626" s="6">
        <v>293000</v>
      </c>
      <c r="G5626" s="37">
        <f t="shared" ref="G5626:G5628" si="352">IFERROR(E5626*F5626,0)</f>
        <v>632880</v>
      </c>
      <c r="H5626" s="38"/>
      <c r="I5626" s="32"/>
      <c r="J5626" s="32"/>
      <c r="K5626" s="32"/>
      <c r="L5626" s="32"/>
      <c r="M5626" s="32"/>
      <c r="N5626" s="32"/>
      <c r="O5626" s="32"/>
      <c r="P5626" s="32"/>
      <c r="Q5626" s="32"/>
      <c r="R5626" s="32"/>
      <c r="S5626" s="32"/>
      <c r="T5626" s="32"/>
      <c r="U5626" s="32"/>
      <c r="V5626" s="32"/>
      <c r="W5626" s="32"/>
      <c r="X5626" s="32"/>
      <c r="Y5626" s="32"/>
      <c r="Z5626" s="32"/>
    </row>
    <row r="5627" spans="1:26" ht="14.25" customHeight="1">
      <c r="A5627" s="36">
        <v>2</v>
      </c>
      <c r="B5627" s="12" t="s">
        <v>524</v>
      </c>
      <c r="C5627" s="10" t="s">
        <v>1337</v>
      </c>
      <c r="D5627" s="12" t="s">
        <v>233</v>
      </c>
      <c r="E5627" s="12">
        <v>1.19</v>
      </c>
      <c r="F5627" s="43">
        <v>435000</v>
      </c>
      <c r="G5627" s="37">
        <f t="shared" si="352"/>
        <v>517650</v>
      </c>
      <c r="H5627" s="38"/>
      <c r="I5627" s="32"/>
      <c r="J5627" s="32"/>
      <c r="K5627" s="32"/>
      <c r="L5627" s="32"/>
      <c r="M5627" s="32"/>
      <c r="N5627" s="32"/>
      <c r="O5627" s="32"/>
      <c r="P5627" s="32"/>
      <c r="Q5627" s="32"/>
      <c r="R5627" s="32"/>
      <c r="S5627" s="32"/>
      <c r="T5627" s="32"/>
      <c r="U5627" s="32"/>
      <c r="V5627" s="32"/>
      <c r="W5627" s="32"/>
      <c r="X5627" s="32"/>
      <c r="Y5627" s="32"/>
      <c r="Z5627" s="32"/>
    </row>
    <row r="5628" spans="1:26" ht="14.25" customHeight="1">
      <c r="A5628" s="36">
        <v>4</v>
      </c>
      <c r="B5628" s="39" t="s">
        <v>17</v>
      </c>
      <c r="C5628" s="38"/>
      <c r="D5628" s="38"/>
      <c r="E5628" s="38"/>
      <c r="F5628" s="60"/>
      <c r="G5628" s="37">
        <f t="shared" si="352"/>
        <v>0</v>
      </c>
      <c r="H5628" s="38"/>
      <c r="I5628" s="32"/>
      <c r="J5628" s="32"/>
      <c r="K5628" s="32"/>
      <c r="L5628" s="32"/>
      <c r="M5628" s="32"/>
      <c r="N5628" s="32"/>
      <c r="O5628" s="32"/>
      <c r="P5628" s="32"/>
      <c r="Q5628" s="32"/>
      <c r="R5628" s="32"/>
      <c r="S5628" s="32"/>
      <c r="T5628" s="32"/>
      <c r="U5628" s="32"/>
      <c r="V5628" s="32"/>
      <c r="W5628" s="32"/>
      <c r="X5628" s="32"/>
      <c r="Y5628" s="32"/>
      <c r="Z5628" s="32"/>
    </row>
    <row r="5629" spans="1:26" ht="14.25" customHeight="1">
      <c r="A5629" s="83" t="s">
        <v>18</v>
      </c>
      <c r="B5629" s="81"/>
      <c r="C5629" s="81"/>
      <c r="D5629" s="81"/>
      <c r="E5629" s="81"/>
      <c r="F5629" s="81"/>
      <c r="G5629" s="82"/>
      <c r="H5629" s="41">
        <f>SUM(G5626:G5628)</f>
        <v>1150530</v>
      </c>
      <c r="I5629" s="32"/>
      <c r="J5629" s="32"/>
      <c r="K5629" s="32"/>
      <c r="L5629" s="32"/>
      <c r="M5629" s="32"/>
      <c r="N5629" s="32"/>
      <c r="O5629" s="32"/>
      <c r="P5629" s="32"/>
      <c r="Q5629" s="32"/>
      <c r="R5629" s="32"/>
      <c r="S5629" s="32"/>
      <c r="T5629" s="32"/>
      <c r="U5629" s="32"/>
      <c r="V5629" s="32"/>
      <c r="W5629" s="32"/>
      <c r="X5629" s="32"/>
      <c r="Y5629" s="32"/>
      <c r="Z5629" s="32"/>
    </row>
    <row r="5630" spans="1:26" ht="14.25" customHeight="1">
      <c r="A5630" s="83" t="s">
        <v>19</v>
      </c>
      <c r="B5630" s="81"/>
      <c r="C5630" s="81"/>
      <c r="D5630" s="81"/>
      <c r="E5630" s="81"/>
      <c r="F5630" s="81"/>
      <c r="G5630" s="82"/>
      <c r="H5630" s="41">
        <f>MAX(0,H5629-648000)</f>
        <v>502530</v>
      </c>
      <c r="I5630" s="32"/>
      <c r="J5630" s="32"/>
      <c r="K5630" s="32"/>
      <c r="L5630" s="32"/>
      <c r="M5630" s="32"/>
      <c r="N5630" s="32"/>
      <c r="O5630" s="32"/>
      <c r="P5630" s="32"/>
      <c r="Q5630" s="32"/>
      <c r="R5630" s="32"/>
      <c r="S5630" s="32"/>
      <c r="T5630" s="32"/>
      <c r="U5630" s="32"/>
      <c r="V5630" s="32"/>
      <c r="W5630" s="32"/>
      <c r="X5630" s="32"/>
      <c r="Y5630" s="32"/>
      <c r="Z5630" s="32"/>
    </row>
    <row r="5631" spans="1:26" ht="14.25" customHeight="1">
      <c r="A5631" s="84" t="s">
        <v>20</v>
      </c>
      <c r="B5631" s="81"/>
      <c r="C5631" s="81"/>
      <c r="D5631" s="81"/>
      <c r="E5631" s="81"/>
      <c r="F5631" s="81"/>
      <c r="G5631" s="82"/>
      <c r="H5631" s="42">
        <v>649000</v>
      </c>
      <c r="I5631" s="32"/>
      <c r="J5631" s="32"/>
      <c r="K5631" s="32"/>
      <c r="L5631" s="32"/>
      <c r="M5631" s="32"/>
      <c r="N5631" s="32"/>
      <c r="O5631" s="32"/>
      <c r="P5631" s="32"/>
      <c r="Q5631" s="32"/>
      <c r="R5631" s="32"/>
      <c r="S5631" s="32"/>
      <c r="T5631" s="32"/>
      <c r="U5631" s="32"/>
      <c r="V5631" s="32"/>
      <c r="W5631" s="32"/>
      <c r="X5631" s="32"/>
      <c r="Y5631" s="32"/>
      <c r="Z5631" s="32"/>
    </row>
    <row r="5632" spans="1:26" ht="14.25" customHeight="1">
      <c r="A5632" s="80"/>
      <c r="B5632" s="81"/>
      <c r="C5632" s="81"/>
      <c r="D5632" s="81"/>
      <c r="E5632" s="81"/>
      <c r="F5632" s="81"/>
      <c r="G5632" s="81"/>
      <c r="H5632" s="82"/>
      <c r="I5632" s="32"/>
      <c r="J5632" s="32"/>
      <c r="K5632" s="32"/>
      <c r="L5632" s="32"/>
      <c r="M5632" s="32"/>
      <c r="N5632" s="32"/>
      <c r="O5632" s="32"/>
      <c r="P5632" s="32"/>
      <c r="Q5632" s="32"/>
      <c r="R5632" s="32"/>
      <c r="S5632" s="32"/>
      <c r="T5632" s="32"/>
      <c r="U5632" s="32"/>
      <c r="V5632" s="32"/>
      <c r="W5632" s="32"/>
      <c r="X5632" s="32"/>
      <c r="Y5632" s="32"/>
      <c r="Z5632" s="32"/>
    </row>
    <row r="5633" spans="1:26" ht="14.25" customHeight="1">
      <c r="I5633" s="32"/>
    </row>
    <row r="5634" spans="1:26" ht="14.25" customHeight="1">
      <c r="I5634" s="32"/>
    </row>
    <row r="5635" spans="1:26" ht="14.25" customHeight="1">
      <c r="I5635" s="32"/>
    </row>
    <row r="5636" spans="1:26" ht="14.25" customHeight="1">
      <c r="I5636" s="32"/>
    </row>
    <row r="5637" spans="1:26" ht="14.25" customHeight="1">
      <c r="I5637" s="32"/>
    </row>
    <row r="5638" spans="1:26" ht="14.25" customHeight="1">
      <c r="I5638" s="32"/>
    </row>
    <row r="5639" spans="1:26" ht="14.25" customHeight="1">
      <c r="I5639" s="32"/>
    </row>
    <row r="5640" spans="1:26" ht="14.25" customHeight="1">
      <c r="A5640" s="80" t="s">
        <v>0</v>
      </c>
      <c r="B5640" s="81"/>
      <c r="C5640" s="81"/>
      <c r="D5640" s="81"/>
      <c r="E5640" s="81"/>
      <c r="F5640" s="81"/>
      <c r="G5640" s="81"/>
      <c r="H5640" s="82"/>
      <c r="I5640" s="32"/>
      <c r="J5640" s="32"/>
      <c r="K5640" s="32"/>
      <c r="L5640" s="32"/>
      <c r="M5640" s="32"/>
      <c r="N5640" s="32"/>
      <c r="O5640" s="32"/>
      <c r="P5640" s="32"/>
      <c r="Q5640" s="32"/>
      <c r="R5640" s="32"/>
      <c r="S5640" s="32"/>
      <c r="T5640" s="32"/>
      <c r="U5640" s="32"/>
      <c r="V5640" s="32"/>
      <c r="W5640" s="32"/>
      <c r="X5640" s="32"/>
      <c r="Y5640" s="32"/>
      <c r="Z5640" s="32"/>
    </row>
    <row r="5641" spans="1:26" ht="14.25" customHeight="1">
      <c r="A5641" s="80" t="s">
        <v>1338</v>
      </c>
      <c r="B5641" s="81"/>
      <c r="C5641" s="81"/>
      <c r="D5641" s="81"/>
      <c r="E5641" s="81"/>
      <c r="F5641" s="81"/>
      <c r="G5641" s="81"/>
      <c r="H5641" s="82"/>
      <c r="I5641" s="32"/>
      <c r="J5641" s="32"/>
      <c r="K5641" s="32"/>
      <c r="L5641" s="32"/>
      <c r="M5641" s="32"/>
      <c r="N5641" s="32"/>
      <c r="O5641" s="32"/>
      <c r="P5641" s="32"/>
      <c r="Q5641" s="32"/>
      <c r="R5641" s="32"/>
      <c r="S5641" s="32"/>
      <c r="T5641" s="32"/>
      <c r="U5641" s="32"/>
      <c r="V5641" s="32"/>
      <c r="W5641" s="32"/>
      <c r="X5641" s="32"/>
      <c r="Y5641" s="32"/>
      <c r="Z5641" s="32"/>
    </row>
    <row r="5642" spans="1:26" ht="14.25" customHeight="1">
      <c r="A5642" s="33" t="s">
        <v>2</v>
      </c>
      <c r="B5642" s="33" t="s">
        <v>3</v>
      </c>
      <c r="C5642" s="33" t="s">
        <v>4</v>
      </c>
      <c r="D5642" s="33" t="s">
        <v>5</v>
      </c>
      <c r="E5642" s="33" t="s">
        <v>6</v>
      </c>
      <c r="F5642" s="34" t="s">
        <v>7</v>
      </c>
      <c r="G5642" s="33" t="s">
        <v>8</v>
      </c>
      <c r="H5642" s="35"/>
      <c r="I5642" s="32"/>
      <c r="J5642" s="32"/>
      <c r="K5642" s="32"/>
      <c r="L5642" s="32"/>
      <c r="M5642" s="32"/>
      <c r="N5642" s="32"/>
      <c r="O5642" s="32"/>
      <c r="P5642" s="32"/>
      <c r="Q5642" s="32"/>
      <c r="R5642" s="32"/>
      <c r="S5642" s="32"/>
      <c r="T5642" s="32"/>
      <c r="U5642" s="32"/>
      <c r="V5642" s="32"/>
      <c r="W5642" s="32"/>
      <c r="X5642" s="32"/>
      <c r="Y5642" s="32"/>
      <c r="Z5642" s="32"/>
    </row>
    <row r="5643" spans="1:26" ht="14.25" customHeight="1">
      <c r="A5643" s="36">
        <v>1</v>
      </c>
      <c r="B5643" s="18" t="s">
        <v>984</v>
      </c>
      <c r="C5643" s="5" t="s">
        <v>1339</v>
      </c>
      <c r="D5643" s="18" t="s">
        <v>11</v>
      </c>
      <c r="E5643" s="18">
        <v>2</v>
      </c>
      <c r="F5643" s="6">
        <v>293000</v>
      </c>
      <c r="G5643" s="37">
        <f t="shared" ref="G5643:G5645" si="353">IFERROR(E5643*F5643,0)</f>
        <v>586000</v>
      </c>
      <c r="H5643" s="38"/>
      <c r="I5643" s="32"/>
      <c r="J5643" s="32"/>
      <c r="K5643" s="32"/>
      <c r="L5643" s="32"/>
      <c r="M5643" s="32"/>
      <c r="N5643" s="32"/>
      <c r="O5643" s="32"/>
      <c r="P5643" s="32"/>
      <c r="Q5643" s="32"/>
      <c r="R5643" s="32"/>
      <c r="S5643" s="32"/>
      <c r="T5643" s="32"/>
      <c r="U5643" s="32"/>
      <c r="V5643" s="32"/>
      <c r="W5643" s="32"/>
      <c r="X5643" s="32"/>
      <c r="Y5643" s="32"/>
      <c r="Z5643" s="32"/>
    </row>
    <row r="5644" spans="1:26" ht="14.25" customHeight="1">
      <c r="A5644" s="36">
        <v>2</v>
      </c>
      <c r="B5644" s="12" t="s">
        <v>1324</v>
      </c>
      <c r="C5644" s="10" t="s">
        <v>1325</v>
      </c>
      <c r="D5644" s="12" t="s">
        <v>233</v>
      </c>
      <c r="E5644" s="12">
        <v>1.4</v>
      </c>
      <c r="F5644" s="43">
        <v>435000</v>
      </c>
      <c r="G5644" s="37">
        <f t="shared" si="353"/>
        <v>609000</v>
      </c>
      <c r="H5644" s="38"/>
      <c r="I5644" s="32"/>
      <c r="J5644" s="32"/>
      <c r="K5644" s="32"/>
      <c r="L5644" s="32"/>
      <c r="M5644" s="32"/>
      <c r="N5644" s="32"/>
      <c r="O5644" s="32"/>
      <c r="P5644" s="32"/>
      <c r="Q5644" s="32"/>
      <c r="R5644" s="32"/>
      <c r="S5644" s="32"/>
      <c r="T5644" s="32"/>
      <c r="U5644" s="32"/>
      <c r="V5644" s="32"/>
      <c r="W5644" s="32"/>
      <c r="X5644" s="32"/>
      <c r="Y5644" s="32"/>
      <c r="Z5644" s="32"/>
    </row>
    <row r="5645" spans="1:26" ht="14.25" customHeight="1">
      <c r="A5645" s="36">
        <v>4</v>
      </c>
      <c r="B5645" s="39" t="s">
        <v>17</v>
      </c>
      <c r="C5645" s="38"/>
      <c r="D5645" s="38"/>
      <c r="E5645" s="38"/>
      <c r="F5645" s="60"/>
      <c r="G5645" s="37">
        <f t="shared" si="353"/>
        <v>0</v>
      </c>
      <c r="H5645" s="38"/>
      <c r="I5645" s="32"/>
      <c r="J5645" s="32"/>
      <c r="K5645" s="32"/>
      <c r="L5645" s="32"/>
      <c r="M5645" s="32"/>
      <c r="N5645" s="32"/>
      <c r="O5645" s="32"/>
      <c r="P5645" s="32"/>
      <c r="Q5645" s="32"/>
      <c r="R5645" s="32"/>
      <c r="S5645" s="32"/>
      <c r="T5645" s="32"/>
      <c r="U5645" s="32"/>
      <c r="V5645" s="32"/>
      <c r="W5645" s="32"/>
      <c r="X5645" s="32"/>
      <c r="Y5645" s="32"/>
      <c r="Z5645" s="32"/>
    </row>
    <row r="5646" spans="1:26" ht="14.25" customHeight="1">
      <c r="A5646" s="83" t="s">
        <v>18</v>
      </c>
      <c r="B5646" s="81"/>
      <c r="C5646" s="81"/>
      <c r="D5646" s="81"/>
      <c r="E5646" s="81"/>
      <c r="F5646" s="81"/>
      <c r="G5646" s="82"/>
      <c r="H5646" s="41">
        <f>SUM(G5643:G5645)</f>
        <v>1195000</v>
      </c>
      <c r="I5646" s="32"/>
      <c r="J5646" s="32"/>
      <c r="K5646" s="32"/>
      <c r="L5646" s="32"/>
      <c r="M5646" s="32"/>
      <c r="N5646" s="32"/>
      <c r="O5646" s="32"/>
      <c r="P5646" s="32"/>
      <c r="Q5646" s="32"/>
      <c r="R5646" s="32"/>
      <c r="S5646" s="32"/>
      <c r="T5646" s="32"/>
      <c r="U5646" s="32"/>
      <c r="V5646" s="32"/>
      <c r="W5646" s="32"/>
      <c r="X5646" s="32"/>
      <c r="Y5646" s="32"/>
      <c r="Z5646" s="32"/>
    </row>
    <row r="5647" spans="1:26" ht="14.25" customHeight="1">
      <c r="A5647" s="83" t="s">
        <v>19</v>
      </c>
      <c r="B5647" s="81"/>
      <c r="C5647" s="81"/>
      <c r="D5647" s="81"/>
      <c r="E5647" s="81"/>
      <c r="F5647" s="81"/>
      <c r="G5647" s="82"/>
      <c r="H5647" s="41">
        <f>MAX(0,H5646-648000)</f>
        <v>547000</v>
      </c>
      <c r="I5647" s="32"/>
      <c r="J5647" s="32"/>
      <c r="K5647" s="32"/>
      <c r="L5647" s="32"/>
      <c r="M5647" s="32"/>
      <c r="N5647" s="32"/>
      <c r="O5647" s="32"/>
      <c r="P5647" s="32"/>
      <c r="Q5647" s="32"/>
      <c r="R5647" s="32"/>
      <c r="S5647" s="32"/>
      <c r="T5647" s="32"/>
      <c r="U5647" s="32"/>
      <c r="V5647" s="32"/>
      <c r="W5647" s="32"/>
      <c r="X5647" s="32"/>
      <c r="Y5647" s="32"/>
      <c r="Z5647" s="32"/>
    </row>
    <row r="5648" spans="1:26" ht="14.25" customHeight="1">
      <c r="A5648" s="84" t="s">
        <v>20</v>
      </c>
      <c r="B5648" s="81"/>
      <c r="C5648" s="81"/>
      <c r="D5648" s="81"/>
      <c r="E5648" s="81"/>
      <c r="F5648" s="81"/>
      <c r="G5648" s="82"/>
      <c r="H5648" s="42">
        <v>649000</v>
      </c>
      <c r="I5648" s="32"/>
      <c r="J5648" s="32"/>
      <c r="K5648" s="32"/>
      <c r="L5648" s="32"/>
      <c r="M5648" s="32"/>
      <c r="N5648" s="32"/>
      <c r="O5648" s="32"/>
      <c r="P5648" s="32"/>
      <c r="Q5648" s="32"/>
      <c r="R5648" s="32"/>
      <c r="S5648" s="32"/>
      <c r="T5648" s="32"/>
      <c r="U5648" s="32"/>
      <c r="V5648" s="32"/>
      <c r="W5648" s="32"/>
      <c r="X5648" s="32"/>
      <c r="Y5648" s="32"/>
      <c r="Z5648" s="32"/>
    </row>
    <row r="5649" spans="1:26" ht="14.25" customHeight="1">
      <c r="A5649" s="80"/>
      <c r="B5649" s="81"/>
      <c r="C5649" s="81"/>
      <c r="D5649" s="81"/>
      <c r="E5649" s="81"/>
      <c r="F5649" s="81"/>
      <c r="G5649" s="81"/>
      <c r="H5649" s="82"/>
      <c r="I5649" s="32"/>
      <c r="J5649" s="32"/>
      <c r="K5649" s="32"/>
      <c r="L5649" s="32"/>
      <c r="M5649" s="32"/>
      <c r="N5649" s="32"/>
      <c r="O5649" s="32"/>
      <c r="P5649" s="32"/>
      <c r="Q5649" s="32"/>
      <c r="R5649" s="32"/>
      <c r="S5649" s="32"/>
      <c r="T5649" s="32"/>
      <c r="U5649" s="32"/>
      <c r="V5649" s="32"/>
      <c r="W5649" s="32"/>
      <c r="X5649" s="32"/>
      <c r="Y5649" s="32"/>
      <c r="Z5649" s="32"/>
    </row>
    <row r="5650" spans="1:26" ht="14.25" customHeight="1">
      <c r="I5650" s="32"/>
    </row>
    <row r="5651" spans="1:26" ht="14.25" customHeight="1">
      <c r="I5651" s="32"/>
    </row>
    <row r="5652" spans="1:26" ht="14.25" customHeight="1">
      <c r="I5652" s="32"/>
    </row>
    <row r="5653" spans="1:26" ht="14.25" customHeight="1">
      <c r="I5653" s="32"/>
    </row>
    <row r="5654" spans="1:26" ht="14.25" customHeight="1">
      <c r="I5654" s="32"/>
    </row>
    <row r="5655" spans="1:26" ht="14.25" customHeight="1">
      <c r="A5655" s="80" t="s">
        <v>0</v>
      </c>
      <c r="B5655" s="81"/>
      <c r="C5655" s="81"/>
      <c r="D5655" s="81"/>
      <c r="E5655" s="81"/>
      <c r="F5655" s="81"/>
      <c r="G5655" s="81"/>
      <c r="H5655" s="82"/>
      <c r="I5655" s="32"/>
      <c r="J5655" s="32"/>
      <c r="K5655" s="32"/>
      <c r="L5655" s="32"/>
      <c r="M5655" s="32"/>
      <c r="N5655" s="32"/>
      <c r="O5655" s="32"/>
      <c r="P5655" s="32"/>
      <c r="Q5655" s="32"/>
      <c r="R5655" s="32"/>
      <c r="S5655" s="32"/>
      <c r="T5655" s="32"/>
      <c r="U5655" s="32"/>
      <c r="V5655" s="32"/>
      <c r="W5655" s="32"/>
      <c r="X5655" s="32"/>
      <c r="Y5655" s="32"/>
      <c r="Z5655" s="32"/>
    </row>
    <row r="5656" spans="1:26" ht="14.25" customHeight="1">
      <c r="A5656" s="80" t="s">
        <v>1340</v>
      </c>
      <c r="B5656" s="81"/>
      <c r="C5656" s="81"/>
      <c r="D5656" s="81"/>
      <c r="E5656" s="81"/>
      <c r="F5656" s="81"/>
      <c r="G5656" s="81"/>
      <c r="H5656" s="82"/>
      <c r="I5656" s="32"/>
      <c r="J5656" s="32"/>
      <c r="K5656" s="32"/>
      <c r="L5656" s="32"/>
      <c r="M5656" s="32"/>
      <c r="N5656" s="32"/>
      <c r="O5656" s="32"/>
      <c r="P5656" s="32"/>
      <c r="Q5656" s="32"/>
      <c r="R5656" s="32"/>
      <c r="S5656" s="32"/>
      <c r="T5656" s="32"/>
      <c r="U5656" s="32"/>
      <c r="V5656" s="32"/>
      <c r="W5656" s="32"/>
      <c r="X5656" s="32"/>
      <c r="Y5656" s="32"/>
      <c r="Z5656" s="32"/>
    </row>
    <row r="5657" spans="1:26" ht="14.25" customHeight="1">
      <c r="A5657" s="33" t="s">
        <v>2</v>
      </c>
      <c r="B5657" s="33" t="s">
        <v>3</v>
      </c>
      <c r="C5657" s="33" t="s">
        <v>4</v>
      </c>
      <c r="D5657" s="33" t="s">
        <v>5</v>
      </c>
      <c r="E5657" s="33" t="s">
        <v>6</v>
      </c>
      <c r="F5657" s="34" t="s">
        <v>7</v>
      </c>
      <c r="G5657" s="33" t="s">
        <v>8</v>
      </c>
      <c r="H5657" s="35"/>
      <c r="I5657" s="32"/>
      <c r="J5657" s="32"/>
      <c r="K5657" s="32"/>
      <c r="L5657" s="32"/>
      <c r="M5657" s="32"/>
      <c r="N5657" s="32"/>
      <c r="O5657" s="32"/>
      <c r="P5657" s="32"/>
      <c r="Q5657" s="32"/>
      <c r="R5657" s="32"/>
      <c r="S5657" s="32"/>
      <c r="T5657" s="32"/>
      <c r="U5657" s="32"/>
      <c r="V5657" s="32"/>
      <c r="W5657" s="32"/>
      <c r="X5657" s="32"/>
      <c r="Y5657" s="32"/>
      <c r="Z5657" s="32"/>
    </row>
    <row r="5658" spans="1:26" ht="14.25" customHeight="1">
      <c r="A5658" s="36">
        <v>1</v>
      </c>
      <c r="B5658" s="18" t="s">
        <v>351</v>
      </c>
      <c r="C5658" s="5" t="s">
        <v>1131</v>
      </c>
      <c r="D5658" s="18" t="s">
        <v>11</v>
      </c>
      <c r="E5658" s="18">
        <v>1.7</v>
      </c>
      <c r="F5658" s="6">
        <v>293000</v>
      </c>
      <c r="G5658" s="37">
        <f t="shared" ref="G5658:G5660" si="354">IFERROR(E5658*F5658,0)</f>
        <v>498100</v>
      </c>
      <c r="H5658" s="38"/>
      <c r="I5658" s="32"/>
      <c r="J5658" s="32"/>
      <c r="K5658" s="32"/>
      <c r="L5658" s="32"/>
      <c r="M5658" s="32"/>
      <c r="N5658" s="32"/>
      <c r="O5658" s="32"/>
      <c r="P5658" s="32"/>
      <c r="Q5658" s="32"/>
      <c r="R5658" s="32"/>
      <c r="S5658" s="32"/>
      <c r="T5658" s="32"/>
      <c r="U5658" s="32"/>
      <c r="V5658" s="32"/>
      <c r="W5658" s="32"/>
      <c r="X5658" s="32"/>
      <c r="Y5658" s="32"/>
      <c r="Z5658" s="32"/>
    </row>
    <row r="5659" spans="1:26" ht="14.25" customHeight="1">
      <c r="A5659" s="36">
        <v>2</v>
      </c>
      <c r="B5659" s="12" t="s">
        <v>886</v>
      </c>
      <c r="C5659" s="10" t="s">
        <v>1341</v>
      </c>
      <c r="D5659" s="12" t="s">
        <v>233</v>
      </c>
      <c r="E5659" s="12">
        <v>1.6</v>
      </c>
      <c r="F5659" s="43">
        <v>435000</v>
      </c>
      <c r="G5659" s="37">
        <f t="shared" si="354"/>
        <v>696000</v>
      </c>
      <c r="H5659" s="38"/>
      <c r="I5659" s="32"/>
      <c r="J5659" s="32"/>
      <c r="K5659" s="32"/>
      <c r="L5659" s="32"/>
      <c r="M5659" s="32"/>
      <c r="N5659" s="32"/>
      <c r="O5659" s="32"/>
      <c r="P5659" s="32"/>
      <c r="Q5659" s="32"/>
      <c r="R5659" s="32"/>
      <c r="S5659" s="32"/>
      <c r="T5659" s="32"/>
      <c r="U5659" s="32"/>
      <c r="V5659" s="32"/>
      <c r="W5659" s="32"/>
      <c r="X5659" s="32"/>
      <c r="Y5659" s="32"/>
      <c r="Z5659" s="32"/>
    </row>
    <row r="5660" spans="1:26" ht="14.25" customHeight="1">
      <c r="A5660" s="36">
        <v>4</v>
      </c>
      <c r="B5660" s="39" t="s">
        <v>17</v>
      </c>
      <c r="C5660" s="38"/>
      <c r="D5660" s="38"/>
      <c r="E5660" s="38"/>
      <c r="F5660" s="60"/>
      <c r="G5660" s="37">
        <f t="shared" si="354"/>
        <v>0</v>
      </c>
      <c r="H5660" s="38"/>
      <c r="I5660" s="32"/>
      <c r="J5660" s="32"/>
      <c r="K5660" s="32"/>
      <c r="L5660" s="32"/>
      <c r="M5660" s="32"/>
      <c r="N5660" s="32"/>
      <c r="O5660" s="32"/>
      <c r="P5660" s="32"/>
      <c r="Q5660" s="32"/>
      <c r="R5660" s="32"/>
      <c r="S5660" s="32"/>
      <c r="T5660" s="32"/>
      <c r="U5660" s="32"/>
      <c r="V5660" s="32"/>
      <c r="W5660" s="32"/>
      <c r="X5660" s="32"/>
      <c r="Y5660" s="32"/>
      <c r="Z5660" s="32"/>
    </row>
    <row r="5661" spans="1:26" ht="14.25" customHeight="1">
      <c r="A5661" s="83" t="s">
        <v>18</v>
      </c>
      <c r="B5661" s="81"/>
      <c r="C5661" s="81"/>
      <c r="D5661" s="81"/>
      <c r="E5661" s="81"/>
      <c r="F5661" s="81"/>
      <c r="G5661" s="82"/>
      <c r="H5661" s="41">
        <f>SUM(G5658:G5660)</f>
        <v>1194100</v>
      </c>
      <c r="I5661" s="32"/>
      <c r="J5661" s="32"/>
      <c r="K5661" s="32"/>
      <c r="L5661" s="32"/>
      <c r="M5661" s="32"/>
      <c r="N5661" s="32"/>
      <c r="O5661" s="32"/>
      <c r="P5661" s="32"/>
      <c r="Q5661" s="32"/>
      <c r="R5661" s="32"/>
      <c r="S5661" s="32"/>
      <c r="T5661" s="32"/>
      <c r="U5661" s="32"/>
      <c r="V5661" s="32"/>
      <c r="W5661" s="32"/>
      <c r="X5661" s="32"/>
      <c r="Y5661" s="32"/>
      <c r="Z5661" s="32"/>
    </row>
    <row r="5662" spans="1:26" ht="14.25" customHeight="1">
      <c r="A5662" s="83" t="s">
        <v>19</v>
      </c>
      <c r="B5662" s="81"/>
      <c r="C5662" s="81"/>
      <c r="D5662" s="81"/>
      <c r="E5662" s="81"/>
      <c r="F5662" s="81"/>
      <c r="G5662" s="82"/>
      <c r="H5662" s="41">
        <f>MAX(0,H5661-648000)</f>
        <v>546100</v>
      </c>
      <c r="I5662" s="32"/>
      <c r="J5662" s="32"/>
      <c r="K5662" s="32"/>
      <c r="L5662" s="32"/>
      <c r="M5662" s="32"/>
      <c r="N5662" s="32"/>
      <c r="O5662" s="32"/>
      <c r="P5662" s="32"/>
      <c r="Q5662" s="32"/>
      <c r="R5662" s="32"/>
      <c r="S5662" s="32"/>
      <c r="T5662" s="32"/>
      <c r="U5662" s="32"/>
      <c r="V5662" s="32"/>
      <c r="W5662" s="32"/>
      <c r="X5662" s="32"/>
      <c r="Y5662" s="32"/>
      <c r="Z5662" s="32"/>
    </row>
    <row r="5663" spans="1:26" ht="14.25" customHeight="1">
      <c r="A5663" s="84" t="s">
        <v>20</v>
      </c>
      <c r="B5663" s="81"/>
      <c r="C5663" s="81"/>
      <c r="D5663" s="81"/>
      <c r="E5663" s="81"/>
      <c r="F5663" s="81"/>
      <c r="G5663" s="82"/>
      <c r="H5663" s="42">
        <v>649000</v>
      </c>
      <c r="I5663" s="32"/>
      <c r="J5663" s="32"/>
      <c r="K5663" s="32"/>
      <c r="L5663" s="32"/>
      <c r="M5663" s="32"/>
      <c r="N5663" s="32"/>
      <c r="O5663" s="32"/>
      <c r="P5663" s="32"/>
      <c r="Q5663" s="32"/>
      <c r="R5663" s="32"/>
      <c r="S5663" s="32"/>
      <c r="T5663" s="32"/>
      <c r="U5663" s="32"/>
      <c r="V5663" s="32"/>
      <c r="W5663" s="32"/>
      <c r="X5663" s="32"/>
      <c r="Y5663" s="32"/>
      <c r="Z5663" s="32"/>
    </row>
    <row r="5664" spans="1:26" ht="14.25" customHeight="1">
      <c r="A5664" s="80"/>
      <c r="B5664" s="81"/>
      <c r="C5664" s="81"/>
      <c r="D5664" s="81"/>
      <c r="E5664" s="81"/>
      <c r="F5664" s="81"/>
      <c r="G5664" s="81"/>
      <c r="H5664" s="82"/>
      <c r="I5664" s="32"/>
      <c r="J5664" s="32"/>
      <c r="K5664" s="32"/>
      <c r="L5664" s="32"/>
      <c r="M5664" s="32"/>
      <c r="N5664" s="32"/>
      <c r="O5664" s="32"/>
      <c r="P5664" s="32"/>
      <c r="Q5664" s="32"/>
      <c r="R5664" s="32"/>
      <c r="S5664" s="32"/>
      <c r="T5664" s="32"/>
      <c r="U5664" s="32"/>
      <c r="V5664" s="32"/>
      <c r="W5664" s="32"/>
      <c r="X5664" s="32"/>
      <c r="Y5664" s="32"/>
      <c r="Z5664" s="32"/>
    </row>
    <row r="5665" spans="1:26" ht="14.25" customHeight="1">
      <c r="I5665" s="32"/>
    </row>
    <row r="5666" spans="1:26" ht="14.25" customHeight="1">
      <c r="I5666" s="32"/>
    </row>
    <row r="5667" spans="1:26" ht="14.25" customHeight="1">
      <c r="I5667" s="32"/>
    </row>
    <row r="5668" spans="1:26" ht="14.25" customHeight="1">
      <c r="I5668" s="32"/>
    </row>
    <row r="5669" spans="1:26" ht="14.25" customHeight="1">
      <c r="I5669" s="32"/>
    </row>
    <row r="5670" spans="1:26" ht="14.25" customHeight="1">
      <c r="I5670" s="32"/>
    </row>
    <row r="5671" spans="1:26" ht="14.25" customHeight="1">
      <c r="A5671" s="80" t="s">
        <v>0</v>
      </c>
      <c r="B5671" s="81"/>
      <c r="C5671" s="81"/>
      <c r="D5671" s="81"/>
      <c r="E5671" s="81"/>
      <c r="F5671" s="81"/>
      <c r="G5671" s="81"/>
      <c r="H5671" s="82"/>
      <c r="I5671" s="32"/>
      <c r="J5671" s="32"/>
      <c r="K5671" s="32"/>
      <c r="L5671" s="32"/>
      <c r="M5671" s="32"/>
      <c r="N5671" s="32"/>
      <c r="O5671" s="32"/>
      <c r="P5671" s="32"/>
      <c r="Q5671" s="32"/>
      <c r="R5671" s="32"/>
      <c r="S5671" s="32"/>
      <c r="T5671" s="32"/>
      <c r="U5671" s="32"/>
      <c r="V5671" s="32"/>
      <c r="W5671" s="32"/>
      <c r="X5671" s="32"/>
      <c r="Y5671" s="32"/>
      <c r="Z5671" s="32"/>
    </row>
    <row r="5672" spans="1:26" ht="14.25" customHeight="1">
      <c r="A5672" s="80" t="s">
        <v>1342</v>
      </c>
      <c r="B5672" s="81"/>
      <c r="C5672" s="81"/>
      <c r="D5672" s="81"/>
      <c r="E5672" s="81"/>
      <c r="F5672" s="81"/>
      <c r="G5672" s="81"/>
      <c r="H5672" s="82"/>
      <c r="I5672" s="32"/>
      <c r="J5672" s="32"/>
      <c r="K5672" s="32"/>
      <c r="L5672" s="32"/>
      <c r="M5672" s="32"/>
      <c r="N5672" s="32"/>
      <c r="O5672" s="32"/>
      <c r="P5672" s="32"/>
      <c r="Q5672" s="32"/>
      <c r="R5672" s="32"/>
      <c r="S5672" s="32"/>
      <c r="T5672" s="32"/>
      <c r="U5672" s="32"/>
      <c r="V5672" s="32"/>
      <c r="W5672" s="32"/>
      <c r="X5672" s="32"/>
      <c r="Y5672" s="32"/>
      <c r="Z5672" s="32"/>
    </row>
    <row r="5673" spans="1:26" ht="14.25" customHeight="1">
      <c r="A5673" s="33" t="s">
        <v>2</v>
      </c>
      <c r="B5673" s="33" t="s">
        <v>3</v>
      </c>
      <c r="C5673" s="33" t="s">
        <v>4</v>
      </c>
      <c r="D5673" s="33" t="s">
        <v>5</v>
      </c>
      <c r="E5673" s="33" t="s">
        <v>6</v>
      </c>
      <c r="F5673" s="34" t="s">
        <v>7</v>
      </c>
      <c r="G5673" s="33" t="s">
        <v>8</v>
      </c>
      <c r="H5673" s="35"/>
      <c r="I5673" s="32"/>
      <c r="J5673" s="32"/>
      <c r="K5673" s="32"/>
      <c r="L5673" s="32"/>
      <c r="M5673" s="32"/>
      <c r="N5673" s="32"/>
      <c r="O5673" s="32"/>
      <c r="P5673" s="32"/>
      <c r="Q5673" s="32"/>
      <c r="R5673" s="32"/>
      <c r="S5673" s="32"/>
      <c r="T5673" s="32"/>
      <c r="U5673" s="32"/>
      <c r="V5673" s="32"/>
      <c r="W5673" s="32"/>
      <c r="X5673" s="32"/>
      <c r="Y5673" s="32"/>
      <c r="Z5673" s="32"/>
    </row>
    <row r="5674" spans="1:26" ht="14.25" customHeight="1">
      <c r="A5674" s="36">
        <v>1</v>
      </c>
      <c r="B5674" s="18" t="s">
        <v>351</v>
      </c>
      <c r="C5674" s="5" t="s">
        <v>1343</v>
      </c>
      <c r="D5674" s="18" t="s">
        <v>11</v>
      </c>
      <c r="E5674" s="18">
        <v>2.2000000000000002</v>
      </c>
      <c r="F5674" s="6">
        <v>293000</v>
      </c>
      <c r="G5674" s="37">
        <f t="shared" ref="G5674:G5676" si="355">IFERROR(E5674*F5674,0)</f>
        <v>644600</v>
      </c>
      <c r="H5674" s="38"/>
      <c r="I5674" s="32"/>
      <c r="J5674" s="32"/>
      <c r="K5674" s="32"/>
      <c r="L5674" s="32"/>
      <c r="M5674" s="32"/>
      <c r="N5674" s="32"/>
      <c r="O5674" s="32"/>
      <c r="P5674" s="32"/>
      <c r="Q5674" s="32"/>
      <c r="R5674" s="32"/>
      <c r="S5674" s="32"/>
      <c r="T5674" s="32"/>
      <c r="U5674" s="32"/>
      <c r="V5674" s="32"/>
      <c r="W5674" s="32"/>
      <c r="X5674" s="32"/>
      <c r="Y5674" s="32"/>
      <c r="Z5674" s="32"/>
    </row>
    <row r="5675" spans="1:26" ht="14.25" customHeight="1">
      <c r="A5675" s="36">
        <v>2</v>
      </c>
      <c r="B5675" s="12" t="s">
        <v>73</v>
      </c>
      <c r="C5675" s="10" t="s">
        <v>1344</v>
      </c>
      <c r="D5675" s="12" t="s">
        <v>233</v>
      </c>
      <c r="E5675" s="12">
        <v>1</v>
      </c>
      <c r="F5675" s="43">
        <v>435000</v>
      </c>
      <c r="G5675" s="37">
        <f t="shared" si="355"/>
        <v>435000</v>
      </c>
      <c r="H5675" s="38"/>
      <c r="I5675" s="32"/>
      <c r="J5675" s="32"/>
      <c r="K5675" s="32"/>
      <c r="L5675" s="32"/>
      <c r="M5675" s="32"/>
      <c r="N5675" s="32"/>
      <c r="O5675" s="32"/>
      <c r="P5675" s="32"/>
      <c r="Q5675" s="32"/>
      <c r="R5675" s="32"/>
      <c r="S5675" s="32"/>
      <c r="T5675" s="32"/>
      <c r="U5675" s="32"/>
      <c r="V5675" s="32"/>
      <c r="W5675" s="32"/>
      <c r="X5675" s="32"/>
      <c r="Y5675" s="32"/>
      <c r="Z5675" s="32"/>
    </row>
    <row r="5676" spans="1:26" ht="14.25" customHeight="1">
      <c r="A5676" s="36">
        <v>4</v>
      </c>
      <c r="B5676" s="39" t="s">
        <v>17</v>
      </c>
      <c r="C5676" s="38"/>
      <c r="D5676" s="38"/>
      <c r="E5676" s="38"/>
      <c r="F5676" s="60"/>
      <c r="G5676" s="37">
        <f t="shared" si="355"/>
        <v>0</v>
      </c>
      <c r="H5676" s="38"/>
      <c r="I5676" s="32"/>
      <c r="J5676" s="32"/>
      <c r="K5676" s="32"/>
      <c r="L5676" s="32"/>
      <c r="M5676" s="32"/>
      <c r="N5676" s="32"/>
      <c r="O5676" s="32"/>
      <c r="P5676" s="32"/>
      <c r="Q5676" s="32"/>
      <c r="R5676" s="32"/>
      <c r="S5676" s="32"/>
      <c r="T5676" s="32"/>
      <c r="U5676" s="32"/>
      <c r="V5676" s="32"/>
      <c r="W5676" s="32"/>
      <c r="X5676" s="32"/>
      <c r="Y5676" s="32"/>
      <c r="Z5676" s="32"/>
    </row>
    <row r="5677" spans="1:26" ht="14.25" customHeight="1">
      <c r="A5677" s="83" t="s">
        <v>18</v>
      </c>
      <c r="B5677" s="81"/>
      <c r="C5677" s="81"/>
      <c r="D5677" s="81"/>
      <c r="E5677" s="81"/>
      <c r="F5677" s="81"/>
      <c r="G5677" s="82"/>
      <c r="H5677" s="41">
        <f>SUM(G5674:G5676)</f>
        <v>1079600</v>
      </c>
      <c r="I5677" s="32"/>
      <c r="J5677" s="32"/>
      <c r="K5677" s="32"/>
      <c r="L5677" s="32"/>
      <c r="M5677" s="32"/>
      <c r="N5677" s="32"/>
      <c r="O5677" s="32"/>
      <c r="P5677" s="32"/>
      <c r="Q5677" s="32"/>
      <c r="R5677" s="32"/>
      <c r="S5677" s="32"/>
      <c r="T5677" s="32"/>
      <c r="U5677" s="32"/>
      <c r="V5677" s="32"/>
      <c r="W5677" s="32"/>
      <c r="X5677" s="32"/>
      <c r="Y5677" s="32"/>
      <c r="Z5677" s="32"/>
    </row>
    <row r="5678" spans="1:26" ht="14.25" customHeight="1">
      <c r="A5678" s="83" t="s">
        <v>19</v>
      </c>
      <c r="B5678" s="81"/>
      <c r="C5678" s="81"/>
      <c r="D5678" s="81"/>
      <c r="E5678" s="81"/>
      <c r="F5678" s="81"/>
      <c r="G5678" s="82"/>
      <c r="H5678" s="41">
        <f>MAX(0,H5677-648000)</f>
        <v>431600</v>
      </c>
      <c r="I5678" s="32"/>
      <c r="J5678" s="32"/>
      <c r="K5678" s="32"/>
      <c r="L5678" s="32"/>
      <c r="M5678" s="32"/>
      <c r="N5678" s="32"/>
      <c r="O5678" s="32"/>
      <c r="P5678" s="32"/>
      <c r="Q5678" s="32"/>
      <c r="R5678" s="32"/>
      <c r="S5678" s="32"/>
      <c r="T5678" s="32"/>
      <c r="U5678" s="32"/>
      <c r="V5678" s="32"/>
      <c r="W5678" s="32"/>
      <c r="X5678" s="32"/>
      <c r="Y5678" s="32"/>
      <c r="Z5678" s="32"/>
    </row>
    <row r="5679" spans="1:26" ht="14.25" customHeight="1">
      <c r="A5679" s="84" t="s">
        <v>20</v>
      </c>
      <c r="B5679" s="81"/>
      <c r="C5679" s="81"/>
      <c r="D5679" s="81"/>
      <c r="E5679" s="81"/>
      <c r="F5679" s="81"/>
      <c r="G5679" s="82"/>
      <c r="H5679" s="42">
        <v>649000</v>
      </c>
      <c r="I5679" s="32"/>
      <c r="J5679" s="32"/>
      <c r="K5679" s="32"/>
      <c r="L5679" s="32"/>
      <c r="M5679" s="32"/>
      <c r="N5679" s="32"/>
      <c r="O5679" s="32"/>
      <c r="P5679" s="32"/>
      <c r="Q5679" s="32"/>
      <c r="R5679" s="32"/>
      <c r="S5679" s="32"/>
      <c r="T5679" s="32"/>
      <c r="U5679" s="32"/>
      <c r="V5679" s="32"/>
      <c r="W5679" s="32"/>
      <c r="X5679" s="32"/>
      <c r="Y5679" s="32"/>
      <c r="Z5679" s="32"/>
    </row>
    <row r="5680" spans="1:26" ht="14.25" customHeight="1">
      <c r="A5680" s="80"/>
      <c r="B5680" s="81"/>
      <c r="C5680" s="81"/>
      <c r="D5680" s="81"/>
      <c r="E5680" s="81"/>
      <c r="F5680" s="81"/>
      <c r="G5680" s="81"/>
      <c r="H5680" s="82"/>
      <c r="I5680" s="32"/>
      <c r="J5680" s="32"/>
      <c r="K5680" s="32"/>
      <c r="L5680" s="32"/>
      <c r="M5680" s="32"/>
      <c r="N5680" s="32"/>
      <c r="O5680" s="32"/>
      <c r="P5680" s="32"/>
      <c r="Q5680" s="32"/>
      <c r="R5680" s="32"/>
      <c r="S5680" s="32"/>
      <c r="T5680" s="32"/>
      <c r="U5680" s="32"/>
      <c r="V5680" s="32"/>
      <c r="W5680" s="32"/>
      <c r="X5680" s="32"/>
      <c r="Y5680" s="32"/>
      <c r="Z5680" s="32"/>
    </row>
    <row r="5681" spans="1:9" ht="14.25" customHeight="1">
      <c r="I5681" s="32"/>
    </row>
    <row r="5682" spans="1:9" ht="14.25" customHeight="1">
      <c r="I5682" s="32"/>
    </row>
    <row r="5683" spans="1:9" ht="14.25" customHeight="1">
      <c r="I5683" s="32"/>
    </row>
    <row r="5684" spans="1:9" ht="14.25" customHeight="1">
      <c r="I5684" s="32"/>
    </row>
    <row r="5685" spans="1:9" ht="14.25" customHeight="1">
      <c r="I5685" s="32"/>
    </row>
    <row r="5686" spans="1:9" ht="14.25" customHeight="1">
      <c r="I5686" s="32"/>
    </row>
    <row r="5687" spans="1:9" ht="14.25" customHeight="1">
      <c r="I5687" s="32"/>
    </row>
    <row r="5688" spans="1:9" ht="14.25" customHeight="1">
      <c r="A5688" s="85" t="s">
        <v>0</v>
      </c>
      <c r="B5688" s="81"/>
      <c r="C5688" s="81"/>
      <c r="D5688" s="81"/>
      <c r="E5688" s="81"/>
      <c r="F5688" s="81"/>
      <c r="G5688" s="81"/>
      <c r="H5688" s="82"/>
      <c r="I5688" s="32"/>
    </row>
    <row r="5689" spans="1:9" ht="14.25" customHeight="1">
      <c r="A5689" s="85" t="s">
        <v>1345</v>
      </c>
      <c r="B5689" s="81"/>
      <c r="C5689" s="81"/>
      <c r="D5689" s="81"/>
      <c r="E5689" s="81"/>
      <c r="F5689" s="81"/>
      <c r="G5689" s="81"/>
      <c r="H5689" s="82"/>
      <c r="I5689" s="32"/>
    </row>
    <row r="5690" spans="1:9" ht="14.25" customHeight="1">
      <c r="A5690" s="1" t="s">
        <v>2</v>
      </c>
      <c r="B5690" s="1" t="s">
        <v>3</v>
      </c>
      <c r="C5690" s="1" t="s">
        <v>4</v>
      </c>
      <c r="D5690" s="1" t="s">
        <v>5</v>
      </c>
      <c r="E5690" s="1" t="s">
        <v>6</v>
      </c>
      <c r="F5690" s="2" t="s">
        <v>7</v>
      </c>
      <c r="G5690" s="1" t="s">
        <v>8</v>
      </c>
      <c r="H5690" s="1"/>
      <c r="I5690" s="32"/>
    </row>
    <row r="5691" spans="1:9" ht="14.25" customHeight="1">
      <c r="A5691" s="3">
        <v>1</v>
      </c>
      <c r="B5691" s="55" t="s">
        <v>73</v>
      </c>
      <c r="C5691" s="56" t="s">
        <v>1146</v>
      </c>
      <c r="D5691" s="57" t="s">
        <v>11</v>
      </c>
      <c r="E5691" s="57">
        <v>2.0499999999999998</v>
      </c>
      <c r="F5691" s="6">
        <v>293000</v>
      </c>
      <c r="G5691" s="7">
        <f t="shared" ref="G5691:G5692" si="356">IFERROR(E5691*F5691,0)</f>
        <v>600650</v>
      </c>
      <c r="H5691" s="8"/>
      <c r="I5691" s="32"/>
    </row>
    <row r="5692" spans="1:9" ht="14.25" customHeight="1">
      <c r="A5692" s="3">
        <v>2</v>
      </c>
      <c r="B5692" s="55" t="s">
        <v>36</v>
      </c>
      <c r="C5692" s="56" t="s">
        <v>1346</v>
      </c>
      <c r="D5692" s="57" t="s">
        <v>14</v>
      </c>
      <c r="E5692" s="57">
        <v>0.83</v>
      </c>
      <c r="F5692" s="11">
        <v>435000</v>
      </c>
      <c r="G5692" s="7">
        <f t="shared" si="356"/>
        <v>361050</v>
      </c>
      <c r="H5692" s="8"/>
      <c r="I5692" s="32"/>
    </row>
    <row r="5693" spans="1:9" ht="14.25" customHeight="1">
      <c r="A5693" s="3">
        <v>3</v>
      </c>
      <c r="B5693" s="63" t="s">
        <v>1347</v>
      </c>
      <c r="C5693" s="62" t="s">
        <v>1348</v>
      </c>
      <c r="D5693" s="57" t="s">
        <v>14</v>
      </c>
      <c r="E5693" s="57">
        <v>0.7</v>
      </c>
      <c r="F5693" s="6">
        <v>293000</v>
      </c>
      <c r="G5693" s="7">
        <f>IFERROR(E5693*F5693,0)</f>
        <v>205100</v>
      </c>
      <c r="H5693" s="8"/>
      <c r="I5693" s="32"/>
    </row>
    <row r="5694" spans="1:9" ht="14.25" customHeight="1">
      <c r="A5694" s="3">
        <v>4</v>
      </c>
      <c r="B5694" s="8" t="s">
        <v>17</v>
      </c>
      <c r="C5694" s="8"/>
      <c r="D5694" s="8"/>
      <c r="E5694" s="8"/>
      <c r="F5694" s="8"/>
      <c r="G5694" s="13">
        <f>IFERROR(E5694*F5694,0)</f>
        <v>0</v>
      </c>
      <c r="H5694" s="8"/>
      <c r="I5694" s="32"/>
    </row>
    <row r="5695" spans="1:9" ht="14.25" customHeight="1">
      <c r="A5695" s="86" t="s">
        <v>18</v>
      </c>
      <c r="B5695" s="81"/>
      <c r="C5695" s="81"/>
      <c r="D5695" s="81"/>
      <c r="E5695" s="81"/>
      <c r="F5695" s="81"/>
      <c r="G5695" s="82"/>
      <c r="H5695" s="14">
        <f>SUM(G5691:G5694)</f>
        <v>1166800</v>
      </c>
      <c r="I5695" s="32"/>
    </row>
    <row r="5696" spans="1:9" ht="14.25" customHeight="1">
      <c r="A5696" s="86" t="s">
        <v>19</v>
      </c>
      <c r="B5696" s="81"/>
      <c r="C5696" s="81"/>
      <c r="D5696" s="81"/>
      <c r="E5696" s="81"/>
      <c r="F5696" s="81"/>
      <c r="G5696" s="82"/>
      <c r="H5696" s="14">
        <f>MAX(0,H5695-648000)</f>
        <v>518800</v>
      </c>
      <c r="I5696" s="32"/>
    </row>
    <row r="5697" spans="1:9" ht="14.25" customHeight="1">
      <c r="A5697" s="87" t="s">
        <v>20</v>
      </c>
      <c r="B5697" s="81"/>
      <c r="C5697" s="81"/>
      <c r="D5697" s="81"/>
      <c r="E5697" s="81"/>
      <c r="F5697" s="81"/>
      <c r="G5697" s="82"/>
      <c r="H5697" s="15">
        <v>649000</v>
      </c>
      <c r="I5697" s="32"/>
    </row>
    <row r="5698" spans="1:9" ht="14.25" customHeight="1">
      <c r="I5698" s="32"/>
    </row>
    <row r="5699" spans="1:9" ht="14.25" customHeight="1">
      <c r="I5699" s="32"/>
    </row>
    <row r="5700" spans="1:9" ht="14.25" customHeight="1">
      <c r="I5700" s="32"/>
    </row>
    <row r="5701" spans="1:9" ht="14.25" customHeight="1">
      <c r="I5701" s="32"/>
    </row>
    <row r="5702" spans="1:9" ht="14.25" customHeight="1">
      <c r="I5702" s="32"/>
    </row>
    <row r="5703" spans="1:9" ht="14.25" customHeight="1">
      <c r="A5703" s="85" t="s">
        <v>0</v>
      </c>
      <c r="B5703" s="81"/>
      <c r="C5703" s="81"/>
      <c r="D5703" s="81"/>
      <c r="E5703" s="81"/>
      <c r="F5703" s="81"/>
      <c r="G5703" s="81"/>
      <c r="H5703" s="82"/>
      <c r="I5703" s="32"/>
    </row>
    <row r="5704" spans="1:9" ht="14.25" customHeight="1">
      <c r="A5704" s="85" t="s">
        <v>1349</v>
      </c>
      <c r="B5704" s="81"/>
      <c r="C5704" s="81"/>
      <c r="D5704" s="81"/>
      <c r="E5704" s="81"/>
      <c r="F5704" s="81"/>
      <c r="G5704" s="81"/>
      <c r="H5704" s="82"/>
      <c r="I5704" s="32"/>
    </row>
    <row r="5705" spans="1:9" ht="14.25" customHeight="1">
      <c r="A5705" s="1" t="s">
        <v>2</v>
      </c>
      <c r="B5705" s="1" t="s">
        <v>3</v>
      </c>
      <c r="C5705" s="1" t="s">
        <v>4</v>
      </c>
      <c r="D5705" s="1" t="s">
        <v>5</v>
      </c>
      <c r="E5705" s="1" t="s">
        <v>6</v>
      </c>
      <c r="F5705" s="2" t="s">
        <v>7</v>
      </c>
      <c r="G5705" s="1" t="s">
        <v>8</v>
      </c>
      <c r="H5705" s="1"/>
      <c r="I5705" s="32"/>
    </row>
    <row r="5706" spans="1:9" ht="14.25" customHeight="1">
      <c r="A5706" s="3">
        <v>1</v>
      </c>
      <c r="B5706" s="55" t="s">
        <v>130</v>
      </c>
      <c r="C5706" s="56" t="s">
        <v>1350</v>
      </c>
      <c r="D5706" s="57" t="s">
        <v>11</v>
      </c>
      <c r="E5706" s="57">
        <v>0.97</v>
      </c>
      <c r="F5706" s="6">
        <v>293000</v>
      </c>
      <c r="G5706" s="7">
        <f t="shared" ref="G5706:G5707" si="357">IFERROR(E5706*F5706,0)</f>
        <v>284210</v>
      </c>
      <c r="H5706" s="8"/>
      <c r="I5706" s="32"/>
    </row>
    <row r="5707" spans="1:9" ht="14.25" customHeight="1">
      <c r="A5707" s="3">
        <v>2</v>
      </c>
      <c r="B5707" s="55" t="s">
        <v>65</v>
      </c>
      <c r="C5707" s="56" t="s">
        <v>1351</v>
      </c>
      <c r="D5707" s="57" t="s">
        <v>233</v>
      </c>
      <c r="E5707" s="57">
        <v>1.36</v>
      </c>
      <c r="F5707" s="11">
        <v>435000</v>
      </c>
      <c r="G5707" s="7">
        <f t="shared" si="357"/>
        <v>591600</v>
      </c>
      <c r="H5707" s="8"/>
      <c r="I5707" s="32"/>
    </row>
    <row r="5708" spans="1:9" ht="14.25" customHeight="1">
      <c r="A5708" s="3">
        <v>3</v>
      </c>
      <c r="B5708" s="63" t="s">
        <v>1802</v>
      </c>
      <c r="C5708" s="65" t="s">
        <v>1352</v>
      </c>
      <c r="D5708" s="65" t="s">
        <v>11</v>
      </c>
      <c r="E5708" s="57">
        <v>1.2</v>
      </c>
      <c r="F5708" s="6">
        <v>293000</v>
      </c>
      <c r="G5708" s="7">
        <f>IFERROR(E5708*F5708,0)</f>
        <v>351600</v>
      </c>
      <c r="H5708" s="8"/>
      <c r="I5708" s="32"/>
    </row>
    <row r="5709" spans="1:9" ht="14.25" customHeight="1">
      <c r="A5709" s="3">
        <v>4</v>
      </c>
      <c r="B5709" s="8" t="s">
        <v>17</v>
      </c>
      <c r="C5709" s="8"/>
      <c r="D5709" s="8"/>
      <c r="E5709" s="8"/>
      <c r="F5709" s="8"/>
      <c r="G5709" s="13">
        <f>IFERROR(E5709*F5709,0)</f>
        <v>0</v>
      </c>
      <c r="H5709" s="8"/>
      <c r="I5709" s="32"/>
    </row>
    <row r="5710" spans="1:9" ht="14.25" customHeight="1">
      <c r="A5710" s="86" t="s">
        <v>18</v>
      </c>
      <c r="B5710" s="81"/>
      <c r="C5710" s="81"/>
      <c r="D5710" s="81"/>
      <c r="E5710" s="81"/>
      <c r="F5710" s="81"/>
      <c r="G5710" s="82"/>
      <c r="H5710" s="14">
        <f>SUM(G5706:G5709)</f>
        <v>1227410</v>
      </c>
      <c r="I5710" s="32"/>
    </row>
    <row r="5711" spans="1:9" ht="14.25" customHeight="1">
      <c r="A5711" s="86" t="s">
        <v>19</v>
      </c>
      <c r="B5711" s="81"/>
      <c r="C5711" s="81"/>
      <c r="D5711" s="81"/>
      <c r="E5711" s="81"/>
      <c r="F5711" s="81"/>
      <c r="G5711" s="82"/>
      <c r="H5711" s="14">
        <f>MAX(0,H5710-648000)</f>
        <v>579410</v>
      </c>
      <c r="I5711" s="32"/>
    </row>
    <row r="5712" spans="1:9" ht="14.25" customHeight="1">
      <c r="A5712" s="87" t="s">
        <v>20</v>
      </c>
      <c r="B5712" s="81"/>
      <c r="C5712" s="81"/>
      <c r="D5712" s="81"/>
      <c r="E5712" s="81"/>
      <c r="F5712" s="81"/>
      <c r="G5712" s="82"/>
      <c r="H5712" s="15">
        <v>649000</v>
      </c>
      <c r="I5712" s="32"/>
    </row>
    <row r="5713" spans="1:9" ht="14.25" customHeight="1">
      <c r="I5713" s="32"/>
    </row>
    <row r="5714" spans="1:9" ht="14.25" customHeight="1">
      <c r="I5714" s="32"/>
    </row>
    <row r="5715" spans="1:9" ht="14.25" customHeight="1">
      <c r="I5715" s="32"/>
    </row>
    <row r="5716" spans="1:9" ht="14.25" customHeight="1">
      <c r="I5716" s="32"/>
    </row>
    <row r="5717" spans="1:9" ht="14.25" customHeight="1">
      <c r="A5717" s="85" t="s">
        <v>0</v>
      </c>
      <c r="B5717" s="81"/>
      <c r="C5717" s="81"/>
      <c r="D5717" s="81"/>
      <c r="E5717" s="81"/>
      <c r="F5717" s="81"/>
      <c r="G5717" s="81"/>
      <c r="H5717" s="82"/>
      <c r="I5717" s="32"/>
    </row>
    <row r="5718" spans="1:9" ht="14.25" customHeight="1">
      <c r="A5718" s="85" t="s">
        <v>1353</v>
      </c>
      <c r="B5718" s="81"/>
      <c r="C5718" s="81"/>
      <c r="D5718" s="81"/>
      <c r="E5718" s="81"/>
      <c r="F5718" s="81"/>
      <c r="G5718" s="81"/>
      <c r="H5718" s="82"/>
      <c r="I5718" s="32"/>
    </row>
    <row r="5719" spans="1:9" ht="14.25" customHeight="1">
      <c r="A5719" s="1" t="s">
        <v>2</v>
      </c>
      <c r="B5719" s="1" t="s">
        <v>3</v>
      </c>
      <c r="C5719" s="1" t="s">
        <v>4</v>
      </c>
      <c r="D5719" s="1" t="s">
        <v>5</v>
      </c>
      <c r="E5719" s="1" t="s">
        <v>6</v>
      </c>
      <c r="F5719" s="2" t="s">
        <v>7</v>
      </c>
      <c r="G5719" s="1" t="s">
        <v>8</v>
      </c>
      <c r="H5719" s="1"/>
      <c r="I5719" s="32"/>
    </row>
    <row r="5720" spans="1:9" ht="14.25" customHeight="1">
      <c r="A5720" s="3">
        <v>1</v>
      </c>
      <c r="B5720" s="55" t="s">
        <v>916</v>
      </c>
      <c r="C5720" s="56" t="s">
        <v>1354</v>
      </c>
      <c r="D5720" s="57" t="s">
        <v>11</v>
      </c>
      <c r="E5720" s="57">
        <v>1</v>
      </c>
      <c r="F5720" s="6">
        <v>293000</v>
      </c>
      <c r="G5720" s="7">
        <f t="shared" ref="G5720:G5721" si="358">IFERROR(E5720*F5720,0)</f>
        <v>293000</v>
      </c>
      <c r="H5720" s="8"/>
      <c r="I5720" s="32"/>
    </row>
    <row r="5721" spans="1:9" ht="14.25" customHeight="1">
      <c r="A5721" s="3">
        <v>2</v>
      </c>
      <c r="B5721" s="55" t="s">
        <v>864</v>
      </c>
      <c r="C5721" s="56" t="s">
        <v>1355</v>
      </c>
      <c r="D5721" s="57" t="s">
        <v>14</v>
      </c>
      <c r="E5721" s="57">
        <v>1.35</v>
      </c>
      <c r="F5721" s="11">
        <v>435000</v>
      </c>
      <c r="G5721" s="7">
        <f t="shared" si="358"/>
        <v>587250</v>
      </c>
      <c r="H5721" s="8"/>
      <c r="I5721" s="32"/>
    </row>
    <row r="5722" spans="1:9" ht="14.25" customHeight="1">
      <c r="A5722" s="3">
        <v>3</v>
      </c>
      <c r="B5722" s="63" t="s">
        <v>61</v>
      </c>
      <c r="C5722" s="65" t="s">
        <v>1356</v>
      </c>
      <c r="D5722" s="65" t="s">
        <v>11</v>
      </c>
      <c r="E5722" s="57">
        <v>1.1200000000000001</v>
      </c>
      <c r="F5722" s="6">
        <v>293000</v>
      </c>
      <c r="G5722" s="7">
        <f>IFERROR(E5722*F5722,0)</f>
        <v>328160.00000000006</v>
      </c>
      <c r="H5722" s="8"/>
      <c r="I5722" s="32"/>
    </row>
    <row r="5723" spans="1:9" ht="14.25" customHeight="1">
      <c r="A5723" s="3">
        <v>4</v>
      </c>
      <c r="B5723" s="8" t="s">
        <v>17</v>
      </c>
      <c r="C5723" s="8"/>
      <c r="D5723" s="8"/>
      <c r="E5723" s="8"/>
      <c r="F5723" s="8"/>
      <c r="G5723" s="13">
        <f>IFERROR(E5723*F5723,0)</f>
        <v>0</v>
      </c>
      <c r="H5723" s="8"/>
      <c r="I5723" s="32"/>
    </row>
    <row r="5724" spans="1:9" ht="14.25" customHeight="1">
      <c r="A5724" s="86" t="s">
        <v>18</v>
      </c>
      <c r="B5724" s="81"/>
      <c r="C5724" s="81"/>
      <c r="D5724" s="81"/>
      <c r="E5724" s="81"/>
      <c r="F5724" s="81"/>
      <c r="G5724" s="82"/>
      <c r="H5724" s="14">
        <f>SUM(G5720:G5723)</f>
        <v>1208410</v>
      </c>
      <c r="I5724" s="32"/>
    </row>
    <row r="5725" spans="1:9" ht="14.25" customHeight="1">
      <c r="A5725" s="86" t="s">
        <v>19</v>
      </c>
      <c r="B5725" s="81"/>
      <c r="C5725" s="81"/>
      <c r="D5725" s="81"/>
      <c r="E5725" s="81"/>
      <c r="F5725" s="81"/>
      <c r="G5725" s="82"/>
      <c r="H5725" s="14">
        <f>MAX(0,H5724-648000)</f>
        <v>560410</v>
      </c>
      <c r="I5725" s="32"/>
    </row>
    <row r="5726" spans="1:9" ht="14.25" customHeight="1">
      <c r="A5726" s="87" t="s">
        <v>20</v>
      </c>
      <c r="B5726" s="81"/>
      <c r="C5726" s="81"/>
      <c r="D5726" s="81"/>
      <c r="E5726" s="81"/>
      <c r="F5726" s="81"/>
      <c r="G5726" s="82"/>
      <c r="H5726" s="15">
        <v>649000</v>
      </c>
      <c r="I5726" s="32"/>
    </row>
    <row r="5727" spans="1:9" ht="14.25" customHeight="1">
      <c r="I5727" s="32"/>
    </row>
    <row r="5728" spans="1:9" ht="14.25" customHeight="1">
      <c r="I5728" s="32"/>
    </row>
    <row r="5729" spans="1:9" ht="14.25" customHeight="1">
      <c r="I5729" s="32"/>
    </row>
    <row r="5730" spans="1:9" ht="14.25" customHeight="1">
      <c r="I5730" s="32"/>
    </row>
    <row r="5731" spans="1:9" ht="14.25" customHeight="1">
      <c r="I5731" s="32"/>
    </row>
    <row r="5732" spans="1:9" ht="14.25" customHeight="1">
      <c r="A5732" s="85" t="s">
        <v>0</v>
      </c>
      <c r="B5732" s="81"/>
      <c r="C5732" s="81"/>
      <c r="D5732" s="81"/>
      <c r="E5732" s="81"/>
      <c r="F5732" s="81"/>
      <c r="G5732" s="81"/>
      <c r="H5732" s="82"/>
      <c r="I5732" s="32"/>
    </row>
    <row r="5733" spans="1:9" ht="14.25" customHeight="1">
      <c r="A5733" s="85" t="s">
        <v>1357</v>
      </c>
      <c r="B5733" s="81"/>
      <c r="C5733" s="81"/>
      <c r="D5733" s="81"/>
      <c r="E5733" s="81"/>
      <c r="F5733" s="81"/>
      <c r="G5733" s="81"/>
      <c r="H5733" s="82"/>
      <c r="I5733" s="32"/>
    </row>
    <row r="5734" spans="1:9" ht="14.25" customHeight="1">
      <c r="A5734" s="1" t="s">
        <v>2</v>
      </c>
      <c r="B5734" s="1" t="s">
        <v>3</v>
      </c>
      <c r="C5734" s="1" t="s">
        <v>4</v>
      </c>
      <c r="D5734" s="1" t="s">
        <v>5</v>
      </c>
      <c r="E5734" s="1" t="s">
        <v>6</v>
      </c>
      <c r="F5734" s="2" t="s">
        <v>7</v>
      </c>
      <c r="G5734" s="1" t="s">
        <v>8</v>
      </c>
      <c r="H5734" s="1"/>
      <c r="I5734" s="32"/>
    </row>
    <row r="5735" spans="1:9" ht="14.25" customHeight="1">
      <c r="A5735" s="3">
        <v>1</v>
      </c>
      <c r="B5735" s="55" t="s">
        <v>203</v>
      </c>
      <c r="C5735" s="56" t="s">
        <v>1358</v>
      </c>
      <c r="D5735" s="57" t="s">
        <v>11</v>
      </c>
      <c r="E5735" s="57">
        <v>1.3</v>
      </c>
      <c r="F5735" s="6">
        <v>293000</v>
      </c>
      <c r="G5735" s="7">
        <f t="shared" ref="G5735:G5736" si="359">IFERROR(E5735*F5735,0)</f>
        <v>380900</v>
      </c>
      <c r="H5735" s="8"/>
      <c r="I5735" s="32"/>
    </row>
    <row r="5736" spans="1:9" ht="14.25" customHeight="1">
      <c r="A5736" s="3">
        <v>2</v>
      </c>
      <c r="B5736" s="51" t="s">
        <v>65</v>
      </c>
      <c r="C5736" s="56" t="s">
        <v>1359</v>
      </c>
      <c r="D5736" s="57" t="s">
        <v>14</v>
      </c>
      <c r="E5736" s="57">
        <v>1.2</v>
      </c>
      <c r="F5736" s="11">
        <v>435000</v>
      </c>
      <c r="G5736" s="7">
        <f t="shared" si="359"/>
        <v>522000</v>
      </c>
      <c r="H5736" s="8"/>
      <c r="I5736" s="32"/>
    </row>
    <row r="5737" spans="1:9" ht="14.25" customHeight="1">
      <c r="A5737" s="3">
        <v>3</v>
      </c>
      <c r="B5737" s="55" t="s">
        <v>1360</v>
      </c>
      <c r="C5737" s="65" t="s">
        <v>1361</v>
      </c>
      <c r="D5737" s="65" t="s">
        <v>11</v>
      </c>
      <c r="E5737" s="57">
        <v>1</v>
      </c>
      <c r="F5737" s="6">
        <v>293000</v>
      </c>
      <c r="G5737" s="7">
        <f>IFERROR(E5737*F5737,0)</f>
        <v>293000</v>
      </c>
      <c r="H5737" s="8"/>
      <c r="I5737" s="32"/>
    </row>
    <row r="5738" spans="1:9" ht="14.25" customHeight="1">
      <c r="A5738" s="3">
        <v>4</v>
      </c>
      <c r="B5738" s="8" t="s">
        <v>17</v>
      </c>
      <c r="C5738" s="8"/>
      <c r="D5738" s="8"/>
      <c r="E5738" s="8"/>
      <c r="F5738" s="8"/>
      <c r="G5738" s="13">
        <f>IFERROR(E5738*F5738,0)</f>
        <v>0</v>
      </c>
      <c r="H5738" s="8"/>
      <c r="I5738" s="32"/>
    </row>
    <row r="5739" spans="1:9" ht="14.25" customHeight="1">
      <c r="A5739" s="86" t="s">
        <v>18</v>
      </c>
      <c r="B5739" s="81"/>
      <c r="C5739" s="81"/>
      <c r="D5739" s="81"/>
      <c r="E5739" s="81"/>
      <c r="F5739" s="81"/>
      <c r="G5739" s="82"/>
      <c r="H5739" s="14">
        <f>SUM(G5735:G5738)</f>
        <v>1195900</v>
      </c>
      <c r="I5739" s="32"/>
    </row>
    <row r="5740" spans="1:9" ht="14.25" customHeight="1">
      <c r="A5740" s="86" t="s">
        <v>19</v>
      </c>
      <c r="B5740" s="81"/>
      <c r="C5740" s="81"/>
      <c r="D5740" s="81"/>
      <c r="E5740" s="81"/>
      <c r="F5740" s="81"/>
      <c r="G5740" s="82"/>
      <c r="H5740" s="14">
        <f>MAX(0,H5739-648000)</f>
        <v>547900</v>
      </c>
      <c r="I5740" s="32"/>
    </row>
    <row r="5741" spans="1:9" ht="14.25" customHeight="1">
      <c r="A5741" s="87" t="s">
        <v>20</v>
      </c>
      <c r="B5741" s="81"/>
      <c r="C5741" s="81"/>
      <c r="D5741" s="81"/>
      <c r="E5741" s="81"/>
      <c r="F5741" s="81"/>
      <c r="G5741" s="82"/>
      <c r="H5741" s="15">
        <v>649000</v>
      </c>
      <c r="I5741" s="32"/>
    </row>
    <row r="5742" spans="1:9" ht="14.25" customHeight="1">
      <c r="I5742" s="32"/>
    </row>
    <row r="5743" spans="1:9" ht="14.25" customHeight="1">
      <c r="I5743" s="32"/>
    </row>
    <row r="5744" spans="1:9" ht="14.25" customHeight="1">
      <c r="I5744" s="32"/>
    </row>
    <row r="5745" spans="1:9" ht="14.25" customHeight="1">
      <c r="I5745" s="32"/>
    </row>
    <row r="5746" spans="1:9" ht="14.25" customHeight="1">
      <c r="I5746" s="32"/>
    </row>
    <row r="5747" spans="1:9" ht="14.25" customHeight="1">
      <c r="I5747" s="32"/>
    </row>
    <row r="5748" spans="1:9" ht="14.25" customHeight="1">
      <c r="A5748" s="85" t="s">
        <v>0</v>
      </c>
      <c r="B5748" s="81"/>
      <c r="C5748" s="81"/>
      <c r="D5748" s="81"/>
      <c r="E5748" s="81"/>
      <c r="F5748" s="81"/>
      <c r="G5748" s="81"/>
      <c r="H5748" s="82"/>
      <c r="I5748" s="32"/>
    </row>
    <row r="5749" spans="1:9" ht="14.25" customHeight="1">
      <c r="A5749" s="85" t="s">
        <v>1362</v>
      </c>
      <c r="B5749" s="81"/>
      <c r="C5749" s="81"/>
      <c r="D5749" s="81"/>
      <c r="E5749" s="81"/>
      <c r="F5749" s="81"/>
      <c r="G5749" s="81"/>
      <c r="H5749" s="82"/>
      <c r="I5749" s="32"/>
    </row>
    <row r="5750" spans="1:9" ht="14.25" customHeight="1">
      <c r="A5750" s="1" t="s">
        <v>2</v>
      </c>
      <c r="B5750" s="1" t="s">
        <v>3</v>
      </c>
      <c r="C5750" s="1" t="s">
        <v>4</v>
      </c>
      <c r="D5750" s="1" t="s">
        <v>5</v>
      </c>
      <c r="E5750" s="1" t="s">
        <v>6</v>
      </c>
      <c r="F5750" s="2" t="s">
        <v>7</v>
      </c>
      <c r="G5750" s="1" t="s">
        <v>8</v>
      </c>
      <c r="H5750" s="1"/>
      <c r="I5750" s="32"/>
    </row>
    <row r="5751" spans="1:9" ht="14.25" customHeight="1">
      <c r="A5751" s="3">
        <v>1</v>
      </c>
      <c r="B5751" s="55" t="s">
        <v>648</v>
      </c>
      <c r="C5751" s="56" t="s">
        <v>1363</v>
      </c>
      <c r="D5751" s="57" t="s">
        <v>11</v>
      </c>
      <c r="E5751" s="57">
        <v>1.1000000000000001</v>
      </c>
      <c r="F5751" s="6">
        <v>293000</v>
      </c>
      <c r="G5751" s="7">
        <f t="shared" ref="G5751:G5752" si="360">IFERROR(E5751*F5751,0)</f>
        <v>322300</v>
      </c>
      <c r="H5751" s="8"/>
      <c r="I5751" s="32"/>
    </row>
    <row r="5752" spans="1:9" ht="14.25" customHeight="1">
      <c r="A5752" s="3">
        <v>2</v>
      </c>
      <c r="B5752" s="55" t="s">
        <v>65</v>
      </c>
      <c r="C5752" s="56" t="s">
        <v>1359</v>
      </c>
      <c r="D5752" s="57" t="s">
        <v>14</v>
      </c>
      <c r="E5752" s="57">
        <v>1.2</v>
      </c>
      <c r="F5752" s="11">
        <v>435000</v>
      </c>
      <c r="G5752" s="7">
        <f t="shared" si="360"/>
        <v>522000</v>
      </c>
      <c r="H5752" s="8"/>
      <c r="I5752" s="32"/>
    </row>
    <row r="5753" spans="1:9" ht="14.25" customHeight="1">
      <c r="A5753" s="3">
        <v>3</v>
      </c>
      <c r="B5753" s="63" t="s">
        <v>911</v>
      </c>
      <c r="C5753" s="65" t="s">
        <v>1364</v>
      </c>
      <c r="D5753" s="65" t="s">
        <v>11</v>
      </c>
      <c r="E5753" s="57">
        <v>1</v>
      </c>
      <c r="F5753" s="6">
        <v>293000</v>
      </c>
      <c r="G5753" s="7">
        <f>IFERROR(E5753*F5753,0)</f>
        <v>293000</v>
      </c>
      <c r="H5753" s="8"/>
      <c r="I5753" s="32"/>
    </row>
    <row r="5754" spans="1:9" ht="14.25" customHeight="1">
      <c r="A5754" s="3">
        <v>4</v>
      </c>
      <c r="B5754" s="8" t="s">
        <v>17</v>
      </c>
      <c r="C5754" s="8"/>
      <c r="D5754" s="8"/>
      <c r="E5754" s="8"/>
      <c r="F5754" s="8"/>
      <c r="G5754" s="13">
        <f>IFERROR(E5754*F5754,0)</f>
        <v>0</v>
      </c>
      <c r="H5754" s="8"/>
      <c r="I5754" s="32"/>
    </row>
    <row r="5755" spans="1:9" ht="14.25" customHeight="1">
      <c r="A5755" s="86" t="s">
        <v>18</v>
      </c>
      <c r="B5755" s="81"/>
      <c r="C5755" s="81"/>
      <c r="D5755" s="81"/>
      <c r="E5755" s="81"/>
      <c r="F5755" s="81"/>
      <c r="G5755" s="82"/>
      <c r="H5755" s="14">
        <f>SUM(G5751:G5754)</f>
        <v>1137300</v>
      </c>
      <c r="I5755" s="32"/>
    </row>
    <row r="5756" spans="1:9" ht="14.25" customHeight="1">
      <c r="A5756" s="86" t="s">
        <v>19</v>
      </c>
      <c r="B5756" s="81"/>
      <c r="C5756" s="81"/>
      <c r="D5756" s="81"/>
      <c r="E5756" s="81"/>
      <c r="F5756" s="81"/>
      <c r="G5756" s="82"/>
      <c r="H5756" s="14">
        <f>MAX(0,H5755-648000)</f>
        <v>489300</v>
      </c>
      <c r="I5756" s="32"/>
    </row>
    <row r="5757" spans="1:9" ht="14.25" customHeight="1">
      <c r="A5757" s="87" t="s">
        <v>20</v>
      </c>
      <c r="B5757" s="81"/>
      <c r="C5757" s="81"/>
      <c r="D5757" s="81"/>
      <c r="E5757" s="81"/>
      <c r="F5757" s="81"/>
      <c r="G5757" s="82"/>
      <c r="H5757" s="15">
        <v>649000</v>
      </c>
      <c r="I5757" s="32"/>
    </row>
    <row r="5758" spans="1:9" ht="14.25" customHeight="1">
      <c r="I5758" s="32"/>
    </row>
    <row r="5759" spans="1:9" ht="14.25" customHeight="1">
      <c r="I5759" s="32"/>
    </row>
    <row r="5760" spans="1:9" ht="14.25" customHeight="1">
      <c r="I5760" s="32"/>
    </row>
    <row r="5761" spans="1:9" ht="14.25" customHeight="1">
      <c r="I5761" s="32"/>
    </row>
    <row r="5762" spans="1:9" ht="14.25" customHeight="1">
      <c r="I5762" s="32"/>
    </row>
    <row r="5763" spans="1:9" ht="14.25" customHeight="1">
      <c r="I5763" s="32"/>
    </row>
    <row r="5764" spans="1:9" ht="14.25" customHeight="1">
      <c r="I5764" s="32"/>
    </row>
    <row r="5765" spans="1:9" ht="14.25" customHeight="1">
      <c r="I5765" s="32"/>
    </row>
    <row r="5766" spans="1:9" ht="14.25" customHeight="1">
      <c r="A5766" s="85" t="s">
        <v>0</v>
      </c>
      <c r="B5766" s="81"/>
      <c r="C5766" s="81"/>
      <c r="D5766" s="81"/>
      <c r="E5766" s="81"/>
      <c r="F5766" s="81"/>
      <c r="G5766" s="81"/>
      <c r="H5766" s="82"/>
      <c r="I5766" s="32"/>
    </row>
    <row r="5767" spans="1:9" ht="14.25" customHeight="1">
      <c r="A5767" s="85" t="s">
        <v>1365</v>
      </c>
      <c r="B5767" s="81"/>
      <c r="C5767" s="81"/>
      <c r="D5767" s="81"/>
      <c r="E5767" s="81"/>
      <c r="F5767" s="81"/>
      <c r="G5767" s="81"/>
      <c r="H5767" s="82"/>
      <c r="I5767" s="32"/>
    </row>
    <row r="5768" spans="1:9" ht="14.25" customHeight="1">
      <c r="A5768" s="1" t="s">
        <v>2</v>
      </c>
      <c r="B5768" s="1" t="s">
        <v>3</v>
      </c>
      <c r="C5768" s="1" t="s">
        <v>4</v>
      </c>
      <c r="D5768" s="1" t="s">
        <v>5</v>
      </c>
      <c r="E5768" s="1" t="s">
        <v>6</v>
      </c>
      <c r="F5768" s="2" t="s">
        <v>7</v>
      </c>
      <c r="G5768" s="1" t="s">
        <v>8</v>
      </c>
      <c r="H5768" s="1"/>
      <c r="I5768" s="32"/>
    </row>
    <row r="5769" spans="1:9" ht="14.25" customHeight="1">
      <c r="A5769" s="3">
        <v>1</v>
      </c>
      <c r="B5769" s="55" t="s">
        <v>741</v>
      </c>
      <c r="C5769" s="56" t="s">
        <v>1366</v>
      </c>
      <c r="D5769" s="57" t="s">
        <v>11</v>
      </c>
      <c r="E5769" s="57">
        <v>1</v>
      </c>
      <c r="F5769" s="6">
        <v>293000</v>
      </c>
      <c r="G5769" s="7">
        <f t="shared" ref="G5769:G5770" si="361">IFERROR(E5769*F5769,0)</f>
        <v>293000</v>
      </c>
      <c r="H5769" s="8"/>
      <c r="I5769" s="32"/>
    </row>
    <row r="5770" spans="1:9" ht="14.25" customHeight="1">
      <c r="A5770" s="3">
        <v>2</v>
      </c>
      <c r="B5770" s="55" t="s">
        <v>154</v>
      </c>
      <c r="C5770" s="56" t="s">
        <v>1367</v>
      </c>
      <c r="D5770" s="57" t="s">
        <v>14</v>
      </c>
      <c r="E5770" s="57">
        <v>1.49</v>
      </c>
      <c r="F5770" s="11">
        <v>435000</v>
      </c>
      <c r="G5770" s="7">
        <f t="shared" si="361"/>
        <v>648150</v>
      </c>
      <c r="H5770" s="8"/>
      <c r="I5770" s="32"/>
    </row>
    <row r="5771" spans="1:9" ht="14.25" customHeight="1">
      <c r="A5771" s="3">
        <v>3</v>
      </c>
      <c r="B5771" s="63" t="s">
        <v>1315</v>
      </c>
      <c r="C5771" s="65" t="s">
        <v>1368</v>
      </c>
      <c r="D5771" s="65" t="s">
        <v>11</v>
      </c>
      <c r="E5771" s="57">
        <v>1.0900000000000001</v>
      </c>
      <c r="F5771" s="6">
        <v>293000</v>
      </c>
      <c r="G5771" s="7">
        <f>IFERROR(E5771*F5771,0)</f>
        <v>319370</v>
      </c>
      <c r="H5771" s="8"/>
      <c r="I5771" s="32"/>
    </row>
    <row r="5772" spans="1:9" ht="14.25" customHeight="1">
      <c r="A5772" s="3">
        <v>4</v>
      </c>
      <c r="B5772" s="8" t="s">
        <v>17</v>
      </c>
      <c r="C5772" s="8"/>
      <c r="D5772" s="8"/>
      <c r="E5772" s="8"/>
      <c r="F5772" s="8"/>
      <c r="G5772" s="13">
        <f>IFERROR(E5772*F5772,0)</f>
        <v>0</v>
      </c>
      <c r="H5772" s="8"/>
      <c r="I5772" s="32"/>
    </row>
    <row r="5773" spans="1:9" ht="14.25" customHeight="1">
      <c r="A5773" s="86" t="s">
        <v>18</v>
      </c>
      <c r="B5773" s="81"/>
      <c r="C5773" s="81"/>
      <c r="D5773" s="81"/>
      <c r="E5773" s="81"/>
      <c r="F5773" s="81"/>
      <c r="G5773" s="82"/>
      <c r="H5773" s="14">
        <f>SUM(G5769:G5772)</f>
        <v>1260520</v>
      </c>
      <c r="I5773" s="32"/>
    </row>
    <row r="5774" spans="1:9" ht="14.25" customHeight="1">
      <c r="A5774" s="86" t="s">
        <v>19</v>
      </c>
      <c r="B5774" s="81"/>
      <c r="C5774" s="81"/>
      <c r="D5774" s="81"/>
      <c r="E5774" s="81"/>
      <c r="F5774" s="81"/>
      <c r="G5774" s="82"/>
      <c r="H5774" s="14">
        <f>MAX(0,H5773-648000)</f>
        <v>612520</v>
      </c>
      <c r="I5774" s="32"/>
    </row>
    <row r="5775" spans="1:9" ht="14.25" customHeight="1">
      <c r="A5775" s="87" t="s">
        <v>20</v>
      </c>
      <c r="B5775" s="81"/>
      <c r="C5775" s="81"/>
      <c r="D5775" s="81"/>
      <c r="E5775" s="81"/>
      <c r="F5775" s="81"/>
      <c r="G5775" s="82"/>
      <c r="H5775" s="15">
        <v>649000</v>
      </c>
      <c r="I5775" s="32"/>
    </row>
    <row r="5776" spans="1:9" ht="14.25" customHeight="1">
      <c r="I5776" s="32"/>
    </row>
    <row r="5777" spans="1:9" ht="14.25" customHeight="1">
      <c r="I5777" s="32"/>
    </row>
    <row r="5778" spans="1:9" ht="14.25" customHeight="1">
      <c r="I5778" s="32"/>
    </row>
    <row r="5779" spans="1:9" ht="14.25" customHeight="1">
      <c r="I5779" s="32"/>
    </row>
    <row r="5780" spans="1:9" ht="14.25" customHeight="1">
      <c r="I5780" s="32"/>
    </row>
    <row r="5781" spans="1:9" ht="14.25" customHeight="1">
      <c r="I5781" s="32"/>
    </row>
    <row r="5782" spans="1:9" ht="14.25" customHeight="1">
      <c r="I5782" s="32"/>
    </row>
    <row r="5783" spans="1:9" ht="14.25" customHeight="1">
      <c r="A5783" s="85" t="s">
        <v>0</v>
      </c>
      <c r="B5783" s="81"/>
      <c r="C5783" s="81"/>
      <c r="D5783" s="81"/>
      <c r="E5783" s="81"/>
      <c r="F5783" s="81"/>
      <c r="G5783" s="81"/>
      <c r="H5783" s="82"/>
      <c r="I5783" s="32"/>
    </row>
    <row r="5784" spans="1:9" ht="14.25" customHeight="1">
      <c r="A5784" s="85" t="s">
        <v>1369</v>
      </c>
      <c r="B5784" s="81"/>
      <c r="C5784" s="81"/>
      <c r="D5784" s="81"/>
      <c r="E5784" s="81"/>
      <c r="F5784" s="81"/>
      <c r="G5784" s="81"/>
      <c r="H5784" s="82"/>
      <c r="I5784" s="32"/>
    </row>
    <row r="5785" spans="1:9" ht="14.25" customHeight="1">
      <c r="A5785" s="1" t="s">
        <v>2</v>
      </c>
      <c r="B5785" s="1" t="s">
        <v>3</v>
      </c>
      <c r="C5785" s="1" t="s">
        <v>4</v>
      </c>
      <c r="D5785" s="1" t="s">
        <v>5</v>
      </c>
      <c r="E5785" s="1" t="s">
        <v>6</v>
      </c>
      <c r="F5785" s="2" t="s">
        <v>7</v>
      </c>
      <c r="G5785" s="1" t="s">
        <v>8</v>
      </c>
      <c r="H5785" s="1"/>
      <c r="I5785" s="32"/>
    </row>
    <row r="5786" spans="1:9" ht="14.25" customHeight="1">
      <c r="A5786" s="3">
        <v>1</v>
      </c>
      <c r="B5786" s="55" t="s">
        <v>183</v>
      </c>
      <c r="C5786" s="56" t="s">
        <v>1370</v>
      </c>
      <c r="D5786" s="57" t="s">
        <v>11</v>
      </c>
      <c r="E5786" s="57">
        <v>1.1299999999999999</v>
      </c>
      <c r="F5786" s="6">
        <v>293000</v>
      </c>
      <c r="G5786" s="7">
        <f t="shared" ref="G5786:G5787" si="362">IFERROR(E5786*F5786,0)</f>
        <v>331089.99999999994</v>
      </c>
      <c r="H5786" s="8"/>
      <c r="I5786" s="32"/>
    </row>
    <row r="5787" spans="1:9" ht="14.25" customHeight="1">
      <c r="A5787" s="3">
        <v>2</v>
      </c>
      <c r="B5787" s="55" t="s">
        <v>12</v>
      </c>
      <c r="C5787" s="56" t="s">
        <v>1371</v>
      </c>
      <c r="D5787" s="57" t="s">
        <v>14</v>
      </c>
      <c r="E5787" s="57">
        <v>1.1299999999999999</v>
      </c>
      <c r="F5787" s="11">
        <v>435000</v>
      </c>
      <c r="G5787" s="7">
        <f t="shared" si="362"/>
        <v>491549.99999999994</v>
      </c>
      <c r="H5787" s="8"/>
      <c r="I5787" s="32"/>
    </row>
    <row r="5788" spans="1:9" ht="14.25" customHeight="1">
      <c r="A5788" s="3">
        <v>3</v>
      </c>
      <c r="B5788" s="63" t="s">
        <v>130</v>
      </c>
      <c r="C5788" s="65" t="s">
        <v>1372</v>
      </c>
      <c r="D5788" s="65" t="s">
        <v>11</v>
      </c>
      <c r="E5788" s="57">
        <v>1</v>
      </c>
      <c r="F5788" s="6">
        <v>293000</v>
      </c>
      <c r="G5788" s="7">
        <f>IFERROR(E5788*F5788,0)</f>
        <v>293000</v>
      </c>
      <c r="H5788" s="8"/>
      <c r="I5788" s="32"/>
    </row>
    <row r="5789" spans="1:9" ht="14.25" customHeight="1">
      <c r="A5789" s="3">
        <v>4</v>
      </c>
      <c r="B5789" s="8" t="s">
        <v>17</v>
      </c>
      <c r="C5789" s="8"/>
      <c r="D5789" s="8"/>
      <c r="E5789" s="8"/>
      <c r="F5789" s="8"/>
      <c r="G5789" s="13">
        <f>IFERROR(E5789*F5789,0)</f>
        <v>0</v>
      </c>
      <c r="H5789" s="8"/>
      <c r="I5789" s="32"/>
    </row>
    <row r="5790" spans="1:9" ht="14.25" customHeight="1">
      <c r="A5790" s="86" t="s">
        <v>18</v>
      </c>
      <c r="B5790" s="81"/>
      <c r="C5790" s="81"/>
      <c r="D5790" s="81"/>
      <c r="E5790" s="81"/>
      <c r="F5790" s="81"/>
      <c r="G5790" s="82"/>
      <c r="H5790" s="14">
        <f>SUM(G5786:G5789)</f>
        <v>1115640</v>
      </c>
      <c r="I5790" s="32"/>
    </row>
    <row r="5791" spans="1:9" ht="14.25" customHeight="1">
      <c r="A5791" s="86" t="s">
        <v>19</v>
      </c>
      <c r="B5791" s="81"/>
      <c r="C5791" s="81"/>
      <c r="D5791" s="81"/>
      <c r="E5791" s="81"/>
      <c r="F5791" s="81"/>
      <c r="G5791" s="82"/>
      <c r="H5791" s="14">
        <f>MAX(0,H5790-648000)</f>
        <v>467640</v>
      </c>
      <c r="I5791" s="32"/>
    </row>
    <row r="5792" spans="1:9" ht="14.25" customHeight="1">
      <c r="A5792" s="87" t="s">
        <v>20</v>
      </c>
      <c r="B5792" s="81"/>
      <c r="C5792" s="81"/>
      <c r="D5792" s="81"/>
      <c r="E5792" s="81"/>
      <c r="F5792" s="81"/>
      <c r="G5792" s="82"/>
      <c r="H5792" s="15">
        <v>649000</v>
      </c>
      <c r="I5792" s="32"/>
    </row>
    <row r="5793" spans="1:9" ht="14.25" customHeight="1">
      <c r="I5793" s="32"/>
    </row>
    <row r="5794" spans="1:9" ht="14.25" customHeight="1">
      <c r="I5794" s="32"/>
    </row>
    <row r="5795" spans="1:9" ht="14.25" customHeight="1">
      <c r="I5795" s="32"/>
    </row>
    <row r="5796" spans="1:9" ht="14.25" customHeight="1">
      <c r="I5796" s="32"/>
    </row>
    <row r="5797" spans="1:9" ht="14.25" customHeight="1">
      <c r="I5797" s="32"/>
    </row>
    <row r="5798" spans="1:9" ht="14.25" customHeight="1">
      <c r="I5798" s="32"/>
    </row>
    <row r="5799" spans="1:9" ht="14.25" customHeight="1">
      <c r="I5799" s="32"/>
    </row>
    <row r="5800" spans="1:9" ht="14.25" customHeight="1">
      <c r="A5800" s="85" t="s">
        <v>0</v>
      </c>
      <c r="B5800" s="81"/>
      <c r="C5800" s="81"/>
      <c r="D5800" s="81"/>
      <c r="E5800" s="81"/>
      <c r="F5800" s="81"/>
      <c r="G5800" s="81"/>
      <c r="H5800" s="82"/>
      <c r="I5800" s="32"/>
    </row>
    <row r="5801" spans="1:9" ht="14.25" customHeight="1">
      <c r="A5801" s="85" t="s">
        <v>1373</v>
      </c>
      <c r="B5801" s="81"/>
      <c r="C5801" s="81"/>
      <c r="D5801" s="81"/>
      <c r="E5801" s="81"/>
      <c r="F5801" s="81"/>
      <c r="G5801" s="81"/>
      <c r="H5801" s="82"/>
      <c r="I5801" s="32"/>
    </row>
    <row r="5802" spans="1:9" ht="14.25" customHeight="1">
      <c r="A5802" s="1" t="s">
        <v>2</v>
      </c>
      <c r="B5802" s="1" t="s">
        <v>3</v>
      </c>
      <c r="C5802" s="1" t="s">
        <v>4</v>
      </c>
      <c r="D5802" s="1" t="s">
        <v>5</v>
      </c>
      <c r="E5802" s="1" t="s">
        <v>6</v>
      </c>
      <c r="F5802" s="2" t="s">
        <v>7</v>
      </c>
      <c r="G5802" s="1" t="s">
        <v>8</v>
      </c>
      <c r="H5802" s="1"/>
      <c r="I5802" s="32"/>
    </row>
    <row r="5803" spans="1:9" ht="14.25" customHeight="1">
      <c r="A5803" s="3">
        <v>1</v>
      </c>
      <c r="B5803" s="55" t="s">
        <v>203</v>
      </c>
      <c r="C5803" s="56" t="s">
        <v>1374</v>
      </c>
      <c r="D5803" s="57" t="s">
        <v>11</v>
      </c>
      <c r="E5803" s="57">
        <v>1.6</v>
      </c>
      <c r="F5803" s="6">
        <v>293000</v>
      </c>
      <c r="G5803" s="7">
        <f t="shared" ref="G5803:G5804" si="363">IFERROR(E5803*F5803,0)</f>
        <v>468800</v>
      </c>
      <c r="H5803" s="8"/>
      <c r="I5803" s="32"/>
    </row>
    <row r="5804" spans="1:9" ht="14.25" customHeight="1">
      <c r="A5804" s="3">
        <v>2</v>
      </c>
      <c r="B5804" s="55" t="s">
        <v>38</v>
      </c>
      <c r="C5804" s="56" t="s">
        <v>1375</v>
      </c>
      <c r="D5804" s="57" t="s">
        <v>14</v>
      </c>
      <c r="E5804" s="57">
        <v>0.68</v>
      </c>
      <c r="F5804" s="11">
        <v>435000</v>
      </c>
      <c r="G5804" s="7">
        <f t="shared" si="363"/>
        <v>295800</v>
      </c>
      <c r="H5804" s="8"/>
      <c r="I5804" s="32"/>
    </row>
    <row r="5805" spans="1:9" ht="14.25" customHeight="1">
      <c r="A5805" s="3">
        <v>3</v>
      </c>
      <c r="B5805" s="63" t="s">
        <v>65</v>
      </c>
      <c r="C5805" s="65" t="s">
        <v>1376</v>
      </c>
      <c r="D5805" s="57" t="s">
        <v>14</v>
      </c>
      <c r="E5805" s="57">
        <v>0.93</v>
      </c>
      <c r="F5805" s="11">
        <v>435000</v>
      </c>
      <c r="G5805" s="7">
        <f>IFERROR(E5805*F5805,0)</f>
        <v>404550</v>
      </c>
      <c r="H5805" s="8"/>
      <c r="I5805" s="32"/>
    </row>
    <row r="5806" spans="1:9" ht="14.25" customHeight="1">
      <c r="A5806" s="3">
        <v>4</v>
      </c>
      <c r="B5806" s="8" t="s">
        <v>17</v>
      </c>
      <c r="C5806" s="8"/>
      <c r="D5806" s="8"/>
      <c r="E5806" s="8"/>
      <c r="F5806" s="8"/>
      <c r="G5806" s="13">
        <f>IFERROR(E5806*F5806,0)</f>
        <v>0</v>
      </c>
      <c r="H5806" s="8"/>
      <c r="I5806" s="32"/>
    </row>
    <row r="5807" spans="1:9" ht="14.25" customHeight="1">
      <c r="A5807" s="86" t="s">
        <v>18</v>
      </c>
      <c r="B5807" s="81"/>
      <c r="C5807" s="81"/>
      <c r="D5807" s="81"/>
      <c r="E5807" s="81"/>
      <c r="F5807" s="81"/>
      <c r="G5807" s="82"/>
      <c r="H5807" s="14">
        <f>SUM(G5803:G5806)</f>
        <v>1169150</v>
      </c>
      <c r="I5807" s="32"/>
    </row>
    <row r="5808" spans="1:9" ht="14.25" customHeight="1">
      <c r="A5808" s="86" t="s">
        <v>19</v>
      </c>
      <c r="B5808" s="81"/>
      <c r="C5808" s="81"/>
      <c r="D5808" s="81"/>
      <c r="E5808" s="81"/>
      <c r="F5808" s="81"/>
      <c r="G5808" s="82"/>
      <c r="H5808" s="14">
        <f>MAX(0,H5807-648000)</f>
        <v>521150</v>
      </c>
      <c r="I5808" s="32"/>
    </row>
    <row r="5809" spans="1:9" ht="14.25" customHeight="1">
      <c r="A5809" s="87" t="s">
        <v>20</v>
      </c>
      <c r="B5809" s="81"/>
      <c r="C5809" s="81"/>
      <c r="D5809" s="81"/>
      <c r="E5809" s="81"/>
      <c r="F5809" s="81"/>
      <c r="G5809" s="82"/>
      <c r="H5809" s="15">
        <v>649000</v>
      </c>
      <c r="I5809" s="32"/>
    </row>
    <row r="5810" spans="1:9" ht="14.25" customHeight="1">
      <c r="I5810" s="32"/>
    </row>
    <row r="5811" spans="1:9" ht="14.25" customHeight="1">
      <c r="I5811" s="32"/>
    </row>
    <row r="5812" spans="1:9" ht="14.25" customHeight="1">
      <c r="I5812" s="32"/>
    </row>
    <row r="5813" spans="1:9" ht="14.25" customHeight="1">
      <c r="I5813" s="32"/>
    </row>
    <row r="5814" spans="1:9" ht="14.25" customHeight="1">
      <c r="I5814" s="32"/>
    </row>
    <row r="5815" spans="1:9" ht="14.25" customHeight="1">
      <c r="I5815" s="32"/>
    </row>
    <row r="5816" spans="1:9" ht="14.25" customHeight="1">
      <c r="I5816" s="32"/>
    </row>
    <row r="5817" spans="1:9" ht="14.25" customHeight="1">
      <c r="I5817" s="32"/>
    </row>
    <row r="5818" spans="1:9" ht="14.25" customHeight="1">
      <c r="A5818" s="85" t="s">
        <v>0</v>
      </c>
      <c r="B5818" s="81"/>
      <c r="C5818" s="81"/>
      <c r="D5818" s="81"/>
      <c r="E5818" s="81"/>
      <c r="F5818" s="81"/>
      <c r="G5818" s="81"/>
      <c r="H5818" s="82"/>
      <c r="I5818" s="32"/>
    </row>
    <row r="5819" spans="1:9" ht="14.25" customHeight="1">
      <c r="A5819" s="85" t="s">
        <v>1377</v>
      </c>
      <c r="B5819" s="81"/>
      <c r="C5819" s="81"/>
      <c r="D5819" s="81"/>
      <c r="E5819" s="81"/>
      <c r="F5819" s="81"/>
      <c r="G5819" s="81"/>
      <c r="H5819" s="82"/>
      <c r="I5819" s="32"/>
    </row>
    <row r="5820" spans="1:9" ht="14.25" customHeight="1">
      <c r="A5820" s="1" t="s">
        <v>2</v>
      </c>
      <c r="B5820" s="1" t="s">
        <v>3</v>
      </c>
      <c r="C5820" s="1" t="s">
        <v>4</v>
      </c>
      <c r="D5820" s="1" t="s">
        <v>5</v>
      </c>
      <c r="E5820" s="1" t="s">
        <v>6</v>
      </c>
      <c r="F5820" s="2" t="s">
        <v>7</v>
      </c>
      <c r="G5820" s="1" t="s">
        <v>8</v>
      </c>
      <c r="H5820" s="1"/>
      <c r="I5820" s="32"/>
    </row>
    <row r="5821" spans="1:9" ht="14.25" customHeight="1">
      <c r="A5821" s="3">
        <v>1</v>
      </c>
      <c r="B5821" s="55" t="s">
        <v>1378</v>
      </c>
      <c r="C5821" s="56" t="s">
        <v>1379</v>
      </c>
      <c r="D5821" s="57" t="s">
        <v>11</v>
      </c>
      <c r="E5821" s="57">
        <v>1.5</v>
      </c>
      <c r="F5821" s="6">
        <v>293000</v>
      </c>
      <c r="G5821" s="7">
        <f t="shared" ref="G5821:G5822" si="364">IFERROR(E5821*F5821,0)</f>
        <v>439500</v>
      </c>
      <c r="H5821" s="8"/>
      <c r="I5821" s="32"/>
    </row>
    <row r="5822" spans="1:9" ht="14.25" customHeight="1">
      <c r="A5822" s="3">
        <v>2</v>
      </c>
      <c r="B5822" s="55" t="s">
        <v>1380</v>
      </c>
      <c r="C5822" s="56" t="s">
        <v>1381</v>
      </c>
      <c r="D5822" s="57" t="s">
        <v>14</v>
      </c>
      <c r="E5822" s="57">
        <v>1</v>
      </c>
      <c r="F5822" s="11">
        <v>435000</v>
      </c>
      <c r="G5822" s="7">
        <f t="shared" si="364"/>
        <v>435000</v>
      </c>
      <c r="H5822" s="8"/>
      <c r="I5822" s="32"/>
    </row>
    <row r="5823" spans="1:9" ht="14.25" customHeight="1">
      <c r="A5823" s="3">
        <v>3</v>
      </c>
      <c r="B5823" s="63" t="s">
        <v>295</v>
      </c>
      <c r="C5823" s="65" t="s">
        <v>1382</v>
      </c>
      <c r="D5823" s="65" t="s">
        <v>11</v>
      </c>
      <c r="E5823" s="57">
        <v>1</v>
      </c>
      <c r="F5823" s="6">
        <v>293000</v>
      </c>
      <c r="G5823" s="7">
        <f>IFERROR(E5823*F5823,0)</f>
        <v>293000</v>
      </c>
      <c r="H5823" s="8"/>
      <c r="I5823" s="32"/>
    </row>
    <row r="5824" spans="1:9" ht="14.25" customHeight="1">
      <c r="A5824" s="3">
        <v>4</v>
      </c>
      <c r="B5824" s="8" t="s">
        <v>17</v>
      </c>
      <c r="C5824" s="8"/>
      <c r="D5824" s="8"/>
      <c r="E5824" s="8"/>
      <c r="F5824" s="8"/>
      <c r="G5824" s="13">
        <f>IFERROR(E5824*F5824,0)</f>
        <v>0</v>
      </c>
      <c r="H5824" s="8"/>
      <c r="I5824" s="32"/>
    </row>
    <row r="5825" spans="1:9" ht="14.25" customHeight="1">
      <c r="A5825" s="86" t="s">
        <v>18</v>
      </c>
      <c r="B5825" s="81"/>
      <c r="C5825" s="81"/>
      <c r="D5825" s="81"/>
      <c r="E5825" s="81"/>
      <c r="F5825" s="81"/>
      <c r="G5825" s="82"/>
      <c r="H5825" s="14">
        <f>SUM(G5821:G5824)</f>
        <v>1167500</v>
      </c>
      <c r="I5825" s="32"/>
    </row>
    <row r="5826" spans="1:9" ht="14.25" customHeight="1">
      <c r="A5826" s="86" t="s">
        <v>19</v>
      </c>
      <c r="B5826" s="81"/>
      <c r="C5826" s="81"/>
      <c r="D5826" s="81"/>
      <c r="E5826" s="81"/>
      <c r="F5826" s="81"/>
      <c r="G5826" s="82"/>
      <c r="H5826" s="14">
        <f>MAX(0,H5825-648000)</f>
        <v>519500</v>
      </c>
      <c r="I5826" s="32"/>
    </row>
    <row r="5827" spans="1:9" ht="14.25" customHeight="1">
      <c r="A5827" s="87" t="s">
        <v>20</v>
      </c>
      <c r="B5827" s="81"/>
      <c r="C5827" s="81"/>
      <c r="D5827" s="81"/>
      <c r="E5827" s="81"/>
      <c r="F5827" s="81"/>
      <c r="G5827" s="82"/>
      <c r="H5827" s="15">
        <v>649000</v>
      </c>
      <c r="I5827" s="32"/>
    </row>
    <row r="5828" spans="1:9" ht="14.25" customHeight="1">
      <c r="I5828" s="32"/>
    </row>
    <row r="5829" spans="1:9" ht="14.25" customHeight="1">
      <c r="I5829" s="32"/>
    </row>
    <row r="5830" spans="1:9" ht="14.25" customHeight="1">
      <c r="I5830" s="32"/>
    </row>
    <row r="5831" spans="1:9" ht="14.25" customHeight="1">
      <c r="I5831" s="32"/>
    </row>
    <row r="5832" spans="1:9" ht="14.25" customHeight="1">
      <c r="A5832" s="85" t="s">
        <v>0</v>
      </c>
      <c r="B5832" s="81"/>
      <c r="C5832" s="81"/>
      <c r="D5832" s="81"/>
      <c r="E5832" s="81"/>
      <c r="F5832" s="81"/>
      <c r="G5832" s="81"/>
      <c r="H5832" s="82"/>
      <c r="I5832" s="32"/>
    </row>
    <row r="5833" spans="1:9" ht="14.25" customHeight="1">
      <c r="A5833" s="85" t="s">
        <v>1383</v>
      </c>
      <c r="B5833" s="81"/>
      <c r="C5833" s="81"/>
      <c r="D5833" s="81"/>
      <c r="E5833" s="81"/>
      <c r="F5833" s="81"/>
      <c r="G5833" s="81"/>
      <c r="H5833" s="82"/>
      <c r="I5833" s="32"/>
    </row>
    <row r="5834" spans="1:9" ht="14.25" customHeight="1">
      <c r="A5834" s="1" t="s">
        <v>2</v>
      </c>
      <c r="B5834" s="1" t="s">
        <v>3</v>
      </c>
      <c r="C5834" s="1" t="s">
        <v>4</v>
      </c>
      <c r="D5834" s="1" t="s">
        <v>5</v>
      </c>
      <c r="E5834" s="1" t="s">
        <v>6</v>
      </c>
      <c r="F5834" s="2" t="s">
        <v>7</v>
      </c>
      <c r="G5834" s="1" t="s">
        <v>8</v>
      </c>
      <c r="H5834" s="1"/>
      <c r="I5834" s="32"/>
    </row>
    <row r="5835" spans="1:9" ht="14.25" customHeight="1">
      <c r="A5835" s="3">
        <v>1</v>
      </c>
      <c r="B5835" s="55" t="s">
        <v>578</v>
      </c>
      <c r="C5835" s="56" t="s">
        <v>1384</v>
      </c>
      <c r="D5835" s="57" t="s">
        <v>11</v>
      </c>
      <c r="E5835" s="57">
        <v>1.48</v>
      </c>
      <c r="F5835" s="6">
        <v>293000</v>
      </c>
      <c r="G5835" s="7">
        <f t="shared" ref="G5835:G5836" si="365">IFERROR(E5835*F5835,0)</f>
        <v>433640</v>
      </c>
      <c r="H5835" s="8"/>
      <c r="I5835" s="32"/>
    </row>
    <row r="5836" spans="1:9" ht="14.25" customHeight="1">
      <c r="A5836" s="3">
        <v>2</v>
      </c>
      <c r="B5836" s="55" t="s">
        <v>1802</v>
      </c>
      <c r="C5836" s="56" t="s">
        <v>1385</v>
      </c>
      <c r="D5836" s="57" t="s">
        <v>14</v>
      </c>
      <c r="E5836" s="57">
        <v>1.2</v>
      </c>
      <c r="F5836" s="11">
        <v>435000</v>
      </c>
      <c r="G5836" s="7">
        <f t="shared" si="365"/>
        <v>522000</v>
      </c>
      <c r="H5836" s="8"/>
      <c r="I5836" s="32"/>
    </row>
    <row r="5837" spans="1:9" ht="14.25" customHeight="1">
      <c r="A5837" s="3">
        <v>3</v>
      </c>
      <c r="B5837" s="63" t="s">
        <v>442</v>
      </c>
      <c r="C5837" s="65" t="s">
        <v>1386</v>
      </c>
      <c r="D5837" s="57" t="s">
        <v>14</v>
      </c>
      <c r="E5837" s="57">
        <v>1.18</v>
      </c>
      <c r="F5837" s="11">
        <v>435000</v>
      </c>
      <c r="G5837" s="7">
        <f>IFERROR(E5837*F5837,0)</f>
        <v>513300</v>
      </c>
      <c r="H5837" s="8"/>
      <c r="I5837" s="32"/>
    </row>
    <row r="5838" spans="1:9" ht="14.25" customHeight="1">
      <c r="A5838" s="3">
        <v>4</v>
      </c>
      <c r="B5838" s="8" t="s">
        <v>17</v>
      </c>
      <c r="C5838" s="8"/>
      <c r="D5838" s="8"/>
      <c r="E5838" s="8"/>
      <c r="F5838" s="8"/>
      <c r="G5838" s="13">
        <f>IFERROR(E5838*F5838,0)</f>
        <v>0</v>
      </c>
      <c r="H5838" s="8"/>
      <c r="I5838" s="32"/>
    </row>
    <row r="5839" spans="1:9" ht="14.25" customHeight="1">
      <c r="A5839" s="86" t="s">
        <v>18</v>
      </c>
      <c r="B5839" s="81"/>
      <c r="C5839" s="81"/>
      <c r="D5839" s="81"/>
      <c r="E5839" s="81"/>
      <c r="F5839" s="81"/>
      <c r="G5839" s="82"/>
      <c r="H5839" s="14">
        <f>SUM(G5835:G5838)</f>
        <v>1468940</v>
      </c>
      <c r="I5839" s="32"/>
    </row>
    <row r="5840" spans="1:9" ht="14.25" customHeight="1">
      <c r="A5840" s="86" t="s">
        <v>19</v>
      </c>
      <c r="B5840" s="81"/>
      <c r="C5840" s="81"/>
      <c r="D5840" s="81"/>
      <c r="E5840" s="81"/>
      <c r="F5840" s="81"/>
      <c r="G5840" s="82"/>
      <c r="H5840" s="14">
        <f>MAX(0,H5839-648000)</f>
        <v>820940</v>
      </c>
      <c r="I5840" s="32"/>
    </row>
    <row r="5841" spans="1:9" ht="14.25" customHeight="1">
      <c r="A5841" s="87" t="s">
        <v>20</v>
      </c>
      <c r="B5841" s="81"/>
      <c r="C5841" s="81"/>
      <c r="D5841" s="81"/>
      <c r="E5841" s="81"/>
      <c r="F5841" s="81"/>
      <c r="G5841" s="82"/>
      <c r="H5841" s="15">
        <v>649000</v>
      </c>
      <c r="I5841" s="32"/>
    </row>
    <row r="5842" spans="1:9" ht="14.25" customHeight="1">
      <c r="I5842" s="32"/>
    </row>
    <row r="5843" spans="1:9" ht="14.25" customHeight="1">
      <c r="I5843" s="32"/>
    </row>
    <row r="5844" spans="1:9" ht="14.25" customHeight="1">
      <c r="I5844" s="32"/>
    </row>
    <row r="5845" spans="1:9" ht="14.25" customHeight="1">
      <c r="I5845" s="32"/>
    </row>
    <row r="5846" spans="1:9" ht="14.25" customHeight="1">
      <c r="I5846" s="32"/>
    </row>
    <row r="5847" spans="1:9" ht="14.25" customHeight="1">
      <c r="I5847" s="32"/>
    </row>
    <row r="5848" spans="1:9" ht="14.25" customHeight="1">
      <c r="I5848" s="32"/>
    </row>
    <row r="5849" spans="1:9" ht="14.25" customHeight="1">
      <c r="A5849" s="85" t="s">
        <v>0</v>
      </c>
      <c r="B5849" s="81"/>
      <c r="C5849" s="81"/>
      <c r="D5849" s="81"/>
      <c r="E5849" s="81"/>
      <c r="F5849" s="81"/>
      <c r="G5849" s="81"/>
      <c r="H5849" s="82"/>
      <c r="I5849" s="32"/>
    </row>
    <row r="5850" spans="1:9" ht="14.25" customHeight="1">
      <c r="A5850" s="85" t="s">
        <v>1387</v>
      </c>
      <c r="B5850" s="81"/>
      <c r="C5850" s="81"/>
      <c r="D5850" s="81"/>
      <c r="E5850" s="81"/>
      <c r="F5850" s="81"/>
      <c r="G5850" s="81"/>
      <c r="H5850" s="82"/>
      <c r="I5850" s="32"/>
    </row>
    <row r="5851" spans="1:9" ht="14.25" customHeight="1">
      <c r="A5851" s="1" t="s">
        <v>2</v>
      </c>
      <c r="B5851" s="1" t="s">
        <v>3</v>
      </c>
      <c r="C5851" s="1" t="s">
        <v>4</v>
      </c>
      <c r="D5851" s="1" t="s">
        <v>5</v>
      </c>
      <c r="E5851" s="1" t="s">
        <v>6</v>
      </c>
      <c r="F5851" s="2" t="s">
        <v>7</v>
      </c>
      <c r="G5851" s="1" t="s">
        <v>8</v>
      </c>
      <c r="H5851" s="1"/>
      <c r="I5851" s="32"/>
    </row>
    <row r="5852" spans="1:9" ht="14.25" customHeight="1">
      <c r="A5852" s="3">
        <v>1</v>
      </c>
      <c r="B5852" s="55" t="s">
        <v>166</v>
      </c>
      <c r="C5852" s="56" t="s">
        <v>1388</v>
      </c>
      <c r="D5852" s="57" t="s">
        <v>11</v>
      </c>
      <c r="E5852" s="57">
        <v>1</v>
      </c>
      <c r="F5852" s="6">
        <v>293000</v>
      </c>
      <c r="G5852" s="7">
        <f t="shared" ref="G5852:G5853" si="366">IFERROR(E5852*F5852,0)</f>
        <v>293000</v>
      </c>
      <c r="H5852" s="8"/>
      <c r="I5852" s="32"/>
    </row>
    <row r="5853" spans="1:9" ht="14.25" customHeight="1">
      <c r="A5853" s="3">
        <v>2</v>
      </c>
      <c r="B5853" s="55" t="s">
        <v>54</v>
      </c>
      <c r="C5853" s="56" t="s">
        <v>1389</v>
      </c>
      <c r="D5853" s="57" t="s">
        <v>14</v>
      </c>
      <c r="E5853" s="57">
        <v>1.5</v>
      </c>
      <c r="F5853" s="11">
        <v>435000</v>
      </c>
      <c r="G5853" s="7">
        <f t="shared" si="366"/>
        <v>652500</v>
      </c>
      <c r="H5853" s="8"/>
      <c r="I5853" s="32"/>
    </row>
    <row r="5854" spans="1:9" ht="14.25" customHeight="1">
      <c r="A5854" s="3">
        <v>3</v>
      </c>
      <c r="B5854" s="63" t="s">
        <v>73</v>
      </c>
      <c r="C5854" s="65" t="s">
        <v>1390</v>
      </c>
      <c r="D5854" s="65" t="s">
        <v>11</v>
      </c>
      <c r="E5854" s="57">
        <v>1.1000000000000001</v>
      </c>
      <c r="F5854" s="6">
        <v>293000</v>
      </c>
      <c r="G5854" s="7">
        <f>IFERROR(E5854*F5854,0)</f>
        <v>322300</v>
      </c>
      <c r="H5854" s="8"/>
      <c r="I5854" s="32"/>
    </row>
    <row r="5855" spans="1:9" ht="14.25" customHeight="1">
      <c r="A5855" s="3">
        <v>4</v>
      </c>
      <c r="B5855" s="8" t="s">
        <v>17</v>
      </c>
      <c r="C5855" s="8"/>
      <c r="D5855" s="8"/>
      <c r="E5855" s="8"/>
      <c r="F5855" s="8"/>
      <c r="G5855" s="13">
        <f>IFERROR(E5855*F5855,0)</f>
        <v>0</v>
      </c>
      <c r="H5855" s="8"/>
      <c r="I5855" s="32"/>
    </row>
    <row r="5856" spans="1:9" ht="14.25" customHeight="1">
      <c r="A5856" s="86" t="s">
        <v>18</v>
      </c>
      <c r="B5856" s="81"/>
      <c r="C5856" s="81"/>
      <c r="D5856" s="81"/>
      <c r="E5856" s="81"/>
      <c r="F5856" s="81"/>
      <c r="G5856" s="82"/>
      <c r="H5856" s="14">
        <f>SUM(G5852:G5855)</f>
        <v>1267800</v>
      </c>
      <c r="I5856" s="32"/>
    </row>
    <row r="5857" spans="1:9" ht="14.25" customHeight="1">
      <c r="A5857" s="86" t="s">
        <v>19</v>
      </c>
      <c r="B5857" s="81"/>
      <c r="C5857" s="81"/>
      <c r="D5857" s="81"/>
      <c r="E5857" s="81"/>
      <c r="F5857" s="81"/>
      <c r="G5857" s="82"/>
      <c r="H5857" s="14">
        <f>MAX(0,H5856-648000)</f>
        <v>619800</v>
      </c>
      <c r="I5857" s="32"/>
    </row>
    <row r="5858" spans="1:9" ht="14.25" customHeight="1">
      <c r="A5858" s="87" t="s">
        <v>20</v>
      </c>
      <c r="B5858" s="81"/>
      <c r="C5858" s="81"/>
      <c r="D5858" s="81"/>
      <c r="E5858" s="81"/>
      <c r="F5858" s="81"/>
      <c r="G5858" s="82"/>
      <c r="H5858" s="15">
        <v>649000</v>
      </c>
      <c r="I5858" s="32"/>
    </row>
    <row r="5859" spans="1:9" ht="14.25" customHeight="1">
      <c r="I5859" s="32"/>
    </row>
    <row r="5860" spans="1:9" ht="14.25" customHeight="1">
      <c r="I5860" s="32"/>
    </row>
    <row r="5861" spans="1:9" ht="14.25" customHeight="1">
      <c r="I5861" s="32"/>
    </row>
    <row r="5862" spans="1:9" ht="14.25" customHeight="1">
      <c r="I5862" s="32"/>
    </row>
    <row r="5863" spans="1:9" ht="14.25" customHeight="1">
      <c r="I5863" s="32"/>
    </row>
    <row r="5864" spans="1:9" ht="14.25" customHeight="1">
      <c r="I5864" s="32"/>
    </row>
    <row r="5865" spans="1:9" ht="14.25" customHeight="1">
      <c r="I5865" s="32"/>
    </row>
    <row r="5866" spans="1:9" ht="14.25" customHeight="1">
      <c r="A5866" s="85" t="s">
        <v>0</v>
      </c>
      <c r="B5866" s="81"/>
      <c r="C5866" s="81"/>
      <c r="D5866" s="81"/>
      <c r="E5866" s="81"/>
      <c r="F5866" s="81"/>
      <c r="G5866" s="81"/>
      <c r="H5866" s="82"/>
      <c r="I5866" s="32"/>
    </row>
    <row r="5867" spans="1:9" ht="14.25" customHeight="1">
      <c r="A5867" s="85" t="s">
        <v>1391</v>
      </c>
      <c r="B5867" s="81"/>
      <c r="C5867" s="81"/>
      <c r="D5867" s="81"/>
      <c r="E5867" s="81"/>
      <c r="F5867" s="81"/>
      <c r="G5867" s="81"/>
      <c r="H5867" s="82"/>
      <c r="I5867" s="32"/>
    </row>
    <row r="5868" spans="1:9" ht="14.25" customHeight="1">
      <c r="A5868" s="1" t="s">
        <v>2</v>
      </c>
      <c r="B5868" s="1" t="s">
        <v>3</v>
      </c>
      <c r="C5868" s="1" t="s">
        <v>4</v>
      </c>
      <c r="D5868" s="1" t="s">
        <v>5</v>
      </c>
      <c r="E5868" s="1" t="s">
        <v>6</v>
      </c>
      <c r="F5868" s="2" t="s">
        <v>7</v>
      </c>
      <c r="G5868" s="1" t="s">
        <v>8</v>
      </c>
      <c r="H5868" s="1"/>
      <c r="I5868" s="32"/>
    </row>
    <row r="5869" spans="1:9" ht="14.25" customHeight="1">
      <c r="A5869" s="3">
        <v>1</v>
      </c>
      <c r="B5869" s="55" t="s">
        <v>54</v>
      </c>
      <c r="C5869" s="56" t="s">
        <v>1392</v>
      </c>
      <c r="D5869" s="57" t="s">
        <v>11</v>
      </c>
      <c r="E5869" s="57">
        <v>1</v>
      </c>
      <c r="F5869" s="6">
        <v>293000</v>
      </c>
      <c r="G5869" s="7">
        <f t="shared" ref="G5869:G5870" si="367">IFERROR(E5869*F5869,0)</f>
        <v>293000</v>
      </c>
      <c r="H5869" s="8"/>
      <c r="I5869" s="32"/>
    </row>
    <row r="5870" spans="1:9" ht="14.25" customHeight="1">
      <c r="A5870" s="3">
        <v>2</v>
      </c>
      <c r="B5870" s="55" t="s">
        <v>130</v>
      </c>
      <c r="C5870" s="56" t="s">
        <v>927</v>
      </c>
      <c r="D5870" s="57" t="s">
        <v>14</v>
      </c>
      <c r="E5870" s="57">
        <v>1.6</v>
      </c>
      <c r="F5870" s="11">
        <v>435000</v>
      </c>
      <c r="G5870" s="7">
        <f t="shared" si="367"/>
        <v>696000</v>
      </c>
      <c r="H5870" s="8"/>
      <c r="I5870" s="32"/>
    </row>
    <row r="5871" spans="1:9" ht="14.25" customHeight="1">
      <c r="A5871" s="3">
        <v>3</v>
      </c>
      <c r="B5871" s="63" t="s">
        <v>416</v>
      </c>
      <c r="C5871" s="65" t="s">
        <v>1393</v>
      </c>
      <c r="D5871" s="65" t="s">
        <v>11</v>
      </c>
      <c r="E5871" s="57">
        <v>1</v>
      </c>
      <c r="F5871" s="6">
        <v>293000</v>
      </c>
      <c r="G5871" s="7">
        <f>IFERROR(E5871*F5871,0)</f>
        <v>293000</v>
      </c>
      <c r="H5871" s="8"/>
      <c r="I5871" s="32"/>
    </row>
    <row r="5872" spans="1:9" ht="14.25" customHeight="1">
      <c r="A5872" s="3">
        <v>4</v>
      </c>
      <c r="B5872" s="8" t="s">
        <v>17</v>
      </c>
      <c r="C5872" s="8"/>
      <c r="D5872" s="8"/>
      <c r="E5872" s="8"/>
      <c r="F5872" s="8"/>
      <c r="G5872" s="13">
        <f>IFERROR(E5872*F5872,0)</f>
        <v>0</v>
      </c>
      <c r="H5872" s="8"/>
      <c r="I5872" s="32"/>
    </row>
    <row r="5873" spans="1:9" ht="14.25" customHeight="1">
      <c r="A5873" s="86" t="s">
        <v>18</v>
      </c>
      <c r="B5873" s="81"/>
      <c r="C5873" s="81"/>
      <c r="D5873" s="81"/>
      <c r="E5873" s="81"/>
      <c r="F5873" s="81"/>
      <c r="G5873" s="82"/>
      <c r="H5873" s="14">
        <f>SUM(G5869:G5872)</f>
        <v>1282000</v>
      </c>
      <c r="I5873" s="32"/>
    </row>
    <row r="5874" spans="1:9" ht="14.25" customHeight="1">
      <c r="A5874" s="86" t="s">
        <v>19</v>
      </c>
      <c r="B5874" s="81"/>
      <c r="C5874" s="81"/>
      <c r="D5874" s="81"/>
      <c r="E5874" s="81"/>
      <c r="F5874" s="81"/>
      <c r="G5874" s="82"/>
      <c r="H5874" s="14">
        <f>MAX(0,H5873-648000)</f>
        <v>634000</v>
      </c>
      <c r="I5874" s="32"/>
    </row>
    <row r="5875" spans="1:9" ht="14.25" customHeight="1">
      <c r="A5875" s="87" t="s">
        <v>20</v>
      </c>
      <c r="B5875" s="81"/>
      <c r="C5875" s="81"/>
      <c r="D5875" s="81"/>
      <c r="E5875" s="81"/>
      <c r="F5875" s="81"/>
      <c r="G5875" s="82"/>
      <c r="H5875" s="15">
        <v>649000</v>
      </c>
      <c r="I5875" s="32"/>
    </row>
    <row r="5876" spans="1:9" ht="14.25" customHeight="1">
      <c r="I5876" s="32"/>
    </row>
    <row r="5877" spans="1:9" ht="14.25" customHeight="1">
      <c r="I5877" s="32"/>
    </row>
    <row r="5878" spans="1:9" ht="14.25" customHeight="1">
      <c r="I5878" s="32"/>
    </row>
    <row r="5879" spans="1:9" ht="14.25" customHeight="1">
      <c r="I5879" s="32"/>
    </row>
    <row r="5880" spans="1:9" ht="14.25" customHeight="1">
      <c r="I5880" s="32"/>
    </row>
    <row r="5881" spans="1:9" ht="14.25" customHeight="1">
      <c r="I5881" s="32"/>
    </row>
    <row r="5882" spans="1:9" ht="14.25" customHeight="1">
      <c r="I5882" s="32"/>
    </row>
    <row r="5883" spans="1:9" ht="14.25" customHeight="1">
      <c r="A5883" s="85" t="s">
        <v>0</v>
      </c>
      <c r="B5883" s="81"/>
      <c r="C5883" s="81"/>
      <c r="D5883" s="81"/>
      <c r="E5883" s="81"/>
      <c r="F5883" s="81"/>
      <c r="G5883" s="81"/>
      <c r="H5883" s="82"/>
      <c r="I5883" s="32"/>
    </row>
    <row r="5884" spans="1:9" ht="14.25" customHeight="1">
      <c r="A5884" s="85" t="s">
        <v>1394</v>
      </c>
      <c r="B5884" s="81"/>
      <c r="C5884" s="81"/>
      <c r="D5884" s="81"/>
      <c r="E5884" s="81"/>
      <c r="F5884" s="81"/>
      <c r="G5884" s="81"/>
      <c r="H5884" s="82"/>
      <c r="I5884" s="32"/>
    </row>
    <row r="5885" spans="1:9" ht="14.25" customHeight="1">
      <c r="A5885" s="1" t="s">
        <v>2</v>
      </c>
      <c r="B5885" s="1" t="s">
        <v>3</v>
      </c>
      <c r="C5885" s="1" t="s">
        <v>4</v>
      </c>
      <c r="D5885" s="1" t="s">
        <v>5</v>
      </c>
      <c r="E5885" s="1" t="s">
        <v>6</v>
      </c>
      <c r="F5885" s="2" t="s">
        <v>7</v>
      </c>
      <c r="G5885" s="1" t="s">
        <v>8</v>
      </c>
      <c r="H5885" s="1"/>
      <c r="I5885" s="32"/>
    </row>
    <row r="5886" spans="1:9" ht="14.25" customHeight="1">
      <c r="A5886" s="3">
        <v>1</v>
      </c>
      <c r="B5886" s="55" t="s">
        <v>709</v>
      </c>
      <c r="C5886" s="56" t="s">
        <v>1395</v>
      </c>
      <c r="D5886" s="57" t="s">
        <v>11</v>
      </c>
      <c r="E5886" s="57">
        <v>0.9</v>
      </c>
      <c r="F5886" s="6">
        <v>293000</v>
      </c>
      <c r="G5886" s="7">
        <f t="shared" ref="G5886:G5887" si="368">IFERROR(E5886*F5886,0)</f>
        <v>263700</v>
      </c>
      <c r="H5886" s="8"/>
      <c r="I5886" s="32"/>
    </row>
    <row r="5887" spans="1:9" ht="14.25" customHeight="1">
      <c r="A5887" s="3">
        <v>2</v>
      </c>
      <c r="B5887" s="55" t="s">
        <v>272</v>
      </c>
      <c r="C5887" s="56" t="s">
        <v>1396</v>
      </c>
      <c r="D5887" s="57" t="s">
        <v>14</v>
      </c>
      <c r="E5887" s="57">
        <v>1.5</v>
      </c>
      <c r="F5887" s="11">
        <v>435000</v>
      </c>
      <c r="G5887" s="7">
        <f t="shared" si="368"/>
        <v>652500</v>
      </c>
      <c r="H5887" s="8"/>
      <c r="I5887" s="32"/>
    </row>
    <row r="5888" spans="1:9" ht="14.25" customHeight="1">
      <c r="A5888" s="3">
        <v>3</v>
      </c>
      <c r="B5888" s="63" t="s">
        <v>1397</v>
      </c>
      <c r="C5888" s="65" t="s">
        <v>1398</v>
      </c>
      <c r="D5888" s="65" t="s">
        <v>11</v>
      </c>
      <c r="E5888" s="57">
        <v>1.1000000000000001</v>
      </c>
      <c r="F5888" s="6">
        <v>293000</v>
      </c>
      <c r="G5888" s="7">
        <f>IFERROR(E5888*F5888,0)</f>
        <v>322300</v>
      </c>
      <c r="H5888" s="8"/>
      <c r="I5888" s="32"/>
    </row>
    <row r="5889" spans="1:9" ht="14.25" customHeight="1">
      <c r="A5889" s="3">
        <v>4</v>
      </c>
      <c r="B5889" s="8" t="s">
        <v>17</v>
      </c>
      <c r="C5889" s="8"/>
      <c r="D5889" s="8"/>
      <c r="E5889" s="8"/>
      <c r="F5889" s="8"/>
      <c r="G5889" s="13">
        <f>IFERROR(E5889*F5889,0)</f>
        <v>0</v>
      </c>
      <c r="H5889" s="8"/>
      <c r="I5889" s="32"/>
    </row>
    <row r="5890" spans="1:9" ht="14.25" customHeight="1">
      <c r="A5890" s="86" t="s">
        <v>18</v>
      </c>
      <c r="B5890" s="81"/>
      <c r="C5890" s="81"/>
      <c r="D5890" s="81"/>
      <c r="E5890" s="81"/>
      <c r="F5890" s="81"/>
      <c r="G5890" s="82"/>
      <c r="H5890" s="14">
        <f>SUM(G5886:G5889)</f>
        <v>1238500</v>
      </c>
      <c r="I5890" s="32"/>
    </row>
    <row r="5891" spans="1:9" ht="14.25" customHeight="1">
      <c r="A5891" s="86" t="s">
        <v>19</v>
      </c>
      <c r="B5891" s="81"/>
      <c r="C5891" s="81"/>
      <c r="D5891" s="81"/>
      <c r="E5891" s="81"/>
      <c r="F5891" s="81"/>
      <c r="G5891" s="82"/>
      <c r="H5891" s="14">
        <f>MAX(0,H5890-648000)</f>
        <v>590500</v>
      </c>
      <c r="I5891" s="32"/>
    </row>
    <row r="5892" spans="1:9" ht="14.25" customHeight="1">
      <c r="A5892" s="87" t="s">
        <v>20</v>
      </c>
      <c r="B5892" s="81"/>
      <c r="C5892" s="81"/>
      <c r="D5892" s="81"/>
      <c r="E5892" s="81"/>
      <c r="F5892" s="81"/>
      <c r="G5892" s="82"/>
      <c r="H5892" s="15">
        <v>649000</v>
      </c>
      <c r="I5892" s="32"/>
    </row>
    <row r="5893" spans="1:9" ht="14.25" customHeight="1">
      <c r="I5893" s="32"/>
    </row>
    <row r="5894" spans="1:9" ht="14.25" customHeight="1">
      <c r="I5894" s="32"/>
    </row>
    <row r="5895" spans="1:9" ht="14.25" customHeight="1">
      <c r="I5895" s="32"/>
    </row>
    <row r="5896" spans="1:9" ht="14.25" customHeight="1">
      <c r="I5896" s="32"/>
    </row>
    <row r="5897" spans="1:9" ht="14.25" customHeight="1">
      <c r="I5897" s="32"/>
    </row>
    <row r="5898" spans="1:9" ht="14.25" customHeight="1">
      <c r="I5898" s="32"/>
    </row>
    <row r="5899" spans="1:9" ht="14.25" customHeight="1">
      <c r="I5899" s="32"/>
    </row>
    <row r="5900" spans="1:9" ht="14.25" customHeight="1">
      <c r="A5900" s="85" t="s">
        <v>0</v>
      </c>
      <c r="B5900" s="81"/>
      <c r="C5900" s="81"/>
      <c r="D5900" s="81"/>
      <c r="E5900" s="81"/>
      <c r="F5900" s="81"/>
      <c r="G5900" s="81"/>
      <c r="H5900" s="82"/>
      <c r="I5900" s="32"/>
    </row>
    <row r="5901" spans="1:9" ht="14.25" customHeight="1">
      <c r="A5901" s="85" t="s">
        <v>1399</v>
      </c>
      <c r="B5901" s="81"/>
      <c r="C5901" s="81"/>
      <c r="D5901" s="81"/>
      <c r="E5901" s="81"/>
      <c r="F5901" s="81"/>
      <c r="G5901" s="81"/>
      <c r="H5901" s="82"/>
      <c r="I5901" s="32"/>
    </row>
    <row r="5902" spans="1:9" ht="14.25" customHeight="1">
      <c r="A5902" s="1" t="s">
        <v>2</v>
      </c>
      <c r="B5902" s="1" t="s">
        <v>3</v>
      </c>
      <c r="C5902" s="1" t="s">
        <v>4</v>
      </c>
      <c r="D5902" s="1" t="s">
        <v>5</v>
      </c>
      <c r="E5902" s="1" t="s">
        <v>6</v>
      </c>
      <c r="F5902" s="2" t="s">
        <v>7</v>
      </c>
      <c r="G5902" s="1" t="s">
        <v>8</v>
      </c>
      <c r="H5902" s="1"/>
      <c r="I5902" s="32"/>
    </row>
    <row r="5903" spans="1:9" ht="14.25" customHeight="1">
      <c r="A5903" s="3">
        <v>1</v>
      </c>
      <c r="B5903" s="55" t="s">
        <v>351</v>
      </c>
      <c r="C5903" s="56" t="s">
        <v>1400</v>
      </c>
      <c r="D5903" s="57" t="s">
        <v>11</v>
      </c>
      <c r="E5903" s="57">
        <v>0.95</v>
      </c>
      <c r="F5903" s="6">
        <v>293000</v>
      </c>
      <c r="G5903" s="7">
        <f t="shared" ref="G5903:G5904" si="369">IFERROR(E5903*F5903,0)</f>
        <v>278350</v>
      </c>
      <c r="H5903" s="8"/>
      <c r="I5903" s="32"/>
    </row>
    <row r="5904" spans="1:9" ht="14.25" customHeight="1">
      <c r="A5904" s="3">
        <v>2</v>
      </c>
      <c r="B5904" s="55" t="s">
        <v>38</v>
      </c>
      <c r="C5904" s="56" t="s">
        <v>1401</v>
      </c>
      <c r="D5904" s="57" t="s">
        <v>14</v>
      </c>
      <c r="E5904" s="57">
        <v>1.1499999999999999</v>
      </c>
      <c r="F5904" s="11">
        <v>435000</v>
      </c>
      <c r="G5904" s="7">
        <f t="shared" si="369"/>
        <v>500249.99999999994</v>
      </c>
      <c r="H5904" s="8"/>
      <c r="I5904" s="32"/>
    </row>
    <row r="5905" spans="1:9" ht="14.25" customHeight="1">
      <c r="A5905" s="3">
        <v>3</v>
      </c>
      <c r="B5905" s="63" t="s">
        <v>1402</v>
      </c>
      <c r="C5905" s="65" t="s">
        <v>1403</v>
      </c>
      <c r="D5905" s="65" t="s">
        <v>11</v>
      </c>
      <c r="E5905" s="57">
        <v>1.1000000000000001</v>
      </c>
      <c r="F5905" s="6">
        <v>293000</v>
      </c>
      <c r="G5905" s="7">
        <f>IFERROR(E5905*F5905,0)</f>
        <v>322300</v>
      </c>
      <c r="H5905" s="8"/>
      <c r="I5905" s="32"/>
    </row>
    <row r="5906" spans="1:9" ht="14.25" customHeight="1">
      <c r="A5906" s="3">
        <v>4</v>
      </c>
      <c r="B5906" s="8" t="s">
        <v>17</v>
      </c>
      <c r="C5906" s="8"/>
      <c r="D5906" s="8"/>
      <c r="E5906" s="8"/>
      <c r="F5906" s="8"/>
      <c r="G5906" s="13">
        <f>IFERROR(E5906*F5906,0)</f>
        <v>0</v>
      </c>
      <c r="H5906" s="8"/>
      <c r="I5906" s="32"/>
    </row>
    <row r="5907" spans="1:9" ht="14.25" customHeight="1">
      <c r="A5907" s="86" t="s">
        <v>18</v>
      </c>
      <c r="B5907" s="81"/>
      <c r="C5907" s="81"/>
      <c r="D5907" s="81"/>
      <c r="E5907" s="81"/>
      <c r="F5907" s="81"/>
      <c r="G5907" s="82"/>
      <c r="H5907" s="14">
        <f>SUM(G5903:G5906)</f>
        <v>1100900</v>
      </c>
      <c r="I5907" s="32"/>
    </row>
    <row r="5908" spans="1:9" ht="14.25" customHeight="1">
      <c r="A5908" s="86" t="s">
        <v>19</v>
      </c>
      <c r="B5908" s="81"/>
      <c r="C5908" s="81"/>
      <c r="D5908" s="81"/>
      <c r="E5908" s="81"/>
      <c r="F5908" s="81"/>
      <c r="G5908" s="82"/>
      <c r="H5908" s="14">
        <f>MAX(0,H5907-648000)</f>
        <v>452900</v>
      </c>
      <c r="I5908" s="32"/>
    </row>
    <row r="5909" spans="1:9" ht="14.25" customHeight="1">
      <c r="A5909" s="87" t="s">
        <v>20</v>
      </c>
      <c r="B5909" s="81"/>
      <c r="C5909" s="81"/>
      <c r="D5909" s="81"/>
      <c r="E5909" s="81"/>
      <c r="F5909" s="81"/>
      <c r="G5909" s="82"/>
      <c r="H5909" s="15">
        <v>649000</v>
      </c>
      <c r="I5909" s="32"/>
    </row>
    <row r="5910" spans="1:9" ht="14.25" customHeight="1">
      <c r="I5910" s="32"/>
    </row>
    <row r="5911" spans="1:9" ht="14.25" customHeight="1">
      <c r="I5911" s="32"/>
    </row>
    <row r="5912" spans="1:9" ht="14.25" customHeight="1">
      <c r="I5912" s="32"/>
    </row>
    <row r="5913" spans="1:9" ht="14.25" customHeight="1">
      <c r="I5913" s="32"/>
    </row>
    <row r="5914" spans="1:9" ht="14.25" customHeight="1">
      <c r="I5914" s="32"/>
    </row>
    <row r="5915" spans="1:9" ht="14.25" customHeight="1">
      <c r="I5915" s="32"/>
    </row>
    <row r="5916" spans="1:9" ht="14.25" customHeight="1">
      <c r="I5916" s="32"/>
    </row>
    <row r="5917" spans="1:9" ht="14.25" customHeight="1">
      <c r="I5917" s="32"/>
    </row>
    <row r="5918" spans="1:9" ht="14.25" customHeight="1">
      <c r="A5918" s="85" t="s">
        <v>0</v>
      </c>
      <c r="B5918" s="81"/>
      <c r="C5918" s="81"/>
      <c r="D5918" s="81"/>
      <c r="E5918" s="81"/>
      <c r="F5918" s="81"/>
      <c r="G5918" s="81"/>
      <c r="H5918" s="82"/>
      <c r="I5918" s="32"/>
    </row>
    <row r="5919" spans="1:9" ht="14.25" customHeight="1">
      <c r="A5919" s="85" t="s">
        <v>1404</v>
      </c>
      <c r="B5919" s="81"/>
      <c r="C5919" s="81"/>
      <c r="D5919" s="81"/>
      <c r="E5919" s="81"/>
      <c r="F5919" s="81"/>
      <c r="G5919" s="81"/>
      <c r="H5919" s="82"/>
      <c r="I5919" s="32"/>
    </row>
    <row r="5920" spans="1:9" ht="14.25" customHeight="1">
      <c r="A5920" s="1" t="s">
        <v>2</v>
      </c>
      <c r="B5920" s="1" t="s">
        <v>3</v>
      </c>
      <c r="C5920" s="1" t="s">
        <v>4</v>
      </c>
      <c r="D5920" s="1" t="s">
        <v>5</v>
      </c>
      <c r="E5920" s="1" t="s">
        <v>6</v>
      </c>
      <c r="F5920" s="2" t="s">
        <v>7</v>
      </c>
      <c r="G5920" s="1" t="s">
        <v>8</v>
      </c>
      <c r="H5920" s="1"/>
      <c r="I5920" s="32"/>
    </row>
    <row r="5921" spans="1:9" ht="14.25" customHeight="1">
      <c r="A5921" s="3">
        <v>1</v>
      </c>
      <c r="B5921" s="55" t="s">
        <v>802</v>
      </c>
      <c r="C5921" s="56" t="s">
        <v>1405</v>
      </c>
      <c r="D5921" s="57" t="s">
        <v>11</v>
      </c>
      <c r="E5921" s="57">
        <v>1.48</v>
      </c>
      <c r="F5921" s="6">
        <v>293000</v>
      </c>
      <c r="G5921" s="7">
        <f t="shared" ref="G5921:G5922" si="370">IFERROR(E5921*F5921,0)</f>
        <v>433640</v>
      </c>
      <c r="H5921" s="8"/>
      <c r="I5921" s="32"/>
    </row>
    <row r="5922" spans="1:9" ht="14.25" customHeight="1">
      <c r="A5922" s="3">
        <v>2</v>
      </c>
      <c r="B5922" s="55" t="s">
        <v>78</v>
      </c>
      <c r="C5922" s="56" t="s">
        <v>1406</v>
      </c>
      <c r="D5922" s="57" t="s">
        <v>14</v>
      </c>
      <c r="E5922" s="57">
        <v>1</v>
      </c>
      <c r="F5922" s="11">
        <v>435000</v>
      </c>
      <c r="G5922" s="7">
        <f t="shared" si="370"/>
        <v>435000</v>
      </c>
      <c r="H5922" s="8"/>
      <c r="I5922" s="32"/>
    </row>
    <row r="5923" spans="1:9" ht="14.25" customHeight="1">
      <c r="A5923" s="3">
        <v>3</v>
      </c>
      <c r="B5923" s="63" t="s">
        <v>73</v>
      </c>
      <c r="C5923" s="65" t="s">
        <v>1407</v>
      </c>
      <c r="D5923" s="57" t="s">
        <v>14</v>
      </c>
      <c r="E5923" s="57">
        <v>1.48</v>
      </c>
      <c r="F5923" s="11">
        <v>435000</v>
      </c>
      <c r="G5923" s="7">
        <f>IFERROR(E5923*F5923,0)</f>
        <v>643800</v>
      </c>
      <c r="H5923" s="8"/>
      <c r="I5923" s="32"/>
    </row>
    <row r="5924" spans="1:9" ht="14.25" customHeight="1">
      <c r="A5924" s="3">
        <v>4</v>
      </c>
      <c r="B5924" s="8" t="s">
        <v>17</v>
      </c>
      <c r="C5924" s="8"/>
      <c r="D5924" s="8"/>
      <c r="E5924" s="8"/>
      <c r="F5924" s="8"/>
      <c r="G5924" s="13">
        <f>IFERROR(E5924*F5924,0)</f>
        <v>0</v>
      </c>
      <c r="H5924" s="8"/>
      <c r="I5924" s="32"/>
    </row>
    <row r="5925" spans="1:9" ht="14.25" customHeight="1">
      <c r="A5925" s="86" t="s">
        <v>18</v>
      </c>
      <c r="B5925" s="81"/>
      <c r="C5925" s="81"/>
      <c r="D5925" s="81"/>
      <c r="E5925" s="81"/>
      <c r="F5925" s="81"/>
      <c r="G5925" s="82"/>
      <c r="H5925" s="14">
        <f>SUM(G5921:G5924)</f>
        <v>1512440</v>
      </c>
      <c r="I5925" s="32"/>
    </row>
    <row r="5926" spans="1:9" ht="14.25" customHeight="1">
      <c r="A5926" s="86" t="s">
        <v>19</v>
      </c>
      <c r="B5926" s="81"/>
      <c r="C5926" s="81"/>
      <c r="D5926" s="81"/>
      <c r="E5926" s="81"/>
      <c r="F5926" s="81"/>
      <c r="G5926" s="82"/>
      <c r="H5926" s="14">
        <f>MAX(0,H5925-648000)</f>
        <v>864440</v>
      </c>
      <c r="I5926" s="32"/>
    </row>
    <row r="5927" spans="1:9" ht="14.25" customHeight="1">
      <c r="A5927" s="87" t="s">
        <v>20</v>
      </c>
      <c r="B5927" s="81"/>
      <c r="C5927" s="81"/>
      <c r="D5927" s="81"/>
      <c r="E5927" s="81"/>
      <c r="F5927" s="81"/>
      <c r="G5927" s="82"/>
      <c r="H5927" s="15">
        <v>649000</v>
      </c>
      <c r="I5927" s="32"/>
    </row>
    <row r="5928" spans="1:9" ht="14.25" customHeight="1">
      <c r="I5928" s="32"/>
    </row>
    <row r="5929" spans="1:9" ht="14.25" customHeight="1">
      <c r="I5929" s="32"/>
    </row>
    <row r="5930" spans="1:9" ht="14.25" customHeight="1">
      <c r="I5930" s="32"/>
    </row>
    <row r="5931" spans="1:9" ht="14.25" customHeight="1">
      <c r="I5931" s="32"/>
    </row>
    <row r="5932" spans="1:9" ht="14.25" customHeight="1">
      <c r="I5932" s="32"/>
    </row>
    <row r="5933" spans="1:9" ht="14.25" customHeight="1">
      <c r="I5933" s="32"/>
    </row>
    <row r="5934" spans="1:9" ht="14.25" customHeight="1">
      <c r="I5934" s="32"/>
    </row>
    <row r="5935" spans="1:9" ht="14.25" customHeight="1">
      <c r="A5935" s="85" t="s">
        <v>0</v>
      </c>
      <c r="B5935" s="81"/>
      <c r="C5935" s="81"/>
      <c r="D5935" s="81"/>
      <c r="E5935" s="81"/>
      <c r="F5935" s="81"/>
      <c r="G5935" s="81"/>
      <c r="H5935" s="82"/>
      <c r="I5935" s="32"/>
    </row>
    <row r="5936" spans="1:9" ht="14.25" customHeight="1">
      <c r="A5936" s="85" t="s">
        <v>1408</v>
      </c>
      <c r="B5936" s="81"/>
      <c r="C5936" s="81"/>
      <c r="D5936" s="81"/>
      <c r="E5936" s="81"/>
      <c r="F5936" s="81"/>
      <c r="G5936" s="81"/>
      <c r="H5936" s="82"/>
      <c r="I5936" s="32"/>
    </row>
    <row r="5937" spans="1:9" ht="14.25" customHeight="1">
      <c r="A5937" s="1" t="s">
        <v>2</v>
      </c>
      <c r="B5937" s="1" t="s">
        <v>3</v>
      </c>
      <c r="C5937" s="1" t="s">
        <v>4</v>
      </c>
      <c r="D5937" s="1" t="s">
        <v>5</v>
      </c>
      <c r="E5937" s="1" t="s">
        <v>6</v>
      </c>
      <c r="F5937" s="2" t="s">
        <v>7</v>
      </c>
      <c r="G5937" s="1" t="s">
        <v>8</v>
      </c>
      <c r="H5937" s="1"/>
      <c r="I5937" s="32"/>
    </row>
    <row r="5938" spans="1:9" ht="14.25" customHeight="1">
      <c r="A5938" s="3">
        <v>1</v>
      </c>
      <c r="B5938" s="55" t="s">
        <v>12</v>
      </c>
      <c r="C5938" s="56" t="s">
        <v>1409</v>
      </c>
      <c r="D5938" s="57" t="s">
        <v>11</v>
      </c>
      <c r="E5938" s="57">
        <v>1.5</v>
      </c>
      <c r="F5938" s="6">
        <v>293000</v>
      </c>
      <c r="G5938" s="7">
        <f t="shared" ref="G5938:G5939" si="371">IFERROR(E5938*F5938,0)</f>
        <v>439500</v>
      </c>
      <c r="H5938" s="8"/>
      <c r="I5938" s="32"/>
    </row>
    <row r="5939" spans="1:9" ht="14.25" customHeight="1">
      <c r="A5939" s="3">
        <v>2</v>
      </c>
      <c r="B5939" s="55" t="s">
        <v>65</v>
      </c>
      <c r="C5939" s="56" t="s">
        <v>1410</v>
      </c>
      <c r="D5939" s="57" t="s">
        <v>14</v>
      </c>
      <c r="E5939" s="57">
        <v>1.1200000000000001</v>
      </c>
      <c r="F5939" s="11">
        <v>435000</v>
      </c>
      <c r="G5939" s="7">
        <f t="shared" si="371"/>
        <v>487200.00000000006</v>
      </c>
      <c r="H5939" s="8"/>
      <c r="I5939" s="32"/>
    </row>
    <row r="5940" spans="1:9" ht="14.25" customHeight="1">
      <c r="A5940" s="3">
        <v>3</v>
      </c>
      <c r="B5940" s="63" t="s">
        <v>578</v>
      </c>
      <c r="C5940" s="65" t="s">
        <v>1411</v>
      </c>
      <c r="D5940" s="57" t="s">
        <v>14</v>
      </c>
      <c r="E5940" s="57">
        <v>0.99</v>
      </c>
      <c r="F5940" s="11">
        <v>435000</v>
      </c>
      <c r="G5940" s="7">
        <f>IFERROR(E5940*F5940,0)</f>
        <v>430650</v>
      </c>
      <c r="H5940" s="8"/>
      <c r="I5940" s="32"/>
    </row>
    <row r="5941" spans="1:9" ht="14.25" customHeight="1">
      <c r="A5941" s="3">
        <v>4</v>
      </c>
      <c r="B5941" s="8" t="s">
        <v>17</v>
      </c>
      <c r="C5941" s="8"/>
      <c r="D5941" s="8"/>
      <c r="E5941" s="8"/>
      <c r="F5941" s="8"/>
      <c r="G5941" s="13">
        <f>IFERROR(E5941*F5941,0)</f>
        <v>0</v>
      </c>
      <c r="H5941" s="8"/>
      <c r="I5941" s="32"/>
    </row>
    <row r="5942" spans="1:9" ht="14.25" customHeight="1">
      <c r="A5942" s="86" t="s">
        <v>18</v>
      </c>
      <c r="B5942" s="81"/>
      <c r="C5942" s="81"/>
      <c r="D5942" s="81"/>
      <c r="E5942" s="81"/>
      <c r="F5942" s="81"/>
      <c r="G5942" s="82"/>
      <c r="H5942" s="14">
        <f>SUM(G5938:G5941)</f>
        <v>1357350</v>
      </c>
      <c r="I5942" s="32"/>
    </row>
    <row r="5943" spans="1:9" ht="14.25" customHeight="1">
      <c r="A5943" s="86" t="s">
        <v>19</v>
      </c>
      <c r="B5943" s="81"/>
      <c r="C5943" s="81"/>
      <c r="D5943" s="81"/>
      <c r="E5943" s="81"/>
      <c r="F5943" s="81"/>
      <c r="G5943" s="82"/>
      <c r="H5943" s="14">
        <f>MAX(0,H5942-648000)</f>
        <v>709350</v>
      </c>
      <c r="I5943" s="32"/>
    </row>
    <row r="5944" spans="1:9" ht="14.25" customHeight="1">
      <c r="A5944" s="87" t="s">
        <v>20</v>
      </c>
      <c r="B5944" s="81"/>
      <c r="C5944" s="81"/>
      <c r="D5944" s="81"/>
      <c r="E5944" s="81"/>
      <c r="F5944" s="81"/>
      <c r="G5944" s="82"/>
      <c r="H5944" s="15">
        <v>649000</v>
      </c>
      <c r="I5944" s="32"/>
    </row>
    <row r="5945" spans="1:9">
      <c r="I5945" s="32"/>
    </row>
    <row r="5946" spans="1:9">
      <c r="I5946" s="32"/>
    </row>
    <row r="5947" spans="1:9">
      <c r="I5947" s="32"/>
    </row>
    <row r="5948" spans="1:9" ht="14.25" customHeight="1">
      <c r="I5948" s="32"/>
    </row>
    <row r="5949" spans="1:9" ht="14.25" customHeight="1">
      <c r="I5949" s="32"/>
    </row>
    <row r="5950" spans="1:9" ht="14.25" customHeight="1">
      <c r="I5950" s="32"/>
    </row>
    <row r="5951" spans="1:9" ht="14.25" customHeight="1">
      <c r="I5951" s="32"/>
    </row>
    <row r="5952" spans="1:9" ht="14.25" customHeight="1">
      <c r="A5952" s="85" t="s">
        <v>0</v>
      </c>
      <c r="B5952" s="81"/>
      <c r="C5952" s="81"/>
      <c r="D5952" s="81"/>
      <c r="E5952" s="81"/>
      <c r="F5952" s="81"/>
      <c r="G5952" s="81"/>
      <c r="H5952" s="82"/>
      <c r="I5952" s="32"/>
    </row>
    <row r="5953" spans="1:9" ht="14.25" customHeight="1">
      <c r="A5953" s="85" t="s">
        <v>1412</v>
      </c>
      <c r="B5953" s="81"/>
      <c r="C5953" s="81"/>
      <c r="D5953" s="81"/>
      <c r="E5953" s="81"/>
      <c r="F5953" s="81"/>
      <c r="G5953" s="81"/>
      <c r="H5953" s="82"/>
      <c r="I5953" s="32"/>
    </row>
    <row r="5954" spans="1:9" ht="14.25" customHeight="1">
      <c r="A5954" s="1" t="s">
        <v>2</v>
      </c>
      <c r="B5954" s="1" t="s">
        <v>3</v>
      </c>
      <c r="C5954" s="1" t="s">
        <v>4</v>
      </c>
      <c r="D5954" s="1" t="s">
        <v>5</v>
      </c>
      <c r="E5954" s="1" t="s">
        <v>6</v>
      </c>
      <c r="F5954" s="2" t="s">
        <v>7</v>
      </c>
      <c r="G5954" s="1" t="s">
        <v>8</v>
      </c>
      <c r="H5954" s="1"/>
      <c r="I5954" s="32"/>
    </row>
    <row r="5955" spans="1:9" ht="14.25" customHeight="1">
      <c r="A5955" s="3">
        <v>1</v>
      </c>
      <c r="B5955" s="55" t="s">
        <v>840</v>
      </c>
      <c r="C5955" s="56" t="s">
        <v>1413</v>
      </c>
      <c r="D5955" s="57" t="s">
        <v>11</v>
      </c>
      <c r="E5955" s="57">
        <v>1.5</v>
      </c>
      <c r="F5955" s="6">
        <v>293000</v>
      </c>
      <c r="G5955" s="7">
        <f t="shared" ref="G5955:G5956" si="372">IFERROR(E5955*F5955,0)</f>
        <v>439500</v>
      </c>
      <c r="H5955" s="8"/>
      <c r="I5955" s="32"/>
    </row>
    <row r="5956" spans="1:9" ht="14.25" customHeight="1">
      <c r="A5956" s="3">
        <v>2</v>
      </c>
      <c r="B5956" s="55" t="s">
        <v>57</v>
      </c>
      <c r="C5956" s="56" t="s">
        <v>1414</v>
      </c>
      <c r="D5956" s="57" t="s">
        <v>14</v>
      </c>
      <c r="E5956" s="57">
        <v>1</v>
      </c>
      <c r="F5956" s="11">
        <v>435000</v>
      </c>
      <c r="G5956" s="7">
        <f t="shared" si="372"/>
        <v>435000</v>
      </c>
      <c r="H5956" s="8"/>
      <c r="I5956" s="32"/>
    </row>
    <row r="5957" spans="1:9" ht="14.25" customHeight="1">
      <c r="A5957" s="3">
        <v>3</v>
      </c>
      <c r="B5957" s="63" t="s">
        <v>918</v>
      </c>
      <c r="C5957" s="65" t="s">
        <v>1415</v>
      </c>
      <c r="D5957" s="65" t="s">
        <v>11</v>
      </c>
      <c r="E5957" s="57">
        <v>1.1000000000000001</v>
      </c>
      <c r="F5957" s="6">
        <v>293000</v>
      </c>
      <c r="G5957" s="7">
        <f>IFERROR(E5957*F5957,0)</f>
        <v>322300</v>
      </c>
      <c r="H5957" s="8"/>
      <c r="I5957" s="32"/>
    </row>
    <row r="5958" spans="1:9" ht="14.25" customHeight="1">
      <c r="A5958" s="3">
        <v>4</v>
      </c>
      <c r="B5958" s="8" t="s">
        <v>17</v>
      </c>
      <c r="C5958" s="8"/>
      <c r="D5958" s="8"/>
      <c r="E5958" s="8"/>
      <c r="F5958" s="8"/>
      <c r="G5958" s="13">
        <f>IFERROR(E5958*F5958,0)</f>
        <v>0</v>
      </c>
      <c r="H5958" s="8"/>
      <c r="I5958" s="32"/>
    </row>
    <row r="5959" spans="1:9" ht="14.25" customHeight="1">
      <c r="A5959" s="86" t="s">
        <v>18</v>
      </c>
      <c r="B5959" s="81"/>
      <c r="C5959" s="81"/>
      <c r="D5959" s="81"/>
      <c r="E5959" s="81"/>
      <c r="F5959" s="81"/>
      <c r="G5959" s="82"/>
      <c r="H5959" s="14">
        <f>SUM(G5955:G5958)</f>
        <v>1196800</v>
      </c>
      <c r="I5959" s="32"/>
    </row>
    <row r="5960" spans="1:9" ht="14.25" customHeight="1">
      <c r="A5960" s="86" t="s">
        <v>19</v>
      </c>
      <c r="B5960" s="81"/>
      <c r="C5960" s="81"/>
      <c r="D5960" s="81"/>
      <c r="E5960" s="81"/>
      <c r="F5960" s="81"/>
      <c r="G5960" s="82"/>
      <c r="H5960" s="14">
        <f>MAX(0,H5959-648000)</f>
        <v>548800</v>
      </c>
      <c r="I5960" s="32"/>
    </row>
    <row r="5961" spans="1:9" ht="14.25" customHeight="1">
      <c r="A5961" s="87" t="s">
        <v>20</v>
      </c>
      <c r="B5961" s="81"/>
      <c r="C5961" s="81"/>
      <c r="D5961" s="81"/>
      <c r="E5961" s="81"/>
      <c r="F5961" s="81"/>
      <c r="G5961" s="82"/>
      <c r="H5961" s="15">
        <v>649000</v>
      </c>
      <c r="I5961" s="32"/>
    </row>
    <row r="5962" spans="1:9" ht="14.25" customHeight="1">
      <c r="I5962" s="32"/>
    </row>
    <row r="5963" spans="1:9" ht="14.25" customHeight="1">
      <c r="I5963" s="32"/>
    </row>
    <row r="5964" spans="1:9" ht="14.25" customHeight="1">
      <c r="I5964" s="32"/>
    </row>
    <row r="5965" spans="1:9" ht="14.25" customHeight="1">
      <c r="I5965" s="32"/>
    </row>
    <row r="5966" spans="1:9" ht="14.25" customHeight="1">
      <c r="I5966" s="32"/>
    </row>
    <row r="5967" spans="1:9" ht="14.25" customHeight="1">
      <c r="I5967" s="32"/>
    </row>
    <row r="5968" spans="1:9" ht="14.25" customHeight="1">
      <c r="I5968" s="32"/>
    </row>
    <row r="5969" spans="1:9" ht="14.25" customHeight="1">
      <c r="A5969" s="85" t="s">
        <v>0</v>
      </c>
      <c r="B5969" s="81"/>
      <c r="C5969" s="81"/>
      <c r="D5969" s="81"/>
      <c r="E5969" s="81"/>
      <c r="F5969" s="81"/>
      <c r="G5969" s="81"/>
      <c r="H5969" s="82"/>
      <c r="I5969" s="32"/>
    </row>
    <row r="5970" spans="1:9" ht="14.25" customHeight="1">
      <c r="A5970" s="85" t="s">
        <v>1416</v>
      </c>
      <c r="B5970" s="81"/>
      <c r="C5970" s="81"/>
      <c r="D5970" s="81"/>
      <c r="E5970" s="81"/>
      <c r="F5970" s="81"/>
      <c r="G5970" s="81"/>
      <c r="H5970" s="82"/>
      <c r="I5970" s="32"/>
    </row>
    <row r="5971" spans="1:9" ht="14.25" customHeight="1">
      <c r="A5971" s="1" t="s">
        <v>2</v>
      </c>
      <c r="B5971" s="1" t="s">
        <v>3</v>
      </c>
      <c r="C5971" s="1" t="s">
        <v>4</v>
      </c>
      <c r="D5971" s="1" t="s">
        <v>5</v>
      </c>
      <c r="E5971" s="1" t="s">
        <v>6</v>
      </c>
      <c r="F5971" s="2" t="s">
        <v>7</v>
      </c>
      <c r="G5971" s="1" t="s">
        <v>8</v>
      </c>
      <c r="H5971" s="1"/>
      <c r="I5971" s="32"/>
    </row>
    <row r="5972" spans="1:9" ht="14.25" customHeight="1">
      <c r="A5972" s="3">
        <v>1</v>
      </c>
      <c r="B5972" s="55" t="s">
        <v>1417</v>
      </c>
      <c r="C5972" s="56" t="s">
        <v>1418</v>
      </c>
      <c r="D5972" s="57" t="s">
        <v>11</v>
      </c>
      <c r="E5972" s="57">
        <v>1.23</v>
      </c>
      <c r="F5972" s="6">
        <v>293000</v>
      </c>
      <c r="G5972" s="7">
        <f t="shared" ref="G5972:G5973" si="373">IFERROR(E5972*F5972,0)</f>
        <v>360390</v>
      </c>
      <c r="H5972" s="8"/>
      <c r="I5972" s="32"/>
    </row>
    <row r="5973" spans="1:9" ht="14.25" customHeight="1">
      <c r="A5973" s="3">
        <v>2</v>
      </c>
      <c r="B5973" s="55" t="s">
        <v>1419</v>
      </c>
      <c r="C5973" s="56" t="s">
        <v>1420</v>
      </c>
      <c r="D5973" s="57" t="s">
        <v>14</v>
      </c>
      <c r="E5973" s="57">
        <v>1.25</v>
      </c>
      <c r="F5973" s="11">
        <v>435000</v>
      </c>
      <c r="G5973" s="7">
        <f t="shared" si="373"/>
        <v>543750</v>
      </c>
      <c r="H5973" s="8"/>
      <c r="I5973" s="32"/>
    </row>
    <row r="5974" spans="1:9" ht="14.25" customHeight="1">
      <c r="A5974" s="3">
        <v>3</v>
      </c>
      <c r="B5974" s="63" t="s">
        <v>99</v>
      </c>
      <c r="C5974" s="65" t="s">
        <v>1421</v>
      </c>
      <c r="D5974" s="65" t="s">
        <v>11</v>
      </c>
      <c r="E5974" s="57">
        <v>1.1000000000000001</v>
      </c>
      <c r="F5974" s="6">
        <v>293000</v>
      </c>
      <c r="G5974" s="7">
        <f>IFERROR(E5974*F5974,0)</f>
        <v>322300</v>
      </c>
      <c r="H5974" s="8"/>
      <c r="I5974" s="32"/>
    </row>
    <row r="5975" spans="1:9" ht="14.25" customHeight="1">
      <c r="A5975" s="3">
        <v>4</v>
      </c>
      <c r="B5975" s="8" t="s">
        <v>17</v>
      </c>
      <c r="C5975" s="8"/>
      <c r="D5975" s="8"/>
      <c r="E5975" s="8"/>
      <c r="F5975" s="8"/>
      <c r="G5975" s="13">
        <f>IFERROR(E5975*F5975,0)</f>
        <v>0</v>
      </c>
      <c r="H5975" s="8"/>
      <c r="I5975" s="32"/>
    </row>
    <row r="5976" spans="1:9" ht="14.25" customHeight="1">
      <c r="A5976" s="86" t="s">
        <v>18</v>
      </c>
      <c r="B5976" s="81"/>
      <c r="C5976" s="81"/>
      <c r="D5976" s="81"/>
      <c r="E5976" s="81"/>
      <c r="F5976" s="81"/>
      <c r="G5976" s="82"/>
      <c r="H5976" s="14">
        <f>SUM(G5972:G5975)</f>
        <v>1226440</v>
      </c>
      <c r="I5976" s="32"/>
    </row>
    <row r="5977" spans="1:9" ht="14.25" customHeight="1">
      <c r="A5977" s="86" t="s">
        <v>19</v>
      </c>
      <c r="B5977" s="81"/>
      <c r="C5977" s="81"/>
      <c r="D5977" s="81"/>
      <c r="E5977" s="81"/>
      <c r="F5977" s="81"/>
      <c r="G5977" s="82"/>
      <c r="H5977" s="14">
        <f>MAX(0,H5976-648000)</f>
        <v>578440</v>
      </c>
      <c r="I5977" s="32"/>
    </row>
    <row r="5978" spans="1:9" ht="14.25" customHeight="1">
      <c r="A5978" s="87" t="s">
        <v>20</v>
      </c>
      <c r="B5978" s="81"/>
      <c r="C5978" s="81"/>
      <c r="D5978" s="81"/>
      <c r="E5978" s="81"/>
      <c r="F5978" s="81"/>
      <c r="G5978" s="82"/>
      <c r="H5978" s="15">
        <v>649000</v>
      </c>
      <c r="I5978" s="32"/>
    </row>
    <row r="5979" spans="1:9" ht="14.25" customHeight="1">
      <c r="I5979" s="32"/>
    </row>
    <row r="5980" spans="1:9" ht="14.25" customHeight="1">
      <c r="I5980" s="32"/>
    </row>
    <row r="5981" spans="1:9" ht="14.25" customHeight="1">
      <c r="I5981" s="32"/>
    </row>
    <row r="5982" spans="1:9" ht="14.25" customHeight="1">
      <c r="I5982" s="32"/>
    </row>
    <row r="5983" spans="1:9" ht="14.25" customHeight="1">
      <c r="I5983" s="32"/>
    </row>
    <row r="5984" spans="1:9" ht="14.25" customHeight="1">
      <c r="I5984" s="32"/>
    </row>
    <row r="5985" spans="1:9" ht="14.25" customHeight="1">
      <c r="I5985" s="32"/>
    </row>
    <row r="5986" spans="1:9" ht="14.25" customHeight="1">
      <c r="I5986" s="32"/>
    </row>
    <row r="5987" spans="1:9" ht="14.25" customHeight="1">
      <c r="A5987" s="85" t="s">
        <v>0</v>
      </c>
      <c r="B5987" s="81"/>
      <c r="C5987" s="81"/>
      <c r="D5987" s="81"/>
      <c r="E5987" s="81"/>
      <c r="F5987" s="81"/>
      <c r="G5987" s="81"/>
      <c r="H5987" s="82"/>
      <c r="I5987" s="32"/>
    </row>
    <row r="5988" spans="1:9" ht="14.25" customHeight="1">
      <c r="A5988" s="85" t="s">
        <v>1422</v>
      </c>
      <c r="B5988" s="81"/>
      <c r="C5988" s="81"/>
      <c r="D5988" s="81"/>
      <c r="E5988" s="81"/>
      <c r="F5988" s="81"/>
      <c r="G5988" s="81"/>
      <c r="H5988" s="82"/>
      <c r="I5988" s="32"/>
    </row>
    <row r="5989" spans="1:9" ht="14.25" customHeight="1">
      <c r="A5989" s="1" t="s">
        <v>2</v>
      </c>
      <c r="B5989" s="1" t="s">
        <v>3</v>
      </c>
      <c r="C5989" s="1" t="s">
        <v>4</v>
      </c>
      <c r="D5989" s="1" t="s">
        <v>5</v>
      </c>
      <c r="E5989" s="1" t="s">
        <v>6</v>
      </c>
      <c r="F5989" s="2" t="s">
        <v>7</v>
      </c>
      <c r="G5989" s="1" t="s">
        <v>8</v>
      </c>
      <c r="H5989" s="1"/>
      <c r="I5989" s="32"/>
    </row>
    <row r="5990" spans="1:9" ht="14.25" customHeight="1">
      <c r="A5990" s="3">
        <v>1</v>
      </c>
      <c r="B5990" s="55" t="s">
        <v>175</v>
      </c>
      <c r="C5990" s="56" t="s">
        <v>1423</v>
      </c>
      <c r="D5990" s="57" t="s">
        <v>11</v>
      </c>
      <c r="E5990" s="57">
        <v>1.48</v>
      </c>
      <c r="F5990" s="6">
        <v>293000</v>
      </c>
      <c r="G5990" s="7">
        <f t="shared" ref="G5990:G5991" si="374">IFERROR(E5990*F5990,0)</f>
        <v>433640</v>
      </c>
      <c r="H5990" s="8"/>
      <c r="I5990" s="32"/>
    </row>
    <row r="5991" spans="1:9" ht="14.25" customHeight="1">
      <c r="A5991" s="3">
        <v>2</v>
      </c>
      <c r="B5991" s="55" t="s">
        <v>33</v>
      </c>
      <c r="C5991" s="56" t="s">
        <v>1424</v>
      </c>
      <c r="D5991" s="57" t="s">
        <v>233</v>
      </c>
      <c r="E5991" s="57">
        <v>1.35</v>
      </c>
      <c r="F5991" s="11">
        <v>435000</v>
      </c>
      <c r="G5991" s="7">
        <f t="shared" si="374"/>
        <v>587250</v>
      </c>
      <c r="H5991" s="8"/>
      <c r="I5991" s="32"/>
    </row>
    <row r="5992" spans="1:9" ht="14.25" customHeight="1">
      <c r="A5992" s="3">
        <v>3</v>
      </c>
      <c r="B5992" s="63" t="s">
        <v>1425</v>
      </c>
      <c r="C5992" s="65" t="s">
        <v>1426</v>
      </c>
      <c r="D5992" s="65" t="s">
        <v>11</v>
      </c>
      <c r="E5992" s="57">
        <v>1</v>
      </c>
      <c r="F5992" s="6">
        <v>293000</v>
      </c>
      <c r="G5992" s="7">
        <f>IFERROR(E5992*F5992,0)</f>
        <v>293000</v>
      </c>
      <c r="H5992" s="8"/>
      <c r="I5992" s="32"/>
    </row>
    <row r="5993" spans="1:9" ht="14.25" customHeight="1">
      <c r="A5993" s="3">
        <v>4</v>
      </c>
      <c r="B5993" s="8" t="s">
        <v>17</v>
      </c>
      <c r="C5993" s="8"/>
      <c r="D5993" s="8"/>
      <c r="E5993" s="8"/>
      <c r="F5993" s="8"/>
      <c r="G5993" s="13">
        <f>IFERROR(E5993*F5993,0)</f>
        <v>0</v>
      </c>
      <c r="H5993" s="8"/>
      <c r="I5993" s="32"/>
    </row>
    <row r="5994" spans="1:9" ht="14.25" customHeight="1">
      <c r="A5994" s="86" t="s">
        <v>18</v>
      </c>
      <c r="B5994" s="81"/>
      <c r="C5994" s="81"/>
      <c r="D5994" s="81"/>
      <c r="E5994" s="81"/>
      <c r="F5994" s="81"/>
      <c r="G5994" s="82"/>
      <c r="H5994" s="14">
        <f>SUM(G5990:G5993)</f>
        <v>1313890</v>
      </c>
      <c r="I5994" s="32"/>
    </row>
    <row r="5995" spans="1:9" ht="14.25" customHeight="1">
      <c r="A5995" s="86" t="s">
        <v>19</v>
      </c>
      <c r="B5995" s="81"/>
      <c r="C5995" s="81"/>
      <c r="D5995" s="81"/>
      <c r="E5995" s="81"/>
      <c r="F5995" s="81"/>
      <c r="G5995" s="82"/>
      <c r="H5995" s="14">
        <f>MAX(0,H5994-648000)</f>
        <v>665890</v>
      </c>
      <c r="I5995" s="32"/>
    </row>
    <row r="5996" spans="1:9" ht="14.25" customHeight="1">
      <c r="A5996" s="87" t="s">
        <v>20</v>
      </c>
      <c r="B5996" s="81"/>
      <c r="C5996" s="81"/>
      <c r="D5996" s="81"/>
      <c r="E5996" s="81"/>
      <c r="F5996" s="81"/>
      <c r="G5996" s="82"/>
      <c r="H5996" s="15">
        <v>649000</v>
      </c>
      <c r="I5996" s="32"/>
    </row>
    <row r="5997" spans="1:9" ht="14.25" customHeight="1">
      <c r="I5997" s="32"/>
    </row>
    <row r="5998" spans="1:9" ht="14.25" customHeight="1">
      <c r="I5998" s="32"/>
    </row>
    <row r="5999" spans="1:9" ht="14.25" customHeight="1">
      <c r="I5999" s="32"/>
    </row>
    <row r="6000" spans="1:9" ht="14.25" customHeight="1">
      <c r="I6000" s="32"/>
    </row>
    <row r="6001" spans="1:9" ht="14.25" customHeight="1">
      <c r="I6001" s="32"/>
    </row>
    <row r="6002" spans="1:9" ht="14.25" customHeight="1">
      <c r="I6002" s="32"/>
    </row>
    <row r="6003" spans="1:9" ht="14.25" customHeight="1">
      <c r="I6003" s="32"/>
    </row>
    <row r="6004" spans="1:9" ht="14.25" customHeight="1">
      <c r="I6004" s="32"/>
    </row>
    <row r="6005" spans="1:9" ht="14.25" customHeight="1">
      <c r="A6005" s="85" t="s">
        <v>0</v>
      </c>
      <c r="B6005" s="81"/>
      <c r="C6005" s="81"/>
      <c r="D6005" s="81"/>
      <c r="E6005" s="81"/>
      <c r="F6005" s="81"/>
      <c r="G6005" s="81"/>
      <c r="H6005" s="82"/>
      <c r="I6005" s="32"/>
    </row>
    <row r="6006" spans="1:9" ht="14.25" customHeight="1">
      <c r="A6006" s="85" t="s">
        <v>1427</v>
      </c>
      <c r="B6006" s="81"/>
      <c r="C6006" s="81"/>
      <c r="D6006" s="81"/>
      <c r="E6006" s="81"/>
      <c r="F6006" s="81"/>
      <c r="G6006" s="81"/>
      <c r="H6006" s="82"/>
      <c r="I6006" s="32"/>
    </row>
    <row r="6007" spans="1:9" ht="14.25" customHeight="1">
      <c r="A6007" s="1" t="s">
        <v>2</v>
      </c>
      <c r="B6007" s="1" t="s">
        <v>3</v>
      </c>
      <c r="C6007" s="1" t="s">
        <v>4</v>
      </c>
      <c r="D6007" s="1" t="s">
        <v>5</v>
      </c>
      <c r="E6007" s="1" t="s">
        <v>6</v>
      </c>
      <c r="F6007" s="2" t="s">
        <v>7</v>
      </c>
      <c r="G6007" s="1" t="s">
        <v>8</v>
      </c>
      <c r="H6007" s="1"/>
      <c r="I6007" s="32"/>
    </row>
    <row r="6008" spans="1:9" ht="14.25" customHeight="1">
      <c r="A6008" s="3">
        <v>1</v>
      </c>
      <c r="B6008" s="55" t="s">
        <v>1428</v>
      </c>
      <c r="C6008" s="56" t="s">
        <v>1429</v>
      </c>
      <c r="D6008" s="57" t="s">
        <v>11</v>
      </c>
      <c r="E6008" s="57">
        <v>1.37</v>
      </c>
      <c r="F6008" s="6">
        <v>293000</v>
      </c>
      <c r="G6008" s="7">
        <f t="shared" ref="G6008:G6009" si="375">IFERROR(E6008*F6008,0)</f>
        <v>401410.00000000006</v>
      </c>
      <c r="H6008" s="8"/>
      <c r="I6008" s="32"/>
    </row>
    <row r="6009" spans="1:9" ht="14.25" customHeight="1">
      <c r="A6009" s="3">
        <v>2</v>
      </c>
      <c r="B6009" s="55" t="s">
        <v>1085</v>
      </c>
      <c r="C6009" s="56" t="s">
        <v>1430</v>
      </c>
      <c r="D6009" s="57" t="s">
        <v>14</v>
      </c>
      <c r="E6009" s="57">
        <v>1.3</v>
      </c>
      <c r="F6009" s="11">
        <v>435000</v>
      </c>
      <c r="G6009" s="7">
        <f t="shared" si="375"/>
        <v>565500</v>
      </c>
      <c r="H6009" s="8"/>
      <c r="I6009" s="32"/>
    </row>
    <row r="6010" spans="1:9" ht="14.25" customHeight="1">
      <c r="A6010" s="3">
        <v>3</v>
      </c>
      <c r="B6010" s="63" t="s">
        <v>1066</v>
      </c>
      <c r="C6010" s="65" t="s">
        <v>1431</v>
      </c>
      <c r="D6010" s="65" t="s">
        <v>11</v>
      </c>
      <c r="E6010" s="57">
        <v>1</v>
      </c>
      <c r="F6010" s="6">
        <v>293000</v>
      </c>
      <c r="G6010" s="7">
        <f>IFERROR(E6010*F6010,0)</f>
        <v>293000</v>
      </c>
      <c r="H6010" s="8"/>
      <c r="I6010" s="32"/>
    </row>
    <row r="6011" spans="1:9" ht="14.25" customHeight="1">
      <c r="A6011" s="3">
        <v>4</v>
      </c>
      <c r="B6011" s="8" t="s">
        <v>17</v>
      </c>
      <c r="C6011" s="8"/>
      <c r="D6011" s="8"/>
      <c r="E6011" s="8"/>
      <c r="F6011" s="8"/>
      <c r="G6011" s="13">
        <f>IFERROR(E6011*F6011,0)</f>
        <v>0</v>
      </c>
      <c r="H6011" s="8"/>
      <c r="I6011" s="32"/>
    </row>
    <row r="6012" spans="1:9" ht="14.25" customHeight="1">
      <c r="A6012" s="86" t="s">
        <v>18</v>
      </c>
      <c r="B6012" s="81"/>
      <c r="C6012" s="81"/>
      <c r="D6012" s="81"/>
      <c r="E6012" s="81"/>
      <c r="F6012" s="81"/>
      <c r="G6012" s="82"/>
      <c r="H6012" s="14">
        <f>SUM(G6008:G6011)</f>
        <v>1259910</v>
      </c>
      <c r="I6012" s="32"/>
    </row>
    <row r="6013" spans="1:9" ht="14.25" customHeight="1">
      <c r="A6013" s="86" t="s">
        <v>19</v>
      </c>
      <c r="B6013" s="81"/>
      <c r="C6013" s="81"/>
      <c r="D6013" s="81"/>
      <c r="E6013" s="81"/>
      <c r="F6013" s="81"/>
      <c r="G6013" s="82"/>
      <c r="H6013" s="14">
        <f>MAX(0,H6012-648000)</f>
        <v>611910</v>
      </c>
      <c r="I6013" s="32"/>
    </row>
    <row r="6014" spans="1:9" ht="14.25" customHeight="1">
      <c r="A6014" s="87" t="s">
        <v>20</v>
      </c>
      <c r="B6014" s="81"/>
      <c r="C6014" s="81"/>
      <c r="D6014" s="81"/>
      <c r="E6014" s="81"/>
      <c r="F6014" s="81"/>
      <c r="G6014" s="82"/>
      <c r="H6014" s="15">
        <v>649000</v>
      </c>
      <c r="I6014" s="32"/>
    </row>
    <row r="6015" spans="1:9" ht="14.25" customHeight="1">
      <c r="I6015" s="32"/>
    </row>
    <row r="6016" spans="1:9" ht="14.25" customHeight="1">
      <c r="I6016" s="32"/>
    </row>
    <row r="6017" spans="1:9" ht="14.25" customHeight="1">
      <c r="I6017" s="32"/>
    </row>
    <row r="6018" spans="1:9" ht="14.25" customHeight="1">
      <c r="I6018" s="32"/>
    </row>
    <row r="6019" spans="1:9" ht="14.25" customHeight="1">
      <c r="I6019" s="32"/>
    </row>
    <row r="6020" spans="1:9" ht="14.25" customHeight="1">
      <c r="I6020" s="32"/>
    </row>
    <row r="6021" spans="1:9" ht="14.25" customHeight="1">
      <c r="I6021" s="32"/>
    </row>
    <row r="6022" spans="1:9" ht="14.25" customHeight="1">
      <c r="A6022" s="85" t="s">
        <v>0</v>
      </c>
      <c r="B6022" s="81"/>
      <c r="C6022" s="81"/>
      <c r="D6022" s="81"/>
      <c r="E6022" s="81"/>
      <c r="F6022" s="81"/>
      <c r="G6022" s="81"/>
      <c r="H6022" s="82"/>
      <c r="I6022" s="32"/>
    </row>
    <row r="6023" spans="1:9" ht="14.25" customHeight="1">
      <c r="A6023" s="85" t="s">
        <v>1432</v>
      </c>
      <c r="B6023" s="81"/>
      <c r="C6023" s="81"/>
      <c r="D6023" s="81"/>
      <c r="E6023" s="81"/>
      <c r="F6023" s="81"/>
      <c r="G6023" s="81"/>
      <c r="H6023" s="82"/>
      <c r="I6023" s="32"/>
    </row>
    <row r="6024" spans="1:9" ht="14.25" customHeight="1">
      <c r="A6024" s="1" t="s">
        <v>2</v>
      </c>
      <c r="B6024" s="1" t="s">
        <v>3</v>
      </c>
      <c r="C6024" s="1" t="s">
        <v>4</v>
      </c>
      <c r="D6024" s="1" t="s">
        <v>5</v>
      </c>
      <c r="E6024" s="1" t="s">
        <v>6</v>
      </c>
      <c r="F6024" s="2" t="s">
        <v>7</v>
      </c>
      <c r="G6024" s="1" t="s">
        <v>8</v>
      </c>
      <c r="H6024" s="1"/>
      <c r="I6024" s="32"/>
    </row>
    <row r="6025" spans="1:9" ht="14.25" customHeight="1">
      <c r="A6025" s="3">
        <v>1</v>
      </c>
      <c r="B6025" s="55" t="s">
        <v>12</v>
      </c>
      <c r="C6025" s="56" t="s">
        <v>1433</v>
      </c>
      <c r="D6025" s="57" t="s">
        <v>11</v>
      </c>
      <c r="E6025" s="57">
        <v>1.25</v>
      </c>
      <c r="F6025" s="6">
        <v>293000</v>
      </c>
      <c r="G6025" s="7">
        <f t="shared" ref="G6025:G6026" si="376">IFERROR(E6025*F6025,0)</f>
        <v>366250</v>
      </c>
      <c r="H6025" s="8"/>
      <c r="I6025" s="32"/>
    </row>
    <row r="6026" spans="1:9" ht="14.25" customHeight="1">
      <c r="A6026" s="3">
        <v>2</v>
      </c>
      <c r="B6026" s="55" t="s">
        <v>1434</v>
      </c>
      <c r="C6026" s="56" t="s">
        <v>1435</v>
      </c>
      <c r="D6026" s="57" t="s">
        <v>233</v>
      </c>
      <c r="E6026" s="57">
        <v>1.2</v>
      </c>
      <c r="F6026" s="11">
        <v>435000</v>
      </c>
      <c r="G6026" s="7">
        <f t="shared" si="376"/>
        <v>522000</v>
      </c>
      <c r="H6026" s="8"/>
      <c r="I6026" s="32"/>
    </row>
    <row r="6027" spans="1:9" ht="14.25" customHeight="1">
      <c r="A6027" s="3">
        <v>3</v>
      </c>
      <c r="B6027" s="63" t="s">
        <v>1436</v>
      </c>
      <c r="C6027" s="65" t="s">
        <v>1437</v>
      </c>
      <c r="D6027" s="65" t="s">
        <v>11</v>
      </c>
      <c r="E6027" s="57">
        <v>1</v>
      </c>
      <c r="F6027" s="6">
        <v>293000</v>
      </c>
      <c r="G6027" s="7">
        <f>IFERROR(E6027*F6027,0)</f>
        <v>293000</v>
      </c>
      <c r="H6027" s="8"/>
      <c r="I6027" s="32"/>
    </row>
    <row r="6028" spans="1:9" ht="14.25" customHeight="1">
      <c r="A6028" s="3">
        <v>4</v>
      </c>
      <c r="B6028" s="8" t="s">
        <v>17</v>
      </c>
      <c r="C6028" s="8"/>
      <c r="D6028" s="8"/>
      <c r="E6028" s="8"/>
      <c r="F6028" s="8"/>
      <c r="G6028" s="13">
        <f>IFERROR(E6028*F6028,0)</f>
        <v>0</v>
      </c>
      <c r="H6028" s="8"/>
      <c r="I6028" s="32"/>
    </row>
    <row r="6029" spans="1:9" ht="14.25" customHeight="1">
      <c r="A6029" s="86" t="s">
        <v>18</v>
      </c>
      <c r="B6029" s="81"/>
      <c r="C6029" s="81"/>
      <c r="D6029" s="81"/>
      <c r="E6029" s="81"/>
      <c r="F6029" s="81"/>
      <c r="G6029" s="82"/>
      <c r="H6029" s="14">
        <f>SUM(G6025:G6028)</f>
        <v>1181250</v>
      </c>
      <c r="I6029" s="32"/>
    </row>
    <row r="6030" spans="1:9" ht="14.25" customHeight="1">
      <c r="A6030" s="86" t="s">
        <v>19</v>
      </c>
      <c r="B6030" s="81"/>
      <c r="C6030" s="81"/>
      <c r="D6030" s="81"/>
      <c r="E6030" s="81"/>
      <c r="F6030" s="81"/>
      <c r="G6030" s="82"/>
      <c r="H6030" s="14">
        <f>MAX(0,H6029-648000)</f>
        <v>533250</v>
      </c>
      <c r="I6030" s="32"/>
    </row>
    <row r="6031" spans="1:9" ht="14.25" customHeight="1">
      <c r="A6031" s="87" t="s">
        <v>20</v>
      </c>
      <c r="B6031" s="81"/>
      <c r="C6031" s="81"/>
      <c r="D6031" s="81"/>
      <c r="E6031" s="81"/>
      <c r="F6031" s="81"/>
      <c r="G6031" s="82"/>
      <c r="H6031" s="15">
        <v>649000</v>
      </c>
      <c r="I6031" s="32"/>
    </row>
    <row r="6032" spans="1:9" ht="14.25" customHeight="1">
      <c r="I6032" s="32"/>
    </row>
    <row r="6033" spans="1:9" ht="14.25" customHeight="1">
      <c r="I6033" s="32"/>
    </row>
    <row r="6034" spans="1:9" ht="14.25" customHeight="1">
      <c r="I6034" s="32"/>
    </row>
    <row r="6035" spans="1:9" ht="14.25" customHeight="1">
      <c r="I6035" s="32"/>
    </row>
    <row r="6036" spans="1:9" ht="14.25" customHeight="1">
      <c r="I6036" s="32"/>
    </row>
    <row r="6037" spans="1:9" ht="14.25" customHeight="1">
      <c r="I6037" s="32"/>
    </row>
    <row r="6038" spans="1:9" ht="14.25" customHeight="1">
      <c r="I6038" s="32"/>
    </row>
    <row r="6039" spans="1:9" ht="14.25" customHeight="1">
      <c r="A6039" s="85" t="s">
        <v>0</v>
      </c>
      <c r="B6039" s="81"/>
      <c r="C6039" s="81"/>
      <c r="D6039" s="81"/>
      <c r="E6039" s="81"/>
      <c r="F6039" s="81"/>
      <c r="G6039" s="81"/>
      <c r="H6039" s="82"/>
      <c r="I6039" s="32"/>
    </row>
    <row r="6040" spans="1:9" ht="14.25" customHeight="1">
      <c r="A6040" s="85" t="s">
        <v>1438</v>
      </c>
      <c r="B6040" s="81"/>
      <c r="C6040" s="81"/>
      <c r="D6040" s="81"/>
      <c r="E6040" s="81"/>
      <c r="F6040" s="81"/>
      <c r="G6040" s="81"/>
      <c r="H6040" s="82"/>
      <c r="I6040" s="32"/>
    </row>
    <row r="6041" spans="1:9" ht="14.25" customHeight="1">
      <c r="A6041" s="1" t="s">
        <v>2</v>
      </c>
      <c r="B6041" s="1" t="s">
        <v>3</v>
      </c>
      <c r="C6041" s="1" t="s">
        <v>4</v>
      </c>
      <c r="D6041" s="1" t="s">
        <v>5</v>
      </c>
      <c r="E6041" s="1" t="s">
        <v>6</v>
      </c>
      <c r="F6041" s="2" t="s">
        <v>7</v>
      </c>
      <c r="G6041" s="1" t="s">
        <v>8</v>
      </c>
      <c r="H6041" s="1"/>
      <c r="I6041" s="32"/>
    </row>
    <row r="6042" spans="1:9" ht="14.25" customHeight="1">
      <c r="A6042" s="3">
        <v>1</v>
      </c>
      <c r="B6042" s="55" t="s">
        <v>1439</v>
      </c>
      <c r="C6042" s="56" t="s">
        <v>1440</v>
      </c>
      <c r="D6042" s="57" t="s">
        <v>11</v>
      </c>
      <c r="E6042" s="57">
        <v>1.2</v>
      </c>
      <c r="F6042" s="6">
        <v>293000</v>
      </c>
      <c r="G6042" s="7">
        <f t="shared" ref="G6042:G6043" si="377">IFERROR(E6042*F6042,0)</f>
        <v>351600</v>
      </c>
      <c r="H6042" s="8"/>
      <c r="I6042" s="32"/>
    </row>
    <row r="6043" spans="1:9" ht="14.25" customHeight="1">
      <c r="A6043" s="3">
        <v>2</v>
      </c>
      <c r="B6043" s="55" t="s">
        <v>968</v>
      </c>
      <c r="C6043" s="56" t="s">
        <v>1441</v>
      </c>
      <c r="D6043" s="57" t="s">
        <v>14</v>
      </c>
      <c r="E6043" s="57">
        <v>1.3</v>
      </c>
      <c r="F6043" s="11">
        <v>435000</v>
      </c>
      <c r="G6043" s="7">
        <f t="shared" si="377"/>
        <v>565500</v>
      </c>
      <c r="H6043" s="8"/>
      <c r="I6043" s="32"/>
    </row>
    <row r="6044" spans="1:9" ht="14.25" customHeight="1">
      <c r="A6044" s="3">
        <v>3</v>
      </c>
      <c r="B6044" s="63" t="s">
        <v>38</v>
      </c>
      <c r="C6044" s="65" t="s">
        <v>1442</v>
      </c>
      <c r="D6044" s="65" t="s">
        <v>11</v>
      </c>
      <c r="E6044" s="57">
        <v>1</v>
      </c>
      <c r="F6044" s="6">
        <v>293000</v>
      </c>
      <c r="G6044" s="7">
        <f>IFERROR(E6044*F6044,0)</f>
        <v>293000</v>
      </c>
      <c r="H6044" s="8"/>
      <c r="I6044" s="32"/>
    </row>
    <row r="6045" spans="1:9" ht="14.25" customHeight="1">
      <c r="A6045" s="3">
        <v>4</v>
      </c>
      <c r="B6045" s="8" t="s">
        <v>17</v>
      </c>
      <c r="C6045" s="8"/>
      <c r="D6045" s="8"/>
      <c r="E6045" s="8"/>
      <c r="F6045" s="8"/>
      <c r="G6045" s="13">
        <f>IFERROR(E6045*F6045,0)</f>
        <v>0</v>
      </c>
      <c r="H6045" s="8"/>
      <c r="I6045" s="32"/>
    </row>
    <row r="6046" spans="1:9" ht="14.25" customHeight="1">
      <c r="A6046" s="86" t="s">
        <v>18</v>
      </c>
      <c r="B6046" s="81"/>
      <c r="C6046" s="81"/>
      <c r="D6046" s="81"/>
      <c r="E6046" s="81"/>
      <c r="F6046" s="81"/>
      <c r="G6046" s="82"/>
      <c r="H6046" s="14">
        <f>SUM(G6042:G6045)</f>
        <v>1210100</v>
      </c>
      <c r="I6046" s="32"/>
    </row>
    <row r="6047" spans="1:9" ht="14.25" customHeight="1">
      <c r="A6047" s="86" t="s">
        <v>19</v>
      </c>
      <c r="B6047" s="81"/>
      <c r="C6047" s="81"/>
      <c r="D6047" s="81"/>
      <c r="E6047" s="81"/>
      <c r="F6047" s="81"/>
      <c r="G6047" s="82"/>
      <c r="H6047" s="14">
        <f>MAX(0,H6046-648000)</f>
        <v>562100</v>
      </c>
      <c r="I6047" s="32"/>
    </row>
    <row r="6048" spans="1:9" ht="14.25" customHeight="1">
      <c r="A6048" s="87" t="s">
        <v>20</v>
      </c>
      <c r="B6048" s="81"/>
      <c r="C6048" s="81"/>
      <c r="D6048" s="81"/>
      <c r="E6048" s="81"/>
      <c r="F6048" s="81"/>
      <c r="G6048" s="82"/>
      <c r="H6048" s="15">
        <v>649000</v>
      </c>
      <c r="I6048" s="32"/>
    </row>
    <row r="6049" spans="1:9" ht="14.25" customHeight="1">
      <c r="I6049" s="32"/>
    </row>
    <row r="6050" spans="1:9" ht="14.25" customHeight="1">
      <c r="I6050" s="32"/>
    </row>
    <row r="6051" spans="1:9" ht="14.25" customHeight="1">
      <c r="I6051" s="32"/>
    </row>
    <row r="6052" spans="1:9" ht="14.25" customHeight="1">
      <c r="I6052" s="32"/>
    </row>
    <row r="6053" spans="1:9" ht="14.25" customHeight="1">
      <c r="I6053" s="32"/>
    </row>
    <row r="6054" spans="1:9" ht="14.25" customHeight="1">
      <c r="A6054" s="85" t="s">
        <v>0</v>
      </c>
      <c r="B6054" s="81"/>
      <c r="C6054" s="81"/>
      <c r="D6054" s="81"/>
      <c r="E6054" s="81"/>
      <c r="F6054" s="81"/>
      <c r="G6054" s="81"/>
      <c r="H6054" s="82"/>
      <c r="I6054" s="32"/>
    </row>
    <row r="6055" spans="1:9" ht="14.25" customHeight="1">
      <c r="A6055" s="85" t="s">
        <v>1443</v>
      </c>
      <c r="B6055" s="81"/>
      <c r="C6055" s="81"/>
      <c r="D6055" s="81"/>
      <c r="E6055" s="81"/>
      <c r="F6055" s="81"/>
      <c r="G6055" s="81"/>
      <c r="H6055" s="82"/>
      <c r="I6055" s="32"/>
    </row>
    <row r="6056" spans="1:9" ht="14.25" customHeight="1">
      <c r="A6056" s="1" t="s">
        <v>2</v>
      </c>
      <c r="B6056" s="1" t="s">
        <v>3</v>
      </c>
      <c r="C6056" s="1" t="s">
        <v>4</v>
      </c>
      <c r="D6056" s="1" t="s">
        <v>5</v>
      </c>
      <c r="E6056" s="1" t="s">
        <v>6</v>
      </c>
      <c r="F6056" s="2" t="s">
        <v>7</v>
      </c>
      <c r="G6056" s="1" t="s">
        <v>8</v>
      </c>
      <c r="H6056" s="1"/>
      <c r="I6056" s="32"/>
    </row>
    <row r="6057" spans="1:9" ht="14.25" customHeight="1">
      <c r="A6057" s="3">
        <v>1</v>
      </c>
      <c r="B6057" s="55" t="s">
        <v>1417</v>
      </c>
      <c r="C6057" s="56" t="s">
        <v>1444</v>
      </c>
      <c r="D6057" s="57" t="s">
        <v>11</v>
      </c>
      <c r="E6057" s="57">
        <v>1.3</v>
      </c>
      <c r="F6057" s="6">
        <v>293000</v>
      </c>
      <c r="G6057" s="7">
        <f t="shared" ref="G6057:G6058" si="378">IFERROR(E6057*F6057,0)</f>
        <v>380900</v>
      </c>
      <c r="H6057" s="8"/>
      <c r="I6057" s="32"/>
    </row>
    <row r="6058" spans="1:9" ht="14.25" customHeight="1">
      <c r="A6058" s="3">
        <v>2</v>
      </c>
      <c r="B6058" s="55" t="s">
        <v>1434</v>
      </c>
      <c r="C6058" s="56" t="s">
        <v>1435</v>
      </c>
      <c r="D6058" s="57" t="s">
        <v>233</v>
      </c>
      <c r="E6058" s="57">
        <v>1.2</v>
      </c>
      <c r="F6058" s="11">
        <v>435000</v>
      </c>
      <c r="G6058" s="7">
        <f t="shared" si="378"/>
        <v>522000</v>
      </c>
      <c r="H6058" s="8"/>
      <c r="I6058" s="32"/>
    </row>
    <row r="6059" spans="1:9" ht="14.25" customHeight="1">
      <c r="A6059" s="3">
        <v>3</v>
      </c>
      <c r="B6059" s="63" t="s">
        <v>1445</v>
      </c>
      <c r="C6059" s="65" t="s">
        <v>1446</v>
      </c>
      <c r="D6059" s="65" t="s">
        <v>11</v>
      </c>
      <c r="E6059" s="57">
        <v>1</v>
      </c>
      <c r="F6059" s="6">
        <v>293000</v>
      </c>
      <c r="G6059" s="7">
        <f>IFERROR(E6059*F6059,0)</f>
        <v>293000</v>
      </c>
      <c r="H6059" s="8"/>
      <c r="I6059" s="32"/>
    </row>
    <row r="6060" spans="1:9" ht="14.25" customHeight="1">
      <c r="A6060" s="3">
        <v>4</v>
      </c>
      <c r="B6060" s="8" t="s">
        <v>17</v>
      </c>
      <c r="C6060" s="8"/>
      <c r="D6060" s="8"/>
      <c r="E6060" s="8"/>
      <c r="F6060" s="8"/>
      <c r="G6060" s="13">
        <f>IFERROR(E6060*F6060,0)</f>
        <v>0</v>
      </c>
      <c r="H6060" s="8"/>
      <c r="I6060" s="32"/>
    </row>
    <row r="6061" spans="1:9" ht="14.25" customHeight="1">
      <c r="A6061" s="86" t="s">
        <v>18</v>
      </c>
      <c r="B6061" s="81"/>
      <c r="C6061" s="81"/>
      <c r="D6061" s="81"/>
      <c r="E6061" s="81"/>
      <c r="F6061" s="81"/>
      <c r="G6061" s="82"/>
      <c r="H6061" s="14">
        <f>SUM(G6057:G6060)</f>
        <v>1195900</v>
      </c>
      <c r="I6061" s="32"/>
    </row>
    <row r="6062" spans="1:9" ht="14.25" customHeight="1">
      <c r="A6062" s="86" t="s">
        <v>19</v>
      </c>
      <c r="B6062" s="81"/>
      <c r="C6062" s="81"/>
      <c r="D6062" s="81"/>
      <c r="E6062" s="81"/>
      <c r="F6062" s="81"/>
      <c r="G6062" s="82"/>
      <c r="H6062" s="14">
        <f>MAX(0,H6061-648000)</f>
        <v>547900</v>
      </c>
      <c r="I6062" s="32"/>
    </row>
    <row r="6063" spans="1:9" ht="14.25" customHeight="1">
      <c r="A6063" s="87" t="s">
        <v>20</v>
      </c>
      <c r="B6063" s="81"/>
      <c r="C6063" s="81"/>
      <c r="D6063" s="81"/>
      <c r="E6063" s="81"/>
      <c r="F6063" s="81"/>
      <c r="G6063" s="82"/>
      <c r="H6063" s="15">
        <v>649000</v>
      </c>
      <c r="I6063" s="32"/>
    </row>
    <row r="6064" spans="1:9" ht="14.25" customHeight="1">
      <c r="I6064" s="32"/>
    </row>
    <row r="6065" spans="1:9" ht="14.25" customHeight="1">
      <c r="I6065" s="32"/>
    </row>
    <row r="6066" spans="1:9" ht="14.25" customHeight="1">
      <c r="I6066" s="32"/>
    </row>
    <row r="6067" spans="1:9" ht="14.25" customHeight="1">
      <c r="I6067" s="32"/>
    </row>
    <row r="6068" spans="1:9" ht="14.25" customHeight="1">
      <c r="I6068" s="32"/>
    </row>
    <row r="6069" spans="1:9" ht="14.25" customHeight="1">
      <c r="I6069" s="32"/>
    </row>
    <row r="6070" spans="1:9" ht="14.25" customHeight="1">
      <c r="I6070" s="32"/>
    </row>
    <row r="6071" spans="1:9" ht="14.25" customHeight="1">
      <c r="I6071" s="32"/>
    </row>
    <row r="6072" spans="1:9" ht="14.25" customHeight="1">
      <c r="A6072" s="85" t="s">
        <v>0</v>
      </c>
      <c r="B6072" s="81"/>
      <c r="C6072" s="81"/>
      <c r="D6072" s="81"/>
      <c r="E6072" s="81"/>
      <c r="F6072" s="81"/>
      <c r="G6072" s="81"/>
      <c r="H6072" s="82"/>
      <c r="I6072" s="32"/>
    </row>
    <row r="6073" spans="1:9" ht="14.25" customHeight="1">
      <c r="A6073" s="85" t="s">
        <v>1447</v>
      </c>
      <c r="B6073" s="81"/>
      <c r="C6073" s="81"/>
      <c r="D6073" s="81"/>
      <c r="E6073" s="81"/>
      <c r="F6073" s="81"/>
      <c r="G6073" s="81"/>
      <c r="H6073" s="82"/>
      <c r="I6073" s="32"/>
    </row>
    <row r="6074" spans="1:9" ht="14.25" customHeight="1">
      <c r="A6074" s="1" t="s">
        <v>2</v>
      </c>
      <c r="B6074" s="1" t="s">
        <v>3</v>
      </c>
      <c r="C6074" s="1" t="s">
        <v>4</v>
      </c>
      <c r="D6074" s="1" t="s">
        <v>5</v>
      </c>
      <c r="E6074" s="1" t="s">
        <v>6</v>
      </c>
      <c r="F6074" s="2" t="s">
        <v>7</v>
      </c>
      <c r="G6074" s="1" t="s">
        <v>8</v>
      </c>
      <c r="H6074" s="1"/>
      <c r="I6074" s="32"/>
    </row>
    <row r="6075" spans="1:9" ht="14.25" customHeight="1">
      <c r="A6075" s="3">
        <v>1</v>
      </c>
      <c r="B6075" s="55" t="s">
        <v>203</v>
      </c>
      <c r="C6075" s="56" t="s">
        <v>1448</v>
      </c>
      <c r="D6075" s="57" t="s">
        <v>413</v>
      </c>
      <c r="E6075" s="57">
        <v>1</v>
      </c>
      <c r="F6075" s="6">
        <v>293000</v>
      </c>
      <c r="G6075" s="7">
        <f t="shared" ref="G6075:G6076" si="379">IFERROR(E6075*F6075,0)</f>
        <v>293000</v>
      </c>
      <c r="H6075" s="8"/>
      <c r="I6075" s="32"/>
    </row>
    <row r="6076" spans="1:9" ht="14.25" customHeight="1">
      <c r="A6076" s="3">
        <v>2</v>
      </c>
      <c r="B6076" s="55" t="s">
        <v>1449</v>
      </c>
      <c r="C6076" s="56" t="s">
        <v>1450</v>
      </c>
      <c r="D6076" s="57" t="s">
        <v>233</v>
      </c>
      <c r="E6076" s="57">
        <v>1.5</v>
      </c>
      <c r="F6076" s="11">
        <v>435000</v>
      </c>
      <c r="G6076" s="7">
        <f t="shared" si="379"/>
        <v>652500</v>
      </c>
      <c r="H6076" s="8"/>
      <c r="I6076" s="32"/>
    </row>
    <row r="6077" spans="1:9" ht="14.25" customHeight="1">
      <c r="A6077" s="3">
        <v>3</v>
      </c>
      <c r="B6077" s="63" t="s">
        <v>984</v>
      </c>
      <c r="C6077" s="65" t="s">
        <v>1451</v>
      </c>
      <c r="D6077" s="65" t="s">
        <v>11</v>
      </c>
      <c r="E6077" s="57">
        <v>1.5</v>
      </c>
      <c r="F6077" s="6">
        <v>293000</v>
      </c>
      <c r="G6077" s="7">
        <f>IFERROR(E6077*F6077,0)</f>
        <v>439500</v>
      </c>
      <c r="H6077" s="8"/>
      <c r="I6077" s="32"/>
    </row>
    <row r="6078" spans="1:9" ht="14.25" customHeight="1">
      <c r="A6078" s="3">
        <v>4</v>
      </c>
      <c r="B6078" s="8" t="s">
        <v>17</v>
      </c>
      <c r="C6078" s="8"/>
      <c r="D6078" s="8"/>
      <c r="E6078" s="8"/>
      <c r="F6078" s="8"/>
      <c r="G6078" s="13">
        <f>IFERROR(E6078*F6078,0)</f>
        <v>0</v>
      </c>
      <c r="H6078" s="8"/>
      <c r="I6078" s="32"/>
    </row>
    <row r="6079" spans="1:9" ht="14.25" customHeight="1">
      <c r="A6079" s="86" t="s">
        <v>18</v>
      </c>
      <c r="B6079" s="81"/>
      <c r="C6079" s="81"/>
      <c r="D6079" s="81"/>
      <c r="E6079" s="81"/>
      <c r="F6079" s="81"/>
      <c r="G6079" s="82"/>
      <c r="H6079" s="14">
        <f>SUM(G6075:G6078)</f>
        <v>1385000</v>
      </c>
      <c r="I6079" s="32"/>
    </row>
    <row r="6080" spans="1:9" ht="14.25" customHeight="1">
      <c r="A6080" s="86" t="s">
        <v>19</v>
      </c>
      <c r="B6080" s="81"/>
      <c r="C6080" s="81"/>
      <c r="D6080" s="81"/>
      <c r="E6080" s="81"/>
      <c r="F6080" s="81"/>
      <c r="G6080" s="82"/>
      <c r="H6080" s="14">
        <f>MAX(0,H6079-648000)</f>
        <v>737000</v>
      </c>
      <c r="I6080" s="32"/>
    </row>
    <row r="6081" spans="1:9" ht="14.25" customHeight="1">
      <c r="A6081" s="87" t="s">
        <v>20</v>
      </c>
      <c r="B6081" s="81"/>
      <c r="C6081" s="81"/>
      <c r="D6081" s="81"/>
      <c r="E6081" s="81"/>
      <c r="F6081" s="81"/>
      <c r="G6081" s="82"/>
      <c r="H6081" s="15">
        <v>649000</v>
      </c>
      <c r="I6081" s="32"/>
    </row>
    <row r="6082" spans="1:9" ht="14.25" customHeight="1">
      <c r="I6082" s="32"/>
    </row>
    <row r="6083" spans="1:9" ht="14.25" customHeight="1">
      <c r="I6083" s="32"/>
    </row>
    <row r="6084" spans="1:9" ht="14.25" customHeight="1">
      <c r="I6084" s="32"/>
    </row>
    <row r="6085" spans="1:9" ht="14.25" customHeight="1">
      <c r="I6085" s="32"/>
    </row>
    <row r="6086" spans="1:9" ht="14.25" customHeight="1">
      <c r="I6086" s="32"/>
    </row>
    <row r="6087" spans="1:9" ht="14.25" customHeight="1">
      <c r="I6087" s="32"/>
    </row>
    <row r="6088" spans="1:9" ht="14.25" customHeight="1">
      <c r="I6088" s="32"/>
    </row>
    <row r="6089" spans="1:9" ht="14.25" customHeight="1">
      <c r="A6089" s="85" t="s">
        <v>0</v>
      </c>
      <c r="B6089" s="81"/>
      <c r="C6089" s="81"/>
      <c r="D6089" s="81"/>
      <c r="E6089" s="81"/>
      <c r="F6089" s="81"/>
      <c r="G6089" s="81"/>
      <c r="H6089" s="82"/>
      <c r="I6089" s="32"/>
    </row>
    <row r="6090" spans="1:9" ht="14.25" customHeight="1">
      <c r="A6090" s="85" t="s">
        <v>1452</v>
      </c>
      <c r="B6090" s="81"/>
      <c r="C6090" s="81"/>
      <c r="D6090" s="81"/>
      <c r="E6090" s="81"/>
      <c r="F6090" s="81"/>
      <c r="G6090" s="81"/>
      <c r="H6090" s="82"/>
      <c r="I6090" s="32"/>
    </row>
    <row r="6091" spans="1:9" ht="14.25" customHeight="1">
      <c r="A6091" s="1" t="s">
        <v>2</v>
      </c>
      <c r="B6091" s="1" t="s">
        <v>3</v>
      </c>
      <c r="C6091" s="1" t="s">
        <v>4</v>
      </c>
      <c r="D6091" s="1" t="s">
        <v>5</v>
      </c>
      <c r="E6091" s="1" t="s">
        <v>6</v>
      </c>
      <c r="F6091" s="2" t="s">
        <v>7</v>
      </c>
      <c r="G6091" s="1" t="s">
        <v>8</v>
      </c>
      <c r="H6091" s="1"/>
      <c r="I6091" s="32"/>
    </row>
    <row r="6092" spans="1:9" ht="14.25" customHeight="1">
      <c r="A6092" s="3">
        <v>1</v>
      </c>
      <c r="B6092" s="55" t="s">
        <v>73</v>
      </c>
      <c r="C6092" s="56" t="s">
        <v>1453</v>
      </c>
      <c r="D6092" s="57" t="s">
        <v>11</v>
      </c>
      <c r="E6092" s="57">
        <v>1</v>
      </c>
      <c r="F6092" s="6">
        <v>293000</v>
      </c>
      <c r="G6092" s="7">
        <f t="shared" ref="G6092:G6093" si="380">IFERROR(E6092*F6092,0)</f>
        <v>293000</v>
      </c>
      <c r="H6092" s="8"/>
      <c r="I6092" s="32"/>
    </row>
    <row r="6093" spans="1:9" ht="14.25" customHeight="1">
      <c r="A6093" s="3">
        <v>2</v>
      </c>
      <c r="B6093" s="55" t="s">
        <v>1454</v>
      </c>
      <c r="C6093" s="56" t="s">
        <v>1455</v>
      </c>
      <c r="D6093" s="57" t="s">
        <v>14</v>
      </c>
      <c r="E6093" s="57">
        <v>1</v>
      </c>
      <c r="F6093" s="11">
        <v>435000</v>
      </c>
      <c r="G6093" s="7">
        <f t="shared" si="380"/>
        <v>435000</v>
      </c>
      <c r="H6093" s="8"/>
      <c r="I6093" s="32"/>
    </row>
    <row r="6094" spans="1:9" ht="14.25" customHeight="1">
      <c r="A6094" s="3">
        <v>3</v>
      </c>
      <c r="B6094" s="63" t="s">
        <v>384</v>
      </c>
      <c r="C6094" s="65" t="s">
        <v>1456</v>
      </c>
      <c r="D6094" s="65" t="s">
        <v>11</v>
      </c>
      <c r="E6094" s="57">
        <v>1.42</v>
      </c>
      <c r="F6094" s="6">
        <v>293000</v>
      </c>
      <c r="G6094" s="7">
        <f>IFERROR(E6094*F6094,0)</f>
        <v>416060</v>
      </c>
      <c r="H6094" s="8"/>
      <c r="I6094" s="32"/>
    </row>
    <row r="6095" spans="1:9" ht="14.25" customHeight="1">
      <c r="A6095" s="3">
        <v>4</v>
      </c>
      <c r="B6095" s="8" t="s">
        <v>17</v>
      </c>
      <c r="C6095" s="8"/>
      <c r="D6095" s="8"/>
      <c r="E6095" s="8"/>
      <c r="F6095" s="8"/>
      <c r="G6095" s="13">
        <f>IFERROR(E6095*F6095,0)</f>
        <v>0</v>
      </c>
      <c r="H6095" s="8"/>
      <c r="I6095" s="32"/>
    </row>
    <row r="6096" spans="1:9" ht="14.25" customHeight="1">
      <c r="A6096" s="86" t="s">
        <v>18</v>
      </c>
      <c r="B6096" s="81"/>
      <c r="C6096" s="81"/>
      <c r="D6096" s="81"/>
      <c r="E6096" s="81"/>
      <c r="F6096" s="81"/>
      <c r="G6096" s="82"/>
      <c r="H6096" s="14">
        <f>SUM(G6092:G6095)</f>
        <v>1144060</v>
      </c>
      <c r="I6096" s="32"/>
    </row>
    <row r="6097" spans="1:9" ht="14.25" customHeight="1">
      <c r="A6097" s="86" t="s">
        <v>19</v>
      </c>
      <c r="B6097" s="81"/>
      <c r="C6097" s="81"/>
      <c r="D6097" s="81"/>
      <c r="E6097" s="81"/>
      <c r="F6097" s="81"/>
      <c r="G6097" s="82"/>
      <c r="H6097" s="14">
        <f>MAX(0,H6096-648000)</f>
        <v>496060</v>
      </c>
      <c r="I6097" s="32"/>
    </row>
    <row r="6098" spans="1:9" ht="14.25" customHeight="1">
      <c r="A6098" s="87" t="s">
        <v>20</v>
      </c>
      <c r="B6098" s="81"/>
      <c r="C6098" s="81"/>
      <c r="D6098" s="81"/>
      <c r="E6098" s="81"/>
      <c r="F6098" s="81"/>
      <c r="G6098" s="82"/>
      <c r="H6098" s="15">
        <v>649000</v>
      </c>
      <c r="I6098" s="32"/>
    </row>
    <row r="6099" spans="1:9" ht="14.25" customHeight="1">
      <c r="I6099" s="32"/>
    </row>
    <row r="6100" spans="1:9" ht="14.25" customHeight="1">
      <c r="I6100" s="32"/>
    </row>
    <row r="6101" spans="1:9" ht="14.25" customHeight="1">
      <c r="I6101" s="32"/>
    </row>
    <row r="6102" spans="1:9" ht="14.25" customHeight="1">
      <c r="I6102" s="32"/>
    </row>
    <row r="6103" spans="1:9" ht="14.25" customHeight="1">
      <c r="I6103" s="32"/>
    </row>
    <row r="6104" spans="1:9" ht="14.25" customHeight="1">
      <c r="I6104" s="32"/>
    </row>
    <row r="6105" spans="1:9" ht="14.25" customHeight="1">
      <c r="I6105" s="32"/>
    </row>
    <row r="6106" spans="1:9" ht="14.25" customHeight="1">
      <c r="A6106" s="85" t="s">
        <v>0</v>
      </c>
      <c r="B6106" s="81"/>
      <c r="C6106" s="81"/>
      <c r="D6106" s="81"/>
      <c r="E6106" s="81"/>
      <c r="F6106" s="81"/>
      <c r="G6106" s="81"/>
      <c r="H6106" s="82"/>
      <c r="I6106" s="32"/>
    </row>
    <row r="6107" spans="1:9" ht="14.25" customHeight="1">
      <c r="A6107" s="85" t="s">
        <v>1457</v>
      </c>
      <c r="B6107" s="81"/>
      <c r="C6107" s="81"/>
      <c r="D6107" s="81"/>
      <c r="E6107" s="81"/>
      <c r="F6107" s="81"/>
      <c r="G6107" s="81"/>
      <c r="H6107" s="82"/>
      <c r="I6107" s="32"/>
    </row>
    <row r="6108" spans="1:9" ht="14.25" customHeight="1">
      <c r="A6108" s="1" t="s">
        <v>2</v>
      </c>
      <c r="B6108" s="1" t="s">
        <v>3</v>
      </c>
      <c r="C6108" s="1" t="s">
        <v>4</v>
      </c>
      <c r="D6108" s="1" t="s">
        <v>5</v>
      </c>
      <c r="E6108" s="1" t="s">
        <v>6</v>
      </c>
      <c r="F6108" s="2" t="s">
        <v>7</v>
      </c>
      <c r="G6108" s="1" t="s">
        <v>8</v>
      </c>
      <c r="H6108" s="1"/>
      <c r="I6108" s="32"/>
    </row>
    <row r="6109" spans="1:9" ht="14.25" customHeight="1">
      <c r="A6109" s="3">
        <v>1</v>
      </c>
      <c r="B6109" s="55" t="s">
        <v>43</v>
      </c>
      <c r="C6109" s="56" t="s">
        <v>1458</v>
      </c>
      <c r="D6109" s="57" t="s">
        <v>11</v>
      </c>
      <c r="E6109" s="57">
        <v>1</v>
      </c>
      <c r="F6109" s="6">
        <v>293000</v>
      </c>
      <c r="G6109" s="7">
        <f t="shared" ref="G6109:G6110" si="381">IFERROR(E6109*F6109,0)</f>
        <v>293000</v>
      </c>
      <c r="H6109" s="8"/>
      <c r="I6109" s="32"/>
    </row>
    <row r="6110" spans="1:9" ht="14.25" customHeight="1">
      <c r="A6110" s="3">
        <v>2</v>
      </c>
      <c r="B6110" s="55" t="s">
        <v>45</v>
      </c>
      <c r="C6110" s="56" t="s">
        <v>1459</v>
      </c>
      <c r="D6110" s="57" t="s">
        <v>233</v>
      </c>
      <c r="E6110" s="57">
        <v>1.2</v>
      </c>
      <c r="F6110" s="11">
        <v>435000</v>
      </c>
      <c r="G6110" s="7">
        <f t="shared" si="381"/>
        <v>522000</v>
      </c>
      <c r="H6110" s="8"/>
      <c r="I6110" s="32"/>
    </row>
    <row r="6111" spans="1:9" ht="14.25" customHeight="1">
      <c r="A6111" s="3">
        <v>3</v>
      </c>
      <c r="B6111" s="63" t="s">
        <v>1317</v>
      </c>
      <c r="C6111" s="65" t="s">
        <v>1460</v>
      </c>
      <c r="D6111" s="65" t="s">
        <v>11</v>
      </c>
      <c r="E6111" s="57">
        <v>1.2</v>
      </c>
      <c r="F6111" s="6">
        <v>293000</v>
      </c>
      <c r="G6111" s="7">
        <f>IFERROR(E6111*F6111,0)</f>
        <v>351600</v>
      </c>
      <c r="H6111" s="8"/>
      <c r="I6111" s="32"/>
    </row>
    <row r="6112" spans="1:9" ht="14.25" customHeight="1">
      <c r="A6112" s="3">
        <v>4</v>
      </c>
      <c r="B6112" s="8" t="s">
        <v>17</v>
      </c>
      <c r="C6112" s="8"/>
      <c r="D6112" s="8"/>
      <c r="E6112" s="8"/>
      <c r="F6112" s="8"/>
      <c r="G6112" s="13">
        <f>IFERROR(E6112*F6112,0)</f>
        <v>0</v>
      </c>
      <c r="H6112" s="8"/>
      <c r="I6112" s="32"/>
    </row>
    <row r="6113" spans="1:9" ht="14.25" customHeight="1">
      <c r="A6113" s="86" t="s">
        <v>18</v>
      </c>
      <c r="B6113" s="81"/>
      <c r="C6113" s="81"/>
      <c r="D6113" s="81"/>
      <c r="E6113" s="81"/>
      <c r="F6113" s="81"/>
      <c r="G6113" s="82"/>
      <c r="H6113" s="14">
        <f>SUM(G6109:G6112)</f>
        <v>1166600</v>
      </c>
      <c r="I6113" s="32"/>
    </row>
    <row r="6114" spans="1:9" ht="14.25" customHeight="1">
      <c r="A6114" s="86" t="s">
        <v>19</v>
      </c>
      <c r="B6114" s="81"/>
      <c r="C6114" s="81"/>
      <c r="D6114" s="81"/>
      <c r="E6114" s="81"/>
      <c r="F6114" s="81"/>
      <c r="G6114" s="82"/>
      <c r="H6114" s="14">
        <f>MAX(0,H6113-648000)</f>
        <v>518600</v>
      </c>
      <c r="I6114" s="32"/>
    </row>
    <row r="6115" spans="1:9" ht="14.25" customHeight="1">
      <c r="A6115" s="87" t="s">
        <v>20</v>
      </c>
      <c r="B6115" s="81"/>
      <c r="C6115" s="81"/>
      <c r="D6115" s="81"/>
      <c r="E6115" s="81"/>
      <c r="F6115" s="81"/>
      <c r="G6115" s="82"/>
      <c r="H6115" s="15">
        <v>649000</v>
      </c>
      <c r="I6115" s="32"/>
    </row>
    <row r="6116" spans="1:9" ht="14.25" customHeight="1">
      <c r="I6116" s="32"/>
    </row>
    <row r="6117" spans="1:9" ht="14.25" customHeight="1">
      <c r="I6117" s="32"/>
    </row>
    <row r="6118" spans="1:9" ht="14.25" customHeight="1">
      <c r="I6118" s="32"/>
    </row>
    <row r="6119" spans="1:9" ht="14.25" customHeight="1">
      <c r="I6119" s="32"/>
    </row>
    <row r="6120" spans="1:9" ht="14.25" customHeight="1">
      <c r="I6120" s="32"/>
    </row>
    <row r="6121" spans="1:9" ht="14.25" customHeight="1">
      <c r="I6121" s="32"/>
    </row>
    <row r="6122" spans="1:9" ht="14.25" customHeight="1">
      <c r="I6122" s="32"/>
    </row>
    <row r="6123" spans="1:9" ht="14.25" customHeight="1">
      <c r="I6123" s="32"/>
    </row>
    <row r="6124" spans="1:9" ht="14.25" customHeight="1">
      <c r="A6124" s="85" t="s">
        <v>0</v>
      </c>
      <c r="B6124" s="81"/>
      <c r="C6124" s="81"/>
      <c r="D6124" s="81"/>
      <c r="E6124" s="81"/>
      <c r="F6124" s="81"/>
      <c r="G6124" s="81"/>
      <c r="H6124" s="82"/>
      <c r="I6124" s="32"/>
    </row>
    <row r="6125" spans="1:9" ht="14.25" customHeight="1">
      <c r="A6125" s="85" t="s">
        <v>1461</v>
      </c>
      <c r="B6125" s="81"/>
      <c r="C6125" s="81"/>
      <c r="D6125" s="81"/>
      <c r="E6125" s="81"/>
      <c r="F6125" s="81"/>
      <c r="G6125" s="81"/>
      <c r="H6125" s="82"/>
      <c r="I6125" s="32"/>
    </row>
    <row r="6126" spans="1:9" ht="14.25" customHeight="1">
      <c r="A6126" s="1" t="s">
        <v>2</v>
      </c>
      <c r="B6126" s="1" t="s">
        <v>3</v>
      </c>
      <c r="C6126" s="1" t="s">
        <v>4</v>
      </c>
      <c r="D6126" s="1" t="s">
        <v>5</v>
      </c>
      <c r="E6126" s="1" t="s">
        <v>6</v>
      </c>
      <c r="F6126" s="2" t="s">
        <v>7</v>
      </c>
      <c r="G6126" s="1" t="s">
        <v>8</v>
      </c>
      <c r="H6126" s="1"/>
      <c r="I6126" s="32"/>
    </row>
    <row r="6127" spans="1:9" ht="14.25" customHeight="1">
      <c r="A6127" s="3">
        <v>1</v>
      </c>
      <c r="B6127" s="55" t="s">
        <v>154</v>
      </c>
      <c r="C6127" s="56" t="s">
        <v>1462</v>
      </c>
      <c r="D6127" s="57" t="s">
        <v>11</v>
      </c>
      <c r="E6127" s="57">
        <v>1.57</v>
      </c>
      <c r="F6127" s="6">
        <v>293000</v>
      </c>
      <c r="G6127" s="7">
        <f t="shared" ref="G6127:G6128" si="382">IFERROR(E6127*F6127,0)</f>
        <v>460010</v>
      </c>
      <c r="H6127" s="8"/>
      <c r="I6127" s="32"/>
    </row>
    <row r="6128" spans="1:9" ht="14.25" customHeight="1">
      <c r="A6128" s="3">
        <v>2</v>
      </c>
      <c r="B6128" s="55" t="s">
        <v>1380</v>
      </c>
      <c r="C6128" s="56" t="s">
        <v>1463</v>
      </c>
      <c r="D6128" s="57" t="s">
        <v>14</v>
      </c>
      <c r="E6128" s="57">
        <v>0.9</v>
      </c>
      <c r="F6128" s="11">
        <v>435000</v>
      </c>
      <c r="G6128" s="7">
        <f t="shared" si="382"/>
        <v>391500</v>
      </c>
      <c r="H6128" s="8"/>
      <c r="I6128" s="32"/>
    </row>
    <row r="6129" spans="1:9" ht="14.25" customHeight="1">
      <c r="A6129" s="3">
        <v>3</v>
      </c>
      <c r="B6129" s="55" t="s">
        <v>43</v>
      </c>
      <c r="C6129" s="65" t="s">
        <v>1464</v>
      </c>
      <c r="D6129" s="57" t="s">
        <v>14</v>
      </c>
      <c r="E6129" s="57">
        <v>0.96</v>
      </c>
      <c r="F6129" s="11">
        <v>435000</v>
      </c>
      <c r="G6129" s="7">
        <f>IFERROR(E6129*F6129,0)</f>
        <v>417600</v>
      </c>
      <c r="H6129" s="8"/>
      <c r="I6129" s="32"/>
    </row>
    <row r="6130" spans="1:9" ht="14.25" customHeight="1">
      <c r="A6130" s="3">
        <v>4</v>
      </c>
      <c r="B6130" s="8" t="s">
        <v>17</v>
      </c>
      <c r="C6130" s="8"/>
      <c r="D6130" s="8"/>
      <c r="E6130" s="8"/>
      <c r="F6130" s="8"/>
      <c r="G6130" s="13">
        <f>IFERROR(E6130*F6130,0)</f>
        <v>0</v>
      </c>
      <c r="H6130" s="8"/>
      <c r="I6130" s="32"/>
    </row>
    <row r="6131" spans="1:9" ht="14.25" customHeight="1">
      <c r="A6131" s="86" t="s">
        <v>18</v>
      </c>
      <c r="B6131" s="81"/>
      <c r="C6131" s="81"/>
      <c r="D6131" s="81"/>
      <c r="E6131" s="81"/>
      <c r="F6131" s="81"/>
      <c r="G6131" s="82"/>
      <c r="H6131" s="14">
        <f>SUM(G6127:G6130)</f>
        <v>1269110</v>
      </c>
      <c r="I6131" s="32"/>
    </row>
    <row r="6132" spans="1:9" ht="14.25" customHeight="1">
      <c r="A6132" s="86" t="s">
        <v>19</v>
      </c>
      <c r="B6132" s="81"/>
      <c r="C6132" s="81"/>
      <c r="D6132" s="81"/>
      <c r="E6132" s="81"/>
      <c r="F6132" s="81"/>
      <c r="G6132" s="82"/>
      <c r="H6132" s="14">
        <f>MAX(0,H6131-648000)</f>
        <v>621110</v>
      </c>
      <c r="I6132" s="32"/>
    </row>
    <row r="6133" spans="1:9" ht="14.25" customHeight="1">
      <c r="A6133" s="87" t="s">
        <v>20</v>
      </c>
      <c r="B6133" s="81"/>
      <c r="C6133" s="81"/>
      <c r="D6133" s="81"/>
      <c r="E6133" s="81"/>
      <c r="F6133" s="81"/>
      <c r="G6133" s="82"/>
      <c r="H6133" s="15">
        <v>649000</v>
      </c>
      <c r="I6133" s="32"/>
    </row>
    <row r="6134" spans="1:9" ht="14.25" customHeight="1">
      <c r="I6134" s="32"/>
    </row>
    <row r="6135" spans="1:9" ht="14.25" customHeight="1">
      <c r="I6135" s="32"/>
    </row>
    <row r="6136" spans="1:9" ht="14.25" customHeight="1">
      <c r="I6136" s="32"/>
    </row>
    <row r="6137" spans="1:9" ht="14.25" customHeight="1">
      <c r="I6137" s="32"/>
    </row>
    <row r="6138" spans="1:9" ht="14.25" customHeight="1">
      <c r="I6138" s="32"/>
    </row>
    <row r="6139" spans="1:9" ht="14.25" customHeight="1">
      <c r="I6139" s="32"/>
    </row>
    <row r="6140" spans="1:9" ht="14.25" customHeight="1">
      <c r="I6140" s="32"/>
    </row>
    <row r="6141" spans="1:9" ht="14.25" customHeight="1">
      <c r="A6141" s="85" t="s">
        <v>0</v>
      </c>
      <c r="B6141" s="81"/>
      <c r="C6141" s="81"/>
      <c r="D6141" s="81"/>
      <c r="E6141" s="81"/>
      <c r="F6141" s="81"/>
      <c r="G6141" s="81"/>
      <c r="H6141" s="82"/>
      <c r="I6141" s="32"/>
    </row>
    <row r="6142" spans="1:9" ht="14.25" customHeight="1">
      <c r="A6142" s="85" t="s">
        <v>1465</v>
      </c>
      <c r="B6142" s="81"/>
      <c r="C6142" s="81"/>
      <c r="D6142" s="81"/>
      <c r="E6142" s="81"/>
      <c r="F6142" s="81"/>
      <c r="G6142" s="81"/>
      <c r="H6142" s="82"/>
      <c r="I6142" s="32"/>
    </row>
    <row r="6143" spans="1:9" ht="14.25" customHeight="1">
      <c r="A6143" s="1" t="s">
        <v>2</v>
      </c>
      <c r="B6143" s="1" t="s">
        <v>3</v>
      </c>
      <c r="C6143" s="1" t="s">
        <v>4</v>
      </c>
      <c r="D6143" s="1" t="s">
        <v>5</v>
      </c>
      <c r="E6143" s="1" t="s">
        <v>6</v>
      </c>
      <c r="F6143" s="2" t="s">
        <v>7</v>
      </c>
      <c r="G6143" s="1" t="s">
        <v>8</v>
      </c>
      <c r="H6143" s="1"/>
      <c r="I6143" s="32"/>
    </row>
    <row r="6144" spans="1:9" ht="14.25" customHeight="1">
      <c r="A6144" s="3">
        <v>1</v>
      </c>
      <c r="B6144" s="55" t="s">
        <v>43</v>
      </c>
      <c r="C6144" s="56" t="s">
        <v>1466</v>
      </c>
      <c r="D6144" s="57" t="s">
        <v>11</v>
      </c>
      <c r="E6144" s="57">
        <v>0.95</v>
      </c>
      <c r="F6144" s="6">
        <v>293000</v>
      </c>
      <c r="G6144" s="7">
        <f t="shared" ref="G6144:G6145" si="383">IFERROR(E6144*F6144,0)</f>
        <v>278350</v>
      </c>
      <c r="H6144" s="8"/>
      <c r="I6144" s="32"/>
    </row>
    <row r="6145" spans="1:9" ht="14.25" customHeight="1">
      <c r="A6145" s="3">
        <v>2</v>
      </c>
      <c r="B6145" s="55" t="s">
        <v>54</v>
      </c>
      <c r="C6145" s="56" t="s">
        <v>1467</v>
      </c>
      <c r="D6145" s="57" t="s">
        <v>233</v>
      </c>
      <c r="E6145" s="57">
        <v>1.3</v>
      </c>
      <c r="F6145" s="11">
        <v>435000</v>
      </c>
      <c r="G6145" s="7">
        <f t="shared" si="383"/>
        <v>565500</v>
      </c>
      <c r="H6145" s="8"/>
      <c r="I6145" s="32"/>
    </row>
    <row r="6146" spans="1:9" ht="14.25" customHeight="1">
      <c r="A6146" s="3">
        <v>3</v>
      </c>
      <c r="B6146" s="63" t="s">
        <v>33</v>
      </c>
      <c r="C6146" s="65" t="s">
        <v>1468</v>
      </c>
      <c r="D6146" s="65" t="s">
        <v>11</v>
      </c>
      <c r="E6146" s="57">
        <v>1.25</v>
      </c>
      <c r="F6146" s="6">
        <v>293000</v>
      </c>
      <c r="G6146" s="7">
        <f>IFERROR(E6146*F6146,0)</f>
        <v>366250</v>
      </c>
      <c r="H6146" s="8"/>
      <c r="I6146" s="32"/>
    </row>
    <row r="6147" spans="1:9" ht="14.25" customHeight="1">
      <c r="A6147" s="3">
        <v>4</v>
      </c>
      <c r="B6147" s="8" t="s">
        <v>17</v>
      </c>
      <c r="C6147" s="8"/>
      <c r="D6147" s="8"/>
      <c r="E6147" s="8"/>
      <c r="F6147" s="8"/>
      <c r="G6147" s="13">
        <f>IFERROR(E6147*F6147,0)</f>
        <v>0</v>
      </c>
      <c r="H6147" s="8"/>
      <c r="I6147" s="32"/>
    </row>
    <row r="6148" spans="1:9" ht="14.25" customHeight="1">
      <c r="A6148" s="86" t="s">
        <v>18</v>
      </c>
      <c r="B6148" s="81"/>
      <c r="C6148" s="81"/>
      <c r="D6148" s="81"/>
      <c r="E6148" s="81"/>
      <c r="F6148" s="81"/>
      <c r="G6148" s="82"/>
      <c r="H6148" s="14">
        <f>SUM(G6144:G6147)</f>
        <v>1210100</v>
      </c>
      <c r="I6148" s="32"/>
    </row>
    <row r="6149" spans="1:9" ht="14.25" customHeight="1">
      <c r="A6149" s="86" t="s">
        <v>19</v>
      </c>
      <c r="B6149" s="81"/>
      <c r="C6149" s="81"/>
      <c r="D6149" s="81"/>
      <c r="E6149" s="81"/>
      <c r="F6149" s="81"/>
      <c r="G6149" s="82"/>
      <c r="H6149" s="14">
        <f>MAX(0,H6148-648000)</f>
        <v>562100</v>
      </c>
      <c r="I6149" s="32"/>
    </row>
    <row r="6150" spans="1:9" ht="14.25" customHeight="1">
      <c r="A6150" s="87" t="s">
        <v>20</v>
      </c>
      <c r="B6150" s="81"/>
      <c r="C6150" s="81"/>
      <c r="D6150" s="81"/>
      <c r="E6150" s="81"/>
      <c r="F6150" s="81"/>
      <c r="G6150" s="82"/>
      <c r="H6150" s="15">
        <v>649000</v>
      </c>
      <c r="I6150" s="32"/>
    </row>
    <row r="6151" spans="1:9" ht="14.25" customHeight="1">
      <c r="I6151" s="32"/>
    </row>
    <row r="6152" spans="1:9" ht="14.25" customHeight="1">
      <c r="I6152" s="32"/>
    </row>
    <row r="6153" spans="1:9" ht="14.25" customHeight="1">
      <c r="I6153" s="32"/>
    </row>
    <row r="6154" spans="1:9" ht="14.25" customHeight="1">
      <c r="I6154" s="32"/>
    </row>
    <row r="6155" spans="1:9" ht="14.25" customHeight="1">
      <c r="I6155" s="32"/>
    </row>
    <row r="6156" spans="1:9" ht="14.25" customHeight="1">
      <c r="I6156" s="32"/>
    </row>
    <row r="6157" spans="1:9" ht="14.25" customHeight="1">
      <c r="I6157" s="32"/>
    </row>
    <row r="6158" spans="1:9" ht="14.25" customHeight="1">
      <c r="A6158" s="85" t="s">
        <v>0</v>
      </c>
      <c r="B6158" s="81"/>
      <c r="C6158" s="81"/>
      <c r="D6158" s="81"/>
      <c r="E6158" s="81"/>
      <c r="F6158" s="81"/>
      <c r="G6158" s="81"/>
      <c r="H6158" s="82"/>
      <c r="I6158" s="32"/>
    </row>
    <row r="6159" spans="1:9" ht="14.25" customHeight="1">
      <c r="A6159" s="85" t="s">
        <v>1469</v>
      </c>
      <c r="B6159" s="81"/>
      <c r="C6159" s="81"/>
      <c r="D6159" s="81"/>
      <c r="E6159" s="81"/>
      <c r="F6159" s="81"/>
      <c r="G6159" s="81"/>
      <c r="H6159" s="82"/>
      <c r="I6159" s="32"/>
    </row>
    <row r="6160" spans="1:9" ht="14.25" customHeight="1">
      <c r="A6160" s="1" t="s">
        <v>2</v>
      </c>
      <c r="B6160" s="1" t="s">
        <v>3</v>
      </c>
      <c r="C6160" s="1" t="s">
        <v>4</v>
      </c>
      <c r="D6160" s="1" t="s">
        <v>5</v>
      </c>
      <c r="E6160" s="1" t="s">
        <v>6</v>
      </c>
      <c r="F6160" s="2" t="s">
        <v>7</v>
      </c>
      <c r="G6160" s="1" t="s">
        <v>8</v>
      </c>
      <c r="H6160" s="1"/>
      <c r="I6160" s="32"/>
    </row>
    <row r="6161" spans="1:9" ht="14.25" customHeight="1">
      <c r="A6161" s="3">
        <v>1</v>
      </c>
      <c r="B6161" s="55" t="s">
        <v>1470</v>
      </c>
      <c r="C6161" s="56" t="s">
        <v>1471</v>
      </c>
      <c r="D6161" s="57" t="s">
        <v>11</v>
      </c>
      <c r="E6161" s="57">
        <v>1</v>
      </c>
      <c r="F6161" s="6">
        <v>293000</v>
      </c>
      <c r="G6161" s="7">
        <f t="shared" ref="G6161:G6162" si="384">IFERROR(E6161*F6161,0)</f>
        <v>293000</v>
      </c>
      <c r="H6161" s="8"/>
      <c r="I6161" s="32"/>
    </row>
    <row r="6162" spans="1:9" ht="14.25" customHeight="1">
      <c r="A6162" s="3">
        <v>2</v>
      </c>
      <c r="B6162" s="55" t="s">
        <v>116</v>
      </c>
      <c r="C6162" s="56" t="s">
        <v>1472</v>
      </c>
      <c r="D6162" s="57" t="s">
        <v>14</v>
      </c>
      <c r="E6162" s="57">
        <v>1.5</v>
      </c>
      <c r="F6162" s="11">
        <v>435000</v>
      </c>
      <c r="G6162" s="7">
        <f t="shared" si="384"/>
        <v>652500</v>
      </c>
      <c r="H6162" s="8"/>
      <c r="I6162" s="32"/>
    </row>
    <row r="6163" spans="1:9" ht="14.25" customHeight="1">
      <c r="A6163" s="3">
        <v>3</v>
      </c>
      <c r="B6163" s="63" t="s">
        <v>136</v>
      </c>
      <c r="C6163" s="65" t="s">
        <v>1473</v>
      </c>
      <c r="D6163" s="65" t="s">
        <v>11</v>
      </c>
      <c r="E6163" s="57">
        <v>1.1000000000000001</v>
      </c>
      <c r="F6163" s="6">
        <v>293000</v>
      </c>
      <c r="G6163" s="7">
        <f>IFERROR(E6163*F6163,0)</f>
        <v>322300</v>
      </c>
      <c r="H6163" s="8"/>
      <c r="I6163" s="32"/>
    </row>
    <row r="6164" spans="1:9" ht="14.25" customHeight="1">
      <c r="A6164" s="3">
        <v>4</v>
      </c>
      <c r="B6164" s="8" t="s">
        <v>17</v>
      </c>
      <c r="C6164" s="8"/>
      <c r="D6164" s="8"/>
      <c r="E6164" s="8"/>
      <c r="F6164" s="8"/>
      <c r="G6164" s="13">
        <f>IFERROR(E6164*F6164,0)</f>
        <v>0</v>
      </c>
      <c r="H6164" s="8"/>
      <c r="I6164" s="32"/>
    </row>
    <row r="6165" spans="1:9" ht="14.25" customHeight="1">
      <c r="A6165" s="86" t="s">
        <v>18</v>
      </c>
      <c r="B6165" s="81"/>
      <c r="C6165" s="81"/>
      <c r="D6165" s="81"/>
      <c r="E6165" s="81"/>
      <c r="F6165" s="81"/>
      <c r="G6165" s="82"/>
      <c r="H6165" s="14">
        <f>SUM(G6161:G6164)</f>
        <v>1267800</v>
      </c>
      <c r="I6165" s="32"/>
    </row>
    <row r="6166" spans="1:9" ht="14.25" customHeight="1">
      <c r="A6166" s="86" t="s">
        <v>19</v>
      </c>
      <c r="B6166" s="81"/>
      <c r="C6166" s="81"/>
      <c r="D6166" s="81"/>
      <c r="E6166" s="81"/>
      <c r="F6166" s="81"/>
      <c r="G6166" s="82"/>
      <c r="H6166" s="14">
        <f>MAX(0,H6165-648000)</f>
        <v>619800</v>
      </c>
      <c r="I6166" s="32"/>
    </row>
    <row r="6167" spans="1:9" ht="14.25" customHeight="1">
      <c r="A6167" s="87" t="s">
        <v>20</v>
      </c>
      <c r="B6167" s="81"/>
      <c r="C6167" s="81"/>
      <c r="D6167" s="81"/>
      <c r="E6167" s="81"/>
      <c r="F6167" s="81"/>
      <c r="G6167" s="82"/>
      <c r="H6167" s="15">
        <v>649000</v>
      </c>
      <c r="I6167" s="32"/>
    </row>
    <row r="6168" spans="1:9" ht="14.25" customHeight="1">
      <c r="I6168" s="32"/>
    </row>
    <row r="6169" spans="1:9" ht="14.25" customHeight="1">
      <c r="I6169" s="32"/>
    </row>
    <row r="6170" spans="1:9" ht="14.25" customHeight="1">
      <c r="I6170" s="32"/>
    </row>
    <row r="6171" spans="1:9" ht="14.25" customHeight="1">
      <c r="I6171" s="32"/>
    </row>
    <row r="6172" spans="1:9" ht="14.25" customHeight="1">
      <c r="I6172" s="32"/>
    </row>
    <row r="6173" spans="1:9" ht="14.25" customHeight="1">
      <c r="I6173" s="32"/>
    </row>
    <row r="6174" spans="1:9" ht="14.25" customHeight="1">
      <c r="I6174" s="32"/>
    </row>
    <row r="6175" spans="1:9" ht="14.25" customHeight="1">
      <c r="I6175" s="32"/>
    </row>
    <row r="6176" spans="1:9" ht="14.25" customHeight="1">
      <c r="I6176" s="32"/>
    </row>
    <row r="6177" spans="1:9" ht="14.25" customHeight="1">
      <c r="I6177" s="32"/>
    </row>
    <row r="6178" spans="1:9" ht="14.25" customHeight="1">
      <c r="I6178" s="32"/>
    </row>
    <row r="6179" spans="1:9" ht="14.25" customHeight="1">
      <c r="I6179" s="32"/>
    </row>
    <row r="6180" spans="1:9" ht="14.25" customHeight="1">
      <c r="A6180" s="85" t="s">
        <v>0</v>
      </c>
      <c r="B6180" s="81"/>
      <c r="C6180" s="81"/>
      <c r="D6180" s="81"/>
      <c r="E6180" s="81"/>
      <c r="F6180" s="81"/>
      <c r="G6180" s="81"/>
      <c r="H6180" s="82"/>
      <c r="I6180" s="32"/>
    </row>
    <row r="6181" spans="1:9" ht="14.25" customHeight="1">
      <c r="A6181" s="85" t="s">
        <v>1474</v>
      </c>
      <c r="B6181" s="81"/>
      <c r="C6181" s="81"/>
      <c r="D6181" s="81"/>
      <c r="E6181" s="81"/>
      <c r="F6181" s="81"/>
      <c r="G6181" s="81"/>
      <c r="H6181" s="82"/>
      <c r="I6181" s="32"/>
    </row>
    <row r="6182" spans="1:9" ht="14.25" customHeight="1">
      <c r="A6182" s="1" t="s">
        <v>2</v>
      </c>
      <c r="B6182" s="1" t="s">
        <v>3</v>
      </c>
      <c r="C6182" s="1" t="s">
        <v>4</v>
      </c>
      <c r="D6182" s="1" t="s">
        <v>5</v>
      </c>
      <c r="E6182" s="1" t="s">
        <v>6</v>
      </c>
      <c r="F6182" s="2" t="s">
        <v>7</v>
      </c>
      <c r="G6182" s="1" t="s">
        <v>8</v>
      </c>
      <c r="H6182" s="1"/>
      <c r="I6182" s="32"/>
    </row>
    <row r="6183" spans="1:9" ht="14.25" customHeight="1">
      <c r="A6183" s="3">
        <v>1</v>
      </c>
      <c r="B6183" s="55" t="s">
        <v>279</v>
      </c>
      <c r="C6183" s="56">
        <v>7379</v>
      </c>
      <c r="D6183" s="57" t="s">
        <v>413</v>
      </c>
      <c r="E6183" s="57">
        <v>0.9</v>
      </c>
      <c r="F6183" s="6">
        <v>293000</v>
      </c>
      <c r="G6183" s="7">
        <f t="shared" ref="G6183:G6184" si="385">IFERROR(E6183*F6183,0)</f>
        <v>263700</v>
      </c>
      <c r="H6183" s="8"/>
      <c r="I6183" s="32"/>
    </row>
    <row r="6184" spans="1:9" ht="14.25" customHeight="1">
      <c r="A6184" s="3">
        <v>2</v>
      </c>
      <c r="B6184" s="55" t="s">
        <v>1802</v>
      </c>
      <c r="C6184" s="56" t="s">
        <v>1475</v>
      </c>
      <c r="D6184" s="57" t="s">
        <v>14</v>
      </c>
      <c r="E6184" s="57">
        <v>1.48</v>
      </c>
      <c r="F6184" s="11">
        <v>435000</v>
      </c>
      <c r="G6184" s="7">
        <f t="shared" si="385"/>
        <v>643800</v>
      </c>
      <c r="H6184" s="8"/>
      <c r="I6184" s="32"/>
    </row>
    <row r="6185" spans="1:9" ht="14.25" customHeight="1">
      <c r="A6185" s="3">
        <v>3</v>
      </c>
      <c r="B6185" s="63" t="s">
        <v>130</v>
      </c>
      <c r="C6185" s="65" t="s">
        <v>1476</v>
      </c>
      <c r="D6185" s="65" t="s">
        <v>11</v>
      </c>
      <c r="E6185" s="57">
        <v>1</v>
      </c>
      <c r="F6185" s="6">
        <v>293000</v>
      </c>
      <c r="G6185" s="7">
        <f>IFERROR(E6185*F6185,0)</f>
        <v>293000</v>
      </c>
      <c r="H6185" s="8"/>
      <c r="I6185" s="32"/>
    </row>
    <row r="6186" spans="1:9" ht="14.25" customHeight="1">
      <c r="A6186" s="3">
        <v>4</v>
      </c>
      <c r="B6186" s="8" t="s">
        <v>17</v>
      </c>
      <c r="C6186" s="8"/>
      <c r="D6186" s="8"/>
      <c r="E6186" s="8"/>
      <c r="F6186" s="8"/>
      <c r="G6186" s="13">
        <f>IFERROR(E6186*F6186,0)</f>
        <v>0</v>
      </c>
      <c r="H6186" s="8"/>
      <c r="I6186" s="32"/>
    </row>
    <row r="6187" spans="1:9" ht="14.25" customHeight="1">
      <c r="A6187" s="86" t="s">
        <v>18</v>
      </c>
      <c r="B6187" s="81"/>
      <c r="C6187" s="81"/>
      <c r="D6187" s="81"/>
      <c r="E6187" s="81"/>
      <c r="F6187" s="81"/>
      <c r="G6187" s="82"/>
      <c r="H6187" s="14">
        <f>SUM(G6183:G6186)</f>
        <v>1200500</v>
      </c>
      <c r="I6187" s="32"/>
    </row>
    <row r="6188" spans="1:9" ht="14.25" customHeight="1">
      <c r="A6188" s="86" t="s">
        <v>19</v>
      </c>
      <c r="B6188" s="81"/>
      <c r="C6188" s="81"/>
      <c r="D6188" s="81"/>
      <c r="E6188" s="81"/>
      <c r="F6188" s="81"/>
      <c r="G6188" s="82"/>
      <c r="H6188" s="14">
        <f>MAX(0,H6187-648000)</f>
        <v>552500</v>
      </c>
      <c r="I6188" s="32"/>
    </row>
    <row r="6189" spans="1:9" ht="14.25" customHeight="1">
      <c r="A6189" s="87" t="s">
        <v>20</v>
      </c>
      <c r="B6189" s="81"/>
      <c r="C6189" s="81"/>
      <c r="D6189" s="81"/>
      <c r="E6189" s="81"/>
      <c r="F6189" s="81"/>
      <c r="G6189" s="82"/>
      <c r="H6189" s="15">
        <v>649000</v>
      </c>
      <c r="I6189" s="32"/>
    </row>
    <row r="6190" spans="1:9" ht="14.25" customHeight="1">
      <c r="I6190" s="32"/>
    </row>
    <row r="6191" spans="1:9" ht="14.25" customHeight="1">
      <c r="I6191" s="32"/>
    </row>
    <row r="6192" spans="1:9" ht="14.25" customHeight="1">
      <c r="I6192" s="32"/>
    </row>
    <row r="6193" spans="1:9" ht="14.25" customHeight="1">
      <c r="I6193" s="32"/>
    </row>
    <row r="6194" spans="1:9" ht="14.25" customHeight="1">
      <c r="I6194" s="32"/>
    </row>
    <row r="6195" spans="1:9" ht="14.25" customHeight="1">
      <c r="I6195" s="32"/>
    </row>
    <row r="6196" spans="1:9" ht="14.25" customHeight="1">
      <c r="I6196" s="32"/>
    </row>
    <row r="6197" spans="1:9" ht="14.25" customHeight="1">
      <c r="I6197" s="32"/>
    </row>
    <row r="6198" spans="1:9" ht="14.25" customHeight="1">
      <c r="A6198" s="85" t="s">
        <v>0</v>
      </c>
      <c r="B6198" s="81"/>
      <c r="C6198" s="81"/>
      <c r="D6198" s="81"/>
      <c r="E6198" s="81"/>
      <c r="F6198" s="81"/>
      <c r="G6198" s="81"/>
      <c r="H6198" s="82"/>
      <c r="I6198" s="32"/>
    </row>
    <row r="6199" spans="1:9" ht="14.25" customHeight="1">
      <c r="A6199" s="85" t="s">
        <v>1477</v>
      </c>
      <c r="B6199" s="81"/>
      <c r="C6199" s="81"/>
      <c r="D6199" s="81"/>
      <c r="E6199" s="81"/>
      <c r="F6199" s="81"/>
      <c r="G6199" s="81"/>
      <c r="H6199" s="82"/>
      <c r="I6199" s="32"/>
    </row>
    <row r="6200" spans="1:9" ht="14.25" customHeight="1">
      <c r="A6200" s="1" t="s">
        <v>2</v>
      </c>
      <c r="B6200" s="1" t="s">
        <v>3</v>
      </c>
      <c r="C6200" s="1" t="s">
        <v>4</v>
      </c>
      <c r="D6200" s="1" t="s">
        <v>5</v>
      </c>
      <c r="E6200" s="1" t="s">
        <v>6</v>
      </c>
      <c r="F6200" s="2" t="s">
        <v>7</v>
      </c>
      <c r="G6200" s="1" t="s">
        <v>8</v>
      </c>
      <c r="H6200" s="1"/>
      <c r="I6200" s="32"/>
    </row>
    <row r="6201" spans="1:9" ht="14.25" customHeight="1">
      <c r="A6201" s="3">
        <v>1</v>
      </c>
      <c r="B6201" s="55" t="s">
        <v>1803</v>
      </c>
      <c r="C6201" s="56" t="s">
        <v>1478</v>
      </c>
      <c r="D6201" s="57" t="s">
        <v>233</v>
      </c>
      <c r="E6201" s="57">
        <v>0.48</v>
      </c>
      <c r="F6201" s="6">
        <v>293000</v>
      </c>
      <c r="G6201" s="7">
        <f t="shared" ref="G6201:G6202" si="386">IFERROR(E6201*F6201,0)</f>
        <v>140640</v>
      </c>
      <c r="H6201" s="8"/>
      <c r="I6201" s="32"/>
    </row>
    <row r="6202" spans="1:9" ht="14.25" customHeight="1">
      <c r="A6202" s="3">
        <v>2</v>
      </c>
      <c r="B6202" s="55" t="s">
        <v>1479</v>
      </c>
      <c r="C6202" s="56" t="s">
        <v>1480</v>
      </c>
      <c r="D6202" s="57" t="s">
        <v>233</v>
      </c>
      <c r="E6202" s="57">
        <v>1.5</v>
      </c>
      <c r="F6202" s="11">
        <v>435000</v>
      </c>
      <c r="G6202" s="7">
        <f t="shared" si="386"/>
        <v>652500</v>
      </c>
      <c r="H6202" s="8"/>
      <c r="I6202" s="32"/>
    </row>
    <row r="6203" spans="1:9" ht="14.25" customHeight="1">
      <c r="A6203" s="3">
        <v>3</v>
      </c>
      <c r="B6203" s="63" t="s">
        <v>1481</v>
      </c>
      <c r="C6203" s="65" t="s">
        <v>1482</v>
      </c>
      <c r="D6203" s="65" t="s">
        <v>11</v>
      </c>
      <c r="E6203" s="57">
        <v>1.5</v>
      </c>
      <c r="F6203" s="6">
        <v>293000</v>
      </c>
      <c r="G6203" s="7">
        <f>IFERROR(E6203*F6203,0)</f>
        <v>439500</v>
      </c>
      <c r="H6203" s="8"/>
      <c r="I6203" s="32"/>
    </row>
    <row r="6204" spans="1:9" ht="14.25" customHeight="1">
      <c r="A6204" s="3">
        <v>4</v>
      </c>
      <c r="B6204" s="8" t="s">
        <v>17</v>
      </c>
      <c r="C6204" s="8"/>
      <c r="D6204" s="8"/>
      <c r="E6204" s="8"/>
      <c r="F6204" s="8"/>
      <c r="G6204" s="13">
        <f>IFERROR(E6204*F6204,0)</f>
        <v>0</v>
      </c>
      <c r="H6204" s="8"/>
      <c r="I6204" s="32"/>
    </row>
    <row r="6205" spans="1:9" ht="14.25" customHeight="1">
      <c r="A6205" s="86" t="s">
        <v>18</v>
      </c>
      <c r="B6205" s="81"/>
      <c r="C6205" s="81"/>
      <c r="D6205" s="81"/>
      <c r="E6205" s="81"/>
      <c r="F6205" s="81"/>
      <c r="G6205" s="82"/>
      <c r="H6205" s="14">
        <f>SUM(G6201:G6204)</f>
        <v>1232640</v>
      </c>
      <c r="I6205" s="32"/>
    </row>
    <row r="6206" spans="1:9" ht="14.25" customHeight="1">
      <c r="A6206" s="86" t="s">
        <v>19</v>
      </c>
      <c r="B6206" s="81"/>
      <c r="C6206" s="81"/>
      <c r="D6206" s="81"/>
      <c r="E6206" s="81"/>
      <c r="F6206" s="81"/>
      <c r="G6206" s="82"/>
      <c r="H6206" s="14">
        <f>MAX(0,H6205-648000)</f>
        <v>584640</v>
      </c>
      <c r="I6206" s="32"/>
    </row>
    <row r="6207" spans="1:9" ht="14.25" customHeight="1">
      <c r="A6207" s="87" t="s">
        <v>20</v>
      </c>
      <c r="B6207" s="81"/>
      <c r="C6207" s="81"/>
      <c r="D6207" s="81"/>
      <c r="E6207" s="81"/>
      <c r="F6207" s="81"/>
      <c r="G6207" s="82"/>
      <c r="H6207" s="15">
        <v>649000</v>
      </c>
      <c r="I6207" s="32"/>
    </row>
    <row r="6208" spans="1:9" ht="14.25" customHeight="1">
      <c r="I6208" s="32"/>
    </row>
    <row r="6209" spans="1:9" ht="14.25" customHeight="1">
      <c r="I6209" s="32"/>
    </row>
    <row r="6210" spans="1:9" ht="14.25" customHeight="1">
      <c r="I6210" s="32"/>
    </row>
    <row r="6211" spans="1:9" ht="14.25" customHeight="1">
      <c r="I6211" s="32"/>
    </row>
    <row r="6212" spans="1:9" ht="14.25" customHeight="1">
      <c r="I6212" s="32"/>
    </row>
    <row r="6213" spans="1:9" ht="14.25" customHeight="1">
      <c r="A6213" s="85" t="s">
        <v>0</v>
      </c>
      <c r="B6213" s="81"/>
      <c r="C6213" s="81"/>
      <c r="D6213" s="81"/>
      <c r="E6213" s="81"/>
      <c r="F6213" s="81"/>
      <c r="G6213" s="81"/>
      <c r="H6213" s="82"/>
      <c r="I6213" s="32"/>
    </row>
    <row r="6214" spans="1:9" ht="14.25" customHeight="1">
      <c r="A6214" s="85" t="s">
        <v>1483</v>
      </c>
      <c r="B6214" s="81"/>
      <c r="C6214" s="81"/>
      <c r="D6214" s="81"/>
      <c r="E6214" s="81"/>
      <c r="F6214" s="81"/>
      <c r="G6214" s="81"/>
      <c r="H6214" s="82"/>
      <c r="I6214" s="32"/>
    </row>
    <row r="6215" spans="1:9" ht="14.25" customHeight="1">
      <c r="A6215" s="1" t="s">
        <v>2</v>
      </c>
      <c r="B6215" s="1" t="s">
        <v>3</v>
      </c>
      <c r="C6215" s="1" t="s">
        <v>4</v>
      </c>
      <c r="D6215" s="1" t="s">
        <v>5</v>
      </c>
      <c r="E6215" s="1" t="s">
        <v>6</v>
      </c>
      <c r="F6215" s="2" t="s">
        <v>7</v>
      </c>
      <c r="G6215" s="1" t="s">
        <v>8</v>
      </c>
      <c r="H6215" s="1"/>
      <c r="I6215" s="32"/>
    </row>
    <row r="6216" spans="1:9" ht="14.25" customHeight="1">
      <c r="A6216" s="3">
        <v>1</v>
      </c>
      <c r="B6216" s="55" t="s">
        <v>1484</v>
      </c>
      <c r="C6216" s="56" t="s">
        <v>1485</v>
      </c>
      <c r="D6216" s="57" t="s">
        <v>11</v>
      </c>
      <c r="E6216" s="57">
        <v>1.7</v>
      </c>
      <c r="F6216" s="6">
        <v>293000</v>
      </c>
      <c r="G6216" s="7">
        <f t="shared" ref="G6216:G6217" si="387">IFERROR(E6216*F6216,0)</f>
        <v>498100</v>
      </c>
      <c r="H6216" s="8"/>
      <c r="I6216" s="32"/>
    </row>
    <row r="6217" spans="1:9" ht="14.25" customHeight="1">
      <c r="A6217" s="3">
        <v>2</v>
      </c>
      <c r="B6217" s="55" t="s">
        <v>54</v>
      </c>
      <c r="C6217" s="56" t="s">
        <v>1486</v>
      </c>
      <c r="D6217" s="57" t="s">
        <v>14</v>
      </c>
      <c r="E6217" s="57">
        <v>0.82</v>
      </c>
      <c r="F6217" s="11">
        <v>435000</v>
      </c>
      <c r="G6217" s="7">
        <f t="shared" si="387"/>
        <v>356700</v>
      </c>
      <c r="H6217" s="8"/>
      <c r="I6217" s="32"/>
    </row>
    <row r="6218" spans="1:9" ht="14.25" customHeight="1">
      <c r="A6218" s="3">
        <v>3</v>
      </c>
      <c r="B6218" s="63" t="s">
        <v>820</v>
      </c>
      <c r="C6218" s="65" t="s">
        <v>1487</v>
      </c>
      <c r="D6218" s="57" t="s">
        <v>14</v>
      </c>
      <c r="E6218" s="57">
        <v>0.47</v>
      </c>
      <c r="F6218" s="11">
        <v>435000</v>
      </c>
      <c r="G6218" s="7">
        <f>IFERROR(E6218*F6218,0)</f>
        <v>204450</v>
      </c>
      <c r="H6218" s="8"/>
      <c r="I6218" s="32"/>
    </row>
    <row r="6219" spans="1:9" ht="14.25" customHeight="1">
      <c r="A6219" s="3">
        <v>4</v>
      </c>
      <c r="B6219" s="8" t="s">
        <v>17</v>
      </c>
      <c r="C6219" s="8"/>
      <c r="D6219" s="8"/>
      <c r="E6219" s="8"/>
      <c r="F6219" s="8"/>
      <c r="G6219" s="13">
        <f>IFERROR(E6219*F6219,0)</f>
        <v>0</v>
      </c>
      <c r="H6219" s="8"/>
      <c r="I6219" s="32"/>
    </row>
    <row r="6220" spans="1:9" ht="14.25" customHeight="1">
      <c r="A6220" s="86" t="s">
        <v>18</v>
      </c>
      <c r="B6220" s="81"/>
      <c r="C6220" s="81"/>
      <c r="D6220" s="81"/>
      <c r="E6220" s="81"/>
      <c r="F6220" s="81"/>
      <c r="G6220" s="82"/>
      <c r="H6220" s="14">
        <f>SUM(G6216:G6219)</f>
        <v>1059250</v>
      </c>
      <c r="I6220" s="32"/>
    </row>
    <row r="6221" spans="1:9" ht="14.25" customHeight="1">
      <c r="A6221" s="86" t="s">
        <v>19</v>
      </c>
      <c r="B6221" s="81"/>
      <c r="C6221" s="81"/>
      <c r="D6221" s="81"/>
      <c r="E6221" s="81"/>
      <c r="F6221" s="81"/>
      <c r="G6221" s="82"/>
      <c r="H6221" s="14">
        <f>MAX(0,H6220-648000)</f>
        <v>411250</v>
      </c>
      <c r="I6221" s="32"/>
    </row>
    <row r="6222" spans="1:9" ht="14.25" customHeight="1">
      <c r="A6222" s="87" t="s">
        <v>20</v>
      </c>
      <c r="B6222" s="81"/>
      <c r="C6222" s="81"/>
      <c r="D6222" s="81"/>
      <c r="E6222" s="81"/>
      <c r="F6222" s="81"/>
      <c r="G6222" s="82"/>
      <c r="H6222" s="15">
        <v>649000</v>
      </c>
      <c r="I6222" s="32"/>
    </row>
    <row r="6223" spans="1:9" ht="14.25" customHeight="1">
      <c r="I6223" s="32"/>
    </row>
    <row r="6224" spans="1:9" ht="14.25" customHeight="1">
      <c r="I6224" s="32"/>
    </row>
    <row r="6225" spans="1:9" ht="14.25" customHeight="1">
      <c r="I6225" s="32"/>
    </row>
    <row r="6226" spans="1:9" ht="14.25" customHeight="1">
      <c r="I6226" s="32"/>
    </row>
    <row r="6227" spans="1:9" ht="14.25" customHeight="1">
      <c r="I6227" s="32"/>
    </row>
    <row r="6228" spans="1:9" ht="14.25" customHeight="1">
      <c r="I6228" s="32"/>
    </row>
    <row r="6229" spans="1:9" ht="14.25" customHeight="1">
      <c r="I6229" s="32"/>
    </row>
    <row r="6230" spans="1:9" ht="14.25" customHeight="1">
      <c r="I6230" s="32"/>
    </row>
    <row r="6231" spans="1:9" ht="14.25" customHeight="1">
      <c r="I6231" s="32"/>
    </row>
    <row r="6232" spans="1:9" ht="14.25" customHeight="1">
      <c r="I6232" s="32"/>
    </row>
    <row r="6233" spans="1:9" ht="14.25" customHeight="1">
      <c r="A6233" s="85" t="s">
        <v>0</v>
      </c>
      <c r="B6233" s="81"/>
      <c r="C6233" s="81"/>
      <c r="D6233" s="81"/>
      <c r="E6233" s="81"/>
      <c r="F6233" s="81"/>
      <c r="G6233" s="81"/>
      <c r="H6233" s="82"/>
      <c r="I6233" s="32"/>
    </row>
    <row r="6234" spans="1:9" ht="14.25" customHeight="1">
      <c r="A6234" s="85" t="s">
        <v>1488</v>
      </c>
      <c r="B6234" s="81"/>
      <c r="C6234" s="81"/>
      <c r="D6234" s="81"/>
      <c r="E6234" s="81"/>
      <c r="F6234" s="81"/>
      <c r="G6234" s="81"/>
      <c r="H6234" s="82"/>
      <c r="I6234" s="32"/>
    </row>
    <row r="6235" spans="1:9" ht="14.25" customHeight="1">
      <c r="A6235" s="1" t="s">
        <v>2</v>
      </c>
      <c r="B6235" s="1" t="s">
        <v>3</v>
      </c>
      <c r="C6235" s="1" t="s">
        <v>4</v>
      </c>
      <c r="D6235" s="1" t="s">
        <v>5</v>
      </c>
      <c r="E6235" s="1" t="s">
        <v>6</v>
      </c>
      <c r="F6235" s="2" t="s">
        <v>7</v>
      </c>
      <c r="G6235" s="1" t="s">
        <v>8</v>
      </c>
      <c r="H6235" s="1"/>
      <c r="I6235" s="32"/>
    </row>
    <row r="6236" spans="1:9" ht="14.25" customHeight="1">
      <c r="A6236" s="3">
        <v>1</v>
      </c>
      <c r="B6236" s="55" t="s">
        <v>1489</v>
      </c>
      <c r="C6236" s="56" t="s">
        <v>1490</v>
      </c>
      <c r="D6236" s="57" t="s">
        <v>11</v>
      </c>
      <c r="E6236" s="57">
        <v>1.7</v>
      </c>
      <c r="F6236" s="6">
        <v>293000</v>
      </c>
      <c r="G6236" s="7">
        <f t="shared" ref="G6236:G6237" si="388">IFERROR(E6236*F6236,0)</f>
        <v>498100</v>
      </c>
      <c r="H6236" s="8"/>
      <c r="I6236" s="32"/>
    </row>
    <row r="6237" spans="1:9" ht="14.25" customHeight="1">
      <c r="A6237" s="3">
        <v>2</v>
      </c>
      <c r="B6237" s="55" t="s">
        <v>279</v>
      </c>
      <c r="C6237" s="56" t="s">
        <v>1491</v>
      </c>
      <c r="D6237" s="57" t="s">
        <v>14</v>
      </c>
      <c r="E6237" s="57">
        <v>0.83</v>
      </c>
      <c r="F6237" s="11">
        <v>435000</v>
      </c>
      <c r="G6237" s="7">
        <f t="shared" si="388"/>
        <v>361050</v>
      </c>
      <c r="H6237" s="8"/>
      <c r="I6237" s="32"/>
    </row>
    <row r="6238" spans="1:9" ht="14.25" customHeight="1">
      <c r="A6238" s="3">
        <v>3</v>
      </c>
      <c r="B6238" s="63" t="s">
        <v>65</v>
      </c>
      <c r="C6238" s="65" t="s">
        <v>1492</v>
      </c>
      <c r="D6238" s="57" t="s">
        <v>14</v>
      </c>
      <c r="E6238" s="57">
        <v>0.83</v>
      </c>
      <c r="F6238" s="11">
        <v>435000</v>
      </c>
      <c r="G6238" s="7">
        <f>IFERROR(E6238*F6238,0)</f>
        <v>361050</v>
      </c>
      <c r="H6238" s="8"/>
      <c r="I6238" s="32"/>
    </row>
    <row r="6239" spans="1:9" ht="14.25" customHeight="1">
      <c r="A6239" s="3">
        <v>4</v>
      </c>
      <c r="B6239" s="8" t="s">
        <v>17</v>
      </c>
      <c r="C6239" s="8"/>
      <c r="D6239" s="8"/>
      <c r="E6239" s="8"/>
      <c r="F6239" s="8"/>
      <c r="G6239" s="13">
        <f>IFERROR(E6239*F6239,0)</f>
        <v>0</v>
      </c>
      <c r="H6239" s="8"/>
      <c r="I6239" s="32"/>
    </row>
    <row r="6240" spans="1:9" ht="14.25" customHeight="1">
      <c r="A6240" s="86" t="s">
        <v>18</v>
      </c>
      <c r="B6240" s="81"/>
      <c r="C6240" s="81"/>
      <c r="D6240" s="81"/>
      <c r="E6240" s="81"/>
      <c r="F6240" s="81"/>
      <c r="G6240" s="82"/>
      <c r="H6240" s="14">
        <f>SUM(G6236:G6239)</f>
        <v>1220200</v>
      </c>
      <c r="I6240" s="32"/>
    </row>
    <row r="6241" spans="1:9" ht="14.25" customHeight="1">
      <c r="A6241" s="86" t="s">
        <v>19</v>
      </c>
      <c r="B6241" s="81"/>
      <c r="C6241" s="81"/>
      <c r="D6241" s="81"/>
      <c r="E6241" s="81"/>
      <c r="F6241" s="81"/>
      <c r="G6241" s="82"/>
      <c r="H6241" s="14">
        <f>MAX(0,H6240-648000)</f>
        <v>572200</v>
      </c>
      <c r="I6241" s="32"/>
    </row>
    <row r="6242" spans="1:9" ht="14.25" customHeight="1">
      <c r="A6242" s="87" t="s">
        <v>20</v>
      </c>
      <c r="B6242" s="81"/>
      <c r="C6242" s="81"/>
      <c r="D6242" s="81"/>
      <c r="E6242" s="81"/>
      <c r="F6242" s="81"/>
      <c r="G6242" s="82"/>
      <c r="H6242" s="15">
        <v>649000</v>
      </c>
      <c r="I6242" s="32"/>
    </row>
    <row r="6243" spans="1:9" ht="14.25" customHeight="1">
      <c r="I6243" s="32"/>
    </row>
    <row r="6244" spans="1:9" ht="14.25" customHeight="1">
      <c r="I6244" s="32"/>
    </row>
    <row r="6245" spans="1:9" ht="14.25" customHeight="1">
      <c r="I6245" s="32"/>
    </row>
    <row r="6246" spans="1:9" ht="14.25" customHeight="1">
      <c r="I6246" s="32"/>
    </row>
    <row r="6247" spans="1:9" ht="14.25" customHeight="1">
      <c r="I6247" s="32"/>
    </row>
    <row r="6248" spans="1:9" ht="14.25" customHeight="1">
      <c r="I6248" s="32"/>
    </row>
    <row r="6249" spans="1:9" ht="14.25" customHeight="1">
      <c r="I6249" s="32"/>
    </row>
    <row r="6250" spans="1:9" ht="14.25" customHeight="1">
      <c r="I6250" s="32"/>
    </row>
    <row r="6251" spans="1:9" ht="14.25" customHeight="1">
      <c r="A6251" s="85" t="s">
        <v>0</v>
      </c>
      <c r="B6251" s="81"/>
      <c r="C6251" s="81"/>
      <c r="D6251" s="81"/>
      <c r="E6251" s="81"/>
      <c r="F6251" s="81"/>
      <c r="G6251" s="81"/>
      <c r="H6251" s="82"/>
      <c r="I6251" s="32"/>
    </row>
    <row r="6252" spans="1:9" ht="14.25" customHeight="1">
      <c r="A6252" s="85" t="s">
        <v>1493</v>
      </c>
      <c r="B6252" s="81"/>
      <c r="C6252" s="81"/>
      <c r="D6252" s="81"/>
      <c r="E6252" s="81"/>
      <c r="F6252" s="81"/>
      <c r="G6252" s="81"/>
      <c r="H6252" s="82"/>
      <c r="I6252" s="32"/>
    </row>
    <row r="6253" spans="1:9" ht="14.25" customHeight="1">
      <c r="A6253" s="1" t="s">
        <v>2</v>
      </c>
      <c r="B6253" s="1" t="s">
        <v>3</v>
      </c>
      <c r="C6253" s="1" t="s">
        <v>4</v>
      </c>
      <c r="D6253" s="1" t="s">
        <v>5</v>
      </c>
      <c r="E6253" s="1" t="s">
        <v>6</v>
      </c>
      <c r="F6253" s="2" t="s">
        <v>7</v>
      </c>
      <c r="G6253" s="1" t="s">
        <v>8</v>
      </c>
      <c r="H6253" s="1"/>
      <c r="I6253" s="32"/>
    </row>
    <row r="6254" spans="1:9" ht="14.25" customHeight="1">
      <c r="A6254" s="3">
        <v>1</v>
      </c>
      <c r="B6254" s="55" t="s">
        <v>376</v>
      </c>
      <c r="C6254" s="56" t="s">
        <v>1145</v>
      </c>
      <c r="D6254" s="57" t="s">
        <v>11</v>
      </c>
      <c r="E6254" s="57">
        <v>2</v>
      </c>
      <c r="F6254" s="6">
        <v>293000</v>
      </c>
      <c r="G6254" s="7">
        <f t="shared" ref="G6254:G6255" si="389">IFERROR(E6254*F6254,0)</f>
        <v>586000</v>
      </c>
      <c r="H6254" s="8"/>
      <c r="I6254" s="32"/>
    </row>
    <row r="6255" spans="1:9" ht="14.25" customHeight="1">
      <c r="A6255" s="3">
        <v>2</v>
      </c>
      <c r="B6255" s="55" t="s">
        <v>571</v>
      </c>
      <c r="C6255" s="56" t="s">
        <v>1494</v>
      </c>
      <c r="D6255" s="57" t="s">
        <v>233</v>
      </c>
      <c r="E6255" s="57">
        <v>0.52</v>
      </c>
      <c r="F6255" s="11">
        <v>435000</v>
      </c>
      <c r="G6255" s="7">
        <f t="shared" si="389"/>
        <v>226200</v>
      </c>
      <c r="H6255" s="8"/>
      <c r="I6255" s="32"/>
    </row>
    <row r="6256" spans="1:9" ht="14.25" customHeight="1">
      <c r="A6256" s="3">
        <v>3</v>
      </c>
      <c r="B6256" s="63" t="s">
        <v>12</v>
      </c>
      <c r="C6256" s="65" t="s">
        <v>1495</v>
      </c>
      <c r="D6256" s="65" t="s">
        <v>233</v>
      </c>
      <c r="E6256" s="57">
        <v>0.8</v>
      </c>
      <c r="F6256" s="11">
        <v>435000</v>
      </c>
      <c r="G6256" s="7">
        <f>IFERROR(E6256*F6256,0)</f>
        <v>348000</v>
      </c>
      <c r="H6256" s="8"/>
      <c r="I6256" s="32"/>
    </row>
    <row r="6257" spans="1:9" ht="14.25" customHeight="1">
      <c r="A6257" s="3">
        <v>4</v>
      </c>
      <c r="B6257" s="8" t="s">
        <v>17</v>
      </c>
      <c r="C6257" s="8"/>
      <c r="D6257" s="8"/>
      <c r="E6257" s="8"/>
      <c r="F6257" s="8"/>
      <c r="G6257" s="13">
        <f>IFERROR(E6257*F6257,0)</f>
        <v>0</v>
      </c>
      <c r="H6257" s="8"/>
      <c r="I6257" s="32"/>
    </row>
    <row r="6258" spans="1:9" ht="14.25" customHeight="1">
      <c r="A6258" s="86" t="s">
        <v>18</v>
      </c>
      <c r="B6258" s="81"/>
      <c r="C6258" s="81"/>
      <c r="D6258" s="81"/>
      <c r="E6258" s="81"/>
      <c r="F6258" s="81"/>
      <c r="G6258" s="82"/>
      <c r="H6258" s="14">
        <f>SUM(G6254:G6257)</f>
        <v>1160200</v>
      </c>
      <c r="I6258" s="32"/>
    </row>
    <row r="6259" spans="1:9" ht="14.25" customHeight="1">
      <c r="A6259" s="86" t="s">
        <v>19</v>
      </c>
      <c r="B6259" s="81"/>
      <c r="C6259" s="81"/>
      <c r="D6259" s="81"/>
      <c r="E6259" s="81"/>
      <c r="F6259" s="81"/>
      <c r="G6259" s="82"/>
      <c r="H6259" s="14">
        <f>MAX(0,H6258-648000)</f>
        <v>512200</v>
      </c>
      <c r="I6259" s="32"/>
    </row>
    <row r="6260" spans="1:9" ht="14.25" customHeight="1">
      <c r="A6260" s="87" t="s">
        <v>20</v>
      </c>
      <c r="B6260" s="81"/>
      <c r="C6260" s="81"/>
      <c r="D6260" s="81"/>
      <c r="E6260" s="81"/>
      <c r="F6260" s="81"/>
      <c r="G6260" s="82"/>
      <c r="H6260" s="15">
        <v>649000</v>
      </c>
      <c r="I6260" s="32"/>
    </row>
    <row r="6261" spans="1:9" ht="14.25" customHeight="1">
      <c r="I6261" s="32"/>
    </row>
    <row r="6262" spans="1:9" ht="14.25" customHeight="1">
      <c r="I6262" s="32"/>
    </row>
    <row r="6263" spans="1:9" ht="14.25" customHeight="1">
      <c r="I6263" s="32"/>
    </row>
    <row r="6264" spans="1:9" ht="14.25" customHeight="1">
      <c r="I6264" s="32"/>
    </row>
    <row r="6265" spans="1:9" ht="14.25" customHeight="1">
      <c r="I6265" s="32"/>
    </row>
    <row r="6266" spans="1:9" ht="14.25" customHeight="1">
      <c r="I6266" s="32"/>
    </row>
    <row r="6267" spans="1:9" ht="14.25" customHeight="1">
      <c r="I6267" s="32"/>
    </row>
    <row r="6268" spans="1:9" ht="14.25" customHeight="1">
      <c r="A6268" s="85" t="s">
        <v>0</v>
      </c>
      <c r="B6268" s="81"/>
      <c r="C6268" s="81"/>
      <c r="D6268" s="81"/>
      <c r="E6268" s="81"/>
      <c r="F6268" s="81"/>
      <c r="G6268" s="81"/>
      <c r="H6268" s="82"/>
      <c r="I6268" s="32"/>
    </row>
    <row r="6269" spans="1:9" ht="14.25" customHeight="1">
      <c r="A6269" s="85" t="s">
        <v>1496</v>
      </c>
      <c r="B6269" s="81"/>
      <c r="C6269" s="81"/>
      <c r="D6269" s="81"/>
      <c r="E6269" s="81"/>
      <c r="F6269" s="81"/>
      <c r="G6269" s="81"/>
      <c r="H6269" s="82"/>
      <c r="I6269" s="32"/>
    </row>
    <row r="6270" spans="1:9" ht="14.25" customHeight="1">
      <c r="A6270" s="1" t="s">
        <v>2</v>
      </c>
      <c r="B6270" s="1" t="s">
        <v>3</v>
      </c>
      <c r="C6270" s="1" t="s">
        <v>4</v>
      </c>
      <c r="D6270" s="1" t="s">
        <v>5</v>
      </c>
      <c r="E6270" s="1" t="s">
        <v>6</v>
      </c>
      <c r="F6270" s="2" t="s">
        <v>7</v>
      </c>
      <c r="G6270" s="1" t="s">
        <v>8</v>
      </c>
      <c r="H6270" s="1"/>
      <c r="I6270" s="32"/>
    </row>
    <row r="6271" spans="1:9" ht="14.25" customHeight="1">
      <c r="A6271" s="3">
        <v>1</v>
      </c>
      <c r="B6271" s="55" t="s">
        <v>351</v>
      </c>
      <c r="C6271" s="56">
        <v>61668</v>
      </c>
      <c r="D6271" s="57" t="s">
        <v>413</v>
      </c>
      <c r="E6271" s="57">
        <v>1.6</v>
      </c>
      <c r="F6271" s="6">
        <v>293000</v>
      </c>
      <c r="G6271" s="7">
        <f t="shared" ref="G6271:G6272" si="390">IFERROR(E6271*F6271,0)</f>
        <v>468800</v>
      </c>
      <c r="H6271" s="8"/>
      <c r="I6271" s="32"/>
    </row>
    <row r="6272" spans="1:9" ht="14.25" customHeight="1">
      <c r="A6272" s="3">
        <v>2</v>
      </c>
      <c r="B6272" s="55" t="s">
        <v>549</v>
      </c>
      <c r="C6272" s="56" t="s">
        <v>1497</v>
      </c>
      <c r="D6272" s="57" t="s">
        <v>233</v>
      </c>
      <c r="E6272" s="57">
        <v>0.81</v>
      </c>
      <c r="F6272" s="11">
        <v>435000</v>
      </c>
      <c r="G6272" s="7">
        <f t="shared" si="390"/>
        <v>352350</v>
      </c>
      <c r="H6272" s="8"/>
      <c r="I6272" s="32"/>
    </row>
    <row r="6273" spans="1:9" ht="14.25" customHeight="1">
      <c r="A6273" s="3">
        <v>3</v>
      </c>
      <c r="B6273" s="63" t="s">
        <v>65</v>
      </c>
      <c r="C6273" s="65" t="s">
        <v>1498</v>
      </c>
      <c r="D6273" s="57" t="s">
        <v>233</v>
      </c>
      <c r="E6273" s="57">
        <v>0.85</v>
      </c>
      <c r="F6273" s="11">
        <v>435000</v>
      </c>
      <c r="G6273" s="7">
        <f>IFERROR(E6273*F6273,0)</f>
        <v>369750</v>
      </c>
      <c r="H6273" s="8"/>
      <c r="I6273" s="32"/>
    </row>
    <row r="6274" spans="1:9" ht="14.25" customHeight="1">
      <c r="A6274" s="3">
        <v>4</v>
      </c>
      <c r="B6274" s="8" t="s">
        <v>17</v>
      </c>
      <c r="C6274" s="8"/>
      <c r="D6274" s="8"/>
      <c r="E6274" s="8"/>
      <c r="F6274" s="8"/>
      <c r="G6274" s="13">
        <f>IFERROR(E6274*F6274,0)</f>
        <v>0</v>
      </c>
      <c r="H6274" s="8"/>
      <c r="I6274" s="32"/>
    </row>
    <row r="6275" spans="1:9" ht="14.25" customHeight="1">
      <c r="A6275" s="86" t="s">
        <v>18</v>
      </c>
      <c r="B6275" s="81"/>
      <c r="C6275" s="81"/>
      <c r="D6275" s="81"/>
      <c r="E6275" s="81"/>
      <c r="F6275" s="81"/>
      <c r="G6275" s="82"/>
      <c r="H6275" s="14">
        <f>SUM(G6271:G6274)</f>
        <v>1190900</v>
      </c>
      <c r="I6275" s="32"/>
    </row>
    <row r="6276" spans="1:9" ht="14.25" customHeight="1">
      <c r="A6276" s="86" t="s">
        <v>19</v>
      </c>
      <c r="B6276" s="81"/>
      <c r="C6276" s="81"/>
      <c r="D6276" s="81"/>
      <c r="E6276" s="81"/>
      <c r="F6276" s="81"/>
      <c r="G6276" s="82"/>
      <c r="H6276" s="14">
        <f>MAX(0,H6275-648000)</f>
        <v>542900</v>
      </c>
      <c r="I6276" s="32"/>
    </row>
    <row r="6277" spans="1:9" ht="14.25" customHeight="1">
      <c r="A6277" s="87" t="s">
        <v>20</v>
      </c>
      <c r="B6277" s="81"/>
      <c r="C6277" s="81"/>
      <c r="D6277" s="81"/>
      <c r="E6277" s="81"/>
      <c r="F6277" s="81"/>
      <c r="G6277" s="82"/>
      <c r="H6277" s="15">
        <v>649000</v>
      </c>
      <c r="I6277" s="32"/>
    </row>
    <row r="6278" spans="1:9" ht="14.25" customHeight="1">
      <c r="I6278" s="32"/>
    </row>
    <row r="6279" spans="1:9" ht="14.25" customHeight="1">
      <c r="I6279" s="32"/>
    </row>
    <row r="6280" spans="1:9" ht="14.25" customHeight="1">
      <c r="I6280" s="32"/>
    </row>
    <row r="6281" spans="1:9" ht="14.25" customHeight="1">
      <c r="I6281" s="32"/>
    </row>
    <row r="6282" spans="1:9" ht="14.25" customHeight="1">
      <c r="I6282" s="32"/>
    </row>
    <row r="6283" spans="1:9" ht="14.25" customHeight="1">
      <c r="I6283" s="32"/>
    </row>
    <row r="6284" spans="1:9" ht="14.25" customHeight="1">
      <c r="I6284" s="32"/>
    </row>
    <row r="6285" spans="1:9" ht="14.25" customHeight="1">
      <c r="A6285" s="85" t="s">
        <v>0</v>
      </c>
      <c r="B6285" s="81"/>
      <c r="C6285" s="81"/>
      <c r="D6285" s="81"/>
      <c r="E6285" s="81"/>
      <c r="F6285" s="81"/>
      <c r="G6285" s="81"/>
      <c r="H6285" s="82"/>
      <c r="I6285" s="32"/>
    </row>
    <row r="6286" spans="1:9" ht="14.25" customHeight="1">
      <c r="A6286" s="85" t="s">
        <v>1499</v>
      </c>
      <c r="B6286" s="81"/>
      <c r="C6286" s="81"/>
      <c r="D6286" s="81"/>
      <c r="E6286" s="81"/>
      <c r="F6286" s="81"/>
      <c r="G6286" s="81"/>
      <c r="H6286" s="82"/>
      <c r="I6286" s="32"/>
    </row>
    <row r="6287" spans="1:9" ht="14.25" customHeight="1">
      <c r="A6287" s="1" t="s">
        <v>2</v>
      </c>
      <c r="B6287" s="1" t="s">
        <v>3</v>
      </c>
      <c r="C6287" s="1" t="s">
        <v>4</v>
      </c>
      <c r="D6287" s="1" t="s">
        <v>5</v>
      </c>
      <c r="E6287" s="1" t="s">
        <v>6</v>
      </c>
      <c r="F6287" s="2" t="s">
        <v>7</v>
      </c>
      <c r="G6287" s="1" t="s">
        <v>8</v>
      </c>
      <c r="H6287" s="1"/>
      <c r="I6287" s="32"/>
    </row>
    <row r="6288" spans="1:9" ht="14.25" customHeight="1">
      <c r="A6288" s="3">
        <v>1</v>
      </c>
      <c r="B6288" s="55" t="s">
        <v>1500</v>
      </c>
      <c r="C6288" s="56" t="s">
        <v>1501</v>
      </c>
      <c r="D6288" s="57" t="s">
        <v>413</v>
      </c>
      <c r="E6288" s="57">
        <v>2</v>
      </c>
      <c r="F6288" s="6">
        <v>293000</v>
      </c>
      <c r="G6288" s="7">
        <f t="shared" ref="G6288:G6289" si="391">IFERROR(E6288*F6288,0)</f>
        <v>586000</v>
      </c>
      <c r="H6288" s="8"/>
      <c r="I6288" s="32"/>
    </row>
    <row r="6289" spans="1:9" ht="14.25" customHeight="1">
      <c r="A6289" s="3">
        <v>2</v>
      </c>
      <c r="B6289" s="55" t="s">
        <v>560</v>
      </c>
      <c r="C6289" s="56" t="s">
        <v>1502</v>
      </c>
      <c r="D6289" s="57" t="s">
        <v>233</v>
      </c>
      <c r="E6289" s="57">
        <v>0.9</v>
      </c>
      <c r="F6289" s="11">
        <v>435000</v>
      </c>
      <c r="G6289" s="7">
        <f t="shared" si="391"/>
        <v>391500</v>
      </c>
      <c r="H6289" s="8"/>
      <c r="I6289" s="32"/>
    </row>
    <row r="6290" spans="1:9" ht="14.25" customHeight="1">
      <c r="A6290" s="3">
        <v>3</v>
      </c>
      <c r="B6290" s="63" t="s">
        <v>33</v>
      </c>
      <c r="C6290" s="65" t="s">
        <v>1503</v>
      </c>
      <c r="D6290" s="65" t="s">
        <v>233</v>
      </c>
      <c r="E6290" s="57">
        <v>0.63</v>
      </c>
      <c r="F6290" s="11">
        <v>435000</v>
      </c>
      <c r="G6290" s="7">
        <f>IFERROR(E6290*F6290,0)</f>
        <v>274050</v>
      </c>
      <c r="H6290" s="8"/>
      <c r="I6290" s="32"/>
    </row>
    <row r="6291" spans="1:9" ht="14.25" customHeight="1">
      <c r="A6291" s="3">
        <v>4</v>
      </c>
      <c r="B6291" s="8" t="s">
        <v>17</v>
      </c>
      <c r="C6291" s="8"/>
      <c r="D6291" s="8"/>
      <c r="E6291" s="8"/>
      <c r="F6291" s="8"/>
      <c r="G6291" s="13">
        <f>IFERROR(E6291*F6291,0)</f>
        <v>0</v>
      </c>
      <c r="H6291" s="8"/>
      <c r="I6291" s="32"/>
    </row>
    <row r="6292" spans="1:9" ht="14.25" customHeight="1">
      <c r="A6292" s="86" t="s">
        <v>18</v>
      </c>
      <c r="B6292" s="81"/>
      <c r="C6292" s="81"/>
      <c r="D6292" s="81"/>
      <c r="E6292" s="81"/>
      <c r="F6292" s="81"/>
      <c r="G6292" s="82"/>
      <c r="H6292" s="14">
        <f>SUM(G6288:G6291)</f>
        <v>1251550</v>
      </c>
      <c r="I6292" s="32"/>
    </row>
    <row r="6293" spans="1:9" ht="14.25" customHeight="1">
      <c r="A6293" s="86" t="s">
        <v>19</v>
      </c>
      <c r="B6293" s="81"/>
      <c r="C6293" s="81"/>
      <c r="D6293" s="81"/>
      <c r="E6293" s="81"/>
      <c r="F6293" s="81"/>
      <c r="G6293" s="82"/>
      <c r="H6293" s="14">
        <f>MAX(0,H6292-648000)</f>
        <v>603550</v>
      </c>
      <c r="I6293" s="32"/>
    </row>
    <row r="6294" spans="1:9" ht="14.25" customHeight="1">
      <c r="A6294" s="87" t="s">
        <v>20</v>
      </c>
      <c r="B6294" s="81"/>
      <c r="C6294" s="81"/>
      <c r="D6294" s="81"/>
      <c r="E6294" s="81"/>
      <c r="F6294" s="81"/>
      <c r="G6294" s="82"/>
      <c r="H6294" s="15">
        <v>649000</v>
      </c>
      <c r="I6294" s="32"/>
    </row>
    <row r="6295" spans="1:9" ht="14.25" customHeight="1">
      <c r="I6295" s="32"/>
    </row>
    <row r="6296" spans="1:9" ht="14.25" customHeight="1">
      <c r="I6296" s="32"/>
    </row>
    <row r="6297" spans="1:9" ht="14.25" customHeight="1">
      <c r="I6297" s="32"/>
    </row>
    <row r="6298" spans="1:9" ht="14.25" customHeight="1">
      <c r="I6298" s="32"/>
    </row>
    <row r="6299" spans="1:9" ht="14.25" customHeight="1">
      <c r="I6299" s="32"/>
    </row>
    <row r="6300" spans="1:9" ht="14.25" customHeight="1">
      <c r="I6300" s="32"/>
    </row>
    <row r="6301" spans="1:9" ht="14.25" customHeight="1">
      <c r="I6301" s="32"/>
    </row>
    <row r="6302" spans="1:9" ht="14.25" customHeight="1">
      <c r="I6302" s="32"/>
    </row>
    <row r="6303" spans="1:9" ht="14.25" customHeight="1">
      <c r="I6303" s="32"/>
    </row>
    <row r="6304" spans="1:9" ht="14.25" customHeight="1">
      <c r="I6304" s="32"/>
    </row>
    <row r="6305" spans="1:9" ht="14.25" customHeight="1">
      <c r="I6305" s="32"/>
    </row>
    <row r="6306" spans="1:9" ht="14.25" customHeight="1">
      <c r="I6306" s="32"/>
    </row>
    <row r="6307" spans="1:9" ht="14.25" customHeight="1">
      <c r="A6307" s="85" t="s">
        <v>0</v>
      </c>
      <c r="B6307" s="81"/>
      <c r="C6307" s="81"/>
      <c r="D6307" s="81"/>
      <c r="E6307" s="81"/>
      <c r="F6307" s="81"/>
      <c r="G6307" s="81"/>
      <c r="H6307" s="82"/>
      <c r="I6307" s="32"/>
    </row>
    <row r="6308" spans="1:9" ht="14.25" customHeight="1">
      <c r="A6308" s="85" t="s">
        <v>1504</v>
      </c>
      <c r="B6308" s="81"/>
      <c r="C6308" s="81"/>
      <c r="D6308" s="81"/>
      <c r="E6308" s="81"/>
      <c r="F6308" s="81"/>
      <c r="G6308" s="81"/>
      <c r="H6308" s="82"/>
      <c r="I6308" s="32"/>
    </row>
    <row r="6309" spans="1:9" ht="14.25" customHeight="1">
      <c r="A6309" s="1" t="s">
        <v>2</v>
      </c>
      <c r="B6309" s="1" t="s">
        <v>3</v>
      </c>
      <c r="C6309" s="1" t="s">
        <v>4</v>
      </c>
      <c r="D6309" s="1" t="s">
        <v>5</v>
      </c>
      <c r="E6309" s="1" t="s">
        <v>6</v>
      </c>
      <c r="F6309" s="2" t="s">
        <v>7</v>
      </c>
      <c r="G6309" s="1" t="s">
        <v>8</v>
      </c>
      <c r="H6309" s="1"/>
      <c r="I6309" s="32"/>
    </row>
    <row r="6310" spans="1:9" ht="14.25" customHeight="1">
      <c r="A6310" s="3">
        <v>1</v>
      </c>
      <c r="B6310" s="67" t="s">
        <v>1295</v>
      </c>
      <c r="C6310" s="56" t="s">
        <v>1505</v>
      </c>
      <c r="D6310" s="57" t="s">
        <v>11</v>
      </c>
      <c r="E6310" s="57">
        <v>1.8</v>
      </c>
      <c r="F6310" s="6">
        <v>293000</v>
      </c>
      <c r="G6310" s="7">
        <f t="shared" ref="G6310:G6311" si="392">IFERROR(E6310*F6310,0)</f>
        <v>527400</v>
      </c>
      <c r="H6310" s="8"/>
      <c r="I6310" s="32"/>
    </row>
    <row r="6311" spans="1:9" ht="14.25" customHeight="1">
      <c r="A6311" s="3">
        <v>2</v>
      </c>
      <c r="B6311" s="55" t="s">
        <v>65</v>
      </c>
      <c r="C6311" s="56" t="s">
        <v>1506</v>
      </c>
      <c r="D6311" s="57" t="s">
        <v>233</v>
      </c>
      <c r="E6311" s="57">
        <v>0.7</v>
      </c>
      <c r="F6311" s="11">
        <v>435000</v>
      </c>
      <c r="G6311" s="7">
        <f t="shared" si="392"/>
        <v>304500</v>
      </c>
      <c r="H6311" s="8"/>
      <c r="I6311" s="32"/>
    </row>
    <row r="6312" spans="1:9" ht="14.25" customHeight="1">
      <c r="A6312" s="3">
        <v>3</v>
      </c>
      <c r="B6312" s="63" t="s">
        <v>136</v>
      </c>
      <c r="C6312" s="65" t="s">
        <v>1507</v>
      </c>
      <c r="D6312" s="65" t="s">
        <v>233</v>
      </c>
      <c r="E6312" s="57">
        <v>0.8</v>
      </c>
      <c r="F6312" s="11">
        <v>435000</v>
      </c>
      <c r="G6312" s="7">
        <f>IFERROR(E6312*F6312,0)</f>
        <v>348000</v>
      </c>
      <c r="H6312" s="8"/>
      <c r="I6312" s="32"/>
    </row>
    <row r="6313" spans="1:9" ht="14.25" customHeight="1">
      <c r="A6313" s="3">
        <v>4</v>
      </c>
      <c r="B6313" s="8" t="s">
        <v>17</v>
      </c>
      <c r="C6313" s="8"/>
      <c r="D6313" s="8"/>
      <c r="E6313" s="8"/>
      <c r="F6313" s="8"/>
      <c r="G6313" s="13">
        <f>IFERROR(E6313*F6313,0)</f>
        <v>0</v>
      </c>
      <c r="H6313" s="8"/>
      <c r="I6313" s="32"/>
    </row>
    <row r="6314" spans="1:9" ht="14.25" customHeight="1">
      <c r="A6314" s="86" t="s">
        <v>18</v>
      </c>
      <c r="B6314" s="81"/>
      <c r="C6314" s="81"/>
      <c r="D6314" s="81"/>
      <c r="E6314" s="81"/>
      <c r="F6314" s="81"/>
      <c r="G6314" s="82"/>
      <c r="H6314" s="14">
        <f>SUM(G6310:G6313)</f>
        <v>1179900</v>
      </c>
      <c r="I6314" s="32"/>
    </row>
    <row r="6315" spans="1:9" ht="14.25" customHeight="1">
      <c r="A6315" s="86" t="s">
        <v>19</v>
      </c>
      <c r="B6315" s="81"/>
      <c r="C6315" s="81"/>
      <c r="D6315" s="81"/>
      <c r="E6315" s="81"/>
      <c r="F6315" s="81"/>
      <c r="G6315" s="82"/>
      <c r="H6315" s="14">
        <f>MAX(0,H6314-648000)</f>
        <v>531900</v>
      </c>
      <c r="I6315" s="32"/>
    </row>
    <row r="6316" spans="1:9" ht="14.25" customHeight="1">
      <c r="A6316" s="87" t="s">
        <v>20</v>
      </c>
      <c r="B6316" s="81"/>
      <c r="C6316" s="81"/>
      <c r="D6316" s="81"/>
      <c r="E6316" s="81"/>
      <c r="F6316" s="81"/>
      <c r="G6316" s="82"/>
      <c r="H6316" s="15">
        <v>649000</v>
      </c>
      <c r="I6316" s="32"/>
    </row>
    <row r="6317" spans="1:9" ht="14.25" customHeight="1">
      <c r="I6317" s="32"/>
    </row>
    <row r="6318" spans="1:9" ht="14.25" customHeight="1">
      <c r="I6318" s="32"/>
    </row>
    <row r="6319" spans="1:9" ht="14.25" customHeight="1">
      <c r="I6319" s="32"/>
    </row>
    <row r="6320" spans="1:9" ht="14.25" customHeight="1">
      <c r="I6320" s="32"/>
    </row>
    <row r="6321" spans="1:9" ht="14.25" customHeight="1">
      <c r="I6321" s="32"/>
    </row>
    <row r="6322" spans="1:9" ht="14.25" customHeight="1">
      <c r="I6322" s="32"/>
    </row>
    <row r="6323" spans="1:9" ht="14.25" customHeight="1">
      <c r="I6323" s="32"/>
    </row>
    <row r="6324" spans="1:9" ht="14.25" customHeight="1">
      <c r="I6324" s="32"/>
    </row>
    <row r="6325" spans="1:9" ht="14.25" customHeight="1">
      <c r="I6325" s="32"/>
    </row>
    <row r="6326" spans="1:9" ht="14.25" customHeight="1">
      <c r="I6326" s="32"/>
    </row>
    <row r="6327" spans="1:9" ht="14.25" customHeight="1">
      <c r="I6327" s="32"/>
    </row>
    <row r="6328" spans="1:9" ht="14.25" customHeight="1">
      <c r="I6328" s="32"/>
    </row>
    <row r="6329" spans="1:9" ht="14.25" customHeight="1">
      <c r="A6329" s="85" t="s">
        <v>0</v>
      </c>
      <c r="B6329" s="81"/>
      <c r="C6329" s="81"/>
      <c r="D6329" s="81"/>
      <c r="E6329" s="81"/>
      <c r="F6329" s="81"/>
      <c r="G6329" s="81"/>
      <c r="H6329" s="82"/>
      <c r="I6329" s="32"/>
    </row>
    <row r="6330" spans="1:9" ht="14.25" customHeight="1">
      <c r="A6330" s="85" t="s">
        <v>1508</v>
      </c>
      <c r="B6330" s="81"/>
      <c r="C6330" s="81"/>
      <c r="D6330" s="81"/>
      <c r="E6330" s="81"/>
      <c r="F6330" s="81"/>
      <c r="G6330" s="81"/>
      <c r="H6330" s="82"/>
      <c r="I6330" s="32"/>
    </row>
    <row r="6331" spans="1:9" ht="14.25" customHeight="1">
      <c r="A6331" s="1" t="s">
        <v>2</v>
      </c>
      <c r="B6331" s="1" t="s">
        <v>3</v>
      </c>
      <c r="C6331" s="1" t="s">
        <v>4</v>
      </c>
      <c r="D6331" s="1" t="s">
        <v>5</v>
      </c>
      <c r="E6331" s="1" t="s">
        <v>6</v>
      </c>
      <c r="F6331" s="2" t="s">
        <v>7</v>
      </c>
      <c r="G6331" s="1" t="s">
        <v>8</v>
      </c>
      <c r="H6331" s="1"/>
      <c r="I6331" s="32"/>
    </row>
    <row r="6332" spans="1:9" ht="14.25" customHeight="1">
      <c r="A6332" s="3">
        <v>1</v>
      </c>
      <c r="B6332" s="55" t="s">
        <v>1267</v>
      </c>
      <c r="C6332" s="56" t="s">
        <v>1509</v>
      </c>
      <c r="D6332" s="57" t="s">
        <v>413</v>
      </c>
      <c r="E6332" s="57">
        <v>1.48</v>
      </c>
      <c r="F6332" s="6">
        <v>293000</v>
      </c>
      <c r="G6332" s="7">
        <f t="shared" ref="G6332:G6333" si="393">IFERROR(E6332*F6332,0)</f>
        <v>433640</v>
      </c>
      <c r="H6332" s="8"/>
      <c r="I6332" s="32"/>
    </row>
    <row r="6333" spans="1:9" ht="14.25" customHeight="1">
      <c r="A6333" s="3">
        <v>2</v>
      </c>
      <c r="B6333" s="55" t="s">
        <v>1802</v>
      </c>
      <c r="C6333" s="56" t="s">
        <v>1510</v>
      </c>
      <c r="D6333" s="57" t="s">
        <v>14</v>
      </c>
      <c r="E6333" s="57">
        <v>1.45</v>
      </c>
      <c r="F6333" s="11">
        <v>435000</v>
      </c>
      <c r="G6333" s="7">
        <f t="shared" si="393"/>
        <v>630750</v>
      </c>
      <c r="H6333" s="8"/>
      <c r="I6333" s="32"/>
    </row>
    <row r="6334" spans="1:9" ht="14.25" customHeight="1">
      <c r="A6334" s="3">
        <v>3</v>
      </c>
      <c r="B6334" s="63" t="s">
        <v>351</v>
      </c>
      <c r="C6334" s="65" t="s">
        <v>1511</v>
      </c>
      <c r="D6334" s="65" t="s">
        <v>11</v>
      </c>
      <c r="E6334" s="57">
        <v>1.25</v>
      </c>
      <c r="F6334" s="6">
        <v>293000</v>
      </c>
      <c r="G6334" s="7">
        <f>IFERROR(E6334*F6334,0)</f>
        <v>366250</v>
      </c>
      <c r="H6334" s="8"/>
      <c r="I6334" s="32"/>
    </row>
    <row r="6335" spans="1:9" ht="14.25" customHeight="1">
      <c r="A6335" s="3">
        <v>4</v>
      </c>
      <c r="B6335" s="8" t="s">
        <v>17</v>
      </c>
      <c r="C6335" s="8"/>
      <c r="D6335" s="8"/>
      <c r="E6335" s="8"/>
      <c r="F6335" s="8"/>
      <c r="G6335" s="13">
        <f>IFERROR(E6335*F6335,0)</f>
        <v>0</v>
      </c>
      <c r="H6335" s="8"/>
      <c r="I6335" s="32"/>
    </row>
    <row r="6336" spans="1:9" ht="14.25" customHeight="1">
      <c r="A6336" s="86" t="s">
        <v>18</v>
      </c>
      <c r="B6336" s="81"/>
      <c r="C6336" s="81"/>
      <c r="D6336" s="81"/>
      <c r="E6336" s="81"/>
      <c r="F6336" s="81"/>
      <c r="G6336" s="82"/>
      <c r="H6336" s="14">
        <f>SUM(G6332:G6335)</f>
        <v>1430640</v>
      </c>
      <c r="I6336" s="32"/>
    </row>
    <row r="6337" spans="1:9" ht="14.25" customHeight="1">
      <c r="A6337" s="86" t="s">
        <v>19</v>
      </c>
      <c r="B6337" s="81"/>
      <c r="C6337" s="81"/>
      <c r="D6337" s="81"/>
      <c r="E6337" s="81"/>
      <c r="F6337" s="81"/>
      <c r="G6337" s="82"/>
      <c r="H6337" s="14">
        <f>MAX(0,H6336-648000)</f>
        <v>782640</v>
      </c>
      <c r="I6337" s="32"/>
    </row>
    <row r="6338" spans="1:9" ht="14.25" customHeight="1">
      <c r="A6338" s="87" t="s">
        <v>20</v>
      </c>
      <c r="B6338" s="81"/>
      <c r="C6338" s="81"/>
      <c r="D6338" s="81"/>
      <c r="E6338" s="81"/>
      <c r="F6338" s="81"/>
      <c r="G6338" s="82"/>
      <c r="H6338" s="15">
        <v>649000</v>
      </c>
      <c r="I6338" s="32"/>
    </row>
    <row r="6339" spans="1:9" ht="14.25" customHeight="1">
      <c r="I6339" s="32"/>
    </row>
    <row r="6340" spans="1:9" ht="14.25" customHeight="1">
      <c r="I6340" s="32"/>
    </row>
    <row r="6341" spans="1:9" ht="14.25" customHeight="1">
      <c r="I6341" s="32"/>
    </row>
    <row r="6342" spans="1:9" ht="14.25" customHeight="1">
      <c r="I6342" s="32"/>
    </row>
    <row r="6343" spans="1:9" ht="14.25" customHeight="1">
      <c r="I6343" s="32"/>
    </row>
    <row r="6344" spans="1:9" ht="14.25" customHeight="1">
      <c r="I6344" s="32"/>
    </row>
    <row r="6345" spans="1:9" ht="14.25" customHeight="1">
      <c r="I6345" s="32"/>
    </row>
    <row r="6346" spans="1:9" ht="14.25" customHeight="1">
      <c r="A6346" s="85" t="s">
        <v>0</v>
      </c>
      <c r="B6346" s="81"/>
      <c r="C6346" s="81"/>
      <c r="D6346" s="81"/>
      <c r="E6346" s="81"/>
      <c r="F6346" s="81"/>
      <c r="G6346" s="81"/>
      <c r="H6346" s="82"/>
      <c r="I6346" s="32"/>
    </row>
    <row r="6347" spans="1:9" ht="14.25" customHeight="1">
      <c r="A6347" s="85" t="s">
        <v>1512</v>
      </c>
      <c r="B6347" s="81"/>
      <c r="C6347" s="81"/>
      <c r="D6347" s="81"/>
      <c r="E6347" s="81"/>
      <c r="F6347" s="81"/>
      <c r="G6347" s="81"/>
      <c r="H6347" s="82"/>
      <c r="I6347" s="32"/>
    </row>
    <row r="6348" spans="1:9" ht="14.25" customHeight="1">
      <c r="A6348" s="1" t="s">
        <v>2</v>
      </c>
      <c r="B6348" s="1" t="s">
        <v>3</v>
      </c>
      <c r="C6348" s="1" t="s">
        <v>4</v>
      </c>
      <c r="D6348" s="1" t="s">
        <v>5</v>
      </c>
      <c r="E6348" s="1" t="s">
        <v>6</v>
      </c>
      <c r="F6348" s="2" t="s">
        <v>7</v>
      </c>
      <c r="G6348" s="1" t="s">
        <v>8</v>
      </c>
      <c r="H6348" s="1"/>
      <c r="I6348" s="32"/>
    </row>
    <row r="6349" spans="1:9" ht="14.25" customHeight="1">
      <c r="A6349" s="3">
        <v>1</v>
      </c>
      <c r="B6349" s="55" t="s">
        <v>136</v>
      </c>
      <c r="C6349" s="56" t="s">
        <v>1513</v>
      </c>
      <c r="D6349" s="57" t="s">
        <v>413</v>
      </c>
      <c r="E6349" s="57">
        <v>1</v>
      </c>
      <c r="F6349" s="6">
        <v>293000</v>
      </c>
      <c r="G6349" s="7">
        <f t="shared" ref="G6349:G6350" si="394">IFERROR(E6349*F6349,0)</f>
        <v>293000</v>
      </c>
      <c r="H6349" s="8"/>
      <c r="I6349" s="32"/>
    </row>
    <row r="6350" spans="1:9" ht="14.25" customHeight="1">
      <c r="A6350" s="3">
        <v>2</v>
      </c>
      <c r="B6350" s="55" t="s">
        <v>1514</v>
      </c>
      <c r="C6350" s="56" t="s">
        <v>1515</v>
      </c>
      <c r="D6350" s="57" t="s">
        <v>233</v>
      </c>
      <c r="E6350" s="57">
        <v>0.92</v>
      </c>
      <c r="F6350" s="11">
        <v>435000</v>
      </c>
      <c r="G6350" s="7">
        <f t="shared" si="394"/>
        <v>400200</v>
      </c>
      <c r="H6350" s="8"/>
      <c r="I6350" s="32"/>
    </row>
    <row r="6351" spans="1:9" ht="14.25" customHeight="1">
      <c r="A6351" s="3">
        <v>3</v>
      </c>
      <c r="B6351" s="63" t="s">
        <v>968</v>
      </c>
      <c r="C6351" s="65" t="s">
        <v>1516</v>
      </c>
      <c r="D6351" s="65" t="s">
        <v>11</v>
      </c>
      <c r="E6351" s="57">
        <v>1.48</v>
      </c>
      <c r="F6351" s="6">
        <v>293000</v>
      </c>
      <c r="G6351" s="7">
        <f>IFERROR(E6351*F6351,0)</f>
        <v>433640</v>
      </c>
      <c r="H6351" s="8"/>
      <c r="I6351" s="32"/>
    </row>
    <row r="6352" spans="1:9" ht="14.25" customHeight="1">
      <c r="A6352" s="3">
        <v>4</v>
      </c>
      <c r="B6352" s="8" t="s">
        <v>17</v>
      </c>
      <c r="C6352" s="8"/>
      <c r="D6352" s="8"/>
      <c r="E6352" s="8"/>
      <c r="F6352" s="8"/>
      <c r="G6352" s="13">
        <f>IFERROR(E6352*F6352,0)</f>
        <v>0</v>
      </c>
      <c r="H6352" s="8"/>
      <c r="I6352" s="32"/>
    </row>
    <row r="6353" spans="1:9" ht="14.25" customHeight="1">
      <c r="A6353" s="86" t="s">
        <v>18</v>
      </c>
      <c r="B6353" s="81"/>
      <c r="C6353" s="81"/>
      <c r="D6353" s="81"/>
      <c r="E6353" s="81"/>
      <c r="F6353" s="81"/>
      <c r="G6353" s="82"/>
      <c r="H6353" s="14">
        <f>SUM(G6349:G6352)</f>
        <v>1126840</v>
      </c>
      <c r="I6353" s="32"/>
    </row>
    <row r="6354" spans="1:9" ht="14.25" customHeight="1">
      <c r="A6354" s="86" t="s">
        <v>19</v>
      </c>
      <c r="B6354" s="81"/>
      <c r="C6354" s="81"/>
      <c r="D6354" s="81"/>
      <c r="E6354" s="81"/>
      <c r="F6354" s="81"/>
      <c r="G6354" s="82"/>
      <c r="H6354" s="14">
        <f>MAX(0,H6353-648000)</f>
        <v>478840</v>
      </c>
      <c r="I6354" s="32"/>
    </row>
    <row r="6355" spans="1:9" ht="14.25" customHeight="1">
      <c r="A6355" s="87" t="s">
        <v>20</v>
      </c>
      <c r="B6355" s="81"/>
      <c r="C6355" s="81"/>
      <c r="D6355" s="81"/>
      <c r="E6355" s="81"/>
      <c r="F6355" s="81"/>
      <c r="G6355" s="82"/>
      <c r="H6355" s="15">
        <v>649000</v>
      </c>
      <c r="I6355" s="32"/>
    </row>
    <row r="6356" spans="1:9" ht="14.25" customHeight="1">
      <c r="I6356" s="32"/>
    </row>
    <row r="6357" spans="1:9" ht="14.25" customHeight="1">
      <c r="I6357" s="32"/>
    </row>
    <row r="6358" spans="1:9" ht="14.25" customHeight="1">
      <c r="I6358" s="32"/>
    </row>
    <row r="6359" spans="1:9" ht="14.25" customHeight="1">
      <c r="I6359" s="32"/>
    </row>
    <row r="6360" spans="1:9" ht="14.25" customHeight="1">
      <c r="I6360" s="32"/>
    </row>
    <row r="6361" spans="1:9" ht="14.25" customHeight="1">
      <c r="I6361" s="32"/>
    </row>
    <row r="6362" spans="1:9" ht="14.25" customHeight="1">
      <c r="I6362" s="32"/>
    </row>
    <row r="6363" spans="1:9" ht="14.25" customHeight="1">
      <c r="A6363" s="85" t="s">
        <v>0</v>
      </c>
      <c r="B6363" s="81"/>
      <c r="C6363" s="81"/>
      <c r="D6363" s="81"/>
      <c r="E6363" s="81"/>
      <c r="F6363" s="81"/>
      <c r="G6363" s="81"/>
      <c r="H6363" s="82"/>
      <c r="I6363" s="32"/>
    </row>
    <row r="6364" spans="1:9" ht="14.25" customHeight="1">
      <c r="A6364" s="85" t="s">
        <v>1517</v>
      </c>
      <c r="B6364" s="81"/>
      <c r="C6364" s="81"/>
      <c r="D6364" s="81"/>
      <c r="E6364" s="81"/>
      <c r="F6364" s="81"/>
      <c r="G6364" s="81"/>
      <c r="H6364" s="82"/>
      <c r="I6364" s="32"/>
    </row>
    <row r="6365" spans="1:9" ht="14.25" customHeight="1">
      <c r="A6365" s="1" t="s">
        <v>2</v>
      </c>
      <c r="B6365" s="1" t="s">
        <v>3</v>
      </c>
      <c r="C6365" s="1" t="s">
        <v>4</v>
      </c>
      <c r="D6365" s="1" t="s">
        <v>5</v>
      </c>
      <c r="E6365" s="1" t="s">
        <v>6</v>
      </c>
      <c r="F6365" s="2" t="s">
        <v>7</v>
      </c>
      <c r="G6365" s="1" t="s">
        <v>8</v>
      </c>
      <c r="H6365" s="1"/>
      <c r="I6365" s="32"/>
    </row>
    <row r="6366" spans="1:9" ht="14.25" customHeight="1">
      <c r="A6366" s="3">
        <v>1</v>
      </c>
      <c r="B6366" s="55" t="s">
        <v>668</v>
      </c>
      <c r="C6366" s="56" t="s">
        <v>1518</v>
      </c>
      <c r="D6366" s="57" t="s">
        <v>11</v>
      </c>
      <c r="E6366" s="57">
        <v>1.45</v>
      </c>
      <c r="F6366" s="6">
        <v>293000</v>
      </c>
      <c r="G6366" s="7">
        <f t="shared" ref="G6366:G6367" si="395">IFERROR(E6366*F6366,0)</f>
        <v>424850</v>
      </c>
      <c r="H6366" s="8"/>
      <c r="I6366" s="32"/>
    </row>
    <row r="6367" spans="1:9" ht="14.25" customHeight="1">
      <c r="A6367" s="3">
        <v>2</v>
      </c>
      <c r="B6367" s="55" t="s">
        <v>54</v>
      </c>
      <c r="C6367" s="56" t="s">
        <v>1519</v>
      </c>
      <c r="D6367" s="57" t="s">
        <v>233</v>
      </c>
      <c r="E6367" s="57">
        <v>1</v>
      </c>
      <c r="F6367" s="11">
        <v>435000</v>
      </c>
      <c r="G6367" s="7">
        <f t="shared" si="395"/>
        <v>435000</v>
      </c>
      <c r="H6367" s="8"/>
      <c r="I6367" s="32"/>
    </row>
    <row r="6368" spans="1:9" ht="14.25" customHeight="1">
      <c r="A6368" s="3">
        <v>3</v>
      </c>
      <c r="B6368" s="63" t="s">
        <v>962</v>
      </c>
      <c r="C6368" s="65" t="s">
        <v>1520</v>
      </c>
      <c r="D6368" s="65" t="s">
        <v>11</v>
      </c>
      <c r="E6368" s="57">
        <v>1</v>
      </c>
      <c r="F6368" s="6">
        <v>293000</v>
      </c>
      <c r="G6368" s="7">
        <f>IFERROR(E6368*F6368,0)</f>
        <v>293000</v>
      </c>
      <c r="H6368" s="8"/>
      <c r="I6368" s="32"/>
    </row>
    <row r="6369" spans="1:9" ht="14.25" customHeight="1">
      <c r="A6369" s="3">
        <v>4</v>
      </c>
      <c r="B6369" s="8" t="s">
        <v>17</v>
      </c>
      <c r="C6369" s="8"/>
      <c r="D6369" s="8"/>
      <c r="E6369" s="8"/>
      <c r="F6369" s="8"/>
      <c r="G6369" s="13">
        <f>IFERROR(E6369*F6369,0)</f>
        <v>0</v>
      </c>
      <c r="H6369" s="8"/>
      <c r="I6369" s="32"/>
    </row>
    <row r="6370" spans="1:9" ht="14.25" customHeight="1">
      <c r="A6370" s="86" t="s">
        <v>18</v>
      </c>
      <c r="B6370" s="81"/>
      <c r="C6370" s="81"/>
      <c r="D6370" s="81"/>
      <c r="E6370" s="81"/>
      <c r="F6370" s="81"/>
      <c r="G6370" s="82"/>
      <c r="H6370" s="14">
        <f>SUM(G6366:G6369)</f>
        <v>1152850</v>
      </c>
      <c r="I6370" s="32"/>
    </row>
    <row r="6371" spans="1:9" ht="14.25" customHeight="1">
      <c r="A6371" s="86" t="s">
        <v>19</v>
      </c>
      <c r="B6371" s="81"/>
      <c r="C6371" s="81"/>
      <c r="D6371" s="81"/>
      <c r="E6371" s="81"/>
      <c r="F6371" s="81"/>
      <c r="G6371" s="82"/>
      <c r="H6371" s="14">
        <f>MAX(0,H6370-648000)</f>
        <v>504850</v>
      </c>
      <c r="I6371" s="32"/>
    </row>
    <row r="6372" spans="1:9" ht="14.25" customHeight="1">
      <c r="A6372" s="87" t="s">
        <v>20</v>
      </c>
      <c r="B6372" s="81"/>
      <c r="C6372" s="81"/>
      <c r="D6372" s="81"/>
      <c r="E6372" s="81"/>
      <c r="F6372" s="81"/>
      <c r="G6372" s="82"/>
      <c r="H6372" s="15">
        <v>649000</v>
      </c>
      <c r="I6372" s="32"/>
    </row>
    <row r="6373" spans="1:9" ht="14.25" customHeight="1">
      <c r="I6373" s="32"/>
    </row>
    <row r="6374" spans="1:9" ht="14.25" customHeight="1">
      <c r="I6374" s="32"/>
    </row>
    <row r="6375" spans="1:9" ht="14.25" customHeight="1">
      <c r="I6375" s="32"/>
    </row>
    <row r="6376" spans="1:9" ht="14.25" customHeight="1">
      <c r="I6376" s="32"/>
    </row>
    <row r="6377" spans="1:9" ht="14.25" customHeight="1">
      <c r="I6377" s="32"/>
    </row>
    <row r="6378" spans="1:9" ht="14.25" customHeight="1">
      <c r="I6378" s="32"/>
    </row>
    <row r="6379" spans="1:9" ht="14.25" customHeight="1">
      <c r="A6379" s="85" t="s">
        <v>0</v>
      </c>
      <c r="B6379" s="81"/>
      <c r="C6379" s="81"/>
      <c r="D6379" s="81"/>
      <c r="E6379" s="81"/>
      <c r="F6379" s="81"/>
      <c r="G6379" s="81"/>
      <c r="H6379" s="82"/>
      <c r="I6379" s="32"/>
    </row>
    <row r="6380" spans="1:9" ht="14.25" customHeight="1">
      <c r="A6380" s="85" t="s">
        <v>1521</v>
      </c>
      <c r="B6380" s="81"/>
      <c r="C6380" s="81"/>
      <c r="D6380" s="81"/>
      <c r="E6380" s="81"/>
      <c r="F6380" s="81"/>
      <c r="G6380" s="81"/>
      <c r="H6380" s="82"/>
      <c r="I6380" s="32"/>
    </row>
    <row r="6381" spans="1:9" ht="14.25" customHeight="1">
      <c r="A6381" s="1" t="s">
        <v>2</v>
      </c>
      <c r="B6381" s="1" t="s">
        <v>3</v>
      </c>
      <c r="C6381" s="1" t="s">
        <v>4</v>
      </c>
      <c r="D6381" s="1" t="s">
        <v>5</v>
      </c>
      <c r="E6381" s="1" t="s">
        <v>6</v>
      </c>
      <c r="F6381" s="2" t="s">
        <v>7</v>
      </c>
      <c r="G6381" s="1" t="s">
        <v>8</v>
      </c>
      <c r="H6381" s="1"/>
      <c r="I6381" s="32"/>
    </row>
    <row r="6382" spans="1:9" ht="14.25" customHeight="1">
      <c r="A6382" s="3">
        <v>1</v>
      </c>
      <c r="B6382" s="4" t="s">
        <v>47</v>
      </c>
      <c r="C6382" s="18" t="s">
        <v>1522</v>
      </c>
      <c r="D6382" s="4" t="s">
        <v>11</v>
      </c>
      <c r="E6382" s="4">
        <v>1.5</v>
      </c>
      <c r="F6382" s="6">
        <v>293000</v>
      </c>
      <c r="G6382" s="7">
        <f t="shared" ref="G6382:G6384" si="396">IFERROR(E6382*F6382,0)</f>
        <v>439500</v>
      </c>
      <c r="H6382" s="8"/>
      <c r="I6382" s="32"/>
    </row>
    <row r="6383" spans="1:9" ht="14.25" customHeight="1">
      <c r="A6383" s="3">
        <v>2</v>
      </c>
      <c r="B6383" s="4" t="s">
        <v>172</v>
      </c>
      <c r="C6383" s="18" t="s">
        <v>1523</v>
      </c>
      <c r="D6383" s="4" t="s">
        <v>14</v>
      </c>
      <c r="E6383" s="4">
        <v>2</v>
      </c>
      <c r="F6383" s="11">
        <v>435000</v>
      </c>
      <c r="G6383" s="7">
        <f t="shared" si="396"/>
        <v>870000</v>
      </c>
      <c r="H6383" s="8"/>
      <c r="I6383" s="32"/>
    </row>
    <row r="6384" spans="1:9" ht="14.25" customHeight="1">
      <c r="A6384" s="3">
        <v>3</v>
      </c>
      <c r="B6384" s="8" t="s">
        <v>17</v>
      </c>
      <c r="C6384" s="8"/>
      <c r="D6384" s="8"/>
      <c r="E6384" s="8"/>
      <c r="F6384" s="8"/>
      <c r="G6384" s="13">
        <f t="shared" si="396"/>
        <v>0</v>
      </c>
      <c r="H6384" s="8"/>
      <c r="I6384" s="32"/>
    </row>
    <row r="6385" spans="1:9" ht="14.25" customHeight="1">
      <c r="A6385" s="86" t="s">
        <v>18</v>
      </c>
      <c r="B6385" s="81"/>
      <c r="C6385" s="81"/>
      <c r="D6385" s="81"/>
      <c r="E6385" s="81"/>
      <c r="F6385" s="81"/>
      <c r="G6385" s="82"/>
      <c r="H6385" s="14">
        <f>SUM(G6382:G6384)</f>
        <v>1309500</v>
      </c>
      <c r="I6385" s="32"/>
    </row>
    <row r="6386" spans="1:9" ht="14.25" customHeight="1">
      <c r="A6386" s="86" t="s">
        <v>19</v>
      </c>
      <c r="B6386" s="81"/>
      <c r="C6386" s="81"/>
      <c r="D6386" s="81"/>
      <c r="E6386" s="81"/>
      <c r="F6386" s="81"/>
      <c r="G6386" s="82"/>
      <c r="H6386" s="14">
        <f>MAX(0,H6385-648000)</f>
        <v>661500</v>
      </c>
      <c r="I6386" s="32"/>
    </row>
    <row r="6387" spans="1:9" ht="14.25" customHeight="1">
      <c r="A6387" s="87" t="s">
        <v>20</v>
      </c>
      <c r="B6387" s="81"/>
      <c r="C6387" s="81"/>
      <c r="D6387" s="81"/>
      <c r="E6387" s="81"/>
      <c r="F6387" s="81"/>
      <c r="G6387" s="82"/>
      <c r="H6387" s="15">
        <v>649000</v>
      </c>
      <c r="I6387" s="32"/>
    </row>
    <row r="6388" spans="1:9" ht="14.25" customHeight="1">
      <c r="A6388" s="85"/>
      <c r="B6388" s="81"/>
      <c r="C6388" s="81"/>
      <c r="D6388" s="81"/>
      <c r="E6388" s="81"/>
      <c r="F6388" s="81"/>
      <c r="G6388" s="81"/>
      <c r="H6388" s="82"/>
      <c r="I6388" s="32"/>
    </row>
    <row r="6389" spans="1:9" ht="14.25" customHeight="1">
      <c r="A6389" s="69"/>
      <c r="B6389" s="68"/>
      <c r="C6389" s="68"/>
      <c r="D6389" s="68"/>
      <c r="E6389" s="68"/>
      <c r="F6389" s="68"/>
      <c r="G6389" s="68"/>
      <c r="H6389" s="68"/>
      <c r="I6389" s="32"/>
    </row>
    <row r="6390" spans="1:9" ht="14.25" customHeight="1">
      <c r="A6390" s="69"/>
      <c r="B6390" s="68"/>
      <c r="C6390" s="68"/>
      <c r="D6390" s="68"/>
      <c r="E6390" s="68"/>
      <c r="F6390" s="68"/>
      <c r="G6390" s="68"/>
      <c r="H6390" s="68"/>
      <c r="I6390" s="32"/>
    </row>
    <row r="6391" spans="1:9" ht="14.25" customHeight="1">
      <c r="A6391" s="69"/>
      <c r="B6391" s="68"/>
      <c r="C6391" s="68"/>
      <c r="D6391" s="68"/>
      <c r="E6391" s="68"/>
      <c r="F6391" s="68"/>
      <c r="G6391" s="68"/>
      <c r="H6391" s="68"/>
      <c r="I6391" s="32"/>
    </row>
    <row r="6392" spans="1:9" ht="14.25" customHeight="1">
      <c r="A6392" s="85" t="s">
        <v>0</v>
      </c>
      <c r="B6392" s="81"/>
      <c r="C6392" s="81"/>
      <c r="D6392" s="81"/>
      <c r="E6392" s="81"/>
      <c r="F6392" s="81"/>
      <c r="G6392" s="81"/>
      <c r="H6392" s="82"/>
      <c r="I6392" s="32"/>
    </row>
    <row r="6393" spans="1:9" ht="14.25" customHeight="1">
      <c r="A6393" s="85" t="s">
        <v>1524</v>
      </c>
      <c r="B6393" s="81"/>
      <c r="C6393" s="81"/>
      <c r="D6393" s="81"/>
      <c r="E6393" s="81"/>
      <c r="F6393" s="81"/>
      <c r="G6393" s="81"/>
      <c r="H6393" s="82"/>
      <c r="I6393" s="32"/>
    </row>
    <row r="6394" spans="1:9" ht="14.25" customHeight="1">
      <c r="A6394" s="1" t="s">
        <v>2</v>
      </c>
      <c r="B6394" s="1" t="s">
        <v>3</v>
      </c>
      <c r="C6394" s="1" t="s">
        <v>4</v>
      </c>
      <c r="D6394" s="1" t="s">
        <v>5</v>
      </c>
      <c r="E6394" s="1" t="s">
        <v>6</v>
      </c>
      <c r="F6394" s="2" t="s">
        <v>7</v>
      </c>
      <c r="G6394" s="1" t="s">
        <v>8</v>
      </c>
      <c r="H6394" s="1"/>
      <c r="I6394" s="32"/>
    </row>
    <row r="6395" spans="1:9" ht="14.25" customHeight="1">
      <c r="A6395" s="3">
        <v>1</v>
      </c>
      <c r="B6395" s="9" t="s">
        <v>73</v>
      </c>
      <c r="C6395" s="12" t="s">
        <v>1525</v>
      </c>
      <c r="D6395" s="9" t="s">
        <v>11</v>
      </c>
      <c r="E6395" s="9">
        <v>1.5</v>
      </c>
      <c r="F6395" s="6">
        <v>293000</v>
      </c>
      <c r="G6395" s="7">
        <f t="shared" ref="G6395:G6397" si="397">IFERROR(E6395*F6395,0)</f>
        <v>439500</v>
      </c>
      <c r="H6395" s="8"/>
      <c r="I6395" s="32"/>
    </row>
    <row r="6396" spans="1:9" ht="14.25" customHeight="1">
      <c r="A6396" s="3">
        <v>2</v>
      </c>
      <c r="B6396" s="9" t="s">
        <v>463</v>
      </c>
      <c r="C6396" s="10" t="s">
        <v>1526</v>
      </c>
      <c r="D6396" s="9" t="s">
        <v>14</v>
      </c>
      <c r="E6396" s="9">
        <v>2</v>
      </c>
      <c r="F6396" s="11">
        <v>435000</v>
      </c>
      <c r="G6396" s="7">
        <f t="shared" si="397"/>
        <v>870000</v>
      </c>
      <c r="H6396" s="8"/>
      <c r="I6396" s="32"/>
    </row>
    <row r="6397" spans="1:9" ht="14.25" customHeight="1">
      <c r="A6397" s="3">
        <v>3</v>
      </c>
      <c r="B6397" s="8" t="s">
        <v>17</v>
      </c>
      <c r="C6397" s="8"/>
      <c r="D6397" s="8"/>
      <c r="E6397" s="8"/>
      <c r="F6397" s="8"/>
      <c r="G6397" s="13">
        <f t="shared" si="397"/>
        <v>0</v>
      </c>
      <c r="H6397" s="8"/>
      <c r="I6397" s="32"/>
    </row>
    <row r="6398" spans="1:9" ht="14.25" customHeight="1">
      <c r="A6398" s="86" t="s">
        <v>18</v>
      </c>
      <c r="B6398" s="81"/>
      <c r="C6398" s="81"/>
      <c r="D6398" s="81"/>
      <c r="E6398" s="81"/>
      <c r="F6398" s="81"/>
      <c r="G6398" s="82"/>
      <c r="H6398" s="14">
        <f>SUM(G6395:G6397)</f>
        <v>1309500</v>
      </c>
      <c r="I6398" s="32"/>
    </row>
    <row r="6399" spans="1:9" ht="14.25" customHeight="1">
      <c r="A6399" s="86" t="s">
        <v>19</v>
      </c>
      <c r="B6399" s="81"/>
      <c r="C6399" s="81"/>
      <c r="D6399" s="81"/>
      <c r="E6399" s="81"/>
      <c r="F6399" s="81"/>
      <c r="G6399" s="82"/>
      <c r="H6399" s="14">
        <f>MAX(0,H6398-648000)</f>
        <v>661500</v>
      </c>
      <c r="I6399" s="32"/>
    </row>
    <row r="6400" spans="1:9" ht="14.25" customHeight="1">
      <c r="A6400" s="87" t="s">
        <v>20</v>
      </c>
      <c r="B6400" s="81"/>
      <c r="C6400" s="81"/>
      <c r="D6400" s="81"/>
      <c r="E6400" s="81"/>
      <c r="F6400" s="81"/>
      <c r="G6400" s="82"/>
      <c r="H6400" s="15">
        <v>649000</v>
      </c>
      <c r="I6400" s="32"/>
    </row>
    <row r="6401" spans="1:9" ht="14.25" customHeight="1">
      <c r="A6401" s="85"/>
      <c r="B6401" s="81"/>
      <c r="C6401" s="81"/>
      <c r="D6401" s="81"/>
      <c r="E6401" s="81"/>
      <c r="F6401" s="81"/>
      <c r="G6401" s="81"/>
      <c r="H6401" s="82"/>
      <c r="I6401" s="32"/>
    </row>
    <row r="6402" spans="1:9" ht="14.25" customHeight="1">
      <c r="I6402" s="32"/>
    </row>
    <row r="6403" spans="1:9" ht="14.25" customHeight="1">
      <c r="I6403" s="32"/>
    </row>
    <row r="6404" spans="1:9" ht="14.25" customHeight="1">
      <c r="A6404" s="85" t="s">
        <v>0</v>
      </c>
      <c r="B6404" s="81"/>
      <c r="C6404" s="81"/>
      <c r="D6404" s="81"/>
      <c r="E6404" s="81"/>
      <c r="F6404" s="81"/>
      <c r="G6404" s="81"/>
      <c r="H6404" s="82"/>
      <c r="I6404" s="32"/>
    </row>
    <row r="6405" spans="1:9" ht="14.25" customHeight="1">
      <c r="A6405" s="85" t="s">
        <v>1527</v>
      </c>
      <c r="B6405" s="81"/>
      <c r="C6405" s="81"/>
      <c r="D6405" s="81"/>
      <c r="E6405" s="81"/>
      <c r="F6405" s="81"/>
      <c r="G6405" s="81"/>
      <c r="H6405" s="82"/>
      <c r="I6405" s="32"/>
    </row>
    <row r="6406" spans="1:9" ht="14.25" customHeight="1">
      <c r="A6406" s="1" t="s">
        <v>2</v>
      </c>
      <c r="B6406" s="1" t="s">
        <v>3</v>
      </c>
      <c r="C6406" s="1" t="s">
        <v>4</v>
      </c>
      <c r="D6406" s="1" t="s">
        <v>5</v>
      </c>
      <c r="E6406" s="1" t="s">
        <v>6</v>
      </c>
      <c r="F6406" s="2" t="s">
        <v>7</v>
      </c>
      <c r="G6406" s="1" t="s">
        <v>8</v>
      </c>
      <c r="H6406" s="1"/>
      <c r="I6406" s="32"/>
    </row>
    <row r="6407" spans="1:9" ht="14.25" customHeight="1">
      <c r="A6407" s="3">
        <v>1</v>
      </c>
      <c r="B6407" s="9" t="s">
        <v>136</v>
      </c>
      <c r="C6407" s="10" t="s">
        <v>1528</v>
      </c>
      <c r="D6407" s="9" t="s">
        <v>11</v>
      </c>
      <c r="E6407" s="9">
        <v>1.47</v>
      </c>
      <c r="F6407" s="6">
        <v>293000</v>
      </c>
      <c r="G6407" s="7">
        <f t="shared" ref="G6407:G6409" si="398">IFERROR(E6407*F6407,0)</f>
        <v>430710</v>
      </c>
      <c r="H6407" s="8"/>
      <c r="I6407" s="32"/>
    </row>
    <row r="6408" spans="1:9" ht="14.25" customHeight="1">
      <c r="A6408" s="3">
        <v>2</v>
      </c>
      <c r="B6408" s="4" t="s">
        <v>1529</v>
      </c>
      <c r="C6408" s="5" t="s">
        <v>1530</v>
      </c>
      <c r="D6408" s="4" t="s">
        <v>14</v>
      </c>
      <c r="E6408" s="4">
        <v>2</v>
      </c>
      <c r="F6408" s="11">
        <v>435000</v>
      </c>
      <c r="G6408" s="7">
        <f t="shared" si="398"/>
        <v>870000</v>
      </c>
      <c r="H6408" s="8"/>
      <c r="I6408" s="32"/>
    </row>
    <row r="6409" spans="1:9" ht="14.25" customHeight="1">
      <c r="A6409" s="3">
        <v>3</v>
      </c>
      <c r="B6409" s="8" t="s">
        <v>17</v>
      </c>
      <c r="C6409" s="8"/>
      <c r="D6409" s="8"/>
      <c r="E6409" s="8"/>
      <c r="F6409" s="8"/>
      <c r="G6409" s="13">
        <f t="shared" si="398"/>
        <v>0</v>
      </c>
      <c r="H6409" s="8"/>
      <c r="I6409" s="32"/>
    </row>
    <row r="6410" spans="1:9" ht="14.25" customHeight="1">
      <c r="A6410" s="86" t="s">
        <v>18</v>
      </c>
      <c r="B6410" s="81"/>
      <c r="C6410" s="81"/>
      <c r="D6410" s="81"/>
      <c r="E6410" s="81"/>
      <c r="F6410" s="81"/>
      <c r="G6410" s="82"/>
      <c r="H6410" s="14">
        <f>SUM(G6407:G6409)</f>
        <v>1300710</v>
      </c>
      <c r="I6410" s="32"/>
    </row>
    <row r="6411" spans="1:9" ht="14.25" customHeight="1">
      <c r="A6411" s="86" t="s">
        <v>19</v>
      </c>
      <c r="B6411" s="81"/>
      <c r="C6411" s="81"/>
      <c r="D6411" s="81"/>
      <c r="E6411" s="81"/>
      <c r="F6411" s="81"/>
      <c r="G6411" s="82"/>
      <c r="H6411" s="14">
        <f>MAX(0,H6410-648000)</f>
        <v>652710</v>
      </c>
      <c r="I6411" s="32"/>
    </row>
    <row r="6412" spans="1:9" ht="14.25" customHeight="1">
      <c r="A6412" s="87" t="s">
        <v>20</v>
      </c>
      <c r="B6412" s="81"/>
      <c r="C6412" s="81"/>
      <c r="D6412" s="81"/>
      <c r="E6412" s="81"/>
      <c r="F6412" s="81"/>
      <c r="G6412" s="82"/>
      <c r="H6412" s="15">
        <v>649000</v>
      </c>
      <c r="I6412" s="32"/>
    </row>
    <row r="6413" spans="1:9" ht="14.25" customHeight="1">
      <c r="A6413" s="85"/>
      <c r="B6413" s="81"/>
      <c r="C6413" s="81"/>
      <c r="D6413" s="81"/>
      <c r="E6413" s="81"/>
      <c r="F6413" s="81"/>
      <c r="G6413" s="81"/>
      <c r="H6413" s="82"/>
      <c r="I6413" s="32"/>
    </row>
    <row r="6414" spans="1:9" ht="14.25" customHeight="1">
      <c r="I6414" s="32"/>
    </row>
    <row r="6415" spans="1:9" ht="14.25" customHeight="1">
      <c r="I6415" s="32"/>
    </row>
    <row r="6416" spans="1:9" ht="14.25" customHeight="1">
      <c r="I6416" s="32"/>
    </row>
    <row r="6417" spans="1:9" ht="14.25" customHeight="1">
      <c r="A6417" s="85" t="s">
        <v>0</v>
      </c>
      <c r="B6417" s="81"/>
      <c r="C6417" s="81"/>
      <c r="D6417" s="81"/>
      <c r="E6417" s="81"/>
      <c r="F6417" s="81"/>
      <c r="G6417" s="81"/>
      <c r="H6417" s="82"/>
      <c r="I6417" s="32"/>
    </row>
    <row r="6418" spans="1:9" ht="14.25" customHeight="1">
      <c r="A6418" s="85" t="s">
        <v>1531</v>
      </c>
      <c r="B6418" s="81"/>
      <c r="C6418" s="81"/>
      <c r="D6418" s="81"/>
      <c r="E6418" s="81"/>
      <c r="F6418" s="81"/>
      <c r="G6418" s="81"/>
      <c r="H6418" s="82"/>
    </row>
    <row r="6419" spans="1:9" ht="14.25" customHeight="1">
      <c r="A6419" s="1" t="s">
        <v>2</v>
      </c>
      <c r="B6419" s="1" t="s">
        <v>3</v>
      </c>
      <c r="C6419" s="1" t="s">
        <v>4</v>
      </c>
      <c r="D6419" s="1" t="s">
        <v>5</v>
      </c>
      <c r="E6419" s="1" t="s">
        <v>6</v>
      </c>
      <c r="F6419" s="2" t="s">
        <v>7</v>
      </c>
      <c r="G6419" s="1" t="s">
        <v>8</v>
      </c>
      <c r="H6419" s="1"/>
    </row>
    <row r="6420" spans="1:9" ht="14.25" customHeight="1">
      <c r="A6420" s="3">
        <v>1</v>
      </c>
      <c r="B6420" s="4" t="s">
        <v>215</v>
      </c>
      <c r="C6420" s="5" t="s">
        <v>1532</v>
      </c>
      <c r="D6420" s="4" t="s">
        <v>11</v>
      </c>
      <c r="E6420" s="4">
        <v>1.4</v>
      </c>
      <c r="F6420" s="6">
        <v>293000</v>
      </c>
      <c r="G6420" s="7">
        <f t="shared" ref="G6420:G6422" si="399">IFERROR(E6420*F6420,0)</f>
        <v>410200</v>
      </c>
      <c r="H6420" s="8"/>
    </row>
    <row r="6421" spans="1:9" ht="14.25" customHeight="1">
      <c r="A6421" s="3">
        <v>2</v>
      </c>
      <c r="B6421" s="9" t="s">
        <v>144</v>
      </c>
      <c r="C6421" s="10" t="s">
        <v>1533</v>
      </c>
      <c r="D6421" s="9" t="s">
        <v>14</v>
      </c>
      <c r="E6421" s="9">
        <v>2.25</v>
      </c>
      <c r="F6421" s="11">
        <v>435000</v>
      </c>
      <c r="G6421" s="7">
        <f t="shared" si="399"/>
        <v>978750</v>
      </c>
      <c r="H6421" s="8"/>
    </row>
    <row r="6422" spans="1:9" ht="14.25" customHeight="1">
      <c r="A6422" s="3">
        <v>3</v>
      </c>
      <c r="B6422" s="8" t="s">
        <v>17</v>
      </c>
      <c r="C6422" s="8"/>
      <c r="D6422" s="8"/>
      <c r="E6422" s="8"/>
      <c r="F6422" s="8"/>
      <c r="G6422" s="13">
        <f t="shared" si="399"/>
        <v>0</v>
      </c>
      <c r="H6422" s="8"/>
    </row>
    <row r="6423" spans="1:9" ht="14.25" customHeight="1">
      <c r="A6423" s="86" t="s">
        <v>18</v>
      </c>
      <c r="B6423" s="81"/>
      <c r="C6423" s="81"/>
      <c r="D6423" s="81"/>
      <c r="E6423" s="81"/>
      <c r="F6423" s="81"/>
      <c r="G6423" s="82"/>
      <c r="H6423" s="14">
        <f>SUM(G6420:G6422)</f>
        <v>1388950</v>
      </c>
    </row>
    <row r="6424" spans="1:9" ht="14.25" customHeight="1">
      <c r="A6424" s="86" t="s">
        <v>19</v>
      </c>
      <c r="B6424" s="81"/>
      <c r="C6424" s="81"/>
      <c r="D6424" s="81"/>
      <c r="E6424" s="81"/>
      <c r="F6424" s="81"/>
      <c r="G6424" s="82"/>
      <c r="H6424" s="14">
        <f>MAX(0,H6423-648000)</f>
        <v>740950</v>
      </c>
    </row>
    <row r="6425" spans="1:9" ht="14.25" customHeight="1">
      <c r="A6425" s="87" t="s">
        <v>20</v>
      </c>
      <c r="B6425" s="81"/>
      <c r="C6425" s="81"/>
      <c r="D6425" s="81"/>
      <c r="E6425" s="81"/>
      <c r="F6425" s="81"/>
      <c r="G6425" s="82"/>
      <c r="H6425" s="15">
        <v>649000</v>
      </c>
    </row>
    <row r="6426" spans="1:9" ht="14.25" customHeight="1">
      <c r="A6426" s="85"/>
      <c r="B6426" s="81"/>
      <c r="C6426" s="81"/>
      <c r="D6426" s="81"/>
      <c r="E6426" s="81"/>
      <c r="F6426" s="81"/>
      <c r="G6426" s="81"/>
      <c r="H6426" s="82"/>
    </row>
    <row r="6427" spans="1:9" ht="14.25" customHeight="1"/>
    <row r="6428" spans="1:9" ht="14.25" customHeight="1"/>
    <row r="6429" spans="1:9" ht="14.25" customHeight="1"/>
    <row r="6430" spans="1:9" ht="14.25" customHeight="1"/>
    <row r="6431" spans="1:9" ht="14.25" customHeight="1">
      <c r="A6431" s="85" t="s">
        <v>0</v>
      </c>
      <c r="B6431" s="81"/>
      <c r="C6431" s="81"/>
      <c r="D6431" s="81"/>
      <c r="E6431" s="81"/>
      <c r="F6431" s="81"/>
      <c r="G6431" s="81"/>
      <c r="H6431" s="82"/>
    </row>
    <row r="6432" spans="1:9" ht="14.25" customHeight="1">
      <c r="A6432" s="85" t="s">
        <v>1534</v>
      </c>
      <c r="B6432" s="81"/>
      <c r="C6432" s="81"/>
      <c r="D6432" s="81"/>
      <c r="E6432" s="81"/>
      <c r="F6432" s="81"/>
      <c r="G6432" s="81"/>
      <c r="H6432" s="82"/>
    </row>
    <row r="6433" spans="1:8" ht="14.25" customHeight="1">
      <c r="A6433" s="1" t="s">
        <v>2</v>
      </c>
      <c r="B6433" s="1" t="s">
        <v>3</v>
      </c>
      <c r="C6433" s="1" t="s">
        <v>4</v>
      </c>
      <c r="D6433" s="1" t="s">
        <v>5</v>
      </c>
      <c r="E6433" s="1" t="s">
        <v>6</v>
      </c>
      <c r="F6433" s="2" t="s">
        <v>7</v>
      </c>
      <c r="G6433" s="1" t="s">
        <v>8</v>
      </c>
      <c r="H6433" s="1"/>
    </row>
    <row r="6434" spans="1:8" ht="14.25" customHeight="1">
      <c r="A6434" s="3">
        <v>1</v>
      </c>
      <c r="B6434" s="9" t="s">
        <v>252</v>
      </c>
      <c r="C6434" s="10" t="s">
        <v>1535</v>
      </c>
      <c r="D6434" s="9" t="s">
        <v>11</v>
      </c>
      <c r="E6434" s="9">
        <v>2</v>
      </c>
      <c r="F6434" s="6">
        <v>293000</v>
      </c>
      <c r="G6434" s="7">
        <v>586000</v>
      </c>
      <c r="H6434" s="8"/>
    </row>
    <row r="6435" spans="1:8" ht="14.25" customHeight="1">
      <c r="A6435" s="3">
        <v>2</v>
      </c>
      <c r="B6435" s="9" t="s">
        <v>1479</v>
      </c>
      <c r="C6435" s="10" t="s">
        <v>1536</v>
      </c>
      <c r="D6435" s="9" t="s">
        <v>14</v>
      </c>
      <c r="E6435" s="9">
        <v>1.47</v>
      </c>
      <c r="F6435" s="11">
        <v>435000</v>
      </c>
      <c r="G6435" s="7">
        <v>639000</v>
      </c>
      <c r="H6435" s="8"/>
    </row>
    <row r="6436" spans="1:8" ht="14.25" customHeight="1">
      <c r="A6436" s="3">
        <v>3</v>
      </c>
      <c r="B6436" s="8" t="s">
        <v>17</v>
      </c>
      <c r="C6436" s="8"/>
      <c r="D6436" s="8"/>
      <c r="E6436" s="8"/>
      <c r="F6436" s="8"/>
      <c r="G6436" s="13">
        <f>IFERROR(E6436*F6436,0)</f>
        <v>0</v>
      </c>
      <c r="H6436" s="8"/>
    </row>
    <row r="6437" spans="1:8" ht="14.25" customHeight="1">
      <c r="A6437" s="86" t="s">
        <v>18</v>
      </c>
      <c r="B6437" s="81"/>
      <c r="C6437" s="81"/>
      <c r="D6437" s="81"/>
      <c r="E6437" s="81"/>
      <c r="F6437" s="81"/>
      <c r="G6437" s="82"/>
      <c r="H6437" s="14">
        <f>SUM(G6434:G6436)</f>
        <v>1225000</v>
      </c>
    </row>
    <row r="6438" spans="1:8" ht="14.25" customHeight="1">
      <c r="A6438" s="86" t="s">
        <v>19</v>
      </c>
      <c r="B6438" s="81"/>
      <c r="C6438" s="81"/>
      <c r="D6438" s="81"/>
      <c r="E6438" s="81"/>
      <c r="F6438" s="81"/>
      <c r="G6438" s="82"/>
      <c r="H6438" s="14">
        <f>MAX(0,H6437-648000)</f>
        <v>577000</v>
      </c>
    </row>
    <row r="6439" spans="1:8" ht="14.25" customHeight="1">
      <c r="A6439" s="87" t="s">
        <v>20</v>
      </c>
      <c r="B6439" s="81"/>
      <c r="C6439" s="81"/>
      <c r="D6439" s="81"/>
      <c r="E6439" s="81"/>
      <c r="F6439" s="81"/>
      <c r="G6439" s="82"/>
      <c r="H6439" s="15">
        <v>649000</v>
      </c>
    </row>
    <row r="6440" spans="1:8" ht="14.25" customHeight="1">
      <c r="A6440" s="85"/>
      <c r="B6440" s="81"/>
      <c r="C6440" s="81"/>
      <c r="D6440" s="81"/>
      <c r="E6440" s="81"/>
      <c r="F6440" s="81"/>
      <c r="G6440" s="81"/>
      <c r="H6440" s="82"/>
    </row>
    <row r="6441" spans="1:8" ht="14.25" customHeight="1"/>
    <row r="6442" spans="1:8" ht="14.25" customHeight="1"/>
    <row r="6443" spans="1:8" ht="14.25" customHeight="1"/>
    <row r="6444" spans="1:8" ht="14.25" customHeight="1"/>
    <row r="6445" spans="1:8" ht="14.25" customHeight="1">
      <c r="A6445" s="85" t="s">
        <v>0</v>
      </c>
      <c r="B6445" s="81"/>
      <c r="C6445" s="81"/>
      <c r="D6445" s="81"/>
      <c r="E6445" s="81"/>
      <c r="F6445" s="81"/>
      <c r="G6445" s="81"/>
      <c r="H6445" s="82"/>
    </row>
    <row r="6446" spans="1:8" ht="14.25" customHeight="1">
      <c r="A6446" s="85" t="s">
        <v>1537</v>
      </c>
      <c r="B6446" s="81"/>
      <c r="C6446" s="81"/>
      <c r="D6446" s="81"/>
      <c r="E6446" s="81"/>
      <c r="F6446" s="81"/>
      <c r="G6446" s="81"/>
      <c r="H6446" s="82"/>
    </row>
    <row r="6447" spans="1:8" ht="14.25" customHeight="1">
      <c r="A6447" s="1" t="s">
        <v>2</v>
      </c>
      <c r="B6447" s="1" t="s">
        <v>3</v>
      </c>
      <c r="C6447" s="1" t="s">
        <v>4</v>
      </c>
      <c r="D6447" s="1" t="s">
        <v>5</v>
      </c>
      <c r="E6447" s="1" t="s">
        <v>6</v>
      </c>
      <c r="F6447" s="2" t="s">
        <v>7</v>
      </c>
      <c r="G6447" s="1" t="s">
        <v>8</v>
      </c>
      <c r="H6447" s="1"/>
    </row>
    <row r="6448" spans="1:8" ht="14.25" customHeight="1">
      <c r="A6448" s="3">
        <v>1</v>
      </c>
      <c r="B6448" s="9" t="s">
        <v>73</v>
      </c>
      <c r="C6448" s="10" t="s">
        <v>1538</v>
      </c>
      <c r="D6448" s="9" t="s">
        <v>11</v>
      </c>
      <c r="E6448" s="9">
        <v>1.9</v>
      </c>
      <c r="F6448" s="6">
        <v>293000</v>
      </c>
      <c r="G6448" s="7">
        <v>556000</v>
      </c>
      <c r="H6448" s="8"/>
    </row>
    <row r="6449" spans="1:8" ht="14.25" customHeight="1">
      <c r="A6449" s="3">
        <v>2</v>
      </c>
      <c r="B6449" s="9" t="s">
        <v>38</v>
      </c>
      <c r="C6449" s="10" t="s">
        <v>1539</v>
      </c>
      <c r="D6449" s="9" t="s">
        <v>14</v>
      </c>
      <c r="E6449" s="9">
        <v>1.5</v>
      </c>
      <c r="F6449" s="11">
        <v>435000</v>
      </c>
      <c r="G6449" s="7">
        <v>652000</v>
      </c>
      <c r="H6449" s="8"/>
    </row>
    <row r="6450" spans="1:8" ht="14.25" customHeight="1">
      <c r="A6450" s="3">
        <v>3</v>
      </c>
      <c r="B6450" s="8" t="s">
        <v>17</v>
      </c>
      <c r="C6450" s="8"/>
      <c r="D6450" s="8"/>
      <c r="E6450" s="8"/>
      <c r="F6450" s="8"/>
      <c r="G6450" s="13">
        <f>IFERROR(E6450*F6450,0)</f>
        <v>0</v>
      </c>
      <c r="H6450" s="8"/>
    </row>
    <row r="6451" spans="1:8" ht="14.25" customHeight="1">
      <c r="A6451" s="86" t="s">
        <v>18</v>
      </c>
      <c r="B6451" s="81"/>
      <c r="C6451" s="81"/>
      <c r="D6451" s="81"/>
      <c r="E6451" s="81"/>
      <c r="F6451" s="81"/>
      <c r="G6451" s="82"/>
      <c r="H6451" s="14">
        <f>SUM(G6448:G6450)</f>
        <v>1208000</v>
      </c>
    </row>
    <row r="6452" spans="1:8" ht="14.25" customHeight="1">
      <c r="A6452" s="86" t="s">
        <v>19</v>
      </c>
      <c r="B6452" s="81"/>
      <c r="C6452" s="81"/>
      <c r="D6452" s="81"/>
      <c r="E6452" s="81"/>
      <c r="F6452" s="81"/>
      <c r="G6452" s="82"/>
      <c r="H6452" s="14">
        <f>MAX(0,H6451-648000)</f>
        <v>560000</v>
      </c>
    </row>
    <row r="6453" spans="1:8" ht="14.25" customHeight="1">
      <c r="A6453" s="87" t="s">
        <v>20</v>
      </c>
      <c r="B6453" s="81"/>
      <c r="C6453" s="81"/>
      <c r="D6453" s="81"/>
      <c r="E6453" s="81"/>
      <c r="F6453" s="81"/>
      <c r="G6453" s="82"/>
      <c r="H6453" s="15">
        <v>649000</v>
      </c>
    </row>
    <row r="6454" spans="1:8" ht="14.25" customHeight="1">
      <c r="A6454" s="85"/>
      <c r="B6454" s="81"/>
      <c r="C6454" s="81"/>
      <c r="D6454" s="81"/>
      <c r="E6454" s="81"/>
      <c r="F6454" s="81"/>
      <c r="G6454" s="81"/>
      <c r="H6454" s="82"/>
    </row>
    <row r="6455" spans="1:8" ht="14.25" customHeight="1"/>
    <row r="6456" spans="1:8" ht="14.25" customHeight="1"/>
    <row r="6457" spans="1:8" ht="14.25" customHeight="1"/>
    <row r="6458" spans="1:8" ht="14.25" customHeight="1">
      <c r="A6458" s="85" t="s">
        <v>0</v>
      </c>
      <c r="B6458" s="81"/>
      <c r="C6458" s="81"/>
      <c r="D6458" s="81"/>
      <c r="E6458" s="81"/>
      <c r="F6458" s="81"/>
      <c r="G6458" s="81"/>
      <c r="H6458" s="82"/>
    </row>
    <row r="6459" spans="1:8" ht="14.25" customHeight="1">
      <c r="A6459" s="85" t="s">
        <v>1540</v>
      </c>
      <c r="B6459" s="81"/>
      <c r="C6459" s="81"/>
      <c r="D6459" s="81"/>
      <c r="E6459" s="81"/>
      <c r="F6459" s="81"/>
      <c r="G6459" s="81"/>
      <c r="H6459" s="82"/>
    </row>
    <row r="6460" spans="1:8" ht="14.25" customHeight="1">
      <c r="A6460" s="1" t="s">
        <v>2</v>
      </c>
      <c r="B6460" s="1" t="s">
        <v>3</v>
      </c>
      <c r="C6460" s="1" t="s">
        <v>4</v>
      </c>
      <c r="D6460" s="1" t="s">
        <v>5</v>
      </c>
      <c r="E6460" s="1" t="s">
        <v>6</v>
      </c>
      <c r="F6460" s="2" t="s">
        <v>7</v>
      </c>
      <c r="G6460" s="1" t="s">
        <v>8</v>
      </c>
      <c r="H6460" s="1"/>
    </row>
    <row r="6461" spans="1:8" ht="14.25" customHeight="1">
      <c r="A6461" s="3">
        <v>1</v>
      </c>
      <c r="B6461" s="9" t="s">
        <v>1541</v>
      </c>
      <c r="C6461" s="10" t="s">
        <v>1542</v>
      </c>
      <c r="D6461" s="9" t="s">
        <v>11</v>
      </c>
      <c r="E6461" s="9">
        <v>2</v>
      </c>
      <c r="F6461" s="6">
        <v>293000</v>
      </c>
      <c r="G6461" s="7">
        <f t="shared" ref="G6461:G6463" si="400">IFERROR(E6461*F6461,0)</f>
        <v>586000</v>
      </c>
      <c r="H6461" s="8"/>
    </row>
    <row r="6462" spans="1:8" ht="14.25" customHeight="1">
      <c r="A6462" s="3">
        <v>2</v>
      </c>
      <c r="B6462" s="70" t="s">
        <v>54</v>
      </c>
      <c r="C6462" s="71" t="s">
        <v>1543</v>
      </c>
      <c r="D6462" s="72" t="s">
        <v>14</v>
      </c>
      <c r="E6462" s="72">
        <v>1.5</v>
      </c>
      <c r="F6462" s="11">
        <v>435000</v>
      </c>
      <c r="G6462" s="7">
        <f t="shared" si="400"/>
        <v>652500</v>
      </c>
      <c r="H6462" s="8"/>
    </row>
    <row r="6463" spans="1:8" ht="14.25" customHeight="1">
      <c r="A6463" s="3">
        <v>3</v>
      </c>
      <c r="B6463" s="8" t="s">
        <v>17</v>
      </c>
      <c r="C6463" s="8"/>
      <c r="D6463" s="8"/>
      <c r="E6463" s="8"/>
      <c r="F6463" s="8"/>
      <c r="G6463" s="13">
        <f t="shared" si="400"/>
        <v>0</v>
      </c>
      <c r="H6463" s="8"/>
    </row>
    <row r="6464" spans="1:8" ht="14.25" customHeight="1">
      <c r="A6464" s="86" t="s">
        <v>18</v>
      </c>
      <c r="B6464" s="81"/>
      <c r="C6464" s="81"/>
      <c r="D6464" s="81"/>
      <c r="E6464" s="81"/>
      <c r="F6464" s="81"/>
      <c r="G6464" s="82"/>
      <c r="H6464" s="14">
        <f>SUM(G6461:G6463)</f>
        <v>1238500</v>
      </c>
    </row>
    <row r="6465" spans="1:8" ht="14.25" customHeight="1">
      <c r="A6465" s="86" t="s">
        <v>19</v>
      </c>
      <c r="B6465" s="81"/>
      <c r="C6465" s="81"/>
      <c r="D6465" s="81"/>
      <c r="E6465" s="81"/>
      <c r="F6465" s="81"/>
      <c r="G6465" s="82"/>
      <c r="H6465" s="14">
        <f>MAX(0,H6464-648000)</f>
        <v>590500</v>
      </c>
    </row>
    <row r="6466" spans="1:8" ht="14.25" customHeight="1">
      <c r="A6466" s="87" t="s">
        <v>20</v>
      </c>
      <c r="B6466" s="81"/>
      <c r="C6466" s="81"/>
      <c r="D6466" s="81"/>
      <c r="E6466" s="81"/>
      <c r="F6466" s="81"/>
      <c r="G6466" s="82"/>
      <c r="H6466" s="15">
        <v>649000</v>
      </c>
    </row>
    <row r="6467" spans="1:8" ht="14.25" customHeight="1">
      <c r="A6467" s="85"/>
      <c r="B6467" s="81"/>
      <c r="C6467" s="81"/>
      <c r="D6467" s="81"/>
      <c r="E6467" s="81"/>
      <c r="F6467" s="81"/>
      <c r="G6467" s="81"/>
      <c r="H6467" s="82"/>
    </row>
    <row r="6468" spans="1:8" ht="14.25" customHeight="1"/>
    <row r="6469" spans="1:8" ht="14.25" customHeight="1"/>
    <row r="6470" spans="1:8" ht="14.25" customHeight="1">
      <c r="F6470" s="55"/>
      <c r="G6470" s="57"/>
      <c r="H6470" s="57"/>
    </row>
    <row r="6471" spans="1:8" ht="14.25" customHeight="1">
      <c r="A6471" s="85" t="s">
        <v>0</v>
      </c>
      <c r="B6471" s="81"/>
      <c r="C6471" s="81"/>
      <c r="D6471" s="81"/>
      <c r="E6471" s="81"/>
      <c r="F6471" s="81"/>
      <c r="G6471" s="81"/>
      <c r="H6471" s="82"/>
    </row>
    <row r="6472" spans="1:8" ht="14.25" customHeight="1">
      <c r="A6472" s="85" t="s">
        <v>1544</v>
      </c>
      <c r="B6472" s="81"/>
      <c r="C6472" s="81"/>
      <c r="D6472" s="81"/>
      <c r="E6472" s="81"/>
      <c r="F6472" s="81"/>
      <c r="G6472" s="81"/>
      <c r="H6472" s="82"/>
    </row>
    <row r="6473" spans="1:8" ht="14.25" customHeight="1">
      <c r="A6473" s="1" t="s">
        <v>2</v>
      </c>
      <c r="B6473" s="1" t="s">
        <v>3</v>
      </c>
      <c r="C6473" s="1" t="s">
        <v>4</v>
      </c>
      <c r="D6473" s="1" t="s">
        <v>5</v>
      </c>
      <c r="E6473" s="1" t="s">
        <v>6</v>
      </c>
      <c r="F6473" s="2" t="s">
        <v>7</v>
      </c>
      <c r="G6473" s="1" t="s">
        <v>8</v>
      </c>
      <c r="H6473" s="1"/>
    </row>
    <row r="6474" spans="1:8" ht="14.25" customHeight="1">
      <c r="A6474" s="3">
        <v>1</v>
      </c>
      <c r="B6474" s="4" t="s">
        <v>242</v>
      </c>
      <c r="C6474" s="18" t="s">
        <v>1545</v>
      </c>
      <c r="D6474" s="4" t="s">
        <v>11</v>
      </c>
      <c r="E6474" s="4">
        <v>2</v>
      </c>
      <c r="F6474" s="6">
        <v>293000</v>
      </c>
      <c r="G6474" s="7">
        <f t="shared" ref="G6474:G6476" si="401">IFERROR(E6474*F6474,0)</f>
        <v>586000</v>
      </c>
      <c r="H6474" s="8"/>
    </row>
    <row r="6475" spans="1:8" ht="14.25" customHeight="1">
      <c r="A6475" s="3">
        <v>2</v>
      </c>
      <c r="B6475" s="9" t="s">
        <v>252</v>
      </c>
      <c r="C6475" s="10" t="s">
        <v>1546</v>
      </c>
      <c r="D6475" s="9" t="s">
        <v>14</v>
      </c>
      <c r="E6475" s="9">
        <v>1.66</v>
      </c>
      <c r="F6475" s="11">
        <v>435000</v>
      </c>
      <c r="G6475" s="7">
        <f t="shared" si="401"/>
        <v>722100</v>
      </c>
      <c r="H6475" s="8"/>
    </row>
    <row r="6476" spans="1:8" ht="14.25" customHeight="1">
      <c r="A6476" s="3">
        <v>3</v>
      </c>
      <c r="B6476" s="8" t="s">
        <v>17</v>
      </c>
      <c r="C6476" s="8"/>
      <c r="D6476" s="8"/>
      <c r="E6476" s="8"/>
      <c r="F6476" s="8"/>
      <c r="G6476" s="13">
        <f t="shared" si="401"/>
        <v>0</v>
      </c>
      <c r="H6476" s="8"/>
    </row>
    <row r="6477" spans="1:8" ht="14.25" customHeight="1">
      <c r="A6477" s="86" t="s">
        <v>18</v>
      </c>
      <c r="B6477" s="81"/>
      <c r="C6477" s="81"/>
      <c r="D6477" s="81"/>
      <c r="E6477" s="81"/>
      <c r="F6477" s="81"/>
      <c r="G6477" s="82"/>
      <c r="H6477" s="14">
        <f>SUM(G6474:G6476)</f>
        <v>1308100</v>
      </c>
    </row>
    <row r="6478" spans="1:8" ht="14.25" customHeight="1">
      <c r="A6478" s="86" t="s">
        <v>19</v>
      </c>
      <c r="B6478" s="81"/>
      <c r="C6478" s="81"/>
      <c r="D6478" s="81"/>
      <c r="E6478" s="81"/>
      <c r="F6478" s="81"/>
      <c r="G6478" s="82"/>
      <c r="H6478" s="14">
        <f>MAX(0,H6477-648000)</f>
        <v>660100</v>
      </c>
    </row>
    <row r="6479" spans="1:8" ht="14.25" customHeight="1">
      <c r="A6479" s="87" t="s">
        <v>20</v>
      </c>
      <c r="B6479" s="81"/>
      <c r="C6479" s="81"/>
      <c r="D6479" s="81"/>
      <c r="E6479" s="81"/>
      <c r="F6479" s="81"/>
      <c r="G6479" s="82"/>
      <c r="H6479" s="15">
        <v>649000</v>
      </c>
    </row>
    <row r="6480" spans="1:8" ht="14.25" customHeight="1">
      <c r="A6480" s="85"/>
      <c r="B6480" s="81"/>
      <c r="C6480" s="81"/>
      <c r="D6480" s="81"/>
      <c r="E6480" s="81"/>
      <c r="F6480" s="81"/>
      <c r="G6480" s="81"/>
      <c r="H6480" s="82"/>
    </row>
    <row r="6481" spans="1:8" ht="14.25" customHeight="1"/>
    <row r="6482" spans="1:8" ht="14.25" customHeight="1"/>
    <row r="6483" spans="1:8" ht="14.25" customHeight="1"/>
    <row r="6484" spans="1:8" ht="14.25" customHeight="1">
      <c r="A6484" s="85" t="s">
        <v>0</v>
      </c>
      <c r="B6484" s="81"/>
      <c r="C6484" s="81"/>
      <c r="D6484" s="81"/>
      <c r="E6484" s="81"/>
      <c r="F6484" s="81"/>
      <c r="G6484" s="81"/>
      <c r="H6484" s="82"/>
    </row>
    <row r="6485" spans="1:8" ht="14.25" customHeight="1">
      <c r="A6485" s="85" t="s">
        <v>1547</v>
      </c>
      <c r="B6485" s="81"/>
      <c r="C6485" s="81"/>
      <c r="D6485" s="81"/>
      <c r="E6485" s="81"/>
      <c r="F6485" s="81"/>
      <c r="G6485" s="81"/>
      <c r="H6485" s="82"/>
    </row>
    <row r="6486" spans="1:8" ht="14.25" customHeight="1">
      <c r="A6486" s="1" t="s">
        <v>2</v>
      </c>
      <c r="B6486" s="1" t="s">
        <v>3</v>
      </c>
      <c r="C6486" s="1" t="s">
        <v>4</v>
      </c>
      <c r="D6486" s="1" t="s">
        <v>5</v>
      </c>
      <c r="E6486" s="1" t="s">
        <v>6</v>
      </c>
      <c r="F6486" s="2" t="s">
        <v>7</v>
      </c>
      <c r="G6486" s="1" t="s">
        <v>8</v>
      </c>
      <c r="H6486" s="1"/>
    </row>
    <row r="6487" spans="1:8" ht="14.25" customHeight="1">
      <c r="A6487" s="3">
        <v>1</v>
      </c>
      <c r="B6487" s="4" t="s">
        <v>1548</v>
      </c>
      <c r="C6487" s="5" t="s">
        <v>1542</v>
      </c>
      <c r="D6487" s="4" t="s">
        <v>11</v>
      </c>
      <c r="E6487" s="4">
        <v>2</v>
      </c>
      <c r="F6487" s="6">
        <v>293000</v>
      </c>
      <c r="G6487" s="7">
        <f t="shared" ref="G6487:G6489" si="402">IFERROR(E6487*F6487,0)</f>
        <v>586000</v>
      </c>
      <c r="H6487" s="8"/>
    </row>
    <row r="6488" spans="1:8" ht="14.25" customHeight="1">
      <c r="A6488" s="3">
        <v>2</v>
      </c>
      <c r="B6488" s="4" t="s">
        <v>1479</v>
      </c>
      <c r="C6488" s="18" t="s">
        <v>618</v>
      </c>
      <c r="D6488" s="4" t="s">
        <v>14</v>
      </c>
      <c r="E6488" s="4">
        <v>1.5</v>
      </c>
      <c r="F6488" s="11">
        <v>435000</v>
      </c>
      <c r="G6488" s="7">
        <f t="shared" si="402"/>
        <v>652500</v>
      </c>
      <c r="H6488" s="8"/>
    </row>
    <row r="6489" spans="1:8" ht="14.25" customHeight="1">
      <c r="A6489" s="3">
        <v>3</v>
      </c>
      <c r="B6489" s="8" t="s">
        <v>17</v>
      </c>
      <c r="C6489" s="8"/>
      <c r="D6489" s="8"/>
      <c r="E6489" s="8"/>
      <c r="F6489" s="8"/>
      <c r="G6489" s="13">
        <f t="shared" si="402"/>
        <v>0</v>
      </c>
      <c r="H6489" s="8"/>
    </row>
    <row r="6490" spans="1:8" ht="14.25" customHeight="1">
      <c r="A6490" s="86" t="s">
        <v>18</v>
      </c>
      <c r="B6490" s="81"/>
      <c r="C6490" s="81"/>
      <c r="D6490" s="81"/>
      <c r="E6490" s="81"/>
      <c r="F6490" s="81"/>
      <c r="G6490" s="82"/>
      <c r="H6490" s="14">
        <f>SUM(G6487:G6489)</f>
        <v>1238500</v>
      </c>
    </row>
    <row r="6491" spans="1:8" ht="14.25" customHeight="1">
      <c r="A6491" s="86" t="s">
        <v>19</v>
      </c>
      <c r="B6491" s="81"/>
      <c r="C6491" s="81"/>
      <c r="D6491" s="81"/>
      <c r="E6491" s="81"/>
      <c r="F6491" s="81"/>
      <c r="G6491" s="82"/>
      <c r="H6491" s="14">
        <f>MAX(0,H6490-648000)</f>
        <v>590500</v>
      </c>
    </row>
    <row r="6492" spans="1:8" ht="14.25" customHeight="1">
      <c r="A6492" s="87" t="s">
        <v>20</v>
      </c>
      <c r="B6492" s="81"/>
      <c r="C6492" s="81"/>
      <c r="D6492" s="81"/>
      <c r="E6492" s="81"/>
      <c r="F6492" s="81"/>
      <c r="G6492" s="82"/>
      <c r="H6492" s="15">
        <v>649000</v>
      </c>
    </row>
    <row r="6493" spans="1:8" ht="14.25" customHeight="1">
      <c r="A6493" s="85"/>
      <c r="B6493" s="81"/>
      <c r="C6493" s="81"/>
      <c r="D6493" s="81"/>
      <c r="E6493" s="81"/>
      <c r="F6493" s="81"/>
      <c r="G6493" s="81"/>
      <c r="H6493" s="82"/>
    </row>
    <row r="6494" spans="1:8" ht="14.25" customHeight="1"/>
    <row r="6495" spans="1:8" ht="14.25" customHeight="1"/>
    <row r="6496" spans="1:8" ht="14.25" customHeight="1"/>
    <row r="6497" spans="1:8" ht="14.25" customHeight="1"/>
    <row r="6498" spans="1:8" ht="14.25" customHeight="1">
      <c r="A6498" s="85" t="s">
        <v>0</v>
      </c>
      <c r="B6498" s="81"/>
      <c r="C6498" s="81"/>
      <c r="D6498" s="81"/>
      <c r="E6498" s="81"/>
      <c r="F6498" s="81"/>
      <c r="G6498" s="81"/>
      <c r="H6498" s="82"/>
    </row>
    <row r="6499" spans="1:8" ht="14.25" customHeight="1">
      <c r="A6499" s="85" t="s">
        <v>1549</v>
      </c>
      <c r="B6499" s="81"/>
      <c r="C6499" s="81"/>
      <c r="D6499" s="81"/>
      <c r="E6499" s="81"/>
      <c r="F6499" s="81"/>
      <c r="G6499" s="81"/>
      <c r="H6499" s="82"/>
    </row>
    <row r="6500" spans="1:8" ht="14.25" customHeight="1">
      <c r="A6500" s="1" t="s">
        <v>2</v>
      </c>
      <c r="B6500" s="1" t="s">
        <v>3</v>
      </c>
      <c r="C6500" s="1" t="s">
        <v>4</v>
      </c>
      <c r="D6500" s="1" t="s">
        <v>5</v>
      </c>
      <c r="E6500" s="1" t="s">
        <v>6</v>
      </c>
      <c r="F6500" s="2" t="s">
        <v>7</v>
      </c>
      <c r="G6500" s="1" t="s">
        <v>8</v>
      </c>
      <c r="H6500" s="1"/>
    </row>
    <row r="6501" spans="1:8" ht="14.25" customHeight="1">
      <c r="A6501" s="3">
        <v>1</v>
      </c>
      <c r="B6501" s="4" t="s">
        <v>1550</v>
      </c>
      <c r="C6501" s="18" t="s">
        <v>1551</v>
      </c>
      <c r="D6501" s="4" t="s">
        <v>11</v>
      </c>
      <c r="E6501" s="4">
        <v>2</v>
      </c>
      <c r="F6501" s="6">
        <v>293000</v>
      </c>
      <c r="G6501" s="7">
        <f t="shared" ref="G6501:G6503" si="403">IFERROR(E6501*F6501,0)</f>
        <v>586000</v>
      </c>
      <c r="H6501" s="8"/>
    </row>
    <row r="6502" spans="1:8" ht="14.25" customHeight="1">
      <c r="A6502" s="3">
        <v>2</v>
      </c>
      <c r="B6502" s="9" t="s">
        <v>166</v>
      </c>
      <c r="C6502" s="12" t="s">
        <v>1552</v>
      </c>
      <c r="D6502" s="9" t="s">
        <v>14</v>
      </c>
      <c r="E6502" s="9">
        <v>1.46</v>
      </c>
      <c r="F6502" s="11">
        <v>435000</v>
      </c>
      <c r="G6502" s="7">
        <f t="shared" si="403"/>
        <v>635100</v>
      </c>
      <c r="H6502" s="8"/>
    </row>
    <row r="6503" spans="1:8" ht="14.25" customHeight="1">
      <c r="A6503" s="3">
        <v>3</v>
      </c>
      <c r="B6503" s="8" t="s">
        <v>17</v>
      </c>
      <c r="C6503" s="8"/>
      <c r="D6503" s="8"/>
      <c r="E6503" s="8"/>
      <c r="F6503" s="8"/>
      <c r="G6503" s="13">
        <f t="shared" si="403"/>
        <v>0</v>
      </c>
      <c r="H6503" s="8"/>
    </row>
    <row r="6504" spans="1:8" ht="14.25" customHeight="1">
      <c r="A6504" s="86" t="s">
        <v>18</v>
      </c>
      <c r="B6504" s="81"/>
      <c r="C6504" s="81"/>
      <c r="D6504" s="81"/>
      <c r="E6504" s="81"/>
      <c r="F6504" s="81"/>
      <c r="G6504" s="82"/>
      <c r="H6504" s="14">
        <f>SUM(G6501:G6503)</f>
        <v>1221100</v>
      </c>
    </row>
    <row r="6505" spans="1:8" ht="14.25" customHeight="1">
      <c r="A6505" s="86" t="s">
        <v>19</v>
      </c>
      <c r="B6505" s="81"/>
      <c r="C6505" s="81"/>
      <c r="D6505" s="81"/>
      <c r="E6505" s="81"/>
      <c r="F6505" s="81"/>
      <c r="G6505" s="82"/>
      <c r="H6505" s="14">
        <f>MAX(0,H6504-648000)</f>
        <v>573100</v>
      </c>
    </row>
    <row r="6506" spans="1:8" ht="14.25" customHeight="1">
      <c r="A6506" s="87" t="s">
        <v>20</v>
      </c>
      <c r="B6506" s="81"/>
      <c r="C6506" s="81"/>
      <c r="D6506" s="81"/>
      <c r="E6506" s="81"/>
      <c r="F6506" s="81"/>
      <c r="G6506" s="82"/>
      <c r="H6506" s="15">
        <v>649000</v>
      </c>
    </row>
    <row r="6507" spans="1:8" ht="14.25" customHeight="1">
      <c r="A6507" s="85"/>
      <c r="B6507" s="81"/>
      <c r="C6507" s="81"/>
      <c r="D6507" s="81"/>
      <c r="E6507" s="81"/>
      <c r="F6507" s="81"/>
      <c r="G6507" s="81"/>
      <c r="H6507" s="82"/>
    </row>
    <row r="6508" spans="1:8" ht="14.25" customHeight="1"/>
    <row r="6509" spans="1:8" ht="14.25" customHeight="1"/>
    <row r="6510" spans="1:8" ht="14.25" customHeight="1"/>
    <row r="6511" spans="1:8" ht="14.25" customHeight="1">
      <c r="B6511" s="52"/>
      <c r="C6511" s="73"/>
      <c r="D6511" s="54"/>
      <c r="E6511" s="54"/>
    </row>
    <row r="6512" spans="1:8" ht="14.25" customHeight="1">
      <c r="A6512" s="85" t="s">
        <v>0</v>
      </c>
      <c r="B6512" s="81"/>
      <c r="C6512" s="81"/>
      <c r="D6512" s="81"/>
      <c r="E6512" s="81"/>
      <c r="F6512" s="81"/>
      <c r="G6512" s="81"/>
      <c r="H6512" s="82"/>
    </row>
    <row r="6513" spans="1:8" ht="14.25" customHeight="1">
      <c r="A6513" s="85" t="s">
        <v>1553</v>
      </c>
      <c r="B6513" s="81"/>
      <c r="C6513" s="81"/>
      <c r="D6513" s="81"/>
      <c r="E6513" s="81"/>
      <c r="F6513" s="81"/>
      <c r="G6513" s="81"/>
      <c r="H6513" s="82"/>
    </row>
    <row r="6514" spans="1:8" ht="14.25" customHeight="1">
      <c r="A6514" s="1" t="s">
        <v>2</v>
      </c>
      <c r="B6514" s="1" t="s">
        <v>3</v>
      </c>
      <c r="C6514" s="1" t="s">
        <v>4</v>
      </c>
      <c r="D6514" s="1" t="s">
        <v>5</v>
      </c>
      <c r="E6514" s="1" t="s">
        <v>6</v>
      </c>
      <c r="F6514" s="2" t="s">
        <v>7</v>
      </c>
      <c r="G6514" s="1" t="s">
        <v>8</v>
      </c>
      <c r="H6514" s="1"/>
    </row>
    <row r="6515" spans="1:8" ht="14.25" customHeight="1">
      <c r="A6515" s="3">
        <v>1</v>
      </c>
      <c r="B6515" s="9" t="s">
        <v>629</v>
      </c>
      <c r="C6515" s="12" t="s">
        <v>1554</v>
      </c>
      <c r="D6515" s="9" t="s">
        <v>11</v>
      </c>
      <c r="E6515" s="9">
        <v>1.7</v>
      </c>
      <c r="F6515" s="6">
        <v>293000</v>
      </c>
      <c r="G6515" s="7">
        <v>498000</v>
      </c>
      <c r="H6515" s="8"/>
    </row>
    <row r="6516" spans="1:8" ht="14.25" customHeight="1">
      <c r="A6516" s="3">
        <v>2</v>
      </c>
      <c r="B6516" s="4" t="s">
        <v>29</v>
      </c>
      <c r="C6516" s="74" t="s">
        <v>1555</v>
      </c>
      <c r="D6516" s="4" t="s">
        <v>14</v>
      </c>
      <c r="E6516" s="4">
        <v>1.8</v>
      </c>
      <c r="F6516" s="11">
        <v>435000</v>
      </c>
      <c r="G6516" s="7">
        <v>783000</v>
      </c>
      <c r="H6516" s="8"/>
    </row>
    <row r="6517" spans="1:8" ht="14.25" customHeight="1">
      <c r="A6517" s="3">
        <v>3</v>
      </c>
      <c r="B6517" s="8" t="s">
        <v>17</v>
      </c>
      <c r="C6517" s="8"/>
      <c r="D6517" s="8"/>
      <c r="E6517" s="8"/>
      <c r="F6517" s="8"/>
      <c r="G6517" s="13">
        <f>IFERROR(E6517*F6517,0)</f>
        <v>0</v>
      </c>
      <c r="H6517" s="8"/>
    </row>
    <row r="6518" spans="1:8" ht="14.25" customHeight="1">
      <c r="A6518" s="86" t="s">
        <v>18</v>
      </c>
      <c r="B6518" s="81"/>
      <c r="C6518" s="81"/>
      <c r="D6518" s="81"/>
      <c r="E6518" s="81"/>
      <c r="F6518" s="81"/>
      <c r="G6518" s="82"/>
      <c r="H6518" s="14">
        <f>SUM(G6515:G6517)</f>
        <v>1281000</v>
      </c>
    </row>
    <row r="6519" spans="1:8" ht="14.25" customHeight="1">
      <c r="A6519" s="86" t="s">
        <v>19</v>
      </c>
      <c r="B6519" s="81"/>
      <c r="C6519" s="81"/>
      <c r="D6519" s="81"/>
      <c r="E6519" s="81"/>
      <c r="F6519" s="81"/>
      <c r="G6519" s="82"/>
      <c r="H6519" s="14">
        <f>MAX(0,H6518-648000)</f>
        <v>633000</v>
      </c>
    </row>
    <row r="6520" spans="1:8" ht="14.25" customHeight="1">
      <c r="A6520" s="87" t="s">
        <v>20</v>
      </c>
      <c r="B6520" s="81"/>
      <c r="C6520" s="81"/>
      <c r="D6520" s="81"/>
      <c r="E6520" s="81"/>
      <c r="F6520" s="81"/>
      <c r="G6520" s="82"/>
      <c r="H6520" s="15">
        <v>649000</v>
      </c>
    </row>
    <row r="6521" spans="1:8" ht="14.25" customHeight="1">
      <c r="A6521" s="85"/>
      <c r="B6521" s="81"/>
      <c r="C6521" s="81"/>
      <c r="D6521" s="81"/>
      <c r="E6521" s="81"/>
      <c r="F6521" s="81"/>
      <c r="G6521" s="81"/>
      <c r="H6521" s="82"/>
    </row>
    <row r="6522" spans="1:8" ht="14.25" customHeight="1"/>
    <row r="6523" spans="1:8" ht="14.25" customHeight="1"/>
    <row r="6524" spans="1:8" ht="14.25" customHeight="1"/>
    <row r="6525" spans="1:8" ht="14.25" customHeight="1"/>
    <row r="6526" spans="1:8" ht="14.25" customHeight="1">
      <c r="A6526" s="85" t="s">
        <v>0</v>
      </c>
      <c r="B6526" s="81"/>
      <c r="C6526" s="81"/>
      <c r="D6526" s="81"/>
      <c r="E6526" s="81"/>
      <c r="F6526" s="81"/>
      <c r="G6526" s="81"/>
      <c r="H6526" s="82"/>
    </row>
    <row r="6527" spans="1:8" ht="14.25" customHeight="1">
      <c r="A6527" s="85" t="s">
        <v>1556</v>
      </c>
      <c r="B6527" s="81"/>
      <c r="C6527" s="81"/>
      <c r="D6527" s="81"/>
      <c r="E6527" s="81"/>
      <c r="F6527" s="81"/>
      <c r="G6527" s="81"/>
      <c r="H6527" s="82"/>
    </row>
    <row r="6528" spans="1:8" ht="14.25" customHeight="1">
      <c r="A6528" s="1" t="s">
        <v>2</v>
      </c>
      <c r="B6528" s="1" t="s">
        <v>3</v>
      </c>
      <c r="C6528" s="1" t="s">
        <v>4</v>
      </c>
      <c r="D6528" s="1" t="s">
        <v>5</v>
      </c>
      <c r="E6528" s="1" t="s">
        <v>6</v>
      </c>
      <c r="F6528" s="2" t="s">
        <v>7</v>
      </c>
      <c r="G6528" s="1" t="s">
        <v>8</v>
      </c>
      <c r="H6528" s="1"/>
    </row>
    <row r="6529" spans="1:8" ht="14.25" customHeight="1">
      <c r="A6529" s="3">
        <v>1</v>
      </c>
      <c r="B6529" s="9" t="s">
        <v>1529</v>
      </c>
      <c r="C6529" s="12" t="s">
        <v>1299</v>
      </c>
      <c r="D6529" s="9" t="s">
        <v>11</v>
      </c>
      <c r="E6529" s="9">
        <v>2</v>
      </c>
      <c r="F6529" s="6">
        <v>293000</v>
      </c>
      <c r="G6529" s="7">
        <f t="shared" ref="G6529:G6530" si="404">IFERROR(E6515*F6529,0)</f>
        <v>498100</v>
      </c>
      <c r="H6529" s="8"/>
    </row>
    <row r="6530" spans="1:8" ht="14.25" customHeight="1">
      <c r="A6530" s="3">
        <v>2</v>
      </c>
      <c r="B6530" s="9" t="s">
        <v>9</v>
      </c>
      <c r="C6530" s="10" t="s">
        <v>1557</v>
      </c>
      <c r="D6530" s="9" t="s">
        <v>14</v>
      </c>
      <c r="E6530" s="9">
        <v>1.48</v>
      </c>
      <c r="F6530" s="11">
        <v>435000</v>
      </c>
      <c r="G6530" s="7">
        <f t="shared" si="404"/>
        <v>783000</v>
      </c>
      <c r="H6530" s="8"/>
    </row>
    <row r="6531" spans="1:8" ht="14.25" customHeight="1">
      <c r="A6531" s="3">
        <v>3</v>
      </c>
      <c r="B6531" s="8" t="s">
        <v>17</v>
      </c>
      <c r="C6531" s="8"/>
      <c r="D6531" s="8"/>
      <c r="E6531" s="8"/>
      <c r="F6531" s="8"/>
      <c r="G6531" s="13">
        <f>IFERROR(E6531*F6531,0)</f>
        <v>0</v>
      </c>
      <c r="H6531" s="8"/>
    </row>
    <row r="6532" spans="1:8" ht="14.25" customHeight="1">
      <c r="A6532" s="86" t="s">
        <v>18</v>
      </c>
      <c r="B6532" s="81"/>
      <c r="C6532" s="81"/>
      <c r="D6532" s="81"/>
      <c r="E6532" s="81"/>
      <c r="F6532" s="81"/>
      <c r="G6532" s="82"/>
      <c r="H6532" s="14">
        <f>SUM(G6529:G6531)</f>
        <v>1281100</v>
      </c>
    </row>
    <row r="6533" spans="1:8" ht="14.25" customHeight="1">
      <c r="A6533" s="86" t="s">
        <v>19</v>
      </c>
      <c r="B6533" s="81"/>
      <c r="C6533" s="81"/>
      <c r="D6533" s="81"/>
      <c r="E6533" s="81"/>
      <c r="F6533" s="81"/>
      <c r="G6533" s="82"/>
      <c r="H6533" s="14">
        <f>MAX(0,H6532-648000)</f>
        <v>633100</v>
      </c>
    </row>
    <row r="6534" spans="1:8" ht="14.25" customHeight="1">
      <c r="A6534" s="87" t="s">
        <v>20</v>
      </c>
      <c r="B6534" s="81"/>
      <c r="C6534" s="81"/>
      <c r="D6534" s="81"/>
      <c r="E6534" s="81"/>
      <c r="F6534" s="81"/>
      <c r="G6534" s="82"/>
      <c r="H6534" s="15">
        <v>649000</v>
      </c>
    </row>
    <row r="6535" spans="1:8" ht="14.25" customHeight="1">
      <c r="A6535" s="85"/>
      <c r="B6535" s="81"/>
      <c r="C6535" s="81"/>
      <c r="D6535" s="81"/>
      <c r="E6535" s="81"/>
      <c r="F6535" s="81"/>
      <c r="G6535" s="81"/>
      <c r="H6535" s="82"/>
    </row>
    <row r="6536" spans="1:8" ht="14.25" customHeight="1"/>
    <row r="6537" spans="1:8" ht="14.25" customHeight="1"/>
    <row r="6538" spans="1:8" ht="14.25" customHeight="1"/>
    <row r="6539" spans="1:8" ht="14.25" customHeight="1"/>
    <row r="6540" spans="1:8" ht="14.25" customHeight="1">
      <c r="A6540" s="85" t="s">
        <v>0</v>
      </c>
      <c r="B6540" s="81"/>
      <c r="C6540" s="81"/>
      <c r="D6540" s="81"/>
      <c r="E6540" s="81"/>
      <c r="F6540" s="81"/>
      <c r="G6540" s="81"/>
      <c r="H6540" s="82"/>
    </row>
    <row r="6541" spans="1:8" ht="14.25" customHeight="1">
      <c r="A6541" s="85" t="s">
        <v>1558</v>
      </c>
      <c r="B6541" s="81"/>
      <c r="C6541" s="81"/>
      <c r="D6541" s="81"/>
      <c r="E6541" s="81"/>
      <c r="F6541" s="81"/>
      <c r="G6541" s="81"/>
      <c r="H6541" s="82"/>
    </row>
    <row r="6542" spans="1:8" ht="14.25" customHeight="1">
      <c r="A6542" s="1" t="s">
        <v>2</v>
      </c>
      <c r="B6542" s="1" t="s">
        <v>3</v>
      </c>
      <c r="C6542" s="1" t="s">
        <v>4</v>
      </c>
      <c r="D6542" s="1" t="s">
        <v>5</v>
      </c>
      <c r="E6542" s="1" t="s">
        <v>6</v>
      </c>
      <c r="F6542" s="2" t="s">
        <v>7</v>
      </c>
      <c r="G6542" s="1" t="s">
        <v>8</v>
      </c>
      <c r="H6542" s="1"/>
    </row>
    <row r="6543" spans="1:8" ht="14.25" customHeight="1">
      <c r="A6543" s="3">
        <v>1</v>
      </c>
      <c r="B6543" s="9" t="s">
        <v>130</v>
      </c>
      <c r="C6543" s="12" t="s">
        <v>1559</v>
      </c>
      <c r="D6543" s="9" t="s">
        <v>11</v>
      </c>
      <c r="E6543" s="9">
        <v>2</v>
      </c>
      <c r="F6543" s="6">
        <v>293000</v>
      </c>
      <c r="G6543" s="7">
        <f t="shared" ref="G6543:G6545" si="405">IFERROR(E6543*F6543,0)</f>
        <v>586000</v>
      </c>
      <c r="H6543" s="8"/>
    </row>
    <row r="6544" spans="1:8" ht="14.25" customHeight="1">
      <c r="A6544" s="3">
        <v>2</v>
      </c>
      <c r="B6544" s="4" t="s">
        <v>54</v>
      </c>
      <c r="C6544" s="18" t="s">
        <v>1560</v>
      </c>
      <c r="D6544" s="4" t="s">
        <v>14</v>
      </c>
      <c r="E6544" s="4">
        <v>1.5</v>
      </c>
      <c r="F6544" s="11">
        <v>435000</v>
      </c>
      <c r="G6544" s="7">
        <f t="shared" si="405"/>
        <v>652500</v>
      </c>
      <c r="H6544" s="8"/>
    </row>
    <row r="6545" spans="1:8" ht="14.25" customHeight="1">
      <c r="A6545" s="3">
        <v>3</v>
      </c>
      <c r="B6545" s="8" t="s">
        <v>17</v>
      </c>
      <c r="C6545" s="8"/>
      <c r="D6545" s="8"/>
      <c r="E6545" s="8"/>
      <c r="F6545" s="8"/>
      <c r="G6545" s="13">
        <f t="shared" si="405"/>
        <v>0</v>
      </c>
      <c r="H6545" s="8"/>
    </row>
    <row r="6546" spans="1:8" ht="14.25" customHeight="1">
      <c r="A6546" s="86" t="s">
        <v>18</v>
      </c>
      <c r="B6546" s="81"/>
      <c r="C6546" s="81"/>
      <c r="D6546" s="81"/>
      <c r="E6546" s="81"/>
      <c r="F6546" s="81"/>
      <c r="G6546" s="82"/>
      <c r="H6546" s="14">
        <f>SUM(G6543:G6545)</f>
        <v>1238500</v>
      </c>
    </row>
    <row r="6547" spans="1:8" ht="14.25" customHeight="1">
      <c r="A6547" s="86" t="s">
        <v>19</v>
      </c>
      <c r="B6547" s="81"/>
      <c r="C6547" s="81"/>
      <c r="D6547" s="81"/>
      <c r="E6547" s="81"/>
      <c r="F6547" s="81"/>
      <c r="G6547" s="82"/>
      <c r="H6547" s="14">
        <f>MAX(0,H6546-648000)</f>
        <v>590500</v>
      </c>
    </row>
    <row r="6548" spans="1:8" ht="14.25" customHeight="1">
      <c r="A6548" s="87" t="s">
        <v>20</v>
      </c>
      <c r="B6548" s="81"/>
      <c r="C6548" s="81"/>
      <c r="D6548" s="81"/>
      <c r="E6548" s="81"/>
      <c r="F6548" s="81"/>
      <c r="G6548" s="82"/>
      <c r="H6548" s="15">
        <v>649000</v>
      </c>
    </row>
    <row r="6549" spans="1:8" ht="14.25" customHeight="1">
      <c r="A6549" s="85"/>
      <c r="B6549" s="81"/>
      <c r="C6549" s="81"/>
      <c r="D6549" s="81"/>
      <c r="E6549" s="81"/>
      <c r="F6549" s="81"/>
      <c r="G6549" s="81"/>
      <c r="H6549" s="82"/>
    </row>
    <row r="6550" spans="1:8" ht="14.25" customHeight="1"/>
    <row r="6551" spans="1:8" ht="14.25" customHeight="1"/>
    <row r="6552" spans="1:8" ht="14.25" customHeight="1"/>
    <row r="6553" spans="1:8" ht="14.25" customHeight="1"/>
    <row r="6554" spans="1:8" ht="14.25" customHeight="1"/>
    <row r="6555" spans="1:8" ht="14.25" customHeight="1">
      <c r="A6555" s="85" t="s">
        <v>0</v>
      </c>
      <c r="B6555" s="81"/>
      <c r="C6555" s="81"/>
      <c r="D6555" s="81"/>
      <c r="E6555" s="81"/>
      <c r="F6555" s="81"/>
      <c r="G6555" s="81"/>
      <c r="H6555" s="82"/>
    </row>
    <row r="6556" spans="1:8" ht="14.25" customHeight="1">
      <c r="A6556" s="85" t="s">
        <v>1561</v>
      </c>
      <c r="B6556" s="81"/>
      <c r="C6556" s="81"/>
      <c r="D6556" s="81"/>
      <c r="E6556" s="81"/>
      <c r="F6556" s="81"/>
      <c r="G6556" s="81"/>
      <c r="H6556" s="82"/>
    </row>
    <row r="6557" spans="1:8" ht="14.25" customHeight="1">
      <c r="A6557" s="1" t="s">
        <v>2</v>
      </c>
      <c r="B6557" s="1" t="s">
        <v>3</v>
      </c>
      <c r="C6557" s="1" t="s">
        <v>4</v>
      </c>
      <c r="D6557" s="1" t="s">
        <v>5</v>
      </c>
      <c r="E6557" s="1" t="s">
        <v>6</v>
      </c>
      <c r="F6557" s="2" t="s">
        <v>7</v>
      </c>
      <c r="G6557" s="1" t="s">
        <v>8</v>
      </c>
      <c r="H6557" s="1"/>
    </row>
    <row r="6558" spans="1:8" ht="14.25" customHeight="1">
      <c r="A6558" s="3">
        <v>1</v>
      </c>
      <c r="B6558" s="4" t="s">
        <v>47</v>
      </c>
      <c r="C6558" s="5" t="s">
        <v>1562</v>
      </c>
      <c r="D6558" s="4" t="s">
        <v>11</v>
      </c>
      <c r="E6558" s="4">
        <v>2.85</v>
      </c>
      <c r="F6558" s="6">
        <v>293000</v>
      </c>
      <c r="G6558" s="7">
        <f t="shared" ref="G6558:G6560" si="406">IFERROR(E6558*F6558,0)</f>
        <v>835050</v>
      </c>
      <c r="H6558" s="8"/>
    </row>
    <row r="6559" spans="1:8" ht="14.25" customHeight="1">
      <c r="A6559" s="3">
        <v>2</v>
      </c>
      <c r="B6559" s="9" t="s">
        <v>73</v>
      </c>
      <c r="C6559" s="10" t="s">
        <v>1563</v>
      </c>
      <c r="D6559" s="9" t="s">
        <v>14</v>
      </c>
      <c r="E6559" s="9">
        <v>0.67</v>
      </c>
      <c r="F6559" s="11">
        <v>435000</v>
      </c>
      <c r="G6559" s="7">
        <f t="shared" si="406"/>
        <v>291450</v>
      </c>
      <c r="H6559" s="8"/>
    </row>
    <row r="6560" spans="1:8" ht="14.25" customHeight="1">
      <c r="A6560" s="3">
        <v>3</v>
      </c>
      <c r="B6560" s="8" t="s">
        <v>17</v>
      </c>
      <c r="C6560" s="8"/>
      <c r="D6560" s="8"/>
      <c r="E6560" s="8"/>
      <c r="F6560" s="8"/>
      <c r="G6560" s="13">
        <f t="shared" si="406"/>
        <v>0</v>
      </c>
      <c r="H6560" s="8"/>
    </row>
    <row r="6561" spans="1:8" ht="14.25" customHeight="1">
      <c r="A6561" s="86" t="s">
        <v>18</v>
      </c>
      <c r="B6561" s="81"/>
      <c r="C6561" s="81"/>
      <c r="D6561" s="81"/>
      <c r="E6561" s="81"/>
      <c r="F6561" s="81"/>
      <c r="G6561" s="82"/>
      <c r="H6561" s="14">
        <f>SUM(G6558:G6560)</f>
        <v>1126500</v>
      </c>
    </row>
    <row r="6562" spans="1:8" ht="14.25" customHeight="1">
      <c r="A6562" s="86" t="s">
        <v>19</v>
      </c>
      <c r="B6562" s="81"/>
      <c r="C6562" s="81"/>
      <c r="D6562" s="81"/>
      <c r="E6562" s="81"/>
      <c r="F6562" s="81"/>
      <c r="G6562" s="82"/>
      <c r="H6562" s="14">
        <f>MAX(0,H6561-648000)</f>
        <v>478500</v>
      </c>
    </row>
    <row r="6563" spans="1:8" ht="14.25" customHeight="1">
      <c r="A6563" s="87" t="s">
        <v>20</v>
      </c>
      <c r="B6563" s="81"/>
      <c r="C6563" s="81"/>
      <c r="D6563" s="81"/>
      <c r="E6563" s="81"/>
      <c r="F6563" s="81"/>
      <c r="G6563" s="82"/>
      <c r="H6563" s="15">
        <v>649000</v>
      </c>
    </row>
    <row r="6564" spans="1:8" ht="14.25" customHeight="1">
      <c r="A6564" s="85"/>
      <c r="B6564" s="81"/>
      <c r="C6564" s="81"/>
      <c r="D6564" s="81"/>
      <c r="E6564" s="81"/>
      <c r="F6564" s="81"/>
      <c r="G6564" s="81"/>
      <c r="H6564" s="82"/>
    </row>
    <row r="6565" spans="1:8" ht="14.25" customHeight="1"/>
    <row r="6566" spans="1:8" ht="14.25" customHeight="1"/>
    <row r="6567" spans="1:8" ht="14.25" customHeight="1"/>
    <row r="6568" spans="1:8" ht="14.25" customHeight="1"/>
    <row r="6569" spans="1:8" ht="14.25" customHeight="1"/>
    <row r="6570" spans="1:8" ht="14.25" customHeight="1">
      <c r="A6570" s="85" t="s">
        <v>0</v>
      </c>
      <c r="B6570" s="81"/>
      <c r="C6570" s="81"/>
      <c r="D6570" s="81"/>
      <c r="E6570" s="81"/>
      <c r="F6570" s="81"/>
      <c r="G6570" s="81"/>
      <c r="H6570" s="82"/>
    </row>
    <row r="6571" spans="1:8" ht="14.25" customHeight="1">
      <c r="A6571" s="85" t="s">
        <v>1564</v>
      </c>
      <c r="B6571" s="81"/>
      <c r="C6571" s="81"/>
      <c r="D6571" s="81"/>
      <c r="E6571" s="81"/>
      <c r="F6571" s="81"/>
      <c r="G6571" s="81"/>
      <c r="H6571" s="82"/>
    </row>
    <row r="6572" spans="1:8" ht="14.25" customHeight="1">
      <c r="A6572" s="1" t="s">
        <v>2</v>
      </c>
      <c r="B6572" s="1" t="s">
        <v>3</v>
      </c>
      <c r="C6572" s="1" t="s">
        <v>4</v>
      </c>
      <c r="D6572" s="1" t="s">
        <v>5</v>
      </c>
      <c r="E6572" s="1" t="s">
        <v>6</v>
      </c>
      <c r="F6572" s="2" t="s">
        <v>7</v>
      </c>
      <c r="G6572" s="1" t="s">
        <v>8</v>
      </c>
      <c r="H6572" s="1"/>
    </row>
    <row r="6573" spans="1:8" ht="14.25" customHeight="1">
      <c r="A6573" s="3">
        <v>1</v>
      </c>
      <c r="B6573" s="4" t="s">
        <v>1565</v>
      </c>
      <c r="C6573" s="5" t="s">
        <v>1566</v>
      </c>
      <c r="D6573" s="4" t="s">
        <v>11</v>
      </c>
      <c r="E6573" s="4">
        <v>1.5</v>
      </c>
      <c r="F6573" s="6">
        <v>293000</v>
      </c>
      <c r="G6573" s="7">
        <f t="shared" ref="G6573:G6575" si="407">IFERROR(E6573*F6573,0)</f>
        <v>439500</v>
      </c>
      <c r="H6573" s="8"/>
    </row>
    <row r="6574" spans="1:8" ht="14.25" customHeight="1">
      <c r="A6574" s="3">
        <v>2</v>
      </c>
      <c r="B6574" s="9" t="s">
        <v>136</v>
      </c>
      <c r="C6574" s="12" t="s">
        <v>1567</v>
      </c>
      <c r="D6574" s="9" t="s">
        <v>14</v>
      </c>
      <c r="E6574" s="9">
        <v>2</v>
      </c>
      <c r="F6574" s="11">
        <v>435000</v>
      </c>
      <c r="G6574" s="7">
        <f t="shared" si="407"/>
        <v>870000</v>
      </c>
      <c r="H6574" s="8"/>
    </row>
    <row r="6575" spans="1:8" ht="14.25" customHeight="1">
      <c r="A6575" s="3">
        <v>3</v>
      </c>
      <c r="B6575" s="8" t="s">
        <v>17</v>
      </c>
      <c r="C6575" s="8"/>
      <c r="D6575" s="8"/>
      <c r="E6575" s="8"/>
      <c r="F6575" s="8"/>
      <c r="G6575" s="13">
        <f t="shared" si="407"/>
        <v>0</v>
      </c>
      <c r="H6575" s="8"/>
    </row>
    <row r="6576" spans="1:8" ht="14.25" customHeight="1">
      <c r="A6576" s="86" t="s">
        <v>18</v>
      </c>
      <c r="B6576" s="81"/>
      <c r="C6576" s="81"/>
      <c r="D6576" s="81"/>
      <c r="E6576" s="81"/>
      <c r="F6576" s="81"/>
      <c r="G6576" s="82"/>
      <c r="H6576" s="14">
        <f>SUM(G6573:G6575)</f>
        <v>1309500</v>
      </c>
    </row>
    <row r="6577" spans="1:8" ht="14.25" customHeight="1">
      <c r="A6577" s="86" t="s">
        <v>19</v>
      </c>
      <c r="B6577" s="81"/>
      <c r="C6577" s="81"/>
      <c r="D6577" s="81"/>
      <c r="E6577" s="81"/>
      <c r="F6577" s="81"/>
      <c r="G6577" s="82"/>
      <c r="H6577" s="14">
        <f>MAX(0,H6576-648000)</f>
        <v>661500</v>
      </c>
    </row>
    <row r="6578" spans="1:8" ht="14.25" customHeight="1">
      <c r="A6578" s="87" t="s">
        <v>20</v>
      </c>
      <c r="B6578" s="81"/>
      <c r="C6578" s="81"/>
      <c r="D6578" s="81"/>
      <c r="E6578" s="81"/>
      <c r="F6578" s="81"/>
      <c r="G6578" s="82"/>
      <c r="H6578" s="15">
        <v>649000</v>
      </c>
    </row>
    <row r="6579" spans="1:8" ht="14.25" customHeight="1">
      <c r="A6579" s="85"/>
      <c r="B6579" s="81"/>
      <c r="C6579" s="81"/>
      <c r="D6579" s="81"/>
      <c r="E6579" s="81"/>
      <c r="F6579" s="81"/>
      <c r="G6579" s="81"/>
      <c r="H6579" s="82"/>
    </row>
    <row r="6580" spans="1:8" ht="14.25" customHeight="1"/>
    <row r="6581" spans="1:8" ht="14.25" customHeight="1"/>
    <row r="6582" spans="1:8" ht="14.25" customHeight="1"/>
    <row r="6583" spans="1:8" ht="14.25" customHeight="1">
      <c r="A6583" s="85" t="s">
        <v>0</v>
      </c>
      <c r="B6583" s="81"/>
      <c r="C6583" s="81"/>
      <c r="D6583" s="81"/>
      <c r="E6583" s="81"/>
      <c r="F6583" s="81"/>
      <c r="G6583" s="81"/>
      <c r="H6583" s="82"/>
    </row>
    <row r="6584" spans="1:8" ht="14.25" customHeight="1">
      <c r="A6584" s="85" t="s">
        <v>1568</v>
      </c>
      <c r="B6584" s="81"/>
      <c r="C6584" s="81"/>
      <c r="D6584" s="81"/>
      <c r="E6584" s="81"/>
      <c r="F6584" s="81"/>
      <c r="G6584" s="81"/>
      <c r="H6584" s="82"/>
    </row>
    <row r="6585" spans="1:8" ht="14.25" customHeight="1">
      <c r="A6585" s="1" t="s">
        <v>2</v>
      </c>
      <c r="B6585" s="1" t="s">
        <v>3</v>
      </c>
      <c r="C6585" s="1" t="s">
        <v>4</v>
      </c>
      <c r="D6585" s="1" t="s">
        <v>5</v>
      </c>
      <c r="E6585" s="1" t="s">
        <v>6</v>
      </c>
      <c r="F6585" s="2" t="s">
        <v>7</v>
      </c>
      <c r="G6585" s="1" t="s">
        <v>8</v>
      </c>
      <c r="H6585" s="1"/>
    </row>
    <row r="6586" spans="1:8" ht="14.25" customHeight="1">
      <c r="A6586" s="3">
        <v>1</v>
      </c>
      <c r="B6586" s="4" t="s">
        <v>9</v>
      </c>
      <c r="C6586" s="18" t="s">
        <v>1569</v>
      </c>
      <c r="D6586" s="4" t="s">
        <v>11</v>
      </c>
      <c r="E6586" s="4">
        <v>2.5</v>
      </c>
      <c r="F6586" s="6">
        <v>293000</v>
      </c>
      <c r="G6586" s="7">
        <f t="shared" ref="G6586:G6588" si="408">IFERROR(E6586*F6586,0)</f>
        <v>732500</v>
      </c>
      <c r="H6586" s="8"/>
    </row>
    <row r="6587" spans="1:8" ht="14.25" customHeight="1">
      <c r="A6587" s="3">
        <v>2</v>
      </c>
      <c r="B6587" s="4" t="s">
        <v>47</v>
      </c>
      <c r="C6587" s="5" t="s">
        <v>1570</v>
      </c>
      <c r="D6587" s="4" t="s">
        <v>14</v>
      </c>
      <c r="E6587" s="4">
        <v>0.96</v>
      </c>
      <c r="F6587" s="11">
        <v>435000</v>
      </c>
      <c r="G6587" s="7">
        <f t="shared" si="408"/>
        <v>417600</v>
      </c>
      <c r="H6587" s="8"/>
    </row>
    <row r="6588" spans="1:8" ht="14.25" customHeight="1">
      <c r="A6588" s="3">
        <v>3</v>
      </c>
      <c r="B6588" s="8" t="s">
        <v>17</v>
      </c>
      <c r="C6588" s="8"/>
      <c r="D6588" s="8"/>
      <c r="E6588" s="8"/>
      <c r="F6588" s="8"/>
      <c r="G6588" s="13">
        <f t="shared" si="408"/>
        <v>0</v>
      </c>
      <c r="H6588" s="8"/>
    </row>
    <row r="6589" spans="1:8" ht="14.25" customHeight="1">
      <c r="A6589" s="86" t="s">
        <v>18</v>
      </c>
      <c r="B6589" s="81"/>
      <c r="C6589" s="81"/>
      <c r="D6589" s="81"/>
      <c r="E6589" s="81"/>
      <c r="F6589" s="81"/>
      <c r="G6589" s="82"/>
      <c r="H6589" s="14">
        <f>SUM(G6586:G6588)</f>
        <v>1150100</v>
      </c>
    </row>
    <row r="6590" spans="1:8" ht="14.25" customHeight="1">
      <c r="A6590" s="86" t="s">
        <v>19</v>
      </c>
      <c r="B6590" s="81"/>
      <c r="C6590" s="81"/>
      <c r="D6590" s="81"/>
      <c r="E6590" s="81"/>
      <c r="F6590" s="81"/>
      <c r="G6590" s="82"/>
      <c r="H6590" s="14">
        <f>MAX(0,H6589-648000)</f>
        <v>502100</v>
      </c>
    </row>
    <row r="6591" spans="1:8" ht="14.25" customHeight="1">
      <c r="A6591" s="87" t="s">
        <v>20</v>
      </c>
      <c r="B6591" s="81"/>
      <c r="C6591" s="81"/>
      <c r="D6591" s="81"/>
      <c r="E6591" s="81"/>
      <c r="F6591" s="81"/>
      <c r="G6591" s="82"/>
      <c r="H6591" s="15">
        <v>649000</v>
      </c>
    </row>
    <row r="6592" spans="1:8" ht="14.25" customHeight="1">
      <c r="A6592" s="85"/>
      <c r="B6592" s="81"/>
      <c r="C6592" s="81"/>
      <c r="D6592" s="81"/>
      <c r="E6592" s="81"/>
      <c r="F6592" s="81"/>
      <c r="G6592" s="81"/>
      <c r="H6592" s="82"/>
    </row>
    <row r="6593" spans="1:8" ht="14.25" customHeight="1"/>
    <row r="6594" spans="1:8" ht="14.25" customHeight="1">
      <c r="A6594" s="85" t="s">
        <v>0</v>
      </c>
      <c r="B6594" s="81"/>
      <c r="C6594" s="81"/>
      <c r="D6594" s="81"/>
      <c r="E6594" s="81"/>
      <c r="F6594" s="81"/>
      <c r="G6594" s="81"/>
      <c r="H6594" s="82"/>
    </row>
    <row r="6595" spans="1:8" ht="14.25" customHeight="1">
      <c r="A6595" s="85" t="s">
        <v>1571</v>
      </c>
      <c r="B6595" s="81"/>
      <c r="C6595" s="81"/>
      <c r="D6595" s="81"/>
      <c r="E6595" s="81"/>
      <c r="F6595" s="81"/>
      <c r="G6595" s="81"/>
      <c r="H6595" s="82"/>
    </row>
    <row r="6596" spans="1:8" ht="14.25" customHeight="1">
      <c r="A6596" s="1" t="s">
        <v>2</v>
      </c>
      <c r="B6596" s="1" t="s">
        <v>3</v>
      </c>
      <c r="C6596" s="1" t="s">
        <v>4</v>
      </c>
      <c r="D6596" s="1" t="s">
        <v>5</v>
      </c>
      <c r="E6596" s="1" t="s">
        <v>6</v>
      </c>
      <c r="F6596" s="2" t="s">
        <v>7</v>
      </c>
      <c r="G6596" s="1" t="s">
        <v>8</v>
      </c>
      <c r="H6596" s="1"/>
    </row>
    <row r="6597" spans="1:8" ht="14.25" customHeight="1">
      <c r="A6597" s="3">
        <v>1</v>
      </c>
      <c r="B6597" s="4" t="s">
        <v>1572</v>
      </c>
      <c r="C6597" s="18" t="s">
        <v>1573</v>
      </c>
      <c r="D6597" s="4" t="s">
        <v>11</v>
      </c>
      <c r="E6597" s="4">
        <v>1.8</v>
      </c>
      <c r="F6597" s="6">
        <v>293000</v>
      </c>
      <c r="G6597" s="7">
        <f t="shared" ref="G6597:G6599" si="409">IFERROR(E6597*F6597,0)</f>
        <v>527400</v>
      </c>
      <c r="H6597" s="8"/>
    </row>
    <row r="6598" spans="1:8" ht="14.25" customHeight="1">
      <c r="A6598" s="3">
        <v>2</v>
      </c>
      <c r="B6598" s="9" t="s">
        <v>40</v>
      </c>
      <c r="C6598" s="75" t="s">
        <v>1574</v>
      </c>
      <c r="D6598" s="9" t="s">
        <v>14</v>
      </c>
      <c r="E6598" s="9">
        <v>1.64</v>
      </c>
      <c r="F6598" s="11">
        <v>435000</v>
      </c>
      <c r="G6598" s="7">
        <f t="shared" si="409"/>
        <v>713400</v>
      </c>
      <c r="H6598" s="8"/>
    </row>
    <row r="6599" spans="1:8" ht="14.25" customHeight="1">
      <c r="A6599" s="3">
        <v>3</v>
      </c>
      <c r="B6599" s="8" t="s">
        <v>17</v>
      </c>
      <c r="C6599" s="8"/>
      <c r="D6599" s="8"/>
      <c r="E6599" s="8"/>
      <c r="F6599" s="8"/>
      <c r="G6599" s="13">
        <f t="shared" si="409"/>
        <v>0</v>
      </c>
      <c r="H6599" s="8"/>
    </row>
    <row r="6600" spans="1:8" ht="14.25" customHeight="1">
      <c r="A6600" s="86" t="s">
        <v>18</v>
      </c>
      <c r="B6600" s="81"/>
      <c r="C6600" s="81"/>
      <c r="D6600" s="81"/>
      <c r="E6600" s="81"/>
      <c r="F6600" s="81"/>
      <c r="G6600" s="82"/>
      <c r="H6600" s="14">
        <f>SUM(G6597:G6599)</f>
        <v>1240800</v>
      </c>
    </row>
    <row r="6601" spans="1:8" ht="14.25" customHeight="1">
      <c r="A6601" s="86" t="s">
        <v>19</v>
      </c>
      <c r="B6601" s="81"/>
      <c r="C6601" s="81"/>
      <c r="D6601" s="81"/>
      <c r="E6601" s="81"/>
      <c r="F6601" s="81"/>
      <c r="G6601" s="82"/>
      <c r="H6601" s="14">
        <f>MAX(0,H6600-648000)</f>
        <v>592800</v>
      </c>
    </row>
    <row r="6602" spans="1:8" ht="14.25" customHeight="1">
      <c r="A6602" s="87" t="s">
        <v>20</v>
      </c>
      <c r="B6602" s="81"/>
      <c r="C6602" s="81"/>
      <c r="D6602" s="81"/>
      <c r="E6602" s="81"/>
      <c r="F6602" s="81"/>
      <c r="G6602" s="82"/>
      <c r="H6602" s="15">
        <v>649000</v>
      </c>
    </row>
    <row r="6603" spans="1:8" ht="14.25" customHeight="1">
      <c r="A6603" s="85"/>
      <c r="B6603" s="81"/>
      <c r="C6603" s="81"/>
      <c r="D6603" s="81"/>
      <c r="E6603" s="81"/>
      <c r="F6603" s="81"/>
      <c r="G6603" s="81"/>
      <c r="H6603" s="82"/>
    </row>
    <row r="6604" spans="1:8" ht="14.25" customHeight="1"/>
    <row r="6605" spans="1:8" ht="14.25" customHeight="1">
      <c r="A6605" s="85" t="s">
        <v>0</v>
      </c>
      <c r="B6605" s="81"/>
      <c r="C6605" s="81"/>
      <c r="D6605" s="81"/>
      <c r="E6605" s="81"/>
      <c r="F6605" s="81"/>
      <c r="G6605" s="81"/>
      <c r="H6605" s="82"/>
    </row>
    <row r="6606" spans="1:8" ht="14.25" customHeight="1">
      <c r="A6606" s="85" t="s">
        <v>1575</v>
      </c>
      <c r="B6606" s="81"/>
      <c r="C6606" s="81"/>
      <c r="D6606" s="81"/>
      <c r="E6606" s="81"/>
      <c r="F6606" s="81"/>
      <c r="G6606" s="81"/>
      <c r="H6606" s="82"/>
    </row>
    <row r="6607" spans="1:8" ht="14.25" customHeight="1">
      <c r="A6607" s="1" t="s">
        <v>2</v>
      </c>
      <c r="B6607" s="1" t="s">
        <v>3</v>
      </c>
      <c r="C6607" s="1" t="s">
        <v>4</v>
      </c>
      <c r="D6607" s="1" t="s">
        <v>5</v>
      </c>
      <c r="E6607" s="1" t="s">
        <v>6</v>
      </c>
      <c r="F6607" s="2" t="s">
        <v>7</v>
      </c>
      <c r="G6607" s="1" t="s">
        <v>8</v>
      </c>
      <c r="H6607" s="1"/>
    </row>
    <row r="6608" spans="1:8" ht="14.25" customHeight="1">
      <c r="A6608" s="3">
        <v>1</v>
      </c>
      <c r="B6608" s="9" t="s">
        <v>1576</v>
      </c>
      <c r="C6608" s="10" t="s">
        <v>1577</v>
      </c>
      <c r="D6608" s="9" t="s">
        <v>11</v>
      </c>
      <c r="E6608" s="9">
        <v>2.5</v>
      </c>
      <c r="F6608" s="6">
        <v>293000</v>
      </c>
      <c r="G6608" s="7">
        <f t="shared" ref="G6608:G6610" si="410">IFERROR(E6608*F6608,0)</f>
        <v>732500</v>
      </c>
      <c r="H6608" s="8"/>
    </row>
    <row r="6609" spans="1:8" ht="14.25" customHeight="1">
      <c r="A6609" s="3">
        <v>2</v>
      </c>
      <c r="B6609" s="4" t="s">
        <v>73</v>
      </c>
      <c r="C6609" s="5" t="s">
        <v>1578</v>
      </c>
      <c r="D6609" s="4" t="s">
        <v>14</v>
      </c>
      <c r="E6609" s="4">
        <v>0.93</v>
      </c>
      <c r="F6609" s="11">
        <v>435000</v>
      </c>
      <c r="G6609" s="76">
        <f t="shared" si="410"/>
        <v>404550</v>
      </c>
      <c r="H6609" s="8"/>
    </row>
    <row r="6610" spans="1:8" ht="14.25" customHeight="1">
      <c r="A6610" s="3">
        <v>3</v>
      </c>
      <c r="B6610" s="8" t="s">
        <v>17</v>
      </c>
      <c r="C6610" s="8"/>
      <c r="D6610" s="8"/>
      <c r="E6610" s="8"/>
      <c r="F6610" s="8"/>
      <c r="G6610" s="13">
        <f t="shared" si="410"/>
        <v>0</v>
      </c>
      <c r="H6610" s="8"/>
    </row>
    <row r="6611" spans="1:8" ht="14.25" customHeight="1">
      <c r="A6611" s="86" t="s">
        <v>18</v>
      </c>
      <c r="B6611" s="81"/>
      <c r="C6611" s="81"/>
      <c r="D6611" s="81"/>
      <c r="E6611" s="81"/>
      <c r="F6611" s="81"/>
      <c r="G6611" s="82"/>
      <c r="H6611" s="14">
        <f>SUM(G6608:G6610)</f>
        <v>1137050</v>
      </c>
    </row>
    <row r="6612" spans="1:8" ht="14.25" customHeight="1">
      <c r="A6612" s="86" t="s">
        <v>19</v>
      </c>
      <c r="B6612" s="81"/>
      <c r="C6612" s="81"/>
      <c r="D6612" s="81"/>
      <c r="E6612" s="81"/>
      <c r="F6612" s="81"/>
      <c r="G6612" s="82"/>
      <c r="H6612" s="14">
        <f>MAX(0,H6611-648000)</f>
        <v>489050</v>
      </c>
    </row>
    <row r="6613" spans="1:8" ht="14.25" customHeight="1">
      <c r="A6613" s="87" t="s">
        <v>20</v>
      </c>
      <c r="B6613" s="81"/>
      <c r="C6613" s="81"/>
      <c r="D6613" s="81"/>
      <c r="E6613" s="81"/>
      <c r="F6613" s="81"/>
      <c r="G6613" s="82"/>
      <c r="H6613" s="15">
        <v>649000</v>
      </c>
    </row>
    <row r="6614" spans="1:8" ht="14.25" customHeight="1">
      <c r="A6614" s="85"/>
      <c r="B6614" s="81"/>
      <c r="C6614" s="81"/>
      <c r="D6614" s="81"/>
      <c r="E6614" s="81"/>
      <c r="F6614" s="81"/>
      <c r="G6614" s="81"/>
      <c r="H6614" s="82"/>
    </row>
    <row r="6615" spans="1:8" ht="14.25" customHeight="1"/>
    <row r="6616" spans="1:8" ht="14.25" customHeight="1"/>
    <row r="6617" spans="1:8" ht="14.25" customHeight="1">
      <c r="A6617" s="85" t="s">
        <v>0</v>
      </c>
      <c r="B6617" s="81"/>
      <c r="C6617" s="81"/>
      <c r="D6617" s="81"/>
      <c r="E6617" s="81"/>
      <c r="F6617" s="81"/>
      <c r="G6617" s="81"/>
      <c r="H6617" s="82"/>
    </row>
    <row r="6618" spans="1:8" ht="14.25" customHeight="1">
      <c r="A6618" s="85" t="s">
        <v>1579</v>
      </c>
      <c r="B6618" s="81"/>
      <c r="C6618" s="81"/>
      <c r="D6618" s="81"/>
      <c r="E6618" s="81"/>
      <c r="F6618" s="81"/>
      <c r="G6618" s="81"/>
      <c r="H6618" s="82"/>
    </row>
    <row r="6619" spans="1:8" ht="14.25" customHeight="1">
      <c r="A6619" s="1" t="s">
        <v>2</v>
      </c>
      <c r="B6619" s="1" t="s">
        <v>3</v>
      </c>
      <c r="C6619" s="1" t="s">
        <v>4</v>
      </c>
      <c r="D6619" s="1" t="s">
        <v>5</v>
      </c>
      <c r="E6619" s="1" t="s">
        <v>6</v>
      </c>
      <c r="F6619" s="2" t="s">
        <v>7</v>
      </c>
      <c r="G6619" s="1" t="s">
        <v>8</v>
      </c>
      <c r="H6619" s="1"/>
    </row>
    <row r="6620" spans="1:8" ht="14.25" customHeight="1">
      <c r="A6620" s="3">
        <v>1</v>
      </c>
      <c r="B6620" s="9" t="s">
        <v>1580</v>
      </c>
      <c r="C6620" s="10" t="s">
        <v>1581</v>
      </c>
      <c r="D6620" s="9" t="s">
        <v>11</v>
      </c>
      <c r="E6620" s="9">
        <v>2.5</v>
      </c>
      <c r="F6620" s="6">
        <v>293000</v>
      </c>
      <c r="G6620" s="7">
        <f t="shared" ref="G6620:G6622" si="411">IFERROR(E6620*F6620,0)</f>
        <v>732500</v>
      </c>
      <c r="H6620" s="8"/>
    </row>
    <row r="6621" spans="1:8" ht="14.25" customHeight="1">
      <c r="A6621" s="3">
        <v>2</v>
      </c>
      <c r="B6621" s="9" t="s">
        <v>563</v>
      </c>
      <c r="C6621" s="10" t="s">
        <v>1582</v>
      </c>
      <c r="D6621" s="9" t="s">
        <v>14</v>
      </c>
      <c r="E6621" s="9">
        <v>1</v>
      </c>
      <c r="F6621" s="11">
        <v>435000</v>
      </c>
      <c r="G6621" s="7">
        <f t="shared" si="411"/>
        <v>435000</v>
      </c>
      <c r="H6621" s="8"/>
    </row>
    <row r="6622" spans="1:8" ht="14.25" customHeight="1">
      <c r="A6622" s="3">
        <v>3</v>
      </c>
      <c r="B6622" s="8" t="s">
        <v>17</v>
      </c>
      <c r="C6622" s="8"/>
      <c r="D6622" s="8"/>
      <c r="E6622" s="8"/>
      <c r="F6622" s="8"/>
      <c r="G6622" s="13">
        <f t="shared" si="411"/>
        <v>0</v>
      </c>
      <c r="H6622" s="8"/>
    </row>
    <row r="6623" spans="1:8" ht="14.25" customHeight="1">
      <c r="A6623" s="86" t="s">
        <v>18</v>
      </c>
      <c r="B6623" s="81"/>
      <c r="C6623" s="81"/>
      <c r="D6623" s="81"/>
      <c r="E6623" s="81"/>
      <c r="F6623" s="81"/>
      <c r="G6623" s="82"/>
      <c r="H6623" s="14">
        <f>SUM(G6620:G6622)</f>
        <v>1167500</v>
      </c>
    </row>
    <row r="6624" spans="1:8" ht="14.25" customHeight="1">
      <c r="A6624" s="86" t="s">
        <v>19</v>
      </c>
      <c r="B6624" s="81"/>
      <c r="C6624" s="81"/>
      <c r="D6624" s="81"/>
      <c r="E6624" s="81"/>
      <c r="F6624" s="81"/>
      <c r="G6624" s="82"/>
      <c r="H6624" s="14">
        <f>MAX(0,H6623-648000)</f>
        <v>519500</v>
      </c>
    </row>
    <row r="6625" spans="1:8" ht="14.25" customHeight="1">
      <c r="A6625" s="87" t="s">
        <v>20</v>
      </c>
      <c r="B6625" s="81"/>
      <c r="C6625" s="81"/>
      <c r="D6625" s="81"/>
      <c r="E6625" s="81"/>
      <c r="F6625" s="81"/>
      <c r="G6625" s="82"/>
      <c r="H6625" s="15">
        <v>649000</v>
      </c>
    </row>
    <row r="6626" spans="1:8" ht="14.25" customHeight="1">
      <c r="A6626" s="85"/>
      <c r="B6626" s="81"/>
      <c r="C6626" s="81"/>
      <c r="D6626" s="81"/>
      <c r="E6626" s="81"/>
      <c r="F6626" s="81"/>
      <c r="G6626" s="81"/>
      <c r="H6626" s="82"/>
    </row>
    <row r="6627" spans="1:8" ht="14.25" customHeight="1"/>
    <row r="6628" spans="1:8" ht="14.25" customHeight="1"/>
    <row r="6629" spans="1:8" ht="14.25" customHeight="1"/>
    <row r="6630" spans="1:8" ht="14.25" customHeight="1"/>
    <row r="6631" spans="1:8" ht="14.25" customHeight="1">
      <c r="A6631" s="85" t="s">
        <v>0</v>
      </c>
      <c r="B6631" s="81"/>
      <c r="C6631" s="81"/>
      <c r="D6631" s="81"/>
      <c r="E6631" s="81"/>
      <c r="F6631" s="81"/>
      <c r="G6631" s="81"/>
      <c r="H6631" s="82"/>
    </row>
    <row r="6632" spans="1:8" ht="14.25" customHeight="1">
      <c r="A6632" s="85" t="s">
        <v>1583</v>
      </c>
      <c r="B6632" s="81"/>
      <c r="C6632" s="81"/>
      <c r="D6632" s="81"/>
      <c r="E6632" s="81"/>
      <c r="F6632" s="81"/>
      <c r="G6632" s="81"/>
      <c r="H6632" s="82"/>
    </row>
    <row r="6633" spans="1:8" ht="14.25" customHeight="1">
      <c r="A6633" s="1" t="s">
        <v>2</v>
      </c>
      <c r="B6633" s="1" t="s">
        <v>3</v>
      </c>
      <c r="C6633" s="1" t="s">
        <v>4</v>
      </c>
      <c r="D6633" s="1" t="s">
        <v>5</v>
      </c>
      <c r="E6633" s="1" t="s">
        <v>6</v>
      </c>
      <c r="F6633" s="2" t="s">
        <v>7</v>
      </c>
      <c r="G6633" s="1" t="s">
        <v>8</v>
      </c>
      <c r="H6633" s="1"/>
    </row>
    <row r="6634" spans="1:8" ht="14.25" customHeight="1">
      <c r="A6634" s="3">
        <v>1</v>
      </c>
      <c r="B6634" s="9" t="s">
        <v>442</v>
      </c>
      <c r="C6634" s="10" t="s">
        <v>1584</v>
      </c>
      <c r="D6634" s="9" t="s">
        <v>11</v>
      </c>
      <c r="E6634" s="9">
        <v>2</v>
      </c>
      <c r="F6634" s="6">
        <v>293000</v>
      </c>
      <c r="G6634" s="7">
        <f t="shared" ref="G6634:G6636" si="412">IFERROR(E6634*F6634,0)</f>
        <v>586000</v>
      </c>
      <c r="H6634" s="8"/>
    </row>
    <row r="6635" spans="1:8" ht="14.25" customHeight="1">
      <c r="A6635" s="3">
        <v>2</v>
      </c>
      <c r="B6635" s="4" t="s">
        <v>455</v>
      </c>
      <c r="C6635" s="5" t="s">
        <v>1585</v>
      </c>
      <c r="D6635" s="4" t="s">
        <v>14</v>
      </c>
      <c r="E6635" s="4">
        <v>1.43</v>
      </c>
      <c r="F6635" s="11">
        <v>435000</v>
      </c>
      <c r="G6635" s="7">
        <f t="shared" si="412"/>
        <v>622050</v>
      </c>
      <c r="H6635" s="8"/>
    </row>
    <row r="6636" spans="1:8" ht="14.25" customHeight="1">
      <c r="A6636" s="3">
        <v>3</v>
      </c>
      <c r="B6636" s="8" t="s">
        <v>17</v>
      </c>
      <c r="C6636" s="8"/>
      <c r="D6636" s="8"/>
      <c r="E6636" s="8"/>
      <c r="F6636" s="8"/>
      <c r="G6636" s="13">
        <f t="shared" si="412"/>
        <v>0</v>
      </c>
      <c r="H6636" s="8"/>
    </row>
    <row r="6637" spans="1:8" ht="14.25" customHeight="1">
      <c r="A6637" s="86" t="s">
        <v>18</v>
      </c>
      <c r="B6637" s="81"/>
      <c r="C6637" s="81"/>
      <c r="D6637" s="81"/>
      <c r="E6637" s="81"/>
      <c r="F6637" s="81"/>
      <c r="G6637" s="82"/>
      <c r="H6637" s="14">
        <f>SUM(G6634:G6636)</f>
        <v>1208050</v>
      </c>
    </row>
    <row r="6638" spans="1:8" ht="14.25" customHeight="1">
      <c r="A6638" s="86" t="s">
        <v>19</v>
      </c>
      <c r="B6638" s="81"/>
      <c r="C6638" s="81"/>
      <c r="D6638" s="81"/>
      <c r="E6638" s="81"/>
      <c r="F6638" s="81"/>
      <c r="G6638" s="82"/>
      <c r="H6638" s="14">
        <f>MAX(0,H6637-648000)</f>
        <v>560050</v>
      </c>
    </row>
    <row r="6639" spans="1:8" ht="14.25" customHeight="1">
      <c r="A6639" s="87" t="s">
        <v>20</v>
      </c>
      <c r="B6639" s="81"/>
      <c r="C6639" s="81"/>
      <c r="D6639" s="81"/>
      <c r="E6639" s="81"/>
      <c r="F6639" s="81"/>
      <c r="G6639" s="82"/>
      <c r="H6639" s="15">
        <v>649000</v>
      </c>
    </row>
    <row r="6640" spans="1:8" ht="14.25" customHeight="1">
      <c r="A6640" s="85"/>
      <c r="B6640" s="81"/>
      <c r="C6640" s="81"/>
      <c r="D6640" s="81"/>
      <c r="E6640" s="81"/>
      <c r="F6640" s="81"/>
      <c r="G6640" s="81"/>
      <c r="H6640" s="82"/>
    </row>
    <row r="6641" spans="1:8" ht="14.25" customHeight="1"/>
    <row r="6642" spans="1:8" ht="14.25" customHeight="1"/>
    <row r="6643" spans="1:8" ht="14.25" customHeight="1"/>
    <row r="6644" spans="1:8" ht="14.25" customHeight="1"/>
    <row r="6645" spans="1:8" ht="14.25" customHeight="1">
      <c r="A6645" s="85" t="s">
        <v>0</v>
      </c>
      <c r="B6645" s="81"/>
      <c r="C6645" s="81"/>
      <c r="D6645" s="81"/>
      <c r="E6645" s="81"/>
      <c r="F6645" s="81"/>
      <c r="G6645" s="81"/>
      <c r="H6645" s="82"/>
    </row>
    <row r="6646" spans="1:8" ht="14.25" customHeight="1">
      <c r="A6646" s="85" t="s">
        <v>1586</v>
      </c>
      <c r="B6646" s="81"/>
      <c r="C6646" s="81"/>
      <c r="D6646" s="81"/>
      <c r="E6646" s="81"/>
      <c r="F6646" s="81"/>
      <c r="G6646" s="81"/>
      <c r="H6646" s="82"/>
    </row>
    <row r="6647" spans="1:8" ht="14.25" customHeight="1">
      <c r="A6647" s="1" t="s">
        <v>2</v>
      </c>
      <c r="B6647" s="1" t="s">
        <v>3</v>
      </c>
      <c r="C6647" s="1" t="s">
        <v>4</v>
      </c>
      <c r="D6647" s="1" t="s">
        <v>5</v>
      </c>
      <c r="E6647" s="1" t="s">
        <v>6</v>
      </c>
      <c r="F6647" s="2" t="s">
        <v>7</v>
      </c>
      <c r="G6647" s="1" t="s">
        <v>8</v>
      </c>
      <c r="H6647" s="1"/>
    </row>
    <row r="6648" spans="1:8" ht="14.25" customHeight="1">
      <c r="A6648" s="3">
        <v>1</v>
      </c>
      <c r="B6648" s="4" t="s">
        <v>166</v>
      </c>
      <c r="C6648" s="5" t="s">
        <v>1587</v>
      </c>
      <c r="D6648" s="4" t="s">
        <v>11</v>
      </c>
      <c r="E6648" s="4">
        <v>2.2999999999999998</v>
      </c>
      <c r="F6648" s="6">
        <v>293000</v>
      </c>
      <c r="G6648" s="7">
        <f t="shared" ref="G6648:G6650" si="413">IFERROR(E6648*F6648,0)</f>
        <v>673900</v>
      </c>
      <c r="H6648" s="8"/>
    </row>
    <row r="6649" spans="1:8" ht="14.25" customHeight="1">
      <c r="A6649" s="3">
        <v>2</v>
      </c>
      <c r="B6649" s="4" t="s">
        <v>38</v>
      </c>
      <c r="C6649" s="5" t="s">
        <v>1588</v>
      </c>
      <c r="D6649" s="4" t="s">
        <v>14</v>
      </c>
      <c r="E6649" s="4">
        <v>1.1399999999999999</v>
      </c>
      <c r="F6649" s="11">
        <v>435000</v>
      </c>
      <c r="G6649" s="7">
        <f t="shared" si="413"/>
        <v>495899.99999999994</v>
      </c>
      <c r="H6649" s="8"/>
    </row>
    <row r="6650" spans="1:8" ht="14.25" customHeight="1">
      <c r="A6650" s="3">
        <v>3</v>
      </c>
      <c r="B6650" s="8" t="s">
        <v>17</v>
      </c>
      <c r="C6650" s="8"/>
      <c r="D6650" s="8"/>
      <c r="E6650" s="8"/>
      <c r="F6650" s="8"/>
      <c r="G6650" s="13">
        <f t="shared" si="413"/>
        <v>0</v>
      </c>
      <c r="H6650" s="8"/>
    </row>
    <row r="6651" spans="1:8" ht="14.25" customHeight="1">
      <c r="A6651" s="86" t="s">
        <v>18</v>
      </c>
      <c r="B6651" s="81"/>
      <c r="C6651" s="81"/>
      <c r="D6651" s="81"/>
      <c r="E6651" s="81"/>
      <c r="F6651" s="81"/>
      <c r="G6651" s="82"/>
      <c r="H6651" s="14">
        <f>SUM(G6648:G6650)</f>
        <v>1169800</v>
      </c>
    </row>
    <row r="6652" spans="1:8" ht="14.25" customHeight="1">
      <c r="A6652" s="86" t="s">
        <v>19</v>
      </c>
      <c r="B6652" s="81"/>
      <c r="C6652" s="81"/>
      <c r="D6652" s="81"/>
      <c r="E6652" s="81"/>
      <c r="F6652" s="81"/>
      <c r="G6652" s="82"/>
      <c r="H6652" s="14">
        <f>MAX(0,H6651-648000)</f>
        <v>521800</v>
      </c>
    </row>
    <row r="6653" spans="1:8" ht="14.25" customHeight="1">
      <c r="A6653" s="87" t="s">
        <v>20</v>
      </c>
      <c r="B6653" s="81"/>
      <c r="C6653" s="81"/>
      <c r="D6653" s="81"/>
      <c r="E6653" s="81"/>
      <c r="F6653" s="81"/>
      <c r="G6653" s="82"/>
      <c r="H6653" s="15">
        <v>649000</v>
      </c>
    </row>
    <row r="6654" spans="1:8" ht="14.25" customHeight="1">
      <c r="A6654" s="85"/>
      <c r="B6654" s="81"/>
      <c r="C6654" s="81"/>
      <c r="D6654" s="81"/>
      <c r="E6654" s="81"/>
      <c r="F6654" s="81"/>
      <c r="G6654" s="81"/>
      <c r="H6654" s="82"/>
    </row>
    <row r="6655" spans="1:8" ht="14.25" customHeight="1"/>
    <row r="6656" spans="1:8" ht="14.25" customHeight="1"/>
    <row r="6657" spans="1:8" ht="14.25" customHeight="1"/>
    <row r="6658" spans="1:8" ht="14.25" customHeight="1">
      <c r="A6658" s="85" t="s">
        <v>0</v>
      </c>
      <c r="B6658" s="81"/>
      <c r="C6658" s="81"/>
      <c r="D6658" s="81"/>
      <c r="E6658" s="81"/>
      <c r="F6658" s="81"/>
      <c r="G6658" s="81"/>
      <c r="H6658" s="82"/>
    </row>
    <row r="6659" spans="1:8" ht="14.25" customHeight="1">
      <c r="A6659" s="85" t="s">
        <v>1589</v>
      </c>
      <c r="B6659" s="81"/>
      <c r="C6659" s="81"/>
      <c r="D6659" s="81"/>
      <c r="E6659" s="81"/>
      <c r="F6659" s="81"/>
      <c r="G6659" s="81"/>
      <c r="H6659" s="82"/>
    </row>
    <row r="6660" spans="1:8" ht="14.25" customHeight="1">
      <c r="A6660" s="1" t="s">
        <v>2</v>
      </c>
      <c r="B6660" s="1" t="s">
        <v>3</v>
      </c>
      <c r="C6660" s="1" t="s">
        <v>4</v>
      </c>
      <c r="D6660" s="1" t="s">
        <v>5</v>
      </c>
      <c r="E6660" s="1" t="s">
        <v>6</v>
      </c>
      <c r="F6660" s="2" t="s">
        <v>7</v>
      </c>
      <c r="G6660" s="1" t="s">
        <v>8</v>
      </c>
      <c r="H6660" s="1"/>
    </row>
    <row r="6661" spans="1:8" ht="14.25" customHeight="1">
      <c r="A6661" s="3">
        <v>1</v>
      </c>
      <c r="B6661" s="9" t="s">
        <v>47</v>
      </c>
      <c r="C6661" s="10" t="s">
        <v>1590</v>
      </c>
      <c r="D6661" s="9" t="s">
        <v>11</v>
      </c>
      <c r="E6661" s="9">
        <v>2</v>
      </c>
      <c r="F6661" s="6">
        <v>293000</v>
      </c>
      <c r="G6661" s="7">
        <f>IFERROR(E6662*F6661,0)</f>
        <v>430710</v>
      </c>
      <c r="H6661" s="8"/>
    </row>
    <row r="6662" spans="1:8" ht="14.25" customHeight="1">
      <c r="A6662" s="3">
        <v>2</v>
      </c>
      <c r="B6662" s="9" t="s">
        <v>179</v>
      </c>
      <c r="C6662" s="75" t="s">
        <v>1591</v>
      </c>
      <c r="D6662" s="9" t="s">
        <v>14</v>
      </c>
      <c r="E6662" s="9">
        <v>1.47</v>
      </c>
      <c r="F6662" s="11">
        <v>435000</v>
      </c>
      <c r="G6662" s="7">
        <v>639000</v>
      </c>
      <c r="H6662" s="8"/>
    </row>
    <row r="6663" spans="1:8" ht="14.25" customHeight="1">
      <c r="A6663" s="3">
        <v>3</v>
      </c>
      <c r="B6663" s="8" t="s">
        <v>17</v>
      </c>
      <c r="C6663" s="8"/>
      <c r="D6663" s="8"/>
      <c r="E6663" s="8"/>
      <c r="F6663" s="8"/>
      <c r="G6663" s="13">
        <f>IFERROR(E6663*F6663,0)</f>
        <v>0</v>
      </c>
      <c r="H6663" s="8"/>
    </row>
    <row r="6664" spans="1:8" ht="14.25" customHeight="1">
      <c r="A6664" s="86" t="s">
        <v>18</v>
      </c>
      <c r="B6664" s="81"/>
      <c r="C6664" s="81"/>
      <c r="D6664" s="81"/>
      <c r="E6664" s="81"/>
      <c r="F6664" s="81"/>
      <c r="G6664" s="82"/>
      <c r="H6664" s="14">
        <f>SUM(G6661:G6663)</f>
        <v>1069710</v>
      </c>
    </row>
    <row r="6665" spans="1:8" ht="14.25" customHeight="1">
      <c r="A6665" s="86" t="s">
        <v>19</v>
      </c>
      <c r="B6665" s="81"/>
      <c r="C6665" s="81"/>
      <c r="D6665" s="81"/>
      <c r="E6665" s="81"/>
      <c r="F6665" s="81"/>
      <c r="G6665" s="82"/>
      <c r="H6665" s="14">
        <f>MAX(0,H6664-648000)</f>
        <v>421710</v>
      </c>
    </row>
    <row r="6666" spans="1:8" ht="14.25" customHeight="1">
      <c r="A6666" s="87" t="s">
        <v>20</v>
      </c>
      <c r="B6666" s="81"/>
      <c r="C6666" s="81"/>
      <c r="D6666" s="81"/>
      <c r="E6666" s="81"/>
      <c r="F6666" s="81"/>
      <c r="G6666" s="82"/>
      <c r="H6666" s="15">
        <v>649000</v>
      </c>
    </row>
    <row r="6667" spans="1:8" ht="14.25" customHeight="1">
      <c r="A6667" s="85"/>
      <c r="B6667" s="81"/>
      <c r="C6667" s="81"/>
      <c r="D6667" s="81"/>
      <c r="E6667" s="81"/>
      <c r="F6667" s="81"/>
      <c r="G6667" s="81"/>
      <c r="H6667" s="82"/>
    </row>
    <row r="6668" spans="1:8" ht="14.25" customHeight="1"/>
    <row r="6669" spans="1:8" ht="14.25" customHeight="1"/>
    <row r="6670" spans="1:8" ht="14.25" customHeight="1"/>
    <row r="6671" spans="1:8" ht="14.25" customHeight="1">
      <c r="A6671" s="85" t="s">
        <v>0</v>
      </c>
      <c r="B6671" s="81"/>
      <c r="C6671" s="81"/>
      <c r="D6671" s="81"/>
      <c r="E6671" s="81"/>
      <c r="F6671" s="81"/>
      <c r="G6671" s="81"/>
      <c r="H6671" s="82"/>
    </row>
    <row r="6672" spans="1:8" ht="14.25" customHeight="1">
      <c r="A6672" s="85" t="s">
        <v>1592</v>
      </c>
      <c r="B6672" s="81"/>
      <c r="C6672" s="81"/>
      <c r="D6672" s="81"/>
      <c r="E6672" s="81"/>
      <c r="F6672" s="81"/>
      <c r="G6672" s="81"/>
      <c r="H6672" s="82"/>
    </row>
    <row r="6673" spans="1:8" ht="14.25" customHeight="1">
      <c r="A6673" s="1" t="s">
        <v>2</v>
      </c>
      <c r="B6673" s="1" t="s">
        <v>3</v>
      </c>
      <c r="C6673" s="1" t="s">
        <v>4</v>
      </c>
      <c r="D6673" s="1" t="s">
        <v>5</v>
      </c>
      <c r="E6673" s="1" t="s">
        <v>6</v>
      </c>
      <c r="F6673" s="2" t="s">
        <v>7</v>
      </c>
      <c r="G6673" s="1" t="s">
        <v>8</v>
      </c>
      <c r="H6673" s="1"/>
    </row>
    <row r="6674" spans="1:8" ht="14.25" customHeight="1">
      <c r="A6674" s="3">
        <v>1</v>
      </c>
      <c r="B6674" s="4" t="s">
        <v>33</v>
      </c>
      <c r="C6674" s="18" t="s">
        <v>1593</v>
      </c>
      <c r="D6674" s="4" t="s">
        <v>11</v>
      </c>
      <c r="E6674" s="4">
        <v>2.19</v>
      </c>
      <c r="F6674" s="6">
        <v>293000</v>
      </c>
      <c r="G6674" s="7">
        <f t="shared" ref="G6674:G6676" si="414">IFERROR(E6674*F6674,0)</f>
        <v>641670</v>
      </c>
      <c r="H6674" s="8"/>
    </row>
    <row r="6675" spans="1:8" ht="14.25" customHeight="1">
      <c r="A6675" s="3">
        <v>2</v>
      </c>
      <c r="B6675" s="4" t="s">
        <v>286</v>
      </c>
      <c r="C6675" s="5" t="s">
        <v>1594</v>
      </c>
      <c r="D6675" s="4" t="s">
        <v>14</v>
      </c>
      <c r="E6675" s="4">
        <v>1.3</v>
      </c>
      <c r="F6675" s="11">
        <v>435000</v>
      </c>
      <c r="G6675" s="7">
        <f t="shared" si="414"/>
        <v>565500</v>
      </c>
      <c r="H6675" s="8"/>
    </row>
    <row r="6676" spans="1:8" ht="14.25" customHeight="1">
      <c r="A6676" s="3">
        <v>3</v>
      </c>
      <c r="B6676" s="8" t="s">
        <v>17</v>
      </c>
      <c r="C6676" s="8"/>
      <c r="D6676" s="8"/>
      <c r="E6676" s="8"/>
      <c r="F6676" s="8"/>
      <c r="G6676" s="13">
        <f t="shared" si="414"/>
        <v>0</v>
      </c>
      <c r="H6676" s="8"/>
    </row>
    <row r="6677" spans="1:8" ht="14.25" customHeight="1">
      <c r="A6677" s="86" t="s">
        <v>18</v>
      </c>
      <c r="B6677" s="81"/>
      <c r="C6677" s="81"/>
      <c r="D6677" s="81"/>
      <c r="E6677" s="81"/>
      <c r="F6677" s="81"/>
      <c r="G6677" s="82"/>
      <c r="H6677" s="14">
        <f>SUM(G6674:G6676)</f>
        <v>1207170</v>
      </c>
    </row>
    <row r="6678" spans="1:8" ht="14.25" customHeight="1">
      <c r="A6678" s="86" t="s">
        <v>19</v>
      </c>
      <c r="B6678" s="81"/>
      <c r="C6678" s="81"/>
      <c r="D6678" s="81"/>
      <c r="E6678" s="81"/>
      <c r="F6678" s="81"/>
      <c r="G6678" s="82"/>
      <c r="H6678" s="14">
        <f>MAX(0,H6677-648000)</f>
        <v>559170</v>
      </c>
    </row>
    <row r="6679" spans="1:8" ht="14.25" customHeight="1">
      <c r="A6679" s="87" t="s">
        <v>20</v>
      </c>
      <c r="B6679" s="81"/>
      <c r="C6679" s="81"/>
      <c r="D6679" s="81"/>
      <c r="E6679" s="81"/>
      <c r="F6679" s="81"/>
      <c r="G6679" s="82"/>
      <c r="H6679" s="15">
        <v>649000</v>
      </c>
    </row>
    <row r="6680" spans="1:8" ht="14.25" customHeight="1">
      <c r="A6680" s="85"/>
      <c r="B6680" s="81"/>
      <c r="C6680" s="81"/>
      <c r="D6680" s="81"/>
      <c r="E6680" s="81"/>
      <c r="F6680" s="81"/>
      <c r="G6680" s="81"/>
      <c r="H6680" s="82"/>
    </row>
    <row r="6681" spans="1:8" ht="14.25" customHeight="1"/>
    <row r="6682" spans="1:8" ht="14.25" customHeight="1"/>
    <row r="6683" spans="1:8" ht="14.25" customHeight="1"/>
    <row r="6684" spans="1:8" ht="14.25" customHeight="1"/>
    <row r="6685" spans="1:8" ht="14.25" customHeight="1">
      <c r="A6685" s="85" t="s">
        <v>0</v>
      </c>
      <c r="B6685" s="81"/>
      <c r="C6685" s="81"/>
      <c r="D6685" s="81"/>
      <c r="E6685" s="81"/>
      <c r="F6685" s="81"/>
      <c r="G6685" s="81"/>
      <c r="H6685" s="82"/>
    </row>
    <row r="6686" spans="1:8" ht="14.25" customHeight="1">
      <c r="A6686" s="85" t="s">
        <v>1595</v>
      </c>
      <c r="B6686" s="81"/>
      <c r="C6686" s="81"/>
      <c r="D6686" s="81"/>
      <c r="E6686" s="81"/>
      <c r="F6686" s="81"/>
      <c r="G6686" s="81"/>
      <c r="H6686" s="82"/>
    </row>
    <row r="6687" spans="1:8" ht="14.25" customHeight="1">
      <c r="A6687" s="1" t="s">
        <v>2</v>
      </c>
      <c r="B6687" s="1" t="s">
        <v>3</v>
      </c>
      <c r="C6687" s="1" t="s">
        <v>4</v>
      </c>
      <c r="D6687" s="1" t="s">
        <v>5</v>
      </c>
      <c r="E6687" s="1" t="s">
        <v>6</v>
      </c>
      <c r="F6687" s="2" t="s">
        <v>7</v>
      </c>
      <c r="G6687" s="1" t="s">
        <v>8</v>
      </c>
      <c r="H6687" s="1"/>
    </row>
    <row r="6688" spans="1:8" ht="14.25" customHeight="1">
      <c r="A6688" s="3">
        <v>1</v>
      </c>
      <c r="B6688" s="9" t="s">
        <v>38</v>
      </c>
      <c r="C6688" s="12" t="s">
        <v>1596</v>
      </c>
      <c r="D6688" s="9" t="s">
        <v>11</v>
      </c>
      <c r="E6688" s="9">
        <v>1.47</v>
      </c>
      <c r="F6688" s="6">
        <v>293000</v>
      </c>
      <c r="G6688" s="7">
        <f t="shared" ref="G6688:G6690" si="415">IFERROR(E6688*F6688,0)</f>
        <v>430710</v>
      </c>
      <c r="H6688" s="8"/>
    </row>
    <row r="6689" spans="1:8" ht="14.25" customHeight="1">
      <c r="A6689" s="3">
        <v>2</v>
      </c>
      <c r="B6689" s="4" t="s">
        <v>73</v>
      </c>
      <c r="C6689" s="18" t="s">
        <v>1597</v>
      </c>
      <c r="D6689" s="4" t="s">
        <v>14</v>
      </c>
      <c r="E6689" s="4">
        <v>1.96</v>
      </c>
      <c r="F6689" s="11">
        <v>435000</v>
      </c>
      <c r="G6689" s="7">
        <f t="shared" si="415"/>
        <v>852600</v>
      </c>
      <c r="H6689" s="8"/>
    </row>
    <row r="6690" spans="1:8" ht="14.25" customHeight="1">
      <c r="A6690" s="3">
        <v>3</v>
      </c>
      <c r="B6690" s="8" t="s">
        <v>17</v>
      </c>
      <c r="C6690" s="8"/>
      <c r="D6690" s="8"/>
      <c r="E6690" s="8"/>
      <c r="F6690" s="8"/>
      <c r="G6690" s="13">
        <f t="shared" si="415"/>
        <v>0</v>
      </c>
      <c r="H6690" s="8"/>
    </row>
    <row r="6691" spans="1:8" ht="14.25" customHeight="1">
      <c r="A6691" s="86" t="s">
        <v>18</v>
      </c>
      <c r="B6691" s="81"/>
      <c r="C6691" s="81"/>
      <c r="D6691" s="81"/>
      <c r="E6691" s="81"/>
      <c r="F6691" s="81"/>
      <c r="G6691" s="82"/>
      <c r="H6691" s="14">
        <f>SUM(G6688:G6690)</f>
        <v>1283310</v>
      </c>
    </row>
    <row r="6692" spans="1:8" ht="14.25" customHeight="1">
      <c r="A6692" s="86" t="s">
        <v>19</v>
      </c>
      <c r="B6692" s="81"/>
      <c r="C6692" s="81"/>
      <c r="D6692" s="81"/>
      <c r="E6692" s="81"/>
      <c r="F6692" s="81"/>
      <c r="G6692" s="82"/>
      <c r="H6692" s="14">
        <f>MAX(0,H6691-648000)</f>
        <v>635310</v>
      </c>
    </row>
    <row r="6693" spans="1:8" ht="14.25" customHeight="1">
      <c r="A6693" s="87" t="s">
        <v>20</v>
      </c>
      <c r="B6693" s="81"/>
      <c r="C6693" s="81"/>
      <c r="D6693" s="81"/>
      <c r="E6693" s="81"/>
      <c r="F6693" s="81"/>
      <c r="G6693" s="82"/>
      <c r="H6693" s="15">
        <v>649000</v>
      </c>
    </row>
    <row r="6694" spans="1:8" ht="14.25" customHeight="1">
      <c r="A6694" s="85"/>
      <c r="B6694" s="81"/>
      <c r="C6694" s="81"/>
      <c r="D6694" s="81"/>
      <c r="E6694" s="81"/>
      <c r="F6694" s="81"/>
      <c r="G6694" s="81"/>
      <c r="H6694" s="82"/>
    </row>
    <row r="6695" spans="1:8" ht="14.25" customHeight="1"/>
    <row r="6696" spans="1:8" ht="14.25" customHeight="1"/>
    <row r="6697" spans="1:8" ht="14.25" customHeight="1"/>
    <row r="6698" spans="1:8" ht="14.25" customHeight="1"/>
    <row r="6699" spans="1:8" ht="14.25" customHeight="1"/>
    <row r="6700" spans="1:8" ht="14.25" customHeight="1">
      <c r="A6700" s="85" t="s">
        <v>0</v>
      </c>
      <c r="B6700" s="81"/>
      <c r="C6700" s="81"/>
      <c r="D6700" s="81"/>
      <c r="E6700" s="81"/>
      <c r="F6700" s="81"/>
      <c r="G6700" s="81"/>
      <c r="H6700" s="82"/>
    </row>
    <row r="6701" spans="1:8" ht="14.25" customHeight="1">
      <c r="A6701" s="85" t="s">
        <v>1598</v>
      </c>
      <c r="B6701" s="81"/>
      <c r="C6701" s="81"/>
      <c r="D6701" s="81"/>
      <c r="E6701" s="81"/>
      <c r="F6701" s="81"/>
      <c r="G6701" s="81"/>
      <c r="H6701" s="82"/>
    </row>
    <row r="6702" spans="1:8" ht="14.25" customHeight="1">
      <c r="A6702" s="1" t="s">
        <v>2</v>
      </c>
      <c r="B6702" s="1" t="s">
        <v>3</v>
      </c>
      <c r="C6702" s="1" t="s">
        <v>4</v>
      </c>
      <c r="D6702" s="1" t="s">
        <v>5</v>
      </c>
      <c r="E6702" s="1" t="s">
        <v>6</v>
      </c>
      <c r="F6702" s="2" t="s">
        <v>7</v>
      </c>
      <c r="G6702" s="1" t="s">
        <v>8</v>
      </c>
      <c r="H6702" s="1"/>
    </row>
    <row r="6703" spans="1:8" ht="14.25" customHeight="1">
      <c r="A6703" s="3">
        <v>1</v>
      </c>
      <c r="B6703" s="9" t="s">
        <v>1599</v>
      </c>
      <c r="C6703" s="12" t="s">
        <v>1600</v>
      </c>
      <c r="D6703" s="9" t="s">
        <v>11</v>
      </c>
      <c r="E6703" s="9">
        <v>2.7</v>
      </c>
      <c r="F6703" s="6">
        <v>293000</v>
      </c>
      <c r="G6703" s="7">
        <f t="shared" ref="G6703:G6705" si="416">IFERROR(E6703*F6703,0)</f>
        <v>791100</v>
      </c>
      <c r="H6703" s="8"/>
    </row>
    <row r="6704" spans="1:8" ht="14.25" customHeight="1">
      <c r="A6704" s="3">
        <v>2</v>
      </c>
      <c r="B6704" s="4" t="s">
        <v>1601</v>
      </c>
      <c r="C6704" s="5" t="s">
        <v>1602</v>
      </c>
      <c r="D6704" s="4" t="s">
        <v>14</v>
      </c>
      <c r="E6704" s="4">
        <v>0.93</v>
      </c>
      <c r="F6704" s="11">
        <v>435000</v>
      </c>
      <c r="G6704" s="7">
        <f t="shared" si="416"/>
        <v>404550</v>
      </c>
      <c r="H6704" s="8"/>
    </row>
    <row r="6705" spans="1:8" ht="14.25" customHeight="1">
      <c r="A6705" s="3">
        <v>3</v>
      </c>
      <c r="B6705" s="8" t="s">
        <v>17</v>
      </c>
      <c r="C6705" s="8"/>
      <c r="D6705" s="8"/>
      <c r="E6705" s="8"/>
      <c r="F6705" s="8"/>
      <c r="G6705" s="13">
        <f t="shared" si="416"/>
        <v>0</v>
      </c>
      <c r="H6705" s="8"/>
    </row>
    <row r="6706" spans="1:8" ht="14.25" customHeight="1">
      <c r="A6706" s="86" t="s">
        <v>18</v>
      </c>
      <c r="B6706" s="81"/>
      <c r="C6706" s="81"/>
      <c r="D6706" s="81"/>
      <c r="E6706" s="81"/>
      <c r="F6706" s="81"/>
      <c r="G6706" s="82"/>
      <c r="H6706" s="14">
        <f>SUM(G6703:G6705)</f>
        <v>1195650</v>
      </c>
    </row>
    <row r="6707" spans="1:8" ht="14.25" customHeight="1">
      <c r="A6707" s="86" t="s">
        <v>19</v>
      </c>
      <c r="B6707" s="81"/>
      <c r="C6707" s="81"/>
      <c r="D6707" s="81"/>
      <c r="E6707" s="81"/>
      <c r="F6707" s="81"/>
      <c r="G6707" s="82"/>
      <c r="H6707" s="14">
        <f>MAX(0,H6706-648000)</f>
        <v>547650</v>
      </c>
    </row>
    <row r="6708" spans="1:8" ht="14.25" customHeight="1">
      <c r="A6708" s="87" t="s">
        <v>20</v>
      </c>
      <c r="B6708" s="81"/>
      <c r="C6708" s="81"/>
      <c r="D6708" s="81"/>
      <c r="E6708" s="81"/>
      <c r="F6708" s="81"/>
      <c r="G6708" s="82"/>
      <c r="H6708" s="15">
        <v>649000</v>
      </c>
    </row>
    <row r="6709" spans="1:8" ht="14.25" customHeight="1">
      <c r="A6709" s="85"/>
      <c r="B6709" s="81"/>
      <c r="C6709" s="81"/>
      <c r="D6709" s="81"/>
      <c r="E6709" s="81"/>
      <c r="F6709" s="81"/>
      <c r="G6709" s="81"/>
      <c r="H6709" s="82"/>
    </row>
    <row r="6710" spans="1:8" ht="14.25" customHeight="1"/>
    <row r="6711" spans="1:8" ht="14.25" customHeight="1"/>
    <row r="6712" spans="1:8" ht="14.25" customHeight="1"/>
    <row r="6713" spans="1:8" ht="14.25" customHeight="1"/>
    <row r="6714" spans="1:8" ht="14.25" customHeight="1"/>
    <row r="6715" spans="1:8" ht="14.25" customHeight="1">
      <c r="A6715" s="85" t="s">
        <v>0</v>
      </c>
      <c r="B6715" s="81"/>
      <c r="C6715" s="81"/>
      <c r="D6715" s="81"/>
      <c r="E6715" s="81"/>
      <c r="F6715" s="81"/>
      <c r="G6715" s="81"/>
      <c r="H6715" s="82"/>
    </row>
    <row r="6716" spans="1:8" ht="14.25" customHeight="1">
      <c r="A6716" s="85" t="s">
        <v>1603</v>
      </c>
      <c r="B6716" s="81"/>
      <c r="C6716" s="81"/>
      <c r="D6716" s="81"/>
      <c r="E6716" s="81"/>
      <c r="F6716" s="81"/>
      <c r="G6716" s="81"/>
      <c r="H6716" s="82"/>
    </row>
    <row r="6717" spans="1:8" ht="14.25" customHeight="1">
      <c r="A6717" s="1" t="s">
        <v>2</v>
      </c>
      <c r="B6717" s="1" t="s">
        <v>3</v>
      </c>
      <c r="C6717" s="1" t="s">
        <v>4</v>
      </c>
      <c r="D6717" s="1" t="s">
        <v>5</v>
      </c>
      <c r="E6717" s="1" t="s">
        <v>6</v>
      </c>
      <c r="F6717" s="2" t="s">
        <v>7</v>
      </c>
      <c r="G6717" s="1" t="s">
        <v>8</v>
      </c>
      <c r="H6717" s="1"/>
    </row>
    <row r="6718" spans="1:8" ht="14.25" customHeight="1">
      <c r="A6718" s="3">
        <v>1</v>
      </c>
      <c r="B6718" s="9" t="s">
        <v>1604</v>
      </c>
      <c r="C6718" s="10" t="s">
        <v>1605</v>
      </c>
      <c r="D6718" s="9" t="s">
        <v>11</v>
      </c>
      <c r="E6718" s="9">
        <v>2.5499999999999998</v>
      </c>
      <c r="F6718" s="6">
        <v>293000</v>
      </c>
      <c r="G6718" s="7">
        <f t="shared" ref="G6718:G6720" si="417">IFERROR(E6718*F6718,0)</f>
        <v>747150</v>
      </c>
      <c r="H6718" s="8"/>
    </row>
    <row r="6719" spans="1:8" ht="14.25" customHeight="1">
      <c r="A6719" s="3">
        <v>2</v>
      </c>
      <c r="B6719" s="9" t="s">
        <v>54</v>
      </c>
      <c r="C6719" s="10" t="s">
        <v>1606</v>
      </c>
      <c r="D6719" s="9" t="s">
        <v>14</v>
      </c>
      <c r="E6719" s="9">
        <v>1.22</v>
      </c>
      <c r="F6719" s="11">
        <v>435000</v>
      </c>
      <c r="G6719" s="7">
        <f t="shared" si="417"/>
        <v>530700</v>
      </c>
      <c r="H6719" s="8"/>
    </row>
    <row r="6720" spans="1:8" ht="14.25" customHeight="1">
      <c r="A6720" s="3">
        <v>3</v>
      </c>
      <c r="B6720" s="8" t="s">
        <v>17</v>
      </c>
      <c r="C6720" s="8"/>
      <c r="D6720" s="8"/>
      <c r="E6720" s="8"/>
      <c r="F6720" s="8"/>
      <c r="G6720" s="13">
        <f t="shared" si="417"/>
        <v>0</v>
      </c>
      <c r="H6720" s="8"/>
    </row>
    <row r="6721" spans="1:8" ht="14.25" customHeight="1">
      <c r="A6721" s="86" t="s">
        <v>18</v>
      </c>
      <c r="B6721" s="81"/>
      <c r="C6721" s="81"/>
      <c r="D6721" s="81"/>
      <c r="E6721" s="81"/>
      <c r="F6721" s="81"/>
      <c r="G6721" s="82"/>
      <c r="H6721" s="14">
        <f>SUM(G6718:G6720)</f>
        <v>1277850</v>
      </c>
    </row>
    <row r="6722" spans="1:8" ht="14.25" customHeight="1">
      <c r="A6722" s="86" t="s">
        <v>19</v>
      </c>
      <c r="B6722" s="81"/>
      <c r="C6722" s="81"/>
      <c r="D6722" s="81"/>
      <c r="E6722" s="81"/>
      <c r="F6722" s="81"/>
      <c r="G6722" s="82"/>
      <c r="H6722" s="14">
        <f>MAX(0,H6721-648000)</f>
        <v>629850</v>
      </c>
    </row>
    <row r="6723" spans="1:8" ht="14.25" customHeight="1">
      <c r="A6723" s="87" t="s">
        <v>20</v>
      </c>
      <c r="B6723" s="81"/>
      <c r="C6723" s="81"/>
      <c r="D6723" s="81"/>
      <c r="E6723" s="81"/>
      <c r="F6723" s="81"/>
      <c r="G6723" s="82"/>
      <c r="H6723" s="15">
        <v>649000</v>
      </c>
    </row>
    <row r="6724" spans="1:8" ht="14.25" customHeight="1">
      <c r="A6724" s="85"/>
      <c r="B6724" s="81"/>
      <c r="C6724" s="81"/>
      <c r="D6724" s="81"/>
      <c r="E6724" s="81"/>
      <c r="F6724" s="81"/>
      <c r="G6724" s="81"/>
      <c r="H6724" s="82"/>
    </row>
    <row r="6725" spans="1:8" ht="14.25" customHeight="1"/>
    <row r="6726" spans="1:8" ht="14.25" customHeight="1"/>
    <row r="6727" spans="1:8" ht="14.25" customHeight="1"/>
    <row r="6728" spans="1:8" ht="14.25" customHeight="1"/>
    <row r="6729" spans="1:8" ht="14.25" customHeight="1">
      <c r="A6729" s="85" t="s">
        <v>0</v>
      </c>
      <c r="B6729" s="81"/>
      <c r="C6729" s="81"/>
      <c r="D6729" s="81"/>
      <c r="E6729" s="81"/>
      <c r="F6729" s="81"/>
      <c r="G6729" s="81"/>
      <c r="H6729" s="82"/>
    </row>
    <row r="6730" spans="1:8" ht="14.25" customHeight="1">
      <c r="A6730" s="85" t="s">
        <v>1607</v>
      </c>
      <c r="B6730" s="81"/>
      <c r="C6730" s="81"/>
      <c r="D6730" s="81"/>
      <c r="E6730" s="81"/>
      <c r="F6730" s="81"/>
      <c r="G6730" s="81"/>
      <c r="H6730" s="82"/>
    </row>
    <row r="6731" spans="1:8" ht="14.25" customHeight="1">
      <c r="A6731" s="1" t="s">
        <v>2</v>
      </c>
      <c r="B6731" s="1" t="s">
        <v>3</v>
      </c>
      <c r="C6731" s="1" t="s">
        <v>4</v>
      </c>
      <c r="D6731" s="1" t="s">
        <v>5</v>
      </c>
      <c r="E6731" s="1" t="s">
        <v>6</v>
      </c>
      <c r="F6731" s="2" t="s">
        <v>7</v>
      </c>
      <c r="G6731" s="1" t="s">
        <v>8</v>
      </c>
      <c r="H6731" s="1"/>
    </row>
    <row r="6732" spans="1:8" ht="14.25" customHeight="1">
      <c r="A6732" s="3">
        <v>1</v>
      </c>
      <c r="B6732" s="4" t="s">
        <v>340</v>
      </c>
      <c r="C6732" s="5" t="s">
        <v>1608</v>
      </c>
      <c r="D6732" s="4" t="s">
        <v>11</v>
      </c>
      <c r="E6732" s="4">
        <v>1.5</v>
      </c>
      <c r="F6732" s="6">
        <v>293000</v>
      </c>
      <c r="G6732" s="7">
        <f t="shared" ref="G6732:G6734" si="418">IFERROR(E6732*F6732,0)</f>
        <v>439500</v>
      </c>
      <c r="H6732" s="8"/>
    </row>
    <row r="6733" spans="1:8" ht="14.25" customHeight="1">
      <c r="A6733" s="3">
        <v>2</v>
      </c>
      <c r="B6733" s="9" t="s">
        <v>381</v>
      </c>
      <c r="C6733" s="10" t="s">
        <v>1609</v>
      </c>
      <c r="D6733" s="9" t="s">
        <v>14</v>
      </c>
      <c r="E6733" s="9">
        <v>2</v>
      </c>
      <c r="F6733" s="11">
        <v>435000</v>
      </c>
      <c r="G6733" s="7">
        <f t="shared" si="418"/>
        <v>870000</v>
      </c>
      <c r="H6733" s="8"/>
    </row>
    <row r="6734" spans="1:8" ht="14.25" customHeight="1">
      <c r="A6734" s="3">
        <v>3</v>
      </c>
      <c r="B6734" s="8" t="s">
        <v>17</v>
      </c>
      <c r="C6734" s="8"/>
      <c r="D6734" s="8"/>
      <c r="E6734" s="8"/>
      <c r="F6734" s="8"/>
      <c r="G6734" s="13">
        <f t="shared" si="418"/>
        <v>0</v>
      </c>
      <c r="H6734" s="8"/>
    </row>
    <row r="6735" spans="1:8" ht="14.25" customHeight="1">
      <c r="A6735" s="86" t="s">
        <v>18</v>
      </c>
      <c r="B6735" s="81"/>
      <c r="C6735" s="81"/>
      <c r="D6735" s="81"/>
      <c r="E6735" s="81"/>
      <c r="F6735" s="81"/>
      <c r="G6735" s="82"/>
      <c r="H6735" s="14">
        <f>SUM(G6732:G6734)</f>
        <v>1309500</v>
      </c>
    </row>
    <row r="6736" spans="1:8" ht="14.25" customHeight="1">
      <c r="A6736" s="86" t="s">
        <v>19</v>
      </c>
      <c r="B6736" s="81"/>
      <c r="C6736" s="81"/>
      <c r="D6736" s="81"/>
      <c r="E6736" s="81"/>
      <c r="F6736" s="81"/>
      <c r="G6736" s="82"/>
      <c r="H6736" s="14">
        <f>MAX(0,H6735-648000)</f>
        <v>661500</v>
      </c>
    </row>
    <row r="6737" spans="1:8" ht="14.25" customHeight="1">
      <c r="A6737" s="87" t="s">
        <v>20</v>
      </c>
      <c r="B6737" s="81"/>
      <c r="C6737" s="81"/>
      <c r="D6737" s="81"/>
      <c r="E6737" s="81"/>
      <c r="F6737" s="81"/>
      <c r="G6737" s="82"/>
      <c r="H6737" s="15">
        <v>649000</v>
      </c>
    </row>
    <row r="6738" spans="1:8" ht="14.25" customHeight="1">
      <c r="A6738" s="85"/>
      <c r="B6738" s="81"/>
      <c r="C6738" s="81"/>
      <c r="D6738" s="81"/>
      <c r="E6738" s="81"/>
      <c r="F6738" s="81"/>
      <c r="G6738" s="81"/>
      <c r="H6738" s="82"/>
    </row>
    <row r="6739" spans="1:8" ht="14.25" customHeight="1"/>
    <row r="6740" spans="1:8" ht="14.25" customHeight="1"/>
    <row r="6741" spans="1:8" ht="14.25" customHeight="1"/>
    <row r="6742" spans="1:8" ht="14.25" customHeight="1"/>
    <row r="6743" spans="1:8" ht="14.25" customHeight="1">
      <c r="A6743" s="85" t="s">
        <v>0</v>
      </c>
      <c r="B6743" s="81"/>
      <c r="C6743" s="81"/>
      <c r="D6743" s="81"/>
      <c r="E6743" s="81"/>
      <c r="F6743" s="81"/>
      <c r="G6743" s="81"/>
      <c r="H6743" s="82"/>
    </row>
    <row r="6744" spans="1:8" ht="14.25" customHeight="1">
      <c r="A6744" s="85" t="s">
        <v>1610</v>
      </c>
      <c r="B6744" s="81"/>
      <c r="C6744" s="81"/>
      <c r="D6744" s="81"/>
      <c r="E6744" s="81"/>
      <c r="F6744" s="81"/>
      <c r="G6744" s="81"/>
      <c r="H6744" s="82"/>
    </row>
    <row r="6745" spans="1:8" ht="14.25" customHeight="1">
      <c r="A6745" s="1" t="s">
        <v>2</v>
      </c>
      <c r="B6745" s="1" t="s">
        <v>3</v>
      </c>
      <c r="C6745" s="1" t="s">
        <v>4</v>
      </c>
      <c r="D6745" s="1" t="s">
        <v>5</v>
      </c>
      <c r="E6745" s="1" t="s">
        <v>6</v>
      </c>
      <c r="F6745" s="2" t="s">
        <v>7</v>
      </c>
      <c r="G6745" s="1" t="s">
        <v>8</v>
      </c>
      <c r="H6745" s="1"/>
    </row>
    <row r="6746" spans="1:8" ht="14.25" customHeight="1">
      <c r="A6746" s="3">
        <v>1</v>
      </c>
      <c r="B6746" s="4" t="s">
        <v>257</v>
      </c>
      <c r="C6746" s="5" t="s">
        <v>1611</v>
      </c>
      <c r="D6746" s="4" t="s">
        <v>11</v>
      </c>
      <c r="E6746" s="4">
        <v>2.6</v>
      </c>
      <c r="F6746" s="6">
        <v>293000</v>
      </c>
      <c r="G6746" s="7">
        <f t="shared" ref="G6746:G6748" si="419">IFERROR(E6746*F6746,0)</f>
        <v>761800</v>
      </c>
      <c r="H6746" s="8"/>
    </row>
    <row r="6747" spans="1:8" ht="14.25" customHeight="1">
      <c r="A6747" s="3">
        <v>2</v>
      </c>
      <c r="B6747" s="4" t="s">
        <v>563</v>
      </c>
      <c r="C6747" s="5" t="s">
        <v>1612</v>
      </c>
      <c r="D6747" s="4" t="s">
        <v>14</v>
      </c>
      <c r="E6747" s="4">
        <v>1</v>
      </c>
      <c r="F6747" s="11">
        <v>435000</v>
      </c>
      <c r="G6747" s="7">
        <f t="shared" si="419"/>
        <v>435000</v>
      </c>
      <c r="H6747" s="8"/>
    </row>
    <row r="6748" spans="1:8" ht="14.25" customHeight="1">
      <c r="A6748" s="3">
        <v>3</v>
      </c>
      <c r="B6748" s="8" t="s">
        <v>17</v>
      </c>
      <c r="C6748" s="8"/>
      <c r="D6748" s="8"/>
      <c r="E6748" s="8"/>
      <c r="F6748" s="8"/>
      <c r="G6748" s="13">
        <f t="shared" si="419"/>
        <v>0</v>
      </c>
      <c r="H6748" s="8"/>
    </row>
    <row r="6749" spans="1:8" ht="14.25" customHeight="1">
      <c r="A6749" s="86" t="s">
        <v>18</v>
      </c>
      <c r="B6749" s="81"/>
      <c r="C6749" s="81"/>
      <c r="D6749" s="81"/>
      <c r="E6749" s="81"/>
      <c r="F6749" s="81"/>
      <c r="G6749" s="82"/>
      <c r="H6749" s="14">
        <f>SUM(G6746:G6748)</f>
        <v>1196800</v>
      </c>
    </row>
    <row r="6750" spans="1:8" ht="14.25" customHeight="1">
      <c r="A6750" s="86" t="s">
        <v>19</v>
      </c>
      <c r="B6750" s="81"/>
      <c r="C6750" s="81"/>
      <c r="D6750" s="81"/>
      <c r="E6750" s="81"/>
      <c r="F6750" s="81"/>
      <c r="G6750" s="82"/>
      <c r="H6750" s="14">
        <f>MAX(0,H6749-648000)</f>
        <v>548800</v>
      </c>
    </row>
    <row r="6751" spans="1:8" ht="14.25" customHeight="1">
      <c r="A6751" s="87" t="s">
        <v>20</v>
      </c>
      <c r="B6751" s="81"/>
      <c r="C6751" s="81"/>
      <c r="D6751" s="81"/>
      <c r="E6751" s="81"/>
      <c r="F6751" s="81"/>
      <c r="G6751" s="82"/>
      <c r="H6751" s="15">
        <v>649000</v>
      </c>
    </row>
    <row r="6752" spans="1:8" ht="14.25" customHeight="1">
      <c r="A6752" s="85"/>
      <c r="B6752" s="81"/>
      <c r="C6752" s="81"/>
      <c r="D6752" s="81"/>
      <c r="E6752" s="81"/>
      <c r="F6752" s="81"/>
      <c r="G6752" s="81"/>
      <c r="H6752" s="82"/>
    </row>
    <row r="6753" spans="1:8" ht="14.25" customHeight="1"/>
    <row r="6754" spans="1:8" ht="14.25" customHeight="1"/>
    <row r="6755" spans="1:8" ht="14.25" customHeight="1"/>
    <row r="6756" spans="1:8" ht="14.25" customHeight="1"/>
    <row r="6757" spans="1:8" ht="14.25" customHeight="1">
      <c r="A6757" s="85" t="s">
        <v>0</v>
      </c>
      <c r="B6757" s="81"/>
      <c r="C6757" s="81"/>
      <c r="D6757" s="81"/>
      <c r="E6757" s="81"/>
      <c r="F6757" s="81"/>
      <c r="G6757" s="81"/>
      <c r="H6757" s="82"/>
    </row>
    <row r="6758" spans="1:8" ht="14.25" customHeight="1">
      <c r="A6758" s="85" t="s">
        <v>1613</v>
      </c>
      <c r="B6758" s="81"/>
      <c r="C6758" s="81"/>
      <c r="D6758" s="81"/>
      <c r="E6758" s="81"/>
      <c r="F6758" s="81"/>
      <c r="G6758" s="81"/>
      <c r="H6758" s="82"/>
    </row>
    <row r="6759" spans="1:8" ht="14.25" customHeight="1">
      <c r="A6759" s="1" t="s">
        <v>2</v>
      </c>
      <c r="B6759" s="1" t="s">
        <v>3</v>
      </c>
      <c r="C6759" s="1" t="s">
        <v>4</v>
      </c>
      <c r="D6759" s="1" t="s">
        <v>5</v>
      </c>
      <c r="E6759" s="1" t="s">
        <v>6</v>
      </c>
      <c r="F6759" s="2" t="s">
        <v>7</v>
      </c>
      <c r="G6759" s="1" t="s">
        <v>8</v>
      </c>
      <c r="H6759" s="1"/>
    </row>
    <row r="6760" spans="1:8" ht="14.25" customHeight="1">
      <c r="A6760" s="3">
        <v>1</v>
      </c>
      <c r="B6760" s="4" t="s">
        <v>203</v>
      </c>
      <c r="C6760" s="5" t="s">
        <v>1614</v>
      </c>
      <c r="D6760" s="4" t="s">
        <v>11</v>
      </c>
      <c r="E6760" s="4">
        <v>1.98</v>
      </c>
      <c r="F6760" s="6">
        <v>293000</v>
      </c>
      <c r="G6760" s="7">
        <f t="shared" ref="G6760:G6762" si="420">IFERROR(E6760*F6760,0)</f>
        <v>580140</v>
      </c>
      <c r="H6760" s="8"/>
    </row>
    <row r="6761" spans="1:8" ht="14.25" customHeight="1">
      <c r="A6761" s="3">
        <v>2</v>
      </c>
      <c r="B6761" s="9" t="s">
        <v>65</v>
      </c>
      <c r="C6761" s="10" t="s">
        <v>1615</v>
      </c>
      <c r="D6761" s="9" t="s">
        <v>14</v>
      </c>
      <c r="E6761" s="9">
        <v>1.5</v>
      </c>
      <c r="F6761" s="11">
        <v>435000</v>
      </c>
      <c r="G6761" s="7">
        <f t="shared" si="420"/>
        <v>652500</v>
      </c>
      <c r="H6761" s="8"/>
    </row>
    <row r="6762" spans="1:8" ht="14.25" customHeight="1">
      <c r="A6762" s="3">
        <v>3</v>
      </c>
      <c r="B6762" s="8" t="s">
        <v>17</v>
      </c>
      <c r="C6762" s="8"/>
      <c r="D6762" s="8"/>
      <c r="E6762" s="8"/>
      <c r="F6762" s="8"/>
      <c r="G6762" s="13">
        <f t="shared" si="420"/>
        <v>0</v>
      </c>
      <c r="H6762" s="8"/>
    </row>
    <row r="6763" spans="1:8" ht="14.25" customHeight="1">
      <c r="A6763" s="86" t="s">
        <v>18</v>
      </c>
      <c r="B6763" s="81"/>
      <c r="C6763" s="81"/>
      <c r="D6763" s="81"/>
      <c r="E6763" s="81"/>
      <c r="F6763" s="81"/>
      <c r="G6763" s="82"/>
      <c r="H6763" s="14">
        <f>SUM(G6760:G6762)</f>
        <v>1232640</v>
      </c>
    </row>
    <row r="6764" spans="1:8" ht="14.25" customHeight="1">
      <c r="A6764" s="86" t="s">
        <v>19</v>
      </c>
      <c r="B6764" s="81"/>
      <c r="C6764" s="81"/>
      <c r="D6764" s="81"/>
      <c r="E6764" s="81"/>
      <c r="F6764" s="81"/>
      <c r="G6764" s="82"/>
      <c r="H6764" s="14">
        <f>MAX(0,H6763-648000)</f>
        <v>584640</v>
      </c>
    </row>
    <row r="6765" spans="1:8" ht="14.25" customHeight="1">
      <c r="A6765" s="87" t="s">
        <v>20</v>
      </c>
      <c r="B6765" s="81"/>
      <c r="C6765" s="81"/>
      <c r="D6765" s="81"/>
      <c r="E6765" s="81"/>
      <c r="F6765" s="81"/>
      <c r="G6765" s="82"/>
      <c r="H6765" s="15">
        <v>649000</v>
      </c>
    </row>
    <row r="6766" spans="1:8" ht="14.25" customHeight="1">
      <c r="A6766" s="85"/>
      <c r="B6766" s="81"/>
      <c r="C6766" s="81"/>
      <c r="D6766" s="81"/>
      <c r="E6766" s="81"/>
      <c r="F6766" s="81"/>
      <c r="G6766" s="81"/>
      <c r="H6766" s="82"/>
    </row>
    <row r="6767" spans="1:8" ht="14.25" customHeight="1"/>
    <row r="6768" spans="1:8" ht="14.25" customHeight="1"/>
    <row r="6769" spans="1:8" ht="14.25" customHeight="1"/>
    <row r="6770" spans="1:8" ht="14.25" customHeight="1"/>
    <row r="6771" spans="1:8" ht="14.25" customHeight="1"/>
    <row r="6772" spans="1:8" ht="14.25" customHeight="1">
      <c r="A6772" s="85" t="s">
        <v>0</v>
      </c>
      <c r="B6772" s="81"/>
      <c r="C6772" s="81"/>
      <c r="D6772" s="81"/>
      <c r="E6772" s="81"/>
      <c r="F6772" s="81"/>
      <c r="G6772" s="81"/>
      <c r="H6772" s="82"/>
    </row>
    <row r="6773" spans="1:8" ht="14.25" customHeight="1">
      <c r="A6773" s="85" t="s">
        <v>1616</v>
      </c>
      <c r="B6773" s="81"/>
      <c r="C6773" s="81"/>
      <c r="D6773" s="81"/>
      <c r="E6773" s="81"/>
      <c r="F6773" s="81"/>
      <c r="G6773" s="81"/>
      <c r="H6773" s="82"/>
    </row>
    <row r="6774" spans="1:8" ht="14.25" customHeight="1">
      <c r="A6774" s="1" t="s">
        <v>2</v>
      </c>
      <c r="B6774" s="1" t="s">
        <v>3</v>
      </c>
      <c r="C6774" s="1" t="s">
        <v>4</v>
      </c>
      <c r="D6774" s="1" t="s">
        <v>5</v>
      </c>
      <c r="E6774" s="1" t="s">
        <v>6</v>
      </c>
      <c r="F6774" s="2" t="s">
        <v>7</v>
      </c>
      <c r="G6774" s="1" t="s">
        <v>8</v>
      </c>
      <c r="H6774" s="1"/>
    </row>
    <row r="6775" spans="1:8" ht="14.25" customHeight="1">
      <c r="A6775" s="3">
        <v>1</v>
      </c>
      <c r="B6775" s="4" t="s">
        <v>1617</v>
      </c>
      <c r="C6775" s="5" t="s">
        <v>1618</v>
      </c>
      <c r="D6775" s="4" t="s">
        <v>11</v>
      </c>
      <c r="E6775" s="4">
        <v>1.5</v>
      </c>
      <c r="F6775" s="6">
        <v>293000</v>
      </c>
      <c r="G6775" s="7">
        <f t="shared" ref="G6775:G6777" si="421">IFERROR(E6775*F6775,0)</f>
        <v>439500</v>
      </c>
      <c r="H6775" s="8"/>
    </row>
    <row r="6776" spans="1:8" ht="14.25" customHeight="1">
      <c r="A6776" s="3">
        <v>2</v>
      </c>
      <c r="B6776" s="4" t="s">
        <v>70</v>
      </c>
      <c r="C6776" s="5" t="s">
        <v>1619</v>
      </c>
      <c r="D6776" s="4" t="s">
        <v>14</v>
      </c>
      <c r="E6776" s="4">
        <v>2.08</v>
      </c>
      <c r="F6776" s="11">
        <v>435000</v>
      </c>
      <c r="G6776" s="7">
        <f t="shared" si="421"/>
        <v>904800</v>
      </c>
      <c r="H6776" s="8"/>
    </row>
    <row r="6777" spans="1:8" ht="14.25" customHeight="1">
      <c r="A6777" s="3">
        <v>3</v>
      </c>
      <c r="B6777" s="8" t="s">
        <v>17</v>
      </c>
      <c r="C6777" s="8"/>
      <c r="D6777" s="8"/>
      <c r="E6777" s="8"/>
      <c r="F6777" s="8"/>
      <c r="G6777" s="13">
        <f t="shared" si="421"/>
        <v>0</v>
      </c>
      <c r="H6777" s="8"/>
    </row>
    <row r="6778" spans="1:8" ht="14.25" customHeight="1">
      <c r="A6778" s="86" t="s">
        <v>18</v>
      </c>
      <c r="B6778" s="81"/>
      <c r="C6778" s="81"/>
      <c r="D6778" s="81"/>
      <c r="E6778" s="81"/>
      <c r="F6778" s="81"/>
      <c r="G6778" s="82"/>
      <c r="H6778" s="14">
        <f>SUM(G6775:G6777)</f>
        <v>1344300</v>
      </c>
    </row>
    <row r="6779" spans="1:8" ht="14.25" customHeight="1">
      <c r="A6779" s="86" t="s">
        <v>19</v>
      </c>
      <c r="B6779" s="81"/>
      <c r="C6779" s="81"/>
      <c r="D6779" s="81"/>
      <c r="E6779" s="81"/>
      <c r="F6779" s="81"/>
      <c r="G6779" s="82"/>
      <c r="H6779" s="14">
        <f>MAX(0,H6778-648000)</f>
        <v>696300</v>
      </c>
    </row>
    <row r="6780" spans="1:8" ht="14.25" customHeight="1">
      <c r="A6780" s="87" t="s">
        <v>20</v>
      </c>
      <c r="B6780" s="81"/>
      <c r="C6780" s="81"/>
      <c r="D6780" s="81"/>
      <c r="E6780" s="81"/>
      <c r="F6780" s="81"/>
      <c r="G6780" s="82"/>
      <c r="H6780" s="15">
        <v>649000</v>
      </c>
    </row>
    <row r="6781" spans="1:8" ht="14.25" customHeight="1">
      <c r="A6781" s="85"/>
      <c r="B6781" s="81"/>
      <c r="C6781" s="81"/>
      <c r="D6781" s="81"/>
      <c r="E6781" s="81"/>
      <c r="F6781" s="81"/>
      <c r="G6781" s="81"/>
      <c r="H6781" s="82"/>
    </row>
    <row r="6782" spans="1:8" ht="14.25" customHeight="1"/>
    <row r="6783" spans="1:8" ht="14.25" customHeight="1"/>
    <row r="6784" spans="1:8" ht="14.25" customHeight="1"/>
    <row r="6785" spans="1:8" ht="14.25" customHeight="1"/>
    <row r="6786" spans="1:8" ht="14.25" customHeight="1"/>
    <row r="6787" spans="1:8" ht="14.25" customHeight="1"/>
    <row r="6788" spans="1:8" ht="14.25" customHeight="1"/>
    <row r="6789" spans="1:8" ht="14.25" customHeight="1">
      <c r="A6789" s="85" t="s">
        <v>0</v>
      </c>
      <c r="B6789" s="81"/>
      <c r="C6789" s="81"/>
      <c r="D6789" s="81"/>
      <c r="E6789" s="81"/>
      <c r="F6789" s="81"/>
      <c r="G6789" s="81"/>
      <c r="H6789" s="82"/>
    </row>
    <row r="6790" spans="1:8" ht="14.25" customHeight="1">
      <c r="A6790" s="85" t="s">
        <v>1620</v>
      </c>
      <c r="B6790" s="81"/>
      <c r="C6790" s="81"/>
      <c r="D6790" s="81"/>
      <c r="E6790" s="81"/>
      <c r="F6790" s="81"/>
      <c r="G6790" s="81"/>
      <c r="H6790" s="82"/>
    </row>
    <row r="6791" spans="1:8" ht="14.25" customHeight="1">
      <c r="A6791" s="1" t="s">
        <v>2</v>
      </c>
      <c r="B6791" s="1" t="s">
        <v>3</v>
      </c>
      <c r="C6791" s="1" t="s">
        <v>4</v>
      </c>
      <c r="D6791" s="1" t="s">
        <v>5</v>
      </c>
      <c r="E6791" s="1" t="s">
        <v>6</v>
      </c>
      <c r="F6791" s="2" t="s">
        <v>7</v>
      </c>
      <c r="G6791" s="1" t="s">
        <v>8</v>
      </c>
      <c r="H6791" s="1"/>
    </row>
    <row r="6792" spans="1:8" ht="14.25" customHeight="1">
      <c r="A6792" s="3">
        <v>1</v>
      </c>
      <c r="B6792" s="9" t="s">
        <v>1378</v>
      </c>
      <c r="C6792" s="20">
        <v>4276</v>
      </c>
      <c r="D6792" s="9" t="s">
        <v>11</v>
      </c>
      <c r="E6792" s="9">
        <v>1.9</v>
      </c>
      <c r="F6792" s="6">
        <v>293000</v>
      </c>
      <c r="G6792" s="7">
        <f t="shared" ref="G6792:G6794" si="422">IFERROR(E6792*F6792,0)</f>
        <v>556700</v>
      </c>
      <c r="H6792" s="8"/>
    </row>
    <row r="6793" spans="1:8" ht="14.25" customHeight="1">
      <c r="A6793" s="3">
        <v>2</v>
      </c>
      <c r="B6793" s="4" t="s">
        <v>289</v>
      </c>
      <c r="C6793" s="19">
        <v>4283</v>
      </c>
      <c r="D6793" s="4" t="s">
        <v>14</v>
      </c>
      <c r="E6793" s="4">
        <v>1.5</v>
      </c>
      <c r="F6793" s="11">
        <v>435000</v>
      </c>
      <c r="G6793" s="7">
        <f t="shared" si="422"/>
        <v>652500</v>
      </c>
      <c r="H6793" s="8"/>
    </row>
    <row r="6794" spans="1:8" ht="14.25" customHeight="1">
      <c r="A6794" s="3">
        <v>3</v>
      </c>
      <c r="B6794" s="8" t="s">
        <v>17</v>
      </c>
      <c r="C6794" s="8"/>
      <c r="D6794" s="8"/>
      <c r="E6794" s="8"/>
      <c r="F6794" s="8"/>
      <c r="G6794" s="13">
        <f t="shared" si="422"/>
        <v>0</v>
      </c>
      <c r="H6794" s="8"/>
    </row>
    <row r="6795" spans="1:8" ht="14.25" customHeight="1">
      <c r="A6795" s="86" t="s">
        <v>18</v>
      </c>
      <c r="B6795" s="81"/>
      <c r="C6795" s="81"/>
      <c r="D6795" s="81"/>
      <c r="E6795" s="81"/>
      <c r="F6795" s="81"/>
      <c r="G6795" s="82"/>
      <c r="H6795" s="14">
        <f>SUM(G6792:G6794)</f>
        <v>1209200</v>
      </c>
    </row>
    <row r="6796" spans="1:8" ht="14.25" customHeight="1">
      <c r="A6796" s="86" t="s">
        <v>19</v>
      </c>
      <c r="B6796" s="81"/>
      <c r="C6796" s="81"/>
      <c r="D6796" s="81"/>
      <c r="E6796" s="81"/>
      <c r="F6796" s="81"/>
      <c r="G6796" s="82"/>
      <c r="H6796" s="14">
        <f>MAX(0,H6795-648000)</f>
        <v>561200</v>
      </c>
    </row>
    <row r="6797" spans="1:8" ht="14.25" customHeight="1">
      <c r="A6797" s="87" t="s">
        <v>20</v>
      </c>
      <c r="B6797" s="81"/>
      <c r="C6797" s="81"/>
      <c r="D6797" s="81"/>
      <c r="E6797" s="81"/>
      <c r="F6797" s="81"/>
      <c r="G6797" s="82"/>
      <c r="H6797" s="15">
        <v>649000</v>
      </c>
    </row>
    <row r="6798" spans="1:8" ht="14.25" customHeight="1">
      <c r="A6798" s="85"/>
      <c r="B6798" s="81"/>
      <c r="C6798" s="81"/>
      <c r="D6798" s="81"/>
      <c r="E6798" s="81"/>
      <c r="F6798" s="81"/>
      <c r="G6798" s="81"/>
      <c r="H6798" s="82"/>
    </row>
    <row r="6799" spans="1:8" ht="14.25" customHeight="1"/>
    <row r="6800" spans="1:8" ht="14.25" customHeight="1"/>
    <row r="6801" spans="1:8" ht="14.25" customHeight="1"/>
    <row r="6802" spans="1:8" ht="14.25" customHeight="1"/>
    <row r="6803" spans="1:8" ht="14.25" customHeight="1"/>
    <row r="6804" spans="1:8" ht="14.25" customHeight="1"/>
    <row r="6805" spans="1:8" ht="14.25" customHeight="1"/>
    <row r="6806" spans="1:8" ht="14.25" customHeight="1"/>
    <row r="6807" spans="1:8" ht="14.25" customHeight="1"/>
    <row r="6808" spans="1:8" ht="14.25" customHeight="1">
      <c r="A6808" s="85" t="s">
        <v>0</v>
      </c>
      <c r="B6808" s="81"/>
      <c r="C6808" s="81"/>
      <c r="D6808" s="81"/>
      <c r="E6808" s="81"/>
      <c r="F6808" s="81"/>
      <c r="G6808" s="81"/>
      <c r="H6808" s="82"/>
    </row>
    <row r="6809" spans="1:8" ht="14.25" customHeight="1">
      <c r="A6809" s="85" t="s">
        <v>1621</v>
      </c>
      <c r="B6809" s="81"/>
      <c r="C6809" s="81"/>
      <c r="D6809" s="81"/>
      <c r="E6809" s="81"/>
      <c r="F6809" s="81"/>
      <c r="G6809" s="81"/>
      <c r="H6809" s="82"/>
    </row>
    <row r="6810" spans="1:8" ht="14.25" customHeight="1">
      <c r="A6810" s="1" t="s">
        <v>2</v>
      </c>
      <c r="B6810" s="1" t="s">
        <v>3</v>
      </c>
      <c r="C6810" s="1" t="s">
        <v>4</v>
      </c>
      <c r="D6810" s="1" t="s">
        <v>5</v>
      </c>
      <c r="E6810" s="1" t="s">
        <v>6</v>
      </c>
      <c r="F6810" s="2" t="s">
        <v>7</v>
      </c>
      <c r="G6810" s="1" t="s">
        <v>8</v>
      </c>
      <c r="H6810" s="1"/>
    </row>
    <row r="6811" spans="1:8" ht="14.25" customHeight="1">
      <c r="A6811" s="3">
        <v>1</v>
      </c>
      <c r="B6811" s="9" t="s">
        <v>1622</v>
      </c>
      <c r="C6811" s="10" t="s">
        <v>1623</v>
      </c>
      <c r="D6811" s="9" t="s">
        <v>11</v>
      </c>
      <c r="E6811" s="9">
        <v>2</v>
      </c>
      <c r="F6811" s="6">
        <v>293000</v>
      </c>
      <c r="G6811" s="7">
        <f t="shared" ref="G6811:G6813" si="423">IFERROR(E6811*F6811,0)</f>
        <v>586000</v>
      </c>
      <c r="H6811" s="8"/>
    </row>
    <row r="6812" spans="1:8" ht="14.25" customHeight="1">
      <c r="A6812" s="3">
        <v>2</v>
      </c>
      <c r="B6812" s="4" t="s">
        <v>130</v>
      </c>
      <c r="C6812" s="19">
        <v>4273</v>
      </c>
      <c r="D6812" s="4" t="s">
        <v>14</v>
      </c>
      <c r="E6812" s="4">
        <v>1.5</v>
      </c>
      <c r="F6812" s="11">
        <v>435000</v>
      </c>
      <c r="G6812" s="7">
        <f t="shared" si="423"/>
        <v>652500</v>
      </c>
      <c r="H6812" s="8"/>
    </row>
    <row r="6813" spans="1:8" ht="14.25" customHeight="1">
      <c r="A6813" s="3">
        <v>3</v>
      </c>
      <c r="B6813" s="8" t="s">
        <v>17</v>
      </c>
      <c r="C6813" s="8"/>
      <c r="D6813" s="8"/>
      <c r="E6813" s="8"/>
      <c r="F6813" s="8"/>
      <c r="G6813" s="13">
        <f t="shared" si="423"/>
        <v>0</v>
      </c>
      <c r="H6813" s="8"/>
    </row>
    <row r="6814" spans="1:8" ht="14.25" customHeight="1">
      <c r="A6814" s="86" t="s">
        <v>18</v>
      </c>
      <c r="B6814" s="81"/>
      <c r="C6814" s="81"/>
      <c r="D6814" s="81"/>
      <c r="E6814" s="81"/>
      <c r="F6814" s="81"/>
      <c r="G6814" s="82"/>
      <c r="H6814" s="14">
        <f>SUM(G6811:G6813)</f>
        <v>1238500</v>
      </c>
    </row>
    <row r="6815" spans="1:8" ht="14.25" customHeight="1">
      <c r="A6815" s="86" t="s">
        <v>19</v>
      </c>
      <c r="B6815" s="81"/>
      <c r="C6815" s="81"/>
      <c r="D6815" s="81"/>
      <c r="E6815" s="81"/>
      <c r="F6815" s="81"/>
      <c r="G6815" s="82"/>
      <c r="H6815" s="14">
        <f>MAX(0,H6814-648000)</f>
        <v>590500</v>
      </c>
    </row>
    <row r="6816" spans="1:8" ht="14.25" customHeight="1">
      <c r="A6816" s="87" t="s">
        <v>20</v>
      </c>
      <c r="B6816" s="81"/>
      <c r="C6816" s="81"/>
      <c r="D6816" s="81"/>
      <c r="E6816" s="81"/>
      <c r="F6816" s="81"/>
      <c r="G6816" s="82"/>
      <c r="H6816" s="15">
        <v>649000</v>
      </c>
    </row>
    <row r="6817" spans="1:8" ht="14.25" customHeight="1">
      <c r="A6817" s="85"/>
      <c r="B6817" s="81"/>
      <c r="C6817" s="81"/>
      <c r="D6817" s="81"/>
      <c r="E6817" s="81"/>
      <c r="F6817" s="81"/>
      <c r="G6817" s="81"/>
      <c r="H6817" s="82"/>
    </row>
    <row r="6818" spans="1:8" ht="14.25" customHeight="1"/>
    <row r="6819" spans="1:8" ht="14.25" customHeight="1"/>
    <row r="6820" spans="1:8" ht="14.25" customHeight="1"/>
    <row r="6821" spans="1:8" ht="14.25" customHeight="1"/>
    <row r="6822" spans="1:8" ht="14.25" customHeight="1"/>
    <row r="6823" spans="1:8" ht="14.25" customHeight="1"/>
    <row r="6824" spans="1:8" ht="14.25" customHeight="1"/>
    <row r="6825" spans="1:8" ht="14.25" customHeight="1"/>
    <row r="6826" spans="1:8" ht="14.25" customHeight="1"/>
    <row r="6827" spans="1:8" ht="14.25" customHeight="1">
      <c r="A6827" s="85" t="s">
        <v>0</v>
      </c>
      <c r="B6827" s="81"/>
      <c r="C6827" s="81"/>
      <c r="D6827" s="81"/>
      <c r="E6827" s="81"/>
      <c r="F6827" s="81"/>
      <c r="G6827" s="81"/>
      <c r="H6827" s="82"/>
    </row>
    <row r="6828" spans="1:8" ht="14.25" customHeight="1">
      <c r="A6828" s="85" t="s">
        <v>1624</v>
      </c>
      <c r="B6828" s="81"/>
      <c r="C6828" s="81"/>
      <c r="D6828" s="81"/>
      <c r="E6828" s="81"/>
      <c r="F6828" s="81"/>
      <c r="G6828" s="81"/>
      <c r="H6828" s="82"/>
    </row>
    <row r="6829" spans="1:8" ht="14.25" customHeight="1">
      <c r="A6829" s="1" t="s">
        <v>2</v>
      </c>
      <c r="B6829" s="1" t="s">
        <v>3</v>
      </c>
      <c r="C6829" s="1" t="s">
        <v>4</v>
      </c>
      <c r="D6829" s="1" t="s">
        <v>5</v>
      </c>
      <c r="E6829" s="1" t="s">
        <v>6</v>
      </c>
      <c r="F6829" s="2" t="s">
        <v>7</v>
      </c>
      <c r="G6829" s="1" t="s">
        <v>8</v>
      </c>
      <c r="H6829" s="1"/>
    </row>
    <row r="6830" spans="1:8" ht="14.25" customHeight="1">
      <c r="A6830" s="3">
        <v>1</v>
      </c>
      <c r="B6830" s="9" t="s">
        <v>351</v>
      </c>
      <c r="C6830" s="10" t="s">
        <v>1625</v>
      </c>
      <c r="D6830" s="9" t="s">
        <v>11</v>
      </c>
      <c r="E6830" s="9">
        <v>3</v>
      </c>
      <c r="F6830" s="6">
        <v>293000</v>
      </c>
      <c r="G6830" s="7">
        <f t="shared" ref="G6830:G6832" si="424">IFERROR(E6830*F6830,0)</f>
        <v>879000</v>
      </c>
      <c r="H6830" s="8"/>
    </row>
    <row r="6831" spans="1:8" ht="14.25" customHeight="1">
      <c r="A6831" s="3">
        <v>2</v>
      </c>
      <c r="B6831" s="4" t="s">
        <v>33</v>
      </c>
      <c r="C6831" s="5" t="s">
        <v>1626</v>
      </c>
      <c r="D6831" s="4" t="s">
        <v>14</v>
      </c>
      <c r="E6831" s="4">
        <v>0.51</v>
      </c>
      <c r="F6831" s="11">
        <v>435000</v>
      </c>
      <c r="G6831" s="76">
        <f t="shared" si="424"/>
        <v>221850</v>
      </c>
      <c r="H6831" s="8"/>
    </row>
    <row r="6832" spans="1:8" ht="14.25" customHeight="1">
      <c r="A6832" s="3">
        <v>3</v>
      </c>
      <c r="B6832" s="8" t="s">
        <v>17</v>
      </c>
      <c r="C6832" s="8"/>
      <c r="D6832" s="8"/>
      <c r="E6832" s="8"/>
      <c r="F6832" s="8"/>
      <c r="G6832" s="13">
        <f t="shared" si="424"/>
        <v>0</v>
      </c>
      <c r="H6832" s="8"/>
    </row>
    <row r="6833" spans="1:8" ht="14.25" customHeight="1">
      <c r="A6833" s="86" t="s">
        <v>18</v>
      </c>
      <c r="B6833" s="81"/>
      <c r="C6833" s="81"/>
      <c r="D6833" s="81"/>
      <c r="E6833" s="81"/>
      <c r="F6833" s="81"/>
      <c r="G6833" s="82"/>
      <c r="H6833" s="14">
        <f>SUM(G6830:G6832)</f>
        <v>1100850</v>
      </c>
    </row>
    <row r="6834" spans="1:8" ht="14.25" customHeight="1">
      <c r="A6834" s="86" t="s">
        <v>19</v>
      </c>
      <c r="B6834" s="81"/>
      <c r="C6834" s="81"/>
      <c r="D6834" s="81"/>
      <c r="E6834" s="81"/>
      <c r="F6834" s="81"/>
      <c r="G6834" s="82"/>
      <c r="H6834" s="14">
        <f>MAX(0,H6833-648000)</f>
        <v>452850</v>
      </c>
    </row>
    <row r="6835" spans="1:8" ht="14.25" customHeight="1">
      <c r="A6835" s="87" t="s">
        <v>20</v>
      </c>
      <c r="B6835" s="81"/>
      <c r="C6835" s="81"/>
      <c r="D6835" s="81"/>
      <c r="E6835" s="81"/>
      <c r="F6835" s="81"/>
      <c r="G6835" s="82"/>
      <c r="H6835" s="15">
        <v>649000</v>
      </c>
    </row>
    <row r="6836" spans="1:8" ht="14.25" customHeight="1">
      <c r="A6836" s="85"/>
      <c r="B6836" s="81"/>
      <c r="C6836" s="81"/>
      <c r="D6836" s="81"/>
      <c r="E6836" s="81"/>
      <c r="F6836" s="81"/>
      <c r="G6836" s="81"/>
      <c r="H6836" s="82"/>
    </row>
    <row r="6837" spans="1:8" ht="14.25" customHeight="1"/>
    <row r="6838" spans="1:8" ht="14.25" customHeight="1"/>
    <row r="6839" spans="1:8" ht="14.25" customHeight="1"/>
    <row r="6840" spans="1:8" ht="14.25" customHeight="1">
      <c r="A6840" s="85" t="s">
        <v>0</v>
      </c>
      <c r="B6840" s="81"/>
      <c r="C6840" s="81"/>
      <c r="D6840" s="81"/>
      <c r="E6840" s="81"/>
      <c r="F6840" s="81"/>
      <c r="G6840" s="81"/>
      <c r="H6840" s="82"/>
    </row>
    <row r="6841" spans="1:8" ht="14.25" customHeight="1">
      <c r="A6841" s="85" t="s">
        <v>1627</v>
      </c>
      <c r="B6841" s="81"/>
      <c r="C6841" s="81"/>
      <c r="D6841" s="81"/>
      <c r="E6841" s="81"/>
      <c r="F6841" s="81"/>
      <c r="G6841" s="81"/>
      <c r="H6841" s="82"/>
    </row>
    <row r="6842" spans="1:8" ht="14.25" customHeight="1">
      <c r="A6842" s="1" t="s">
        <v>2</v>
      </c>
      <c r="B6842" s="1" t="s">
        <v>3</v>
      </c>
      <c r="C6842" s="1" t="s">
        <v>4</v>
      </c>
      <c r="D6842" s="1" t="s">
        <v>5</v>
      </c>
      <c r="E6842" s="1" t="s">
        <v>6</v>
      </c>
      <c r="F6842" s="2" t="s">
        <v>7</v>
      </c>
      <c r="G6842" s="1" t="s">
        <v>8</v>
      </c>
      <c r="H6842" s="1"/>
    </row>
    <row r="6843" spans="1:8" ht="14.25" customHeight="1">
      <c r="A6843" s="3">
        <v>1</v>
      </c>
      <c r="B6843" s="9" t="s">
        <v>1628</v>
      </c>
      <c r="C6843" s="10" t="s">
        <v>1629</v>
      </c>
      <c r="D6843" s="9" t="s">
        <v>11</v>
      </c>
      <c r="E6843" s="9">
        <v>2</v>
      </c>
      <c r="F6843" s="6">
        <v>293000</v>
      </c>
      <c r="G6843" s="7">
        <f t="shared" ref="G6843:G6845" si="425">IFERROR(E6843*F6843,0)</f>
        <v>586000</v>
      </c>
      <c r="H6843" s="8"/>
    </row>
    <row r="6844" spans="1:8" ht="14.25" customHeight="1">
      <c r="A6844" s="3">
        <v>2</v>
      </c>
      <c r="B6844" s="4" t="s">
        <v>252</v>
      </c>
      <c r="C6844" s="5" t="s">
        <v>1630</v>
      </c>
      <c r="D6844" s="4" t="s">
        <v>14</v>
      </c>
      <c r="E6844" s="4">
        <v>1.37</v>
      </c>
      <c r="F6844" s="11">
        <v>435000</v>
      </c>
      <c r="G6844" s="7">
        <f t="shared" si="425"/>
        <v>595950</v>
      </c>
      <c r="H6844" s="8"/>
    </row>
    <row r="6845" spans="1:8" ht="14.25" customHeight="1">
      <c r="A6845" s="3">
        <v>3</v>
      </c>
      <c r="B6845" s="8" t="s">
        <v>17</v>
      </c>
      <c r="C6845" s="8"/>
      <c r="D6845" s="8"/>
      <c r="E6845" s="8"/>
      <c r="F6845" s="8"/>
      <c r="G6845" s="13">
        <f t="shared" si="425"/>
        <v>0</v>
      </c>
      <c r="H6845" s="8"/>
    </row>
    <row r="6846" spans="1:8" ht="14.25" customHeight="1">
      <c r="A6846" s="86" t="s">
        <v>18</v>
      </c>
      <c r="B6846" s="81"/>
      <c r="C6846" s="81"/>
      <c r="D6846" s="81"/>
      <c r="E6846" s="81"/>
      <c r="F6846" s="81"/>
      <c r="G6846" s="82"/>
      <c r="H6846" s="14">
        <f>SUM(G6843:G6845)</f>
        <v>1181950</v>
      </c>
    </row>
    <row r="6847" spans="1:8" ht="14.25" customHeight="1">
      <c r="A6847" s="86" t="s">
        <v>19</v>
      </c>
      <c r="B6847" s="81"/>
      <c r="C6847" s="81"/>
      <c r="D6847" s="81"/>
      <c r="E6847" s="81"/>
      <c r="F6847" s="81"/>
      <c r="G6847" s="82"/>
      <c r="H6847" s="14">
        <f>MAX(0,H6846-648000)</f>
        <v>533950</v>
      </c>
    </row>
    <row r="6848" spans="1:8" ht="14.25" customHeight="1">
      <c r="A6848" s="87" t="s">
        <v>20</v>
      </c>
      <c r="B6848" s="81"/>
      <c r="C6848" s="81"/>
      <c r="D6848" s="81"/>
      <c r="E6848" s="81"/>
      <c r="F6848" s="81"/>
      <c r="G6848" s="82"/>
      <c r="H6848" s="15">
        <v>649000</v>
      </c>
    </row>
    <row r="6849" spans="1:8" ht="14.25" customHeight="1">
      <c r="A6849" s="85"/>
      <c r="B6849" s="81"/>
      <c r="C6849" s="81"/>
      <c r="D6849" s="81"/>
      <c r="E6849" s="81"/>
      <c r="F6849" s="81"/>
      <c r="G6849" s="81"/>
      <c r="H6849" s="82"/>
    </row>
    <row r="6850" spans="1:8" ht="14.25" customHeight="1"/>
    <row r="6851" spans="1:8" ht="14.25" customHeight="1"/>
    <row r="6852" spans="1:8" ht="14.25" customHeight="1"/>
    <row r="6853" spans="1:8" ht="14.25" customHeight="1"/>
    <row r="6854" spans="1:8" ht="14.25" customHeight="1"/>
    <row r="6855" spans="1:8" ht="14.25" customHeight="1">
      <c r="A6855" s="85" t="s">
        <v>0</v>
      </c>
      <c r="B6855" s="81"/>
      <c r="C6855" s="81"/>
      <c r="D6855" s="81"/>
      <c r="E6855" s="81"/>
      <c r="F6855" s="81"/>
      <c r="G6855" s="81"/>
      <c r="H6855" s="82"/>
    </row>
    <row r="6856" spans="1:8" ht="14.25" customHeight="1">
      <c r="A6856" s="85" t="s">
        <v>1631</v>
      </c>
      <c r="B6856" s="81"/>
      <c r="C6856" s="81"/>
      <c r="D6856" s="81"/>
      <c r="E6856" s="81"/>
      <c r="F6856" s="81"/>
      <c r="G6856" s="81"/>
      <c r="H6856" s="82"/>
    </row>
    <row r="6857" spans="1:8" ht="14.25" customHeight="1">
      <c r="A6857" s="1" t="s">
        <v>2</v>
      </c>
      <c r="B6857" s="1" t="s">
        <v>3</v>
      </c>
      <c r="C6857" s="1" t="s">
        <v>4</v>
      </c>
      <c r="D6857" s="1" t="s">
        <v>5</v>
      </c>
      <c r="E6857" s="1" t="s">
        <v>6</v>
      </c>
      <c r="F6857" s="2" t="s">
        <v>7</v>
      </c>
      <c r="G6857" s="1" t="s">
        <v>8</v>
      </c>
      <c r="H6857" s="1"/>
    </row>
    <row r="6858" spans="1:8" ht="14.25" customHeight="1">
      <c r="A6858" s="3">
        <v>1</v>
      </c>
      <c r="B6858" s="4" t="s">
        <v>183</v>
      </c>
      <c r="C6858" s="5" t="s">
        <v>1632</v>
      </c>
      <c r="D6858" s="4" t="s">
        <v>11</v>
      </c>
      <c r="E6858" s="4">
        <v>1</v>
      </c>
      <c r="F6858" s="6">
        <v>293000</v>
      </c>
      <c r="G6858" s="7">
        <f t="shared" ref="G6858:G6860" si="426">IFERROR(E6858*F6858,0)</f>
        <v>293000</v>
      </c>
      <c r="H6858" s="8"/>
    </row>
    <row r="6859" spans="1:8" ht="14.25" customHeight="1">
      <c r="A6859" s="3">
        <v>2</v>
      </c>
      <c r="B6859" s="9" t="s">
        <v>374</v>
      </c>
      <c r="C6859" s="10" t="s">
        <v>1633</v>
      </c>
      <c r="D6859" s="9" t="s">
        <v>14</v>
      </c>
      <c r="E6859" s="9">
        <v>2.5</v>
      </c>
      <c r="F6859" s="11">
        <v>435000</v>
      </c>
      <c r="G6859" s="7">
        <f t="shared" si="426"/>
        <v>1087500</v>
      </c>
      <c r="H6859" s="8"/>
    </row>
    <row r="6860" spans="1:8" ht="14.25" customHeight="1">
      <c r="A6860" s="3">
        <v>3</v>
      </c>
      <c r="B6860" s="8" t="s">
        <v>17</v>
      </c>
      <c r="C6860" s="8"/>
      <c r="D6860" s="8"/>
      <c r="E6860" s="8"/>
      <c r="F6860" s="8"/>
      <c r="G6860" s="13">
        <f t="shared" si="426"/>
        <v>0</v>
      </c>
      <c r="H6860" s="8"/>
    </row>
    <row r="6861" spans="1:8" ht="14.25" customHeight="1">
      <c r="A6861" s="86" t="s">
        <v>18</v>
      </c>
      <c r="B6861" s="81"/>
      <c r="C6861" s="81"/>
      <c r="D6861" s="81"/>
      <c r="E6861" s="81"/>
      <c r="F6861" s="81"/>
      <c r="G6861" s="82"/>
      <c r="H6861" s="14">
        <f>SUM(G6858:G6860)</f>
        <v>1380500</v>
      </c>
    </row>
    <row r="6862" spans="1:8" ht="14.25" customHeight="1">
      <c r="A6862" s="86" t="s">
        <v>19</v>
      </c>
      <c r="B6862" s="81"/>
      <c r="C6862" s="81"/>
      <c r="D6862" s="81"/>
      <c r="E6862" s="81"/>
      <c r="F6862" s="81"/>
      <c r="G6862" s="82"/>
      <c r="H6862" s="14">
        <f>MAX(0,H6861-648000)</f>
        <v>732500</v>
      </c>
    </row>
    <row r="6863" spans="1:8" ht="14.25" customHeight="1">
      <c r="A6863" s="87" t="s">
        <v>20</v>
      </c>
      <c r="B6863" s="81"/>
      <c r="C6863" s="81"/>
      <c r="D6863" s="81"/>
      <c r="E6863" s="81"/>
      <c r="F6863" s="81"/>
      <c r="G6863" s="82"/>
      <c r="H6863" s="15">
        <v>649000</v>
      </c>
    </row>
    <row r="6864" spans="1:8" ht="14.25" customHeight="1">
      <c r="A6864" s="85"/>
      <c r="B6864" s="81"/>
      <c r="C6864" s="81"/>
      <c r="D6864" s="81"/>
      <c r="E6864" s="81"/>
      <c r="F6864" s="81"/>
      <c r="G6864" s="81"/>
      <c r="H6864" s="82"/>
    </row>
    <row r="6865" spans="1:8" ht="14.25" customHeight="1"/>
    <row r="6866" spans="1:8" ht="14.25" customHeight="1"/>
    <row r="6867" spans="1:8" ht="14.25" customHeight="1"/>
    <row r="6868" spans="1:8" ht="14.25" customHeight="1">
      <c r="A6868" s="85" t="s">
        <v>0</v>
      </c>
      <c r="B6868" s="81"/>
      <c r="C6868" s="81"/>
      <c r="D6868" s="81"/>
      <c r="E6868" s="81"/>
      <c r="F6868" s="81"/>
      <c r="G6868" s="81"/>
      <c r="H6868" s="82"/>
    </row>
    <row r="6869" spans="1:8" ht="14.25" customHeight="1">
      <c r="A6869" s="85" t="s">
        <v>1634</v>
      </c>
      <c r="B6869" s="81"/>
      <c r="C6869" s="81"/>
      <c r="D6869" s="81"/>
      <c r="E6869" s="81"/>
      <c r="F6869" s="81"/>
      <c r="G6869" s="81"/>
      <c r="H6869" s="82"/>
    </row>
    <row r="6870" spans="1:8" ht="14.25" customHeight="1">
      <c r="A6870" s="1" t="s">
        <v>2</v>
      </c>
      <c r="B6870" s="1" t="s">
        <v>3</v>
      </c>
      <c r="C6870" s="1" t="s">
        <v>4</v>
      </c>
      <c r="D6870" s="1" t="s">
        <v>5</v>
      </c>
      <c r="E6870" s="1" t="s">
        <v>6</v>
      </c>
      <c r="F6870" s="2" t="s">
        <v>7</v>
      </c>
      <c r="G6870" s="1" t="s">
        <v>8</v>
      </c>
      <c r="H6870" s="1"/>
    </row>
    <row r="6871" spans="1:8" ht="14.25" customHeight="1">
      <c r="A6871" s="3">
        <v>1</v>
      </c>
      <c r="B6871" s="9" t="s">
        <v>73</v>
      </c>
      <c r="C6871" s="75" t="s">
        <v>1635</v>
      </c>
      <c r="D6871" s="9" t="s">
        <v>11</v>
      </c>
      <c r="E6871" s="9">
        <v>1.4</v>
      </c>
      <c r="F6871" s="6">
        <v>293000</v>
      </c>
      <c r="G6871" s="7">
        <f t="shared" ref="G6871:G6873" si="427">IFERROR(E6871*F6871,0)</f>
        <v>410200</v>
      </c>
      <c r="H6871" s="8"/>
    </row>
    <row r="6872" spans="1:8" ht="14.25" customHeight="1">
      <c r="A6872" s="3">
        <v>2</v>
      </c>
      <c r="B6872" s="9" t="s">
        <v>54</v>
      </c>
      <c r="C6872" s="10" t="s">
        <v>1636</v>
      </c>
      <c r="D6872" s="9" t="s">
        <v>14</v>
      </c>
      <c r="E6872" s="9">
        <v>1.68</v>
      </c>
      <c r="F6872" s="11">
        <v>435000</v>
      </c>
      <c r="G6872" s="7">
        <f t="shared" si="427"/>
        <v>730800</v>
      </c>
      <c r="H6872" s="8"/>
    </row>
    <row r="6873" spans="1:8" ht="14.25" customHeight="1">
      <c r="A6873" s="3">
        <v>3</v>
      </c>
      <c r="B6873" s="8" t="s">
        <v>17</v>
      </c>
      <c r="C6873" s="8"/>
      <c r="D6873" s="8"/>
      <c r="E6873" s="8"/>
      <c r="F6873" s="8"/>
      <c r="G6873" s="13">
        <f t="shared" si="427"/>
        <v>0</v>
      </c>
      <c r="H6873" s="8"/>
    </row>
    <row r="6874" spans="1:8" ht="14.25" customHeight="1">
      <c r="A6874" s="86" t="s">
        <v>18</v>
      </c>
      <c r="B6874" s="81"/>
      <c r="C6874" s="81"/>
      <c r="D6874" s="81"/>
      <c r="E6874" s="81"/>
      <c r="F6874" s="81"/>
      <c r="G6874" s="82"/>
      <c r="H6874" s="14">
        <f>SUM(G6871:G6873)</f>
        <v>1141000</v>
      </c>
    </row>
    <row r="6875" spans="1:8" ht="14.25" customHeight="1">
      <c r="A6875" s="86" t="s">
        <v>19</v>
      </c>
      <c r="B6875" s="81"/>
      <c r="C6875" s="81"/>
      <c r="D6875" s="81"/>
      <c r="E6875" s="81"/>
      <c r="F6875" s="81"/>
      <c r="G6875" s="82"/>
      <c r="H6875" s="14">
        <f>MAX(0,H6874-648000)</f>
        <v>493000</v>
      </c>
    </row>
    <row r="6876" spans="1:8" ht="14.25" customHeight="1">
      <c r="A6876" s="87" t="s">
        <v>20</v>
      </c>
      <c r="B6876" s="81"/>
      <c r="C6876" s="81"/>
      <c r="D6876" s="81"/>
      <c r="E6876" s="81"/>
      <c r="F6876" s="81"/>
      <c r="G6876" s="82"/>
      <c r="H6876" s="15">
        <v>649000</v>
      </c>
    </row>
    <row r="6877" spans="1:8" ht="14.25" customHeight="1">
      <c r="A6877" s="85"/>
      <c r="B6877" s="81"/>
      <c r="C6877" s="81"/>
      <c r="D6877" s="81"/>
      <c r="E6877" s="81"/>
      <c r="F6877" s="81"/>
      <c r="G6877" s="81"/>
      <c r="H6877" s="82"/>
    </row>
    <row r="6878" spans="1:8" ht="14.25" customHeight="1"/>
    <row r="6879" spans="1:8" ht="14.25" customHeight="1"/>
    <row r="6880" spans="1:8" ht="14.25" customHeight="1"/>
    <row r="6881" spans="1:8" ht="14.25" customHeight="1">
      <c r="A6881" s="85" t="s">
        <v>0</v>
      </c>
      <c r="B6881" s="81"/>
      <c r="C6881" s="81"/>
      <c r="D6881" s="81"/>
      <c r="E6881" s="81"/>
      <c r="F6881" s="81"/>
      <c r="G6881" s="81"/>
      <c r="H6881" s="82"/>
    </row>
    <row r="6882" spans="1:8" ht="14.25" customHeight="1">
      <c r="A6882" s="85" t="s">
        <v>1637</v>
      </c>
      <c r="B6882" s="81"/>
      <c r="C6882" s="81"/>
      <c r="D6882" s="81"/>
      <c r="E6882" s="81"/>
      <c r="F6882" s="81"/>
      <c r="G6882" s="81"/>
      <c r="H6882" s="82"/>
    </row>
    <row r="6883" spans="1:8" ht="14.25" customHeight="1">
      <c r="A6883" s="1" t="s">
        <v>2</v>
      </c>
      <c r="B6883" s="1" t="s">
        <v>3</v>
      </c>
      <c r="C6883" s="1" t="s">
        <v>4</v>
      </c>
      <c r="D6883" s="1" t="s">
        <v>5</v>
      </c>
      <c r="E6883" s="1" t="s">
        <v>6</v>
      </c>
      <c r="F6883" s="2" t="s">
        <v>7</v>
      </c>
      <c r="G6883" s="1" t="s">
        <v>8</v>
      </c>
      <c r="H6883" s="1"/>
    </row>
    <row r="6884" spans="1:8" ht="14.25" customHeight="1">
      <c r="A6884" s="3">
        <v>1</v>
      </c>
      <c r="B6884" s="4" t="s">
        <v>1638</v>
      </c>
      <c r="C6884" s="5" t="s">
        <v>1639</v>
      </c>
      <c r="D6884" s="4" t="s">
        <v>11</v>
      </c>
      <c r="E6884" s="4">
        <v>3</v>
      </c>
      <c r="F6884" s="6">
        <v>293000</v>
      </c>
      <c r="G6884" s="7">
        <f t="shared" ref="G6884:G6886" si="428">IFERROR(E6884*F6884,0)</f>
        <v>879000</v>
      </c>
      <c r="H6884" s="8"/>
    </row>
    <row r="6885" spans="1:8" ht="14.25" customHeight="1">
      <c r="A6885" s="3">
        <v>2</v>
      </c>
      <c r="B6885" s="9" t="s">
        <v>65</v>
      </c>
      <c r="C6885" s="10" t="s">
        <v>1640</v>
      </c>
      <c r="D6885" s="9" t="s">
        <v>14</v>
      </c>
      <c r="E6885" s="9">
        <v>47</v>
      </c>
      <c r="F6885" s="11">
        <v>435000</v>
      </c>
      <c r="G6885" s="7">
        <f t="shared" si="428"/>
        <v>20445000</v>
      </c>
      <c r="H6885" s="8"/>
    </row>
    <row r="6886" spans="1:8" ht="14.25" customHeight="1">
      <c r="A6886" s="3">
        <v>3</v>
      </c>
      <c r="B6886" s="8" t="s">
        <v>17</v>
      </c>
      <c r="C6886" s="8"/>
      <c r="D6886" s="8"/>
      <c r="E6886" s="8"/>
      <c r="F6886" s="8"/>
      <c r="G6886" s="13">
        <f t="shared" si="428"/>
        <v>0</v>
      </c>
      <c r="H6886" s="8"/>
    </row>
    <row r="6887" spans="1:8" ht="14.25" customHeight="1">
      <c r="A6887" s="86" t="s">
        <v>18</v>
      </c>
      <c r="B6887" s="81"/>
      <c r="C6887" s="81"/>
      <c r="D6887" s="81"/>
      <c r="E6887" s="81"/>
      <c r="F6887" s="81"/>
      <c r="G6887" s="82"/>
      <c r="H6887" s="14">
        <f>SUM(G6884:G6886)</f>
        <v>21324000</v>
      </c>
    </row>
    <row r="6888" spans="1:8" ht="14.25" customHeight="1">
      <c r="A6888" s="86" t="s">
        <v>19</v>
      </c>
      <c r="B6888" s="81"/>
      <c r="C6888" s="81"/>
      <c r="D6888" s="81"/>
      <c r="E6888" s="81"/>
      <c r="F6888" s="81"/>
      <c r="G6888" s="82"/>
      <c r="H6888" s="14">
        <f>MAX(0,H6887-648000)</f>
        <v>20676000</v>
      </c>
    </row>
    <row r="6889" spans="1:8" ht="14.25" customHeight="1">
      <c r="A6889" s="87" t="s">
        <v>20</v>
      </c>
      <c r="B6889" s="81"/>
      <c r="C6889" s="81"/>
      <c r="D6889" s="81"/>
      <c r="E6889" s="81"/>
      <c r="F6889" s="81"/>
      <c r="G6889" s="82"/>
      <c r="H6889" s="15">
        <v>649000</v>
      </c>
    </row>
    <row r="6890" spans="1:8" ht="14.25" customHeight="1">
      <c r="A6890" s="85"/>
      <c r="B6890" s="81"/>
      <c r="C6890" s="81"/>
      <c r="D6890" s="81"/>
      <c r="E6890" s="81"/>
      <c r="F6890" s="81"/>
      <c r="G6890" s="81"/>
      <c r="H6890" s="82"/>
    </row>
    <row r="6891" spans="1:8" ht="14.25" customHeight="1"/>
    <row r="6892" spans="1:8" ht="14.25" customHeight="1"/>
    <row r="6893" spans="1:8" ht="14.25" customHeight="1">
      <c r="A6893" s="85" t="s">
        <v>0</v>
      </c>
      <c r="B6893" s="81"/>
      <c r="C6893" s="81"/>
      <c r="D6893" s="81"/>
      <c r="E6893" s="81"/>
      <c r="F6893" s="81"/>
      <c r="G6893" s="81"/>
      <c r="H6893" s="82"/>
    </row>
    <row r="6894" spans="1:8" ht="14.25" customHeight="1">
      <c r="A6894" s="85" t="s">
        <v>1641</v>
      </c>
      <c r="B6894" s="81"/>
      <c r="C6894" s="81"/>
      <c r="D6894" s="81"/>
      <c r="E6894" s="81"/>
      <c r="F6894" s="81"/>
      <c r="G6894" s="81"/>
      <c r="H6894" s="82"/>
    </row>
    <row r="6895" spans="1:8" ht="14.25" customHeight="1">
      <c r="A6895" s="1" t="s">
        <v>2</v>
      </c>
      <c r="B6895" s="1" t="s">
        <v>3</v>
      </c>
      <c r="C6895" s="1" t="s">
        <v>4</v>
      </c>
      <c r="D6895" s="1" t="s">
        <v>5</v>
      </c>
      <c r="E6895" s="1" t="s">
        <v>6</v>
      </c>
      <c r="F6895" s="2" t="s">
        <v>7</v>
      </c>
      <c r="G6895" s="1" t="s">
        <v>8</v>
      </c>
      <c r="H6895" s="1"/>
    </row>
    <row r="6896" spans="1:8" ht="14.25" customHeight="1">
      <c r="A6896" s="3">
        <v>1</v>
      </c>
      <c r="B6896" s="4" t="s">
        <v>359</v>
      </c>
      <c r="C6896" s="18" t="s">
        <v>1642</v>
      </c>
      <c r="D6896" s="4" t="s">
        <v>11</v>
      </c>
      <c r="E6896" s="4">
        <v>2</v>
      </c>
      <c r="F6896" s="6">
        <v>293000</v>
      </c>
      <c r="G6896" s="7">
        <f t="shared" ref="G6896:G6898" si="429">IFERROR(E6896*F6896,0)</f>
        <v>586000</v>
      </c>
      <c r="H6896" s="8"/>
    </row>
    <row r="6897" spans="1:8" ht="14.25" customHeight="1">
      <c r="A6897" s="3">
        <v>2</v>
      </c>
      <c r="B6897" s="9" t="s">
        <v>442</v>
      </c>
      <c r="C6897" s="10" t="s">
        <v>1643</v>
      </c>
      <c r="D6897" s="9" t="s">
        <v>14</v>
      </c>
      <c r="E6897" s="9">
        <v>1.53</v>
      </c>
      <c r="F6897" s="11">
        <v>435000</v>
      </c>
      <c r="G6897" s="7">
        <f t="shared" si="429"/>
        <v>665550</v>
      </c>
      <c r="H6897" s="8"/>
    </row>
    <row r="6898" spans="1:8" ht="14.25" customHeight="1">
      <c r="A6898" s="3">
        <v>3</v>
      </c>
      <c r="B6898" s="8" t="s">
        <v>17</v>
      </c>
      <c r="C6898" s="8"/>
      <c r="D6898" s="8"/>
      <c r="E6898" s="8"/>
      <c r="F6898" s="8"/>
      <c r="G6898" s="13">
        <f t="shared" si="429"/>
        <v>0</v>
      </c>
      <c r="H6898" s="8"/>
    </row>
    <row r="6899" spans="1:8" ht="14.25" customHeight="1">
      <c r="A6899" s="86" t="s">
        <v>18</v>
      </c>
      <c r="B6899" s="81"/>
      <c r="C6899" s="81"/>
      <c r="D6899" s="81"/>
      <c r="E6899" s="81"/>
      <c r="F6899" s="81"/>
      <c r="G6899" s="82"/>
      <c r="H6899" s="14">
        <f>SUM(G6896:G6898)</f>
        <v>1251550</v>
      </c>
    </row>
    <row r="6900" spans="1:8" ht="14.25" customHeight="1">
      <c r="A6900" s="86" t="s">
        <v>19</v>
      </c>
      <c r="B6900" s="81"/>
      <c r="C6900" s="81"/>
      <c r="D6900" s="81"/>
      <c r="E6900" s="81"/>
      <c r="F6900" s="81"/>
      <c r="G6900" s="82"/>
      <c r="H6900" s="14">
        <f>MAX(0,H6899-648000)</f>
        <v>603550</v>
      </c>
    </row>
    <row r="6901" spans="1:8" ht="14.25" customHeight="1">
      <c r="A6901" s="87" t="s">
        <v>20</v>
      </c>
      <c r="B6901" s="81"/>
      <c r="C6901" s="81"/>
      <c r="D6901" s="81"/>
      <c r="E6901" s="81"/>
      <c r="F6901" s="81"/>
      <c r="G6901" s="82"/>
      <c r="H6901" s="15">
        <v>649000</v>
      </c>
    </row>
    <row r="6902" spans="1:8" ht="14.25" customHeight="1">
      <c r="A6902" s="85"/>
      <c r="B6902" s="81"/>
      <c r="C6902" s="81"/>
      <c r="D6902" s="81"/>
      <c r="E6902" s="81"/>
      <c r="F6902" s="81"/>
      <c r="G6902" s="81"/>
      <c r="H6902" s="82"/>
    </row>
    <row r="6903" spans="1:8" ht="14.25" customHeight="1"/>
    <row r="6904" spans="1:8" ht="14.25" customHeight="1"/>
    <row r="6905" spans="1:8" ht="14.25" customHeight="1"/>
    <row r="6906" spans="1:8" ht="14.25" customHeight="1"/>
    <row r="6907" spans="1:8" ht="14.25" customHeight="1">
      <c r="A6907" s="85" t="s">
        <v>0</v>
      </c>
      <c r="B6907" s="81"/>
      <c r="C6907" s="81"/>
      <c r="D6907" s="81"/>
      <c r="E6907" s="81"/>
      <c r="F6907" s="81"/>
      <c r="G6907" s="81"/>
      <c r="H6907" s="82"/>
    </row>
    <row r="6908" spans="1:8" ht="14.25" customHeight="1">
      <c r="A6908" s="85" t="s">
        <v>1644</v>
      </c>
      <c r="B6908" s="81"/>
      <c r="C6908" s="81"/>
      <c r="D6908" s="81"/>
      <c r="E6908" s="81"/>
      <c r="F6908" s="81"/>
      <c r="G6908" s="81"/>
      <c r="H6908" s="82"/>
    </row>
    <row r="6909" spans="1:8" ht="14.25" customHeight="1">
      <c r="A6909" s="1" t="s">
        <v>2</v>
      </c>
      <c r="B6909" s="1" t="s">
        <v>3</v>
      </c>
      <c r="C6909" s="1" t="s">
        <v>4</v>
      </c>
      <c r="D6909" s="1" t="s">
        <v>5</v>
      </c>
      <c r="E6909" s="1" t="s">
        <v>6</v>
      </c>
      <c r="F6909" s="2" t="s">
        <v>7</v>
      </c>
      <c r="G6909" s="1" t="s">
        <v>8</v>
      </c>
      <c r="H6909" s="1"/>
    </row>
    <row r="6910" spans="1:8" ht="14.25" customHeight="1">
      <c r="A6910" s="3">
        <v>1</v>
      </c>
      <c r="B6910" s="4" t="s">
        <v>260</v>
      </c>
      <c r="C6910" s="5" t="s">
        <v>1645</v>
      </c>
      <c r="D6910" s="4" t="s">
        <v>11</v>
      </c>
      <c r="E6910" s="4">
        <v>2.9</v>
      </c>
      <c r="F6910" s="6">
        <v>293000</v>
      </c>
      <c r="G6910" s="7">
        <f t="shared" ref="G6910:G6912" si="430">IFERROR(E6910*F6910,0)</f>
        <v>849700</v>
      </c>
      <c r="H6910" s="8"/>
    </row>
    <row r="6911" spans="1:8" ht="14.25" customHeight="1">
      <c r="A6911" s="3">
        <v>2</v>
      </c>
      <c r="B6911" s="9" t="s">
        <v>38</v>
      </c>
      <c r="C6911" s="10" t="s">
        <v>1646</v>
      </c>
      <c r="D6911" s="9" t="s">
        <v>14</v>
      </c>
      <c r="E6911" s="9">
        <v>0.6</v>
      </c>
      <c r="F6911" s="11">
        <v>435000</v>
      </c>
      <c r="G6911" s="7">
        <f t="shared" si="430"/>
        <v>261000</v>
      </c>
      <c r="H6911" s="8"/>
    </row>
    <row r="6912" spans="1:8" ht="14.25" customHeight="1">
      <c r="A6912" s="3">
        <v>3</v>
      </c>
      <c r="B6912" s="8" t="s">
        <v>17</v>
      </c>
      <c r="C6912" s="8"/>
      <c r="D6912" s="8"/>
      <c r="E6912" s="8"/>
      <c r="F6912" s="8"/>
      <c r="G6912" s="13">
        <f t="shared" si="430"/>
        <v>0</v>
      </c>
      <c r="H6912" s="8"/>
    </row>
    <row r="6913" spans="1:8" ht="14.25" customHeight="1">
      <c r="A6913" s="86" t="s">
        <v>18</v>
      </c>
      <c r="B6913" s="81"/>
      <c r="C6913" s="81"/>
      <c r="D6913" s="81"/>
      <c r="E6913" s="81"/>
      <c r="F6913" s="81"/>
      <c r="G6913" s="82"/>
      <c r="H6913" s="14">
        <f>SUM(G6910:G6912)</f>
        <v>1110700</v>
      </c>
    </row>
    <row r="6914" spans="1:8" ht="14.25" customHeight="1">
      <c r="A6914" s="86" t="s">
        <v>19</v>
      </c>
      <c r="B6914" s="81"/>
      <c r="C6914" s="81"/>
      <c r="D6914" s="81"/>
      <c r="E6914" s="81"/>
      <c r="F6914" s="81"/>
      <c r="G6914" s="82"/>
      <c r="H6914" s="14">
        <f>MAX(0,H6913-648000)</f>
        <v>462700</v>
      </c>
    </row>
    <row r="6915" spans="1:8" ht="14.25" customHeight="1">
      <c r="A6915" s="87" t="s">
        <v>20</v>
      </c>
      <c r="B6915" s="81"/>
      <c r="C6915" s="81"/>
      <c r="D6915" s="81"/>
      <c r="E6915" s="81"/>
      <c r="F6915" s="81"/>
      <c r="G6915" s="82"/>
      <c r="H6915" s="15">
        <v>649000</v>
      </c>
    </row>
    <row r="6916" spans="1:8" ht="14.25" customHeight="1">
      <c r="A6916" s="85"/>
      <c r="B6916" s="81"/>
      <c r="C6916" s="81"/>
      <c r="D6916" s="81"/>
      <c r="E6916" s="81"/>
      <c r="F6916" s="81"/>
      <c r="G6916" s="81"/>
      <c r="H6916" s="82"/>
    </row>
    <row r="6917" spans="1:8" ht="14.25" customHeight="1"/>
    <row r="6918" spans="1:8" ht="14.25" customHeight="1"/>
    <row r="6919" spans="1:8" ht="14.25" customHeight="1"/>
    <row r="6920" spans="1:8" ht="14.25" customHeight="1"/>
    <row r="6921" spans="1:8" ht="14.25" customHeight="1">
      <c r="A6921" s="85" t="s">
        <v>0</v>
      </c>
      <c r="B6921" s="81"/>
      <c r="C6921" s="81"/>
      <c r="D6921" s="81"/>
      <c r="E6921" s="81"/>
      <c r="F6921" s="81"/>
      <c r="G6921" s="81"/>
      <c r="H6921" s="82"/>
    </row>
    <row r="6922" spans="1:8" ht="14.25" customHeight="1">
      <c r="A6922" s="85" t="s">
        <v>1647</v>
      </c>
      <c r="B6922" s="81"/>
      <c r="C6922" s="81"/>
      <c r="D6922" s="81"/>
      <c r="E6922" s="81"/>
      <c r="F6922" s="81"/>
      <c r="G6922" s="81"/>
      <c r="H6922" s="82"/>
    </row>
    <row r="6923" spans="1:8" ht="14.25" customHeight="1">
      <c r="A6923" s="1" t="s">
        <v>2</v>
      </c>
      <c r="B6923" s="1" t="s">
        <v>3</v>
      </c>
      <c r="C6923" s="1" t="s">
        <v>4</v>
      </c>
      <c r="D6923" s="1" t="s">
        <v>5</v>
      </c>
      <c r="E6923" s="1" t="s">
        <v>6</v>
      </c>
      <c r="F6923" s="2" t="s">
        <v>7</v>
      </c>
      <c r="G6923" s="1" t="s">
        <v>8</v>
      </c>
      <c r="H6923" s="1"/>
    </row>
    <row r="6924" spans="1:8" ht="14.25" customHeight="1">
      <c r="A6924" s="3">
        <v>1</v>
      </c>
      <c r="B6924" s="4" t="s">
        <v>1053</v>
      </c>
      <c r="C6924" s="5" t="s">
        <v>1648</v>
      </c>
      <c r="D6924" s="4" t="s">
        <v>11</v>
      </c>
      <c r="E6924" s="4">
        <v>3</v>
      </c>
      <c r="F6924" s="6">
        <v>293000</v>
      </c>
      <c r="G6924" s="7">
        <v>879000</v>
      </c>
      <c r="H6924" s="8"/>
    </row>
    <row r="6925" spans="1:8" ht="14.25" customHeight="1">
      <c r="A6925" s="3">
        <v>2</v>
      </c>
      <c r="B6925" s="4" t="s">
        <v>183</v>
      </c>
      <c r="C6925" s="18" t="s">
        <v>1649</v>
      </c>
      <c r="D6925" s="4" t="s">
        <v>14</v>
      </c>
      <c r="E6925" s="4">
        <v>0.5</v>
      </c>
      <c r="F6925" s="11">
        <v>435000</v>
      </c>
      <c r="G6925" s="7">
        <v>217500</v>
      </c>
      <c r="H6925" s="8"/>
    </row>
    <row r="6926" spans="1:8" ht="14.25" customHeight="1">
      <c r="A6926" s="3">
        <v>3</v>
      </c>
      <c r="B6926" s="8" t="s">
        <v>17</v>
      </c>
      <c r="C6926" s="8"/>
      <c r="D6926" s="8"/>
      <c r="E6926" s="8"/>
      <c r="F6926" s="8"/>
      <c r="G6926" s="13"/>
      <c r="H6926" s="8"/>
    </row>
    <row r="6927" spans="1:8" ht="14.25" customHeight="1">
      <c r="A6927" s="86" t="s">
        <v>18</v>
      </c>
      <c r="B6927" s="81"/>
      <c r="C6927" s="81"/>
      <c r="D6927" s="81"/>
      <c r="E6927" s="81"/>
      <c r="F6927" s="81"/>
      <c r="G6927" s="82"/>
      <c r="H6927" s="14">
        <f>SUM(G6924:G6926)</f>
        <v>1096500</v>
      </c>
    </row>
    <row r="6928" spans="1:8" ht="14.25" customHeight="1">
      <c r="A6928" s="86" t="s">
        <v>19</v>
      </c>
      <c r="B6928" s="81"/>
      <c r="C6928" s="81"/>
      <c r="D6928" s="81"/>
      <c r="E6928" s="81"/>
      <c r="F6928" s="81"/>
      <c r="G6928" s="82"/>
      <c r="H6928" s="14">
        <f>MAX(0,H6927-648000)</f>
        <v>448500</v>
      </c>
    </row>
    <row r="6929" spans="1:8" ht="14.25" customHeight="1">
      <c r="A6929" s="87" t="s">
        <v>20</v>
      </c>
      <c r="B6929" s="81"/>
      <c r="C6929" s="81"/>
      <c r="D6929" s="81"/>
      <c r="E6929" s="81"/>
      <c r="F6929" s="81"/>
      <c r="G6929" s="82"/>
      <c r="H6929" s="15">
        <v>649000</v>
      </c>
    </row>
    <row r="6930" spans="1:8" ht="14.25" customHeight="1">
      <c r="A6930" s="85"/>
      <c r="B6930" s="81"/>
      <c r="C6930" s="81"/>
      <c r="D6930" s="81"/>
      <c r="E6930" s="81"/>
      <c r="F6930" s="81"/>
      <c r="G6930" s="81"/>
      <c r="H6930" s="82"/>
    </row>
    <row r="6931" spans="1:8" ht="14.25" customHeight="1"/>
    <row r="6932" spans="1:8" ht="14.25" customHeight="1"/>
    <row r="6933" spans="1:8" ht="14.25" customHeight="1"/>
    <row r="6934" spans="1:8" ht="14.25" customHeight="1">
      <c r="A6934" s="85" t="s">
        <v>0</v>
      </c>
      <c r="B6934" s="81"/>
      <c r="C6934" s="81"/>
      <c r="D6934" s="81"/>
      <c r="E6934" s="81"/>
      <c r="F6934" s="81"/>
      <c r="G6934" s="81"/>
      <c r="H6934" s="82"/>
    </row>
    <row r="6935" spans="1:8" ht="14.25" customHeight="1">
      <c r="A6935" s="85" t="s">
        <v>1650</v>
      </c>
      <c r="B6935" s="81"/>
      <c r="C6935" s="81"/>
      <c r="D6935" s="81"/>
      <c r="E6935" s="81"/>
      <c r="F6935" s="81"/>
      <c r="G6935" s="81"/>
      <c r="H6935" s="82"/>
    </row>
    <row r="6936" spans="1:8" ht="14.25" customHeight="1">
      <c r="A6936" s="1" t="s">
        <v>2</v>
      </c>
      <c r="B6936" s="1" t="s">
        <v>3</v>
      </c>
      <c r="C6936" s="1" t="s">
        <v>4</v>
      </c>
      <c r="D6936" s="1" t="s">
        <v>5</v>
      </c>
      <c r="E6936" s="1" t="s">
        <v>6</v>
      </c>
      <c r="F6936" s="2" t="s">
        <v>7</v>
      </c>
      <c r="G6936" s="1" t="s">
        <v>8</v>
      </c>
      <c r="H6936" s="1"/>
    </row>
    <row r="6937" spans="1:8" ht="14.25" customHeight="1">
      <c r="A6937" s="3">
        <v>1</v>
      </c>
      <c r="B6937" s="4" t="s">
        <v>799</v>
      </c>
      <c r="C6937" s="5" t="s">
        <v>1651</v>
      </c>
      <c r="D6937" s="4" t="s">
        <v>11</v>
      </c>
      <c r="E6937" s="4">
        <v>1</v>
      </c>
      <c r="F6937" s="6">
        <v>293000</v>
      </c>
      <c r="G6937" s="7">
        <f>IFERROR(E6938*F6937,0)</f>
        <v>729570.00000000012</v>
      </c>
      <c r="H6937" s="8"/>
    </row>
    <row r="6938" spans="1:8" ht="14.25" customHeight="1">
      <c r="A6938" s="3">
        <v>2</v>
      </c>
      <c r="B6938" s="4" t="s">
        <v>142</v>
      </c>
      <c r="C6938" s="5" t="s">
        <v>1652</v>
      </c>
      <c r="D6938" s="4" t="s">
        <v>14</v>
      </c>
      <c r="E6938" s="4">
        <v>2.4900000000000002</v>
      </c>
      <c r="F6938" s="11">
        <v>435000</v>
      </c>
      <c r="G6938" s="77">
        <f t="shared" ref="G6938:G6939" si="431">IFERROR(E6938*F6938,0)</f>
        <v>1083150</v>
      </c>
      <c r="H6938" s="8"/>
    </row>
    <row r="6939" spans="1:8" ht="14.25" customHeight="1">
      <c r="A6939" s="3">
        <v>3</v>
      </c>
      <c r="B6939" s="8" t="s">
        <v>17</v>
      </c>
      <c r="C6939" s="8"/>
      <c r="D6939" s="8"/>
      <c r="E6939" s="8"/>
      <c r="F6939" s="8"/>
      <c r="G6939" s="13">
        <f t="shared" si="431"/>
        <v>0</v>
      </c>
      <c r="H6939" s="8"/>
    </row>
    <row r="6940" spans="1:8" ht="14.25" customHeight="1">
      <c r="A6940" s="86" t="s">
        <v>18</v>
      </c>
      <c r="B6940" s="81"/>
      <c r="C6940" s="81"/>
      <c r="D6940" s="81"/>
      <c r="E6940" s="81"/>
      <c r="F6940" s="81"/>
      <c r="G6940" s="82"/>
      <c r="H6940" s="14">
        <f>SUM(G6937:G6939)</f>
        <v>1812720</v>
      </c>
    </row>
    <row r="6941" spans="1:8" ht="15" customHeight="1">
      <c r="A6941" s="86" t="s">
        <v>19</v>
      </c>
      <c r="B6941" s="81"/>
      <c r="C6941" s="81"/>
      <c r="D6941" s="81"/>
      <c r="E6941" s="81"/>
      <c r="F6941" s="81"/>
      <c r="G6941" s="82"/>
      <c r="H6941" s="14">
        <f>MAX(0,H6940-648000)</f>
        <v>1164720</v>
      </c>
    </row>
    <row r="6942" spans="1:8" ht="15" customHeight="1">
      <c r="A6942" s="87" t="s">
        <v>20</v>
      </c>
      <c r="B6942" s="81"/>
      <c r="C6942" s="81"/>
      <c r="D6942" s="81"/>
      <c r="E6942" s="81"/>
      <c r="F6942" s="81"/>
      <c r="G6942" s="82"/>
      <c r="H6942" s="15">
        <v>649000</v>
      </c>
    </row>
    <row r="6943" spans="1:8" ht="15" customHeight="1">
      <c r="A6943" s="85"/>
      <c r="B6943" s="81"/>
      <c r="C6943" s="81"/>
      <c r="D6943" s="81"/>
      <c r="E6943" s="81"/>
      <c r="F6943" s="81"/>
      <c r="G6943" s="81"/>
      <c r="H6943" s="82"/>
    </row>
    <row r="6948" spans="1:8" ht="15" customHeight="1">
      <c r="A6948" s="85" t="s">
        <v>0</v>
      </c>
      <c r="B6948" s="81"/>
      <c r="C6948" s="81"/>
      <c r="D6948" s="81"/>
      <c r="E6948" s="81"/>
      <c r="F6948" s="81"/>
      <c r="G6948" s="81"/>
      <c r="H6948" s="82"/>
    </row>
    <row r="6949" spans="1:8" ht="15" customHeight="1">
      <c r="A6949" s="85" t="s">
        <v>1653</v>
      </c>
      <c r="B6949" s="81"/>
      <c r="C6949" s="81"/>
      <c r="D6949" s="81"/>
      <c r="E6949" s="81"/>
      <c r="F6949" s="81"/>
      <c r="G6949" s="81"/>
      <c r="H6949" s="82"/>
    </row>
    <row r="6950" spans="1:8" ht="15" customHeight="1">
      <c r="A6950" s="1" t="s">
        <v>2</v>
      </c>
      <c r="B6950" s="1" t="s">
        <v>3</v>
      </c>
      <c r="C6950" s="1" t="s">
        <v>4</v>
      </c>
      <c r="D6950" s="1" t="s">
        <v>5</v>
      </c>
      <c r="E6950" s="1" t="s">
        <v>6</v>
      </c>
      <c r="F6950" s="2" t="s">
        <v>7</v>
      </c>
      <c r="G6950" s="1" t="s">
        <v>8</v>
      </c>
      <c r="H6950" s="1"/>
    </row>
    <row r="6951" spans="1:8" ht="15" customHeight="1">
      <c r="A6951" s="3">
        <v>1</v>
      </c>
      <c r="B6951" s="9" t="s">
        <v>1654</v>
      </c>
      <c r="C6951" s="12" t="s">
        <v>1655</v>
      </c>
      <c r="D6951" s="9" t="s">
        <v>11</v>
      </c>
      <c r="E6951" s="9">
        <v>2.95</v>
      </c>
      <c r="F6951" s="6">
        <v>293000</v>
      </c>
      <c r="G6951" s="7">
        <f t="shared" ref="G6951:G6953" si="432">IFERROR(E6951*F6951,0)</f>
        <v>864350</v>
      </c>
      <c r="H6951" s="8"/>
    </row>
    <row r="6952" spans="1:8" ht="15" customHeight="1">
      <c r="A6952" s="3">
        <v>2</v>
      </c>
      <c r="B6952" s="4" t="s">
        <v>116</v>
      </c>
      <c r="C6952" s="74" t="s">
        <v>1656</v>
      </c>
      <c r="D6952" s="4" t="s">
        <v>14</v>
      </c>
      <c r="E6952" s="4">
        <v>0.59</v>
      </c>
      <c r="F6952" s="11">
        <v>435000</v>
      </c>
      <c r="G6952" s="7">
        <f t="shared" si="432"/>
        <v>256650</v>
      </c>
      <c r="H6952" s="8"/>
    </row>
    <row r="6953" spans="1:8" ht="15" customHeight="1">
      <c r="A6953" s="3">
        <v>3</v>
      </c>
      <c r="B6953" s="8" t="s">
        <v>17</v>
      </c>
      <c r="C6953" s="8"/>
      <c r="D6953" s="8"/>
      <c r="E6953" s="8"/>
      <c r="F6953" s="8"/>
      <c r="G6953" s="13">
        <f t="shared" si="432"/>
        <v>0</v>
      </c>
      <c r="H6953" s="8"/>
    </row>
    <row r="6954" spans="1:8" ht="15" customHeight="1">
      <c r="A6954" s="86" t="s">
        <v>18</v>
      </c>
      <c r="B6954" s="81"/>
      <c r="C6954" s="81"/>
      <c r="D6954" s="81"/>
      <c r="E6954" s="81"/>
      <c r="F6954" s="81"/>
      <c r="G6954" s="82"/>
      <c r="H6954" s="14">
        <f>SUM(G6951:G6953)</f>
        <v>1121000</v>
      </c>
    </row>
    <row r="6955" spans="1:8" ht="15" customHeight="1">
      <c r="A6955" s="86" t="s">
        <v>19</v>
      </c>
      <c r="B6955" s="81"/>
      <c r="C6955" s="81"/>
      <c r="D6955" s="81"/>
      <c r="E6955" s="81"/>
      <c r="F6955" s="81"/>
      <c r="G6955" s="82"/>
      <c r="H6955" s="14">
        <f>MAX(0,H6954-648000)</f>
        <v>473000</v>
      </c>
    </row>
    <row r="6956" spans="1:8" ht="15" customHeight="1">
      <c r="A6956" s="87" t="s">
        <v>20</v>
      </c>
      <c r="B6956" s="81"/>
      <c r="C6956" s="81"/>
      <c r="D6956" s="81"/>
      <c r="E6956" s="81"/>
      <c r="F6956" s="81"/>
      <c r="G6956" s="82"/>
      <c r="H6956" s="15">
        <v>649000</v>
      </c>
    </row>
    <row r="6957" spans="1:8" ht="15" customHeight="1">
      <c r="A6957" s="85"/>
      <c r="B6957" s="81"/>
      <c r="C6957" s="81"/>
      <c r="D6957" s="81"/>
      <c r="E6957" s="81"/>
      <c r="F6957" s="81"/>
      <c r="G6957" s="81"/>
      <c r="H6957" s="82"/>
    </row>
    <row r="6962" spans="1:8" ht="15" customHeight="1">
      <c r="A6962" s="85" t="s">
        <v>0</v>
      </c>
      <c r="B6962" s="81"/>
      <c r="C6962" s="81"/>
      <c r="D6962" s="81"/>
      <c r="E6962" s="81"/>
      <c r="F6962" s="81"/>
      <c r="G6962" s="81"/>
      <c r="H6962" s="82"/>
    </row>
    <row r="6963" spans="1:8" ht="15" customHeight="1">
      <c r="A6963" s="85" t="s">
        <v>1657</v>
      </c>
      <c r="B6963" s="81"/>
      <c r="C6963" s="81"/>
      <c r="D6963" s="81"/>
      <c r="E6963" s="81"/>
      <c r="F6963" s="81"/>
      <c r="G6963" s="81"/>
      <c r="H6963" s="82"/>
    </row>
    <row r="6964" spans="1:8" ht="15" customHeight="1">
      <c r="A6964" s="1" t="s">
        <v>2</v>
      </c>
      <c r="B6964" s="1" t="s">
        <v>3</v>
      </c>
      <c r="C6964" s="1" t="s">
        <v>4</v>
      </c>
      <c r="D6964" s="1" t="s">
        <v>5</v>
      </c>
      <c r="E6964" s="1" t="s">
        <v>6</v>
      </c>
      <c r="F6964" s="2" t="s">
        <v>7</v>
      </c>
      <c r="G6964" s="1" t="s">
        <v>8</v>
      </c>
      <c r="H6964" s="1"/>
    </row>
    <row r="6965" spans="1:8" ht="15" customHeight="1">
      <c r="A6965" s="3">
        <v>1</v>
      </c>
      <c r="B6965" s="4" t="s">
        <v>511</v>
      </c>
      <c r="C6965" s="5" t="s">
        <v>1658</v>
      </c>
      <c r="D6965" s="4" t="s">
        <v>11</v>
      </c>
      <c r="E6965" s="4">
        <v>2.1</v>
      </c>
      <c r="F6965" s="6">
        <v>293000</v>
      </c>
      <c r="G6965" s="7">
        <f t="shared" ref="G6965:G6967" si="433">IFERROR(E6965*F6965,0)</f>
        <v>615300</v>
      </c>
      <c r="H6965" s="8"/>
    </row>
    <row r="6966" spans="1:8" ht="15" customHeight="1">
      <c r="A6966" s="3">
        <v>2</v>
      </c>
      <c r="B6966" s="9" t="s">
        <v>70</v>
      </c>
      <c r="C6966" s="10" t="s">
        <v>1160</v>
      </c>
      <c r="D6966" s="9" t="s">
        <v>14</v>
      </c>
      <c r="E6966" s="9">
        <v>1.5</v>
      </c>
      <c r="F6966" s="11">
        <v>435000</v>
      </c>
      <c r="G6966" s="7">
        <f t="shared" si="433"/>
        <v>652500</v>
      </c>
      <c r="H6966" s="8"/>
    </row>
    <row r="6967" spans="1:8" ht="15" customHeight="1">
      <c r="A6967" s="3">
        <v>3</v>
      </c>
      <c r="B6967" s="8" t="s">
        <v>17</v>
      </c>
      <c r="C6967" s="8"/>
      <c r="D6967" s="8"/>
      <c r="E6967" s="8"/>
      <c r="F6967" s="8"/>
      <c r="G6967" s="13">
        <f t="shared" si="433"/>
        <v>0</v>
      </c>
      <c r="H6967" s="8"/>
    </row>
    <row r="6968" spans="1:8" ht="15" customHeight="1">
      <c r="A6968" s="86" t="s">
        <v>18</v>
      </c>
      <c r="B6968" s="81"/>
      <c r="C6968" s="81"/>
      <c r="D6968" s="81"/>
      <c r="E6968" s="81"/>
      <c r="F6968" s="81"/>
      <c r="G6968" s="82"/>
      <c r="H6968" s="14">
        <f>SUM(G6965:G6967)</f>
        <v>1267800</v>
      </c>
    </row>
    <row r="6969" spans="1:8" ht="15" customHeight="1">
      <c r="A6969" s="86" t="s">
        <v>19</v>
      </c>
      <c r="B6969" s="81"/>
      <c r="C6969" s="81"/>
      <c r="D6969" s="81"/>
      <c r="E6969" s="81"/>
      <c r="F6969" s="81"/>
      <c r="G6969" s="82"/>
      <c r="H6969" s="14">
        <f>MAX(0,H6968-648000)</f>
        <v>619800</v>
      </c>
    </row>
    <row r="6970" spans="1:8" ht="15" customHeight="1">
      <c r="A6970" s="87" t="s">
        <v>20</v>
      </c>
      <c r="B6970" s="81"/>
      <c r="C6970" s="81"/>
      <c r="D6970" s="81"/>
      <c r="E6970" s="81"/>
      <c r="F6970" s="81"/>
      <c r="G6970" s="82"/>
      <c r="H6970" s="15">
        <v>649000</v>
      </c>
    </row>
    <row r="6971" spans="1:8" ht="15" customHeight="1">
      <c r="A6971" s="85"/>
      <c r="B6971" s="81"/>
      <c r="C6971" s="81"/>
      <c r="D6971" s="81"/>
      <c r="E6971" s="81"/>
      <c r="F6971" s="81"/>
      <c r="G6971" s="81"/>
      <c r="H6971" s="82"/>
    </row>
    <row r="6976" spans="1:8" ht="15" customHeight="1">
      <c r="A6976" s="85" t="s">
        <v>0</v>
      </c>
      <c r="B6976" s="81"/>
      <c r="C6976" s="81"/>
      <c r="D6976" s="81"/>
      <c r="E6976" s="81"/>
      <c r="F6976" s="81"/>
      <c r="G6976" s="81"/>
      <c r="H6976" s="82"/>
    </row>
    <row r="6977" spans="1:8" ht="15" customHeight="1">
      <c r="A6977" s="85" t="s">
        <v>1659</v>
      </c>
      <c r="B6977" s="81"/>
      <c r="C6977" s="81"/>
      <c r="D6977" s="81"/>
      <c r="E6977" s="81"/>
      <c r="F6977" s="81"/>
      <c r="G6977" s="81"/>
      <c r="H6977" s="82"/>
    </row>
    <row r="6978" spans="1:8" ht="15" customHeight="1">
      <c r="A6978" s="1" t="s">
        <v>2</v>
      </c>
      <c r="B6978" s="1" t="s">
        <v>3</v>
      </c>
      <c r="C6978" s="1" t="s">
        <v>4</v>
      </c>
      <c r="D6978" s="1" t="s">
        <v>5</v>
      </c>
      <c r="E6978" s="1" t="s">
        <v>6</v>
      </c>
      <c r="F6978" s="2" t="s">
        <v>7</v>
      </c>
      <c r="G6978" s="1" t="s">
        <v>8</v>
      </c>
      <c r="H6978" s="1"/>
    </row>
    <row r="6979" spans="1:8" ht="15" customHeight="1">
      <c r="A6979" s="3">
        <v>1</v>
      </c>
      <c r="B6979" s="9" t="s">
        <v>1660</v>
      </c>
      <c r="C6979" s="12" t="s">
        <v>412</v>
      </c>
      <c r="D6979" s="9" t="s">
        <v>11</v>
      </c>
      <c r="E6979" s="9">
        <v>2.5</v>
      </c>
      <c r="F6979" s="6">
        <v>293000</v>
      </c>
      <c r="G6979" s="7">
        <f t="shared" ref="G6979:G6981" si="434">IFERROR(E6979*F6979,0)</f>
        <v>732500</v>
      </c>
      <c r="H6979" s="8"/>
    </row>
    <row r="6980" spans="1:8" ht="15" customHeight="1">
      <c r="A6980" s="3">
        <v>2</v>
      </c>
      <c r="B6980" s="9" t="s">
        <v>1661</v>
      </c>
      <c r="C6980" s="12" t="s">
        <v>1662</v>
      </c>
      <c r="D6980" s="9" t="s">
        <v>14</v>
      </c>
      <c r="E6980" s="9">
        <v>1.19</v>
      </c>
      <c r="F6980" s="11">
        <v>435000</v>
      </c>
      <c r="G6980" s="7">
        <f t="shared" si="434"/>
        <v>517650</v>
      </c>
      <c r="H6980" s="8"/>
    </row>
    <row r="6981" spans="1:8" ht="15" customHeight="1">
      <c r="A6981" s="3">
        <v>3</v>
      </c>
      <c r="B6981" s="8" t="s">
        <v>17</v>
      </c>
      <c r="C6981" s="8"/>
      <c r="D6981" s="8"/>
      <c r="E6981" s="8"/>
      <c r="F6981" s="8"/>
      <c r="G6981" s="13">
        <f t="shared" si="434"/>
        <v>0</v>
      </c>
      <c r="H6981" s="8"/>
    </row>
    <row r="6982" spans="1:8" ht="15" customHeight="1">
      <c r="A6982" s="86" t="s">
        <v>18</v>
      </c>
      <c r="B6982" s="81"/>
      <c r="C6982" s="81"/>
      <c r="D6982" s="81"/>
      <c r="E6982" s="81"/>
      <c r="F6982" s="81"/>
      <c r="G6982" s="82"/>
      <c r="H6982" s="14">
        <f>SUM(G6979:G6981)</f>
        <v>1250150</v>
      </c>
    </row>
    <row r="6983" spans="1:8" ht="15" customHeight="1">
      <c r="A6983" s="86" t="s">
        <v>19</v>
      </c>
      <c r="B6983" s="81"/>
      <c r="C6983" s="81"/>
      <c r="D6983" s="81"/>
      <c r="E6983" s="81"/>
      <c r="F6983" s="81"/>
      <c r="G6983" s="82"/>
      <c r="H6983" s="14">
        <f>MAX(0,H6982-648000)</f>
        <v>602150</v>
      </c>
    </row>
    <row r="6984" spans="1:8" ht="15" customHeight="1">
      <c r="A6984" s="87" t="s">
        <v>20</v>
      </c>
      <c r="B6984" s="81"/>
      <c r="C6984" s="81"/>
      <c r="D6984" s="81"/>
      <c r="E6984" s="81"/>
      <c r="F6984" s="81"/>
      <c r="G6984" s="82"/>
      <c r="H6984" s="15">
        <v>649000</v>
      </c>
    </row>
    <row r="6985" spans="1:8" ht="15" customHeight="1">
      <c r="A6985" s="85"/>
      <c r="B6985" s="81"/>
      <c r="C6985" s="81"/>
      <c r="D6985" s="81"/>
      <c r="E6985" s="81"/>
      <c r="F6985" s="81"/>
      <c r="G6985" s="81"/>
      <c r="H6985" s="82"/>
    </row>
    <row r="6990" spans="1:8" ht="15" customHeight="1">
      <c r="A6990" s="85" t="s">
        <v>0</v>
      </c>
      <c r="B6990" s="81"/>
      <c r="C6990" s="81"/>
      <c r="D6990" s="81"/>
      <c r="E6990" s="81"/>
      <c r="F6990" s="81"/>
      <c r="G6990" s="81"/>
      <c r="H6990" s="82"/>
    </row>
    <row r="6991" spans="1:8" ht="15" customHeight="1">
      <c r="A6991" s="85" t="s">
        <v>1663</v>
      </c>
      <c r="B6991" s="81"/>
      <c r="C6991" s="81"/>
      <c r="D6991" s="81"/>
      <c r="E6991" s="81"/>
      <c r="F6991" s="81"/>
      <c r="G6991" s="81"/>
      <c r="H6991" s="82"/>
    </row>
    <row r="6992" spans="1:8" ht="15" customHeight="1">
      <c r="A6992" s="1" t="s">
        <v>2</v>
      </c>
      <c r="B6992" s="1" t="s">
        <v>3</v>
      </c>
      <c r="C6992" s="1" t="s">
        <v>4</v>
      </c>
      <c r="D6992" s="1" t="s">
        <v>5</v>
      </c>
      <c r="E6992" s="1" t="s">
        <v>6</v>
      </c>
      <c r="F6992" s="2" t="s">
        <v>7</v>
      </c>
      <c r="G6992" s="1" t="s">
        <v>8</v>
      </c>
      <c r="H6992" s="1"/>
    </row>
    <row r="6993" spans="1:8" ht="15" customHeight="1">
      <c r="A6993" s="3">
        <v>1</v>
      </c>
      <c r="B6993" s="4" t="s">
        <v>351</v>
      </c>
      <c r="C6993" s="5" t="s">
        <v>1664</v>
      </c>
      <c r="D6993" s="4" t="s">
        <v>11</v>
      </c>
      <c r="E6993" s="4">
        <v>2</v>
      </c>
      <c r="F6993" s="6">
        <v>293000</v>
      </c>
      <c r="G6993" s="7">
        <f t="shared" ref="G6993:G6995" si="435">IFERROR(E6993*F6993,0)</f>
        <v>586000</v>
      </c>
      <c r="H6993" s="8"/>
    </row>
    <row r="6994" spans="1:8" ht="15" customHeight="1">
      <c r="A6994" s="3">
        <v>2</v>
      </c>
      <c r="B6994" s="4" t="s">
        <v>33</v>
      </c>
      <c r="C6994" s="5" t="s">
        <v>1665</v>
      </c>
      <c r="D6994" s="4" t="s">
        <v>14</v>
      </c>
      <c r="E6994" s="4">
        <v>1.46</v>
      </c>
      <c r="F6994" s="11">
        <v>435000</v>
      </c>
      <c r="G6994" s="7">
        <f t="shared" si="435"/>
        <v>635100</v>
      </c>
      <c r="H6994" s="8"/>
    </row>
    <row r="6995" spans="1:8" ht="15" customHeight="1">
      <c r="A6995" s="3">
        <v>3</v>
      </c>
      <c r="B6995" s="8" t="s">
        <v>17</v>
      </c>
      <c r="C6995" s="8"/>
      <c r="D6995" s="8"/>
      <c r="E6995" s="8"/>
      <c r="F6995" s="8"/>
      <c r="G6995" s="13">
        <f t="shared" si="435"/>
        <v>0</v>
      </c>
      <c r="H6995" s="8"/>
    </row>
    <row r="6996" spans="1:8" ht="15" customHeight="1">
      <c r="A6996" s="86" t="s">
        <v>18</v>
      </c>
      <c r="B6996" s="81"/>
      <c r="C6996" s="81"/>
      <c r="D6996" s="81"/>
      <c r="E6996" s="81"/>
      <c r="F6996" s="81"/>
      <c r="G6996" s="82"/>
      <c r="H6996" s="14">
        <f>SUM(G6993:G6995)</f>
        <v>1221100</v>
      </c>
    </row>
    <row r="6997" spans="1:8" ht="15" customHeight="1">
      <c r="A6997" s="86" t="s">
        <v>19</v>
      </c>
      <c r="B6997" s="81"/>
      <c r="C6997" s="81"/>
      <c r="D6997" s="81"/>
      <c r="E6997" s="81"/>
      <c r="F6997" s="81"/>
      <c r="G6997" s="82"/>
      <c r="H6997" s="14">
        <f>MAX(0,H6996-648000)</f>
        <v>573100</v>
      </c>
    </row>
    <row r="6998" spans="1:8" ht="15" customHeight="1">
      <c r="A6998" s="87" t="s">
        <v>20</v>
      </c>
      <c r="B6998" s="81"/>
      <c r="C6998" s="81"/>
      <c r="D6998" s="81"/>
      <c r="E6998" s="81"/>
      <c r="F6998" s="81"/>
      <c r="G6998" s="82"/>
      <c r="H6998" s="15">
        <v>649000</v>
      </c>
    </row>
    <row r="6999" spans="1:8" ht="15" customHeight="1">
      <c r="A6999" s="85"/>
      <c r="B6999" s="81"/>
      <c r="C6999" s="81"/>
      <c r="D6999" s="81"/>
      <c r="E6999" s="81"/>
      <c r="F6999" s="81"/>
      <c r="G6999" s="81"/>
      <c r="H6999" s="82"/>
    </row>
    <row r="7004" spans="1:8" ht="15" customHeight="1">
      <c r="A7004" s="85" t="s">
        <v>0</v>
      </c>
      <c r="B7004" s="81"/>
      <c r="C7004" s="81"/>
      <c r="D7004" s="81"/>
      <c r="E7004" s="81"/>
      <c r="F7004" s="81"/>
      <c r="G7004" s="81"/>
      <c r="H7004" s="82"/>
    </row>
    <row r="7005" spans="1:8" ht="15" customHeight="1">
      <c r="A7005" s="85" t="s">
        <v>1666</v>
      </c>
      <c r="B7005" s="81"/>
      <c r="C7005" s="81"/>
      <c r="D7005" s="81"/>
      <c r="E7005" s="81"/>
      <c r="F7005" s="81"/>
      <c r="G7005" s="81"/>
      <c r="H7005" s="82"/>
    </row>
    <row r="7006" spans="1:8" ht="15" customHeight="1">
      <c r="A7006" s="1" t="s">
        <v>2</v>
      </c>
      <c r="B7006" s="1" t="s">
        <v>3</v>
      </c>
      <c r="C7006" s="1" t="s">
        <v>4</v>
      </c>
      <c r="D7006" s="1" t="s">
        <v>5</v>
      </c>
      <c r="E7006" s="1" t="s">
        <v>6</v>
      </c>
      <c r="F7006" s="2" t="s">
        <v>7</v>
      </c>
      <c r="G7006" s="1" t="s">
        <v>8</v>
      </c>
      <c r="H7006" s="1"/>
    </row>
    <row r="7007" spans="1:8" ht="15" customHeight="1">
      <c r="A7007" s="3">
        <v>1</v>
      </c>
      <c r="B7007" s="4" t="s">
        <v>1667</v>
      </c>
      <c r="C7007" s="19">
        <v>2498</v>
      </c>
      <c r="D7007" s="4" t="s">
        <v>11</v>
      </c>
      <c r="E7007" s="4">
        <v>2.5</v>
      </c>
      <c r="F7007" s="6">
        <v>293000</v>
      </c>
      <c r="G7007" s="7">
        <f t="shared" ref="G7007:G7009" si="436">IFERROR(E7007*F7007,0)</f>
        <v>732500</v>
      </c>
      <c r="H7007" s="8"/>
    </row>
    <row r="7008" spans="1:8" ht="15" customHeight="1">
      <c r="A7008" s="3">
        <v>2</v>
      </c>
      <c r="B7008" s="9" t="s">
        <v>1380</v>
      </c>
      <c r="C7008" s="10" t="s">
        <v>1668</v>
      </c>
      <c r="D7008" s="9" t="s">
        <v>14</v>
      </c>
      <c r="E7008" s="9">
        <v>1.1000000000000001</v>
      </c>
      <c r="F7008" s="11">
        <v>435000</v>
      </c>
      <c r="G7008" s="7">
        <f t="shared" si="436"/>
        <v>478500.00000000006</v>
      </c>
      <c r="H7008" s="8"/>
    </row>
    <row r="7009" spans="1:8" ht="15" customHeight="1">
      <c r="A7009" s="3">
        <v>3</v>
      </c>
      <c r="B7009" s="8" t="s">
        <v>17</v>
      </c>
      <c r="C7009" s="8"/>
      <c r="D7009" s="8"/>
      <c r="E7009" s="8"/>
      <c r="F7009" s="8"/>
      <c r="G7009" s="13">
        <f t="shared" si="436"/>
        <v>0</v>
      </c>
      <c r="H7009" s="8"/>
    </row>
    <row r="7010" spans="1:8" ht="15" customHeight="1">
      <c r="A7010" s="86" t="s">
        <v>18</v>
      </c>
      <c r="B7010" s="81"/>
      <c r="C7010" s="81"/>
      <c r="D7010" s="81"/>
      <c r="E7010" s="81"/>
      <c r="F7010" s="81"/>
      <c r="G7010" s="82"/>
      <c r="H7010" s="14">
        <f>SUM(G7007:G7009)</f>
        <v>1211000</v>
      </c>
    </row>
    <row r="7011" spans="1:8" ht="15" customHeight="1">
      <c r="A7011" s="86" t="s">
        <v>19</v>
      </c>
      <c r="B7011" s="81"/>
      <c r="C7011" s="81"/>
      <c r="D7011" s="81"/>
      <c r="E7011" s="81"/>
      <c r="F7011" s="81"/>
      <c r="G7011" s="82"/>
      <c r="H7011" s="14">
        <f>MAX(0,H7010-648000)</f>
        <v>563000</v>
      </c>
    </row>
    <row r="7012" spans="1:8" ht="15" customHeight="1">
      <c r="A7012" s="87" t="s">
        <v>20</v>
      </c>
      <c r="B7012" s="81"/>
      <c r="C7012" s="81"/>
      <c r="D7012" s="81"/>
      <c r="E7012" s="81"/>
      <c r="F7012" s="81"/>
      <c r="G7012" s="82"/>
      <c r="H7012" s="15">
        <v>649000</v>
      </c>
    </row>
    <row r="7013" spans="1:8" ht="15" customHeight="1">
      <c r="A7013" s="85"/>
      <c r="B7013" s="81"/>
      <c r="C7013" s="81"/>
      <c r="D7013" s="81"/>
      <c r="E7013" s="81"/>
      <c r="F7013" s="81"/>
      <c r="G7013" s="81"/>
      <c r="H7013" s="82"/>
    </row>
    <row r="7019" spans="1:8" ht="15" customHeight="1">
      <c r="A7019" s="85" t="s">
        <v>0</v>
      </c>
      <c r="B7019" s="81"/>
      <c r="C7019" s="81"/>
      <c r="D7019" s="81"/>
      <c r="E7019" s="81"/>
      <c r="F7019" s="81"/>
      <c r="G7019" s="81"/>
      <c r="H7019" s="82"/>
    </row>
    <row r="7020" spans="1:8" ht="15" customHeight="1">
      <c r="A7020" s="85" t="s">
        <v>1669</v>
      </c>
      <c r="B7020" s="81"/>
      <c r="C7020" s="81"/>
      <c r="D7020" s="81"/>
      <c r="E7020" s="81"/>
      <c r="F7020" s="81"/>
      <c r="G7020" s="81"/>
      <c r="H7020" s="82"/>
    </row>
    <row r="7021" spans="1:8" ht="15" customHeight="1">
      <c r="A7021" s="1" t="s">
        <v>2</v>
      </c>
      <c r="B7021" s="1" t="s">
        <v>3</v>
      </c>
      <c r="C7021" s="1" t="s">
        <v>4</v>
      </c>
      <c r="D7021" s="1" t="s">
        <v>5</v>
      </c>
      <c r="E7021" s="1" t="s">
        <v>6</v>
      </c>
      <c r="F7021" s="2" t="s">
        <v>7</v>
      </c>
      <c r="G7021" s="1" t="s">
        <v>8</v>
      </c>
      <c r="H7021" s="1"/>
    </row>
    <row r="7022" spans="1:8" ht="15" customHeight="1">
      <c r="A7022" s="3">
        <v>1</v>
      </c>
      <c r="B7022" s="9" t="s">
        <v>1670</v>
      </c>
      <c r="C7022" s="20">
        <v>6791</v>
      </c>
      <c r="D7022" s="9" t="s">
        <v>11</v>
      </c>
      <c r="E7022" s="9">
        <v>2</v>
      </c>
      <c r="F7022" s="6">
        <v>293000</v>
      </c>
      <c r="G7022" s="7">
        <f t="shared" ref="G7022:G7024" si="437">IFERROR(E7022*F7022,0)</f>
        <v>586000</v>
      </c>
      <c r="H7022" s="8"/>
    </row>
    <row r="7023" spans="1:8" ht="15" customHeight="1">
      <c r="A7023" s="3">
        <v>2</v>
      </c>
      <c r="B7023" s="4" t="s">
        <v>121</v>
      </c>
      <c r="C7023" s="19">
        <v>4271</v>
      </c>
      <c r="D7023" s="4" t="s">
        <v>14</v>
      </c>
      <c r="E7023" s="4">
        <v>1.1499999999999999</v>
      </c>
      <c r="F7023" s="11">
        <v>435000</v>
      </c>
      <c r="G7023" s="7">
        <f t="shared" si="437"/>
        <v>500249.99999999994</v>
      </c>
      <c r="H7023" s="8"/>
    </row>
    <row r="7024" spans="1:8" ht="15" customHeight="1">
      <c r="A7024" s="3">
        <v>3</v>
      </c>
      <c r="B7024" s="8" t="s">
        <v>17</v>
      </c>
      <c r="C7024" s="8"/>
      <c r="D7024" s="8"/>
      <c r="E7024" s="8"/>
      <c r="F7024" s="8"/>
      <c r="G7024" s="13">
        <f t="shared" si="437"/>
        <v>0</v>
      </c>
      <c r="H7024" s="8"/>
    </row>
    <row r="7025" spans="1:8" ht="15" customHeight="1">
      <c r="A7025" s="86" t="s">
        <v>18</v>
      </c>
      <c r="B7025" s="81"/>
      <c r="C7025" s="81"/>
      <c r="D7025" s="81"/>
      <c r="E7025" s="81"/>
      <c r="F7025" s="81"/>
      <c r="G7025" s="82"/>
      <c r="H7025" s="14">
        <f>SUM(G7022:G7024)</f>
        <v>1086250</v>
      </c>
    </row>
    <row r="7026" spans="1:8" ht="15" customHeight="1">
      <c r="A7026" s="86" t="s">
        <v>19</v>
      </c>
      <c r="B7026" s="81"/>
      <c r="C7026" s="81"/>
      <c r="D7026" s="81"/>
      <c r="E7026" s="81"/>
      <c r="F7026" s="81"/>
      <c r="G7026" s="82"/>
      <c r="H7026" s="14">
        <f>MAX(0,H7025-648000)</f>
        <v>438250</v>
      </c>
    </row>
    <row r="7027" spans="1:8" ht="15" customHeight="1">
      <c r="A7027" s="87" t="s">
        <v>20</v>
      </c>
      <c r="B7027" s="81"/>
      <c r="C7027" s="81"/>
      <c r="D7027" s="81"/>
      <c r="E7027" s="81"/>
      <c r="F7027" s="81"/>
      <c r="G7027" s="82"/>
      <c r="H7027" s="15">
        <v>649000</v>
      </c>
    </row>
    <row r="7028" spans="1:8" ht="15" customHeight="1">
      <c r="A7028" s="85"/>
      <c r="B7028" s="81"/>
      <c r="C7028" s="81"/>
      <c r="D7028" s="81"/>
      <c r="E7028" s="81"/>
      <c r="F7028" s="81"/>
      <c r="G7028" s="81"/>
      <c r="H7028" s="82"/>
    </row>
    <row r="7033" spans="1:8" ht="15" customHeight="1">
      <c r="A7033" s="85" t="s">
        <v>0</v>
      </c>
      <c r="B7033" s="81"/>
      <c r="C7033" s="81"/>
      <c r="D7033" s="81"/>
      <c r="E7033" s="81"/>
      <c r="F7033" s="81"/>
      <c r="G7033" s="81"/>
      <c r="H7033" s="82"/>
    </row>
    <row r="7034" spans="1:8" ht="15" customHeight="1">
      <c r="A7034" s="85" t="s">
        <v>1671</v>
      </c>
      <c r="B7034" s="81"/>
      <c r="C7034" s="81"/>
      <c r="D7034" s="81"/>
      <c r="E7034" s="81"/>
      <c r="F7034" s="81"/>
      <c r="G7034" s="81"/>
      <c r="H7034" s="82"/>
    </row>
    <row r="7035" spans="1:8" ht="15" customHeight="1">
      <c r="A7035" s="1" t="s">
        <v>2</v>
      </c>
      <c r="B7035" s="1" t="s">
        <v>3</v>
      </c>
      <c r="C7035" s="1" t="s">
        <v>4</v>
      </c>
      <c r="D7035" s="1" t="s">
        <v>5</v>
      </c>
      <c r="E7035" s="1" t="s">
        <v>6</v>
      </c>
      <c r="F7035" s="2" t="s">
        <v>7</v>
      </c>
      <c r="G7035" s="1" t="s">
        <v>8</v>
      </c>
      <c r="H7035" s="1"/>
    </row>
    <row r="7036" spans="1:8" ht="15" customHeight="1">
      <c r="A7036" s="3">
        <v>1</v>
      </c>
      <c r="B7036" s="9" t="s">
        <v>149</v>
      </c>
      <c r="C7036" s="20">
        <v>7361</v>
      </c>
      <c r="D7036" s="9" t="s">
        <v>11</v>
      </c>
      <c r="E7036" s="9">
        <v>2.25</v>
      </c>
      <c r="F7036" s="6">
        <v>293000</v>
      </c>
      <c r="G7036" s="7">
        <f t="shared" ref="G7036:G7038" si="438">IFERROR(E7036*F7036,0)</f>
        <v>659250</v>
      </c>
      <c r="H7036" s="8"/>
    </row>
    <row r="7037" spans="1:8" ht="15" customHeight="1">
      <c r="A7037" s="3">
        <v>2</v>
      </c>
      <c r="B7037" s="4" t="s">
        <v>54</v>
      </c>
      <c r="C7037" s="74" t="s">
        <v>1672</v>
      </c>
      <c r="D7037" s="4" t="s">
        <v>14</v>
      </c>
      <c r="E7037" s="4">
        <v>1.47</v>
      </c>
      <c r="F7037" s="11">
        <v>435000</v>
      </c>
      <c r="G7037" s="7">
        <f t="shared" si="438"/>
        <v>639450</v>
      </c>
      <c r="H7037" s="8"/>
    </row>
    <row r="7038" spans="1:8" ht="15" customHeight="1">
      <c r="A7038" s="3">
        <v>3</v>
      </c>
      <c r="B7038" s="8" t="s">
        <v>17</v>
      </c>
      <c r="C7038" s="8"/>
      <c r="D7038" s="8"/>
      <c r="E7038" s="8"/>
      <c r="F7038" s="8"/>
      <c r="G7038" s="13">
        <f t="shared" si="438"/>
        <v>0</v>
      </c>
      <c r="H7038" s="8"/>
    </row>
    <row r="7039" spans="1:8" ht="15" customHeight="1">
      <c r="A7039" s="86" t="s">
        <v>18</v>
      </c>
      <c r="B7039" s="81"/>
      <c r="C7039" s="81"/>
      <c r="D7039" s="81"/>
      <c r="E7039" s="81"/>
      <c r="F7039" s="81"/>
      <c r="G7039" s="82"/>
      <c r="H7039" s="14">
        <f>SUM(G7036:G7038)</f>
        <v>1298700</v>
      </c>
    </row>
    <row r="7040" spans="1:8" ht="15" customHeight="1">
      <c r="A7040" s="86" t="s">
        <v>19</v>
      </c>
      <c r="B7040" s="81"/>
      <c r="C7040" s="81"/>
      <c r="D7040" s="81"/>
      <c r="E7040" s="81"/>
      <c r="F7040" s="81"/>
      <c r="G7040" s="82"/>
      <c r="H7040" s="14">
        <f>MAX(0,H7039-648000)</f>
        <v>650700</v>
      </c>
    </row>
    <row r="7041" spans="1:8" ht="15" customHeight="1">
      <c r="A7041" s="87" t="s">
        <v>20</v>
      </c>
      <c r="B7041" s="81"/>
      <c r="C7041" s="81"/>
      <c r="D7041" s="81"/>
      <c r="E7041" s="81"/>
      <c r="F7041" s="81"/>
      <c r="G7041" s="82"/>
      <c r="H7041" s="15">
        <v>649000</v>
      </c>
    </row>
    <row r="7042" spans="1:8" ht="15" customHeight="1">
      <c r="A7042" s="85"/>
      <c r="B7042" s="81"/>
      <c r="C7042" s="81"/>
      <c r="D7042" s="81"/>
      <c r="E7042" s="81"/>
      <c r="F7042" s="81"/>
      <c r="G7042" s="81"/>
      <c r="H7042" s="82"/>
    </row>
    <row r="7047" spans="1:8" ht="15" customHeight="1">
      <c r="A7047" s="85" t="s">
        <v>0</v>
      </c>
      <c r="B7047" s="81"/>
      <c r="C7047" s="81"/>
      <c r="D7047" s="81"/>
      <c r="E7047" s="81"/>
      <c r="F7047" s="81"/>
      <c r="G7047" s="81"/>
      <c r="H7047" s="82"/>
    </row>
    <row r="7048" spans="1:8" ht="15" customHeight="1">
      <c r="A7048" s="85" t="s">
        <v>1673</v>
      </c>
      <c r="B7048" s="81"/>
      <c r="C7048" s="81"/>
      <c r="D7048" s="81"/>
      <c r="E7048" s="81"/>
      <c r="F7048" s="81"/>
      <c r="G7048" s="81"/>
      <c r="H7048" s="82"/>
    </row>
    <row r="7049" spans="1:8" ht="15" customHeight="1">
      <c r="A7049" s="1" t="s">
        <v>2</v>
      </c>
      <c r="B7049" s="1" t="s">
        <v>3</v>
      </c>
      <c r="C7049" s="1" t="s">
        <v>4</v>
      </c>
      <c r="D7049" s="1" t="s">
        <v>5</v>
      </c>
      <c r="E7049" s="1" t="s">
        <v>6</v>
      </c>
      <c r="F7049" s="2" t="s">
        <v>7</v>
      </c>
      <c r="G7049" s="1" t="s">
        <v>8</v>
      </c>
      <c r="H7049" s="1"/>
    </row>
    <row r="7050" spans="1:8" ht="15" customHeight="1">
      <c r="A7050" s="3">
        <v>1</v>
      </c>
      <c r="B7050" s="4" t="s">
        <v>351</v>
      </c>
      <c r="C7050" s="29">
        <v>583</v>
      </c>
      <c r="D7050" s="4" t="s">
        <v>11</v>
      </c>
      <c r="E7050" s="4">
        <v>2.6</v>
      </c>
      <c r="F7050" s="6">
        <v>293000</v>
      </c>
      <c r="G7050" s="7">
        <f>IFERROR(E7051*F7050,0)</f>
        <v>263700</v>
      </c>
      <c r="H7050" s="8"/>
    </row>
    <row r="7051" spans="1:8" ht="15" customHeight="1">
      <c r="A7051" s="3">
        <v>2</v>
      </c>
      <c r="B7051" s="9" t="s">
        <v>33</v>
      </c>
      <c r="C7051" s="10" t="s">
        <v>1674</v>
      </c>
      <c r="D7051" s="9" t="s">
        <v>14</v>
      </c>
      <c r="E7051" s="9">
        <v>0.9</v>
      </c>
      <c r="F7051" s="11">
        <v>435000</v>
      </c>
      <c r="G7051" s="7">
        <v>652000</v>
      </c>
      <c r="H7051" s="8"/>
    </row>
    <row r="7052" spans="1:8" ht="15" customHeight="1">
      <c r="A7052" s="3">
        <v>3</v>
      </c>
      <c r="B7052" s="8" t="s">
        <v>17</v>
      </c>
      <c r="C7052" s="8"/>
      <c r="D7052" s="8"/>
      <c r="E7052" s="8"/>
      <c r="F7052" s="8"/>
      <c r="G7052" s="13">
        <f>IFERROR(E7052*F7052,0)</f>
        <v>0</v>
      </c>
      <c r="H7052" s="8"/>
    </row>
    <row r="7053" spans="1:8" ht="15" customHeight="1">
      <c r="A7053" s="86" t="s">
        <v>18</v>
      </c>
      <c r="B7053" s="81"/>
      <c r="C7053" s="81"/>
      <c r="D7053" s="81"/>
      <c r="E7053" s="81"/>
      <c r="F7053" s="81"/>
      <c r="G7053" s="82"/>
      <c r="H7053" s="14">
        <f>SUM(G7050:G7052)</f>
        <v>915700</v>
      </c>
    </row>
    <row r="7054" spans="1:8" ht="15" customHeight="1">
      <c r="A7054" s="86" t="s">
        <v>19</v>
      </c>
      <c r="B7054" s="81"/>
      <c r="C7054" s="81"/>
      <c r="D7054" s="81"/>
      <c r="E7054" s="81"/>
      <c r="F7054" s="81"/>
      <c r="G7054" s="82"/>
      <c r="H7054" s="14">
        <f>MAX(0,H7053-648000)</f>
        <v>267700</v>
      </c>
    </row>
    <row r="7055" spans="1:8" ht="15" customHeight="1">
      <c r="A7055" s="87" t="s">
        <v>20</v>
      </c>
      <c r="B7055" s="81"/>
      <c r="C7055" s="81"/>
      <c r="D7055" s="81"/>
      <c r="E7055" s="81"/>
      <c r="F7055" s="81"/>
      <c r="G7055" s="82"/>
      <c r="H7055" s="15">
        <v>649000</v>
      </c>
    </row>
    <row r="7056" spans="1:8" ht="15" customHeight="1">
      <c r="A7056" s="85"/>
      <c r="B7056" s="81"/>
      <c r="C7056" s="81"/>
      <c r="D7056" s="81"/>
      <c r="E7056" s="81"/>
      <c r="F7056" s="81"/>
      <c r="G7056" s="81"/>
      <c r="H7056" s="82"/>
    </row>
    <row r="7060" spans="1:8" ht="15" customHeight="1">
      <c r="A7060" s="85" t="s">
        <v>0</v>
      </c>
      <c r="B7060" s="81"/>
      <c r="C7060" s="81"/>
      <c r="D7060" s="81"/>
      <c r="E7060" s="81"/>
      <c r="F7060" s="81"/>
      <c r="G7060" s="81"/>
      <c r="H7060" s="82"/>
    </row>
    <row r="7061" spans="1:8" ht="15" customHeight="1">
      <c r="A7061" s="85" t="s">
        <v>1675</v>
      </c>
      <c r="B7061" s="81"/>
      <c r="C7061" s="81"/>
      <c r="D7061" s="81"/>
      <c r="E7061" s="81"/>
      <c r="F7061" s="81"/>
      <c r="G7061" s="81"/>
      <c r="H7061" s="82"/>
    </row>
    <row r="7062" spans="1:8" ht="15" customHeight="1">
      <c r="A7062" s="1" t="s">
        <v>2</v>
      </c>
      <c r="B7062" s="1" t="s">
        <v>3</v>
      </c>
      <c r="C7062" s="1" t="s">
        <v>4</v>
      </c>
      <c r="D7062" s="1" t="s">
        <v>5</v>
      </c>
      <c r="E7062" s="1" t="s">
        <v>6</v>
      </c>
      <c r="F7062" s="2" t="s">
        <v>7</v>
      </c>
      <c r="G7062" s="1" t="s">
        <v>8</v>
      </c>
      <c r="H7062" s="1"/>
    </row>
    <row r="7063" spans="1:8" ht="15" customHeight="1">
      <c r="A7063" s="3">
        <v>1</v>
      </c>
      <c r="B7063" s="4" t="s">
        <v>1676</v>
      </c>
      <c r="C7063" s="5" t="s">
        <v>1677</v>
      </c>
      <c r="D7063" s="4" t="s">
        <v>11</v>
      </c>
      <c r="E7063" s="4">
        <v>3</v>
      </c>
      <c r="F7063" s="6">
        <v>293000</v>
      </c>
      <c r="G7063" s="7">
        <f t="shared" ref="G7063:G7065" si="439">IFERROR(E7063*F7063,0)</f>
        <v>879000</v>
      </c>
      <c r="H7063" s="8"/>
    </row>
    <row r="7064" spans="1:8" ht="15" customHeight="1">
      <c r="A7064" s="3">
        <v>2</v>
      </c>
      <c r="B7064" s="4" t="s">
        <v>563</v>
      </c>
      <c r="C7064" s="5" t="s">
        <v>1678</v>
      </c>
      <c r="D7064" s="4" t="s">
        <v>14</v>
      </c>
      <c r="E7064" s="4">
        <v>0.66</v>
      </c>
      <c r="F7064" s="11">
        <v>435000</v>
      </c>
      <c r="G7064" s="7">
        <f t="shared" si="439"/>
        <v>287100</v>
      </c>
      <c r="H7064" s="8"/>
    </row>
    <row r="7065" spans="1:8" ht="15" customHeight="1">
      <c r="A7065" s="3">
        <v>3</v>
      </c>
      <c r="B7065" s="8" t="s">
        <v>17</v>
      </c>
      <c r="C7065" s="8"/>
      <c r="D7065" s="8"/>
      <c r="E7065" s="8"/>
      <c r="F7065" s="8"/>
      <c r="G7065" s="13">
        <f t="shared" si="439"/>
        <v>0</v>
      </c>
      <c r="H7065" s="8"/>
    </row>
    <row r="7066" spans="1:8" ht="15" customHeight="1">
      <c r="A7066" s="86" t="s">
        <v>18</v>
      </c>
      <c r="B7066" s="81"/>
      <c r="C7066" s="81"/>
      <c r="D7066" s="81"/>
      <c r="E7066" s="81"/>
      <c r="F7066" s="81"/>
      <c r="G7066" s="82"/>
      <c r="H7066" s="14">
        <f>SUM(G7063:G7065)</f>
        <v>1166100</v>
      </c>
    </row>
    <row r="7067" spans="1:8" ht="15" customHeight="1">
      <c r="A7067" s="86" t="s">
        <v>19</v>
      </c>
      <c r="B7067" s="81"/>
      <c r="C7067" s="81"/>
      <c r="D7067" s="81"/>
      <c r="E7067" s="81"/>
      <c r="F7067" s="81"/>
      <c r="G7067" s="82"/>
      <c r="H7067" s="14">
        <f>MAX(0,H7066-648000)</f>
        <v>518100</v>
      </c>
    </row>
    <row r="7068" spans="1:8" ht="15" customHeight="1">
      <c r="A7068" s="87" t="s">
        <v>20</v>
      </c>
      <c r="B7068" s="81"/>
      <c r="C7068" s="81"/>
      <c r="D7068" s="81"/>
      <c r="E7068" s="81"/>
      <c r="F7068" s="81"/>
      <c r="G7068" s="82"/>
      <c r="H7068" s="15">
        <v>649000</v>
      </c>
    </row>
    <row r="7069" spans="1:8" ht="15" customHeight="1">
      <c r="A7069" s="85"/>
      <c r="B7069" s="81"/>
      <c r="C7069" s="81"/>
      <c r="D7069" s="81"/>
      <c r="E7069" s="81"/>
      <c r="F7069" s="81"/>
      <c r="G7069" s="81"/>
      <c r="H7069" s="82"/>
    </row>
    <row r="7074" spans="1:8" ht="15" customHeight="1">
      <c r="A7074" s="85" t="s">
        <v>0</v>
      </c>
      <c r="B7074" s="81"/>
      <c r="C7074" s="81"/>
      <c r="D7074" s="81"/>
      <c r="E7074" s="81"/>
      <c r="F7074" s="81"/>
      <c r="G7074" s="81"/>
      <c r="H7074" s="82"/>
    </row>
    <row r="7075" spans="1:8" ht="15" customHeight="1">
      <c r="A7075" s="85" t="s">
        <v>1679</v>
      </c>
      <c r="B7075" s="81"/>
      <c r="C7075" s="81"/>
      <c r="D7075" s="81"/>
      <c r="E7075" s="81"/>
      <c r="F7075" s="81"/>
      <c r="G7075" s="81"/>
      <c r="H7075" s="82"/>
    </row>
    <row r="7076" spans="1:8" ht="15" customHeight="1">
      <c r="A7076" s="1" t="s">
        <v>2</v>
      </c>
      <c r="B7076" s="1" t="s">
        <v>3</v>
      </c>
      <c r="C7076" s="1" t="s">
        <v>4</v>
      </c>
      <c r="D7076" s="1" t="s">
        <v>5</v>
      </c>
      <c r="E7076" s="1" t="s">
        <v>6</v>
      </c>
      <c r="F7076" s="2" t="s">
        <v>7</v>
      </c>
      <c r="G7076" s="1" t="s">
        <v>8</v>
      </c>
      <c r="H7076" s="1"/>
    </row>
    <row r="7077" spans="1:8" ht="15" customHeight="1">
      <c r="A7077" s="3">
        <v>1</v>
      </c>
      <c r="B7077" s="4" t="s">
        <v>47</v>
      </c>
      <c r="C7077" s="5" t="s">
        <v>1680</v>
      </c>
      <c r="D7077" s="4" t="s">
        <v>14</v>
      </c>
      <c r="E7077" s="4">
        <v>0.87</v>
      </c>
      <c r="F7077" s="6">
        <v>293000</v>
      </c>
      <c r="G7077" s="7">
        <f t="shared" ref="G7077:G7079" si="440">IFERROR(E7077*F7077,0)</f>
        <v>254910</v>
      </c>
      <c r="H7077" s="8"/>
    </row>
    <row r="7078" spans="1:8" ht="15" customHeight="1">
      <c r="A7078" s="3">
        <v>2</v>
      </c>
      <c r="B7078" s="4" t="s">
        <v>144</v>
      </c>
      <c r="C7078" s="19">
        <v>561</v>
      </c>
      <c r="D7078" s="4" t="s">
        <v>11</v>
      </c>
      <c r="E7078" s="4">
        <v>3</v>
      </c>
      <c r="F7078" s="11">
        <v>435000</v>
      </c>
      <c r="G7078" s="7">
        <f t="shared" si="440"/>
        <v>1305000</v>
      </c>
      <c r="H7078" s="8"/>
    </row>
    <row r="7079" spans="1:8" ht="15" customHeight="1">
      <c r="A7079" s="3">
        <v>3</v>
      </c>
      <c r="B7079" s="8" t="s">
        <v>17</v>
      </c>
      <c r="C7079" s="8"/>
      <c r="D7079" s="8"/>
      <c r="E7079" s="8"/>
      <c r="F7079" s="8"/>
      <c r="G7079" s="13">
        <f t="shared" si="440"/>
        <v>0</v>
      </c>
      <c r="H7079" s="8"/>
    </row>
    <row r="7080" spans="1:8" ht="15" customHeight="1">
      <c r="A7080" s="86" t="s">
        <v>18</v>
      </c>
      <c r="B7080" s="81"/>
      <c r="C7080" s="81"/>
      <c r="D7080" s="81"/>
      <c r="E7080" s="81"/>
      <c r="F7080" s="81"/>
      <c r="G7080" s="82"/>
      <c r="H7080" s="14">
        <f>SUM(G7077:G7079)</f>
        <v>1559910</v>
      </c>
    </row>
    <row r="7081" spans="1:8" ht="15" customHeight="1">
      <c r="A7081" s="86" t="s">
        <v>19</v>
      </c>
      <c r="B7081" s="81"/>
      <c r="C7081" s="81"/>
      <c r="D7081" s="81"/>
      <c r="E7081" s="81"/>
      <c r="F7081" s="81"/>
      <c r="G7081" s="82"/>
      <c r="H7081" s="14">
        <f>MAX(0,H7080-648000)</f>
        <v>911910</v>
      </c>
    </row>
    <row r="7082" spans="1:8" ht="15" customHeight="1">
      <c r="A7082" s="87" t="s">
        <v>20</v>
      </c>
      <c r="B7082" s="81"/>
      <c r="C7082" s="81"/>
      <c r="D7082" s="81"/>
      <c r="E7082" s="81"/>
      <c r="F7082" s="81"/>
      <c r="G7082" s="82"/>
      <c r="H7082" s="15">
        <v>649000</v>
      </c>
    </row>
    <row r="7083" spans="1:8" ht="15" customHeight="1">
      <c r="A7083" s="85"/>
      <c r="B7083" s="81"/>
      <c r="C7083" s="81"/>
      <c r="D7083" s="81"/>
      <c r="E7083" s="81"/>
      <c r="F7083" s="81"/>
      <c r="G7083" s="81"/>
      <c r="H7083" s="82"/>
    </row>
    <row r="7088" spans="1:8" ht="15" customHeight="1">
      <c r="A7088" s="85" t="s">
        <v>0</v>
      </c>
      <c r="B7088" s="81"/>
      <c r="C7088" s="81"/>
      <c r="D7088" s="81"/>
      <c r="E7088" s="81"/>
      <c r="F7088" s="81"/>
      <c r="G7088" s="81"/>
      <c r="H7088" s="82"/>
    </row>
    <row r="7089" spans="1:8" ht="15" customHeight="1">
      <c r="A7089" s="85" t="s">
        <v>1681</v>
      </c>
      <c r="B7089" s="81"/>
      <c r="C7089" s="81"/>
      <c r="D7089" s="81"/>
      <c r="E7089" s="81"/>
      <c r="F7089" s="81"/>
      <c r="G7089" s="81"/>
      <c r="H7089" s="82"/>
    </row>
    <row r="7090" spans="1:8" ht="15" customHeight="1">
      <c r="A7090" s="1" t="s">
        <v>2</v>
      </c>
      <c r="B7090" s="1" t="s">
        <v>3</v>
      </c>
      <c r="C7090" s="1" t="s">
        <v>4</v>
      </c>
      <c r="D7090" s="1" t="s">
        <v>5</v>
      </c>
      <c r="E7090" s="1" t="s">
        <v>6</v>
      </c>
      <c r="F7090" s="2" t="s">
        <v>7</v>
      </c>
      <c r="G7090" s="1" t="s">
        <v>8</v>
      </c>
      <c r="H7090" s="1"/>
    </row>
    <row r="7091" spans="1:8" ht="15" customHeight="1">
      <c r="A7091" s="3">
        <v>1</v>
      </c>
      <c r="B7091" s="9" t="s">
        <v>91</v>
      </c>
      <c r="C7091" s="10" t="s">
        <v>1682</v>
      </c>
      <c r="D7091" s="9" t="s">
        <v>11</v>
      </c>
      <c r="E7091" s="9">
        <v>0.5</v>
      </c>
      <c r="F7091" s="6">
        <v>293000</v>
      </c>
      <c r="G7091" s="7">
        <f t="shared" ref="G7091:G7093" si="441">IFERROR(E7091*F7091,0)</f>
        <v>146500</v>
      </c>
      <c r="H7091" s="8"/>
    </row>
    <row r="7092" spans="1:8" ht="15" customHeight="1">
      <c r="A7092" s="3">
        <v>2</v>
      </c>
      <c r="B7092" s="9" t="s">
        <v>260</v>
      </c>
      <c r="C7092" s="10" t="s">
        <v>1683</v>
      </c>
      <c r="D7092" s="9" t="s">
        <v>14</v>
      </c>
      <c r="E7092" s="9">
        <v>3</v>
      </c>
      <c r="F7092" s="11">
        <v>435000</v>
      </c>
      <c r="G7092" s="7">
        <f t="shared" si="441"/>
        <v>1305000</v>
      </c>
      <c r="H7092" s="8"/>
    </row>
    <row r="7093" spans="1:8" ht="15" customHeight="1">
      <c r="A7093" s="3">
        <v>3</v>
      </c>
      <c r="B7093" s="8" t="s">
        <v>17</v>
      </c>
      <c r="C7093" s="8"/>
      <c r="D7093" s="8"/>
      <c r="E7093" s="8"/>
      <c r="F7093" s="8"/>
      <c r="G7093" s="13">
        <f t="shared" si="441"/>
        <v>0</v>
      </c>
      <c r="H7093" s="8"/>
    </row>
    <row r="7094" spans="1:8" ht="15" customHeight="1">
      <c r="A7094" s="86" t="s">
        <v>18</v>
      </c>
      <c r="B7094" s="81"/>
      <c r="C7094" s="81"/>
      <c r="D7094" s="81"/>
      <c r="E7094" s="81"/>
      <c r="F7094" s="81"/>
      <c r="G7094" s="82"/>
      <c r="H7094" s="14">
        <f>SUM(G7091:G7093)</f>
        <v>1451500</v>
      </c>
    </row>
    <row r="7095" spans="1:8" ht="15" customHeight="1">
      <c r="A7095" s="86" t="s">
        <v>19</v>
      </c>
      <c r="B7095" s="81"/>
      <c r="C7095" s="81"/>
      <c r="D7095" s="81"/>
      <c r="E7095" s="81"/>
      <c r="F7095" s="81"/>
      <c r="G7095" s="82"/>
      <c r="H7095" s="14">
        <f>MAX(0,H7094-648000)</f>
        <v>803500</v>
      </c>
    </row>
    <row r="7096" spans="1:8" ht="15" customHeight="1">
      <c r="A7096" s="87" t="s">
        <v>20</v>
      </c>
      <c r="B7096" s="81"/>
      <c r="C7096" s="81"/>
      <c r="D7096" s="81"/>
      <c r="E7096" s="81"/>
      <c r="F7096" s="81"/>
      <c r="G7096" s="82"/>
      <c r="H7096" s="15">
        <v>649000</v>
      </c>
    </row>
    <row r="7097" spans="1:8" ht="15" customHeight="1">
      <c r="A7097" s="85"/>
      <c r="B7097" s="81"/>
      <c r="C7097" s="81"/>
      <c r="D7097" s="81"/>
      <c r="E7097" s="81"/>
      <c r="F7097" s="81"/>
      <c r="G7097" s="81"/>
      <c r="H7097" s="82"/>
    </row>
    <row r="7103" spans="1:8" ht="15" customHeight="1">
      <c r="A7103" s="85" t="s">
        <v>0</v>
      </c>
      <c r="B7103" s="81"/>
      <c r="C7103" s="81"/>
      <c r="D7103" s="81"/>
      <c r="E7103" s="81"/>
      <c r="F7103" s="81"/>
      <c r="G7103" s="81"/>
      <c r="H7103" s="82"/>
    </row>
    <row r="7104" spans="1:8" ht="15" customHeight="1">
      <c r="A7104" s="85" t="s">
        <v>1684</v>
      </c>
      <c r="B7104" s="81"/>
      <c r="C7104" s="81"/>
      <c r="D7104" s="81"/>
      <c r="E7104" s="81"/>
      <c r="F7104" s="81"/>
      <c r="G7104" s="81"/>
      <c r="H7104" s="82"/>
    </row>
    <row r="7105" spans="1:8" ht="15" customHeight="1">
      <c r="A7105" s="1" t="s">
        <v>2</v>
      </c>
      <c r="B7105" s="1" t="s">
        <v>3</v>
      </c>
      <c r="C7105" s="1" t="s">
        <v>4</v>
      </c>
      <c r="D7105" s="1" t="s">
        <v>5</v>
      </c>
      <c r="E7105" s="1" t="s">
        <v>6</v>
      </c>
      <c r="F7105" s="2" t="s">
        <v>7</v>
      </c>
      <c r="G7105" s="1" t="s">
        <v>8</v>
      </c>
      <c r="H7105" s="1"/>
    </row>
    <row r="7106" spans="1:8" ht="15" customHeight="1">
      <c r="A7106" s="3">
        <v>1</v>
      </c>
      <c r="B7106" s="9" t="s">
        <v>463</v>
      </c>
      <c r="C7106" s="20">
        <v>2496</v>
      </c>
      <c r="D7106" s="9" t="s">
        <v>11</v>
      </c>
      <c r="E7106" s="9">
        <v>2.6</v>
      </c>
      <c r="F7106" s="6">
        <v>293000</v>
      </c>
      <c r="G7106" s="7">
        <f t="shared" ref="G7106:G7108" si="442">IFERROR(E7106*F7106,0)</f>
        <v>761800</v>
      </c>
      <c r="H7106" s="8"/>
    </row>
    <row r="7107" spans="1:8" ht="15" customHeight="1">
      <c r="A7107" s="3">
        <v>2</v>
      </c>
      <c r="B7107" s="4" t="s">
        <v>1685</v>
      </c>
      <c r="C7107" s="19">
        <v>2096</v>
      </c>
      <c r="D7107" s="4" t="s">
        <v>14</v>
      </c>
      <c r="E7107" s="4">
        <v>1</v>
      </c>
      <c r="F7107" s="11">
        <v>435000</v>
      </c>
      <c r="G7107" s="7">
        <f t="shared" si="442"/>
        <v>435000</v>
      </c>
      <c r="H7107" s="8"/>
    </row>
    <row r="7108" spans="1:8" ht="15" customHeight="1">
      <c r="A7108" s="3">
        <v>3</v>
      </c>
      <c r="B7108" s="8" t="s">
        <v>17</v>
      </c>
      <c r="C7108" s="8"/>
      <c r="D7108" s="8"/>
      <c r="E7108" s="8"/>
      <c r="F7108" s="8"/>
      <c r="G7108" s="13">
        <f t="shared" si="442"/>
        <v>0</v>
      </c>
      <c r="H7108" s="8"/>
    </row>
    <row r="7109" spans="1:8" ht="15" customHeight="1">
      <c r="A7109" s="86" t="s">
        <v>18</v>
      </c>
      <c r="B7109" s="81"/>
      <c r="C7109" s="81"/>
      <c r="D7109" s="81"/>
      <c r="E7109" s="81"/>
      <c r="F7109" s="81"/>
      <c r="G7109" s="82"/>
      <c r="H7109" s="14">
        <f>SUM(G7106:G7108)</f>
        <v>1196800</v>
      </c>
    </row>
    <row r="7110" spans="1:8" ht="15" customHeight="1">
      <c r="A7110" s="86" t="s">
        <v>19</v>
      </c>
      <c r="B7110" s="81"/>
      <c r="C7110" s="81"/>
      <c r="D7110" s="81"/>
      <c r="E7110" s="81"/>
      <c r="F7110" s="81"/>
      <c r="G7110" s="82"/>
      <c r="H7110" s="14">
        <f>MAX(0,H7109-648000)</f>
        <v>548800</v>
      </c>
    </row>
    <row r="7111" spans="1:8" ht="15" customHeight="1">
      <c r="A7111" s="87" t="s">
        <v>20</v>
      </c>
      <c r="B7111" s="81"/>
      <c r="C7111" s="81"/>
      <c r="D7111" s="81"/>
      <c r="E7111" s="81"/>
      <c r="F7111" s="81"/>
      <c r="G7111" s="82"/>
      <c r="H7111" s="15">
        <v>649000</v>
      </c>
    </row>
    <row r="7112" spans="1:8" ht="15" customHeight="1">
      <c r="A7112" s="85"/>
      <c r="B7112" s="81"/>
      <c r="C7112" s="81"/>
      <c r="D7112" s="81"/>
      <c r="E7112" s="81"/>
      <c r="F7112" s="81"/>
      <c r="G7112" s="81"/>
      <c r="H7112" s="82"/>
    </row>
    <row r="7117" spans="1:8" ht="15" customHeight="1">
      <c r="A7117" s="85" t="s">
        <v>0</v>
      </c>
      <c r="B7117" s="81"/>
      <c r="C7117" s="81"/>
      <c r="D7117" s="81"/>
      <c r="E7117" s="81"/>
      <c r="F7117" s="81"/>
      <c r="G7117" s="81"/>
      <c r="H7117" s="82"/>
    </row>
    <row r="7118" spans="1:8" ht="15" customHeight="1">
      <c r="A7118" s="85" t="s">
        <v>1686</v>
      </c>
      <c r="B7118" s="81"/>
      <c r="C7118" s="81"/>
      <c r="D7118" s="81"/>
      <c r="E7118" s="81"/>
      <c r="F7118" s="81"/>
      <c r="G7118" s="81"/>
      <c r="H7118" s="82"/>
    </row>
    <row r="7119" spans="1:8" ht="15" customHeight="1">
      <c r="A7119" s="1" t="s">
        <v>2</v>
      </c>
      <c r="B7119" s="1" t="s">
        <v>3</v>
      </c>
      <c r="C7119" s="1" t="s">
        <v>4</v>
      </c>
      <c r="D7119" s="1" t="s">
        <v>5</v>
      </c>
      <c r="E7119" s="1" t="s">
        <v>6</v>
      </c>
      <c r="F7119" s="2" t="s">
        <v>7</v>
      </c>
      <c r="G7119" s="1" t="s">
        <v>8</v>
      </c>
      <c r="H7119" s="1"/>
    </row>
    <row r="7120" spans="1:8" ht="15" customHeight="1">
      <c r="A7120" s="3">
        <v>1</v>
      </c>
      <c r="B7120" s="4" t="s">
        <v>911</v>
      </c>
      <c r="C7120" s="19">
        <v>1650</v>
      </c>
      <c r="D7120" s="4" t="s">
        <v>11</v>
      </c>
      <c r="E7120" s="4">
        <v>3</v>
      </c>
      <c r="F7120" s="6">
        <v>293000</v>
      </c>
      <c r="G7120" s="7">
        <f t="shared" ref="G7120:G7122" si="443">IFERROR(E7120*F7120,0)</f>
        <v>879000</v>
      </c>
      <c r="H7120" s="8"/>
    </row>
    <row r="7121" spans="1:8" ht="15" customHeight="1">
      <c r="A7121" s="3">
        <v>2</v>
      </c>
      <c r="B7121" s="4" t="s">
        <v>381</v>
      </c>
      <c r="C7121" s="5" t="s">
        <v>1687</v>
      </c>
      <c r="D7121" s="4" t="s">
        <v>14</v>
      </c>
      <c r="E7121" s="4">
        <v>0.47</v>
      </c>
      <c r="F7121" s="11">
        <v>435000</v>
      </c>
      <c r="G7121" s="7">
        <f t="shared" si="443"/>
        <v>204450</v>
      </c>
      <c r="H7121" s="8"/>
    </row>
    <row r="7122" spans="1:8" ht="15" customHeight="1">
      <c r="A7122" s="3">
        <v>3</v>
      </c>
      <c r="B7122" s="8" t="s">
        <v>17</v>
      </c>
      <c r="C7122" s="8"/>
      <c r="D7122" s="8"/>
      <c r="E7122" s="8"/>
      <c r="F7122" s="8"/>
      <c r="G7122" s="13">
        <f t="shared" si="443"/>
        <v>0</v>
      </c>
      <c r="H7122" s="8"/>
    </row>
    <row r="7123" spans="1:8" ht="15" customHeight="1">
      <c r="A7123" s="86" t="s">
        <v>18</v>
      </c>
      <c r="B7123" s="81"/>
      <c r="C7123" s="81"/>
      <c r="D7123" s="81"/>
      <c r="E7123" s="81"/>
      <c r="F7123" s="81"/>
      <c r="G7123" s="82"/>
      <c r="H7123" s="14">
        <f>SUM(G7120:G7122)</f>
        <v>1083450</v>
      </c>
    </row>
    <row r="7124" spans="1:8" ht="15" customHeight="1">
      <c r="A7124" s="86" t="s">
        <v>19</v>
      </c>
      <c r="B7124" s="81"/>
      <c r="C7124" s="81"/>
      <c r="D7124" s="81"/>
      <c r="E7124" s="81"/>
      <c r="F7124" s="81"/>
      <c r="G7124" s="82"/>
      <c r="H7124" s="14">
        <f>MAX(0,H7123-648000)</f>
        <v>435450</v>
      </c>
    </row>
    <row r="7125" spans="1:8" ht="15" customHeight="1">
      <c r="A7125" s="87" t="s">
        <v>20</v>
      </c>
      <c r="B7125" s="81"/>
      <c r="C7125" s="81"/>
      <c r="D7125" s="81"/>
      <c r="E7125" s="81"/>
      <c r="F7125" s="81"/>
      <c r="G7125" s="82"/>
      <c r="H7125" s="15">
        <v>649000</v>
      </c>
    </row>
    <row r="7126" spans="1:8" ht="15" customHeight="1">
      <c r="A7126" s="85"/>
      <c r="B7126" s="81"/>
      <c r="C7126" s="81"/>
      <c r="D7126" s="81"/>
      <c r="E7126" s="81"/>
      <c r="F7126" s="81"/>
      <c r="G7126" s="81"/>
      <c r="H7126" s="82"/>
    </row>
    <row r="7132" spans="1:8" ht="15" customHeight="1">
      <c r="A7132" s="85" t="s">
        <v>0</v>
      </c>
      <c r="B7132" s="81"/>
      <c r="C7132" s="81"/>
      <c r="D7132" s="81"/>
      <c r="E7132" s="81"/>
      <c r="F7132" s="81"/>
      <c r="G7132" s="81"/>
      <c r="H7132" s="82"/>
    </row>
    <row r="7133" spans="1:8" ht="15" customHeight="1">
      <c r="A7133" s="85" t="s">
        <v>1688</v>
      </c>
      <c r="B7133" s="81"/>
      <c r="C7133" s="81"/>
      <c r="D7133" s="81"/>
      <c r="E7133" s="81"/>
      <c r="F7133" s="81"/>
      <c r="G7133" s="81"/>
      <c r="H7133" s="82"/>
    </row>
    <row r="7134" spans="1:8" ht="15" customHeight="1">
      <c r="A7134" s="1" t="s">
        <v>2</v>
      </c>
      <c r="B7134" s="1" t="s">
        <v>3</v>
      </c>
      <c r="C7134" s="1" t="s">
        <v>4</v>
      </c>
      <c r="D7134" s="1" t="s">
        <v>5</v>
      </c>
      <c r="E7134" s="1" t="s">
        <v>6</v>
      </c>
      <c r="F7134" s="2" t="s">
        <v>7</v>
      </c>
      <c r="G7134" s="1" t="s">
        <v>8</v>
      </c>
      <c r="H7134" s="1"/>
    </row>
    <row r="7135" spans="1:8" ht="15" customHeight="1">
      <c r="A7135" s="3">
        <v>1</v>
      </c>
      <c r="B7135" s="9" t="s">
        <v>289</v>
      </c>
      <c r="C7135" s="20">
        <v>4288</v>
      </c>
      <c r="D7135" s="9" t="s">
        <v>11</v>
      </c>
      <c r="E7135" s="9">
        <v>3</v>
      </c>
      <c r="F7135" s="6">
        <v>732500</v>
      </c>
      <c r="G7135" s="7">
        <f>IFERROR(E7136*F7135,0)</f>
        <v>336950</v>
      </c>
      <c r="H7135" s="8"/>
    </row>
    <row r="7136" spans="1:8" ht="15" customHeight="1">
      <c r="A7136" s="3">
        <v>2</v>
      </c>
      <c r="B7136" s="9" t="s">
        <v>205</v>
      </c>
      <c r="C7136" s="10" t="s">
        <v>1689</v>
      </c>
      <c r="D7136" s="9" t="s">
        <v>14</v>
      </c>
      <c r="E7136" s="9">
        <v>0.46</v>
      </c>
      <c r="F7136" s="11">
        <v>435000</v>
      </c>
      <c r="G7136" s="11">
        <v>435000</v>
      </c>
      <c r="H7136" s="8"/>
    </row>
    <row r="7137" spans="1:8" ht="15" customHeight="1">
      <c r="A7137" s="3">
        <v>3</v>
      </c>
      <c r="B7137" s="8" t="s">
        <v>17</v>
      </c>
      <c r="C7137" s="8"/>
      <c r="D7137" s="8"/>
      <c r="E7137" s="8"/>
      <c r="F7137" s="8"/>
      <c r="G7137" s="13">
        <f>IFERROR(E7137*F7137,0)</f>
        <v>0</v>
      </c>
      <c r="H7137" s="8"/>
    </row>
    <row r="7138" spans="1:8" ht="15" customHeight="1">
      <c r="A7138" s="86" t="s">
        <v>18</v>
      </c>
      <c r="B7138" s="81"/>
      <c r="C7138" s="81"/>
      <c r="D7138" s="81"/>
      <c r="E7138" s="81"/>
      <c r="F7138" s="81"/>
      <c r="G7138" s="82"/>
      <c r="H7138" s="14">
        <f>SUM(G7135:G7137)</f>
        <v>771950</v>
      </c>
    </row>
    <row r="7139" spans="1:8" ht="15" customHeight="1">
      <c r="A7139" s="86" t="s">
        <v>19</v>
      </c>
      <c r="B7139" s="81"/>
      <c r="C7139" s="81"/>
      <c r="D7139" s="81"/>
      <c r="E7139" s="81"/>
      <c r="F7139" s="81"/>
      <c r="G7139" s="82"/>
      <c r="H7139" s="14">
        <f>MAX(0,H7138-648000)</f>
        <v>123950</v>
      </c>
    </row>
    <row r="7140" spans="1:8" ht="15" customHeight="1">
      <c r="A7140" s="87" t="s">
        <v>20</v>
      </c>
      <c r="B7140" s="81"/>
      <c r="C7140" s="81"/>
      <c r="D7140" s="81"/>
      <c r="E7140" s="81"/>
      <c r="F7140" s="81"/>
      <c r="G7140" s="82"/>
      <c r="H7140" s="15">
        <v>649000</v>
      </c>
    </row>
    <row r="7141" spans="1:8" ht="15" customHeight="1">
      <c r="A7141" s="85"/>
      <c r="B7141" s="81"/>
      <c r="C7141" s="81"/>
      <c r="D7141" s="81"/>
      <c r="E7141" s="81"/>
      <c r="F7141" s="81"/>
      <c r="G7141" s="81"/>
      <c r="H7141" s="82"/>
    </row>
    <row r="7147" spans="1:8" ht="15" customHeight="1">
      <c r="A7147" s="85" t="s">
        <v>0</v>
      </c>
      <c r="B7147" s="81"/>
      <c r="C7147" s="81"/>
      <c r="D7147" s="81"/>
      <c r="E7147" s="81"/>
      <c r="F7147" s="81"/>
      <c r="G7147" s="81"/>
      <c r="H7147" s="82"/>
    </row>
    <row r="7148" spans="1:8" ht="15" customHeight="1">
      <c r="A7148" s="85" t="s">
        <v>1690</v>
      </c>
      <c r="B7148" s="81"/>
      <c r="C7148" s="81"/>
      <c r="D7148" s="81"/>
      <c r="E7148" s="81"/>
      <c r="F7148" s="81"/>
      <c r="G7148" s="81"/>
      <c r="H7148" s="82"/>
    </row>
    <row r="7149" spans="1:8" ht="15" customHeight="1">
      <c r="A7149" s="1" t="s">
        <v>2</v>
      </c>
      <c r="B7149" s="1" t="s">
        <v>3</v>
      </c>
      <c r="C7149" s="1" t="s">
        <v>4</v>
      </c>
      <c r="D7149" s="1" t="s">
        <v>5</v>
      </c>
      <c r="E7149" s="1" t="s">
        <v>6</v>
      </c>
      <c r="F7149" s="2" t="s">
        <v>7</v>
      </c>
      <c r="G7149" s="1" t="s">
        <v>8</v>
      </c>
      <c r="H7149" s="1"/>
    </row>
    <row r="7150" spans="1:8" ht="15" customHeight="1">
      <c r="A7150" s="3">
        <v>1</v>
      </c>
      <c r="B7150" s="4" t="s">
        <v>130</v>
      </c>
      <c r="C7150" s="19">
        <v>4272</v>
      </c>
      <c r="D7150" s="4" t="s">
        <v>11</v>
      </c>
      <c r="E7150" s="4">
        <v>1.9</v>
      </c>
      <c r="F7150" s="6">
        <v>293000</v>
      </c>
      <c r="G7150" s="7">
        <f t="shared" ref="G7150:G7152" si="444">IFERROR(E7150*F7150,0)</f>
        <v>556700</v>
      </c>
      <c r="H7150" s="8"/>
    </row>
    <row r="7151" spans="1:8" ht="15" customHeight="1">
      <c r="A7151" s="3">
        <v>2</v>
      </c>
      <c r="B7151" s="4" t="s">
        <v>729</v>
      </c>
      <c r="C7151" s="19">
        <v>6780</v>
      </c>
      <c r="D7151" s="4" t="s">
        <v>14</v>
      </c>
      <c r="E7151" s="4">
        <v>1.5</v>
      </c>
      <c r="F7151" s="11">
        <v>435000</v>
      </c>
      <c r="G7151" s="7">
        <f t="shared" si="444"/>
        <v>652500</v>
      </c>
      <c r="H7151" s="8"/>
    </row>
    <row r="7152" spans="1:8" ht="15" customHeight="1">
      <c r="A7152" s="3">
        <v>3</v>
      </c>
      <c r="B7152" s="8" t="s">
        <v>17</v>
      </c>
      <c r="C7152" s="8"/>
      <c r="D7152" s="8"/>
      <c r="E7152" s="8"/>
      <c r="F7152" s="8"/>
      <c r="G7152" s="13">
        <f t="shared" si="444"/>
        <v>0</v>
      </c>
      <c r="H7152" s="8"/>
    </row>
    <row r="7153" spans="1:8" ht="15" customHeight="1">
      <c r="A7153" s="86" t="s">
        <v>18</v>
      </c>
      <c r="B7153" s="81"/>
      <c r="C7153" s="81"/>
      <c r="D7153" s="81"/>
      <c r="E7153" s="81"/>
      <c r="F7153" s="81"/>
      <c r="G7153" s="82"/>
      <c r="H7153" s="14">
        <f>SUM(G7150:G7152)</f>
        <v>1209200</v>
      </c>
    </row>
    <row r="7154" spans="1:8" ht="15" customHeight="1">
      <c r="A7154" s="86" t="s">
        <v>19</v>
      </c>
      <c r="B7154" s="81"/>
      <c r="C7154" s="81"/>
      <c r="D7154" s="81"/>
      <c r="E7154" s="81"/>
      <c r="F7154" s="81"/>
      <c r="G7154" s="82"/>
      <c r="H7154" s="14">
        <f>MAX(0,H7153-648000)</f>
        <v>561200</v>
      </c>
    </row>
    <row r="7155" spans="1:8" ht="15" customHeight="1">
      <c r="A7155" s="87" t="s">
        <v>20</v>
      </c>
      <c r="B7155" s="81"/>
      <c r="C7155" s="81"/>
      <c r="D7155" s="81"/>
      <c r="E7155" s="81"/>
      <c r="F7155" s="81"/>
      <c r="G7155" s="82"/>
      <c r="H7155" s="15">
        <v>649000</v>
      </c>
    </row>
    <row r="7156" spans="1:8" ht="15" customHeight="1">
      <c r="A7156" s="85"/>
      <c r="B7156" s="81"/>
      <c r="C7156" s="81"/>
      <c r="D7156" s="81"/>
      <c r="E7156" s="81"/>
      <c r="F7156" s="81"/>
      <c r="G7156" s="81"/>
      <c r="H7156" s="82"/>
    </row>
    <row r="7161" spans="1:8" ht="15" customHeight="1">
      <c r="A7161" s="85" t="s">
        <v>0</v>
      </c>
      <c r="B7161" s="81"/>
      <c r="C7161" s="81"/>
      <c r="D7161" s="81"/>
      <c r="E7161" s="81"/>
      <c r="F7161" s="81"/>
      <c r="G7161" s="81"/>
      <c r="H7161" s="82"/>
    </row>
    <row r="7162" spans="1:8" ht="15" customHeight="1">
      <c r="A7162" s="85" t="s">
        <v>1691</v>
      </c>
      <c r="B7162" s="81"/>
      <c r="C7162" s="81"/>
      <c r="D7162" s="81"/>
      <c r="E7162" s="81"/>
      <c r="F7162" s="81"/>
      <c r="G7162" s="81"/>
      <c r="H7162" s="82"/>
    </row>
    <row r="7163" spans="1:8" ht="15" customHeight="1">
      <c r="A7163" s="1" t="s">
        <v>2</v>
      </c>
      <c r="B7163" s="1" t="s">
        <v>3</v>
      </c>
      <c r="C7163" s="1" t="s">
        <v>4</v>
      </c>
      <c r="D7163" s="1" t="s">
        <v>5</v>
      </c>
      <c r="E7163" s="1" t="s">
        <v>6</v>
      </c>
      <c r="F7163" s="2" t="s">
        <v>7</v>
      </c>
      <c r="G7163" s="1" t="s">
        <v>8</v>
      </c>
      <c r="H7163" s="1"/>
    </row>
    <row r="7164" spans="1:8" ht="15" customHeight="1">
      <c r="A7164" s="3">
        <v>1</v>
      </c>
      <c r="B7164" s="4" t="s">
        <v>384</v>
      </c>
      <c r="C7164" s="19">
        <v>1673</v>
      </c>
      <c r="D7164" s="4" t="s">
        <v>11</v>
      </c>
      <c r="E7164" s="4">
        <v>3</v>
      </c>
      <c r="F7164" s="6">
        <v>293000</v>
      </c>
      <c r="G7164" s="7">
        <f t="shared" ref="G7164:G7166" si="445">IFERROR(E7164*F7164,0)</f>
        <v>879000</v>
      </c>
      <c r="H7164" s="8"/>
    </row>
    <row r="7165" spans="1:8" ht="15" customHeight="1">
      <c r="A7165" s="3">
        <v>2</v>
      </c>
      <c r="B7165" s="9" t="s">
        <v>33</v>
      </c>
      <c r="C7165" s="10" t="s">
        <v>1692</v>
      </c>
      <c r="D7165" s="9" t="s">
        <v>14</v>
      </c>
      <c r="E7165" s="9">
        <v>0.57999999999999996</v>
      </c>
      <c r="F7165" s="11">
        <v>435000</v>
      </c>
      <c r="G7165" s="7">
        <f t="shared" si="445"/>
        <v>252299.99999999997</v>
      </c>
      <c r="H7165" s="8"/>
    </row>
    <row r="7166" spans="1:8" ht="15" customHeight="1">
      <c r="A7166" s="3">
        <v>3</v>
      </c>
      <c r="B7166" s="8" t="s">
        <v>17</v>
      </c>
      <c r="C7166" s="8"/>
      <c r="D7166" s="8"/>
      <c r="E7166" s="8"/>
      <c r="F7166" s="8"/>
      <c r="G7166" s="13">
        <f t="shared" si="445"/>
        <v>0</v>
      </c>
      <c r="H7166" s="8"/>
    </row>
    <row r="7167" spans="1:8" ht="15" customHeight="1">
      <c r="A7167" s="86" t="s">
        <v>18</v>
      </c>
      <c r="B7167" s="81"/>
      <c r="C7167" s="81"/>
      <c r="D7167" s="81"/>
      <c r="E7167" s="81"/>
      <c r="F7167" s="81"/>
      <c r="G7167" s="82"/>
      <c r="H7167" s="14">
        <f>SUM(G7164:G7166)</f>
        <v>1131300</v>
      </c>
    </row>
    <row r="7168" spans="1:8" ht="15" customHeight="1">
      <c r="A7168" s="86" t="s">
        <v>19</v>
      </c>
      <c r="B7168" s="81"/>
      <c r="C7168" s="81"/>
      <c r="D7168" s="81"/>
      <c r="E7168" s="81"/>
      <c r="F7168" s="81"/>
      <c r="G7168" s="82"/>
      <c r="H7168" s="14">
        <f>MAX(0,H7167-648000)</f>
        <v>483300</v>
      </c>
    </row>
    <row r="7169" spans="1:8" ht="15" customHeight="1">
      <c r="A7169" s="87" t="s">
        <v>20</v>
      </c>
      <c r="B7169" s="81"/>
      <c r="C7169" s="81"/>
      <c r="D7169" s="81"/>
      <c r="E7169" s="81"/>
      <c r="F7169" s="81"/>
      <c r="G7169" s="82"/>
      <c r="H7169" s="15">
        <v>649000</v>
      </c>
    </row>
    <row r="7170" spans="1:8" ht="15" customHeight="1">
      <c r="A7170" s="85"/>
      <c r="B7170" s="81"/>
      <c r="C7170" s="81"/>
      <c r="D7170" s="81"/>
      <c r="E7170" s="81"/>
      <c r="F7170" s="81"/>
      <c r="G7170" s="81"/>
      <c r="H7170" s="82"/>
    </row>
    <row r="7175" spans="1:8" ht="15" customHeight="1">
      <c r="A7175" s="85" t="s">
        <v>0</v>
      </c>
      <c r="B7175" s="81"/>
      <c r="C7175" s="81"/>
      <c r="D7175" s="81"/>
      <c r="E7175" s="81"/>
      <c r="F7175" s="81"/>
      <c r="G7175" s="81"/>
      <c r="H7175" s="82"/>
    </row>
    <row r="7176" spans="1:8" ht="15" customHeight="1">
      <c r="A7176" s="85" t="s">
        <v>1693</v>
      </c>
      <c r="B7176" s="81"/>
      <c r="C7176" s="81"/>
      <c r="D7176" s="81"/>
      <c r="E7176" s="81"/>
      <c r="F7176" s="81"/>
      <c r="G7176" s="81"/>
      <c r="H7176" s="82"/>
    </row>
    <row r="7177" spans="1:8" ht="15" customHeight="1">
      <c r="A7177" s="1" t="s">
        <v>2</v>
      </c>
      <c r="B7177" s="1" t="s">
        <v>3</v>
      </c>
      <c r="C7177" s="1" t="s">
        <v>4</v>
      </c>
      <c r="D7177" s="1" t="s">
        <v>5</v>
      </c>
      <c r="E7177" s="1" t="s">
        <v>6</v>
      </c>
      <c r="F7177" s="2" t="s">
        <v>7</v>
      </c>
      <c r="G7177" s="1" t="s">
        <v>8</v>
      </c>
      <c r="H7177" s="1"/>
    </row>
    <row r="7178" spans="1:8" ht="15" customHeight="1">
      <c r="A7178" s="3">
        <v>1</v>
      </c>
      <c r="B7178" s="4" t="s">
        <v>73</v>
      </c>
      <c r="C7178" s="5" t="s">
        <v>1694</v>
      </c>
      <c r="D7178" s="4" t="s">
        <v>11</v>
      </c>
      <c r="E7178" s="4">
        <v>2.83</v>
      </c>
      <c r="F7178" s="6">
        <v>293000</v>
      </c>
      <c r="G7178" s="7">
        <f t="shared" ref="G7178:G7180" si="446">IFERROR(E7178*F7178,0)</f>
        <v>829190</v>
      </c>
      <c r="H7178" s="8"/>
    </row>
    <row r="7179" spans="1:8" ht="15" customHeight="1">
      <c r="A7179" s="3">
        <v>2</v>
      </c>
      <c r="B7179" s="9" t="s">
        <v>38</v>
      </c>
      <c r="C7179" s="10" t="s">
        <v>1695</v>
      </c>
      <c r="D7179" s="9" t="s">
        <v>14</v>
      </c>
      <c r="E7179" s="9">
        <v>0.66</v>
      </c>
      <c r="F7179" s="11">
        <v>435000</v>
      </c>
      <c r="G7179" s="7">
        <f t="shared" si="446"/>
        <v>287100</v>
      </c>
      <c r="H7179" s="8"/>
    </row>
    <row r="7180" spans="1:8" ht="15" customHeight="1">
      <c r="A7180" s="3">
        <v>3</v>
      </c>
      <c r="B7180" s="8" t="s">
        <v>17</v>
      </c>
      <c r="C7180" s="8"/>
      <c r="D7180" s="8"/>
      <c r="E7180" s="8"/>
      <c r="F7180" s="8"/>
      <c r="G7180" s="13">
        <f t="shared" si="446"/>
        <v>0</v>
      </c>
      <c r="H7180" s="8"/>
    </row>
    <row r="7181" spans="1:8" ht="15" customHeight="1">
      <c r="A7181" s="86" t="s">
        <v>18</v>
      </c>
      <c r="B7181" s="81"/>
      <c r="C7181" s="81"/>
      <c r="D7181" s="81"/>
      <c r="E7181" s="81"/>
      <c r="F7181" s="81"/>
      <c r="G7181" s="82"/>
      <c r="H7181" s="14">
        <f>SUM(G7178:G7180)</f>
        <v>1116290</v>
      </c>
    </row>
    <row r="7182" spans="1:8" ht="15" customHeight="1">
      <c r="A7182" s="86" t="s">
        <v>19</v>
      </c>
      <c r="B7182" s="81"/>
      <c r="C7182" s="81"/>
      <c r="D7182" s="81"/>
      <c r="E7182" s="81"/>
      <c r="F7182" s="81"/>
      <c r="G7182" s="82"/>
      <c r="H7182" s="14">
        <f>MAX(0,H7181-648000)</f>
        <v>468290</v>
      </c>
    </row>
    <row r="7183" spans="1:8" ht="15" customHeight="1">
      <c r="A7183" s="87" t="s">
        <v>20</v>
      </c>
      <c r="B7183" s="81"/>
      <c r="C7183" s="81"/>
      <c r="D7183" s="81"/>
      <c r="E7183" s="81"/>
      <c r="F7183" s="81"/>
      <c r="G7183" s="82"/>
      <c r="H7183" s="15">
        <v>649000</v>
      </c>
    </row>
    <row r="7184" spans="1:8" ht="15" customHeight="1">
      <c r="A7184" s="85"/>
      <c r="B7184" s="81"/>
      <c r="C7184" s="81"/>
      <c r="D7184" s="81"/>
      <c r="E7184" s="81"/>
      <c r="F7184" s="81"/>
      <c r="G7184" s="81"/>
      <c r="H7184" s="82"/>
    </row>
    <row r="7190" spans="1:8" ht="15" customHeight="1">
      <c r="A7190" s="85" t="s">
        <v>0</v>
      </c>
      <c r="B7190" s="81"/>
      <c r="C7190" s="81"/>
      <c r="D7190" s="81"/>
      <c r="E7190" s="81"/>
      <c r="F7190" s="81"/>
      <c r="G7190" s="81"/>
      <c r="H7190" s="82"/>
    </row>
    <row r="7191" spans="1:8" ht="15" customHeight="1">
      <c r="A7191" s="85" t="s">
        <v>1696</v>
      </c>
      <c r="B7191" s="81"/>
      <c r="C7191" s="81"/>
      <c r="D7191" s="81"/>
      <c r="E7191" s="81"/>
      <c r="F7191" s="81"/>
      <c r="G7191" s="81"/>
      <c r="H7191" s="82"/>
    </row>
    <row r="7192" spans="1:8" ht="15" customHeight="1">
      <c r="A7192" s="1" t="s">
        <v>2</v>
      </c>
      <c r="B7192" s="1" t="s">
        <v>3</v>
      </c>
      <c r="C7192" s="1" t="s">
        <v>4</v>
      </c>
      <c r="D7192" s="1" t="s">
        <v>5</v>
      </c>
      <c r="E7192" s="1" t="s">
        <v>6</v>
      </c>
      <c r="F7192" s="2" t="s">
        <v>7</v>
      </c>
      <c r="G7192" s="1" t="s">
        <v>8</v>
      </c>
      <c r="H7192" s="1"/>
    </row>
    <row r="7193" spans="1:8" ht="15" customHeight="1">
      <c r="A7193" s="3">
        <v>1</v>
      </c>
      <c r="B7193" s="4" t="s">
        <v>179</v>
      </c>
      <c r="C7193" s="19">
        <v>7355</v>
      </c>
      <c r="D7193" s="4" t="s">
        <v>11</v>
      </c>
      <c r="E7193" s="4">
        <v>2</v>
      </c>
      <c r="F7193" s="6">
        <v>293000</v>
      </c>
      <c r="G7193" s="7">
        <f t="shared" ref="G7193:G7195" si="447">IFERROR(E7193*F7193,0)</f>
        <v>586000</v>
      </c>
      <c r="H7193" s="8"/>
    </row>
    <row r="7194" spans="1:8" ht="15" customHeight="1">
      <c r="A7194" s="3">
        <v>2</v>
      </c>
      <c r="B7194" s="4" t="s">
        <v>45</v>
      </c>
      <c r="C7194" s="19">
        <v>4268</v>
      </c>
      <c r="D7194" s="4" t="s">
        <v>14</v>
      </c>
      <c r="E7194" s="4">
        <v>1.5</v>
      </c>
      <c r="F7194" s="11">
        <v>435000</v>
      </c>
      <c r="G7194" s="7">
        <f t="shared" si="447"/>
        <v>652500</v>
      </c>
      <c r="H7194" s="8"/>
    </row>
    <row r="7195" spans="1:8" ht="15" customHeight="1">
      <c r="A7195" s="3">
        <v>3</v>
      </c>
      <c r="B7195" s="8" t="s">
        <v>17</v>
      </c>
      <c r="C7195" s="8"/>
      <c r="D7195" s="8"/>
      <c r="E7195" s="8"/>
      <c r="F7195" s="8"/>
      <c r="G7195" s="13">
        <f t="shared" si="447"/>
        <v>0</v>
      </c>
      <c r="H7195" s="8"/>
    </row>
    <row r="7196" spans="1:8" ht="15" customHeight="1">
      <c r="A7196" s="86" t="s">
        <v>18</v>
      </c>
      <c r="B7196" s="81"/>
      <c r="C7196" s="81"/>
      <c r="D7196" s="81"/>
      <c r="E7196" s="81"/>
      <c r="F7196" s="81"/>
      <c r="G7196" s="82"/>
      <c r="H7196" s="14">
        <f>SUM(G7193:G7195)</f>
        <v>1238500</v>
      </c>
    </row>
    <row r="7197" spans="1:8" ht="15" customHeight="1">
      <c r="A7197" s="86" t="s">
        <v>19</v>
      </c>
      <c r="B7197" s="81"/>
      <c r="C7197" s="81"/>
      <c r="D7197" s="81"/>
      <c r="E7197" s="81"/>
      <c r="F7197" s="81"/>
      <c r="G7197" s="82"/>
      <c r="H7197" s="14">
        <f>MAX(0,H7196-648000)</f>
        <v>590500</v>
      </c>
    </row>
    <row r="7198" spans="1:8" ht="15" customHeight="1">
      <c r="A7198" s="87" t="s">
        <v>20</v>
      </c>
      <c r="B7198" s="81"/>
      <c r="C7198" s="81"/>
      <c r="D7198" s="81"/>
      <c r="E7198" s="81"/>
      <c r="F7198" s="81"/>
      <c r="G7198" s="82"/>
      <c r="H7198" s="15">
        <v>649000</v>
      </c>
    </row>
    <row r="7199" spans="1:8" ht="15" customHeight="1">
      <c r="A7199" s="85"/>
      <c r="B7199" s="81"/>
      <c r="C7199" s="81"/>
      <c r="D7199" s="81"/>
      <c r="E7199" s="81"/>
      <c r="F7199" s="81"/>
      <c r="G7199" s="81"/>
      <c r="H7199" s="82"/>
    </row>
    <row r="7204" spans="1:8" ht="15" customHeight="1">
      <c r="A7204" s="85" t="s">
        <v>0</v>
      </c>
      <c r="B7204" s="81"/>
      <c r="C7204" s="81"/>
      <c r="D7204" s="81"/>
      <c r="E7204" s="81"/>
      <c r="F7204" s="81"/>
      <c r="G7204" s="81"/>
      <c r="H7204" s="82"/>
    </row>
    <row r="7205" spans="1:8" ht="15" customHeight="1">
      <c r="A7205" s="85" t="s">
        <v>1697</v>
      </c>
      <c r="B7205" s="81"/>
      <c r="C7205" s="81"/>
      <c r="D7205" s="81"/>
      <c r="E7205" s="81"/>
      <c r="F7205" s="81"/>
      <c r="G7205" s="81"/>
      <c r="H7205" s="82"/>
    </row>
    <row r="7206" spans="1:8" ht="15" customHeight="1">
      <c r="A7206" s="1" t="s">
        <v>2</v>
      </c>
      <c r="B7206" s="1" t="s">
        <v>3</v>
      </c>
      <c r="C7206" s="1" t="s">
        <v>4</v>
      </c>
      <c r="D7206" s="1" t="s">
        <v>5</v>
      </c>
      <c r="E7206" s="1" t="s">
        <v>6</v>
      </c>
      <c r="F7206" s="2" t="s">
        <v>7</v>
      </c>
      <c r="G7206" s="1" t="s">
        <v>8</v>
      </c>
      <c r="H7206" s="1"/>
    </row>
    <row r="7207" spans="1:8" ht="15" customHeight="1">
      <c r="A7207" s="3">
        <v>1</v>
      </c>
      <c r="B7207" s="4" t="s">
        <v>163</v>
      </c>
      <c r="C7207" s="19">
        <v>6213</v>
      </c>
      <c r="D7207" s="4" t="s">
        <v>11</v>
      </c>
      <c r="E7207" s="4">
        <v>2</v>
      </c>
      <c r="F7207" s="6">
        <v>293000</v>
      </c>
      <c r="G7207" s="7">
        <f t="shared" ref="G7207:G7208" si="448">IFERROR(#REF!*F7207,0)</f>
        <v>0</v>
      </c>
      <c r="H7207" s="8"/>
    </row>
    <row r="7208" spans="1:8" ht="15" customHeight="1">
      <c r="A7208" s="3">
        <v>2</v>
      </c>
      <c r="B7208" s="9" t="s">
        <v>361</v>
      </c>
      <c r="C7208" s="20">
        <v>4281</v>
      </c>
      <c r="D7208" s="9" t="s">
        <v>14</v>
      </c>
      <c r="E7208" s="9">
        <v>1.5</v>
      </c>
      <c r="F7208" s="11">
        <v>435000</v>
      </c>
      <c r="G7208" s="7">
        <f t="shared" si="448"/>
        <v>0</v>
      </c>
      <c r="H7208" s="8"/>
    </row>
    <row r="7209" spans="1:8" ht="15" customHeight="1">
      <c r="A7209" s="3">
        <v>3</v>
      </c>
      <c r="B7209" s="8" t="s">
        <v>17</v>
      </c>
      <c r="C7209" s="8"/>
      <c r="D7209" s="8"/>
      <c r="E7209" s="8"/>
      <c r="F7209" s="8"/>
      <c r="G7209" s="13">
        <f>IFERROR(E7209*F7209,0)</f>
        <v>0</v>
      </c>
      <c r="H7209" s="8"/>
    </row>
    <row r="7210" spans="1:8" ht="15" customHeight="1">
      <c r="A7210" s="86" t="s">
        <v>18</v>
      </c>
      <c r="B7210" s="81"/>
      <c r="C7210" s="81"/>
      <c r="D7210" s="81"/>
      <c r="E7210" s="81"/>
      <c r="F7210" s="81"/>
      <c r="G7210" s="82"/>
      <c r="H7210" s="14">
        <f>SUM(G7207:G7209)</f>
        <v>0</v>
      </c>
    </row>
    <row r="7211" spans="1:8" ht="15" customHeight="1">
      <c r="A7211" s="86" t="s">
        <v>19</v>
      </c>
      <c r="B7211" s="81"/>
      <c r="C7211" s="81"/>
      <c r="D7211" s="81"/>
      <c r="E7211" s="81"/>
      <c r="F7211" s="81"/>
      <c r="G7211" s="82"/>
      <c r="H7211" s="14">
        <f>MAX(0,H7210-648000)</f>
        <v>0</v>
      </c>
    </row>
    <row r="7212" spans="1:8" ht="15" customHeight="1">
      <c r="A7212" s="87" t="s">
        <v>20</v>
      </c>
      <c r="B7212" s="81"/>
      <c r="C7212" s="81"/>
      <c r="D7212" s="81"/>
      <c r="E7212" s="81"/>
      <c r="F7212" s="81"/>
      <c r="G7212" s="82"/>
      <c r="H7212" s="15">
        <v>649000</v>
      </c>
    </row>
    <row r="7213" spans="1:8" ht="15" customHeight="1">
      <c r="A7213" s="85"/>
      <c r="B7213" s="81"/>
      <c r="C7213" s="81"/>
      <c r="D7213" s="81"/>
      <c r="E7213" s="81"/>
      <c r="F7213" s="81"/>
      <c r="G7213" s="81"/>
      <c r="H7213" s="82"/>
    </row>
    <row r="7218" spans="1:8" ht="15" customHeight="1">
      <c r="A7218" s="85" t="s">
        <v>0</v>
      </c>
      <c r="B7218" s="81"/>
      <c r="C7218" s="81"/>
      <c r="D7218" s="81"/>
      <c r="E7218" s="81"/>
      <c r="F7218" s="81"/>
      <c r="G7218" s="81"/>
      <c r="H7218" s="82"/>
    </row>
    <row r="7219" spans="1:8" ht="15" customHeight="1">
      <c r="A7219" s="85" t="s">
        <v>1698</v>
      </c>
      <c r="B7219" s="81"/>
      <c r="C7219" s="81"/>
      <c r="D7219" s="81"/>
      <c r="E7219" s="81"/>
      <c r="F7219" s="81"/>
      <c r="G7219" s="81"/>
      <c r="H7219" s="82"/>
    </row>
    <row r="7220" spans="1:8" ht="15" customHeight="1">
      <c r="A7220" s="1" t="s">
        <v>2</v>
      </c>
      <c r="B7220" s="1" t="s">
        <v>3</v>
      </c>
      <c r="C7220" s="1" t="s">
        <v>4</v>
      </c>
      <c r="D7220" s="1" t="s">
        <v>5</v>
      </c>
      <c r="E7220" s="1" t="s">
        <v>6</v>
      </c>
      <c r="F7220" s="2" t="s">
        <v>7</v>
      </c>
      <c r="G7220" s="1" t="s">
        <v>8</v>
      </c>
      <c r="H7220" s="1"/>
    </row>
    <row r="7221" spans="1:8" ht="15" customHeight="1">
      <c r="A7221" s="3">
        <v>1</v>
      </c>
      <c r="B7221" s="9" t="s">
        <v>1699</v>
      </c>
      <c r="C7221" s="10" t="s">
        <v>1700</v>
      </c>
      <c r="D7221" s="9" t="s">
        <v>11</v>
      </c>
      <c r="E7221" s="9">
        <v>2</v>
      </c>
      <c r="F7221" s="6">
        <v>293000</v>
      </c>
      <c r="G7221" s="7">
        <f t="shared" ref="G7221:G7222" si="449">IFERROR(E7207*F7221,0)</f>
        <v>586000</v>
      </c>
      <c r="H7221" s="8"/>
    </row>
    <row r="7222" spans="1:8" ht="15" customHeight="1">
      <c r="A7222" s="3">
        <v>2</v>
      </c>
      <c r="B7222" s="9" t="s">
        <v>65</v>
      </c>
      <c r="C7222" s="20">
        <v>4090</v>
      </c>
      <c r="D7222" s="9" t="s">
        <v>14</v>
      </c>
      <c r="E7222" s="9">
        <v>1.5</v>
      </c>
      <c r="F7222" s="11">
        <v>435000</v>
      </c>
      <c r="G7222" s="7">
        <f t="shared" si="449"/>
        <v>652500</v>
      </c>
      <c r="H7222" s="8"/>
    </row>
    <row r="7223" spans="1:8" ht="15" customHeight="1">
      <c r="A7223" s="3">
        <v>3</v>
      </c>
      <c r="B7223" s="8" t="s">
        <v>17</v>
      </c>
      <c r="C7223" s="8"/>
      <c r="D7223" s="8"/>
      <c r="E7223" s="8"/>
      <c r="F7223" s="8"/>
      <c r="G7223" s="13">
        <f>IFERROR(E7223*F7223,0)</f>
        <v>0</v>
      </c>
      <c r="H7223" s="8"/>
    </row>
    <row r="7224" spans="1:8" ht="15" customHeight="1">
      <c r="A7224" s="86" t="s">
        <v>18</v>
      </c>
      <c r="B7224" s="81"/>
      <c r="C7224" s="81"/>
      <c r="D7224" s="81"/>
      <c r="E7224" s="81"/>
      <c r="F7224" s="81"/>
      <c r="G7224" s="82"/>
      <c r="H7224" s="14">
        <f>SUM(G7221:G7223)</f>
        <v>1238500</v>
      </c>
    </row>
    <row r="7225" spans="1:8" ht="15" customHeight="1">
      <c r="A7225" s="86" t="s">
        <v>19</v>
      </c>
      <c r="B7225" s="81"/>
      <c r="C7225" s="81"/>
      <c r="D7225" s="81"/>
      <c r="E7225" s="81"/>
      <c r="F7225" s="81"/>
      <c r="G7225" s="82"/>
      <c r="H7225" s="14">
        <f>MAX(0,H7224-648000)</f>
        <v>590500</v>
      </c>
    </row>
    <row r="7226" spans="1:8" ht="15" customHeight="1">
      <c r="A7226" s="87" t="s">
        <v>20</v>
      </c>
      <c r="B7226" s="81"/>
      <c r="C7226" s="81"/>
      <c r="D7226" s="81"/>
      <c r="E7226" s="81"/>
      <c r="F7226" s="81"/>
      <c r="G7226" s="82"/>
      <c r="H7226" s="15">
        <v>649000</v>
      </c>
    </row>
    <row r="7227" spans="1:8" ht="15" customHeight="1">
      <c r="A7227" s="85"/>
      <c r="B7227" s="81"/>
      <c r="C7227" s="81"/>
      <c r="D7227" s="81"/>
      <c r="E7227" s="81"/>
      <c r="F7227" s="81"/>
      <c r="G7227" s="81"/>
      <c r="H7227" s="82"/>
    </row>
    <row r="7231" spans="1:8" ht="15" customHeight="1">
      <c r="A7231" s="85" t="s">
        <v>0</v>
      </c>
      <c r="B7231" s="81"/>
      <c r="C7231" s="81"/>
      <c r="D7231" s="81"/>
      <c r="E7231" s="81"/>
      <c r="F7231" s="81"/>
      <c r="G7231" s="81"/>
      <c r="H7231" s="82"/>
    </row>
    <row r="7232" spans="1:8" ht="15" customHeight="1">
      <c r="A7232" s="85" t="s">
        <v>1701</v>
      </c>
      <c r="B7232" s="81"/>
      <c r="C7232" s="81"/>
      <c r="D7232" s="81"/>
      <c r="E7232" s="81"/>
      <c r="F7232" s="81"/>
      <c r="G7232" s="81"/>
      <c r="H7232" s="82"/>
    </row>
    <row r="7233" spans="1:8" ht="15" customHeight="1">
      <c r="A7233" s="1" t="s">
        <v>2</v>
      </c>
      <c r="B7233" s="1" t="s">
        <v>3</v>
      </c>
      <c r="C7233" s="1" t="s">
        <v>4</v>
      </c>
      <c r="D7233" s="1" t="s">
        <v>5</v>
      </c>
      <c r="E7233" s="1" t="s">
        <v>6</v>
      </c>
      <c r="F7233" s="2" t="s">
        <v>7</v>
      </c>
      <c r="G7233" s="1" t="s">
        <v>8</v>
      </c>
      <c r="H7233" s="1"/>
    </row>
    <row r="7234" spans="1:8" ht="15" customHeight="1">
      <c r="A7234" s="3">
        <v>1</v>
      </c>
      <c r="B7234" s="9" t="s">
        <v>33</v>
      </c>
      <c r="C7234" s="75" t="s">
        <v>1702</v>
      </c>
      <c r="D7234" s="9" t="s">
        <v>11</v>
      </c>
      <c r="E7234" s="9">
        <v>2.5</v>
      </c>
      <c r="F7234" s="6">
        <v>293000</v>
      </c>
      <c r="G7234" s="7">
        <f t="shared" ref="G7234:G7236" si="450">IFERROR(E7234*F7234,0)</f>
        <v>732500</v>
      </c>
      <c r="H7234" s="8"/>
    </row>
    <row r="7235" spans="1:8" ht="15" customHeight="1">
      <c r="A7235" s="3">
        <v>2</v>
      </c>
      <c r="B7235" s="9" t="s">
        <v>70</v>
      </c>
      <c r="C7235" s="10" t="s">
        <v>1703</v>
      </c>
      <c r="D7235" s="9" t="s">
        <v>14</v>
      </c>
      <c r="E7235" s="9">
        <v>0.88</v>
      </c>
      <c r="F7235" s="11">
        <v>435000</v>
      </c>
      <c r="G7235" s="7">
        <f t="shared" si="450"/>
        <v>382800</v>
      </c>
      <c r="H7235" s="8"/>
    </row>
    <row r="7236" spans="1:8" ht="15" customHeight="1">
      <c r="A7236" s="3">
        <v>3</v>
      </c>
      <c r="B7236" s="8" t="s">
        <v>17</v>
      </c>
      <c r="C7236" s="8"/>
      <c r="D7236" s="8"/>
      <c r="E7236" s="8"/>
      <c r="F7236" s="8"/>
      <c r="G7236" s="13">
        <f t="shared" si="450"/>
        <v>0</v>
      </c>
      <c r="H7236" s="8"/>
    </row>
    <row r="7237" spans="1:8" ht="15" customHeight="1">
      <c r="A7237" s="86" t="s">
        <v>18</v>
      </c>
      <c r="B7237" s="81"/>
      <c r="C7237" s="81"/>
      <c r="D7237" s="81"/>
      <c r="E7237" s="81"/>
      <c r="F7237" s="81"/>
      <c r="G7237" s="82"/>
      <c r="H7237" s="14">
        <f>SUM(G7234:G7236)</f>
        <v>1115300</v>
      </c>
    </row>
    <row r="7238" spans="1:8" ht="15" customHeight="1">
      <c r="A7238" s="86" t="s">
        <v>19</v>
      </c>
      <c r="B7238" s="81"/>
      <c r="C7238" s="81"/>
      <c r="D7238" s="81"/>
      <c r="E7238" s="81"/>
      <c r="F7238" s="81"/>
      <c r="G7238" s="82"/>
      <c r="H7238" s="14">
        <f>MAX(0,H7237-648000)</f>
        <v>467300</v>
      </c>
    </row>
    <row r="7239" spans="1:8" ht="15" customHeight="1">
      <c r="A7239" s="87" t="s">
        <v>20</v>
      </c>
      <c r="B7239" s="81"/>
      <c r="C7239" s="81"/>
      <c r="D7239" s="81"/>
      <c r="E7239" s="81"/>
      <c r="F7239" s="81"/>
      <c r="G7239" s="82"/>
      <c r="H7239" s="15">
        <v>649000</v>
      </c>
    </row>
    <row r="7240" spans="1:8" ht="15" customHeight="1">
      <c r="A7240" s="85"/>
      <c r="B7240" s="81"/>
      <c r="C7240" s="81"/>
      <c r="D7240" s="81"/>
      <c r="E7240" s="81"/>
      <c r="F7240" s="81"/>
      <c r="G7240" s="81"/>
      <c r="H7240" s="82"/>
    </row>
    <row r="7246" spans="1:8" ht="15" customHeight="1">
      <c r="A7246" s="85" t="s">
        <v>0</v>
      </c>
      <c r="B7246" s="81"/>
      <c r="C7246" s="81"/>
      <c r="D7246" s="81"/>
      <c r="E7246" s="81"/>
      <c r="F7246" s="81"/>
      <c r="G7246" s="81"/>
      <c r="H7246" s="82"/>
    </row>
    <row r="7247" spans="1:8" ht="15" customHeight="1">
      <c r="A7247" s="85" t="s">
        <v>1704</v>
      </c>
      <c r="B7247" s="81"/>
      <c r="C7247" s="81"/>
      <c r="D7247" s="81"/>
      <c r="E7247" s="81"/>
      <c r="F7247" s="81"/>
      <c r="G7247" s="81"/>
      <c r="H7247" s="82"/>
    </row>
    <row r="7248" spans="1:8" ht="15" customHeight="1">
      <c r="A7248" s="1" t="s">
        <v>2</v>
      </c>
      <c r="B7248" s="1" t="s">
        <v>3</v>
      </c>
      <c r="C7248" s="1" t="s">
        <v>4</v>
      </c>
      <c r="D7248" s="1" t="s">
        <v>5</v>
      </c>
      <c r="E7248" s="1" t="s">
        <v>6</v>
      </c>
      <c r="F7248" s="2" t="s">
        <v>7</v>
      </c>
      <c r="G7248" s="1" t="s">
        <v>8</v>
      </c>
      <c r="H7248" s="1"/>
    </row>
    <row r="7249" spans="1:8" ht="15" customHeight="1">
      <c r="A7249" s="3">
        <v>1</v>
      </c>
      <c r="B7249" s="9" t="s">
        <v>136</v>
      </c>
      <c r="C7249" s="20">
        <v>4082</v>
      </c>
      <c r="D7249" s="9" t="s">
        <v>11</v>
      </c>
      <c r="E7249" s="9">
        <v>2</v>
      </c>
      <c r="F7249" s="6">
        <v>293000</v>
      </c>
      <c r="G7249" s="7">
        <f t="shared" ref="G7249:G7251" si="451">IFERROR(E7249*F7249,0)</f>
        <v>586000</v>
      </c>
      <c r="H7249" s="8"/>
    </row>
    <row r="7250" spans="1:8" ht="15" customHeight="1">
      <c r="A7250" s="3">
        <v>2</v>
      </c>
      <c r="B7250" s="9" t="s">
        <v>911</v>
      </c>
      <c r="C7250" s="20">
        <v>6224</v>
      </c>
      <c r="D7250" s="9" t="s">
        <v>14</v>
      </c>
      <c r="E7250" s="9">
        <v>1.57</v>
      </c>
      <c r="F7250" s="11">
        <v>435000</v>
      </c>
      <c r="G7250" s="76">
        <f t="shared" si="451"/>
        <v>682950</v>
      </c>
      <c r="H7250" s="8"/>
    </row>
    <row r="7251" spans="1:8" ht="15" customHeight="1">
      <c r="A7251" s="3">
        <v>3</v>
      </c>
      <c r="B7251" s="8" t="s">
        <v>17</v>
      </c>
      <c r="C7251" s="8"/>
      <c r="D7251" s="8"/>
      <c r="E7251" s="8"/>
      <c r="F7251" s="8"/>
      <c r="G7251" s="13">
        <f t="shared" si="451"/>
        <v>0</v>
      </c>
      <c r="H7251" s="8"/>
    </row>
    <row r="7252" spans="1:8" ht="15" customHeight="1">
      <c r="A7252" s="86" t="s">
        <v>18</v>
      </c>
      <c r="B7252" s="81"/>
      <c r="C7252" s="81"/>
      <c r="D7252" s="81"/>
      <c r="E7252" s="81"/>
      <c r="F7252" s="81"/>
      <c r="G7252" s="82"/>
      <c r="H7252" s="14">
        <f>SUM(G7249:G7251)</f>
        <v>1268950</v>
      </c>
    </row>
    <row r="7253" spans="1:8" ht="15" customHeight="1">
      <c r="A7253" s="86" t="s">
        <v>19</v>
      </c>
      <c r="B7253" s="81"/>
      <c r="C7253" s="81"/>
      <c r="D7253" s="81"/>
      <c r="E7253" s="81"/>
      <c r="F7253" s="81"/>
      <c r="G7253" s="82"/>
      <c r="H7253" s="14">
        <f>MAX(0,H7252-648000)</f>
        <v>620950</v>
      </c>
    </row>
    <row r="7254" spans="1:8" ht="15" customHeight="1">
      <c r="A7254" s="87" t="s">
        <v>20</v>
      </c>
      <c r="B7254" s="81"/>
      <c r="C7254" s="81"/>
      <c r="D7254" s="81"/>
      <c r="E7254" s="81"/>
      <c r="F7254" s="81"/>
      <c r="G7254" s="82"/>
      <c r="H7254" s="15">
        <v>649000</v>
      </c>
    </row>
    <row r="7255" spans="1:8" ht="15" customHeight="1">
      <c r="A7255" s="85"/>
      <c r="B7255" s="81"/>
      <c r="C7255" s="81"/>
      <c r="D7255" s="81"/>
      <c r="E7255" s="81"/>
      <c r="F7255" s="81"/>
      <c r="G7255" s="81"/>
      <c r="H7255" s="82"/>
    </row>
    <row r="7258" spans="1:8" ht="15" customHeight="1">
      <c r="A7258" s="85" t="s">
        <v>0</v>
      </c>
      <c r="B7258" s="81"/>
      <c r="C7258" s="81"/>
      <c r="D7258" s="81"/>
      <c r="E7258" s="81"/>
      <c r="F7258" s="81"/>
      <c r="G7258" s="81"/>
      <c r="H7258" s="82"/>
    </row>
    <row r="7259" spans="1:8" ht="15" customHeight="1">
      <c r="A7259" s="85" t="s">
        <v>1705</v>
      </c>
      <c r="B7259" s="81"/>
      <c r="C7259" s="81"/>
      <c r="D7259" s="81"/>
      <c r="E7259" s="81"/>
      <c r="F7259" s="81"/>
      <c r="G7259" s="81"/>
      <c r="H7259" s="82"/>
    </row>
    <row r="7260" spans="1:8" ht="15" customHeight="1">
      <c r="A7260" s="1" t="s">
        <v>2</v>
      </c>
      <c r="B7260" s="1" t="s">
        <v>3</v>
      </c>
      <c r="C7260" s="1" t="s">
        <v>4</v>
      </c>
      <c r="D7260" s="1" t="s">
        <v>5</v>
      </c>
      <c r="E7260" s="1" t="s">
        <v>6</v>
      </c>
      <c r="F7260" s="2" t="s">
        <v>7</v>
      </c>
      <c r="G7260" s="1" t="s">
        <v>8</v>
      </c>
      <c r="H7260" s="1"/>
    </row>
    <row r="7261" spans="1:8" ht="15" customHeight="1">
      <c r="A7261" s="3">
        <v>1</v>
      </c>
      <c r="B7261" s="9" t="s">
        <v>1706</v>
      </c>
      <c r="C7261" s="20">
        <v>519</v>
      </c>
      <c r="D7261" s="9" t="s">
        <v>11</v>
      </c>
      <c r="E7261" s="9">
        <v>2.2999999999999998</v>
      </c>
      <c r="F7261" s="6">
        <v>293000</v>
      </c>
      <c r="G7261" s="7">
        <f t="shared" ref="G7261:G7263" si="452">IFERROR(E7261*F7261,0)</f>
        <v>673900</v>
      </c>
      <c r="H7261" s="8"/>
    </row>
    <row r="7262" spans="1:8" ht="15" customHeight="1">
      <c r="A7262" s="3">
        <v>2</v>
      </c>
      <c r="B7262" s="4" t="s">
        <v>1707</v>
      </c>
      <c r="C7262" s="19">
        <v>6208</v>
      </c>
      <c r="D7262" s="4" t="s">
        <v>14</v>
      </c>
      <c r="E7262" s="4">
        <v>1.1399999999999999</v>
      </c>
      <c r="F7262" s="11">
        <v>435000</v>
      </c>
      <c r="G7262" s="7">
        <f t="shared" si="452"/>
        <v>495899.99999999994</v>
      </c>
      <c r="H7262" s="8"/>
    </row>
    <row r="7263" spans="1:8" ht="15" customHeight="1">
      <c r="A7263" s="3">
        <v>3</v>
      </c>
      <c r="B7263" s="8" t="s">
        <v>17</v>
      </c>
      <c r="C7263" s="8"/>
      <c r="D7263" s="8"/>
      <c r="E7263" s="8"/>
      <c r="F7263" s="8"/>
      <c r="G7263" s="13">
        <f t="shared" si="452"/>
        <v>0</v>
      </c>
      <c r="H7263" s="8"/>
    </row>
    <row r="7264" spans="1:8" ht="15" customHeight="1">
      <c r="A7264" s="86" t="s">
        <v>18</v>
      </c>
      <c r="B7264" s="81"/>
      <c r="C7264" s="81"/>
      <c r="D7264" s="81"/>
      <c r="E7264" s="81"/>
      <c r="F7264" s="81"/>
      <c r="G7264" s="82"/>
      <c r="H7264" s="14">
        <f>SUM(G7261:G7263)</f>
        <v>1169800</v>
      </c>
    </row>
    <row r="7265" spans="1:8" ht="15" customHeight="1">
      <c r="A7265" s="86" t="s">
        <v>19</v>
      </c>
      <c r="B7265" s="81"/>
      <c r="C7265" s="81"/>
      <c r="D7265" s="81"/>
      <c r="E7265" s="81"/>
      <c r="F7265" s="81"/>
      <c r="G7265" s="82"/>
      <c r="H7265" s="14">
        <f>MAX(0,H7264-648000)</f>
        <v>521800</v>
      </c>
    </row>
    <row r="7266" spans="1:8" ht="15" customHeight="1">
      <c r="A7266" s="87" t="s">
        <v>20</v>
      </c>
      <c r="B7266" s="81"/>
      <c r="C7266" s="81"/>
      <c r="D7266" s="81"/>
      <c r="E7266" s="81"/>
      <c r="F7266" s="81"/>
      <c r="G7266" s="82"/>
      <c r="H7266" s="15">
        <v>649000</v>
      </c>
    </row>
    <row r="7267" spans="1:8" ht="15" customHeight="1">
      <c r="A7267" s="85"/>
      <c r="B7267" s="81"/>
      <c r="C7267" s="81"/>
      <c r="D7267" s="81"/>
      <c r="E7267" s="81"/>
      <c r="F7267" s="81"/>
      <c r="G7267" s="81"/>
      <c r="H7267" s="82"/>
    </row>
    <row r="7271" spans="1:8" ht="15" customHeight="1">
      <c r="A7271" s="85" t="s">
        <v>0</v>
      </c>
      <c r="B7271" s="81"/>
      <c r="C7271" s="81"/>
      <c r="D7271" s="81"/>
      <c r="E7271" s="81"/>
      <c r="F7271" s="81"/>
      <c r="G7271" s="81"/>
      <c r="H7271" s="82"/>
    </row>
    <row r="7272" spans="1:8" ht="15" customHeight="1">
      <c r="A7272" s="85" t="s">
        <v>1708</v>
      </c>
      <c r="B7272" s="81"/>
      <c r="C7272" s="81"/>
      <c r="D7272" s="81"/>
      <c r="E7272" s="81"/>
      <c r="F7272" s="81"/>
      <c r="G7272" s="81"/>
      <c r="H7272" s="82"/>
    </row>
    <row r="7273" spans="1:8" ht="15" customHeight="1">
      <c r="A7273" s="1" t="s">
        <v>2</v>
      </c>
      <c r="B7273" s="1" t="s">
        <v>3</v>
      </c>
      <c r="C7273" s="1" t="s">
        <v>4</v>
      </c>
      <c r="D7273" s="1" t="s">
        <v>5</v>
      </c>
      <c r="E7273" s="1" t="s">
        <v>6</v>
      </c>
      <c r="F7273" s="2" t="s">
        <v>7</v>
      </c>
      <c r="G7273" s="1" t="s">
        <v>8</v>
      </c>
      <c r="H7273" s="1"/>
    </row>
    <row r="7274" spans="1:8" ht="15" customHeight="1">
      <c r="A7274" s="3">
        <v>1</v>
      </c>
      <c r="B7274" s="4" t="s">
        <v>1709</v>
      </c>
      <c r="C7274" s="5" t="s">
        <v>1710</v>
      </c>
      <c r="D7274" s="4" t="s">
        <v>11</v>
      </c>
      <c r="E7274" s="4">
        <v>1.97</v>
      </c>
      <c r="F7274" s="6">
        <v>293000</v>
      </c>
      <c r="G7274" s="7">
        <f t="shared" ref="G7274:G7276" si="453">IFERROR(E7274*F7274,0)</f>
        <v>577210</v>
      </c>
      <c r="H7274" s="8"/>
    </row>
    <row r="7275" spans="1:8" ht="15" customHeight="1">
      <c r="A7275" s="3">
        <v>2</v>
      </c>
      <c r="B7275" s="9" t="s">
        <v>252</v>
      </c>
      <c r="C7275" s="20">
        <v>4294</v>
      </c>
      <c r="D7275" s="9" t="s">
        <v>14</v>
      </c>
      <c r="E7275" s="9">
        <v>1.5</v>
      </c>
      <c r="F7275" s="11">
        <v>435000</v>
      </c>
      <c r="G7275" s="7">
        <f t="shared" si="453"/>
        <v>652500</v>
      </c>
      <c r="H7275" s="8"/>
    </row>
    <row r="7276" spans="1:8" ht="15" customHeight="1">
      <c r="A7276" s="3">
        <v>3</v>
      </c>
      <c r="B7276" s="8" t="s">
        <v>17</v>
      </c>
      <c r="C7276" s="8"/>
      <c r="D7276" s="8"/>
      <c r="E7276" s="8"/>
      <c r="F7276" s="8"/>
      <c r="G7276" s="13">
        <f t="shared" si="453"/>
        <v>0</v>
      </c>
      <c r="H7276" s="8"/>
    </row>
    <row r="7277" spans="1:8" ht="15" customHeight="1">
      <c r="A7277" s="86" t="s">
        <v>18</v>
      </c>
      <c r="B7277" s="81"/>
      <c r="C7277" s="81"/>
      <c r="D7277" s="81"/>
      <c r="E7277" s="81"/>
      <c r="F7277" s="81"/>
      <c r="G7277" s="82"/>
      <c r="H7277" s="14">
        <f>SUM(G7274:G7276)</f>
        <v>1229710</v>
      </c>
    </row>
    <row r="7278" spans="1:8" ht="15" customHeight="1">
      <c r="A7278" s="86" t="s">
        <v>19</v>
      </c>
      <c r="B7278" s="81"/>
      <c r="C7278" s="81"/>
      <c r="D7278" s="81"/>
      <c r="E7278" s="81"/>
      <c r="F7278" s="81"/>
      <c r="G7278" s="82"/>
      <c r="H7278" s="14">
        <f>MAX(0,H7277-648000)</f>
        <v>581710</v>
      </c>
    </row>
    <row r="7279" spans="1:8" ht="15" customHeight="1">
      <c r="A7279" s="87" t="s">
        <v>20</v>
      </c>
      <c r="B7279" s="81"/>
      <c r="C7279" s="81"/>
      <c r="D7279" s="81"/>
      <c r="E7279" s="81"/>
      <c r="F7279" s="81"/>
      <c r="G7279" s="82"/>
      <c r="H7279" s="15">
        <v>649000</v>
      </c>
    </row>
    <row r="7280" spans="1:8" ht="15" customHeight="1">
      <c r="A7280" s="85"/>
      <c r="B7280" s="81"/>
      <c r="C7280" s="81"/>
      <c r="D7280" s="81"/>
      <c r="E7280" s="81"/>
      <c r="F7280" s="81"/>
      <c r="G7280" s="81"/>
      <c r="H7280" s="82"/>
    </row>
    <row r="7284" spans="1:8" ht="15" customHeight="1">
      <c r="A7284" s="85" t="s">
        <v>0</v>
      </c>
      <c r="B7284" s="81"/>
      <c r="C7284" s="81"/>
      <c r="D7284" s="81"/>
      <c r="E7284" s="81"/>
      <c r="F7284" s="81"/>
      <c r="G7284" s="81"/>
      <c r="H7284" s="82"/>
    </row>
    <row r="7285" spans="1:8" ht="15" customHeight="1">
      <c r="A7285" s="85" t="s">
        <v>1711</v>
      </c>
      <c r="B7285" s="81"/>
      <c r="C7285" s="81"/>
      <c r="D7285" s="81"/>
      <c r="E7285" s="81"/>
      <c r="F7285" s="81"/>
      <c r="G7285" s="81"/>
      <c r="H7285" s="82"/>
    </row>
    <row r="7286" spans="1:8" ht="15" customHeight="1">
      <c r="A7286" s="1" t="s">
        <v>2</v>
      </c>
      <c r="B7286" s="1" t="s">
        <v>3</v>
      </c>
      <c r="C7286" s="1" t="s">
        <v>4</v>
      </c>
      <c r="D7286" s="1" t="s">
        <v>5</v>
      </c>
      <c r="E7286" s="1" t="s">
        <v>6</v>
      </c>
      <c r="F7286" s="2" t="s">
        <v>7</v>
      </c>
      <c r="G7286" s="1" t="s">
        <v>8</v>
      </c>
      <c r="H7286" s="1"/>
    </row>
    <row r="7287" spans="1:8" ht="15" customHeight="1">
      <c r="A7287" s="3">
        <v>1</v>
      </c>
      <c r="B7287" s="4" t="s">
        <v>1712</v>
      </c>
      <c r="C7287" s="5" t="s">
        <v>1713</v>
      </c>
      <c r="D7287" s="4" t="s">
        <v>11</v>
      </c>
      <c r="E7287" s="4">
        <v>1.9</v>
      </c>
      <c r="F7287" s="6">
        <v>293000</v>
      </c>
      <c r="G7287" s="7">
        <f t="shared" ref="G7287:G7289" si="454">IFERROR(E7287*F7287,0)</f>
        <v>556700</v>
      </c>
      <c r="H7287" s="8"/>
    </row>
    <row r="7288" spans="1:8" ht="15" customHeight="1">
      <c r="A7288" s="3">
        <v>2</v>
      </c>
      <c r="B7288" s="4" t="s">
        <v>452</v>
      </c>
      <c r="C7288" s="19">
        <v>6772</v>
      </c>
      <c r="D7288" s="4" t="s">
        <v>14</v>
      </c>
      <c r="E7288" s="4">
        <v>1.5</v>
      </c>
      <c r="F7288" s="11">
        <v>435000</v>
      </c>
      <c r="G7288" s="7">
        <f t="shared" si="454"/>
        <v>652500</v>
      </c>
      <c r="H7288" s="8"/>
    </row>
    <row r="7289" spans="1:8" ht="15" customHeight="1">
      <c r="A7289" s="3">
        <v>3</v>
      </c>
      <c r="B7289" s="8" t="s">
        <v>17</v>
      </c>
      <c r="C7289" s="8"/>
      <c r="D7289" s="8"/>
      <c r="E7289" s="8"/>
      <c r="F7289" s="8"/>
      <c r="G7289" s="13">
        <f t="shared" si="454"/>
        <v>0</v>
      </c>
      <c r="H7289" s="8"/>
    </row>
    <row r="7290" spans="1:8" ht="15" customHeight="1">
      <c r="A7290" s="86" t="s">
        <v>18</v>
      </c>
      <c r="B7290" s="81"/>
      <c r="C7290" s="81"/>
      <c r="D7290" s="81"/>
      <c r="E7290" s="81"/>
      <c r="F7290" s="81"/>
      <c r="G7290" s="82"/>
      <c r="H7290" s="14">
        <f>SUM(G7287:G7289)</f>
        <v>1209200</v>
      </c>
    </row>
    <row r="7291" spans="1:8" ht="15" customHeight="1">
      <c r="A7291" s="86" t="s">
        <v>19</v>
      </c>
      <c r="B7291" s="81"/>
      <c r="C7291" s="81"/>
      <c r="D7291" s="81"/>
      <c r="E7291" s="81"/>
      <c r="F7291" s="81"/>
      <c r="G7291" s="82"/>
      <c r="H7291" s="14">
        <f>MAX(0,H7290-648000)</f>
        <v>561200</v>
      </c>
    </row>
    <row r="7292" spans="1:8" ht="15" customHeight="1">
      <c r="A7292" s="87" t="s">
        <v>20</v>
      </c>
      <c r="B7292" s="81"/>
      <c r="C7292" s="81"/>
      <c r="D7292" s="81"/>
      <c r="E7292" s="81"/>
      <c r="F7292" s="81"/>
      <c r="G7292" s="82"/>
      <c r="H7292" s="15">
        <v>649000</v>
      </c>
    </row>
    <row r="7293" spans="1:8" ht="15" customHeight="1">
      <c r="A7293" s="85"/>
      <c r="B7293" s="81"/>
      <c r="C7293" s="81"/>
      <c r="D7293" s="81"/>
      <c r="E7293" s="81"/>
      <c r="F7293" s="81"/>
      <c r="G7293" s="81"/>
      <c r="H7293" s="82"/>
    </row>
    <row r="7299" spans="1:8" ht="15" customHeight="1">
      <c r="A7299" s="85" t="s">
        <v>0</v>
      </c>
      <c r="B7299" s="81"/>
      <c r="C7299" s="81"/>
      <c r="D7299" s="81"/>
      <c r="E7299" s="81"/>
      <c r="F7299" s="81"/>
      <c r="G7299" s="81"/>
      <c r="H7299" s="82"/>
    </row>
    <row r="7300" spans="1:8" ht="15" customHeight="1">
      <c r="A7300" s="85" t="s">
        <v>1714</v>
      </c>
      <c r="B7300" s="81"/>
      <c r="C7300" s="81"/>
      <c r="D7300" s="81"/>
      <c r="E7300" s="81"/>
      <c r="F7300" s="81"/>
      <c r="G7300" s="81"/>
      <c r="H7300" s="82"/>
    </row>
    <row r="7301" spans="1:8" ht="15" customHeight="1">
      <c r="A7301" s="1" t="s">
        <v>2</v>
      </c>
      <c r="B7301" s="1" t="s">
        <v>3</v>
      </c>
      <c r="C7301" s="1" t="s">
        <v>4</v>
      </c>
      <c r="D7301" s="1" t="s">
        <v>5</v>
      </c>
      <c r="E7301" s="1" t="s">
        <v>6</v>
      </c>
      <c r="F7301" s="2" t="s">
        <v>7</v>
      </c>
      <c r="G7301" s="1" t="s">
        <v>8</v>
      </c>
      <c r="H7301" s="1"/>
    </row>
    <row r="7302" spans="1:8" ht="15" customHeight="1">
      <c r="A7302" s="3">
        <v>1</v>
      </c>
      <c r="B7302" s="9" t="s">
        <v>1715</v>
      </c>
      <c r="C7302" s="20">
        <v>3724</v>
      </c>
      <c r="D7302" s="9" t="s">
        <v>11</v>
      </c>
      <c r="E7302" s="9">
        <v>2.5</v>
      </c>
      <c r="F7302" s="6">
        <v>293000</v>
      </c>
      <c r="G7302" s="7">
        <f t="shared" ref="G7302:G7304" si="455">IFERROR(E7302*F7302,0)</f>
        <v>732500</v>
      </c>
      <c r="H7302" s="8"/>
    </row>
    <row r="7303" spans="1:8" ht="15" customHeight="1">
      <c r="A7303" s="3">
        <v>2</v>
      </c>
      <c r="B7303" s="4" t="s">
        <v>43</v>
      </c>
      <c r="C7303" s="5" t="s">
        <v>1716</v>
      </c>
      <c r="D7303" s="4" t="s">
        <v>14</v>
      </c>
      <c r="E7303" s="4">
        <v>1.67</v>
      </c>
      <c r="F7303" s="11">
        <v>435000</v>
      </c>
      <c r="G7303" s="7">
        <f t="shared" si="455"/>
        <v>726450</v>
      </c>
      <c r="H7303" s="8"/>
    </row>
    <row r="7304" spans="1:8" ht="15" customHeight="1">
      <c r="A7304" s="3">
        <v>3</v>
      </c>
      <c r="B7304" s="8" t="s">
        <v>17</v>
      </c>
      <c r="C7304" s="8"/>
      <c r="D7304" s="8"/>
      <c r="E7304" s="8"/>
      <c r="F7304" s="8"/>
      <c r="G7304" s="13">
        <f t="shared" si="455"/>
        <v>0</v>
      </c>
      <c r="H7304" s="8"/>
    </row>
    <row r="7305" spans="1:8" ht="15" customHeight="1">
      <c r="A7305" s="86" t="s">
        <v>18</v>
      </c>
      <c r="B7305" s="81"/>
      <c r="C7305" s="81"/>
      <c r="D7305" s="81"/>
      <c r="E7305" s="81"/>
      <c r="F7305" s="81"/>
      <c r="G7305" s="82"/>
      <c r="H7305" s="14">
        <f>SUM(G7302:G7304)</f>
        <v>1458950</v>
      </c>
    </row>
    <row r="7306" spans="1:8" ht="15" customHeight="1">
      <c r="A7306" s="86" t="s">
        <v>19</v>
      </c>
      <c r="B7306" s="81"/>
      <c r="C7306" s="81"/>
      <c r="D7306" s="81"/>
      <c r="E7306" s="81"/>
      <c r="F7306" s="81"/>
      <c r="G7306" s="82"/>
      <c r="H7306" s="14">
        <f>MAX(0,H7305-648000)</f>
        <v>810950</v>
      </c>
    </row>
    <row r="7307" spans="1:8" ht="15" customHeight="1">
      <c r="A7307" s="87" t="s">
        <v>20</v>
      </c>
      <c r="B7307" s="81"/>
      <c r="C7307" s="81"/>
      <c r="D7307" s="81"/>
      <c r="E7307" s="81"/>
      <c r="F7307" s="81"/>
      <c r="G7307" s="82"/>
      <c r="H7307" s="15">
        <v>649000</v>
      </c>
    </row>
    <row r="7308" spans="1:8" ht="15" customHeight="1">
      <c r="A7308" s="85"/>
      <c r="B7308" s="81"/>
      <c r="C7308" s="81"/>
      <c r="D7308" s="81"/>
      <c r="E7308" s="81"/>
      <c r="F7308" s="81"/>
      <c r="G7308" s="81"/>
      <c r="H7308" s="82"/>
    </row>
    <row r="7314" spans="1:8" ht="15" customHeight="1">
      <c r="A7314" s="85" t="s">
        <v>0</v>
      </c>
      <c r="B7314" s="81"/>
      <c r="C7314" s="81"/>
      <c r="D7314" s="81"/>
      <c r="E7314" s="81"/>
      <c r="F7314" s="81"/>
      <c r="G7314" s="81"/>
      <c r="H7314" s="82"/>
    </row>
    <row r="7315" spans="1:8" ht="15" customHeight="1">
      <c r="A7315" s="85" t="s">
        <v>1717</v>
      </c>
      <c r="B7315" s="81"/>
      <c r="C7315" s="81"/>
      <c r="D7315" s="81"/>
      <c r="E7315" s="81"/>
      <c r="F7315" s="81"/>
      <c r="G7315" s="81"/>
      <c r="H7315" s="82"/>
    </row>
    <row r="7316" spans="1:8" ht="15" customHeight="1">
      <c r="A7316" s="1" t="s">
        <v>2</v>
      </c>
      <c r="B7316" s="1" t="s">
        <v>3</v>
      </c>
      <c r="C7316" s="1" t="s">
        <v>4</v>
      </c>
      <c r="D7316" s="1" t="s">
        <v>5</v>
      </c>
      <c r="E7316" s="1" t="s">
        <v>6</v>
      </c>
      <c r="F7316" s="2" t="s">
        <v>7</v>
      </c>
      <c r="G7316" s="1" t="s">
        <v>8</v>
      </c>
      <c r="H7316" s="1"/>
    </row>
    <row r="7317" spans="1:8" ht="15" customHeight="1">
      <c r="A7317" s="3">
        <v>1</v>
      </c>
      <c r="B7317" s="4" t="s">
        <v>905</v>
      </c>
      <c r="C7317" s="5" t="s">
        <v>1718</v>
      </c>
      <c r="D7317" s="4" t="s">
        <v>11</v>
      </c>
      <c r="E7317" s="4">
        <v>1.82</v>
      </c>
      <c r="F7317" s="6">
        <v>293000</v>
      </c>
      <c r="G7317" s="7">
        <f t="shared" ref="G7317:G7319" si="456">IFERROR(E7317*F7317,0)</f>
        <v>533260</v>
      </c>
      <c r="H7317" s="8"/>
    </row>
    <row r="7318" spans="1:8" ht="15" customHeight="1">
      <c r="A7318" s="3">
        <v>2</v>
      </c>
      <c r="B7318" s="4" t="s">
        <v>1719</v>
      </c>
      <c r="C7318" s="19">
        <v>4277</v>
      </c>
      <c r="D7318" s="4" t="s">
        <v>14</v>
      </c>
      <c r="E7318" s="4">
        <v>1.4</v>
      </c>
      <c r="F7318" s="11">
        <v>435000</v>
      </c>
      <c r="G7318" s="7">
        <f t="shared" si="456"/>
        <v>609000</v>
      </c>
      <c r="H7318" s="8"/>
    </row>
    <row r="7319" spans="1:8" ht="15" customHeight="1">
      <c r="A7319" s="3">
        <v>3</v>
      </c>
      <c r="B7319" s="8" t="s">
        <v>17</v>
      </c>
      <c r="C7319" s="8"/>
      <c r="D7319" s="8"/>
      <c r="E7319" s="8"/>
      <c r="F7319" s="8"/>
      <c r="G7319" s="13">
        <f t="shared" si="456"/>
        <v>0</v>
      </c>
      <c r="H7319" s="8"/>
    </row>
    <row r="7320" spans="1:8" ht="15" customHeight="1">
      <c r="A7320" s="86" t="s">
        <v>18</v>
      </c>
      <c r="B7320" s="81"/>
      <c r="C7320" s="81"/>
      <c r="D7320" s="81"/>
      <c r="E7320" s="81"/>
      <c r="F7320" s="81"/>
      <c r="G7320" s="82"/>
      <c r="H7320" s="14">
        <f>SUM(G7317:G7319)</f>
        <v>1142260</v>
      </c>
    </row>
    <row r="7321" spans="1:8" ht="15" customHeight="1">
      <c r="A7321" s="86" t="s">
        <v>19</v>
      </c>
      <c r="B7321" s="81"/>
      <c r="C7321" s="81"/>
      <c r="D7321" s="81"/>
      <c r="E7321" s="81"/>
      <c r="F7321" s="81"/>
      <c r="G7321" s="82"/>
      <c r="H7321" s="14">
        <f>MAX(0,H7320-648000)</f>
        <v>494260</v>
      </c>
    </row>
    <row r="7322" spans="1:8" ht="15" customHeight="1">
      <c r="A7322" s="87" t="s">
        <v>20</v>
      </c>
      <c r="B7322" s="81"/>
      <c r="C7322" s="81"/>
      <c r="D7322" s="81"/>
      <c r="E7322" s="81"/>
      <c r="F7322" s="81"/>
      <c r="G7322" s="82"/>
      <c r="H7322" s="15">
        <v>649000</v>
      </c>
    </row>
    <row r="7323" spans="1:8" ht="15" customHeight="1">
      <c r="A7323" s="85"/>
      <c r="B7323" s="81"/>
      <c r="C7323" s="81"/>
      <c r="D7323" s="81"/>
      <c r="E7323" s="81"/>
      <c r="F7323" s="81"/>
      <c r="G7323" s="81"/>
      <c r="H7323" s="82"/>
    </row>
    <row r="7329" spans="1:8" ht="15" customHeight="1">
      <c r="A7329" s="85" t="s">
        <v>0</v>
      </c>
      <c r="B7329" s="81"/>
      <c r="C7329" s="81"/>
      <c r="D7329" s="81"/>
      <c r="E7329" s="81"/>
      <c r="F7329" s="81"/>
      <c r="G7329" s="81"/>
      <c r="H7329" s="82"/>
    </row>
    <row r="7330" spans="1:8" ht="15" customHeight="1">
      <c r="A7330" s="85" t="s">
        <v>1720</v>
      </c>
      <c r="B7330" s="81"/>
      <c r="C7330" s="81"/>
      <c r="D7330" s="81"/>
      <c r="E7330" s="81"/>
      <c r="F7330" s="81"/>
      <c r="G7330" s="81"/>
      <c r="H7330" s="82"/>
    </row>
    <row r="7331" spans="1:8" ht="15" customHeight="1">
      <c r="A7331" s="1" t="s">
        <v>2</v>
      </c>
      <c r="B7331" s="1" t="s">
        <v>3</v>
      </c>
      <c r="C7331" s="1" t="s">
        <v>4</v>
      </c>
      <c r="D7331" s="1" t="s">
        <v>5</v>
      </c>
      <c r="E7331" s="1" t="s">
        <v>6</v>
      </c>
      <c r="F7331" s="2" t="s">
        <v>7</v>
      </c>
      <c r="G7331" s="1" t="s">
        <v>8</v>
      </c>
      <c r="H7331" s="1"/>
    </row>
    <row r="7332" spans="1:8" ht="15" customHeight="1">
      <c r="A7332" s="3">
        <v>1</v>
      </c>
      <c r="B7332" s="9" t="s">
        <v>351</v>
      </c>
      <c r="C7332" s="20">
        <v>3714</v>
      </c>
      <c r="D7332" s="9" t="s">
        <v>1721</v>
      </c>
      <c r="E7332" s="9">
        <v>2.5</v>
      </c>
      <c r="F7332" s="6">
        <v>293000</v>
      </c>
      <c r="G7332" s="7">
        <f>IFERROR(E7333*F7332,0)</f>
        <v>293000</v>
      </c>
      <c r="H7332" s="8"/>
    </row>
    <row r="7333" spans="1:8" ht="15" customHeight="1">
      <c r="A7333" s="3">
        <v>2</v>
      </c>
      <c r="B7333" s="9" t="s">
        <v>33</v>
      </c>
      <c r="C7333" s="10" t="s">
        <v>1722</v>
      </c>
      <c r="D7333" s="9" t="s">
        <v>14</v>
      </c>
      <c r="E7333" s="9">
        <v>1</v>
      </c>
      <c r="F7333" s="11">
        <v>435000</v>
      </c>
      <c r="G7333" s="7">
        <f>IFERROR(#REF!*F7333,0)</f>
        <v>0</v>
      </c>
      <c r="H7333" s="8"/>
    </row>
    <row r="7334" spans="1:8" ht="15" customHeight="1">
      <c r="A7334" s="3">
        <v>3</v>
      </c>
      <c r="B7334" s="8" t="s">
        <v>17</v>
      </c>
      <c r="C7334" s="8"/>
      <c r="D7334" s="8"/>
      <c r="E7334" s="8"/>
      <c r="F7334" s="8"/>
      <c r="G7334" s="13">
        <f>IFERROR(E7334*F7334,0)</f>
        <v>0</v>
      </c>
      <c r="H7334" s="8"/>
    </row>
    <row r="7335" spans="1:8" ht="15" customHeight="1">
      <c r="A7335" s="86" t="s">
        <v>18</v>
      </c>
      <c r="B7335" s="81"/>
      <c r="C7335" s="81"/>
      <c r="D7335" s="81"/>
      <c r="E7335" s="81"/>
      <c r="F7335" s="81"/>
      <c r="G7335" s="82"/>
      <c r="H7335" s="14">
        <f>SUM(G7332:G7334)</f>
        <v>293000</v>
      </c>
    </row>
    <row r="7336" spans="1:8" ht="15" customHeight="1">
      <c r="A7336" s="86" t="s">
        <v>19</v>
      </c>
      <c r="B7336" s="81"/>
      <c r="C7336" s="81"/>
      <c r="D7336" s="81"/>
      <c r="E7336" s="81"/>
      <c r="F7336" s="81"/>
      <c r="G7336" s="82"/>
      <c r="H7336" s="14">
        <f>MAX(0,H7335-648000)</f>
        <v>0</v>
      </c>
    </row>
    <row r="7337" spans="1:8" ht="15" customHeight="1">
      <c r="A7337" s="87" t="s">
        <v>20</v>
      </c>
      <c r="B7337" s="81"/>
      <c r="C7337" s="81"/>
      <c r="D7337" s="81"/>
      <c r="E7337" s="81"/>
      <c r="F7337" s="81"/>
      <c r="G7337" s="82"/>
      <c r="H7337" s="15">
        <v>649000</v>
      </c>
    </row>
    <row r="7338" spans="1:8" ht="15" customHeight="1">
      <c r="A7338" s="85"/>
      <c r="B7338" s="81"/>
      <c r="C7338" s="81"/>
      <c r="D7338" s="81"/>
      <c r="E7338" s="81"/>
      <c r="F7338" s="81"/>
      <c r="G7338" s="81"/>
      <c r="H7338" s="82"/>
    </row>
    <row r="7344" spans="1:8" ht="15" customHeight="1">
      <c r="A7344" s="85" t="s">
        <v>0</v>
      </c>
      <c r="B7344" s="81"/>
      <c r="C7344" s="81"/>
      <c r="D7344" s="81"/>
      <c r="E7344" s="81"/>
      <c r="F7344" s="81"/>
      <c r="G7344" s="81"/>
      <c r="H7344" s="82"/>
    </row>
    <row r="7345" spans="1:8" ht="15" customHeight="1">
      <c r="A7345" s="85" t="s">
        <v>1723</v>
      </c>
      <c r="B7345" s="81"/>
      <c r="C7345" s="81"/>
      <c r="D7345" s="81"/>
      <c r="E7345" s="81"/>
      <c r="F7345" s="81"/>
      <c r="G7345" s="81"/>
      <c r="H7345" s="82"/>
    </row>
    <row r="7346" spans="1:8" ht="15" customHeight="1">
      <c r="A7346" s="1" t="s">
        <v>2</v>
      </c>
      <c r="B7346" s="1" t="s">
        <v>3</v>
      </c>
      <c r="C7346" s="1" t="s">
        <v>4</v>
      </c>
      <c r="D7346" s="1" t="s">
        <v>5</v>
      </c>
      <c r="E7346" s="1" t="s">
        <v>6</v>
      </c>
      <c r="F7346" s="2" t="s">
        <v>7</v>
      </c>
      <c r="G7346" s="1" t="s">
        <v>8</v>
      </c>
      <c r="H7346" s="1"/>
    </row>
    <row r="7347" spans="1:8" ht="15" customHeight="1">
      <c r="A7347" s="3">
        <v>1</v>
      </c>
      <c r="B7347" s="4" t="s">
        <v>911</v>
      </c>
      <c r="C7347" s="19">
        <v>4083</v>
      </c>
      <c r="D7347" s="4" t="s">
        <v>11</v>
      </c>
      <c r="E7347" s="4">
        <v>2</v>
      </c>
      <c r="F7347" s="6">
        <v>293000</v>
      </c>
      <c r="G7347" s="7">
        <f t="shared" ref="G7347:G7349" si="457">IFERROR(E7347*F7347,0)</f>
        <v>586000</v>
      </c>
      <c r="H7347" s="8"/>
    </row>
    <row r="7348" spans="1:8" ht="15" customHeight="1">
      <c r="A7348" s="3">
        <v>2</v>
      </c>
      <c r="B7348" s="9" t="s">
        <v>279</v>
      </c>
      <c r="C7348" s="10" t="s">
        <v>1724</v>
      </c>
      <c r="D7348" s="9" t="s">
        <v>14</v>
      </c>
      <c r="E7348" s="9">
        <v>1.48</v>
      </c>
      <c r="F7348" s="11">
        <v>435000</v>
      </c>
      <c r="G7348" s="7">
        <f t="shared" si="457"/>
        <v>643800</v>
      </c>
      <c r="H7348" s="8"/>
    </row>
    <row r="7349" spans="1:8" ht="15" customHeight="1">
      <c r="A7349" s="3">
        <v>3</v>
      </c>
      <c r="B7349" s="8" t="s">
        <v>17</v>
      </c>
      <c r="C7349" s="8"/>
      <c r="D7349" s="8"/>
      <c r="E7349" s="8"/>
      <c r="F7349" s="8"/>
      <c r="G7349" s="13">
        <f t="shared" si="457"/>
        <v>0</v>
      </c>
      <c r="H7349" s="8"/>
    </row>
    <row r="7350" spans="1:8" ht="15" customHeight="1">
      <c r="A7350" s="86" t="s">
        <v>18</v>
      </c>
      <c r="B7350" s="81"/>
      <c r="C7350" s="81"/>
      <c r="D7350" s="81"/>
      <c r="E7350" s="81"/>
      <c r="F7350" s="81"/>
      <c r="G7350" s="82"/>
      <c r="H7350" s="14">
        <f>SUM(G7347:G7349)</f>
        <v>1229800</v>
      </c>
    </row>
    <row r="7351" spans="1:8" ht="15" customHeight="1">
      <c r="A7351" s="86" t="s">
        <v>19</v>
      </c>
      <c r="B7351" s="81"/>
      <c r="C7351" s="81"/>
      <c r="D7351" s="81"/>
      <c r="E7351" s="81"/>
      <c r="F7351" s="81"/>
      <c r="G7351" s="82"/>
      <c r="H7351" s="14">
        <f>MAX(0,H7350-648000)</f>
        <v>581800</v>
      </c>
    </row>
    <row r="7352" spans="1:8" ht="15" customHeight="1">
      <c r="A7352" s="87" t="s">
        <v>20</v>
      </c>
      <c r="B7352" s="81"/>
      <c r="C7352" s="81"/>
      <c r="D7352" s="81"/>
      <c r="E7352" s="81"/>
      <c r="F7352" s="81"/>
      <c r="G7352" s="82"/>
      <c r="H7352" s="15">
        <v>649000</v>
      </c>
    </row>
    <row r="7353" spans="1:8" ht="15" customHeight="1">
      <c r="A7353" s="85"/>
      <c r="B7353" s="81"/>
      <c r="C7353" s="81"/>
      <c r="D7353" s="81"/>
      <c r="E7353" s="81"/>
      <c r="F7353" s="81"/>
      <c r="G7353" s="81"/>
      <c r="H7353" s="82"/>
    </row>
    <row r="7359" spans="1:8" ht="15" customHeight="1">
      <c r="A7359" s="85" t="s">
        <v>0</v>
      </c>
      <c r="B7359" s="81"/>
      <c r="C7359" s="81"/>
      <c r="D7359" s="81"/>
      <c r="E7359" s="81"/>
      <c r="F7359" s="81"/>
      <c r="G7359" s="81"/>
      <c r="H7359" s="82"/>
    </row>
    <row r="7360" spans="1:8" ht="15" customHeight="1">
      <c r="A7360" s="85" t="s">
        <v>1725</v>
      </c>
      <c r="B7360" s="81"/>
      <c r="C7360" s="81"/>
      <c r="D7360" s="81"/>
      <c r="E7360" s="81"/>
      <c r="F7360" s="81"/>
      <c r="G7360" s="81"/>
      <c r="H7360" s="82"/>
    </row>
    <row r="7361" spans="1:8" ht="15" customHeight="1">
      <c r="A7361" s="1" t="s">
        <v>2</v>
      </c>
      <c r="B7361" s="1" t="s">
        <v>3</v>
      </c>
      <c r="C7361" s="1" t="s">
        <v>4</v>
      </c>
      <c r="D7361" s="1" t="s">
        <v>5</v>
      </c>
      <c r="E7361" s="1" t="s">
        <v>6</v>
      </c>
      <c r="F7361" s="2" t="s">
        <v>7</v>
      </c>
      <c r="G7361" s="1" t="s">
        <v>8</v>
      </c>
      <c r="H7361" s="1"/>
    </row>
    <row r="7362" spans="1:8" ht="15" customHeight="1">
      <c r="A7362" s="3">
        <v>1</v>
      </c>
      <c r="B7362" s="9" t="s">
        <v>1036</v>
      </c>
      <c r="C7362" s="10" t="s">
        <v>1726</v>
      </c>
      <c r="D7362" s="9" t="s">
        <v>11</v>
      </c>
      <c r="E7362" s="9">
        <v>2.2999999999999998</v>
      </c>
      <c r="F7362" s="6">
        <v>293000</v>
      </c>
      <c r="G7362" s="7">
        <f t="shared" ref="G7362:G7364" si="458">IFERROR(E7362*F7362,0)</f>
        <v>673900</v>
      </c>
      <c r="H7362" s="8"/>
    </row>
    <row r="7363" spans="1:8" ht="15" customHeight="1">
      <c r="A7363" s="3">
        <v>2</v>
      </c>
      <c r="B7363" s="4" t="s">
        <v>38</v>
      </c>
      <c r="C7363" s="5" t="s">
        <v>1727</v>
      </c>
      <c r="D7363" s="4" t="s">
        <v>14</v>
      </c>
      <c r="E7363" s="4">
        <v>0.9</v>
      </c>
      <c r="F7363" s="11">
        <v>435000</v>
      </c>
      <c r="G7363" s="7">
        <f t="shared" si="458"/>
        <v>391500</v>
      </c>
      <c r="H7363" s="8"/>
    </row>
    <row r="7364" spans="1:8" ht="15" customHeight="1">
      <c r="A7364" s="3">
        <v>3</v>
      </c>
      <c r="B7364" s="8" t="s">
        <v>17</v>
      </c>
      <c r="C7364" s="8"/>
      <c r="D7364" s="8"/>
      <c r="E7364" s="8"/>
      <c r="F7364" s="8"/>
      <c r="G7364" s="13">
        <f t="shared" si="458"/>
        <v>0</v>
      </c>
      <c r="H7364" s="8"/>
    </row>
    <row r="7365" spans="1:8" ht="15" customHeight="1">
      <c r="A7365" s="86" t="s">
        <v>18</v>
      </c>
      <c r="B7365" s="81"/>
      <c r="C7365" s="81"/>
      <c r="D7365" s="81"/>
      <c r="E7365" s="81"/>
      <c r="F7365" s="81"/>
      <c r="G7365" s="82"/>
      <c r="H7365" s="14">
        <f>SUM(G7362:G7364)</f>
        <v>1065400</v>
      </c>
    </row>
    <row r="7366" spans="1:8" ht="15" customHeight="1">
      <c r="A7366" s="86" t="s">
        <v>19</v>
      </c>
      <c r="B7366" s="81"/>
      <c r="C7366" s="81"/>
      <c r="D7366" s="81"/>
      <c r="E7366" s="81"/>
      <c r="F7366" s="81"/>
      <c r="G7366" s="82"/>
      <c r="H7366" s="14">
        <f>MAX(0,H7365-648000)</f>
        <v>417400</v>
      </c>
    </row>
    <row r="7367" spans="1:8" ht="15" customHeight="1">
      <c r="A7367" s="87" t="s">
        <v>20</v>
      </c>
      <c r="B7367" s="81"/>
      <c r="C7367" s="81"/>
      <c r="D7367" s="81"/>
      <c r="E7367" s="81"/>
      <c r="F7367" s="81"/>
      <c r="G7367" s="82"/>
      <c r="H7367" s="15">
        <v>649000</v>
      </c>
    </row>
    <row r="7368" spans="1:8" ht="15" customHeight="1">
      <c r="A7368" s="85"/>
      <c r="B7368" s="81"/>
      <c r="C7368" s="81"/>
      <c r="D7368" s="81"/>
      <c r="E7368" s="81"/>
      <c r="F7368" s="81"/>
      <c r="G7368" s="81"/>
      <c r="H7368" s="82"/>
    </row>
    <row r="7373" spans="1:8" ht="15" customHeight="1">
      <c r="A7373" s="85" t="s">
        <v>0</v>
      </c>
      <c r="B7373" s="81"/>
      <c r="C7373" s="81"/>
      <c r="D7373" s="81"/>
      <c r="E7373" s="81"/>
      <c r="F7373" s="81"/>
      <c r="G7373" s="81"/>
      <c r="H7373" s="82"/>
    </row>
    <row r="7374" spans="1:8" ht="15" customHeight="1">
      <c r="A7374" s="85" t="s">
        <v>1728</v>
      </c>
      <c r="B7374" s="81"/>
      <c r="C7374" s="81"/>
      <c r="D7374" s="81"/>
      <c r="E7374" s="81"/>
      <c r="F7374" s="81"/>
      <c r="G7374" s="81"/>
      <c r="H7374" s="82"/>
    </row>
    <row r="7375" spans="1:8" ht="15" customHeight="1">
      <c r="A7375" s="1" t="s">
        <v>2</v>
      </c>
      <c r="B7375" s="1" t="s">
        <v>3</v>
      </c>
      <c r="C7375" s="1" t="s">
        <v>4</v>
      </c>
      <c r="D7375" s="1" t="s">
        <v>5</v>
      </c>
      <c r="E7375" s="1" t="s">
        <v>6</v>
      </c>
      <c r="F7375" s="2" t="s">
        <v>7</v>
      </c>
      <c r="G7375" s="1" t="s">
        <v>8</v>
      </c>
      <c r="H7375" s="1"/>
    </row>
    <row r="7376" spans="1:8" ht="15" customHeight="1">
      <c r="A7376" s="3">
        <v>1</v>
      </c>
      <c r="B7376" s="9" t="s">
        <v>718</v>
      </c>
      <c r="C7376" s="10" t="s">
        <v>1729</v>
      </c>
      <c r="D7376" s="9" t="s">
        <v>11</v>
      </c>
      <c r="E7376" s="9">
        <v>1.5</v>
      </c>
      <c r="F7376" s="6">
        <v>293000</v>
      </c>
      <c r="G7376" s="7">
        <f t="shared" ref="G7376:G7378" si="459">IFERROR(E7376*F7376,0)</f>
        <v>439500</v>
      </c>
      <c r="H7376" s="8"/>
    </row>
    <row r="7377" spans="1:8" ht="15" customHeight="1">
      <c r="A7377" s="3">
        <v>2</v>
      </c>
      <c r="B7377" s="9" t="s">
        <v>1730</v>
      </c>
      <c r="C7377" s="20">
        <v>6782</v>
      </c>
      <c r="D7377" s="9" t="s">
        <v>14</v>
      </c>
      <c r="E7377" s="9">
        <v>2</v>
      </c>
      <c r="F7377" s="11">
        <v>435000</v>
      </c>
      <c r="G7377" s="7">
        <f t="shared" si="459"/>
        <v>870000</v>
      </c>
      <c r="H7377" s="8"/>
    </row>
    <row r="7378" spans="1:8" ht="15" customHeight="1">
      <c r="A7378" s="3">
        <v>3</v>
      </c>
      <c r="B7378" s="8" t="s">
        <v>17</v>
      </c>
      <c r="C7378" s="8"/>
      <c r="D7378" s="8"/>
      <c r="E7378" s="8"/>
      <c r="F7378" s="8"/>
      <c r="G7378" s="13">
        <f t="shared" si="459"/>
        <v>0</v>
      </c>
      <c r="H7378" s="8"/>
    </row>
    <row r="7379" spans="1:8" ht="15" customHeight="1">
      <c r="A7379" s="86" t="s">
        <v>18</v>
      </c>
      <c r="B7379" s="81"/>
      <c r="C7379" s="81"/>
      <c r="D7379" s="81"/>
      <c r="E7379" s="81"/>
      <c r="F7379" s="81"/>
      <c r="G7379" s="82"/>
      <c r="H7379" s="14">
        <f>SUM(G7376:G7378)</f>
        <v>1309500</v>
      </c>
    </row>
    <row r="7380" spans="1:8" ht="15" customHeight="1">
      <c r="A7380" s="86" t="s">
        <v>19</v>
      </c>
      <c r="B7380" s="81"/>
      <c r="C7380" s="81"/>
      <c r="D7380" s="81"/>
      <c r="E7380" s="81"/>
      <c r="F7380" s="81"/>
      <c r="G7380" s="82"/>
      <c r="H7380" s="14">
        <f>MAX(0,H7379-648000)</f>
        <v>661500</v>
      </c>
    </row>
    <row r="7381" spans="1:8" ht="15" customHeight="1">
      <c r="A7381" s="87" t="s">
        <v>20</v>
      </c>
      <c r="B7381" s="81"/>
      <c r="C7381" s="81"/>
      <c r="D7381" s="81"/>
      <c r="E7381" s="81"/>
      <c r="F7381" s="81"/>
      <c r="G7381" s="82"/>
      <c r="H7381" s="15">
        <v>649000</v>
      </c>
    </row>
    <row r="7382" spans="1:8" ht="15" customHeight="1">
      <c r="A7382" s="85"/>
      <c r="B7382" s="81"/>
      <c r="C7382" s="81"/>
      <c r="D7382" s="81"/>
      <c r="E7382" s="81"/>
      <c r="F7382" s="81"/>
      <c r="G7382" s="81"/>
      <c r="H7382" s="82"/>
    </row>
    <row r="7388" spans="1:8" ht="15" customHeight="1">
      <c r="A7388" s="85" t="s">
        <v>0</v>
      </c>
      <c r="B7388" s="81"/>
      <c r="C7388" s="81"/>
      <c r="D7388" s="81"/>
      <c r="E7388" s="81"/>
      <c r="F7388" s="81"/>
      <c r="G7388" s="81"/>
      <c r="H7388" s="82"/>
    </row>
    <row r="7389" spans="1:8" ht="15" customHeight="1">
      <c r="A7389" s="85" t="s">
        <v>1731</v>
      </c>
      <c r="B7389" s="81"/>
      <c r="C7389" s="81"/>
      <c r="D7389" s="81"/>
      <c r="E7389" s="81"/>
      <c r="F7389" s="81"/>
      <c r="G7389" s="81"/>
      <c r="H7389" s="82"/>
    </row>
    <row r="7390" spans="1:8" ht="15" customHeight="1">
      <c r="A7390" s="1" t="s">
        <v>2</v>
      </c>
      <c r="B7390" s="1" t="s">
        <v>3</v>
      </c>
      <c r="C7390" s="1" t="s">
        <v>4</v>
      </c>
      <c r="D7390" s="1" t="s">
        <v>5</v>
      </c>
      <c r="E7390" s="1" t="s">
        <v>6</v>
      </c>
      <c r="F7390" s="2" t="s">
        <v>7</v>
      </c>
      <c r="G7390" s="1" t="s">
        <v>8</v>
      </c>
      <c r="H7390" s="1"/>
    </row>
    <row r="7391" spans="1:8" ht="15" customHeight="1">
      <c r="A7391" s="3">
        <v>1</v>
      </c>
      <c r="B7391" s="4" t="s">
        <v>73</v>
      </c>
      <c r="C7391" s="5" t="s">
        <v>945</v>
      </c>
      <c r="D7391" s="4" t="s">
        <v>11</v>
      </c>
      <c r="E7391" s="4">
        <v>1.57</v>
      </c>
      <c r="F7391" s="6">
        <v>293000</v>
      </c>
      <c r="G7391" s="7">
        <f t="shared" ref="G7391:G7393" si="460">IFERROR(E7391*F7391,0)</f>
        <v>460010</v>
      </c>
      <c r="H7391" s="8"/>
    </row>
    <row r="7392" spans="1:8" ht="15" customHeight="1">
      <c r="A7392" s="3">
        <v>2</v>
      </c>
      <c r="B7392" s="4" t="s">
        <v>242</v>
      </c>
      <c r="C7392" s="5" t="s">
        <v>1732</v>
      </c>
      <c r="D7392" s="4" t="s">
        <v>14</v>
      </c>
      <c r="E7392" s="4">
        <v>1.8</v>
      </c>
      <c r="F7392" s="11">
        <v>435000</v>
      </c>
      <c r="G7392" s="7">
        <f t="shared" si="460"/>
        <v>783000</v>
      </c>
      <c r="H7392" s="8"/>
    </row>
    <row r="7393" spans="1:8" ht="15" customHeight="1">
      <c r="A7393" s="3">
        <v>3</v>
      </c>
      <c r="B7393" s="8" t="s">
        <v>17</v>
      </c>
      <c r="C7393" s="8"/>
      <c r="D7393" s="8"/>
      <c r="E7393" s="8"/>
      <c r="F7393" s="8"/>
      <c r="G7393" s="13">
        <f t="shared" si="460"/>
        <v>0</v>
      </c>
      <c r="H7393" s="8"/>
    </row>
    <row r="7394" spans="1:8" ht="15" customHeight="1">
      <c r="A7394" s="86" t="s">
        <v>18</v>
      </c>
      <c r="B7394" s="81"/>
      <c r="C7394" s="81"/>
      <c r="D7394" s="81"/>
      <c r="E7394" s="81"/>
      <c r="F7394" s="81"/>
      <c r="G7394" s="82"/>
      <c r="H7394" s="14">
        <f>SUM(G7391:G7393)</f>
        <v>1243010</v>
      </c>
    </row>
    <row r="7395" spans="1:8" ht="15" customHeight="1">
      <c r="A7395" s="86" t="s">
        <v>19</v>
      </c>
      <c r="B7395" s="81"/>
      <c r="C7395" s="81"/>
      <c r="D7395" s="81"/>
      <c r="E7395" s="81"/>
      <c r="F7395" s="81"/>
      <c r="G7395" s="82"/>
      <c r="H7395" s="14">
        <f>MAX(0,H7394-648000)</f>
        <v>595010</v>
      </c>
    </row>
    <row r="7396" spans="1:8" ht="15" customHeight="1">
      <c r="A7396" s="87" t="s">
        <v>20</v>
      </c>
      <c r="B7396" s="81"/>
      <c r="C7396" s="81"/>
      <c r="D7396" s="81"/>
      <c r="E7396" s="81"/>
      <c r="F7396" s="81"/>
      <c r="G7396" s="82"/>
      <c r="H7396" s="15">
        <v>649000</v>
      </c>
    </row>
    <row r="7397" spans="1:8" ht="15" customHeight="1">
      <c r="A7397" s="85"/>
      <c r="B7397" s="81"/>
      <c r="C7397" s="81"/>
      <c r="D7397" s="81"/>
      <c r="E7397" s="81"/>
      <c r="F7397" s="81"/>
      <c r="G7397" s="81"/>
      <c r="H7397" s="82"/>
    </row>
    <row r="7403" spans="1:8" ht="15" customHeight="1">
      <c r="A7403" s="85" t="s">
        <v>0</v>
      </c>
      <c r="B7403" s="81"/>
      <c r="C7403" s="81"/>
      <c r="D7403" s="81"/>
      <c r="E7403" s="81"/>
      <c r="F7403" s="81"/>
      <c r="G7403" s="81"/>
      <c r="H7403" s="82"/>
    </row>
    <row r="7404" spans="1:8" ht="15" customHeight="1">
      <c r="A7404" s="85" t="s">
        <v>1733</v>
      </c>
      <c r="B7404" s="81"/>
      <c r="C7404" s="81"/>
      <c r="D7404" s="81"/>
      <c r="E7404" s="81"/>
      <c r="F7404" s="81"/>
      <c r="G7404" s="81"/>
      <c r="H7404" s="82"/>
    </row>
    <row r="7405" spans="1:8" ht="15" customHeight="1">
      <c r="A7405" s="1" t="s">
        <v>2</v>
      </c>
      <c r="B7405" s="1" t="s">
        <v>3</v>
      </c>
      <c r="C7405" s="1" t="s">
        <v>4</v>
      </c>
      <c r="D7405" s="1" t="s">
        <v>5</v>
      </c>
      <c r="E7405" s="1" t="s">
        <v>6</v>
      </c>
      <c r="F7405" s="2" t="s">
        <v>7</v>
      </c>
      <c r="G7405" s="1" t="s">
        <v>8</v>
      </c>
      <c r="H7405" s="1"/>
    </row>
    <row r="7406" spans="1:8" ht="15" customHeight="1">
      <c r="A7406" s="3">
        <v>1</v>
      </c>
      <c r="B7406" s="4" t="s">
        <v>125</v>
      </c>
      <c r="C7406" s="19">
        <v>529</v>
      </c>
      <c r="D7406" s="4" t="s">
        <v>11</v>
      </c>
      <c r="E7406" s="4">
        <v>1.5</v>
      </c>
      <c r="F7406" s="6">
        <v>293000</v>
      </c>
      <c r="G7406" s="7">
        <f t="shared" ref="G7406:G7408" si="461">IFERROR(E7406*F7406,0)</f>
        <v>439500</v>
      </c>
      <c r="H7406" s="8"/>
    </row>
    <row r="7407" spans="1:8" ht="15" customHeight="1">
      <c r="A7407" s="3">
        <v>2</v>
      </c>
      <c r="B7407" s="4" t="s">
        <v>361</v>
      </c>
      <c r="C7407" s="19">
        <v>4280</v>
      </c>
      <c r="D7407" s="4" t="s">
        <v>14</v>
      </c>
      <c r="E7407" s="4">
        <v>2</v>
      </c>
      <c r="F7407" s="11">
        <v>435000</v>
      </c>
      <c r="G7407" s="7">
        <f t="shared" si="461"/>
        <v>870000</v>
      </c>
      <c r="H7407" s="8"/>
    </row>
    <row r="7408" spans="1:8" ht="15" customHeight="1">
      <c r="A7408" s="3">
        <v>3</v>
      </c>
      <c r="B7408" s="8" t="s">
        <v>17</v>
      </c>
      <c r="C7408" s="8"/>
      <c r="D7408" s="8"/>
      <c r="E7408" s="8"/>
      <c r="F7408" s="8"/>
      <c r="G7408" s="13">
        <f t="shared" si="461"/>
        <v>0</v>
      </c>
      <c r="H7408" s="8"/>
    </row>
    <row r="7409" spans="1:8" ht="15" customHeight="1">
      <c r="A7409" s="86" t="s">
        <v>18</v>
      </c>
      <c r="B7409" s="81"/>
      <c r="C7409" s="81"/>
      <c r="D7409" s="81"/>
      <c r="E7409" s="81"/>
      <c r="F7409" s="81"/>
      <c r="G7409" s="82"/>
      <c r="H7409" s="14">
        <f>SUM(G7406:G7408)</f>
        <v>1309500</v>
      </c>
    </row>
    <row r="7410" spans="1:8" ht="15" customHeight="1">
      <c r="A7410" s="86" t="s">
        <v>19</v>
      </c>
      <c r="B7410" s="81"/>
      <c r="C7410" s="81"/>
      <c r="D7410" s="81"/>
      <c r="E7410" s="81"/>
      <c r="F7410" s="81"/>
      <c r="G7410" s="82"/>
      <c r="H7410" s="14">
        <f>MAX(0,H7409-648000)</f>
        <v>661500</v>
      </c>
    </row>
    <row r="7411" spans="1:8" ht="15" customHeight="1">
      <c r="A7411" s="87" t="s">
        <v>20</v>
      </c>
      <c r="B7411" s="81"/>
      <c r="C7411" s="81"/>
      <c r="D7411" s="81"/>
      <c r="E7411" s="81"/>
      <c r="F7411" s="81"/>
      <c r="G7411" s="82"/>
      <c r="H7411" s="15">
        <v>649000</v>
      </c>
    </row>
    <row r="7412" spans="1:8" ht="15" customHeight="1">
      <c r="A7412" s="85"/>
      <c r="B7412" s="81"/>
      <c r="C7412" s="81"/>
      <c r="D7412" s="81"/>
      <c r="E7412" s="81"/>
      <c r="F7412" s="81"/>
      <c r="G7412" s="81"/>
      <c r="H7412" s="82"/>
    </row>
    <row r="7416" spans="1:8" ht="15" customHeight="1">
      <c r="A7416" s="85" t="s">
        <v>0</v>
      </c>
      <c r="B7416" s="81"/>
      <c r="C7416" s="81"/>
      <c r="D7416" s="81"/>
      <c r="E7416" s="81"/>
      <c r="F7416" s="81"/>
      <c r="G7416" s="81"/>
      <c r="H7416" s="82"/>
    </row>
    <row r="7417" spans="1:8" ht="15" customHeight="1">
      <c r="A7417" s="85" t="s">
        <v>1734</v>
      </c>
      <c r="B7417" s="81"/>
      <c r="C7417" s="81"/>
      <c r="D7417" s="81"/>
      <c r="E7417" s="81"/>
      <c r="F7417" s="81"/>
      <c r="G7417" s="81"/>
      <c r="H7417" s="82"/>
    </row>
    <row r="7418" spans="1:8" ht="15" customHeight="1">
      <c r="A7418" s="1" t="s">
        <v>2</v>
      </c>
      <c r="B7418" s="1" t="s">
        <v>3</v>
      </c>
      <c r="C7418" s="1" t="s">
        <v>4</v>
      </c>
      <c r="D7418" s="1" t="s">
        <v>5</v>
      </c>
      <c r="E7418" s="1" t="s">
        <v>6</v>
      </c>
      <c r="F7418" s="2" t="s">
        <v>7</v>
      </c>
      <c r="G7418" s="1" t="s">
        <v>8</v>
      </c>
      <c r="H7418" s="1"/>
    </row>
    <row r="7419" spans="1:8" ht="15" customHeight="1">
      <c r="A7419" s="3">
        <v>1</v>
      </c>
      <c r="B7419" s="4" t="s">
        <v>351</v>
      </c>
      <c r="C7419" s="5" t="s">
        <v>1735</v>
      </c>
      <c r="D7419" s="4" t="s">
        <v>11</v>
      </c>
      <c r="E7419" s="4">
        <v>1.5</v>
      </c>
      <c r="F7419" s="6">
        <v>293000</v>
      </c>
      <c r="G7419" s="7">
        <f t="shared" ref="G7419:G7421" si="462">IFERROR(E7419*F7419,0)</f>
        <v>439500</v>
      </c>
      <c r="H7419" s="8"/>
    </row>
    <row r="7420" spans="1:8" ht="15" customHeight="1">
      <c r="A7420" s="3">
        <v>2</v>
      </c>
      <c r="B7420" s="9" t="s">
        <v>242</v>
      </c>
      <c r="C7420" s="10" t="s">
        <v>1736</v>
      </c>
      <c r="D7420" s="9" t="s">
        <v>14</v>
      </c>
      <c r="E7420" s="9">
        <v>1.8</v>
      </c>
      <c r="F7420" s="11">
        <v>435000</v>
      </c>
      <c r="G7420" s="7">
        <f t="shared" si="462"/>
        <v>783000</v>
      </c>
      <c r="H7420" s="8"/>
    </row>
    <row r="7421" spans="1:8" ht="15" customHeight="1">
      <c r="A7421" s="3">
        <v>3</v>
      </c>
      <c r="B7421" s="8" t="s">
        <v>17</v>
      </c>
      <c r="C7421" s="8"/>
      <c r="D7421" s="8"/>
      <c r="E7421" s="8"/>
      <c r="F7421" s="8"/>
      <c r="G7421" s="13">
        <f t="shared" si="462"/>
        <v>0</v>
      </c>
      <c r="H7421" s="8"/>
    </row>
    <row r="7422" spans="1:8" ht="15" customHeight="1">
      <c r="A7422" s="86" t="s">
        <v>18</v>
      </c>
      <c r="B7422" s="81"/>
      <c r="C7422" s="81"/>
      <c r="D7422" s="81"/>
      <c r="E7422" s="81"/>
      <c r="F7422" s="81"/>
      <c r="G7422" s="82"/>
      <c r="H7422" s="14">
        <f>SUM(G7419:G7421)</f>
        <v>1222500</v>
      </c>
    </row>
    <row r="7423" spans="1:8" ht="15" customHeight="1">
      <c r="A7423" s="86" t="s">
        <v>19</v>
      </c>
      <c r="B7423" s="81"/>
      <c r="C7423" s="81"/>
      <c r="D7423" s="81"/>
      <c r="E7423" s="81"/>
      <c r="F7423" s="81"/>
      <c r="G7423" s="82"/>
      <c r="H7423" s="14">
        <f>MAX(0,H7422-648000)</f>
        <v>574500</v>
      </c>
    </row>
    <row r="7424" spans="1:8" ht="15" customHeight="1">
      <c r="A7424" s="87" t="s">
        <v>20</v>
      </c>
      <c r="B7424" s="81"/>
      <c r="C7424" s="81"/>
      <c r="D7424" s="81"/>
      <c r="E7424" s="81"/>
      <c r="F7424" s="81"/>
      <c r="G7424" s="82"/>
      <c r="H7424" s="15">
        <v>649000</v>
      </c>
    </row>
    <row r="7425" spans="1:8" ht="15" customHeight="1">
      <c r="A7425" s="85"/>
      <c r="B7425" s="81"/>
      <c r="C7425" s="81"/>
      <c r="D7425" s="81"/>
      <c r="E7425" s="81"/>
      <c r="F7425" s="81"/>
      <c r="G7425" s="81"/>
      <c r="H7425" s="82"/>
    </row>
    <row r="7426" spans="1:8" ht="15" customHeight="1">
      <c r="B7426" s="51" t="s">
        <v>1737</v>
      </c>
    </row>
    <row r="7432" spans="1:8" ht="15" customHeight="1">
      <c r="A7432" s="85" t="s">
        <v>0</v>
      </c>
      <c r="B7432" s="81"/>
      <c r="C7432" s="81"/>
      <c r="D7432" s="81"/>
      <c r="E7432" s="81"/>
      <c r="F7432" s="81"/>
      <c r="G7432" s="81"/>
      <c r="H7432" s="82"/>
    </row>
    <row r="7433" spans="1:8" ht="15" customHeight="1">
      <c r="A7433" s="85" t="s">
        <v>1738</v>
      </c>
      <c r="B7433" s="81"/>
      <c r="C7433" s="81"/>
      <c r="D7433" s="81"/>
      <c r="E7433" s="81"/>
      <c r="F7433" s="81"/>
      <c r="G7433" s="81"/>
      <c r="H7433" s="82"/>
    </row>
    <row r="7434" spans="1:8" ht="15" customHeight="1">
      <c r="A7434" s="1" t="s">
        <v>2</v>
      </c>
      <c r="B7434" s="1" t="s">
        <v>3</v>
      </c>
      <c r="C7434" s="1" t="s">
        <v>4</v>
      </c>
      <c r="D7434" s="1" t="s">
        <v>5</v>
      </c>
      <c r="E7434" s="1" t="s">
        <v>6</v>
      </c>
      <c r="F7434" s="2" t="s">
        <v>7</v>
      </c>
      <c r="G7434" s="1" t="s">
        <v>8</v>
      </c>
      <c r="H7434" s="1"/>
    </row>
    <row r="7435" spans="1:8" ht="15" customHeight="1">
      <c r="A7435" s="3">
        <v>1</v>
      </c>
      <c r="B7435" s="9" t="s">
        <v>571</v>
      </c>
      <c r="C7435" s="20">
        <v>6212</v>
      </c>
      <c r="D7435" s="9" t="s">
        <v>11</v>
      </c>
      <c r="E7435" s="9">
        <v>2</v>
      </c>
      <c r="F7435" s="6">
        <v>293000</v>
      </c>
      <c r="G7435" s="7">
        <f t="shared" ref="G7435:G7437" si="463">IFERROR(E7435*F7435,0)</f>
        <v>586000</v>
      </c>
      <c r="H7435" s="8"/>
    </row>
    <row r="7436" spans="1:8" ht="15" customHeight="1">
      <c r="A7436" s="3">
        <v>2</v>
      </c>
      <c r="B7436" s="4" t="s">
        <v>1739</v>
      </c>
      <c r="C7436" s="19">
        <v>6228</v>
      </c>
      <c r="D7436" s="4" t="s">
        <v>14</v>
      </c>
      <c r="E7436" s="4">
        <v>1.03</v>
      </c>
      <c r="F7436" s="11">
        <v>435000</v>
      </c>
      <c r="G7436" s="7">
        <f t="shared" si="463"/>
        <v>448050</v>
      </c>
      <c r="H7436" s="8"/>
    </row>
    <row r="7437" spans="1:8" ht="15" customHeight="1">
      <c r="A7437" s="3">
        <v>3</v>
      </c>
      <c r="B7437" s="8" t="s">
        <v>17</v>
      </c>
      <c r="C7437" s="8"/>
      <c r="D7437" s="8"/>
      <c r="E7437" s="8"/>
      <c r="F7437" s="8"/>
      <c r="G7437" s="13">
        <f t="shared" si="463"/>
        <v>0</v>
      </c>
      <c r="H7437" s="8"/>
    </row>
    <row r="7438" spans="1:8" ht="15" customHeight="1">
      <c r="A7438" s="86" t="s">
        <v>18</v>
      </c>
      <c r="B7438" s="81"/>
      <c r="C7438" s="81"/>
      <c r="D7438" s="81"/>
      <c r="E7438" s="81"/>
      <c r="F7438" s="81"/>
      <c r="G7438" s="82"/>
      <c r="H7438" s="14">
        <f>SUM(G7435:G7437)</f>
        <v>1034050</v>
      </c>
    </row>
    <row r="7439" spans="1:8" ht="15" customHeight="1">
      <c r="A7439" s="86" t="s">
        <v>19</v>
      </c>
      <c r="B7439" s="81"/>
      <c r="C7439" s="81"/>
      <c r="D7439" s="81"/>
      <c r="E7439" s="81"/>
      <c r="F7439" s="81"/>
      <c r="G7439" s="82"/>
      <c r="H7439" s="14">
        <f>MAX(0,H7438-648000)</f>
        <v>386050</v>
      </c>
    </row>
    <row r="7440" spans="1:8" ht="15" customHeight="1">
      <c r="A7440" s="87" t="s">
        <v>20</v>
      </c>
      <c r="B7440" s="81"/>
      <c r="C7440" s="81"/>
      <c r="D7440" s="81"/>
      <c r="E7440" s="81"/>
      <c r="F7440" s="81"/>
      <c r="G7440" s="82"/>
      <c r="H7440" s="15">
        <v>649000</v>
      </c>
    </row>
    <row r="7441" spans="1:8" ht="15" customHeight="1">
      <c r="A7441" s="85"/>
      <c r="B7441" s="81"/>
      <c r="C7441" s="81"/>
      <c r="D7441" s="81"/>
      <c r="E7441" s="81"/>
      <c r="F7441" s="81"/>
      <c r="G7441" s="81"/>
      <c r="H7441" s="82"/>
    </row>
    <row r="7446" spans="1:8" ht="15" customHeight="1">
      <c r="A7446" s="85" t="s">
        <v>0</v>
      </c>
      <c r="B7446" s="81"/>
      <c r="C7446" s="81"/>
      <c r="D7446" s="81"/>
      <c r="E7446" s="81"/>
      <c r="F7446" s="81"/>
      <c r="G7446" s="81"/>
      <c r="H7446" s="82"/>
    </row>
    <row r="7447" spans="1:8" ht="15" customHeight="1">
      <c r="A7447" s="85" t="s">
        <v>1740</v>
      </c>
      <c r="B7447" s="81"/>
      <c r="C7447" s="81"/>
      <c r="D7447" s="81"/>
      <c r="E7447" s="81"/>
      <c r="F7447" s="81"/>
      <c r="G7447" s="81"/>
      <c r="H7447" s="82"/>
    </row>
    <row r="7448" spans="1:8" ht="15" customHeight="1">
      <c r="A7448" s="1" t="s">
        <v>2</v>
      </c>
      <c r="B7448" s="1" t="s">
        <v>3</v>
      </c>
      <c r="C7448" s="1" t="s">
        <v>4</v>
      </c>
      <c r="D7448" s="1" t="s">
        <v>5</v>
      </c>
      <c r="E7448" s="1" t="s">
        <v>6</v>
      </c>
      <c r="F7448" s="2" t="s">
        <v>7</v>
      </c>
      <c r="G7448" s="1" t="s">
        <v>8</v>
      </c>
      <c r="H7448" s="1"/>
    </row>
    <row r="7449" spans="1:8" ht="15" customHeight="1">
      <c r="A7449" s="3">
        <v>1</v>
      </c>
      <c r="B7449" s="9" t="s">
        <v>91</v>
      </c>
      <c r="C7449" s="20">
        <v>4094</v>
      </c>
      <c r="D7449" s="9" t="s">
        <v>11</v>
      </c>
      <c r="E7449" s="9">
        <v>2.5</v>
      </c>
      <c r="F7449" s="6">
        <v>293000</v>
      </c>
      <c r="G7449" s="7">
        <f t="shared" ref="G7449:G7451" si="464">IFERROR(E7449*F7449,0)</f>
        <v>732500</v>
      </c>
      <c r="H7449" s="8"/>
    </row>
    <row r="7450" spans="1:8" ht="15" customHeight="1">
      <c r="A7450" s="3">
        <v>2</v>
      </c>
      <c r="B7450" s="9" t="s">
        <v>54</v>
      </c>
      <c r="C7450" s="20">
        <v>4097</v>
      </c>
      <c r="D7450" s="9" t="s">
        <v>14</v>
      </c>
      <c r="E7450" s="9">
        <v>1.1000000000000001</v>
      </c>
      <c r="F7450" s="11">
        <v>435000</v>
      </c>
      <c r="G7450" s="7">
        <f t="shared" si="464"/>
        <v>478500.00000000006</v>
      </c>
      <c r="H7450" s="8"/>
    </row>
    <row r="7451" spans="1:8" ht="15" customHeight="1">
      <c r="A7451" s="3">
        <v>3</v>
      </c>
      <c r="B7451" s="8" t="s">
        <v>17</v>
      </c>
      <c r="C7451" s="8"/>
      <c r="D7451" s="8"/>
      <c r="E7451" s="8"/>
      <c r="F7451" s="8"/>
      <c r="G7451" s="13">
        <f t="shared" si="464"/>
        <v>0</v>
      </c>
      <c r="H7451" s="8"/>
    </row>
    <row r="7452" spans="1:8" ht="15" customHeight="1">
      <c r="A7452" s="86" t="s">
        <v>18</v>
      </c>
      <c r="B7452" s="81"/>
      <c r="C7452" s="81"/>
      <c r="D7452" s="81"/>
      <c r="E7452" s="81"/>
      <c r="F7452" s="81"/>
      <c r="G7452" s="82"/>
      <c r="H7452" s="14">
        <f>SUM(G7449:G7451)</f>
        <v>1211000</v>
      </c>
    </row>
    <row r="7453" spans="1:8" ht="15" customHeight="1">
      <c r="A7453" s="86" t="s">
        <v>19</v>
      </c>
      <c r="B7453" s="81"/>
      <c r="C7453" s="81"/>
      <c r="D7453" s="81"/>
      <c r="E7453" s="81"/>
      <c r="F7453" s="81"/>
      <c r="G7453" s="82"/>
      <c r="H7453" s="14">
        <f>MAX(0,H7452-648000)</f>
        <v>563000</v>
      </c>
    </row>
    <row r="7454" spans="1:8" ht="15" customHeight="1">
      <c r="A7454" s="87" t="s">
        <v>20</v>
      </c>
      <c r="B7454" s="81"/>
      <c r="C7454" s="81"/>
      <c r="D7454" s="81"/>
      <c r="E7454" s="81"/>
      <c r="F7454" s="81"/>
      <c r="G7454" s="82"/>
      <c r="H7454" s="15">
        <v>649000</v>
      </c>
    </row>
    <row r="7455" spans="1:8" ht="15" customHeight="1">
      <c r="A7455" s="85"/>
      <c r="B7455" s="81"/>
      <c r="C7455" s="81"/>
      <c r="D7455" s="81"/>
      <c r="E7455" s="81"/>
      <c r="F7455" s="81"/>
      <c r="G7455" s="81"/>
      <c r="H7455" s="82"/>
    </row>
    <row r="7461" spans="1:8" ht="15" customHeight="1">
      <c r="A7461" s="85" t="s">
        <v>0</v>
      </c>
      <c r="B7461" s="81"/>
      <c r="C7461" s="81"/>
      <c r="D7461" s="81"/>
      <c r="E7461" s="81"/>
      <c r="F7461" s="81"/>
      <c r="G7461" s="81"/>
      <c r="H7461" s="82"/>
    </row>
    <row r="7462" spans="1:8" ht="15" customHeight="1">
      <c r="A7462" s="85" t="s">
        <v>1741</v>
      </c>
      <c r="B7462" s="81"/>
      <c r="C7462" s="81"/>
      <c r="D7462" s="81"/>
      <c r="E7462" s="81"/>
      <c r="F7462" s="81"/>
      <c r="G7462" s="81"/>
      <c r="H7462" s="82"/>
    </row>
    <row r="7463" spans="1:8" ht="15" customHeight="1">
      <c r="A7463" s="1" t="s">
        <v>2</v>
      </c>
      <c r="B7463" s="1" t="s">
        <v>3</v>
      </c>
      <c r="C7463" s="1" t="s">
        <v>4</v>
      </c>
      <c r="D7463" s="1" t="s">
        <v>5</v>
      </c>
      <c r="E7463" s="1" t="s">
        <v>6</v>
      </c>
      <c r="F7463" s="2" t="s">
        <v>7</v>
      </c>
      <c r="G7463" s="1" t="s">
        <v>8</v>
      </c>
      <c r="H7463" s="1"/>
    </row>
    <row r="7464" spans="1:8" ht="15" customHeight="1">
      <c r="A7464" s="3">
        <v>1</v>
      </c>
      <c r="B7464" s="9" t="s">
        <v>1742</v>
      </c>
      <c r="C7464" s="20">
        <v>2704</v>
      </c>
      <c r="D7464" s="9" t="s">
        <v>11</v>
      </c>
      <c r="E7464" s="9">
        <v>2</v>
      </c>
      <c r="F7464" s="6">
        <v>293000</v>
      </c>
      <c r="G7464" s="7">
        <f t="shared" ref="G7464:G7466" si="465">IFERROR(E7464*F7464,0)</f>
        <v>586000</v>
      </c>
      <c r="H7464" s="8"/>
    </row>
    <row r="7465" spans="1:8" ht="15" customHeight="1">
      <c r="A7465" s="3">
        <v>2</v>
      </c>
      <c r="B7465" s="4" t="s">
        <v>279</v>
      </c>
      <c r="C7465" s="19">
        <v>4085</v>
      </c>
      <c r="D7465" s="4" t="s">
        <v>14</v>
      </c>
      <c r="E7465" s="4">
        <v>1.5</v>
      </c>
      <c r="F7465" s="11">
        <v>435000</v>
      </c>
      <c r="G7465" s="7">
        <f t="shared" si="465"/>
        <v>652500</v>
      </c>
      <c r="H7465" s="8"/>
    </row>
    <row r="7466" spans="1:8" ht="15" customHeight="1">
      <c r="A7466" s="3">
        <v>3</v>
      </c>
      <c r="B7466" s="8" t="s">
        <v>17</v>
      </c>
      <c r="C7466" s="8"/>
      <c r="D7466" s="8"/>
      <c r="E7466" s="8"/>
      <c r="F7466" s="8"/>
      <c r="G7466" s="13">
        <f t="shared" si="465"/>
        <v>0</v>
      </c>
      <c r="H7466" s="8"/>
    </row>
    <row r="7467" spans="1:8" ht="15" customHeight="1">
      <c r="A7467" s="86" t="s">
        <v>18</v>
      </c>
      <c r="B7467" s="81"/>
      <c r="C7467" s="81"/>
      <c r="D7467" s="81"/>
      <c r="E7467" s="81"/>
      <c r="F7467" s="81"/>
      <c r="G7467" s="82"/>
      <c r="H7467" s="14">
        <f>SUM(G7464:G7466)</f>
        <v>1238500</v>
      </c>
    </row>
    <row r="7468" spans="1:8" ht="15" customHeight="1">
      <c r="A7468" s="86" t="s">
        <v>19</v>
      </c>
      <c r="B7468" s="81"/>
      <c r="C7468" s="81"/>
      <c r="D7468" s="81"/>
      <c r="E7468" s="81"/>
      <c r="F7468" s="81"/>
      <c r="G7468" s="82"/>
      <c r="H7468" s="14">
        <f>MAX(0,H7467-648000)</f>
        <v>590500</v>
      </c>
    </row>
    <row r="7469" spans="1:8" ht="15" customHeight="1">
      <c r="A7469" s="87" t="s">
        <v>20</v>
      </c>
      <c r="B7469" s="81"/>
      <c r="C7469" s="81"/>
      <c r="D7469" s="81"/>
      <c r="E7469" s="81"/>
      <c r="F7469" s="81"/>
      <c r="G7469" s="82"/>
      <c r="H7469" s="15">
        <v>649000</v>
      </c>
    </row>
    <row r="7470" spans="1:8" ht="15" customHeight="1">
      <c r="A7470" s="85"/>
      <c r="B7470" s="81"/>
      <c r="C7470" s="81"/>
      <c r="D7470" s="81"/>
      <c r="E7470" s="81"/>
      <c r="F7470" s="81"/>
      <c r="G7470" s="81"/>
      <c r="H7470" s="82"/>
    </row>
    <row r="7472" spans="1:8" ht="15" customHeight="1">
      <c r="B7472" s="78"/>
      <c r="C7472" s="73"/>
      <c r="D7472" s="79"/>
      <c r="E7472" s="79"/>
    </row>
    <row r="7473" spans="1:8" ht="15" customHeight="1">
      <c r="B7473" s="55"/>
      <c r="C7473" s="56"/>
      <c r="D7473" s="57"/>
      <c r="E7473" s="57"/>
    </row>
    <row r="7476" spans="1:8" ht="15" customHeight="1">
      <c r="A7476" s="85" t="s">
        <v>0</v>
      </c>
      <c r="B7476" s="81"/>
      <c r="C7476" s="81"/>
      <c r="D7476" s="81"/>
      <c r="E7476" s="81"/>
      <c r="F7476" s="81"/>
      <c r="G7476" s="81"/>
      <c r="H7476" s="82"/>
    </row>
    <row r="7477" spans="1:8" ht="15" customHeight="1">
      <c r="A7477" s="85" t="s">
        <v>1743</v>
      </c>
      <c r="B7477" s="81"/>
      <c r="C7477" s="81"/>
      <c r="D7477" s="81"/>
      <c r="E7477" s="81"/>
      <c r="F7477" s="81"/>
      <c r="G7477" s="81"/>
      <c r="H7477" s="82"/>
    </row>
    <row r="7478" spans="1:8" ht="15" customHeight="1">
      <c r="A7478" s="1" t="s">
        <v>2</v>
      </c>
      <c r="B7478" s="1" t="s">
        <v>3</v>
      </c>
      <c r="C7478" s="1" t="s">
        <v>4</v>
      </c>
      <c r="D7478" s="1" t="s">
        <v>5</v>
      </c>
      <c r="E7478" s="1" t="s">
        <v>6</v>
      </c>
      <c r="F7478" s="2" t="s">
        <v>7</v>
      </c>
      <c r="G7478" s="1" t="s">
        <v>8</v>
      </c>
      <c r="H7478" s="1"/>
    </row>
    <row r="7479" spans="1:8" ht="15" customHeight="1">
      <c r="A7479" s="3">
        <v>1</v>
      </c>
      <c r="B7479" s="4" t="s">
        <v>279</v>
      </c>
      <c r="C7479" s="19">
        <v>4086</v>
      </c>
      <c r="D7479" s="4" t="s">
        <v>11</v>
      </c>
      <c r="E7479" s="4">
        <v>2</v>
      </c>
      <c r="F7479" s="6">
        <v>293000</v>
      </c>
      <c r="G7479" s="7">
        <v>439000</v>
      </c>
      <c r="H7479" s="8"/>
    </row>
    <row r="7480" spans="1:8" ht="15" customHeight="1">
      <c r="A7480" s="3">
        <v>2</v>
      </c>
      <c r="B7480" s="4" t="s">
        <v>177</v>
      </c>
      <c r="C7480" s="19">
        <v>4089</v>
      </c>
      <c r="D7480" s="4" t="s">
        <v>14</v>
      </c>
      <c r="E7480" s="4">
        <v>1.25</v>
      </c>
      <c r="F7480" s="11">
        <v>435000</v>
      </c>
      <c r="G7480" s="7">
        <v>765000</v>
      </c>
      <c r="H7480" s="8"/>
    </row>
    <row r="7481" spans="1:8" ht="15" customHeight="1">
      <c r="A7481" s="3">
        <v>3</v>
      </c>
      <c r="B7481" s="8" t="s">
        <v>17</v>
      </c>
      <c r="C7481" s="8"/>
      <c r="D7481" s="8"/>
      <c r="E7481" s="8"/>
      <c r="F7481" s="8"/>
      <c r="G7481" s="13">
        <f>IFERROR(E7481*F7481,0)</f>
        <v>0</v>
      </c>
      <c r="H7481" s="8"/>
    </row>
    <row r="7482" spans="1:8" ht="15" customHeight="1">
      <c r="A7482" s="86" t="s">
        <v>18</v>
      </c>
      <c r="B7482" s="81"/>
      <c r="C7482" s="81"/>
      <c r="D7482" s="81"/>
      <c r="E7482" s="81"/>
      <c r="F7482" s="81"/>
      <c r="G7482" s="82"/>
      <c r="H7482" s="14">
        <f>SUM(G7479:G7481)</f>
        <v>1204000</v>
      </c>
    </row>
    <row r="7483" spans="1:8" ht="15" customHeight="1">
      <c r="A7483" s="86" t="s">
        <v>19</v>
      </c>
      <c r="B7483" s="81"/>
      <c r="C7483" s="81"/>
      <c r="D7483" s="81"/>
      <c r="E7483" s="81"/>
      <c r="F7483" s="81"/>
      <c r="G7483" s="82"/>
      <c r="H7483" s="14">
        <f>MAX(0,H7482-648000)</f>
        <v>556000</v>
      </c>
    </row>
    <row r="7484" spans="1:8" ht="15" customHeight="1">
      <c r="A7484" s="87" t="s">
        <v>20</v>
      </c>
      <c r="B7484" s="81"/>
      <c r="C7484" s="81"/>
      <c r="D7484" s="81"/>
      <c r="E7484" s="81"/>
      <c r="F7484" s="81"/>
      <c r="G7484" s="82"/>
      <c r="H7484" s="15">
        <v>649000</v>
      </c>
    </row>
    <row r="7485" spans="1:8" ht="15" customHeight="1">
      <c r="A7485" s="85"/>
      <c r="B7485" s="81"/>
      <c r="C7485" s="81"/>
      <c r="D7485" s="81"/>
      <c r="E7485" s="81"/>
      <c r="F7485" s="81"/>
      <c r="G7485" s="81"/>
      <c r="H7485" s="82"/>
    </row>
    <row r="7491" spans="1:8" ht="15" customHeight="1">
      <c r="A7491" s="85" t="s">
        <v>0</v>
      </c>
      <c r="B7491" s="81"/>
      <c r="C7491" s="81"/>
      <c r="D7491" s="81"/>
      <c r="E7491" s="81"/>
      <c r="F7491" s="81"/>
      <c r="G7491" s="81"/>
      <c r="H7491" s="82"/>
    </row>
    <row r="7492" spans="1:8" ht="15" customHeight="1">
      <c r="A7492" s="85" t="s">
        <v>1744</v>
      </c>
      <c r="B7492" s="81"/>
      <c r="C7492" s="81"/>
      <c r="D7492" s="81"/>
      <c r="E7492" s="81"/>
      <c r="F7492" s="81"/>
      <c r="G7492" s="81"/>
      <c r="H7492" s="82"/>
    </row>
    <row r="7493" spans="1:8" ht="15" customHeight="1">
      <c r="A7493" s="1" t="s">
        <v>2</v>
      </c>
      <c r="B7493" s="1" t="s">
        <v>3</v>
      </c>
      <c r="C7493" s="1" t="s">
        <v>4</v>
      </c>
      <c r="D7493" s="1" t="s">
        <v>5</v>
      </c>
      <c r="E7493" s="1" t="s">
        <v>6</v>
      </c>
      <c r="F7493" s="2" t="s">
        <v>7</v>
      </c>
      <c r="G7493" s="1" t="s">
        <v>8</v>
      </c>
      <c r="H7493" s="1"/>
    </row>
    <row r="7494" spans="1:8" ht="15" customHeight="1">
      <c r="A7494" s="3">
        <v>1</v>
      </c>
      <c r="B7494" s="4" t="s">
        <v>125</v>
      </c>
      <c r="C7494" s="19">
        <v>4081</v>
      </c>
      <c r="D7494" s="4" t="s">
        <v>11</v>
      </c>
      <c r="E7494" s="4">
        <v>2.5</v>
      </c>
      <c r="F7494" s="6">
        <v>293000</v>
      </c>
      <c r="G7494" s="7">
        <f t="shared" ref="G7494:G7496" si="466">IFERROR(E7494*F7494,0)</f>
        <v>732500</v>
      </c>
      <c r="H7494" s="8"/>
    </row>
    <row r="7495" spans="1:8" ht="15" customHeight="1">
      <c r="A7495" s="3">
        <v>2</v>
      </c>
      <c r="B7495" s="4" t="s">
        <v>242</v>
      </c>
      <c r="C7495" s="5" t="s">
        <v>1745</v>
      </c>
      <c r="D7495" s="4" t="s">
        <v>14</v>
      </c>
      <c r="E7495" s="4">
        <v>1</v>
      </c>
      <c r="F7495" s="11">
        <v>435000</v>
      </c>
      <c r="G7495" s="7">
        <f t="shared" si="466"/>
        <v>435000</v>
      </c>
      <c r="H7495" s="8"/>
    </row>
    <row r="7496" spans="1:8" ht="15" customHeight="1">
      <c r="A7496" s="3">
        <v>3</v>
      </c>
      <c r="B7496" s="8" t="s">
        <v>17</v>
      </c>
      <c r="C7496" s="8"/>
      <c r="D7496" s="8"/>
      <c r="E7496" s="8"/>
      <c r="F7496" s="8"/>
      <c r="G7496" s="13">
        <f t="shared" si="466"/>
        <v>0</v>
      </c>
      <c r="H7496" s="8"/>
    </row>
    <row r="7497" spans="1:8" ht="15" customHeight="1">
      <c r="A7497" s="86" t="s">
        <v>18</v>
      </c>
      <c r="B7497" s="81"/>
      <c r="C7497" s="81"/>
      <c r="D7497" s="81"/>
      <c r="E7497" s="81"/>
      <c r="F7497" s="81"/>
      <c r="G7497" s="82"/>
      <c r="H7497" s="14">
        <f>SUM(G7494:G7496)</f>
        <v>1167500</v>
      </c>
    </row>
    <row r="7498" spans="1:8" ht="15" customHeight="1">
      <c r="A7498" s="86" t="s">
        <v>19</v>
      </c>
      <c r="B7498" s="81"/>
      <c r="C7498" s="81"/>
      <c r="D7498" s="81"/>
      <c r="E7498" s="81"/>
      <c r="F7498" s="81"/>
      <c r="G7498" s="82"/>
      <c r="H7498" s="14">
        <f>MAX(0,H7497-648000)</f>
        <v>519500</v>
      </c>
    </row>
    <row r="7499" spans="1:8" ht="15" customHeight="1">
      <c r="A7499" s="87" t="s">
        <v>20</v>
      </c>
      <c r="B7499" s="81"/>
      <c r="C7499" s="81"/>
      <c r="D7499" s="81"/>
      <c r="E7499" s="81"/>
      <c r="F7499" s="81"/>
      <c r="G7499" s="82"/>
      <c r="H7499" s="15">
        <v>649000</v>
      </c>
    </row>
    <row r="7500" spans="1:8" ht="15" customHeight="1">
      <c r="A7500" s="85"/>
      <c r="B7500" s="81"/>
      <c r="C7500" s="81"/>
      <c r="D7500" s="81"/>
      <c r="E7500" s="81"/>
      <c r="F7500" s="81"/>
      <c r="G7500" s="81"/>
      <c r="H7500" s="82"/>
    </row>
    <row r="7505" spans="1:8" ht="15" customHeight="1">
      <c r="A7505" s="85" t="s">
        <v>0</v>
      </c>
      <c r="B7505" s="81"/>
      <c r="C7505" s="81"/>
      <c r="D7505" s="81"/>
      <c r="E7505" s="81"/>
      <c r="F7505" s="81"/>
      <c r="G7505" s="81"/>
      <c r="H7505" s="82"/>
    </row>
    <row r="7506" spans="1:8" ht="15" customHeight="1">
      <c r="A7506" s="85" t="s">
        <v>1746</v>
      </c>
      <c r="B7506" s="81"/>
      <c r="C7506" s="81"/>
      <c r="D7506" s="81"/>
      <c r="E7506" s="81"/>
      <c r="F7506" s="81"/>
      <c r="G7506" s="81"/>
      <c r="H7506" s="82"/>
    </row>
    <row r="7507" spans="1:8" ht="15" customHeight="1">
      <c r="A7507" s="1" t="s">
        <v>2</v>
      </c>
      <c r="B7507" s="1" t="s">
        <v>3</v>
      </c>
      <c r="C7507" s="1" t="s">
        <v>4</v>
      </c>
      <c r="D7507" s="1" t="s">
        <v>5</v>
      </c>
      <c r="E7507" s="1" t="s">
        <v>6</v>
      </c>
      <c r="F7507" s="2" t="s">
        <v>7</v>
      </c>
      <c r="G7507" s="1" t="s">
        <v>8</v>
      </c>
      <c r="H7507" s="1"/>
    </row>
    <row r="7508" spans="1:8" ht="15" customHeight="1">
      <c r="A7508" s="3">
        <v>1</v>
      </c>
      <c r="B7508" s="4" t="s">
        <v>1747</v>
      </c>
      <c r="C7508" s="5" t="s">
        <v>1748</v>
      </c>
      <c r="D7508" s="4" t="s">
        <v>11</v>
      </c>
      <c r="E7508" s="4">
        <v>2</v>
      </c>
      <c r="F7508" s="6">
        <v>293000</v>
      </c>
      <c r="G7508" s="76">
        <f t="shared" ref="G7508:G7510" si="467">IFERROR(E7508*F7508,0)</f>
        <v>586000</v>
      </c>
      <c r="H7508" s="8"/>
    </row>
    <row r="7509" spans="1:8" ht="15" customHeight="1">
      <c r="A7509" s="3">
        <v>2</v>
      </c>
      <c r="B7509" s="4" t="s">
        <v>361</v>
      </c>
      <c r="C7509" s="19">
        <v>4270</v>
      </c>
      <c r="D7509" s="4" t="s">
        <v>14</v>
      </c>
      <c r="E7509" s="4">
        <v>1.4</v>
      </c>
      <c r="F7509" s="11">
        <v>435000</v>
      </c>
      <c r="G7509" s="76">
        <f t="shared" si="467"/>
        <v>609000</v>
      </c>
      <c r="H7509" s="8"/>
    </row>
    <row r="7510" spans="1:8" ht="15" customHeight="1">
      <c r="A7510" s="3">
        <v>3</v>
      </c>
      <c r="B7510" s="8" t="s">
        <v>17</v>
      </c>
      <c r="C7510" s="8"/>
      <c r="D7510" s="8"/>
      <c r="E7510" s="8"/>
      <c r="F7510" s="8"/>
      <c r="G7510" s="13">
        <f t="shared" si="467"/>
        <v>0</v>
      </c>
      <c r="H7510" s="8"/>
    </row>
    <row r="7511" spans="1:8" ht="15" customHeight="1">
      <c r="A7511" s="86" t="s">
        <v>18</v>
      </c>
      <c r="B7511" s="81"/>
      <c r="C7511" s="81"/>
      <c r="D7511" s="81"/>
      <c r="E7511" s="81"/>
      <c r="F7511" s="81"/>
      <c r="G7511" s="82"/>
      <c r="H7511" s="14">
        <f>SUM(G7508:G7510)</f>
        <v>1195000</v>
      </c>
    </row>
    <row r="7512" spans="1:8" ht="15" customHeight="1">
      <c r="A7512" s="86" t="s">
        <v>19</v>
      </c>
      <c r="B7512" s="81"/>
      <c r="C7512" s="81"/>
      <c r="D7512" s="81"/>
      <c r="E7512" s="81"/>
      <c r="F7512" s="81"/>
      <c r="G7512" s="82"/>
      <c r="H7512" s="14">
        <f>MAX(0,H7511-648000)</f>
        <v>547000</v>
      </c>
    </row>
    <row r="7513" spans="1:8" ht="15" customHeight="1">
      <c r="A7513" s="87" t="s">
        <v>20</v>
      </c>
      <c r="B7513" s="81"/>
      <c r="C7513" s="81"/>
      <c r="D7513" s="81"/>
      <c r="E7513" s="81"/>
      <c r="F7513" s="81"/>
      <c r="G7513" s="82"/>
      <c r="H7513" s="15">
        <v>649000</v>
      </c>
    </row>
    <row r="7514" spans="1:8" ht="15" customHeight="1">
      <c r="A7514" s="85"/>
      <c r="B7514" s="81"/>
      <c r="C7514" s="81"/>
      <c r="D7514" s="81"/>
      <c r="E7514" s="81"/>
      <c r="F7514" s="81"/>
      <c r="G7514" s="81"/>
      <c r="H7514" s="82"/>
    </row>
    <row r="7520" spans="1:8" ht="15" customHeight="1">
      <c r="A7520" s="85" t="s">
        <v>0</v>
      </c>
      <c r="B7520" s="81"/>
      <c r="C7520" s="81"/>
      <c r="D7520" s="81"/>
      <c r="E7520" s="81"/>
      <c r="F7520" s="81"/>
      <c r="G7520" s="81"/>
      <c r="H7520" s="82"/>
    </row>
    <row r="7521" spans="1:8" ht="15" customHeight="1">
      <c r="A7521" s="85" t="s">
        <v>1749</v>
      </c>
      <c r="B7521" s="81"/>
      <c r="C7521" s="81"/>
      <c r="D7521" s="81"/>
      <c r="E7521" s="81"/>
      <c r="F7521" s="81"/>
      <c r="G7521" s="81"/>
      <c r="H7521" s="82"/>
    </row>
    <row r="7522" spans="1:8" ht="15" customHeight="1">
      <c r="A7522" s="1" t="s">
        <v>2</v>
      </c>
      <c r="B7522" s="1" t="s">
        <v>3</v>
      </c>
      <c r="C7522" s="1" t="s">
        <v>4</v>
      </c>
      <c r="D7522" s="1" t="s">
        <v>5</v>
      </c>
      <c r="E7522" s="1" t="s">
        <v>6</v>
      </c>
      <c r="F7522" s="2" t="s">
        <v>7</v>
      </c>
      <c r="G7522" s="1" t="s">
        <v>8</v>
      </c>
      <c r="H7522" s="1"/>
    </row>
    <row r="7523" spans="1:8" ht="15" customHeight="1">
      <c r="A7523" s="3">
        <v>1</v>
      </c>
      <c r="B7523" s="9" t="s">
        <v>1750</v>
      </c>
      <c r="C7523" s="10" t="s">
        <v>1751</v>
      </c>
      <c r="D7523" s="9" t="s">
        <v>11</v>
      </c>
      <c r="E7523" s="9">
        <v>2</v>
      </c>
      <c r="F7523" s="6">
        <v>293000</v>
      </c>
      <c r="G7523" s="7">
        <f t="shared" ref="G7523:G7525" si="468">IFERROR(E7523*F7523,0)</f>
        <v>586000</v>
      </c>
      <c r="H7523" s="8"/>
    </row>
    <row r="7524" spans="1:8" ht="15" customHeight="1">
      <c r="A7524" s="3">
        <v>2</v>
      </c>
      <c r="B7524" s="4" t="s">
        <v>47</v>
      </c>
      <c r="C7524" s="74" t="s">
        <v>1752</v>
      </c>
      <c r="D7524" s="4" t="s">
        <v>14</v>
      </c>
      <c r="E7524" s="4">
        <v>1.56</v>
      </c>
      <c r="F7524" s="11">
        <v>435000</v>
      </c>
      <c r="G7524" s="76">
        <f t="shared" si="468"/>
        <v>678600</v>
      </c>
      <c r="H7524" s="8"/>
    </row>
    <row r="7525" spans="1:8" ht="15" customHeight="1">
      <c r="A7525" s="3">
        <v>3</v>
      </c>
      <c r="B7525" s="8" t="s">
        <v>17</v>
      </c>
      <c r="C7525" s="8"/>
      <c r="D7525" s="8"/>
      <c r="E7525" s="8"/>
      <c r="F7525" s="8"/>
      <c r="G7525" s="13">
        <f t="shared" si="468"/>
        <v>0</v>
      </c>
      <c r="H7525" s="8"/>
    </row>
    <row r="7526" spans="1:8" ht="15" customHeight="1">
      <c r="A7526" s="86" t="s">
        <v>18</v>
      </c>
      <c r="B7526" s="81"/>
      <c r="C7526" s="81"/>
      <c r="D7526" s="81"/>
      <c r="E7526" s="81"/>
      <c r="F7526" s="81"/>
      <c r="G7526" s="82"/>
      <c r="H7526" s="14">
        <f>SUM(G7523:G7525)</f>
        <v>1264600</v>
      </c>
    </row>
    <row r="7527" spans="1:8" ht="15" customHeight="1">
      <c r="A7527" s="86" t="s">
        <v>19</v>
      </c>
      <c r="B7527" s="81"/>
      <c r="C7527" s="81"/>
      <c r="D7527" s="81"/>
      <c r="E7527" s="81"/>
      <c r="F7527" s="81"/>
      <c r="G7527" s="82"/>
      <c r="H7527" s="14">
        <f>MAX(0,H7526-648000)</f>
        <v>616600</v>
      </c>
    </row>
    <row r="7528" spans="1:8" ht="15" customHeight="1">
      <c r="A7528" s="87" t="s">
        <v>20</v>
      </c>
      <c r="B7528" s="81"/>
      <c r="C7528" s="81"/>
      <c r="D7528" s="81"/>
      <c r="E7528" s="81"/>
      <c r="F7528" s="81"/>
      <c r="G7528" s="82"/>
      <c r="H7528" s="15">
        <v>649000</v>
      </c>
    </row>
    <row r="7529" spans="1:8" ht="15" customHeight="1">
      <c r="A7529" s="85"/>
      <c r="B7529" s="81"/>
      <c r="C7529" s="81"/>
      <c r="D7529" s="81"/>
      <c r="E7529" s="81"/>
      <c r="F7529" s="81"/>
      <c r="G7529" s="81"/>
      <c r="H7529" s="82"/>
    </row>
    <row r="7536" spans="1:8" ht="15" customHeight="1">
      <c r="A7536" s="85" t="s">
        <v>0</v>
      </c>
      <c r="B7536" s="81"/>
      <c r="C7536" s="81"/>
      <c r="D7536" s="81"/>
      <c r="E7536" s="81"/>
      <c r="F7536" s="81"/>
      <c r="G7536" s="81"/>
      <c r="H7536" s="82"/>
    </row>
    <row r="7537" spans="1:8" ht="15" customHeight="1">
      <c r="A7537" s="85" t="s">
        <v>1753</v>
      </c>
      <c r="B7537" s="81"/>
      <c r="C7537" s="81"/>
      <c r="D7537" s="81"/>
      <c r="E7537" s="81"/>
      <c r="F7537" s="81"/>
      <c r="G7537" s="81"/>
      <c r="H7537" s="82"/>
    </row>
    <row r="7538" spans="1:8" ht="15" customHeight="1">
      <c r="A7538" s="1" t="s">
        <v>2</v>
      </c>
      <c r="B7538" s="1" t="s">
        <v>3</v>
      </c>
      <c r="C7538" s="1" t="s">
        <v>4</v>
      </c>
      <c r="D7538" s="1" t="s">
        <v>5</v>
      </c>
      <c r="E7538" s="1" t="s">
        <v>6</v>
      </c>
      <c r="F7538" s="2" t="s">
        <v>7</v>
      </c>
      <c r="G7538" s="1" t="s">
        <v>8</v>
      </c>
      <c r="H7538" s="1"/>
    </row>
    <row r="7539" spans="1:8" ht="15" customHeight="1">
      <c r="A7539" s="3">
        <v>1</v>
      </c>
      <c r="B7539" s="9" t="s">
        <v>1754</v>
      </c>
      <c r="C7539" s="10" t="s">
        <v>1755</v>
      </c>
      <c r="D7539" s="9" t="s">
        <v>11</v>
      </c>
      <c r="E7539" s="9">
        <v>3</v>
      </c>
      <c r="F7539" s="6">
        <v>293000</v>
      </c>
      <c r="G7539" s="7">
        <f t="shared" ref="G7539:G7541" si="469">IFERROR(E7539*F7539,0)</f>
        <v>879000</v>
      </c>
      <c r="H7539" s="8"/>
    </row>
    <row r="7540" spans="1:8" ht="15" customHeight="1">
      <c r="A7540" s="3">
        <v>2</v>
      </c>
      <c r="B7540" s="4" t="s">
        <v>54</v>
      </c>
      <c r="C7540" s="5" t="s">
        <v>1756</v>
      </c>
      <c r="D7540" s="4" t="s">
        <v>14</v>
      </c>
      <c r="E7540" s="4">
        <v>0.51</v>
      </c>
      <c r="F7540" s="11">
        <v>435000</v>
      </c>
      <c r="G7540" s="7">
        <f t="shared" si="469"/>
        <v>221850</v>
      </c>
      <c r="H7540" s="8"/>
    </row>
    <row r="7541" spans="1:8" ht="15" customHeight="1">
      <c r="A7541" s="3">
        <v>3</v>
      </c>
      <c r="B7541" s="8" t="s">
        <v>17</v>
      </c>
      <c r="C7541" s="8"/>
      <c r="D7541" s="8"/>
      <c r="E7541" s="8"/>
      <c r="F7541" s="8"/>
      <c r="G7541" s="13">
        <f t="shared" si="469"/>
        <v>0</v>
      </c>
      <c r="H7541" s="8"/>
    </row>
    <row r="7542" spans="1:8" ht="15" customHeight="1">
      <c r="A7542" s="86" t="s">
        <v>18</v>
      </c>
      <c r="B7542" s="81"/>
      <c r="C7542" s="81"/>
      <c r="D7542" s="81"/>
      <c r="E7542" s="81"/>
      <c r="F7542" s="81"/>
      <c r="G7542" s="82"/>
      <c r="H7542" s="14">
        <f>SUM(G7539:G7541)</f>
        <v>1100850</v>
      </c>
    </row>
    <row r="7543" spans="1:8" ht="15" customHeight="1">
      <c r="A7543" s="86" t="s">
        <v>19</v>
      </c>
      <c r="B7543" s="81"/>
      <c r="C7543" s="81"/>
      <c r="D7543" s="81"/>
      <c r="E7543" s="81"/>
      <c r="F7543" s="81"/>
      <c r="G7543" s="82"/>
      <c r="H7543" s="14">
        <f>MAX(0,H7542-648000)</f>
        <v>452850</v>
      </c>
    </row>
    <row r="7544" spans="1:8" ht="15" customHeight="1">
      <c r="A7544" s="87" t="s">
        <v>20</v>
      </c>
      <c r="B7544" s="81"/>
      <c r="C7544" s="81"/>
      <c r="D7544" s="81"/>
      <c r="E7544" s="81"/>
      <c r="F7544" s="81"/>
      <c r="G7544" s="82"/>
      <c r="H7544" s="15">
        <v>649000</v>
      </c>
    </row>
    <row r="7545" spans="1:8" ht="15" customHeight="1">
      <c r="A7545" s="85"/>
      <c r="B7545" s="81"/>
      <c r="C7545" s="81"/>
      <c r="D7545" s="81"/>
      <c r="E7545" s="81"/>
      <c r="F7545" s="81"/>
      <c r="G7545" s="81"/>
      <c r="H7545" s="82"/>
    </row>
    <row r="7551" spans="1:8" ht="15" customHeight="1">
      <c r="A7551" s="85" t="s">
        <v>0</v>
      </c>
      <c r="B7551" s="81"/>
      <c r="C7551" s="81"/>
      <c r="D7551" s="81"/>
      <c r="E7551" s="81"/>
      <c r="F7551" s="81"/>
      <c r="G7551" s="81"/>
      <c r="H7551" s="82"/>
    </row>
    <row r="7552" spans="1:8" ht="15" customHeight="1">
      <c r="A7552" s="85" t="s">
        <v>1757</v>
      </c>
      <c r="B7552" s="81"/>
      <c r="C7552" s="81"/>
      <c r="D7552" s="81"/>
      <c r="E7552" s="81"/>
      <c r="F7552" s="81"/>
      <c r="G7552" s="81"/>
      <c r="H7552" s="82"/>
    </row>
    <row r="7553" spans="1:8" ht="15" customHeight="1">
      <c r="A7553" s="1" t="s">
        <v>2</v>
      </c>
      <c r="B7553" s="1" t="s">
        <v>3</v>
      </c>
      <c r="C7553" s="1" t="s">
        <v>4</v>
      </c>
      <c r="D7553" s="1" t="s">
        <v>5</v>
      </c>
      <c r="E7553" s="1" t="s">
        <v>6</v>
      </c>
      <c r="F7553" s="2" t="s">
        <v>7</v>
      </c>
      <c r="G7553" s="1" t="s">
        <v>8</v>
      </c>
      <c r="H7553" s="1"/>
    </row>
    <row r="7554" spans="1:8" ht="15" customHeight="1">
      <c r="A7554" s="3">
        <v>1</v>
      </c>
      <c r="B7554" s="9" t="s">
        <v>529</v>
      </c>
      <c r="C7554" s="12" t="s">
        <v>777</v>
      </c>
      <c r="D7554" s="9" t="s">
        <v>11</v>
      </c>
      <c r="E7554" s="9">
        <v>2.37</v>
      </c>
      <c r="F7554" s="6">
        <v>293000</v>
      </c>
      <c r="G7554" s="7">
        <f>IFERROR(E7555*F7554,0)</f>
        <v>366250</v>
      </c>
      <c r="H7554" s="8"/>
    </row>
    <row r="7555" spans="1:8" ht="15" customHeight="1">
      <c r="A7555" s="3">
        <v>2</v>
      </c>
      <c r="B7555" s="4" t="s">
        <v>73</v>
      </c>
      <c r="C7555" s="74" t="s">
        <v>1758</v>
      </c>
      <c r="D7555" s="4" t="s">
        <v>14</v>
      </c>
      <c r="E7555" s="4">
        <v>1.25</v>
      </c>
      <c r="F7555" s="11">
        <v>435000</v>
      </c>
      <c r="G7555" s="7">
        <v>726000</v>
      </c>
      <c r="H7555" s="8"/>
    </row>
    <row r="7556" spans="1:8" ht="15" customHeight="1">
      <c r="A7556" s="3">
        <v>3</v>
      </c>
      <c r="B7556" s="8" t="s">
        <v>17</v>
      </c>
      <c r="C7556" s="8"/>
      <c r="D7556" s="8"/>
      <c r="E7556" s="8"/>
      <c r="F7556" s="8"/>
      <c r="G7556" s="13">
        <f>IFERROR(E7556*F7556,0)</f>
        <v>0</v>
      </c>
      <c r="H7556" s="8"/>
    </row>
    <row r="7557" spans="1:8" ht="15" customHeight="1">
      <c r="A7557" s="86" t="s">
        <v>18</v>
      </c>
      <c r="B7557" s="81"/>
      <c r="C7557" s="81"/>
      <c r="D7557" s="81"/>
      <c r="E7557" s="81"/>
      <c r="F7557" s="81"/>
      <c r="G7557" s="82"/>
      <c r="H7557" s="14">
        <f>SUM(G7554:G7556)</f>
        <v>1092250</v>
      </c>
    </row>
    <row r="7558" spans="1:8" ht="15" customHeight="1">
      <c r="A7558" s="86" t="s">
        <v>19</v>
      </c>
      <c r="B7558" s="81"/>
      <c r="C7558" s="81"/>
      <c r="D7558" s="81"/>
      <c r="E7558" s="81"/>
      <c r="F7558" s="81"/>
      <c r="G7558" s="82"/>
      <c r="H7558" s="14">
        <f>MAX(0,H7557-648000)</f>
        <v>444250</v>
      </c>
    </row>
    <row r="7559" spans="1:8" ht="15" customHeight="1">
      <c r="A7559" s="87" t="s">
        <v>20</v>
      </c>
      <c r="B7559" s="81"/>
      <c r="C7559" s="81"/>
      <c r="D7559" s="81"/>
      <c r="E7559" s="81"/>
      <c r="F7559" s="81"/>
      <c r="G7559" s="82"/>
      <c r="H7559" s="15">
        <v>649000</v>
      </c>
    </row>
    <row r="7560" spans="1:8" ht="15" customHeight="1">
      <c r="A7560" s="85"/>
      <c r="B7560" s="81"/>
      <c r="C7560" s="81"/>
      <c r="D7560" s="81"/>
      <c r="E7560" s="81"/>
      <c r="F7560" s="81"/>
      <c r="G7560" s="81"/>
      <c r="H7560" s="82"/>
    </row>
    <row r="7566" spans="1:8" ht="15" customHeight="1">
      <c r="A7566" s="85" t="s">
        <v>0</v>
      </c>
      <c r="B7566" s="81"/>
      <c r="C7566" s="81"/>
      <c r="D7566" s="81"/>
      <c r="E7566" s="81"/>
      <c r="F7566" s="81"/>
      <c r="G7566" s="81"/>
      <c r="H7566" s="82"/>
    </row>
    <row r="7567" spans="1:8" ht="15" customHeight="1">
      <c r="A7567" s="85" t="s">
        <v>1759</v>
      </c>
      <c r="B7567" s="81"/>
      <c r="C7567" s="81"/>
      <c r="D7567" s="81"/>
      <c r="E7567" s="81"/>
      <c r="F7567" s="81"/>
      <c r="G7567" s="81"/>
      <c r="H7567" s="82"/>
    </row>
    <row r="7568" spans="1:8" ht="15" customHeight="1">
      <c r="A7568" s="1" t="s">
        <v>2</v>
      </c>
      <c r="B7568" s="1" t="s">
        <v>3</v>
      </c>
      <c r="C7568" s="1" t="s">
        <v>4</v>
      </c>
      <c r="D7568" s="1" t="s">
        <v>5</v>
      </c>
      <c r="E7568" s="1" t="s">
        <v>6</v>
      </c>
      <c r="F7568" s="2" t="s">
        <v>7</v>
      </c>
      <c r="G7568" s="1" t="s">
        <v>8</v>
      </c>
      <c r="H7568" s="1"/>
    </row>
    <row r="7569" spans="1:8" ht="15" customHeight="1">
      <c r="A7569" s="3">
        <v>1</v>
      </c>
      <c r="B7569" s="4" t="s">
        <v>73</v>
      </c>
      <c r="C7569" s="5" t="s">
        <v>1760</v>
      </c>
      <c r="D7569" s="4" t="s">
        <v>11</v>
      </c>
      <c r="E7569" s="4">
        <v>1.66</v>
      </c>
      <c r="F7569" s="6">
        <v>293000</v>
      </c>
      <c r="G7569" s="7">
        <f t="shared" ref="G7569:G7571" si="470">IFERROR(E7569*F7569,0)</f>
        <v>486380</v>
      </c>
      <c r="H7569" s="8"/>
    </row>
    <row r="7570" spans="1:8" ht="15" customHeight="1">
      <c r="A7570" s="3">
        <v>2</v>
      </c>
      <c r="B7570" s="9" t="s">
        <v>65</v>
      </c>
      <c r="C7570" s="10" t="s">
        <v>1761</v>
      </c>
      <c r="D7570" s="9" t="s">
        <v>14</v>
      </c>
      <c r="E7570" s="9">
        <v>1.76</v>
      </c>
      <c r="F7570" s="11">
        <v>435000</v>
      </c>
      <c r="G7570" s="7">
        <f t="shared" si="470"/>
        <v>765600</v>
      </c>
      <c r="H7570" s="8"/>
    </row>
    <row r="7571" spans="1:8" ht="15" customHeight="1">
      <c r="A7571" s="3">
        <v>3</v>
      </c>
      <c r="B7571" s="8" t="s">
        <v>17</v>
      </c>
      <c r="C7571" s="8"/>
      <c r="D7571" s="8"/>
      <c r="E7571" s="8"/>
      <c r="F7571" s="8"/>
      <c r="G7571" s="13">
        <f t="shared" si="470"/>
        <v>0</v>
      </c>
      <c r="H7571" s="8"/>
    </row>
    <row r="7572" spans="1:8" ht="15" customHeight="1">
      <c r="A7572" s="86" t="s">
        <v>18</v>
      </c>
      <c r="B7572" s="81"/>
      <c r="C7572" s="81"/>
      <c r="D7572" s="81"/>
      <c r="E7572" s="81"/>
      <c r="F7572" s="81"/>
      <c r="G7572" s="82"/>
      <c r="H7572" s="14">
        <f>SUM(G7569:G7571)</f>
        <v>1251980</v>
      </c>
    </row>
    <row r="7573" spans="1:8" ht="15" customHeight="1">
      <c r="A7573" s="86" t="s">
        <v>19</v>
      </c>
      <c r="B7573" s="81"/>
      <c r="C7573" s="81"/>
      <c r="D7573" s="81"/>
      <c r="E7573" s="81"/>
      <c r="F7573" s="81"/>
      <c r="G7573" s="82"/>
      <c r="H7573" s="14">
        <f>MAX(0,H7572-648000)</f>
        <v>603980</v>
      </c>
    </row>
    <row r="7574" spans="1:8" ht="15" customHeight="1">
      <c r="A7574" s="87" t="s">
        <v>20</v>
      </c>
      <c r="B7574" s="81"/>
      <c r="C7574" s="81"/>
      <c r="D7574" s="81"/>
      <c r="E7574" s="81"/>
      <c r="F7574" s="81"/>
      <c r="G7574" s="82"/>
      <c r="H7574" s="15">
        <v>649000</v>
      </c>
    </row>
    <row r="7575" spans="1:8" ht="15" customHeight="1">
      <c r="A7575" s="85"/>
      <c r="B7575" s="81"/>
      <c r="C7575" s="81"/>
      <c r="D7575" s="81"/>
      <c r="E7575" s="81"/>
      <c r="F7575" s="81"/>
      <c r="G7575" s="81"/>
      <c r="H7575" s="82"/>
    </row>
    <row r="7578" spans="1:8" ht="15" customHeight="1">
      <c r="A7578" s="85" t="s">
        <v>0</v>
      </c>
      <c r="B7578" s="81"/>
      <c r="C7578" s="81"/>
      <c r="D7578" s="81"/>
      <c r="E7578" s="81"/>
      <c r="F7578" s="81"/>
      <c r="G7578" s="81"/>
      <c r="H7578" s="82"/>
    </row>
    <row r="7579" spans="1:8" ht="15" customHeight="1">
      <c r="A7579" s="85" t="s">
        <v>1762</v>
      </c>
      <c r="B7579" s="81"/>
      <c r="C7579" s="81"/>
      <c r="D7579" s="81"/>
      <c r="E7579" s="81"/>
      <c r="F7579" s="81"/>
      <c r="G7579" s="81"/>
      <c r="H7579" s="82"/>
    </row>
    <row r="7580" spans="1:8" ht="15" customHeight="1">
      <c r="A7580" s="1" t="s">
        <v>2</v>
      </c>
      <c r="B7580" s="1" t="s">
        <v>3</v>
      </c>
      <c r="C7580" s="1" t="s">
        <v>4</v>
      </c>
      <c r="D7580" s="1" t="s">
        <v>5</v>
      </c>
      <c r="E7580" s="1" t="s">
        <v>6</v>
      </c>
      <c r="F7580" s="2" t="s">
        <v>7</v>
      </c>
      <c r="G7580" s="1" t="s">
        <v>8</v>
      </c>
      <c r="H7580" s="1"/>
    </row>
    <row r="7581" spans="1:8" ht="15" customHeight="1">
      <c r="A7581" s="3">
        <v>1</v>
      </c>
      <c r="B7581" s="9" t="s">
        <v>73</v>
      </c>
      <c r="C7581" s="10" t="s">
        <v>1763</v>
      </c>
      <c r="D7581" s="9" t="s">
        <v>11</v>
      </c>
      <c r="E7581" s="9">
        <v>1.5</v>
      </c>
      <c r="F7581" s="6">
        <v>293000</v>
      </c>
      <c r="G7581" s="7">
        <f t="shared" ref="G7581:G7583" si="471">IFERROR(E7581*F7581,0)</f>
        <v>439500</v>
      </c>
      <c r="H7581" s="8"/>
    </row>
    <row r="7582" spans="1:8" ht="15" customHeight="1">
      <c r="A7582" s="3">
        <v>2</v>
      </c>
      <c r="B7582" s="9" t="s">
        <v>177</v>
      </c>
      <c r="C7582" s="10" t="s">
        <v>1764</v>
      </c>
      <c r="D7582" s="9" t="s">
        <v>14</v>
      </c>
      <c r="E7582" s="9">
        <v>1.96</v>
      </c>
      <c r="F7582" s="11">
        <v>435000</v>
      </c>
      <c r="G7582" s="7">
        <f t="shared" si="471"/>
        <v>852600</v>
      </c>
      <c r="H7582" s="8"/>
    </row>
    <row r="7583" spans="1:8" ht="15" customHeight="1">
      <c r="A7583" s="3">
        <v>3</v>
      </c>
      <c r="B7583" s="8" t="s">
        <v>17</v>
      </c>
      <c r="C7583" s="8"/>
      <c r="D7583" s="8"/>
      <c r="E7583" s="8"/>
      <c r="F7583" s="8"/>
      <c r="G7583" s="13">
        <f t="shared" si="471"/>
        <v>0</v>
      </c>
      <c r="H7583" s="8"/>
    </row>
    <row r="7584" spans="1:8" ht="15" customHeight="1">
      <c r="A7584" s="86" t="s">
        <v>18</v>
      </c>
      <c r="B7584" s="81"/>
      <c r="C7584" s="81"/>
      <c r="D7584" s="81"/>
      <c r="E7584" s="81"/>
      <c r="F7584" s="81"/>
      <c r="G7584" s="82"/>
      <c r="H7584" s="14">
        <f>SUM(G7581:G7583)</f>
        <v>1292100</v>
      </c>
    </row>
    <row r="7585" spans="1:8" ht="15" customHeight="1">
      <c r="A7585" s="86" t="s">
        <v>19</v>
      </c>
      <c r="B7585" s="81"/>
      <c r="C7585" s="81"/>
      <c r="D7585" s="81"/>
      <c r="E7585" s="81"/>
      <c r="F7585" s="81"/>
      <c r="G7585" s="82"/>
      <c r="H7585" s="14">
        <f>MAX(0,H7584-648000)</f>
        <v>644100</v>
      </c>
    </row>
    <row r="7586" spans="1:8" ht="15" customHeight="1">
      <c r="A7586" s="87" t="s">
        <v>20</v>
      </c>
      <c r="B7586" s="81"/>
      <c r="C7586" s="81"/>
      <c r="D7586" s="81"/>
      <c r="E7586" s="81"/>
      <c r="F7586" s="81"/>
      <c r="G7586" s="82"/>
      <c r="H7586" s="15">
        <v>649000</v>
      </c>
    </row>
    <row r="7587" spans="1:8" ht="15" customHeight="1">
      <c r="A7587" s="85"/>
      <c r="B7587" s="81"/>
      <c r="C7587" s="81"/>
      <c r="D7587" s="81"/>
      <c r="E7587" s="81"/>
      <c r="F7587" s="81"/>
      <c r="G7587" s="81"/>
      <c r="H7587" s="82"/>
    </row>
    <row r="7591" spans="1:8" ht="15" customHeight="1">
      <c r="A7591" s="85" t="s">
        <v>0</v>
      </c>
      <c r="B7591" s="81"/>
      <c r="C7591" s="81"/>
      <c r="D7591" s="81"/>
      <c r="E7591" s="81"/>
      <c r="F7591" s="81"/>
      <c r="G7591" s="81"/>
      <c r="H7591" s="82"/>
    </row>
    <row r="7592" spans="1:8" ht="15" customHeight="1">
      <c r="A7592" s="85" t="s">
        <v>1765</v>
      </c>
      <c r="B7592" s="81"/>
      <c r="C7592" s="81"/>
      <c r="D7592" s="81"/>
      <c r="E7592" s="81"/>
      <c r="F7592" s="81"/>
      <c r="G7592" s="81"/>
      <c r="H7592" s="82"/>
    </row>
    <row r="7593" spans="1:8" ht="15" customHeight="1">
      <c r="A7593" s="1" t="s">
        <v>2</v>
      </c>
      <c r="B7593" s="1" t="s">
        <v>3</v>
      </c>
      <c r="C7593" s="1" t="s">
        <v>4</v>
      </c>
      <c r="D7593" s="1" t="s">
        <v>5</v>
      </c>
      <c r="E7593" s="1" t="s">
        <v>6</v>
      </c>
      <c r="F7593" s="2" t="s">
        <v>7</v>
      </c>
      <c r="G7593" s="1" t="s">
        <v>8</v>
      </c>
      <c r="H7593" s="1"/>
    </row>
    <row r="7594" spans="1:8" ht="15" customHeight="1">
      <c r="A7594" s="3">
        <v>1</v>
      </c>
      <c r="B7594" s="4" t="s">
        <v>1766</v>
      </c>
      <c r="C7594" s="5" t="s">
        <v>1767</v>
      </c>
      <c r="D7594" s="4" t="s">
        <v>11</v>
      </c>
      <c r="E7594" s="4">
        <v>1.5</v>
      </c>
      <c r="F7594" s="6">
        <v>293000</v>
      </c>
      <c r="G7594" s="7">
        <f t="shared" ref="G7594:G7595" si="472">IFERROR(E7607*F7594,0)</f>
        <v>586000</v>
      </c>
      <c r="H7594" s="8"/>
    </row>
    <row r="7595" spans="1:8" ht="15" customHeight="1">
      <c r="A7595" s="3">
        <v>2</v>
      </c>
      <c r="B7595" s="4" t="s">
        <v>54</v>
      </c>
      <c r="C7595" s="19">
        <v>6767</v>
      </c>
      <c r="D7595" s="4" t="s">
        <v>14</v>
      </c>
      <c r="E7595" s="4">
        <v>2</v>
      </c>
      <c r="F7595" s="11">
        <v>435000</v>
      </c>
      <c r="G7595" s="7">
        <f t="shared" si="472"/>
        <v>617700</v>
      </c>
      <c r="H7595" s="8"/>
    </row>
    <row r="7596" spans="1:8" ht="15" customHeight="1">
      <c r="A7596" s="3">
        <v>3</v>
      </c>
      <c r="B7596" s="8" t="s">
        <v>17</v>
      </c>
      <c r="C7596" s="8"/>
      <c r="D7596" s="8"/>
      <c r="E7596" s="8"/>
      <c r="F7596" s="8"/>
      <c r="G7596" s="13">
        <f>IFERROR(E7596*F7596,0)</f>
        <v>0</v>
      </c>
      <c r="H7596" s="8"/>
    </row>
    <row r="7597" spans="1:8" ht="15" customHeight="1">
      <c r="A7597" s="86" t="s">
        <v>18</v>
      </c>
      <c r="B7597" s="81"/>
      <c r="C7597" s="81"/>
      <c r="D7597" s="81"/>
      <c r="E7597" s="81"/>
      <c r="F7597" s="81"/>
      <c r="G7597" s="82"/>
      <c r="H7597" s="14">
        <f>SUM(G7594:G7596)</f>
        <v>1203700</v>
      </c>
    </row>
    <row r="7598" spans="1:8" ht="15" customHeight="1">
      <c r="A7598" s="86" t="s">
        <v>19</v>
      </c>
      <c r="B7598" s="81"/>
      <c r="C7598" s="81"/>
      <c r="D7598" s="81"/>
      <c r="E7598" s="81"/>
      <c r="F7598" s="81"/>
      <c r="G7598" s="82"/>
      <c r="H7598" s="14">
        <f>MAX(0,H7597-648000)</f>
        <v>555700</v>
      </c>
    </row>
    <row r="7599" spans="1:8" ht="15" customHeight="1">
      <c r="A7599" s="87" t="s">
        <v>20</v>
      </c>
      <c r="B7599" s="81"/>
      <c r="C7599" s="81"/>
      <c r="D7599" s="81"/>
      <c r="E7599" s="81"/>
      <c r="F7599" s="81"/>
      <c r="G7599" s="82"/>
      <c r="H7599" s="15">
        <v>649000</v>
      </c>
    </row>
    <row r="7600" spans="1:8" ht="15" customHeight="1">
      <c r="A7600" s="85"/>
      <c r="B7600" s="81"/>
      <c r="C7600" s="81"/>
      <c r="D7600" s="81"/>
      <c r="E7600" s="81"/>
      <c r="F7600" s="81"/>
      <c r="G7600" s="81"/>
      <c r="H7600" s="82"/>
    </row>
    <row r="7604" spans="1:8" ht="15" customHeight="1">
      <c r="A7604" s="85" t="s">
        <v>0</v>
      </c>
      <c r="B7604" s="81"/>
      <c r="C7604" s="81"/>
      <c r="D7604" s="81"/>
      <c r="E7604" s="81"/>
      <c r="F7604" s="81"/>
      <c r="G7604" s="81"/>
      <c r="H7604" s="82"/>
    </row>
    <row r="7605" spans="1:8" ht="15" customHeight="1">
      <c r="A7605" s="85" t="s">
        <v>1768</v>
      </c>
      <c r="B7605" s="81"/>
      <c r="C7605" s="81"/>
      <c r="D7605" s="81"/>
      <c r="E7605" s="81"/>
      <c r="F7605" s="81"/>
      <c r="G7605" s="81"/>
      <c r="H7605" s="82"/>
    </row>
    <row r="7606" spans="1:8" ht="15" customHeight="1">
      <c r="A7606" s="1" t="s">
        <v>2</v>
      </c>
      <c r="B7606" s="1" t="s">
        <v>3</v>
      </c>
      <c r="C7606" s="1" t="s">
        <v>4</v>
      </c>
      <c r="D7606" s="1" t="s">
        <v>5</v>
      </c>
      <c r="E7606" s="1" t="s">
        <v>6</v>
      </c>
      <c r="F7606" s="2" t="s">
        <v>7</v>
      </c>
      <c r="G7606" s="1" t="s">
        <v>8</v>
      </c>
      <c r="H7606" s="1"/>
    </row>
    <row r="7607" spans="1:8" ht="15" customHeight="1">
      <c r="A7607" s="3">
        <v>1</v>
      </c>
      <c r="B7607" s="9" t="s">
        <v>1769</v>
      </c>
      <c r="C7607" s="10" t="s">
        <v>1770</v>
      </c>
      <c r="D7607" s="9" t="s">
        <v>11</v>
      </c>
      <c r="E7607" s="9">
        <v>2</v>
      </c>
      <c r="F7607" s="6">
        <v>293000</v>
      </c>
      <c r="G7607" s="7">
        <f t="shared" ref="G7607:G7608" si="473">IFERROR(E7594*F7607,0)</f>
        <v>439500</v>
      </c>
      <c r="H7607" s="8"/>
    </row>
    <row r="7608" spans="1:8" ht="15" customHeight="1">
      <c r="A7608" s="3">
        <v>2</v>
      </c>
      <c r="B7608" s="4" t="s">
        <v>38</v>
      </c>
      <c r="C7608" s="19">
        <v>6231</v>
      </c>
      <c r="D7608" s="4" t="s">
        <v>14</v>
      </c>
      <c r="E7608" s="4">
        <v>1.42</v>
      </c>
      <c r="F7608" s="11">
        <v>435000</v>
      </c>
      <c r="G7608" s="7">
        <f t="shared" si="473"/>
        <v>870000</v>
      </c>
      <c r="H7608" s="8"/>
    </row>
    <row r="7609" spans="1:8" ht="15" customHeight="1">
      <c r="A7609" s="3">
        <v>3</v>
      </c>
      <c r="B7609" s="8" t="s">
        <v>17</v>
      </c>
      <c r="C7609" s="8"/>
      <c r="D7609" s="8"/>
      <c r="E7609" s="8"/>
      <c r="F7609" s="8"/>
      <c r="G7609" s="13">
        <f>IFERROR(E7609*F7609,0)</f>
        <v>0</v>
      </c>
      <c r="H7609" s="8"/>
    </row>
    <row r="7610" spans="1:8" ht="15" customHeight="1">
      <c r="A7610" s="86" t="s">
        <v>18</v>
      </c>
      <c r="B7610" s="81"/>
      <c r="C7610" s="81"/>
      <c r="D7610" s="81"/>
      <c r="E7610" s="81"/>
      <c r="F7610" s="81"/>
      <c r="G7610" s="82"/>
      <c r="H7610" s="14">
        <f>SUM(G7607:G7609)</f>
        <v>1309500</v>
      </c>
    </row>
    <row r="7611" spans="1:8" ht="15" customHeight="1">
      <c r="A7611" s="86" t="s">
        <v>19</v>
      </c>
      <c r="B7611" s="81"/>
      <c r="C7611" s="81"/>
      <c r="D7611" s="81"/>
      <c r="E7611" s="81"/>
      <c r="F7611" s="81"/>
      <c r="G7611" s="82"/>
      <c r="H7611" s="14">
        <f>MAX(0,H7610-648000)</f>
        <v>661500</v>
      </c>
    </row>
    <row r="7612" spans="1:8" ht="15" customHeight="1">
      <c r="A7612" s="87" t="s">
        <v>20</v>
      </c>
      <c r="B7612" s="81"/>
      <c r="C7612" s="81"/>
      <c r="D7612" s="81"/>
      <c r="E7612" s="81"/>
      <c r="F7612" s="81"/>
      <c r="G7612" s="82"/>
      <c r="H7612" s="15">
        <v>649000</v>
      </c>
    </row>
    <row r="7613" spans="1:8" ht="15" customHeight="1">
      <c r="A7613" s="85"/>
      <c r="B7613" s="81"/>
      <c r="C7613" s="81"/>
      <c r="D7613" s="81"/>
      <c r="E7613" s="81"/>
      <c r="F7613" s="81"/>
      <c r="G7613" s="81"/>
      <c r="H7613" s="82"/>
    </row>
    <row r="7618" spans="1:8" ht="15" customHeight="1">
      <c r="A7618" s="85" t="s">
        <v>0</v>
      </c>
      <c r="B7618" s="81"/>
      <c r="C7618" s="81"/>
      <c r="D7618" s="81"/>
      <c r="E7618" s="81"/>
      <c r="F7618" s="81"/>
      <c r="G7618" s="81"/>
      <c r="H7618" s="82"/>
    </row>
    <row r="7619" spans="1:8" ht="15" customHeight="1">
      <c r="A7619" s="85" t="s">
        <v>1771</v>
      </c>
      <c r="B7619" s="81"/>
      <c r="C7619" s="81"/>
      <c r="D7619" s="81"/>
      <c r="E7619" s="81"/>
      <c r="F7619" s="81"/>
      <c r="G7619" s="81"/>
      <c r="H7619" s="82"/>
    </row>
    <row r="7620" spans="1:8" ht="15" customHeight="1">
      <c r="A7620" s="1" t="s">
        <v>2</v>
      </c>
      <c r="B7620" s="1" t="s">
        <v>3</v>
      </c>
      <c r="C7620" s="1" t="s">
        <v>4</v>
      </c>
      <c r="D7620" s="1" t="s">
        <v>5</v>
      </c>
      <c r="E7620" s="1" t="s">
        <v>6</v>
      </c>
      <c r="F7620" s="2" t="s">
        <v>7</v>
      </c>
      <c r="G7620" s="1" t="s">
        <v>8</v>
      </c>
      <c r="H7620" s="1"/>
    </row>
    <row r="7621" spans="1:8" ht="15" customHeight="1">
      <c r="A7621" s="3">
        <v>1</v>
      </c>
      <c r="B7621" s="4" t="s">
        <v>515</v>
      </c>
      <c r="C7621" s="5" t="s">
        <v>1772</v>
      </c>
      <c r="D7621" s="4" t="s">
        <v>11</v>
      </c>
      <c r="E7621" s="4">
        <v>2.1</v>
      </c>
      <c r="F7621" s="6">
        <v>293000</v>
      </c>
      <c r="G7621" s="7">
        <v>586000</v>
      </c>
      <c r="H7621" s="8"/>
    </row>
    <row r="7622" spans="1:8" ht="15" customHeight="1">
      <c r="A7622" s="3">
        <v>2</v>
      </c>
      <c r="B7622" s="4" t="s">
        <v>38</v>
      </c>
      <c r="C7622" s="5" t="s">
        <v>1773</v>
      </c>
      <c r="D7622" s="4" t="s">
        <v>14</v>
      </c>
      <c r="E7622" s="4">
        <v>1.3</v>
      </c>
      <c r="F7622" s="11">
        <v>435000</v>
      </c>
      <c r="G7622" s="7">
        <v>652000</v>
      </c>
      <c r="H7622" s="8"/>
    </row>
    <row r="7623" spans="1:8" ht="15" customHeight="1">
      <c r="A7623" s="3">
        <v>3</v>
      </c>
      <c r="B7623" s="8" t="s">
        <v>17</v>
      </c>
      <c r="C7623" s="8"/>
      <c r="D7623" s="8"/>
      <c r="E7623" s="8"/>
      <c r="F7623" s="8"/>
      <c r="G7623" s="13">
        <f>IFERROR(E7623*F7623,0)</f>
        <v>0</v>
      </c>
      <c r="H7623" s="8"/>
    </row>
    <row r="7624" spans="1:8" ht="15" customHeight="1">
      <c r="A7624" s="86" t="s">
        <v>18</v>
      </c>
      <c r="B7624" s="81"/>
      <c r="C7624" s="81"/>
      <c r="D7624" s="81"/>
      <c r="E7624" s="81"/>
      <c r="F7624" s="81"/>
      <c r="G7624" s="82"/>
      <c r="H7624" s="14">
        <f>SUM(G7621:G7623)</f>
        <v>1238000</v>
      </c>
    </row>
    <row r="7625" spans="1:8" ht="15" customHeight="1">
      <c r="A7625" s="86" t="s">
        <v>19</v>
      </c>
      <c r="B7625" s="81"/>
      <c r="C7625" s="81"/>
      <c r="D7625" s="81"/>
      <c r="E7625" s="81"/>
      <c r="F7625" s="81"/>
      <c r="G7625" s="82"/>
      <c r="H7625" s="14">
        <f>MAX(0,H7624-648000)</f>
        <v>590000</v>
      </c>
    </row>
    <row r="7626" spans="1:8" ht="15" customHeight="1">
      <c r="A7626" s="87" t="s">
        <v>20</v>
      </c>
      <c r="B7626" s="81"/>
      <c r="C7626" s="81"/>
      <c r="D7626" s="81"/>
      <c r="E7626" s="81"/>
      <c r="F7626" s="81"/>
      <c r="G7626" s="82"/>
      <c r="H7626" s="15">
        <v>649000</v>
      </c>
    </row>
    <row r="7627" spans="1:8" ht="15" customHeight="1">
      <c r="A7627" s="85"/>
      <c r="B7627" s="81"/>
      <c r="C7627" s="81"/>
      <c r="D7627" s="81"/>
      <c r="E7627" s="81"/>
      <c r="F7627" s="81"/>
      <c r="G7627" s="81"/>
      <c r="H7627" s="82"/>
    </row>
    <row r="7631" spans="1:8" ht="15" customHeight="1">
      <c r="A7631" s="85" t="s">
        <v>0</v>
      </c>
      <c r="B7631" s="81"/>
      <c r="C7631" s="81"/>
      <c r="D7631" s="81"/>
      <c r="E7631" s="81"/>
      <c r="F7631" s="81"/>
      <c r="G7631" s="81"/>
      <c r="H7631" s="82"/>
    </row>
    <row r="7632" spans="1:8" ht="15" customHeight="1">
      <c r="A7632" s="85" t="s">
        <v>1774</v>
      </c>
      <c r="B7632" s="81"/>
      <c r="C7632" s="81"/>
      <c r="D7632" s="81"/>
      <c r="E7632" s="81"/>
      <c r="F7632" s="81"/>
      <c r="G7632" s="81"/>
      <c r="H7632" s="82"/>
    </row>
    <row r="7633" spans="1:8" ht="15" customHeight="1">
      <c r="A7633" s="1" t="s">
        <v>2</v>
      </c>
      <c r="B7633" s="1" t="s">
        <v>3</v>
      </c>
      <c r="C7633" s="1" t="s">
        <v>4</v>
      </c>
      <c r="D7633" s="1" t="s">
        <v>5</v>
      </c>
      <c r="E7633" s="1" t="s">
        <v>6</v>
      </c>
      <c r="F7633" s="2" t="s">
        <v>7</v>
      </c>
      <c r="G7633" s="1" t="s">
        <v>8</v>
      </c>
      <c r="H7633" s="1"/>
    </row>
    <row r="7634" spans="1:8" ht="15" customHeight="1">
      <c r="A7634" s="3">
        <v>1</v>
      </c>
      <c r="B7634" s="4" t="s">
        <v>1775</v>
      </c>
      <c r="C7634" s="5" t="s">
        <v>1776</v>
      </c>
      <c r="D7634" s="4" t="s">
        <v>11</v>
      </c>
      <c r="E7634" s="4">
        <v>1.8</v>
      </c>
      <c r="F7634" s="6">
        <v>293000</v>
      </c>
      <c r="G7634" s="7">
        <f t="shared" ref="G7634:G7636" si="474">IFERROR(E7634*F7634,0)</f>
        <v>527400</v>
      </c>
      <c r="H7634" s="8"/>
    </row>
    <row r="7635" spans="1:8" ht="15" customHeight="1">
      <c r="A7635" s="3">
        <v>2</v>
      </c>
      <c r="B7635" s="9" t="s">
        <v>73</v>
      </c>
      <c r="C7635" s="75" t="s">
        <v>1777</v>
      </c>
      <c r="D7635" s="9" t="s">
        <v>14</v>
      </c>
      <c r="E7635" s="9">
        <v>1.8</v>
      </c>
      <c r="F7635" s="11">
        <v>435000</v>
      </c>
      <c r="G7635" s="7">
        <f t="shared" si="474"/>
        <v>783000</v>
      </c>
      <c r="H7635" s="8"/>
    </row>
    <row r="7636" spans="1:8" ht="15" customHeight="1">
      <c r="A7636" s="3">
        <v>3</v>
      </c>
      <c r="B7636" s="8" t="s">
        <v>17</v>
      </c>
      <c r="C7636" s="8"/>
      <c r="D7636" s="8"/>
      <c r="E7636" s="8"/>
      <c r="F7636" s="8"/>
      <c r="G7636" s="13">
        <f t="shared" si="474"/>
        <v>0</v>
      </c>
      <c r="H7636" s="8"/>
    </row>
    <row r="7637" spans="1:8" ht="15" customHeight="1">
      <c r="A7637" s="86" t="s">
        <v>18</v>
      </c>
      <c r="B7637" s="81"/>
      <c r="C7637" s="81"/>
      <c r="D7637" s="81"/>
      <c r="E7637" s="81"/>
      <c r="F7637" s="81"/>
      <c r="G7637" s="82"/>
      <c r="H7637" s="14">
        <f>SUM(G7634:G7636)</f>
        <v>1310400</v>
      </c>
    </row>
    <row r="7638" spans="1:8" ht="15" customHeight="1">
      <c r="A7638" s="86" t="s">
        <v>19</v>
      </c>
      <c r="B7638" s="81"/>
      <c r="C7638" s="81"/>
      <c r="D7638" s="81"/>
      <c r="E7638" s="81"/>
      <c r="F7638" s="81"/>
      <c r="G7638" s="82"/>
      <c r="H7638" s="14">
        <f>MAX(0,H7637-648000)</f>
        <v>662400</v>
      </c>
    </row>
    <row r="7639" spans="1:8" ht="15" customHeight="1">
      <c r="A7639" s="87" t="s">
        <v>20</v>
      </c>
      <c r="B7639" s="81"/>
      <c r="C7639" s="81"/>
      <c r="D7639" s="81"/>
      <c r="E7639" s="81"/>
      <c r="F7639" s="81"/>
      <c r="G7639" s="82"/>
      <c r="H7639" s="15">
        <v>649000</v>
      </c>
    </row>
    <row r="7640" spans="1:8" ht="15" customHeight="1">
      <c r="A7640" s="85"/>
      <c r="B7640" s="81"/>
      <c r="C7640" s="81"/>
      <c r="D7640" s="81"/>
      <c r="E7640" s="81"/>
      <c r="F7640" s="81"/>
      <c r="G7640" s="81"/>
      <c r="H7640" s="82"/>
    </row>
    <row r="7645" spans="1:8" ht="15" customHeight="1">
      <c r="A7645" s="85" t="s">
        <v>0</v>
      </c>
      <c r="B7645" s="81"/>
      <c r="C7645" s="81"/>
      <c r="D7645" s="81"/>
      <c r="E7645" s="81"/>
      <c r="F7645" s="81"/>
      <c r="G7645" s="81"/>
      <c r="H7645" s="82"/>
    </row>
    <row r="7646" spans="1:8" ht="15" customHeight="1">
      <c r="A7646" s="85" t="s">
        <v>1778</v>
      </c>
      <c r="B7646" s="81"/>
      <c r="C7646" s="81"/>
      <c r="D7646" s="81"/>
      <c r="E7646" s="81"/>
      <c r="F7646" s="81"/>
      <c r="G7646" s="81"/>
      <c r="H7646" s="82"/>
    </row>
    <row r="7647" spans="1:8" ht="15" customHeight="1">
      <c r="A7647" s="1" t="s">
        <v>2</v>
      </c>
      <c r="B7647" s="1" t="s">
        <v>3</v>
      </c>
      <c r="C7647" s="1" t="s">
        <v>4</v>
      </c>
      <c r="D7647" s="1" t="s">
        <v>5</v>
      </c>
      <c r="E7647" s="1" t="s">
        <v>6</v>
      </c>
      <c r="F7647" s="2" t="s">
        <v>7</v>
      </c>
      <c r="G7647" s="1" t="s">
        <v>8</v>
      </c>
      <c r="H7647" s="1"/>
    </row>
    <row r="7648" spans="1:8" ht="15" customHeight="1">
      <c r="A7648" s="3">
        <v>1</v>
      </c>
      <c r="B7648" s="4" t="s">
        <v>29</v>
      </c>
      <c r="C7648" s="5" t="s">
        <v>1779</v>
      </c>
      <c r="D7648" s="4" t="s">
        <v>11</v>
      </c>
      <c r="E7648" s="4">
        <v>0.9</v>
      </c>
      <c r="F7648" s="6">
        <v>293000</v>
      </c>
      <c r="G7648" s="7">
        <f t="shared" ref="G7648:G7650" si="475">IFERROR(E7648*F7648,0)</f>
        <v>263700</v>
      </c>
      <c r="H7648" s="8"/>
    </row>
    <row r="7649" spans="1:8" ht="15" customHeight="1">
      <c r="A7649" s="3">
        <v>2</v>
      </c>
      <c r="B7649" s="9" t="s">
        <v>172</v>
      </c>
      <c r="C7649" s="10" t="s">
        <v>1780</v>
      </c>
      <c r="D7649" s="9" t="s">
        <v>14</v>
      </c>
      <c r="E7649" s="9">
        <v>2.9</v>
      </c>
      <c r="F7649" s="11">
        <v>435000</v>
      </c>
      <c r="G7649" s="7">
        <f t="shared" si="475"/>
        <v>1261500</v>
      </c>
      <c r="H7649" s="8"/>
    </row>
    <row r="7650" spans="1:8" ht="15" customHeight="1">
      <c r="A7650" s="3">
        <v>3</v>
      </c>
      <c r="B7650" s="8" t="s">
        <v>17</v>
      </c>
      <c r="C7650" s="8"/>
      <c r="D7650" s="8"/>
      <c r="E7650" s="8"/>
      <c r="F7650" s="8"/>
      <c r="G7650" s="13">
        <f t="shared" si="475"/>
        <v>0</v>
      </c>
      <c r="H7650" s="8"/>
    </row>
    <row r="7651" spans="1:8" ht="15" customHeight="1">
      <c r="A7651" s="86" t="s">
        <v>18</v>
      </c>
      <c r="B7651" s="81"/>
      <c r="C7651" s="81"/>
      <c r="D7651" s="81"/>
      <c r="E7651" s="81"/>
      <c r="F7651" s="81"/>
      <c r="G7651" s="82"/>
      <c r="H7651" s="14">
        <f>SUM(G7648:G7650)</f>
        <v>1525200</v>
      </c>
    </row>
    <row r="7652" spans="1:8" ht="15" customHeight="1">
      <c r="A7652" s="86" t="s">
        <v>19</v>
      </c>
      <c r="B7652" s="81"/>
      <c r="C7652" s="81"/>
      <c r="D7652" s="81"/>
      <c r="E7652" s="81"/>
      <c r="F7652" s="81"/>
      <c r="G7652" s="82"/>
      <c r="H7652" s="14">
        <f>MAX(0,H7651-648000)</f>
        <v>877200</v>
      </c>
    </row>
    <row r="7653" spans="1:8" ht="15" customHeight="1">
      <c r="A7653" s="87" t="s">
        <v>20</v>
      </c>
      <c r="B7653" s="81"/>
      <c r="C7653" s="81"/>
      <c r="D7653" s="81"/>
      <c r="E7653" s="81"/>
      <c r="F7653" s="81"/>
      <c r="G7653" s="82"/>
      <c r="H7653" s="15">
        <v>649000</v>
      </c>
    </row>
    <row r="7654" spans="1:8" ht="15" customHeight="1">
      <c r="A7654" s="85"/>
      <c r="B7654" s="81"/>
      <c r="C7654" s="81"/>
      <c r="D7654" s="81"/>
      <c r="E7654" s="81"/>
      <c r="F7654" s="81"/>
      <c r="G7654" s="81"/>
      <c r="H7654" s="82"/>
    </row>
    <row r="7661" spans="1:8" ht="15" customHeight="1">
      <c r="A7661" s="85" t="s">
        <v>0</v>
      </c>
      <c r="B7661" s="81"/>
      <c r="C7661" s="81"/>
      <c r="D7661" s="81"/>
      <c r="E7661" s="81"/>
      <c r="F7661" s="81"/>
      <c r="G7661" s="81"/>
      <c r="H7661" s="82"/>
    </row>
    <row r="7662" spans="1:8" ht="15" customHeight="1">
      <c r="A7662" s="85" t="s">
        <v>1781</v>
      </c>
      <c r="B7662" s="81"/>
      <c r="C7662" s="81"/>
      <c r="D7662" s="81"/>
      <c r="E7662" s="81"/>
      <c r="F7662" s="81"/>
      <c r="G7662" s="81"/>
      <c r="H7662" s="82"/>
    </row>
    <row r="7663" spans="1:8" ht="15" customHeight="1">
      <c r="A7663" s="1" t="s">
        <v>2</v>
      </c>
      <c r="B7663" s="1" t="s">
        <v>3</v>
      </c>
      <c r="C7663" s="1" t="s">
        <v>4</v>
      </c>
      <c r="D7663" s="1" t="s">
        <v>5</v>
      </c>
      <c r="E7663" s="1" t="s">
        <v>6</v>
      </c>
      <c r="F7663" s="2" t="s">
        <v>7</v>
      </c>
      <c r="G7663" s="1" t="s">
        <v>8</v>
      </c>
      <c r="H7663" s="1"/>
    </row>
    <row r="7664" spans="1:8" ht="15" customHeight="1">
      <c r="A7664" s="3">
        <v>1</v>
      </c>
      <c r="B7664" s="4" t="s">
        <v>988</v>
      </c>
      <c r="C7664" s="5" t="s">
        <v>1782</v>
      </c>
      <c r="D7664" s="4" t="s">
        <v>11</v>
      </c>
      <c r="E7664" s="4">
        <v>2.33</v>
      </c>
      <c r="F7664" s="6">
        <v>293000</v>
      </c>
      <c r="G7664" s="7">
        <f t="shared" ref="G7664:G7666" si="476">IFERROR(E7664*F7664,0)</f>
        <v>682690</v>
      </c>
      <c r="H7664" s="8"/>
    </row>
    <row r="7665" spans="1:8" ht="15" customHeight="1">
      <c r="A7665" s="3">
        <v>2</v>
      </c>
      <c r="B7665" s="4" t="s">
        <v>29</v>
      </c>
      <c r="C7665" s="5" t="s">
        <v>1783</v>
      </c>
      <c r="D7665" s="4" t="s">
        <v>14</v>
      </c>
      <c r="E7665" s="4">
        <v>1.38</v>
      </c>
      <c r="F7665" s="11">
        <v>435000</v>
      </c>
      <c r="G7665" s="7">
        <f t="shared" si="476"/>
        <v>600300</v>
      </c>
      <c r="H7665" s="8"/>
    </row>
    <row r="7666" spans="1:8" ht="15" customHeight="1">
      <c r="A7666" s="3">
        <v>3</v>
      </c>
      <c r="B7666" s="8" t="s">
        <v>17</v>
      </c>
      <c r="C7666" s="8"/>
      <c r="D7666" s="8"/>
      <c r="E7666" s="8"/>
      <c r="F7666" s="8"/>
      <c r="G7666" s="13">
        <f t="shared" si="476"/>
        <v>0</v>
      </c>
      <c r="H7666" s="8"/>
    </row>
    <row r="7667" spans="1:8" ht="15" customHeight="1">
      <c r="A7667" s="86" t="s">
        <v>18</v>
      </c>
      <c r="B7667" s="81"/>
      <c r="C7667" s="81"/>
      <c r="D7667" s="81"/>
      <c r="E7667" s="81"/>
      <c r="F7667" s="81"/>
      <c r="G7667" s="82"/>
      <c r="H7667" s="14">
        <f>SUM(G7664:G7666)</f>
        <v>1282990</v>
      </c>
    </row>
    <row r="7668" spans="1:8" ht="15" customHeight="1">
      <c r="A7668" s="86" t="s">
        <v>19</v>
      </c>
      <c r="B7668" s="81"/>
      <c r="C7668" s="81"/>
      <c r="D7668" s="81"/>
      <c r="E7668" s="81"/>
      <c r="F7668" s="81"/>
      <c r="G7668" s="82"/>
      <c r="H7668" s="14">
        <f>MAX(0,H7667-648000)</f>
        <v>634990</v>
      </c>
    </row>
    <row r="7669" spans="1:8" ht="15" customHeight="1">
      <c r="A7669" s="87" t="s">
        <v>20</v>
      </c>
      <c r="B7669" s="81"/>
      <c r="C7669" s="81"/>
      <c r="D7669" s="81"/>
      <c r="E7669" s="81"/>
      <c r="F7669" s="81"/>
      <c r="G7669" s="82"/>
      <c r="H7669" s="15">
        <v>649000</v>
      </c>
    </row>
    <row r="7670" spans="1:8" ht="15" customHeight="1">
      <c r="A7670" s="85"/>
      <c r="B7670" s="81"/>
      <c r="C7670" s="81"/>
      <c r="D7670" s="81"/>
      <c r="E7670" s="81"/>
      <c r="F7670" s="81"/>
      <c r="G7670" s="81"/>
      <c r="H7670" s="82"/>
    </row>
    <row r="7674" spans="1:8" ht="15" customHeight="1">
      <c r="A7674" s="85" t="s">
        <v>0</v>
      </c>
      <c r="B7674" s="81"/>
      <c r="C7674" s="81"/>
      <c r="D7674" s="81"/>
      <c r="E7674" s="81"/>
      <c r="F7674" s="81"/>
      <c r="G7674" s="81"/>
      <c r="H7674" s="82"/>
    </row>
    <row r="7675" spans="1:8" ht="15" customHeight="1">
      <c r="A7675" s="85" t="s">
        <v>1784</v>
      </c>
      <c r="B7675" s="81"/>
      <c r="C7675" s="81"/>
      <c r="D7675" s="81"/>
      <c r="E7675" s="81"/>
      <c r="F7675" s="81"/>
      <c r="G7675" s="81"/>
      <c r="H7675" s="82"/>
    </row>
    <row r="7676" spans="1:8" ht="15" customHeight="1">
      <c r="A7676" s="1" t="s">
        <v>2</v>
      </c>
      <c r="B7676" s="1" t="s">
        <v>3</v>
      </c>
      <c r="C7676" s="1" t="s">
        <v>4</v>
      </c>
      <c r="D7676" s="1" t="s">
        <v>5</v>
      </c>
      <c r="E7676" s="1" t="s">
        <v>6</v>
      </c>
      <c r="F7676" s="2" t="s">
        <v>7</v>
      </c>
      <c r="G7676" s="1" t="s">
        <v>8</v>
      </c>
      <c r="H7676" s="1"/>
    </row>
    <row r="7677" spans="1:8" ht="15" customHeight="1">
      <c r="A7677" s="3">
        <v>1</v>
      </c>
      <c r="B7677" s="9" t="s">
        <v>45</v>
      </c>
      <c r="C7677" s="10" t="s">
        <v>1785</v>
      </c>
      <c r="D7677" s="9" t="s">
        <v>11</v>
      </c>
      <c r="E7677" s="9">
        <v>2</v>
      </c>
      <c r="F7677" s="6">
        <v>293000</v>
      </c>
      <c r="G7677" s="7">
        <f t="shared" ref="G7677:G7679" si="477">IFERROR(E7677*F7677,0)</f>
        <v>586000</v>
      </c>
      <c r="H7677" s="8"/>
    </row>
    <row r="7678" spans="1:8" ht="15" customHeight="1">
      <c r="A7678" s="3">
        <v>2</v>
      </c>
      <c r="B7678" s="4" t="s">
        <v>1739</v>
      </c>
      <c r="C7678" s="19">
        <v>6223</v>
      </c>
      <c r="D7678" s="4" t="s">
        <v>14</v>
      </c>
      <c r="E7678" s="4">
        <v>1.6</v>
      </c>
      <c r="F7678" s="11">
        <v>435000</v>
      </c>
      <c r="G7678" s="7">
        <f t="shared" si="477"/>
        <v>696000</v>
      </c>
      <c r="H7678" s="8"/>
    </row>
    <row r="7679" spans="1:8" ht="15" customHeight="1">
      <c r="A7679" s="3">
        <v>3</v>
      </c>
      <c r="B7679" s="8" t="s">
        <v>17</v>
      </c>
      <c r="C7679" s="8"/>
      <c r="D7679" s="8"/>
      <c r="E7679" s="8"/>
      <c r="F7679" s="8"/>
      <c r="G7679" s="13">
        <f t="shared" si="477"/>
        <v>0</v>
      </c>
      <c r="H7679" s="8"/>
    </row>
    <row r="7680" spans="1:8" ht="15" customHeight="1">
      <c r="A7680" s="86" t="s">
        <v>18</v>
      </c>
      <c r="B7680" s="81"/>
      <c r="C7680" s="81"/>
      <c r="D7680" s="81"/>
      <c r="E7680" s="81"/>
      <c r="F7680" s="81"/>
      <c r="G7680" s="82"/>
      <c r="H7680" s="14">
        <f>SUM(G7677:G7679)</f>
        <v>1282000</v>
      </c>
    </row>
    <row r="7681" spans="1:8" ht="15" customHeight="1">
      <c r="A7681" s="86" t="s">
        <v>19</v>
      </c>
      <c r="B7681" s="81"/>
      <c r="C7681" s="81"/>
      <c r="D7681" s="81"/>
      <c r="E7681" s="81"/>
      <c r="F7681" s="81"/>
      <c r="G7681" s="82"/>
      <c r="H7681" s="14">
        <f>MAX(0,H7680-648000)</f>
        <v>634000</v>
      </c>
    </row>
    <row r="7682" spans="1:8" ht="15" customHeight="1">
      <c r="A7682" s="87" t="s">
        <v>20</v>
      </c>
      <c r="B7682" s="81"/>
      <c r="C7682" s="81"/>
      <c r="D7682" s="81"/>
      <c r="E7682" s="81"/>
      <c r="F7682" s="81"/>
      <c r="G7682" s="82"/>
      <c r="H7682" s="15">
        <v>649000</v>
      </c>
    </row>
    <row r="7683" spans="1:8" ht="15" customHeight="1">
      <c r="A7683" s="85"/>
      <c r="B7683" s="81"/>
      <c r="C7683" s="81"/>
      <c r="D7683" s="81"/>
      <c r="E7683" s="81"/>
      <c r="F7683" s="81"/>
      <c r="G7683" s="81"/>
      <c r="H7683" s="82"/>
    </row>
    <row r="7687" spans="1:8" ht="15" customHeight="1">
      <c r="A7687" s="85" t="s">
        <v>0</v>
      </c>
      <c r="B7687" s="81"/>
      <c r="C7687" s="81"/>
      <c r="D7687" s="81"/>
      <c r="E7687" s="81"/>
      <c r="F7687" s="81"/>
      <c r="G7687" s="81"/>
      <c r="H7687" s="82"/>
    </row>
    <row r="7688" spans="1:8" ht="15" customHeight="1">
      <c r="A7688" s="85" t="s">
        <v>1786</v>
      </c>
      <c r="B7688" s="81"/>
      <c r="C7688" s="81"/>
      <c r="D7688" s="81"/>
      <c r="E7688" s="81"/>
      <c r="F7688" s="81"/>
      <c r="G7688" s="81"/>
      <c r="H7688" s="82"/>
    </row>
    <row r="7689" spans="1:8" ht="15" customHeight="1">
      <c r="A7689" s="1" t="s">
        <v>2</v>
      </c>
      <c r="B7689" s="1" t="s">
        <v>3</v>
      </c>
      <c r="C7689" s="1" t="s">
        <v>4</v>
      </c>
      <c r="D7689" s="1" t="s">
        <v>5</v>
      </c>
      <c r="E7689" s="1" t="s">
        <v>6</v>
      </c>
      <c r="F7689" s="2" t="s">
        <v>7</v>
      </c>
      <c r="G7689" s="1" t="s">
        <v>8</v>
      </c>
      <c r="H7689" s="1"/>
    </row>
    <row r="7690" spans="1:8" ht="15" customHeight="1">
      <c r="A7690" s="3">
        <v>1</v>
      </c>
      <c r="B7690" s="9" t="s">
        <v>1787</v>
      </c>
      <c r="C7690" s="10" t="s">
        <v>1788</v>
      </c>
      <c r="D7690" s="9" t="s">
        <v>11</v>
      </c>
      <c r="E7690" s="9">
        <v>2</v>
      </c>
      <c r="F7690" s="6">
        <v>293000</v>
      </c>
      <c r="G7690" s="7">
        <f t="shared" ref="G7690:G7692" si="478">IFERROR(E7690*F7690,0)</f>
        <v>586000</v>
      </c>
      <c r="H7690" s="8"/>
    </row>
    <row r="7691" spans="1:8" ht="15" customHeight="1">
      <c r="A7691" s="3">
        <v>2</v>
      </c>
      <c r="B7691" s="9" t="s">
        <v>1789</v>
      </c>
      <c r="C7691" s="20">
        <v>6211</v>
      </c>
      <c r="D7691" s="9" t="s">
        <v>14</v>
      </c>
      <c r="E7691" s="9">
        <v>1.6</v>
      </c>
      <c r="F7691" s="11">
        <v>435000</v>
      </c>
      <c r="G7691" s="7">
        <f t="shared" si="478"/>
        <v>696000</v>
      </c>
      <c r="H7691" s="8"/>
    </row>
    <row r="7692" spans="1:8" ht="15" customHeight="1">
      <c r="A7692" s="3">
        <v>3</v>
      </c>
      <c r="B7692" s="8" t="s">
        <v>17</v>
      </c>
      <c r="C7692" s="8"/>
      <c r="D7692" s="8"/>
      <c r="E7692" s="8"/>
      <c r="F7692" s="8"/>
      <c r="G7692" s="13">
        <f t="shared" si="478"/>
        <v>0</v>
      </c>
      <c r="H7692" s="8"/>
    </row>
    <row r="7693" spans="1:8" ht="15" customHeight="1">
      <c r="A7693" s="86" t="s">
        <v>18</v>
      </c>
      <c r="B7693" s="81"/>
      <c r="C7693" s="81"/>
      <c r="D7693" s="81"/>
      <c r="E7693" s="81"/>
      <c r="F7693" s="81"/>
      <c r="G7693" s="82"/>
      <c r="H7693" s="14">
        <f>SUM(G7690:G7692)</f>
        <v>1282000</v>
      </c>
    </row>
    <row r="7694" spans="1:8" ht="15" customHeight="1">
      <c r="A7694" s="86" t="s">
        <v>19</v>
      </c>
      <c r="B7694" s="81"/>
      <c r="C7694" s="81"/>
      <c r="D7694" s="81"/>
      <c r="E7694" s="81"/>
      <c r="F7694" s="81"/>
      <c r="G7694" s="82"/>
      <c r="H7694" s="14">
        <f>MAX(0,H7693-648000)</f>
        <v>634000</v>
      </c>
    </row>
    <row r="7695" spans="1:8" ht="15" customHeight="1">
      <c r="A7695" s="87" t="s">
        <v>20</v>
      </c>
      <c r="B7695" s="81"/>
      <c r="C7695" s="81"/>
      <c r="D7695" s="81"/>
      <c r="E7695" s="81"/>
      <c r="F7695" s="81"/>
      <c r="G7695" s="82"/>
      <c r="H7695" s="15">
        <v>649000</v>
      </c>
    </row>
    <row r="7696" spans="1:8" ht="15" customHeight="1">
      <c r="A7696" s="85"/>
      <c r="B7696" s="81"/>
      <c r="C7696" s="81"/>
      <c r="D7696" s="81"/>
      <c r="E7696" s="81"/>
      <c r="F7696" s="81"/>
      <c r="G7696" s="81"/>
      <c r="H7696" s="82"/>
    </row>
    <row r="7700" spans="1:8" ht="15" customHeight="1">
      <c r="A7700" s="85" t="s">
        <v>0</v>
      </c>
      <c r="B7700" s="81"/>
      <c r="C7700" s="81"/>
      <c r="D7700" s="81"/>
      <c r="E7700" s="81"/>
      <c r="F7700" s="81"/>
      <c r="G7700" s="81"/>
      <c r="H7700" s="82"/>
    </row>
    <row r="7701" spans="1:8" ht="15" customHeight="1">
      <c r="A7701" s="85" t="s">
        <v>1790</v>
      </c>
      <c r="B7701" s="81"/>
      <c r="C7701" s="81"/>
      <c r="D7701" s="81"/>
      <c r="E7701" s="81"/>
      <c r="F7701" s="81"/>
      <c r="G7701" s="81"/>
      <c r="H7701" s="82"/>
    </row>
    <row r="7702" spans="1:8" ht="15" customHeight="1">
      <c r="A7702" s="1" t="s">
        <v>2</v>
      </c>
      <c r="B7702" s="1" t="s">
        <v>3</v>
      </c>
      <c r="C7702" s="1" t="s">
        <v>4</v>
      </c>
      <c r="D7702" s="1" t="s">
        <v>5</v>
      </c>
      <c r="E7702" s="1" t="s">
        <v>6</v>
      </c>
      <c r="F7702" s="2" t="s">
        <v>7</v>
      </c>
      <c r="G7702" s="1" t="s">
        <v>8</v>
      </c>
      <c r="H7702" s="1"/>
    </row>
    <row r="7703" spans="1:8" ht="15" customHeight="1">
      <c r="A7703" s="3">
        <v>1</v>
      </c>
      <c r="B7703" s="9" t="s">
        <v>36</v>
      </c>
      <c r="C7703" s="20">
        <v>3746</v>
      </c>
      <c r="D7703" s="9" t="s">
        <v>11</v>
      </c>
      <c r="E7703" s="9">
        <v>2</v>
      </c>
      <c r="F7703" s="6">
        <v>293000</v>
      </c>
      <c r="G7703" s="7">
        <f t="shared" ref="G7703:G7705" si="479">IFERROR(E7703*F7703,0)</f>
        <v>586000</v>
      </c>
      <c r="H7703" s="8"/>
    </row>
    <row r="7704" spans="1:8" ht="15" customHeight="1">
      <c r="A7704" s="3">
        <v>2</v>
      </c>
      <c r="B7704" s="4" t="s">
        <v>1202</v>
      </c>
      <c r="C7704" s="19">
        <v>6227</v>
      </c>
      <c r="D7704" s="4" t="s">
        <v>14</v>
      </c>
      <c r="E7704" s="4">
        <v>1.31</v>
      </c>
      <c r="F7704" s="11">
        <v>435000</v>
      </c>
      <c r="G7704" s="7">
        <f t="shared" si="479"/>
        <v>569850</v>
      </c>
      <c r="H7704" s="8"/>
    </row>
    <row r="7705" spans="1:8" ht="15" customHeight="1">
      <c r="A7705" s="3">
        <v>3</v>
      </c>
      <c r="B7705" s="8" t="s">
        <v>17</v>
      </c>
      <c r="C7705" s="8"/>
      <c r="D7705" s="8"/>
      <c r="E7705" s="8"/>
      <c r="F7705" s="8"/>
      <c r="G7705" s="13">
        <f t="shared" si="479"/>
        <v>0</v>
      </c>
      <c r="H7705" s="8"/>
    </row>
    <row r="7706" spans="1:8" ht="15" customHeight="1">
      <c r="A7706" s="86" t="s">
        <v>18</v>
      </c>
      <c r="B7706" s="81"/>
      <c r="C7706" s="81"/>
      <c r="D7706" s="81"/>
      <c r="E7706" s="81"/>
      <c r="F7706" s="81"/>
      <c r="G7706" s="82"/>
      <c r="H7706" s="14">
        <f>SUM(G7703:G7705)</f>
        <v>1155850</v>
      </c>
    </row>
    <row r="7707" spans="1:8" ht="15" customHeight="1">
      <c r="A7707" s="86" t="s">
        <v>19</v>
      </c>
      <c r="B7707" s="81"/>
      <c r="C7707" s="81"/>
      <c r="D7707" s="81"/>
      <c r="E7707" s="81"/>
      <c r="F7707" s="81"/>
      <c r="G7707" s="82"/>
      <c r="H7707" s="14">
        <f>MAX(0,H7706-648000)</f>
        <v>507850</v>
      </c>
    </row>
    <row r="7708" spans="1:8" ht="15" customHeight="1">
      <c r="A7708" s="87" t="s">
        <v>20</v>
      </c>
      <c r="B7708" s="81"/>
      <c r="C7708" s="81"/>
      <c r="D7708" s="81"/>
      <c r="E7708" s="81"/>
      <c r="F7708" s="81"/>
      <c r="G7708" s="82"/>
      <c r="H7708" s="15">
        <v>649000</v>
      </c>
    </row>
    <row r="7709" spans="1:8" ht="15" customHeight="1">
      <c r="A7709" s="85"/>
      <c r="B7709" s="81"/>
      <c r="C7709" s="81"/>
      <c r="D7709" s="81"/>
      <c r="E7709" s="81"/>
      <c r="F7709" s="81"/>
      <c r="G7709" s="81"/>
      <c r="H7709" s="82"/>
    </row>
    <row r="7713" spans="1:8" ht="15" customHeight="1">
      <c r="A7713" s="85" t="s">
        <v>0</v>
      </c>
      <c r="B7713" s="81"/>
      <c r="C7713" s="81"/>
      <c r="D7713" s="81"/>
      <c r="E7713" s="81"/>
      <c r="F7713" s="81"/>
      <c r="G7713" s="81"/>
      <c r="H7713" s="82"/>
    </row>
    <row r="7714" spans="1:8" ht="15" customHeight="1">
      <c r="A7714" s="85" t="s">
        <v>1791</v>
      </c>
      <c r="B7714" s="81"/>
      <c r="C7714" s="81"/>
      <c r="D7714" s="81"/>
      <c r="E7714" s="81"/>
      <c r="F7714" s="81"/>
      <c r="G7714" s="81"/>
      <c r="H7714" s="82"/>
    </row>
    <row r="7715" spans="1:8" ht="15" customHeight="1">
      <c r="A7715" s="1" t="s">
        <v>2</v>
      </c>
      <c r="B7715" s="1" t="s">
        <v>3</v>
      </c>
      <c r="C7715" s="1" t="s">
        <v>4</v>
      </c>
      <c r="D7715" s="1" t="s">
        <v>5</v>
      </c>
      <c r="E7715" s="1" t="s">
        <v>6</v>
      </c>
      <c r="F7715" s="2" t="s">
        <v>7</v>
      </c>
      <c r="G7715" s="1" t="s">
        <v>8</v>
      </c>
      <c r="H7715" s="1"/>
    </row>
    <row r="7716" spans="1:8" ht="15" customHeight="1">
      <c r="A7716" s="3">
        <v>1</v>
      </c>
      <c r="B7716" s="4" t="s">
        <v>1792</v>
      </c>
      <c r="C7716" s="19">
        <v>3039</v>
      </c>
      <c r="D7716" s="4" t="s">
        <v>11</v>
      </c>
      <c r="E7716" s="4">
        <v>2</v>
      </c>
      <c r="F7716" s="6">
        <v>293000</v>
      </c>
      <c r="G7716" s="7">
        <f t="shared" ref="G7716:G7718" si="480">IFERROR(E7716*F7716,0)</f>
        <v>586000</v>
      </c>
      <c r="H7716" s="8"/>
    </row>
    <row r="7717" spans="1:8" ht="15" customHeight="1">
      <c r="A7717" s="3">
        <v>2</v>
      </c>
      <c r="B7717" s="9" t="s">
        <v>65</v>
      </c>
      <c r="C7717" s="20">
        <v>2219</v>
      </c>
      <c r="D7717" s="9" t="s">
        <v>14</v>
      </c>
      <c r="E7717" s="9">
        <v>1.33</v>
      </c>
      <c r="F7717" s="11">
        <v>435000</v>
      </c>
      <c r="G7717" s="7">
        <f t="shared" si="480"/>
        <v>578550</v>
      </c>
      <c r="H7717" s="8"/>
    </row>
    <row r="7718" spans="1:8" ht="15" customHeight="1">
      <c r="A7718" s="3">
        <v>3</v>
      </c>
      <c r="B7718" s="8" t="s">
        <v>17</v>
      </c>
      <c r="C7718" s="8"/>
      <c r="D7718" s="8"/>
      <c r="E7718" s="8"/>
      <c r="F7718" s="8"/>
      <c r="G7718" s="13">
        <f t="shared" si="480"/>
        <v>0</v>
      </c>
      <c r="H7718" s="8"/>
    </row>
    <row r="7719" spans="1:8" ht="15" customHeight="1">
      <c r="A7719" s="86" t="s">
        <v>18</v>
      </c>
      <c r="B7719" s="81"/>
      <c r="C7719" s="81"/>
      <c r="D7719" s="81"/>
      <c r="E7719" s="81"/>
      <c r="F7719" s="81"/>
      <c r="G7719" s="82"/>
      <c r="H7719" s="14">
        <f>SUM(G7716:G7718)</f>
        <v>1164550</v>
      </c>
    </row>
    <row r="7720" spans="1:8" ht="15" customHeight="1">
      <c r="A7720" s="86" t="s">
        <v>19</v>
      </c>
      <c r="B7720" s="81"/>
      <c r="C7720" s="81"/>
      <c r="D7720" s="81"/>
      <c r="E7720" s="81"/>
      <c r="F7720" s="81"/>
      <c r="G7720" s="82"/>
      <c r="H7720" s="14">
        <f>MAX(0,H7719-648000)</f>
        <v>516550</v>
      </c>
    </row>
    <row r="7721" spans="1:8" ht="15" customHeight="1">
      <c r="A7721" s="87" t="s">
        <v>20</v>
      </c>
      <c r="B7721" s="81"/>
      <c r="C7721" s="81"/>
      <c r="D7721" s="81"/>
      <c r="E7721" s="81"/>
      <c r="F7721" s="81"/>
      <c r="G7721" s="82"/>
      <c r="H7721" s="15">
        <v>649000</v>
      </c>
    </row>
    <row r="7722" spans="1:8" ht="15" customHeight="1">
      <c r="A7722" s="85"/>
      <c r="B7722" s="81"/>
      <c r="C7722" s="81"/>
      <c r="D7722" s="81"/>
      <c r="E7722" s="81"/>
      <c r="F7722" s="81"/>
      <c r="G7722" s="81"/>
      <c r="H7722" s="82"/>
    </row>
    <row r="7726" spans="1:8" ht="15" customHeight="1">
      <c r="A7726" s="85" t="s">
        <v>0</v>
      </c>
      <c r="B7726" s="81"/>
      <c r="C7726" s="81"/>
      <c r="D7726" s="81"/>
      <c r="E7726" s="81"/>
      <c r="F7726" s="81"/>
      <c r="G7726" s="81"/>
      <c r="H7726" s="82"/>
    </row>
    <row r="7727" spans="1:8" ht="15" customHeight="1">
      <c r="A7727" s="85" t="s">
        <v>1793</v>
      </c>
      <c r="B7727" s="81"/>
      <c r="C7727" s="81"/>
      <c r="D7727" s="81"/>
      <c r="E7727" s="81"/>
      <c r="F7727" s="81"/>
      <c r="G7727" s="81"/>
      <c r="H7727" s="82"/>
    </row>
    <row r="7728" spans="1:8" ht="15" customHeight="1">
      <c r="A7728" s="1" t="s">
        <v>2</v>
      </c>
      <c r="B7728" s="1" t="s">
        <v>3</v>
      </c>
      <c r="C7728" s="1" t="s">
        <v>4</v>
      </c>
      <c r="D7728" s="1" t="s">
        <v>5</v>
      </c>
      <c r="E7728" s="1" t="s">
        <v>6</v>
      </c>
      <c r="F7728" s="2" t="s">
        <v>7</v>
      </c>
      <c r="G7728" s="1" t="s">
        <v>8</v>
      </c>
      <c r="H7728" s="1"/>
    </row>
    <row r="7729" spans="1:8" ht="15" customHeight="1">
      <c r="A7729" s="3">
        <v>1</v>
      </c>
      <c r="B7729" s="4" t="s">
        <v>1794</v>
      </c>
      <c r="C7729" s="19">
        <v>4077</v>
      </c>
      <c r="D7729" s="4" t="s">
        <v>11</v>
      </c>
      <c r="E7729" s="4">
        <v>2</v>
      </c>
      <c r="F7729" s="6">
        <v>293000</v>
      </c>
      <c r="G7729" s="7">
        <f t="shared" ref="G7729:G7730" si="481">IFERROR(E7479*F7729,0)</f>
        <v>586000</v>
      </c>
      <c r="H7729" s="8"/>
    </row>
    <row r="7730" spans="1:8" ht="15" customHeight="1">
      <c r="A7730" s="3">
        <v>2</v>
      </c>
      <c r="B7730" s="9" t="s">
        <v>289</v>
      </c>
      <c r="C7730" s="20">
        <v>6216</v>
      </c>
      <c r="D7730" s="9" t="s">
        <v>14</v>
      </c>
      <c r="E7730" s="9">
        <v>1</v>
      </c>
      <c r="F7730" s="11">
        <v>435000</v>
      </c>
      <c r="G7730" s="7">
        <f t="shared" si="481"/>
        <v>543750</v>
      </c>
      <c r="H7730" s="8"/>
    </row>
    <row r="7731" spans="1:8" ht="15" customHeight="1">
      <c r="A7731" s="3">
        <v>3</v>
      </c>
      <c r="B7731" s="8" t="s">
        <v>17</v>
      </c>
      <c r="C7731" s="8"/>
      <c r="D7731" s="8"/>
      <c r="E7731" s="8"/>
      <c r="F7731" s="8"/>
      <c r="G7731" s="13">
        <f>IFERROR(E7731*F7731,0)</f>
        <v>0</v>
      </c>
      <c r="H7731" s="8"/>
    </row>
    <row r="7732" spans="1:8" ht="15" customHeight="1">
      <c r="A7732" s="86" t="s">
        <v>18</v>
      </c>
      <c r="B7732" s="81"/>
      <c r="C7732" s="81"/>
      <c r="D7732" s="81"/>
      <c r="E7732" s="81"/>
      <c r="F7732" s="81"/>
      <c r="G7732" s="82"/>
      <c r="H7732" s="14">
        <f>SUM(G7729:G7731)</f>
        <v>1129750</v>
      </c>
    </row>
    <row r="7733" spans="1:8" ht="15" customHeight="1">
      <c r="A7733" s="86" t="s">
        <v>19</v>
      </c>
      <c r="B7733" s="81"/>
      <c r="C7733" s="81"/>
      <c r="D7733" s="81"/>
      <c r="E7733" s="81"/>
      <c r="F7733" s="81"/>
      <c r="G7733" s="82"/>
      <c r="H7733" s="14">
        <f>MAX(0,H7732-648000)</f>
        <v>481750</v>
      </c>
    </row>
    <row r="7734" spans="1:8" ht="15" customHeight="1">
      <c r="A7734" s="87" t="s">
        <v>20</v>
      </c>
      <c r="B7734" s="81"/>
      <c r="C7734" s="81"/>
      <c r="D7734" s="81"/>
      <c r="E7734" s="81"/>
      <c r="F7734" s="81"/>
      <c r="G7734" s="82"/>
      <c r="H7734" s="15">
        <v>649000</v>
      </c>
    </row>
    <row r="7735" spans="1:8" ht="15" customHeight="1">
      <c r="A7735" s="85"/>
      <c r="B7735" s="81"/>
      <c r="C7735" s="81"/>
      <c r="D7735" s="81"/>
      <c r="E7735" s="81"/>
      <c r="F7735" s="81"/>
      <c r="G7735" s="81"/>
      <c r="H7735" s="82"/>
    </row>
    <row r="7740" spans="1:8" ht="15" customHeight="1">
      <c r="A7740" s="85" t="s">
        <v>0</v>
      </c>
      <c r="B7740" s="81"/>
      <c r="C7740" s="81"/>
      <c r="D7740" s="81"/>
      <c r="E7740" s="81"/>
      <c r="F7740" s="81"/>
      <c r="G7740" s="81"/>
      <c r="H7740" s="82"/>
    </row>
    <row r="7741" spans="1:8" ht="15" customHeight="1">
      <c r="A7741" s="85" t="s">
        <v>1795</v>
      </c>
      <c r="B7741" s="81"/>
      <c r="C7741" s="81"/>
      <c r="D7741" s="81"/>
      <c r="E7741" s="81"/>
      <c r="F7741" s="81"/>
      <c r="G7741" s="81"/>
      <c r="H7741" s="82"/>
    </row>
    <row r="7742" spans="1:8" ht="15" customHeight="1">
      <c r="A7742" s="1" t="s">
        <v>2</v>
      </c>
      <c r="B7742" s="1" t="s">
        <v>3</v>
      </c>
      <c r="C7742" s="1" t="s">
        <v>4</v>
      </c>
      <c r="D7742" s="1" t="s">
        <v>5</v>
      </c>
      <c r="E7742" s="1" t="s">
        <v>6</v>
      </c>
      <c r="F7742" s="2" t="s">
        <v>7</v>
      </c>
      <c r="G7742" s="1" t="s">
        <v>8</v>
      </c>
      <c r="H7742" s="1"/>
    </row>
    <row r="7743" spans="1:8" ht="15" customHeight="1">
      <c r="A7743" s="3">
        <v>1</v>
      </c>
      <c r="B7743" s="4" t="s">
        <v>70</v>
      </c>
      <c r="C7743" s="5" t="s">
        <v>1796</v>
      </c>
      <c r="D7743" s="4" t="s">
        <v>11</v>
      </c>
      <c r="E7743" s="4">
        <v>0.4</v>
      </c>
      <c r="F7743" s="6">
        <v>293000</v>
      </c>
      <c r="G7743" s="7">
        <f t="shared" ref="G7743:G7745" si="482">IFERROR(E7743*F7743,0)</f>
        <v>117200</v>
      </c>
      <c r="H7743" s="8"/>
    </row>
    <row r="7744" spans="1:8" ht="15" customHeight="1">
      <c r="A7744" s="3">
        <v>2</v>
      </c>
      <c r="B7744" s="4" t="s">
        <v>278</v>
      </c>
      <c r="C7744" s="19">
        <v>6761</v>
      </c>
      <c r="D7744" s="4" t="s">
        <v>14</v>
      </c>
      <c r="E7744" s="4">
        <v>3</v>
      </c>
      <c r="F7744" s="11">
        <v>435000</v>
      </c>
      <c r="G7744" s="7">
        <f t="shared" si="482"/>
        <v>1305000</v>
      </c>
      <c r="H7744" s="8"/>
    </row>
    <row r="7745" spans="1:8" ht="15" customHeight="1">
      <c r="A7745" s="3">
        <v>3</v>
      </c>
      <c r="B7745" s="8" t="s">
        <v>17</v>
      </c>
      <c r="C7745" s="8"/>
      <c r="D7745" s="8"/>
      <c r="E7745" s="8"/>
      <c r="F7745" s="8"/>
      <c r="G7745" s="13">
        <f t="shared" si="482"/>
        <v>0</v>
      </c>
      <c r="H7745" s="8"/>
    </row>
    <row r="7746" spans="1:8" ht="15" customHeight="1">
      <c r="A7746" s="86" t="s">
        <v>18</v>
      </c>
      <c r="B7746" s="81"/>
      <c r="C7746" s="81"/>
      <c r="D7746" s="81"/>
      <c r="E7746" s="81"/>
      <c r="F7746" s="81"/>
      <c r="G7746" s="82"/>
      <c r="H7746" s="14">
        <f>SUM(G7743:G7745)</f>
        <v>1422200</v>
      </c>
    </row>
    <row r="7747" spans="1:8" ht="15" customHeight="1">
      <c r="A7747" s="86" t="s">
        <v>19</v>
      </c>
      <c r="B7747" s="81"/>
      <c r="C7747" s="81"/>
      <c r="D7747" s="81"/>
      <c r="E7747" s="81"/>
      <c r="F7747" s="81"/>
      <c r="G7747" s="82"/>
      <c r="H7747" s="14">
        <f>MAX(0,H7746-648000)</f>
        <v>774200</v>
      </c>
    </row>
    <row r="7748" spans="1:8" ht="15" customHeight="1">
      <c r="A7748" s="87" t="s">
        <v>20</v>
      </c>
      <c r="B7748" s="81"/>
      <c r="C7748" s="81"/>
      <c r="D7748" s="81"/>
      <c r="E7748" s="81"/>
      <c r="F7748" s="81"/>
      <c r="G7748" s="82"/>
      <c r="H7748" s="15">
        <v>649000</v>
      </c>
    </row>
    <row r="7749" spans="1:8" ht="15" customHeight="1">
      <c r="A7749" s="85"/>
      <c r="B7749" s="81"/>
      <c r="C7749" s="81"/>
      <c r="D7749" s="81"/>
      <c r="E7749" s="81"/>
      <c r="F7749" s="81"/>
      <c r="G7749" s="81"/>
      <c r="H7749" s="82"/>
    </row>
    <row r="7754" spans="1:8" ht="15" customHeight="1">
      <c r="A7754" s="85" t="s">
        <v>0</v>
      </c>
      <c r="B7754" s="81"/>
      <c r="C7754" s="81"/>
      <c r="D7754" s="81"/>
      <c r="E7754" s="81"/>
      <c r="F7754" s="81"/>
      <c r="G7754" s="81"/>
      <c r="H7754" s="82"/>
    </row>
    <row r="7755" spans="1:8" ht="15" customHeight="1">
      <c r="A7755" s="85" t="s">
        <v>1797</v>
      </c>
      <c r="B7755" s="81"/>
      <c r="C7755" s="81"/>
      <c r="D7755" s="81"/>
      <c r="E7755" s="81"/>
      <c r="F7755" s="81"/>
      <c r="G7755" s="81"/>
      <c r="H7755" s="82"/>
    </row>
    <row r="7756" spans="1:8" ht="15" customHeight="1">
      <c r="A7756" s="1" t="s">
        <v>2</v>
      </c>
      <c r="B7756" s="1" t="s">
        <v>3</v>
      </c>
      <c r="C7756" s="1" t="s">
        <v>4</v>
      </c>
      <c r="D7756" s="1" t="s">
        <v>5</v>
      </c>
      <c r="E7756" s="1" t="s">
        <v>6</v>
      </c>
      <c r="F7756" s="2" t="s">
        <v>7</v>
      </c>
      <c r="G7756" s="1" t="s">
        <v>8</v>
      </c>
      <c r="H7756" s="1"/>
    </row>
    <row r="7757" spans="1:8" ht="15" customHeight="1">
      <c r="A7757" s="3">
        <v>1</v>
      </c>
      <c r="B7757" s="9" t="s">
        <v>73</v>
      </c>
      <c r="C7757" s="10" t="s">
        <v>1798</v>
      </c>
      <c r="D7757" s="9" t="s">
        <v>11</v>
      </c>
      <c r="E7757" s="9">
        <v>2</v>
      </c>
      <c r="F7757" s="6">
        <v>293000</v>
      </c>
      <c r="G7757" s="7">
        <f t="shared" ref="G7757:G7759" si="483">IFERROR(E7757*F7757,0)</f>
        <v>586000</v>
      </c>
      <c r="H7757" s="8"/>
    </row>
    <row r="7758" spans="1:8" ht="15" customHeight="1">
      <c r="A7758" s="3">
        <v>2</v>
      </c>
      <c r="B7758" s="9" t="s">
        <v>1269</v>
      </c>
      <c r="C7758" s="20">
        <v>6230</v>
      </c>
      <c r="D7758" s="9" t="s">
        <v>14</v>
      </c>
      <c r="E7758" s="9">
        <v>1.48</v>
      </c>
      <c r="F7758" s="11">
        <v>435000</v>
      </c>
      <c r="G7758" s="7">
        <f t="shared" si="483"/>
        <v>643800</v>
      </c>
      <c r="H7758" s="8"/>
    </row>
    <row r="7759" spans="1:8" ht="15" customHeight="1">
      <c r="A7759" s="3">
        <v>4</v>
      </c>
      <c r="B7759" s="8" t="s">
        <v>17</v>
      </c>
      <c r="C7759" s="8"/>
      <c r="D7759" s="8"/>
      <c r="E7759" s="8"/>
      <c r="F7759" s="8"/>
      <c r="G7759" s="13">
        <f t="shared" si="483"/>
        <v>0</v>
      </c>
      <c r="H7759" s="8"/>
    </row>
    <row r="7760" spans="1:8" ht="15" customHeight="1">
      <c r="A7760" s="86" t="s">
        <v>18</v>
      </c>
      <c r="B7760" s="81"/>
      <c r="C7760" s="81"/>
      <c r="D7760" s="81"/>
      <c r="E7760" s="81"/>
      <c r="F7760" s="81"/>
      <c r="G7760" s="82"/>
      <c r="H7760" s="14">
        <f>SUM(G7757:G7759)</f>
        <v>1229800</v>
      </c>
    </row>
    <row r="7761" spans="1:8" ht="15" customHeight="1">
      <c r="A7761" s="86" t="s">
        <v>19</v>
      </c>
      <c r="B7761" s="81"/>
      <c r="C7761" s="81"/>
      <c r="D7761" s="81"/>
      <c r="E7761" s="81"/>
      <c r="F7761" s="81"/>
      <c r="G7761" s="82"/>
      <c r="H7761" s="14">
        <f>MAX(0,H7760-648000)</f>
        <v>581800</v>
      </c>
    </row>
    <row r="7762" spans="1:8" ht="15" customHeight="1">
      <c r="A7762" s="87" t="s">
        <v>20</v>
      </c>
      <c r="B7762" s="81"/>
      <c r="C7762" s="81"/>
      <c r="D7762" s="81"/>
      <c r="E7762" s="81"/>
      <c r="F7762" s="81"/>
      <c r="G7762" s="82"/>
      <c r="H7762" s="15">
        <v>649000</v>
      </c>
    </row>
    <row r="7763" spans="1:8" ht="15" customHeight="1">
      <c r="A7763" s="85"/>
      <c r="B7763" s="81"/>
      <c r="C7763" s="81"/>
      <c r="D7763" s="81"/>
      <c r="E7763" s="81"/>
      <c r="F7763" s="81"/>
      <c r="G7763" s="81"/>
      <c r="H7763" s="82"/>
    </row>
    <row r="7768" spans="1:8" ht="15" customHeight="1">
      <c r="A7768" s="85" t="s">
        <v>0</v>
      </c>
      <c r="B7768" s="81"/>
      <c r="C7768" s="81"/>
      <c r="D7768" s="81"/>
      <c r="E7768" s="81"/>
      <c r="F7768" s="81"/>
      <c r="G7768" s="81"/>
      <c r="H7768" s="82"/>
    </row>
    <row r="7769" spans="1:8" ht="15" customHeight="1">
      <c r="A7769" s="85" t="s">
        <v>1799</v>
      </c>
      <c r="B7769" s="81"/>
      <c r="C7769" s="81"/>
      <c r="D7769" s="81"/>
      <c r="E7769" s="81"/>
      <c r="F7769" s="81"/>
      <c r="G7769" s="81"/>
      <c r="H7769" s="82"/>
    </row>
    <row r="7770" spans="1:8" ht="15" customHeight="1">
      <c r="A7770" s="1" t="s">
        <v>2</v>
      </c>
      <c r="B7770" s="1" t="s">
        <v>3</v>
      </c>
      <c r="C7770" s="1" t="s">
        <v>4</v>
      </c>
      <c r="D7770" s="1" t="s">
        <v>5</v>
      </c>
      <c r="E7770" s="1" t="s">
        <v>6</v>
      </c>
      <c r="F7770" s="2" t="s">
        <v>7</v>
      </c>
      <c r="G7770" s="1" t="s">
        <v>8</v>
      </c>
      <c r="H7770" s="1"/>
    </row>
    <row r="7771" spans="1:8" ht="15" customHeight="1">
      <c r="A7771" s="3">
        <v>1</v>
      </c>
      <c r="B7771" s="4" t="s">
        <v>1800</v>
      </c>
      <c r="C7771" s="5" t="s">
        <v>1801</v>
      </c>
      <c r="D7771" s="4" t="s">
        <v>11</v>
      </c>
      <c r="E7771" s="4">
        <v>1.95</v>
      </c>
      <c r="F7771" s="6">
        <v>293000</v>
      </c>
      <c r="G7771" s="7">
        <f t="shared" ref="G7771:G7773" si="484">IFERROR(E7771*F7771,0)</f>
        <v>571350</v>
      </c>
      <c r="H7771" s="8"/>
    </row>
    <row r="7772" spans="1:8" ht="15" customHeight="1">
      <c r="A7772" s="3">
        <v>2</v>
      </c>
      <c r="B7772" s="9" t="s">
        <v>1324</v>
      </c>
      <c r="C7772" s="20">
        <v>6783</v>
      </c>
      <c r="D7772" s="9" t="s">
        <v>14</v>
      </c>
      <c r="E7772" s="9">
        <v>1.6</v>
      </c>
      <c r="F7772" s="11">
        <v>435000</v>
      </c>
      <c r="G7772" s="7">
        <f t="shared" si="484"/>
        <v>696000</v>
      </c>
      <c r="H7772" s="8"/>
    </row>
    <row r="7773" spans="1:8" ht="15" customHeight="1">
      <c r="A7773" s="3">
        <v>4</v>
      </c>
      <c r="B7773" s="8" t="s">
        <v>17</v>
      </c>
      <c r="C7773" s="8"/>
      <c r="D7773" s="8"/>
      <c r="E7773" s="8"/>
      <c r="F7773" s="8"/>
      <c r="G7773" s="13">
        <f t="shared" si="484"/>
        <v>0</v>
      </c>
      <c r="H7773" s="8"/>
    </row>
    <row r="7774" spans="1:8" ht="15" customHeight="1">
      <c r="A7774" s="86" t="s">
        <v>18</v>
      </c>
      <c r="B7774" s="81"/>
      <c r="C7774" s="81"/>
      <c r="D7774" s="81"/>
      <c r="E7774" s="81"/>
      <c r="F7774" s="81"/>
      <c r="G7774" s="82"/>
      <c r="H7774" s="14">
        <f>SUM(G7771:G7773)</f>
        <v>1267350</v>
      </c>
    </row>
    <row r="7775" spans="1:8" ht="15" customHeight="1">
      <c r="A7775" s="86" t="s">
        <v>19</v>
      </c>
      <c r="B7775" s="81"/>
      <c r="C7775" s="81"/>
      <c r="D7775" s="81"/>
      <c r="E7775" s="81"/>
      <c r="F7775" s="81"/>
      <c r="G7775" s="82"/>
      <c r="H7775" s="14">
        <f>MAX(0,H7774-648000)</f>
        <v>619350</v>
      </c>
    </row>
    <row r="7776" spans="1:8" ht="15" customHeight="1">
      <c r="A7776" s="87" t="s">
        <v>20</v>
      </c>
      <c r="B7776" s="81"/>
      <c r="C7776" s="81"/>
      <c r="D7776" s="81"/>
      <c r="E7776" s="81"/>
      <c r="F7776" s="81"/>
      <c r="G7776" s="82"/>
      <c r="H7776" s="15">
        <v>649000</v>
      </c>
    </row>
    <row r="7777" spans="1:8" ht="15" customHeight="1">
      <c r="A7777" s="85"/>
      <c r="B7777" s="81"/>
      <c r="C7777" s="81"/>
      <c r="D7777" s="81"/>
      <c r="E7777" s="81"/>
      <c r="F7777" s="81"/>
      <c r="G7777" s="81"/>
      <c r="H7777" s="82"/>
    </row>
  </sheetData>
  <mergeCells count="2889">
    <mergeCell ref="A7754:H7754"/>
    <mergeCell ref="A7755:H7755"/>
    <mergeCell ref="A7760:G7760"/>
    <mergeCell ref="A7761:G7761"/>
    <mergeCell ref="A7762:G7762"/>
    <mergeCell ref="A7763:H7763"/>
    <mergeCell ref="A7768:H7768"/>
    <mergeCell ref="A7769:H7769"/>
    <mergeCell ref="A7774:G7774"/>
    <mergeCell ref="A7775:G7775"/>
    <mergeCell ref="A7776:G7776"/>
    <mergeCell ref="A7777:H7777"/>
    <mergeCell ref="A7714:H7714"/>
    <mergeCell ref="A7719:G7719"/>
    <mergeCell ref="A7720:G7720"/>
    <mergeCell ref="A7721:G7721"/>
    <mergeCell ref="A7722:H7722"/>
    <mergeCell ref="A7726:H7726"/>
    <mergeCell ref="A7727:H7727"/>
    <mergeCell ref="A7732:G7732"/>
    <mergeCell ref="A7733:G7733"/>
    <mergeCell ref="A7734:G7734"/>
    <mergeCell ref="A7735:H7735"/>
    <mergeCell ref="A7740:H7740"/>
    <mergeCell ref="A7741:H7741"/>
    <mergeCell ref="A7746:G7746"/>
    <mergeCell ref="A7747:G7747"/>
    <mergeCell ref="A7748:G7748"/>
    <mergeCell ref="A7749:H7749"/>
    <mergeCell ref="A7680:G7680"/>
    <mergeCell ref="A7681:G7681"/>
    <mergeCell ref="A7682:G7682"/>
    <mergeCell ref="A7683:H7683"/>
    <mergeCell ref="A7687:H7687"/>
    <mergeCell ref="A7688:H7688"/>
    <mergeCell ref="A7693:G7693"/>
    <mergeCell ref="A7694:G7694"/>
    <mergeCell ref="A7695:G7695"/>
    <mergeCell ref="A7696:H7696"/>
    <mergeCell ref="A7700:H7700"/>
    <mergeCell ref="A7701:H7701"/>
    <mergeCell ref="A7706:G7706"/>
    <mergeCell ref="A7707:G7707"/>
    <mergeCell ref="A7708:G7708"/>
    <mergeCell ref="A7709:H7709"/>
    <mergeCell ref="A7713:H7713"/>
    <mergeCell ref="A7638:G7638"/>
    <mergeCell ref="A7639:G7639"/>
    <mergeCell ref="A7640:H7640"/>
    <mergeCell ref="A7645:H7645"/>
    <mergeCell ref="A7646:H7646"/>
    <mergeCell ref="A7651:G7651"/>
    <mergeCell ref="A7652:G7652"/>
    <mergeCell ref="A7653:G7653"/>
    <mergeCell ref="A7654:H7654"/>
    <mergeCell ref="A7661:H7661"/>
    <mergeCell ref="A7662:H7662"/>
    <mergeCell ref="A7667:G7667"/>
    <mergeCell ref="A7668:G7668"/>
    <mergeCell ref="A7669:G7669"/>
    <mergeCell ref="A7670:H7670"/>
    <mergeCell ref="A7674:H7674"/>
    <mergeCell ref="A7675:H7675"/>
    <mergeCell ref="A7599:G7599"/>
    <mergeCell ref="A7600:H7600"/>
    <mergeCell ref="A7604:H7604"/>
    <mergeCell ref="A7605:H7605"/>
    <mergeCell ref="A7610:G7610"/>
    <mergeCell ref="A7611:G7611"/>
    <mergeCell ref="A7612:G7612"/>
    <mergeCell ref="A7613:H7613"/>
    <mergeCell ref="A7618:H7618"/>
    <mergeCell ref="A7619:H7619"/>
    <mergeCell ref="A7624:G7624"/>
    <mergeCell ref="A7625:G7625"/>
    <mergeCell ref="A7626:G7626"/>
    <mergeCell ref="A7627:H7627"/>
    <mergeCell ref="A7631:H7631"/>
    <mergeCell ref="A7632:H7632"/>
    <mergeCell ref="A7637:G7637"/>
    <mergeCell ref="A7560:H7560"/>
    <mergeCell ref="A7566:H7566"/>
    <mergeCell ref="A7567:H7567"/>
    <mergeCell ref="A7572:G7572"/>
    <mergeCell ref="A7573:G7573"/>
    <mergeCell ref="A7574:G7574"/>
    <mergeCell ref="A7575:H7575"/>
    <mergeCell ref="A7578:H7578"/>
    <mergeCell ref="A7579:H7579"/>
    <mergeCell ref="A7584:G7584"/>
    <mergeCell ref="A7585:G7585"/>
    <mergeCell ref="A7586:G7586"/>
    <mergeCell ref="A7587:H7587"/>
    <mergeCell ref="A7591:H7591"/>
    <mergeCell ref="A7592:H7592"/>
    <mergeCell ref="A7597:G7597"/>
    <mergeCell ref="A7598:G7598"/>
    <mergeCell ref="A7520:H7520"/>
    <mergeCell ref="A7521:H7521"/>
    <mergeCell ref="A7526:G7526"/>
    <mergeCell ref="A7527:G7527"/>
    <mergeCell ref="A7528:G7528"/>
    <mergeCell ref="A7529:H7529"/>
    <mergeCell ref="A7536:H7536"/>
    <mergeCell ref="A7537:H7537"/>
    <mergeCell ref="A7542:G7542"/>
    <mergeCell ref="A7543:G7543"/>
    <mergeCell ref="A7544:G7544"/>
    <mergeCell ref="A7545:H7545"/>
    <mergeCell ref="A7551:H7551"/>
    <mergeCell ref="A7552:H7552"/>
    <mergeCell ref="A7557:G7557"/>
    <mergeCell ref="A7558:G7558"/>
    <mergeCell ref="A7559:G7559"/>
    <mergeCell ref="A7477:H7477"/>
    <mergeCell ref="A7482:G7482"/>
    <mergeCell ref="A7483:G7483"/>
    <mergeCell ref="A7484:G7484"/>
    <mergeCell ref="A7485:H7485"/>
    <mergeCell ref="A7491:H7491"/>
    <mergeCell ref="A7492:H7492"/>
    <mergeCell ref="A7497:G7497"/>
    <mergeCell ref="A7498:G7498"/>
    <mergeCell ref="A7499:G7499"/>
    <mergeCell ref="A7500:H7500"/>
    <mergeCell ref="A7505:H7505"/>
    <mergeCell ref="A7506:H7506"/>
    <mergeCell ref="A7511:G7511"/>
    <mergeCell ref="A7512:G7512"/>
    <mergeCell ref="A7513:G7513"/>
    <mergeCell ref="A7514:H7514"/>
    <mergeCell ref="A7438:G7438"/>
    <mergeCell ref="A7439:G7439"/>
    <mergeCell ref="A7440:G7440"/>
    <mergeCell ref="A7441:H7441"/>
    <mergeCell ref="A7446:H7446"/>
    <mergeCell ref="A7447:H7447"/>
    <mergeCell ref="A7452:G7452"/>
    <mergeCell ref="A7453:G7453"/>
    <mergeCell ref="A7454:G7454"/>
    <mergeCell ref="A7455:H7455"/>
    <mergeCell ref="A7461:H7461"/>
    <mergeCell ref="A7462:H7462"/>
    <mergeCell ref="A7467:G7467"/>
    <mergeCell ref="A7468:G7468"/>
    <mergeCell ref="A7469:G7469"/>
    <mergeCell ref="A7470:H7470"/>
    <mergeCell ref="A7476:H7476"/>
    <mergeCell ref="A7395:G7395"/>
    <mergeCell ref="A7396:G7396"/>
    <mergeCell ref="A7397:H7397"/>
    <mergeCell ref="A7403:H7403"/>
    <mergeCell ref="A7404:H7404"/>
    <mergeCell ref="A7409:G7409"/>
    <mergeCell ref="A7410:G7410"/>
    <mergeCell ref="A7411:G7411"/>
    <mergeCell ref="A7412:H7412"/>
    <mergeCell ref="A7416:H7416"/>
    <mergeCell ref="A7417:H7417"/>
    <mergeCell ref="A7422:G7422"/>
    <mergeCell ref="A7423:G7423"/>
    <mergeCell ref="A7424:G7424"/>
    <mergeCell ref="A7425:H7425"/>
    <mergeCell ref="A7432:H7432"/>
    <mergeCell ref="A7433:H7433"/>
    <mergeCell ref="A7352:G7352"/>
    <mergeCell ref="A7353:H7353"/>
    <mergeCell ref="A7359:H7359"/>
    <mergeCell ref="A7360:H7360"/>
    <mergeCell ref="A7365:G7365"/>
    <mergeCell ref="A7366:G7366"/>
    <mergeCell ref="A7367:G7367"/>
    <mergeCell ref="A7368:H7368"/>
    <mergeCell ref="A7373:H7373"/>
    <mergeCell ref="A7374:H7374"/>
    <mergeCell ref="A7379:G7379"/>
    <mergeCell ref="A7380:G7380"/>
    <mergeCell ref="A7381:G7381"/>
    <mergeCell ref="A7382:H7382"/>
    <mergeCell ref="A7388:H7388"/>
    <mergeCell ref="A7389:H7389"/>
    <mergeCell ref="A7394:G7394"/>
    <mergeCell ref="A7308:H7308"/>
    <mergeCell ref="A7314:H7314"/>
    <mergeCell ref="A7315:H7315"/>
    <mergeCell ref="A7320:G7320"/>
    <mergeCell ref="A7321:G7321"/>
    <mergeCell ref="A7322:G7322"/>
    <mergeCell ref="A7323:H7323"/>
    <mergeCell ref="A7329:H7329"/>
    <mergeCell ref="A7330:H7330"/>
    <mergeCell ref="A7335:G7335"/>
    <mergeCell ref="A7336:G7336"/>
    <mergeCell ref="A7337:G7337"/>
    <mergeCell ref="A7338:H7338"/>
    <mergeCell ref="A7344:H7344"/>
    <mergeCell ref="A7345:H7345"/>
    <mergeCell ref="A7350:G7350"/>
    <mergeCell ref="A7351:G7351"/>
    <mergeCell ref="A7271:H7271"/>
    <mergeCell ref="A7272:H7272"/>
    <mergeCell ref="A7277:G7277"/>
    <mergeCell ref="A7278:G7278"/>
    <mergeCell ref="A7279:G7279"/>
    <mergeCell ref="A7280:H7280"/>
    <mergeCell ref="A7284:H7284"/>
    <mergeCell ref="A7285:H7285"/>
    <mergeCell ref="A7290:G7290"/>
    <mergeCell ref="A7291:G7291"/>
    <mergeCell ref="A7292:G7292"/>
    <mergeCell ref="A7293:H7293"/>
    <mergeCell ref="A7299:H7299"/>
    <mergeCell ref="A7300:H7300"/>
    <mergeCell ref="A7305:G7305"/>
    <mergeCell ref="A7306:G7306"/>
    <mergeCell ref="A7307:G7307"/>
    <mergeCell ref="A7232:H7232"/>
    <mergeCell ref="A7237:G7237"/>
    <mergeCell ref="A7238:G7238"/>
    <mergeCell ref="A7239:G7239"/>
    <mergeCell ref="A7240:H7240"/>
    <mergeCell ref="A7246:H7246"/>
    <mergeCell ref="A7247:H7247"/>
    <mergeCell ref="A7252:G7252"/>
    <mergeCell ref="A7253:G7253"/>
    <mergeCell ref="A7254:G7254"/>
    <mergeCell ref="A7255:H7255"/>
    <mergeCell ref="A7258:H7258"/>
    <mergeCell ref="A7259:H7259"/>
    <mergeCell ref="A7264:G7264"/>
    <mergeCell ref="A7265:G7265"/>
    <mergeCell ref="A7266:G7266"/>
    <mergeCell ref="A7267:H7267"/>
    <mergeCell ref="A7196:G7196"/>
    <mergeCell ref="A7197:G7197"/>
    <mergeCell ref="A7198:G7198"/>
    <mergeCell ref="A7199:H7199"/>
    <mergeCell ref="A7204:H7204"/>
    <mergeCell ref="A7205:H7205"/>
    <mergeCell ref="A7210:G7210"/>
    <mergeCell ref="A7211:G7211"/>
    <mergeCell ref="A7212:G7212"/>
    <mergeCell ref="A7213:H7213"/>
    <mergeCell ref="A7218:H7218"/>
    <mergeCell ref="A7219:H7219"/>
    <mergeCell ref="A7224:G7224"/>
    <mergeCell ref="A7225:G7225"/>
    <mergeCell ref="A7226:G7226"/>
    <mergeCell ref="A7227:H7227"/>
    <mergeCell ref="A7231:H7231"/>
    <mergeCell ref="A7154:G7154"/>
    <mergeCell ref="A7155:G7155"/>
    <mergeCell ref="A7156:H7156"/>
    <mergeCell ref="A7161:H7161"/>
    <mergeCell ref="A7162:H7162"/>
    <mergeCell ref="A7167:G7167"/>
    <mergeCell ref="A7168:G7168"/>
    <mergeCell ref="A7169:G7169"/>
    <mergeCell ref="A7170:H7170"/>
    <mergeCell ref="A7175:H7175"/>
    <mergeCell ref="A7176:H7176"/>
    <mergeCell ref="A7181:G7181"/>
    <mergeCell ref="A7182:G7182"/>
    <mergeCell ref="A7183:G7183"/>
    <mergeCell ref="A7184:H7184"/>
    <mergeCell ref="A7190:H7190"/>
    <mergeCell ref="A7191:H7191"/>
    <mergeCell ref="A7111:G7111"/>
    <mergeCell ref="A7112:H7112"/>
    <mergeCell ref="A7117:H7117"/>
    <mergeCell ref="A7118:H7118"/>
    <mergeCell ref="A7123:G7123"/>
    <mergeCell ref="A7124:G7124"/>
    <mergeCell ref="A7125:G7125"/>
    <mergeCell ref="A7126:H7126"/>
    <mergeCell ref="A7132:H7132"/>
    <mergeCell ref="A7133:H7133"/>
    <mergeCell ref="A7138:G7138"/>
    <mergeCell ref="A7139:G7139"/>
    <mergeCell ref="A7140:G7140"/>
    <mergeCell ref="A7141:H7141"/>
    <mergeCell ref="A7147:H7147"/>
    <mergeCell ref="A7148:H7148"/>
    <mergeCell ref="A7153:G7153"/>
    <mergeCell ref="A7069:H7069"/>
    <mergeCell ref="A7074:H7074"/>
    <mergeCell ref="A7075:H7075"/>
    <mergeCell ref="A7080:G7080"/>
    <mergeCell ref="A7081:G7081"/>
    <mergeCell ref="A7082:G7082"/>
    <mergeCell ref="A7083:H7083"/>
    <mergeCell ref="A7088:H7088"/>
    <mergeCell ref="A7089:H7089"/>
    <mergeCell ref="A7094:G7094"/>
    <mergeCell ref="A7095:G7095"/>
    <mergeCell ref="A7096:G7096"/>
    <mergeCell ref="A7097:H7097"/>
    <mergeCell ref="A7103:H7103"/>
    <mergeCell ref="A7104:H7104"/>
    <mergeCell ref="A7109:G7109"/>
    <mergeCell ref="A7110:G7110"/>
    <mergeCell ref="A7033:H7033"/>
    <mergeCell ref="A7034:H7034"/>
    <mergeCell ref="A7039:G7039"/>
    <mergeCell ref="A7040:G7040"/>
    <mergeCell ref="A7041:G7041"/>
    <mergeCell ref="A7042:H7042"/>
    <mergeCell ref="A7047:H7047"/>
    <mergeCell ref="A7048:H7048"/>
    <mergeCell ref="A7053:G7053"/>
    <mergeCell ref="A7054:G7054"/>
    <mergeCell ref="A7055:G7055"/>
    <mergeCell ref="A7056:H7056"/>
    <mergeCell ref="A7060:H7060"/>
    <mergeCell ref="A7061:H7061"/>
    <mergeCell ref="A7066:G7066"/>
    <mergeCell ref="A7067:G7067"/>
    <mergeCell ref="A7068:G7068"/>
    <mergeCell ref="A6991:H6991"/>
    <mergeCell ref="A6996:G6996"/>
    <mergeCell ref="A6997:G6997"/>
    <mergeCell ref="A6998:G6998"/>
    <mergeCell ref="A6999:H6999"/>
    <mergeCell ref="A7004:H7004"/>
    <mergeCell ref="A7005:H7005"/>
    <mergeCell ref="A7010:G7010"/>
    <mergeCell ref="A7011:G7011"/>
    <mergeCell ref="A7012:G7012"/>
    <mergeCell ref="A7013:H7013"/>
    <mergeCell ref="A7019:H7019"/>
    <mergeCell ref="A7020:H7020"/>
    <mergeCell ref="A7025:G7025"/>
    <mergeCell ref="A7026:G7026"/>
    <mergeCell ref="A7027:G7027"/>
    <mergeCell ref="A7028:H7028"/>
    <mergeCell ref="A6954:G6954"/>
    <mergeCell ref="A6955:G6955"/>
    <mergeCell ref="A6956:G6956"/>
    <mergeCell ref="A6957:H6957"/>
    <mergeCell ref="A6962:H6962"/>
    <mergeCell ref="A6963:H6963"/>
    <mergeCell ref="A6968:G6968"/>
    <mergeCell ref="A6969:G6969"/>
    <mergeCell ref="A6970:G6970"/>
    <mergeCell ref="A6971:H6971"/>
    <mergeCell ref="A6976:H6976"/>
    <mergeCell ref="A6977:H6977"/>
    <mergeCell ref="A6982:G6982"/>
    <mergeCell ref="A6983:G6983"/>
    <mergeCell ref="A6984:G6984"/>
    <mergeCell ref="A6985:H6985"/>
    <mergeCell ref="A6990:H6990"/>
    <mergeCell ref="A6914:G6914"/>
    <mergeCell ref="A6915:G6915"/>
    <mergeCell ref="A6916:H6916"/>
    <mergeCell ref="A6921:H6921"/>
    <mergeCell ref="A6922:H6922"/>
    <mergeCell ref="A6927:G6927"/>
    <mergeCell ref="A6928:G6928"/>
    <mergeCell ref="A6929:G6929"/>
    <mergeCell ref="A6930:H6930"/>
    <mergeCell ref="A6934:H6934"/>
    <mergeCell ref="A6935:H6935"/>
    <mergeCell ref="A6940:G6940"/>
    <mergeCell ref="A6941:G6941"/>
    <mergeCell ref="A6942:G6942"/>
    <mergeCell ref="A6943:H6943"/>
    <mergeCell ref="A6948:H6948"/>
    <mergeCell ref="A6949:H6949"/>
    <mergeCell ref="A6876:G6876"/>
    <mergeCell ref="A6877:H6877"/>
    <mergeCell ref="A6881:H6881"/>
    <mergeCell ref="A6882:H6882"/>
    <mergeCell ref="A6887:G6887"/>
    <mergeCell ref="A6888:G6888"/>
    <mergeCell ref="A6889:G6889"/>
    <mergeCell ref="A6890:H6890"/>
    <mergeCell ref="A6893:H6893"/>
    <mergeCell ref="A6894:H6894"/>
    <mergeCell ref="A6899:G6899"/>
    <mergeCell ref="A6900:G6900"/>
    <mergeCell ref="A6901:G6901"/>
    <mergeCell ref="A6902:H6902"/>
    <mergeCell ref="A6907:H6907"/>
    <mergeCell ref="A6908:H6908"/>
    <mergeCell ref="A6913:G6913"/>
    <mergeCell ref="A6836:H6836"/>
    <mergeCell ref="A6840:H6840"/>
    <mergeCell ref="A6841:H6841"/>
    <mergeCell ref="A6846:G6846"/>
    <mergeCell ref="A6847:G6847"/>
    <mergeCell ref="A6848:G6848"/>
    <mergeCell ref="A6849:H6849"/>
    <mergeCell ref="A6855:H6855"/>
    <mergeCell ref="A6856:H6856"/>
    <mergeCell ref="A6861:G6861"/>
    <mergeCell ref="A6862:G6862"/>
    <mergeCell ref="A6863:G6863"/>
    <mergeCell ref="A6864:H6864"/>
    <mergeCell ref="A6868:H6868"/>
    <mergeCell ref="A6869:H6869"/>
    <mergeCell ref="A6874:G6874"/>
    <mergeCell ref="A6875:G6875"/>
    <mergeCell ref="A6789:H6789"/>
    <mergeCell ref="A6790:H6790"/>
    <mergeCell ref="A6795:G6795"/>
    <mergeCell ref="A6796:G6796"/>
    <mergeCell ref="A6797:G6797"/>
    <mergeCell ref="A6798:H6798"/>
    <mergeCell ref="A6808:H6808"/>
    <mergeCell ref="A6809:H6809"/>
    <mergeCell ref="A6814:G6814"/>
    <mergeCell ref="A6815:G6815"/>
    <mergeCell ref="A6816:G6816"/>
    <mergeCell ref="A6817:H6817"/>
    <mergeCell ref="A6827:H6827"/>
    <mergeCell ref="A6828:H6828"/>
    <mergeCell ref="A6833:G6833"/>
    <mergeCell ref="A6834:G6834"/>
    <mergeCell ref="A6835:G6835"/>
    <mergeCell ref="A6744:H6744"/>
    <mergeCell ref="A6749:G6749"/>
    <mergeCell ref="A6750:G6750"/>
    <mergeCell ref="A6751:G6751"/>
    <mergeCell ref="A6752:H6752"/>
    <mergeCell ref="A6757:H6757"/>
    <mergeCell ref="A6758:H6758"/>
    <mergeCell ref="A6763:G6763"/>
    <mergeCell ref="A6764:G6764"/>
    <mergeCell ref="A6765:G6765"/>
    <mergeCell ref="A6766:H6766"/>
    <mergeCell ref="A6772:H6772"/>
    <mergeCell ref="A6773:H6773"/>
    <mergeCell ref="A6778:G6778"/>
    <mergeCell ref="A6779:G6779"/>
    <mergeCell ref="A6780:G6780"/>
    <mergeCell ref="A6781:H6781"/>
    <mergeCell ref="A6706:G6706"/>
    <mergeCell ref="A6707:G6707"/>
    <mergeCell ref="A6708:G6708"/>
    <mergeCell ref="A6709:H6709"/>
    <mergeCell ref="A6715:H6715"/>
    <mergeCell ref="A6716:H6716"/>
    <mergeCell ref="A6721:G6721"/>
    <mergeCell ref="A6722:G6722"/>
    <mergeCell ref="A6723:G6723"/>
    <mergeCell ref="A6724:H6724"/>
    <mergeCell ref="A6729:H6729"/>
    <mergeCell ref="A6730:H6730"/>
    <mergeCell ref="A6735:G6735"/>
    <mergeCell ref="A6736:G6736"/>
    <mergeCell ref="A6737:G6737"/>
    <mergeCell ref="A6738:H6738"/>
    <mergeCell ref="A6743:H6743"/>
    <mergeCell ref="A6665:G6665"/>
    <mergeCell ref="A6666:G6666"/>
    <mergeCell ref="A6667:H6667"/>
    <mergeCell ref="A6671:H6671"/>
    <mergeCell ref="A6672:H6672"/>
    <mergeCell ref="A6677:G6677"/>
    <mergeCell ref="A6678:G6678"/>
    <mergeCell ref="A6679:G6679"/>
    <mergeCell ref="A6680:H6680"/>
    <mergeCell ref="A6685:H6685"/>
    <mergeCell ref="A6686:H6686"/>
    <mergeCell ref="A6691:G6691"/>
    <mergeCell ref="A6692:G6692"/>
    <mergeCell ref="A6693:G6693"/>
    <mergeCell ref="A6694:H6694"/>
    <mergeCell ref="A6700:H6700"/>
    <mergeCell ref="A6701:H6701"/>
    <mergeCell ref="A6625:G6625"/>
    <mergeCell ref="A6626:H6626"/>
    <mergeCell ref="A6631:H6631"/>
    <mergeCell ref="A6632:H6632"/>
    <mergeCell ref="A6637:G6637"/>
    <mergeCell ref="A6638:G6638"/>
    <mergeCell ref="A6639:G6639"/>
    <mergeCell ref="A6640:H6640"/>
    <mergeCell ref="A6645:H6645"/>
    <mergeCell ref="A6646:H6646"/>
    <mergeCell ref="A6651:G6651"/>
    <mergeCell ref="A6652:G6652"/>
    <mergeCell ref="A6653:G6653"/>
    <mergeCell ref="A6654:H6654"/>
    <mergeCell ref="A6658:H6658"/>
    <mergeCell ref="A6659:H6659"/>
    <mergeCell ref="A6664:G6664"/>
    <mergeCell ref="A6592:H6592"/>
    <mergeCell ref="A6594:H6594"/>
    <mergeCell ref="A6595:H6595"/>
    <mergeCell ref="A6600:G6600"/>
    <mergeCell ref="A6601:G6601"/>
    <mergeCell ref="A6602:G6602"/>
    <mergeCell ref="A6603:H6603"/>
    <mergeCell ref="A6605:H6605"/>
    <mergeCell ref="A6606:H6606"/>
    <mergeCell ref="A6611:G6611"/>
    <mergeCell ref="A6612:G6612"/>
    <mergeCell ref="A6613:G6613"/>
    <mergeCell ref="A6614:H6614"/>
    <mergeCell ref="A6617:H6617"/>
    <mergeCell ref="A6618:H6618"/>
    <mergeCell ref="A6623:G6623"/>
    <mergeCell ref="A6624:G6624"/>
    <mergeCell ref="A6555:H6555"/>
    <mergeCell ref="A6556:H6556"/>
    <mergeCell ref="A6561:G6561"/>
    <mergeCell ref="A6562:G6562"/>
    <mergeCell ref="A6563:G6563"/>
    <mergeCell ref="A6564:H6564"/>
    <mergeCell ref="A6570:H6570"/>
    <mergeCell ref="A6571:H6571"/>
    <mergeCell ref="A6576:G6576"/>
    <mergeCell ref="A6577:G6577"/>
    <mergeCell ref="A6578:G6578"/>
    <mergeCell ref="A6579:H6579"/>
    <mergeCell ref="A6583:H6583"/>
    <mergeCell ref="A6584:H6584"/>
    <mergeCell ref="A6589:G6589"/>
    <mergeCell ref="A6590:G6590"/>
    <mergeCell ref="A6591:G6591"/>
    <mergeCell ref="A6513:H6513"/>
    <mergeCell ref="A6518:G6518"/>
    <mergeCell ref="A6519:G6519"/>
    <mergeCell ref="A6520:G6520"/>
    <mergeCell ref="A6521:H6521"/>
    <mergeCell ref="A6526:H6526"/>
    <mergeCell ref="A6527:H6527"/>
    <mergeCell ref="A6532:G6532"/>
    <mergeCell ref="A6533:G6533"/>
    <mergeCell ref="A6534:G6534"/>
    <mergeCell ref="A6535:H6535"/>
    <mergeCell ref="A6540:H6540"/>
    <mergeCell ref="A6541:H6541"/>
    <mergeCell ref="A6546:G6546"/>
    <mergeCell ref="A6547:G6547"/>
    <mergeCell ref="A6548:G6548"/>
    <mergeCell ref="A6549:H6549"/>
    <mergeCell ref="A6477:G6477"/>
    <mergeCell ref="A6478:G6478"/>
    <mergeCell ref="A6479:G6479"/>
    <mergeCell ref="A6480:H6480"/>
    <mergeCell ref="A6484:H6484"/>
    <mergeCell ref="A6485:H6485"/>
    <mergeCell ref="A6490:G6490"/>
    <mergeCell ref="A6491:G6491"/>
    <mergeCell ref="A6492:G6492"/>
    <mergeCell ref="A6493:H6493"/>
    <mergeCell ref="A6498:H6498"/>
    <mergeCell ref="A6499:H6499"/>
    <mergeCell ref="A6504:G6504"/>
    <mergeCell ref="A6505:G6505"/>
    <mergeCell ref="A6506:G6506"/>
    <mergeCell ref="A6507:H6507"/>
    <mergeCell ref="A6512:H6512"/>
    <mergeCell ref="A6438:G6438"/>
    <mergeCell ref="A6439:G6439"/>
    <mergeCell ref="A6440:H6440"/>
    <mergeCell ref="A6445:H6445"/>
    <mergeCell ref="A6446:H6446"/>
    <mergeCell ref="A6451:G6451"/>
    <mergeCell ref="A6452:G6452"/>
    <mergeCell ref="A6453:G6453"/>
    <mergeCell ref="A6454:H6454"/>
    <mergeCell ref="A6458:H6458"/>
    <mergeCell ref="A6459:H6459"/>
    <mergeCell ref="A6464:G6464"/>
    <mergeCell ref="A6465:G6465"/>
    <mergeCell ref="A6466:G6466"/>
    <mergeCell ref="A6467:H6467"/>
    <mergeCell ref="A6471:H6471"/>
    <mergeCell ref="A6472:H6472"/>
    <mergeCell ref="A6400:G6400"/>
    <mergeCell ref="A6401:H6401"/>
    <mergeCell ref="A6404:H6404"/>
    <mergeCell ref="A6405:H6405"/>
    <mergeCell ref="A6410:G6410"/>
    <mergeCell ref="A6411:G6411"/>
    <mergeCell ref="A6412:G6412"/>
    <mergeCell ref="A6413:H6413"/>
    <mergeCell ref="A6417:H6417"/>
    <mergeCell ref="A6418:H6418"/>
    <mergeCell ref="A6423:G6423"/>
    <mergeCell ref="A6424:G6424"/>
    <mergeCell ref="A6425:G6425"/>
    <mergeCell ref="A6426:H6426"/>
    <mergeCell ref="A6431:H6431"/>
    <mergeCell ref="A6432:H6432"/>
    <mergeCell ref="A6437:G6437"/>
    <mergeCell ref="A3338:G3338"/>
    <mergeCell ref="A3339:G3339"/>
    <mergeCell ref="A3340:G3340"/>
    <mergeCell ref="A3341:H3341"/>
    <mergeCell ref="A3348:H3348"/>
    <mergeCell ref="A3349:H3349"/>
    <mergeCell ref="A3354:G3354"/>
    <mergeCell ref="A6379:H6379"/>
    <mergeCell ref="A6380:H6380"/>
    <mergeCell ref="A6385:G6385"/>
    <mergeCell ref="A6386:G6386"/>
    <mergeCell ref="A6387:G6387"/>
    <mergeCell ref="A6388:H6388"/>
    <mergeCell ref="A6392:H6392"/>
    <mergeCell ref="A6393:H6393"/>
    <mergeCell ref="A6398:G6398"/>
    <mergeCell ref="A6399:G6399"/>
    <mergeCell ref="A5579:G5579"/>
    <mergeCell ref="A5530:G5530"/>
    <mergeCell ref="A5531:H5531"/>
    <mergeCell ref="A5537:H5537"/>
    <mergeCell ref="A5538:H5538"/>
    <mergeCell ref="A5543:G5543"/>
    <mergeCell ref="A5544:G5544"/>
    <mergeCell ref="A5545:G5545"/>
    <mergeCell ref="A5546:H5546"/>
    <mergeCell ref="A5555:H5555"/>
    <mergeCell ref="A5556:H5556"/>
    <mergeCell ref="A5561:G5561"/>
    <mergeCell ref="A5562:G5562"/>
    <mergeCell ref="A5563:G5563"/>
    <mergeCell ref="A5564:H5564"/>
    <mergeCell ref="A3323:G3323"/>
    <mergeCell ref="A3324:H3324"/>
    <mergeCell ref="A3332:H3332"/>
    <mergeCell ref="A3333:H3333"/>
    <mergeCell ref="A3138:G3138"/>
    <mergeCell ref="A3139:H3139"/>
    <mergeCell ref="A3145:H3145"/>
    <mergeCell ref="A3146:H3146"/>
    <mergeCell ref="A3151:G3151"/>
    <mergeCell ref="A3152:G3152"/>
    <mergeCell ref="A3153:G3153"/>
    <mergeCell ref="A3154:H3154"/>
    <mergeCell ref="A3161:H3161"/>
    <mergeCell ref="A3162:H3162"/>
    <mergeCell ref="A3167:G3167"/>
    <mergeCell ref="A3168:G3168"/>
    <mergeCell ref="A3169:G3169"/>
    <mergeCell ref="A3170:H3170"/>
    <mergeCell ref="A3179:H3179"/>
    <mergeCell ref="A3180:H3180"/>
    <mergeCell ref="A3185:G3185"/>
    <mergeCell ref="A3186:G3186"/>
    <mergeCell ref="A3187:G3187"/>
    <mergeCell ref="A3188:H3188"/>
    <mergeCell ref="A3195:H3195"/>
    <mergeCell ref="A3196:H3196"/>
    <mergeCell ref="A3201:G3201"/>
    <mergeCell ref="A3202:G3202"/>
    <mergeCell ref="A3203:G3203"/>
    <mergeCell ref="A3204:H3204"/>
    <mergeCell ref="A3212:H3212"/>
    <mergeCell ref="A3213:H3213"/>
    <mergeCell ref="A3271:H3271"/>
    <mergeCell ref="A3280:H3280"/>
    <mergeCell ref="A3281:H3281"/>
    <mergeCell ref="A3286:G3286"/>
    <mergeCell ref="A3287:G3287"/>
    <mergeCell ref="A3288:G3288"/>
    <mergeCell ref="A3289:H3289"/>
    <mergeCell ref="A3295:H3295"/>
    <mergeCell ref="A3296:H3296"/>
    <mergeCell ref="A3301:G3301"/>
    <mergeCell ref="A3302:G3302"/>
    <mergeCell ref="A3303:G3303"/>
    <mergeCell ref="A3304:H3304"/>
    <mergeCell ref="A3315:H3315"/>
    <mergeCell ref="A3316:H3316"/>
    <mergeCell ref="A3321:G3321"/>
    <mergeCell ref="A3322:G3322"/>
    <mergeCell ref="A3113:H3113"/>
    <mergeCell ref="A3114:H3114"/>
    <mergeCell ref="A3119:G3119"/>
    <mergeCell ref="A3120:G3120"/>
    <mergeCell ref="A3121:G3121"/>
    <mergeCell ref="A3122:H3122"/>
    <mergeCell ref="A3130:H3130"/>
    <mergeCell ref="A3131:H3131"/>
    <mergeCell ref="A3136:G3136"/>
    <mergeCell ref="A3137:G3137"/>
    <mergeCell ref="A3253:G3253"/>
    <mergeCell ref="A3254:H3254"/>
    <mergeCell ref="A3262:H3262"/>
    <mergeCell ref="A3263:H3263"/>
    <mergeCell ref="A3268:G3268"/>
    <mergeCell ref="A3269:G3269"/>
    <mergeCell ref="A3270:G3270"/>
    <mergeCell ref="A3218:G3218"/>
    <mergeCell ref="A3219:G3219"/>
    <mergeCell ref="A3220:G3220"/>
    <mergeCell ref="A3221:H3221"/>
    <mergeCell ref="A3228:H3228"/>
    <mergeCell ref="A3229:H3229"/>
    <mergeCell ref="A3234:G3234"/>
    <mergeCell ref="A3235:G3235"/>
    <mergeCell ref="A3236:G3236"/>
    <mergeCell ref="A3237:H3237"/>
    <mergeCell ref="A3245:H3245"/>
    <mergeCell ref="A3246:H3246"/>
    <mergeCell ref="A3251:G3251"/>
    <mergeCell ref="A3252:G3252"/>
    <mergeCell ref="A3061:H3061"/>
    <mergeCell ref="A3066:G3066"/>
    <mergeCell ref="A3067:G3067"/>
    <mergeCell ref="A3068:G3068"/>
    <mergeCell ref="A3069:H3069"/>
    <mergeCell ref="A3078:H3078"/>
    <mergeCell ref="A3079:H3079"/>
    <mergeCell ref="A3084:G3084"/>
    <mergeCell ref="A3085:G3085"/>
    <mergeCell ref="A3086:G3086"/>
    <mergeCell ref="A3087:H3087"/>
    <mergeCell ref="A3096:H3096"/>
    <mergeCell ref="A3097:H3097"/>
    <mergeCell ref="A3102:G3102"/>
    <mergeCell ref="A3103:G3103"/>
    <mergeCell ref="A3104:G3104"/>
    <mergeCell ref="A3105:H3105"/>
    <mergeCell ref="A3020:G3020"/>
    <mergeCell ref="A3021:G3021"/>
    <mergeCell ref="A3022:G3022"/>
    <mergeCell ref="A3023:H3023"/>
    <mergeCell ref="A3030:H3030"/>
    <mergeCell ref="A3031:H3031"/>
    <mergeCell ref="A3036:G3036"/>
    <mergeCell ref="A3037:G3037"/>
    <mergeCell ref="A3038:G3038"/>
    <mergeCell ref="A3039:H3039"/>
    <mergeCell ref="A3044:H3044"/>
    <mergeCell ref="A3045:H3045"/>
    <mergeCell ref="A3050:G3050"/>
    <mergeCell ref="A3051:G3051"/>
    <mergeCell ref="A3052:G3052"/>
    <mergeCell ref="A3053:H3053"/>
    <mergeCell ref="A3060:H3060"/>
    <mergeCell ref="A2863:G2863"/>
    <mergeCell ref="A2869:H2869"/>
    <mergeCell ref="A2870:H2870"/>
    <mergeCell ref="A2876:G2876"/>
    <mergeCell ref="A2877:G2877"/>
    <mergeCell ref="A2989:G2989"/>
    <mergeCell ref="A2990:G2990"/>
    <mergeCell ref="A2991:G2991"/>
    <mergeCell ref="A2992:H2992"/>
    <mergeCell ref="A2998:H2998"/>
    <mergeCell ref="A2999:H2999"/>
    <mergeCell ref="A3004:G3004"/>
    <mergeCell ref="A3005:G3005"/>
    <mergeCell ref="A3006:G3006"/>
    <mergeCell ref="A3007:H3007"/>
    <mergeCell ref="A3014:H3014"/>
    <mergeCell ref="A3015:H3015"/>
    <mergeCell ref="A2954:H2954"/>
    <mergeCell ref="A2955:H2955"/>
    <mergeCell ref="A2960:G2960"/>
    <mergeCell ref="A2961:G2961"/>
    <mergeCell ref="A2962:G2962"/>
    <mergeCell ref="A2963:H2963"/>
    <mergeCell ref="A2968:H2968"/>
    <mergeCell ref="A2969:H2969"/>
    <mergeCell ref="A2974:G2974"/>
    <mergeCell ref="A2975:G2975"/>
    <mergeCell ref="A2976:G2976"/>
    <mergeCell ref="A2977:H2977"/>
    <mergeCell ref="A2983:H2983"/>
    <mergeCell ref="A2984:H2984"/>
    <mergeCell ref="A2819:G2819"/>
    <mergeCell ref="A2820:G2820"/>
    <mergeCell ref="A2821:G2821"/>
    <mergeCell ref="A2827:H2827"/>
    <mergeCell ref="A2828:H2828"/>
    <mergeCell ref="A2834:G2834"/>
    <mergeCell ref="A2835:G2835"/>
    <mergeCell ref="A2836:G2836"/>
    <mergeCell ref="A2840:H2840"/>
    <mergeCell ref="A2841:H2841"/>
    <mergeCell ref="A2847:G2847"/>
    <mergeCell ref="A2848:G2848"/>
    <mergeCell ref="A2849:G2849"/>
    <mergeCell ref="A2854:H2854"/>
    <mergeCell ref="A2855:H2855"/>
    <mergeCell ref="A2861:G2861"/>
    <mergeCell ref="A2862:G2862"/>
    <mergeCell ref="A2763:G2763"/>
    <mergeCell ref="A2764:G2764"/>
    <mergeCell ref="A2765:G2765"/>
    <mergeCell ref="A2770:H2770"/>
    <mergeCell ref="A2771:H2771"/>
    <mergeCell ref="A2777:G2777"/>
    <mergeCell ref="A2778:G2778"/>
    <mergeCell ref="A2779:G2779"/>
    <mergeCell ref="A2784:H2784"/>
    <mergeCell ref="A2785:H2785"/>
    <mergeCell ref="A2791:G2791"/>
    <mergeCell ref="A2792:G2792"/>
    <mergeCell ref="A2793:G2793"/>
    <mergeCell ref="A2798:H2798"/>
    <mergeCell ref="A2799:H2799"/>
    <mergeCell ref="A2805:G2805"/>
    <mergeCell ref="A2806:G2806"/>
    <mergeCell ref="A2807:G2807"/>
    <mergeCell ref="A2693:H2693"/>
    <mergeCell ref="A2694:H2694"/>
    <mergeCell ref="A2920:G2920"/>
    <mergeCell ref="A2921:G2921"/>
    <mergeCell ref="A2925:H2925"/>
    <mergeCell ref="A2926:H2926"/>
    <mergeCell ref="A2931:G2931"/>
    <mergeCell ref="A2932:G2932"/>
    <mergeCell ref="A2933:G2933"/>
    <mergeCell ref="A2934:H2934"/>
    <mergeCell ref="A2939:H2939"/>
    <mergeCell ref="A2940:H2940"/>
    <mergeCell ref="A2945:G2945"/>
    <mergeCell ref="A2946:G2946"/>
    <mergeCell ref="A2947:G2947"/>
    <mergeCell ref="A2948:H2948"/>
    <mergeCell ref="A2878:G2878"/>
    <mergeCell ref="A2883:H2883"/>
    <mergeCell ref="A2884:H2884"/>
    <mergeCell ref="A2890:G2890"/>
    <mergeCell ref="A2891:G2891"/>
    <mergeCell ref="A2892:G2892"/>
    <mergeCell ref="A2899:H2899"/>
    <mergeCell ref="A2900:H2900"/>
    <mergeCell ref="A2906:G2906"/>
    <mergeCell ref="A2907:G2907"/>
    <mergeCell ref="A2908:G2908"/>
    <mergeCell ref="A2912:H2912"/>
    <mergeCell ref="A2913:H2913"/>
    <mergeCell ref="A2919:G2919"/>
    <mergeCell ref="A2812:H2812"/>
    <mergeCell ref="A2813:H2813"/>
    <mergeCell ref="A2648:H2648"/>
    <mergeCell ref="A2653:G2653"/>
    <mergeCell ref="A2654:G2654"/>
    <mergeCell ref="A2655:G2655"/>
    <mergeCell ref="A2656:H2656"/>
    <mergeCell ref="A2663:H2663"/>
    <mergeCell ref="A2664:H2664"/>
    <mergeCell ref="A2669:G2669"/>
    <mergeCell ref="A2670:G2670"/>
    <mergeCell ref="A2671:G2671"/>
    <mergeCell ref="A2672:H2672"/>
    <mergeCell ref="A2677:H2677"/>
    <mergeCell ref="A2678:H2678"/>
    <mergeCell ref="A2683:G2683"/>
    <mergeCell ref="A2684:G2684"/>
    <mergeCell ref="A2685:G2685"/>
    <mergeCell ref="A2686:H2686"/>
    <mergeCell ref="A2756:H2756"/>
    <mergeCell ref="A2757:H2757"/>
    <mergeCell ref="A2701:G2701"/>
    <mergeCell ref="A2702:H2702"/>
    <mergeCell ref="A2707:H2707"/>
    <mergeCell ref="A2708:H2708"/>
    <mergeCell ref="A2714:G2714"/>
    <mergeCell ref="A2715:G2715"/>
    <mergeCell ref="A2716:G2716"/>
    <mergeCell ref="A2723:H2723"/>
    <mergeCell ref="A2724:H2724"/>
    <mergeCell ref="A2730:G2730"/>
    <mergeCell ref="A2731:G2731"/>
    <mergeCell ref="A2732:G2732"/>
    <mergeCell ref="A2507:G2507"/>
    <mergeCell ref="A2508:G2508"/>
    <mergeCell ref="A2509:G2509"/>
    <mergeCell ref="A2510:H2510"/>
    <mergeCell ref="A2516:H2516"/>
    <mergeCell ref="A2517:H2517"/>
    <mergeCell ref="A2522:G2522"/>
    <mergeCell ref="A2523:G2523"/>
    <mergeCell ref="A2626:G2626"/>
    <mergeCell ref="A2627:H2627"/>
    <mergeCell ref="A2631:H2631"/>
    <mergeCell ref="A2632:H2632"/>
    <mergeCell ref="A2637:G2637"/>
    <mergeCell ref="A2638:G2638"/>
    <mergeCell ref="A2639:G2639"/>
    <mergeCell ref="A2640:H2640"/>
    <mergeCell ref="A2647:H2647"/>
    <mergeCell ref="A2524:G2524"/>
    <mergeCell ref="A2525:H2525"/>
    <mergeCell ref="A2531:H2531"/>
    <mergeCell ref="A2532:H2532"/>
    <mergeCell ref="A2537:G2537"/>
    <mergeCell ref="A2538:G2538"/>
    <mergeCell ref="A2539:G2539"/>
    <mergeCell ref="A2540:H2540"/>
    <mergeCell ref="A2545:H2545"/>
    <mergeCell ref="A2546:H2546"/>
    <mergeCell ref="A2551:G2551"/>
    <mergeCell ref="A2552:G2552"/>
    <mergeCell ref="A2553:G2553"/>
    <mergeCell ref="A2554:H2554"/>
    <mergeCell ref="A2560:H2560"/>
    <mergeCell ref="A2465:G2465"/>
    <mergeCell ref="A2466:G2466"/>
    <mergeCell ref="A2467:H2467"/>
    <mergeCell ref="A2472:H2472"/>
    <mergeCell ref="A2473:H2473"/>
    <mergeCell ref="A2478:G2478"/>
    <mergeCell ref="A2479:G2479"/>
    <mergeCell ref="A2480:G2480"/>
    <mergeCell ref="A2481:H2481"/>
    <mergeCell ref="A2486:H2486"/>
    <mergeCell ref="A2487:H2487"/>
    <mergeCell ref="A2492:G2492"/>
    <mergeCell ref="A2493:G2493"/>
    <mergeCell ref="A2494:G2494"/>
    <mergeCell ref="A2495:H2495"/>
    <mergeCell ref="A2501:H2501"/>
    <mergeCell ref="A2502:H2502"/>
    <mergeCell ref="A2423:G2423"/>
    <mergeCell ref="A2424:H2424"/>
    <mergeCell ref="A2430:H2430"/>
    <mergeCell ref="A2431:H2431"/>
    <mergeCell ref="A2436:G2436"/>
    <mergeCell ref="A2437:G2437"/>
    <mergeCell ref="A2438:G2438"/>
    <mergeCell ref="A2439:H2439"/>
    <mergeCell ref="A2443:H2443"/>
    <mergeCell ref="A2444:H2444"/>
    <mergeCell ref="A2449:G2449"/>
    <mergeCell ref="A2450:G2450"/>
    <mergeCell ref="A2451:G2451"/>
    <mergeCell ref="A2452:H2452"/>
    <mergeCell ref="A2458:H2458"/>
    <mergeCell ref="A2459:H2459"/>
    <mergeCell ref="A2464:G2464"/>
    <mergeCell ref="A2415:H2415"/>
    <mergeCell ref="A2416:H2416"/>
    <mergeCell ref="A2421:G2421"/>
    <mergeCell ref="A2422:G2422"/>
    <mergeCell ref="A2367:G2367"/>
    <mergeCell ref="A2368:H2368"/>
    <mergeCell ref="A2372:H2372"/>
    <mergeCell ref="A2373:H2373"/>
    <mergeCell ref="A2378:G2378"/>
    <mergeCell ref="A2379:G2379"/>
    <mergeCell ref="A2380:G2380"/>
    <mergeCell ref="A2381:H2381"/>
    <mergeCell ref="A2386:H2386"/>
    <mergeCell ref="A2387:H2387"/>
    <mergeCell ref="A2360:H2360"/>
    <mergeCell ref="A2365:G2365"/>
    <mergeCell ref="A2366:G2366"/>
    <mergeCell ref="A2298:G2298"/>
    <mergeCell ref="A2299:H2299"/>
    <mergeCell ref="A2303:H2303"/>
    <mergeCell ref="A2304:H2304"/>
    <mergeCell ref="A2309:G2309"/>
    <mergeCell ref="A2310:G2310"/>
    <mergeCell ref="A2311:G2311"/>
    <mergeCell ref="A2312:H2312"/>
    <mergeCell ref="A2317:H2317"/>
    <mergeCell ref="A2318:H2318"/>
    <mergeCell ref="A2323:G2323"/>
    <mergeCell ref="A2324:G2324"/>
    <mergeCell ref="A2392:G2392"/>
    <mergeCell ref="A2393:G2393"/>
    <mergeCell ref="A2394:G2394"/>
    <mergeCell ref="A2395:H2395"/>
    <mergeCell ref="A2399:H2399"/>
    <mergeCell ref="A2248:H2248"/>
    <mergeCell ref="A2249:H2249"/>
    <mergeCell ref="A2254:G2254"/>
    <mergeCell ref="A2255:G2255"/>
    <mergeCell ref="A2256:G2256"/>
    <mergeCell ref="A2257:H2257"/>
    <mergeCell ref="A2261:H2261"/>
    <mergeCell ref="A2262:H2262"/>
    <mergeCell ref="A2267:G2267"/>
    <mergeCell ref="A2282:G2282"/>
    <mergeCell ref="A2283:G2283"/>
    <mergeCell ref="A2284:G2284"/>
    <mergeCell ref="A2285:H2285"/>
    <mergeCell ref="A2290:H2290"/>
    <mergeCell ref="A2291:H2291"/>
    <mergeCell ref="A2296:G2296"/>
    <mergeCell ref="A2297:G2297"/>
    <mergeCell ref="A2611:G2611"/>
    <mergeCell ref="A2612:G2612"/>
    <mergeCell ref="A2613:H2613"/>
    <mergeCell ref="A2618:H2618"/>
    <mergeCell ref="A2619:H2619"/>
    <mergeCell ref="A2624:G2624"/>
    <mergeCell ref="A2625:G2625"/>
    <mergeCell ref="A2738:H2738"/>
    <mergeCell ref="A2739:H2739"/>
    <mergeCell ref="A2745:G2745"/>
    <mergeCell ref="A2746:G2746"/>
    <mergeCell ref="A2747:G2747"/>
    <mergeCell ref="A2325:G2325"/>
    <mergeCell ref="A2326:H2326"/>
    <mergeCell ref="A2331:H2331"/>
    <mergeCell ref="A2332:H2332"/>
    <mergeCell ref="A2337:G2337"/>
    <mergeCell ref="A2338:G2338"/>
    <mergeCell ref="A2339:G2339"/>
    <mergeCell ref="A2340:H2340"/>
    <mergeCell ref="A2345:H2345"/>
    <mergeCell ref="A2346:H2346"/>
    <mergeCell ref="A2351:G2351"/>
    <mergeCell ref="A2352:G2352"/>
    <mergeCell ref="A2353:G2353"/>
    <mergeCell ref="A2354:H2354"/>
    <mergeCell ref="A2359:H2359"/>
    <mergeCell ref="A2400:H2400"/>
    <mergeCell ref="A2405:G2405"/>
    <mergeCell ref="A2406:G2406"/>
    <mergeCell ref="A2407:G2407"/>
    <mergeCell ref="A2408:H2408"/>
    <mergeCell ref="A2566:G2566"/>
    <mergeCell ref="A2567:G2567"/>
    <mergeCell ref="A2568:G2568"/>
    <mergeCell ref="A2569:H2569"/>
    <mergeCell ref="A2195:H2195"/>
    <mergeCell ref="A2200:G2200"/>
    <mergeCell ref="A2201:G2201"/>
    <mergeCell ref="A2202:G2202"/>
    <mergeCell ref="A2203:H2203"/>
    <mergeCell ref="A2208:H2208"/>
    <mergeCell ref="A2209:H2209"/>
    <mergeCell ref="A2214:G2214"/>
    <mergeCell ref="A2215:G2215"/>
    <mergeCell ref="A2216:G2216"/>
    <mergeCell ref="A2217:H2217"/>
    <mergeCell ref="A2222:H2222"/>
    <mergeCell ref="A2223:H2223"/>
    <mergeCell ref="A2228:G2228"/>
    <mergeCell ref="A2229:G2229"/>
    <mergeCell ref="A2268:G2268"/>
    <mergeCell ref="A2269:G2269"/>
    <mergeCell ref="A2270:H2270"/>
    <mergeCell ref="A2276:H2276"/>
    <mergeCell ref="A2277:H2277"/>
    <mergeCell ref="A2230:G2230"/>
    <mergeCell ref="A2231:H2231"/>
    <mergeCell ref="A2235:H2235"/>
    <mergeCell ref="A2236:H2236"/>
    <mergeCell ref="A2241:G2241"/>
    <mergeCell ref="A2242:G2242"/>
    <mergeCell ref="A2243:G2243"/>
    <mergeCell ref="A2244:H2244"/>
    <mergeCell ref="A2161:H2161"/>
    <mergeCell ref="A2167:H2167"/>
    <mergeCell ref="A2168:H2168"/>
    <mergeCell ref="A2173:G2173"/>
    <mergeCell ref="A2174:G2174"/>
    <mergeCell ref="A2175:G2175"/>
    <mergeCell ref="A2176:H2176"/>
    <mergeCell ref="A2181:H2181"/>
    <mergeCell ref="A2182:H2182"/>
    <mergeCell ref="A2187:G2187"/>
    <mergeCell ref="A2188:G2188"/>
    <mergeCell ref="A2189:G2189"/>
    <mergeCell ref="A2190:H2190"/>
    <mergeCell ref="A2194:H2194"/>
    <mergeCell ref="A2699:G2699"/>
    <mergeCell ref="A2700:G2700"/>
    <mergeCell ref="A2577:H2577"/>
    <mergeCell ref="A2578:H2578"/>
    <mergeCell ref="A2583:G2583"/>
    <mergeCell ref="A2584:G2584"/>
    <mergeCell ref="A2585:G2585"/>
    <mergeCell ref="A2586:H2586"/>
    <mergeCell ref="A2591:H2591"/>
    <mergeCell ref="A2592:H2592"/>
    <mergeCell ref="A2597:G2597"/>
    <mergeCell ref="A2598:G2598"/>
    <mergeCell ref="A2599:G2599"/>
    <mergeCell ref="A2600:H2600"/>
    <mergeCell ref="A2604:H2604"/>
    <mergeCell ref="A2605:H2605"/>
    <mergeCell ref="A2610:G2610"/>
    <mergeCell ref="A2561:H2561"/>
    <mergeCell ref="A2123:H2123"/>
    <mergeCell ref="A2124:H2124"/>
    <mergeCell ref="A2129:G2129"/>
    <mergeCell ref="A2130:G2130"/>
    <mergeCell ref="A2131:G2131"/>
    <mergeCell ref="A2132:H2132"/>
    <mergeCell ref="A2138:H2138"/>
    <mergeCell ref="A2139:H2139"/>
    <mergeCell ref="A2144:G2144"/>
    <mergeCell ref="A2145:G2145"/>
    <mergeCell ref="A2146:G2146"/>
    <mergeCell ref="A2147:H2147"/>
    <mergeCell ref="A2152:H2152"/>
    <mergeCell ref="A2153:H2153"/>
    <mergeCell ref="A2158:G2158"/>
    <mergeCell ref="A2159:G2159"/>
    <mergeCell ref="A2160:G2160"/>
    <mergeCell ref="A2025:H2025"/>
    <mergeCell ref="A2030:G2030"/>
    <mergeCell ref="A2031:G2031"/>
    <mergeCell ref="A2117:G2117"/>
    <mergeCell ref="A2118:G2118"/>
    <mergeCell ref="A2119:H2119"/>
    <mergeCell ref="A2101:G2101"/>
    <mergeCell ref="A2102:G2102"/>
    <mergeCell ref="A2103:G2103"/>
    <mergeCell ref="A2104:H2104"/>
    <mergeCell ref="A2110:H2110"/>
    <mergeCell ref="A2111:H2111"/>
    <mergeCell ref="A2116:G2116"/>
    <mergeCell ref="A2052:H2052"/>
    <mergeCell ref="A2053:H2053"/>
    <mergeCell ref="A2058:G2058"/>
    <mergeCell ref="A2059:G2059"/>
    <mergeCell ref="A2060:G2060"/>
    <mergeCell ref="A2061:H2061"/>
    <mergeCell ref="A2088:G2088"/>
    <mergeCell ref="A2089:H2089"/>
    <mergeCell ref="A1872:H1872"/>
    <mergeCell ref="A1877:G1877"/>
    <mergeCell ref="A1878:G1878"/>
    <mergeCell ref="A1879:G1879"/>
    <mergeCell ref="A1880:H1880"/>
    <mergeCell ref="A1890:H1890"/>
    <mergeCell ref="A1891:H1891"/>
    <mergeCell ref="A1896:G1896"/>
    <mergeCell ref="A1897:G1897"/>
    <mergeCell ref="A1898:G1898"/>
    <mergeCell ref="A1899:H1899"/>
    <mergeCell ref="A1905:H1905"/>
    <mergeCell ref="A1906:H1906"/>
    <mergeCell ref="A1911:G1911"/>
    <mergeCell ref="A1912:G1912"/>
    <mergeCell ref="A2032:G2032"/>
    <mergeCell ref="A2033:H2033"/>
    <mergeCell ref="A1961:H1961"/>
    <mergeCell ref="A1966:G1966"/>
    <mergeCell ref="A1967:G1967"/>
    <mergeCell ref="A1968:G1968"/>
    <mergeCell ref="A1969:H1969"/>
    <mergeCell ref="A1979:H1979"/>
    <mergeCell ref="A1980:H1980"/>
    <mergeCell ref="A1985:G1985"/>
    <mergeCell ref="A1986:G1986"/>
    <mergeCell ref="A1987:G1987"/>
    <mergeCell ref="A1988:H1988"/>
    <mergeCell ref="A1994:H1994"/>
    <mergeCell ref="A1995:H1995"/>
    <mergeCell ref="A2000:G2000"/>
    <mergeCell ref="A2001:G2001"/>
    <mergeCell ref="A1825:G1825"/>
    <mergeCell ref="A1826:G1826"/>
    <mergeCell ref="A1827:G1827"/>
    <mergeCell ref="A1828:H1828"/>
    <mergeCell ref="A1837:H1837"/>
    <mergeCell ref="A1838:H1838"/>
    <mergeCell ref="A1843:G1843"/>
    <mergeCell ref="A1844:G1844"/>
    <mergeCell ref="A1845:G1845"/>
    <mergeCell ref="A1846:H1846"/>
    <mergeCell ref="A1854:H1854"/>
    <mergeCell ref="A1855:H1855"/>
    <mergeCell ref="A1860:G1860"/>
    <mergeCell ref="A1861:G1861"/>
    <mergeCell ref="A1862:G1862"/>
    <mergeCell ref="A1863:H1863"/>
    <mergeCell ref="A1871:H1871"/>
    <mergeCell ref="A1719:H1719"/>
    <mergeCell ref="A1725:H1725"/>
    <mergeCell ref="A1726:H1726"/>
    <mergeCell ref="A1731:G1731"/>
    <mergeCell ref="A1732:G1732"/>
    <mergeCell ref="A1733:G1733"/>
    <mergeCell ref="A1790:G1790"/>
    <mergeCell ref="A1791:G1791"/>
    <mergeCell ref="A1792:H1792"/>
    <mergeCell ref="A1800:H1800"/>
    <mergeCell ref="A1801:H1801"/>
    <mergeCell ref="A1806:G1806"/>
    <mergeCell ref="A1807:G1807"/>
    <mergeCell ref="A1808:G1808"/>
    <mergeCell ref="A1809:H1809"/>
    <mergeCell ref="A1819:H1819"/>
    <mergeCell ref="A1820:H1820"/>
    <mergeCell ref="A1762:G1762"/>
    <mergeCell ref="A1763:G1763"/>
    <mergeCell ref="A1764:G1764"/>
    <mergeCell ref="A1765:H1765"/>
    <mergeCell ref="A1769:H1769"/>
    <mergeCell ref="A1770:H1770"/>
    <mergeCell ref="A1775:G1775"/>
    <mergeCell ref="A1776:G1776"/>
    <mergeCell ref="A1777:G1777"/>
    <mergeCell ref="A1778:H1778"/>
    <mergeCell ref="A1783:H1783"/>
    <mergeCell ref="A1784:H1784"/>
    <mergeCell ref="A1789:G1789"/>
    <mergeCell ref="A1734:H1734"/>
    <mergeCell ref="A1741:H1741"/>
    <mergeCell ref="A1742:H1742"/>
    <mergeCell ref="A1747:G1747"/>
    <mergeCell ref="A1748:G1748"/>
    <mergeCell ref="A1749:G1749"/>
    <mergeCell ref="A1750:H1750"/>
    <mergeCell ref="A1756:H1756"/>
    <mergeCell ref="A1757:H1757"/>
    <mergeCell ref="A1569:G1569"/>
    <mergeCell ref="A1570:H1570"/>
    <mergeCell ref="A1574:H1574"/>
    <mergeCell ref="A1575:H1575"/>
    <mergeCell ref="A1580:G1580"/>
    <mergeCell ref="A1581:G1581"/>
    <mergeCell ref="A1582:G1582"/>
    <mergeCell ref="A1583:H1583"/>
    <mergeCell ref="A1590:H1590"/>
    <mergeCell ref="A1591:H1591"/>
    <mergeCell ref="A1596:G1596"/>
    <mergeCell ref="A1597:G1597"/>
    <mergeCell ref="A1598:G1598"/>
    <mergeCell ref="A1599:H1599"/>
    <mergeCell ref="A1604:H1604"/>
    <mergeCell ref="A1605:H1605"/>
    <mergeCell ref="A1610:G1610"/>
    <mergeCell ref="A1611:G1611"/>
    <mergeCell ref="A1612:G1612"/>
    <mergeCell ref="A1613:H1613"/>
    <mergeCell ref="A1620:H1620"/>
    <mergeCell ref="A1621:H1621"/>
    <mergeCell ref="A1626:G1626"/>
    <mergeCell ref="A1684:H1684"/>
    <mergeCell ref="A1685:H1685"/>
    <mergeCell ref="A1690:G1690"/>
    <mergeCell ref="A1691:G1691"/>
    <mergeCell ref="A1692:G1692"/>
    <mergeCell ref="A1693:H1693"/>
    <mergeCell ref="A1710:H1710"/>
    <mergeCell ref="A1711:H1711"/>
    <mergeCell ref="A1716:G1716"/>
    <mergeCell ref="A1717:G1717"/>
    <mergeCell ref="A1718:G1718"/>
    <mergeCell ref="A1668:H1668"/>
    <mergeCell ref="A1669:H1669"/>
    <mergeCell ref="A1674:G1674"/>
    <mergeCell ref="A1675:G1675"/>
    <mergeCell ref="A1532:H1532"/>
    <mergeCell ref="A1537:G1537"/>
    <mergeCell ref="A1538:G1538"/>
    <mergeCell ref="A1539:G1539"/>
    <mergeCell ref="A1540:H1540"/>
    <mergeCell ref="A1545:H1545"/>
    <mergeCell ref="A1546:H1546"/>
    <mergeCell ref="A1551:G1551"/>
    <mergeCell ref="A1552:G1552"/>
    <mergeCell ref="A1553:G1553"/>
    <mergeCell ref="A1554:H1554"/>
    <mergeCell ref="A1561:H1561"/>
    <mergeCell ref="A1562:H1562"/>
    <mergeCell ref="A1567:G1567"/>
    <mergeCell ref="A1568:G1568"/>
    <mergeCell ref="A1676:G1676"/>
    <mergeCell ref="A1677:H1677"/>
    <mergeCell ref="A1627:G1627"/>
    <mergeCell ref="A1628:G1628"/>
    <mergeCell ref="A1637:H1637"/>
    <mergeCell ref="A1642:G1642"/>
    <mergeCell ref="A1643:G1643"/>
    <mergeCell ref="A1644:G1644"/>
    <mergeCell ref="A1645:H1645"/>
    <mergeCell ref="A1651:H1651"/>
    <mergeCell ref="A1652:H1652"/>
    <mergeCell ref="A1657:G1657"/>
    <mergeCell ref="A1658:G1658"/>
    <mergeCell ref="A1659:G1659"/>
    <mergeCell ref="A1660:H1660"/>
    <mergeCell ref="A1471:G1471"/>
    <mergeCell ref="A1475:H1475"/>
    <mergeCell ref="A1476:H1476"/>
    <mergeCell ref="A1482:G1482"/>
    <mergeCell ref="A1483:G1483"/>
    <mergeCell ref="A1484:G1484"/>
    <mergeCell ref="A1489:H1489"/>
    <mergeCell ref="A1490:H1490"/>
    <mergeCell ref="A1496:G1496"/>
    <mergeCell ref="A1497:G1497"/>
    <mergeCell ref="A1498:G1498"/>
    <mergeCell ref="A1503:H1503"/>
    <mergeCell ref="A1504:H1504"/>
    <mergeCell ref="A1510:G1510"/>
    <mergeCell ref="A1511:G1511"/>
    <mergeCell ref="A1512:G1512"/>
    <mergeCell ref="A1531:H1531"/>
    <mergeCell ref="A1414:G1414"/>
    <mergeCell ref="A1420:H1420"/>
    <mergeCell ref="A1421:H1421"/>
    <mergeCell ref="A2067:H2067"/>
    <mergeCell ref="A2068:H2068"/>
    <mergeCell ref="A2073:G2073"/>
    <mergeCell ref="A2074:G2074"/>
    <mergeCell ref="A2075:G2075"/>
    <mergeCell ref="A2076:H2076"/>
    <mergeCell ref="A2080:H2080"/>
    <mergeCell ref="A2081:H2081"/>
    <mergeCell ref="A2086:G2086"/>
    <mergeCell ref="A2087:G2087"/>
    <mergeCell ref="A1427:G1427"/>
    <mergeCell ref="A1428:G1428"/>
    <mergeCell ref="A1429:G1429"/>
    <mergeCell ref="A1434:H1434"/>
    <mergeCell ref="A1435:H1435"/>
    <mergeCell ref="A1441:G1441"/>
    <mergeCell ref="A1442:G1442"/>
    <mergeCell ref="A1443:G1443"/>
    <mergeCell ref="A1448:H1448"/>
    <mergeCell ref="A1449:H1449"/>
    <mergeCell ref="A1455:G1455"/>
    <mergeCell ref="A1456:G1456"/>
    <mergeCell ref="A1457:G1457"/>
    <mergeCell ref="A1462:H1462"/>
    <mergeCell ref="A1463:H1463"/>
    <mergeCell ref="A1469:G1469"/>
    <mergeCell ref="A1470:G1470"/>
    <mergeCell ref="A1629:H1629"/>
    <mergeCell ref="A1636:H1636"/>
    <mergeCell ref="A2095:H2095"/>
    <mergeCell ref="A2096:H2096"/>
    <mergeCell ref="A1913:G1913"/>
    <mergeCell ref="A1914:H1914"/>
    <mergeCell ref="A1923:H1923"/>
    <mergeCell ref="A1924:H1924"/>
    <mergeCell ref="A1929:G1929"/>
    <mergeCell ref="A1930:G1930"/>
    <mergeCell ref="A1931:G1931"/>
    <mergeCell ref="A1932:H1932"/>
    <mergeCell ref="A1942:H1942"/>
    <mergeCell ref="A1943:H1943"/>
    <mergeCell ref="A1948:G1948"/>
    <mergeCell ref="A1949:G1949"/>
    <mergeCell ref="A1950:G1950"/>
    <mergeCell ref="A1951:H1951"/>
    <mergeCell ref="A1960:H1960"/>
    <mergeCell ref="A2002:G2002"/>
    <mergeCell ref="A2003:H2003"/>
    <mergeCell ref="A2038:H2038"/>
    <mergeCell ref="A2039:H2039"/>
    <mergeCell ref="A2044:G2044"/>
    <mergeCell ref="A2045:G2045"/>
    <mergeCell ref="A2046:G2046"/>
    <mergeCell ref="A2047:H2047"/>
    <mergeCell ref="A2009:H2009"/>
    <mergeCell ref="A2010:H2010"/>
    <mergeCell ref="A2015:G2015"/>
    <mergeCell ref="A2016:G2016"/>
    <mergeCell ref="A2017:G2017"/>
    <mergeCell ref="A2018:H2018"/>
    <mergeCell ref="A2024:H2024"/>
    <mergeCell ref="A1372:G1372"/>
    <mergeCell ref="A1373:G1373"/>
    <mergeCell ref="A1374:H1374"/>
    <mergeCell ref="A1378:H1378"/>
    <mergeCell ref="A1379:H1379"/>
    <mergeCell ref="A1385:G1385"/>
    <mergeCell ref="A1386:G1386"/>
    <mergeCell ref="A1387:G1387"/>
    <mergeCell ref="A1391:H1391"/>
    <mergeCell ref="A1392:H1392"/>
    <mergeCell ref="A1398:G1398"/>
    <mergeCell ref="A1399:G1399"/>
    <mergeCell ref="A1400:G1400"/>
    <mergeCell ref="A1405:H1405"/>
    <mergeCell ref="A1406:H1406"/>
    <mergeCell ref="A1412:G1412"/>
    <mergeCell ref="A1413:G1413"/>
    <mergeCell ref="A1327:G1327"/>
    <mergeCell ref="A1328:H1328"/>
    <mergeCell ref="A1335:H1335"/>
    <mergeCell ref="A1336:H1336"/>
    <mergeCell ref="A1341:G1341"/>
    <mergeCell ref="A1342:G1342"/>
    <mergeCell ref="A1343:G1343"/>
    <mergeCell ref="A1344:H1344"/>
    <mergeCell ref="A1351:H1351"/>
    <mergeCell ref="A1352:H1352"/>
    <mergeCell ref="A1357:G1357"/>
    <mergeCell ref="A1358:G1358"/>
    <mergeCell ref="A1359:G1359"/>
    <mergeCell ref="A1360:H1360"/>
    <mergeCell ref="A1365:H1365"/>
    <mergeCell ref="A1366:H1366"/>
    <mergeCell ref="A1371:G1371"/>
    <mergeCell ref="A1284:H1284"/>
    <mergeCell ref="A1291:H1291"/>
    <mergeCell ref="A1292:H1292"/>
    <mergeCell ref="A1297:G1297"/>
    <mergeCell ref="A1298:G1298"/>
    <mergeCell ref="A1299:G1299"/>
    <mergeCell ref="A1300:H1300"/>
    <mergeCell ref="A1305:H1305"/>
    <mergeCell ref="A1306:H1306"/>
    <mergeCell ref="A1311:G1311"/>
    <mergeCell ref="A1312:G1312"/>
    <mergeCell ref="A1313:G1313"/>
    <mergeCell ref="A1314:H1314"/>
    <mergeCell ref="A1319:H1319"/>
    <mergeCell ref="A1320:H1320"/>
    <mergeCell ref="A1325:G1325"/>
    <mergeCell ref="A1326:G1326"/>
    <mergeCell ref="A1245:H1245"/>
    <mergeCell ref="A1246:H1246"/>
    <mergeCell ref="A1251:G1251"/>
    <mergeCell ref="A1252:G1252"/>
    <mergeCell ref="A1253:G1253"/>
    <mergeCell ref="A1254:H1254"/>
    <mergeCell ref="A1260:H1260"/>
    <mergeCell ref="A1261:H1261"/>
    <mergeCell ref="A1266:G1266"/>
    <mergeCell ref="A1267:G1267"/>
    <mergeCell ref="A1268:G1268"/>
    <mergeCell ref="A1269:H1269"/>
    <mergeCell ref="A1275:H1275"/>
    <mergeCell ref="A1276:H1276"/>
    <mergeCell ref="A1281:G1281"/>
    <mergeCell ref="A1282:G1282"/>
    <mergeCell ref="A1283:G1283"/>
    <mergeCell ref="A1198:H1198"/>
    <mergeCell ref="A1203:G1203"/>
    <mergeCell ref="A1204:G1204"/>
    <mergeCell ref="A1205:G1205"/>
    <mergeCell ref="A1206:H1206"/>
    <mergeCell ref="A1214:H1214"/>
    <mergeCell ref="A1215:H1215"/>
    <mergeCell ref="A1220:G1220"/>
    <mergeCell ref="A1221:G1221"/>
    <mergeCell ref="A1222:G1222"/>
    <mergeCell ref="A1223:H1223"/>
    <mergeCell ref="A1230:H1230"/>
    <mergeCell ref="A1231:H1231"/>
    <mergeCell ref="A1236:G1236"/>
    <mergeCell ref="A1237:G1237"/>
    <mergeCell ref="A1238:G1238"/>
    <mergeCell ref="A1239:H1239"/>
    <mergeCell ref="A1155:G1155"/>
    <mergeCell ref="A1156:G1156"/>
    <mergeCell ref="A1157:G1157"/>
    <mergeCell ref="A1158:H1158"/>
    <mergeCell ref="A1164:H1164"/>
    <mergeCell ref="A1165:H1165"/>
    <mergeCell ref="A1170:G1170"/>
    <mergeCell ref="A1171:G1171"/>
    <mergeCell ref="A1172:G1172"/>
    <mergeCell ref="A1173:H1173"/>
    <mergeCell ref="A1178:H1178"/>
    <mergeCell ref="A1179:H1179"/>
    <mergeCell ref="A1184:G1184"/>
    <mergeCell ref="A1185:G1185"/>
    <mergeCell ref="A1186:G1186"/>
    <mergeCell ref="A1187:H1187"/>
    <mergeCell ref="A1197:H1197"/>
    <mergeCell ref="A1150:H1150"/>
    <mergeCell ref="A978:G978"/>
    <mergeCell ref="A979:H979"/>
    <mergeCell ref="A987:H987"/>
    <mergeCell ref="A988:H988"/>
    <mergeCell ref="A993:G993"/>
    <mergeCell ref="A994:G994"/>
    <mergeCell ref="A995:G995"/>
    <mergeCell ref="A996:H996"/>
    <mergeCell ref="A1000:H1000"/>
    <mergeCell ref="A1001:H1001"/>
    <mergeCell ref="A1006:G1006"/>
    <mergeCell ref="A1007:G1007"/>
    <mergeCell ref="A1008:G1008"/>
    <mergeCell ref="A1009:H1009"/>
    <mergeCell ref="A1015:H1015"/>
    <mergeCell ref="A1016:H1016"/>
    <mergeCell ref="A1021:G1021"/>
    <mergeCell ref="A1022:G1022"/>
    <mergeCell ref="A1023:G1023"/>
    <mergeCell ref="A1024:H1024"/>
    <mergeCell ref="A1030:H1030"/>
    <mergeCell ref="A1031:H1031"/>
    <mergeCell ref="A1036:G1036"/>
    <mergeCell ref="A1037:G1037"/>
    <mergeCell ref="A1038:G1038"/>
    <mergeCell ref="A1039:H1039"/>
    <mergeCell ref="A1044:H1044"/>
    <mergeCell ref="A1045:H1045"/>
    <mergeCell ref="A1050:G1050"/>
    <mergeCell ref="A1051:G1051"/>
    <mergeCell ref="A1052:G1052"/>
    <mergeCell ref="A1106:G1106"/>
    <mergeCell ref="A1107:G1107"/>
    <mergeCell ref="A1108:G1108"/>
    <mergeCell ref="A1109:H1109"/>
    <mergeCell ref="A1117:H1117"/>
    <mergeCell ref="A1118:H1118"/>
    <mergeCell ref="A1123:G1123"/>
    <mergeCell ref="A1124:G1124"/>
    <mergeCell ref="A1125:G1125"/>
    <mergeCell ref="A1126:H1126"/>
    <mergeCell ref="A1132:H1132"/>
    <mergeCell ref="A1133:H1133"/>
    <mergeCell ref="A1138:G1138"/>
    <mergeCell ref="A1139:G1139"/>
    <mergeCell ref="A1140:G1140"/>
    <mergeCell ref="A1141:H1141"/>
    <mergeCell ref="A1149:H1149"/>
    <mergeCell ref="A963:G963"/>
    <mergeCell ref="A964:G964"/>
    <mergeCell ref="A965:H965"/>
    <mergeCell ref="A970:H970"/>
    <mergeCell ref="A971:H971"/>
    <mergeCell ref="A976:G976"/>
    <mergeCell ref="A977:G977"/>
    <mergeCell ref="A1080:G1080"/>
    <mergeCell ref="A1081:H1081"/>
    <mergeCell ref="A1086:H1086"/>
    <mergeCell ref="A1087:H1087"/>
    <mergeCell ref="A1092:G1092"/>
    <mergeCell ref="A1093:G1093"/>
    <mergeCell ref="A1094:G1094"/>
    <mergeCell ref="A1095:H1095"/>
    <mergeCell ref="A1100:H1100"/>
    <mergeCell ref="A1101:H1101"/>
    <mergeCell ref="A1053:H1053"/>
    <mergeCell ref="A1057:H1057"/>
    <mergeCell ref="A1058:H1058"/>
    <mergeCell ref="A1063:G1063"/>
    <mergeCell ref="A1064:G1064"/>
    <mergeCell ref="A1065:G1065"/>
    <mergeCell ref="A1066:H1066"/>
    <mergeCell ref="A1072:H1072"/>
    <mergeCell ref="A1073:H1073"/>
    <mergeCell ref="A1078:G1078"/>
    <mergeCell ref="A1079:G1079"/>
    <mergeCell ref="A919:G919"/>
    <mergeCell ref="A920:H920"/>
    <mergeCell ref="A926:H926"/>
    <mergeCell ref="A927:H927"/>
    <mergeCell ref="A932:G932"/>
    <mergeCell ref="A933:G933"/>
    <mergeCell ref="A934:G934"/>
    <mergeCell ref="A935:H935"/>
    <mergeCell ref="A941:H941"/>
    <mergeCell ref="A942:H942"/>
    <mergeCell ref="A947:G947"/>
    <mergeCell ref="A948:G948"/>
    <mergeCell ref="A949:G949"/>
    <mergeCell ref="A950:H950"/>
    <mergeCell ref="A956:H956"/>
    <mergeCell ref="A957:H957"/>
    <mergeCell ref="A962:G962"/>
    <mergeCell ref="A877:H877"/>
    <mergeCell ref="A879:H879"/>
    <mergeCell ref="A880:H880"/>
    <mergeCell ref="A885:G885"/>
    <mergeCell ref="A886:G886"/>
    <mergeCell ref="A887:G887"/>
    <mergeCell ref="A888:H888"/>
    <mergeCell ref="A897:H897"/>
    <mergeCell ref="A898:H898"/>
    <mergeCell ref="A903:G903"/>
    <mergeCell ref="A904:G904"/>
    <mergeCell ref="A905:G905"/>
    <mergeCell ref="A906:H906"/>
    <mergeCell ref="A911:H911"/>
    <mergeCell ref="A912:H912"/>
    <mergeCell ref="A917:G917"/>
    <mergeCell ref="A918:G918"/>
    <mergeCell ref="A841:G841"/>
    <mergeCell ref="A842:H842"/>
    <mergeCell ref="A848:H848"/>
    <mergeCell ref="A849:H849"/>
    <mergeCell ref="A850:H850"/>
    <mergeCell ref="A855:G855"/>
    <mergeCell ref="A856:G856"/>
    <mergeCell ref="A857:G857"/>
    <mergeCell ref="A858:H858"/>
    <mergeCell ref="A863:H863"/>
    <mergeCell ref="A864:H864"/>
    <mergeCell ref="A865:H865"/>
    <mergeCell ref="A870:G870"/>
    <mergeCell ref="A871:G871"/>
    <mergeCell ref="A872:G872"/>
    <mergeCell ref="A873:H873"/>
    <mergeCell ref="A876:H876"/>
    <mergeCell ref="A798:H798"/>
    <mergeCell ref="A804:H804"/>
    <mergeCell ref="A805:H805"/>
    <mergeCell ref="A810:G810"/>
    <mergeCell ref="A811:G811"/>
    <mergeCell ref="A812:G812"/>
    <mergeCell ref="A813:H813"/>
    <mergeCell ref="A818:H818"/>
    <mergeCell ref="A819:H819"/>
    <mergeCell ref="A824:G824"/>
    <mergeCell ref="A825:G825"/>
    <mergeCell ref="A826:G826"/>
    <mergeCell ref="A827:H827"/>
    <mergeCell ref="A833:H833"/>
    <mergeCell ref="A834:H834"/>
    <mergeCell ref="A839:G839"/>
    <mergeCell ref="A840:G840"/>
    <mergeCell ref="A750:G750"/>
    <mergeCell ref="A751:G751"/>
    <mergeCell ref="A758:H758"/>
    <mergeCell ref="A759:H759"/>
    <mergeCell ref="A765:G765"/>
    <mergeCell ref="A766:G766"/>
    <mergeCell ref="A767:G767"/>
    <mergeCell ref="A775:H775"/>
    <mergeCell ref="A776:H776"/>
    <mergeCell ref="A782:G782"/>
    <mergeCell ref="A783:G783"/>
    <mergeCell ref="A784:G784"/>
    <mergeCell ref="A789:H789"/>
    <mergeCell ref="A790:H790"/>
    <mergeCell ref="A795:G795"/>
    <mergeCell ref="A796:G796"/>
    <mergeCell ref="A797:G797"/>
    <mergeCell ref="A742:H742"/>
    <mergeCell ref="A743:H743"/>
    <mergeCell ref="A749:G749"/>
    <mergeCell ref="A685:H685"/>
    <mergeCell ref="A691:G691"/>
    <mergeCell ref="A692:G692"/>
    <mergeCell ref="A693:G693"/>
    <mergeCell ref="A699:H699"/>
    <mergeCell ref="A700:H700"/>
    <mergeCell ref="A706:G706"/>
    <mergeCell ref="A707:G707"/>
    <mergeCell ref="A708:G708"/>
    <mergeCell ref="A671:H671"/>
    <mergeCell ref="A677:G677"/>
    <mergeCell ref="A678:G678"/>
    <mergeCell ref="A679:G679"/>
    <mergeCell ref="A684:H684"/>
    <mergeCell ref="A661:G661"/>
    <mergeCell ref="A662:G662"/>
    <mergeCell ref="A663:G663"/>
    <mergeCell ref="A670:H670"/>
    <mergeCell ref="A714:H714"/>
    <mergeCell ref="A715:H715"/>
    <mergeCell ref="A721:G721"/>
    <mergeCell ref="A722:G722"/>
    <mergeCell ref="A723:G723"/>
    <mergeCell ref="A728:H728"/>
    <mergeCell ref="A729:H729"/>
    <mergeCell ref="A735:G735"/>
    <mergeCell ref="A736:G736"/>
    <mergeCell ref="A737:G737"/>
    <mergeCell ref="A593:H593"/>
    <mergeCell ref="A599:G599"/>
    <mergeCell ref="A600:G600"/>
    <mergeCell ref="A601:G601"/>
    <mergeCell ref="A609:H609"/>
    <mergeCell ref="A610:H610"/>
    <mergeCell ref="A639:H639"/>
    <mergeCell ref="A640:H640"/>
    <mergeCell ref="A646:G646"/>
    <mergeCell ref="A647:G647"/>
    <mergeCell ref="A648:G648"/>
    <mergeCell ref="A654:H654"/>
    <mergeCell ref="A655:H655"/>
    <mergeCell ref="A501:G501"/>
    <mergeCell ref="A502:G502"/>
    <mergeCell ref="A503:G503"/>
    <mergeCell ref="A509:H509"/>
    <mergeCell ref="A510:H510"/>
    <mergeCell ref="A516:G516"/>
    <mergeCell ref="A517:G517"/>
    <mergeCell ref="A518:G518"/>
    <mergeCell ref="A528:H528"/>
    <mergeCell ref="A529:H529"/>
    <mergeCell ref="A535:G535"/>
    <mergeCell ref="A536:G536"/>
    <mergeCell ref="A537:G537"/>
    <mergeCell ref="A545:H545"/>
    <mergeCell ref="A546:H546"/>
    <mergeCell ref="A552:G552"/>
    <mergeCell ref="A553:G553"/>
    <mergeCell ref="A554:G554"/>
    <mergeCell ref="A562:H562"/>
    <mergeCell ref="A563:H563"/>
    <mergeCell ref="A569:G569"/>
    <mergeCell ref="A570:G570"/>
    <mergeCell ref="A571:G571"/>
    <mergeCell ref="A580:H580"/>
    <mergeCell ref="A581:H581"/>
    <mergeCell ref="A587:G587"/>
    <mergeCell ref="A616:G616"/>
    <mergeCell ref="A617:G617"/>
    <mergeCell ref="A618:G618"/>
    <mergeCell ref="A625:H625"/>
    <mergeCell ref="A626:H626"/>
    <mergeCell ref="A632:G632"/>
    <mergeCell ref="A633:G633"/>
    <mergeCell ref="A634:G634"/>
    <mergeCell ref="A588:G588"/>
    <mergeCell ref="A589:G589"/>
    <mergeCell ref="A592:H592"/>
    <mergeCell ref="A450:H450"/>
    <mergeCell ref="A451:H451"/>
    <mergeCell ref="A457:G457"/>
    <mergeCell ref="A458:G458"/>
    <mergeCell ref="A459:G459"/>
    <mergeCell ref="A467:H467"/>
    <mergeCell ref="A468:H468"/>
    <mergeCell ref="A474:G474"/>
    <mergeCell ref="A475:G475"/>
    <mergeCell ref="A476:G476"/>
    <mergeCell ref="A480:H480"/>
    <mergeCell ref="A481:H481"/>
    <mergeCell ref="A487:G487"/>
    <mergeCell ref="A488:G488"/>
    <mergeCell ref="A489:G489"/>
    <mergeCell ref="A494:H494"/>
    <mergeCell ref="A495:H495"/>
    <mergeCell ref="A402:G402"/>
    <mergeCell ref="A403:G403"/>
    <mergeCell ref="A407:H407"/>
    <mergeCell ref="A408:H408"/>
    <mergeCell ref="A414:G414"/>
    <mergeCell ref="A415:G415"/>
    <mergeCell ref="A416:G416"/>
    <mergeCell ref="A423:H423"/>
    <mergeCell ref="A424:H424"/>
    <mergeCell ref="A430:G430"/>
    <mergeCell ref="A431:G431"/>
    <mergeCell ref="A432:G432"/>
    <mergeCell ref="A438:H438"/>
    <mergeCell ref="A439:H439"/>
    <mergeCell ref="A445:G445"/>
    <mergeCell ref="A446:G446"/>
    <mergeCell ref="A447:G447"/>
    <mergeCell ref="A308:G308"/>
    <mergeCell ref="A309:G309"/>
    <mergeCell ref="A310:G310"/>
    <mergeCell ref="A322:H322"/>
    <mergeCell ref="A323:H323"/>
    <mergeCell ref="A329:G329"/>
    <mergeCell ref="A330:G330"/>
    <mergeCell ref="A374:G374"/>
    <mergeCell ref="A375:G375"/>
    <mergeCell ref="A378:H378"/>
    <mergeCell ref="A379:H379"/>
    <mergeCell ref="A385:G385"/>
    <mergeCell ref="A386:G386"/>
    <mergeCell ref="A387:G387"/>
    <mergeCell ref="A394:H394"/>
    <mergeCell ref="A395:H395"/>
    <mergeCell ref="A401:G401"/>
    <mergeCell ref="A337:H337"/>
    <mergeCell ref="A343:G343"/>
    <mergeCell ref="A344:G344"/>
    <mergeCell ref="A345:G345"/>
    <mergeCell ref="A352:H352"/>
    <mergeCell ref="A353:H353"/>
    <mergeCell ref="A359:G359"/>
    <mergeCell ref="A360:G360"/>
    <mergeCell ref="A361:G361"/>
    <mergeCell ref="A366:H366"/>
    <mergeCell ref="A367:H367"/>
    <mergeCell ref="A373:G373"/>
    <mergeCell ref="A331:G331"/>
    <mergeCell ref="A336:H336"/>
    <mergeCell ref="A200:G200"/>
    <mergeCell ref="A201:G201"/>
    <mergeCell ref="A202:G202"/>
    <mergeCell ref="A209:H209"/>
    <mergeCell ref="A210:H210"/>
    <mergeCell ref="A216:G216"/>
    <mergeCell ref="A217:G217"/>
    <mergeCell ref="A218:G218"/>
    <mergeCell ref="A224:H224"/>
    <mergeCell ref="A225:H225"/>
    <mergeCell ref="A232:G232"/>
    <mergeCell ref="A233:G233"/>
    <mergeCell ref="A234:G234"/>
    <mergeCell ref="A239:H239"/>
    <mergeCell ref="A240:H240"/>
    <mergeCell ref="A246:G246"/>
    <mergeCell ref="A247:G247"/>
    <mergeCell ref="A248:G248"/>
    <mergeCell ref="A253:H253"/>
    <mergeCell ref="A254:H254"/>
    <mergeCell ref="A104:G104"/>
    <mergeCell ref="A105:G105"/>
    <mergeCell ref="A112:H112"/>
    <mergeCell ref="A113:H113"/>
    <mergeCell ref="A119:G119"/>
    <mergeCell ref="A120:G120"/>
    <mergeCell ref="A121:G121"/>
    <mergeCell ref="A130:H130"/>
    <mergeCell ref="A180:H180"/>
    <mergeCell ref="A181:H181"/>
    <mergeCell ref="A187:G187"/>
    <mergeCell ref="A188:G188"/>
    <mergeCell ref="A189:G189"/>
    <mergeCell ref="A193:H193"/>
    <mergeCell ref="A194:H194"/>
    <mergeCell ref="A131:H131"/>
    <mergeCell ref="A137:G137"/>
    <mergeCell ref="A138:G138"/>
    <mergeCell ref="A139:G139"/>
    <mergeCell ref="A147:H147"/>
    <mergeCell ref="A148:H148"/>
    <mergeCell ref="A154:G154"/>
    <mergeCell ref="A155:G155"/>
    <mergeCell ref="A156:G156"/>
    <mergeCell ref="A164:H164"/>
    <mergeCell ref="A165:H165"/>
    <mergeCell ref="A171:G171"/>
    <mergeCell ref="A172:G172"/>
    <mergeCell ref="A173:G173"/>
    <mergeCell ref="A260:G260"/>
    <mergeCell ref="A261:G261"/>
    <mergeCell ref="A262:G262"/>
    <mergeCell ref="A268:H268"/>
    <mergeCell ref="A269:H269"/>
    <mergeCell ref="A275:G275"/>
    <mergeCell ref="A276:G276"/>
    <mergeCell ref="A277:G277"/>
    <mergeCell ref="A285:H285"/>
    <mergeCell ref="A286:H286"/>
    <mergeCell ref="A292:G292"/>
    <mergeCell ref="A293:G293"/>
    <mergeCell ref="A294:G294"/>
    <mergeCell ref="A301:H301"/>
    <mergeCell ref="A302:H302"/>
    <mergeCell ref="A48:H48"/>
    <mergeCell ref="A54:G54"/>
    <mergeCell ref="A55:G55"/>
    <mergeCell ref="A56:G56"/>
    <mergeCell ref="A63:H63"/>
    <mergeCell ref="A64:H64"/>
    <mergeCell ref="A70:G70"/>
    <mergeCell ref="A71:G71"/>
    <mergeCell ref="A72:G72"/>
    <mergeCell ref="A82:H82"/>
    <mergeCell ref="A83:H83"/>
    <mergeCell ref="A89:G89"/>
    <mergeCell ref="A90:G90"/>
    <mergeCell ref="A91:G91"/>
    <mergeCell ref="A96:H96"/>
    <mergeCell ref="A97:H97"/>
    <mergeCell ref="A103:G103"/>
    <mergeCell ref="A1:H1"/>
    <mergeCell ref="A2:H2"/>
    <mergeCell ref="A8:G8"/>
    <mergeCell ref="A9:G9"/>
    <mergeCell ref="A10:G10"/>
    <mergeCell ref="A11:H11"/>
    <mergeCell ref="A15:H15"/>
    <mergeCell ref="A16:H16"/>
    <mergeCell ref="A22:G22"/>
    <mergeCell ref="A23:G23"/>
    <mergeCell ref="A24:G24"/>
    <mergeCell ref="A31:H31"/>
    <mergeCell ref="A32:H32"/>
    <mergeCell ref="A38:G38"/>
    <mergeCell ref="A39:G39"/>
    <mergeCell ref="A40:G40"/>
    <mergeCell ref="A47:H47"/>
    <mergeCell ref="A5458:H5458"/>
    <mergeCell ref="A5459:H5459"/>
    <mergeCell ref="A5464:G5464"/>
    <mergeCell ref="A5465:G5465"/>
    <mergeCell ref="A5466:G5466"/>
    <mergeCell ref="A5467:H5467"/>
    <mergeCell ref="A5474:H5474"/>
    <mergeCell ref="A5475:H5475"/>
    <mergeCell ref="A5480:G5480"/>
    <mergeCell ref="A5481:G5481"/>
    <mergeCell ref="A5482:G5482"/>
    <mergeCell ref="A5572:H5572"/>
    <mergeCell ref="A5573:H5573"/>
    <mergeCell ref="A5578:G5578"/>
    <mergeCell ref="A5483:H5483"/>
    <mergeCell ref="A5489:H5489"/>
    <mergeCell ref="A5490:H5490"/>
    <mergeCell ref="A5495:G5495"/>
    <mergeCell ref="A5496:G5496"/>
    <mergeCell ref="A5497:G5497"/>
    <mergeCell ref="A5498:H5498"/>
    <mergeCell ref="A5506:H5506"/>
    <mergeCell ref="A5507:H5507"/>
    <mergeCell ref="A5512:G5512"/>
    <mergeCell ref="A5513:G5513"/>
    <mergeCell ref="A5514:G5514"/>
    <mergeCell ref="A5515:H5515"/>
    <mergeCell ref="A5522:H5522"/>
    <mergeCell ref="A5523:H5523"/>
    <mergeCell ref="A5528:G5528"/>
    <mergeCell ref="A5529:G5529"/>
    <mergeCell ref="A5188:H5188"/>
    <mergeCell ref="A5193:G5193"/>
    <mergeCell ref="A5194:G5194"/>
    <mergeCell ref="A5195:G5195"/>
    <mergeCell ref="A5196:H5196"/>
    <mergeCell ref="A5203:H5203"/>
    <mergeCell ref="A5204:H5204"/>
    <mergeCell ref="A5209:G5209"/>
    <mergeCell ref="A5210:G5210"/>
    <mergeCell ref="A5211:G5211"/>
    <mergeCell ref="A5212:H5212"/>
    <mergeCell ref="A5218:H5218"/>
    <mergeCell ref="A5219:H5219"/>
    <mergeCell ref="A5224:G5224"/>
    <mergeCell ref="A5225:G5225"/>
    <mergeCell ref="A5346:G5346"/>
    <mergeCell ref="A5347:H5347"/>
    <mergeCell ref="A5226:G5226"/>
    <mergeCell ref="A5227:H5227"/>
    <mergeCell ref="A5234:H5234"/>
    <mergeCell ref="A5235:H5235"/>
    <mergeCell ref="A5240:G5240"/>
    <mergeCell ref="A5241:G5241"/>
    <mergeCell ref="A5242:G5242"/>
    <mergeCell ref="A5243:H5243"/>
    <mergeCell ref="A5250:H5250"/>
    <mergeCell ref="A5251:H5251"/>
    <mergeCell ref="A5256:G5256"/>
    <mergeCell ref="A5257:G5257"/>
    <mergeCell ref="A5258:G5258"/>
    <mergeCell ref="A5259:H5259"/>
    <mergeCell ref="A5266:H5266"/>
    <mergeCell ref="A5141:G5141"/>
    <mergeCell ref="A5142:G5142"/>
    <mergeCell ref="A5143:G5143"/>
    <mergeCell ref="A5144:H5144"/>
    <mergeCell ref="A5150:H5150"/>
    <mergeCell ref="A5151:H5151"/>
    <mergeCell ref="A5156:G5156"/>
    <mergeCell ref="A5157:G5157"/>
    <mergeCell ref="A5158:G5158"/>
    <mergeCell ref="A5159:H5159"/>
    <mergeCell ref="A5168:H5168"/>
    <mergeCell ref="A5169:H5169"/>
    <mergeCell ref="A5174:G5174"/>
    <mergeCell ref="A5175:G5175"/>
    <mergeCell ref="A5176:G5176"/>
    <mergeCell ref="A5177:H5177"/>
    <mergeCell ref="A5187:H5187"/>
    <mergeCell ref="A5036:H5036"/>
    <mergeCell ref="A5042:H5042"/>
    <mergeCell ref="A5043:H5043"/>
    <mergeCell ref="A5048:G5048"/>
    <mergeCell ref="A5049:G5049"/>
    <mergeCell ref="A5050:G5050"/>
    <mergeCell ref="A5051:H5051"/>
    <mergeCell ref="A5058:H5058"/>
    <mergeCell ref="A5059:H5059"/>
    <mergeCell ref="A5118:H5118"/>
    <mergeCell ref="A5119:H5119"/>
    <mergeCell ref="A5124:G5124"/>
    <mergeCell ref="A5125:G5125"/>
    <mergeCell ref="A5126:G5126"/>
    <mergeCell ref="A5127:H5127"/>
    <mergeCell ref="A5135:H5135"/>
    <mergeCell ref="A5136:H5136"/>
    <mergeCell ref="A5080:G5080"/>
    <mergeCell ref="A5081:G5081"/>
    <mergeCell ref="A5082:G5082"/>
    <mergeCell ref="A5083:H5083"/>
    <mergeCell ref="A5088:H5088"/>
    <mergeCell ref="A5089:H5089"/>
    <mergeCell ref="A5094:G5094"/>
    <mergeCell ref="A5095:G5095"/>
    <mergeCell ref="A5096:G5096"/>
    <mergeCell ref="A5097:H5097"/>
    <mergeCell ref="A5103:H5103"/>
    <mergeCell ref="A5104:H5104"/>
    <mergeCell ref="A5109:G5109"/>
    <mergeCell ref="A5110:G5110"/>
    <mergeCell ref="A5111:G5111"/>
    <mergeCell ref="A5112:H5112"/>
    <mergeCell ref="A5064:G5064"/>
    <mergeCell ref="A5065:G5065"/>
    <mergeCell ref="A5066:G5066"/>
    <mergeCell ref="A5067:H5067"/>
    <mergeCell ref="A5074:H5074"/>
    <mergeCell ref="A5075:H5075"/>
    <mergeCell ref="A5027:H5027"/>
    <mergeCell ref="A5028:H5028"/>
    <mergeCell ref="A5033:G5033"/>
    <mergeCell ref="A5034:G5034"/>
    <mergeCell ref="A5035:G5035"/>
    <mergeCell ref="A4891:G4891"/>
    <mergeCell ref="A4892:H4892"/>
    <mergeCell ref="A4899:H4899"/>
    <mergeCell ref="A4900:H4900"/>
    <mergeCell ref="A4905:G4905"/>
    <mergeCell ref="A4906:G4906"/>
    <mergeCell ref="A4907:G4907"/>
    <mergeCell ref="A4908:H4908"/>
    <mergeCell ref="A4915:H4915"/>
    <mergeCell ref="A4916:H4916"/>
    <mergeCell ref="A4921:G4921"/>
    <mergeCell ref="A4922:G4922"/>
    <mergeCell ref="A4923:G4923"/>
    <mergeCell ref="A4924:H4924"/>
    <mergeCell ref="A4931:H4931"/>
    <mergeCell ref="A4932:H4932"/>
    <mergeCell ref="A4937:G4937"/>
    <mergeCell ref="A5004:G5004"/>
    <mergeCell ref="A4987:G4987"/>
    <mergeCell ref="A4988:H4988"/>
    <mergeCell ref="A4997:H4997"/>
    <mergeCell ref="A4998:H4998"/>
    <mergeCell ref="A5003:G5003"/>
    <mergeCell ref="A4938:G4938"/>
    <mergeCell ref="A4939:G4939"/>
    <mergeCell ref="A4940:H4940"/>
    <mergeCell ref="A4946:H4946"/>
    <mergeCell ref="A4947:H4947"/>
    <mergeCell ref="A4952:G4952"/>
    <mergeCell ref="A4953:G4953"/>
    <mergeCell ref="A4954:G4954"/>
    <mergeCell ref="A4955:H4955"/>
    <mergeCell ref="A5019:G5019"/>
    <mergeCell ref="A5020:G5020"/>
    <mergeCell ref="A5021:H5021"/>
    <mergeCell ref="A6353:G6353"/>
    <mergeCell ref="A6148:G6148"/>
    <mergeCell ref="A6158:H6158"/>
    <mergeCell ref="A6159:H6159"/>
    <mergeCell ref="A6165:G6165"/>
    <mergeCell ref="A6166:G6166"/>
    <mergeCell ref="A6167:G6167"/>
    <mergeCell ref="A6180:H6180"/>
    <mergeCell ref="A6181:H6181"/>
    <mergeCell ref="A6187:G6187"/>
    <mergeCell ref="A6188:G6188"/>
    <mergeCell ref="A6189:G6189"/>
    <mergeCell ref="A6198:H6198"/>
    <mergeCell ref="A6199:H6199"/>
    <mergeCell ref="A6205:G6205"/>
    <mergeCell ref="A6294:G6294"/>
    <mergeCell ref="A6307:H6307"/>
    <mergeCell ref="A4809:H4809"/>
    <mergeCell ref="A4815:H4815"/>
    <mergeCell ref="A4816:H4816"/>
    <mergeCell ref="A4821:G4821"/>
    <mergeCell ref="A4822:G4822"/>
    <mergeCell ref="A4823:G4823"/>
    <mergeCell ref="A4824:H4824"/>
    <mergeCell ref="A4832:H4832"/>
    <mergeCell ref="A4833:H4833"/>
    <mergeCell ref="A4838:G4838"/>
    <mergeCell ref="A4839:G4839"/>
    <mergeCell ref="A4840:G4840"/>
    <mergeCell ref="A4841:H4841"/>
    <mergeCell ref="A4847:H4847"/>
    <mergeCell ref="A4848:H4848"/>
    <mergeCell ref="A4853:G4853"/>
    <mergeCell ref="A4854:G4854"/>
    <mergeCell ref="A4855:G4855"/>
    <mergeCell ref="A4856:H4856"/>
    <mergeCell ref="A4865:H4865"/>
    <mergeCell ref="A4866:H4866"/>
    <mergeCell ref="A4871:G4871"/>
    <mergeCell ref="A4872:G4872"/>
    <mergeCell ref="A4873:G4873"/>
    <mergeCell ref="A4874:H4874"/>
    <mergeCell ref="A4883:H4883"/>
    <mergeCell ref="A4884:H4884"/>
    <mergeCell ref="A4889:G4889"/>
    <mergeCell ref="A4890:G4890"/>
    <mergeCell ref="A5005:G5005"/>
    <mergeCell ref="A6206:G6206"/>
    <mergeCell ref="A6207:G6207"/>
    <mergeCell ref="A6354:G6354"/>
    <mergeCell ref="A6355:G6355"/>
    <mergeCell ref="A6222:G6222"/>
    <mergeCell ref="A6233:H6233"/>
    <mergeCell ref="A6234:H6234"/>
    <mergeCell ref="A6240:G6240"/>
    <mergeCell ref="A6241:G6241"/>
    <mergeCell ref="A6242:G6242"/>
    <mergeCell ref="A6124:H6124"/>
    <mergeCell ref="A6125:H6125"/>
    <mergeCell ref="A6131:G6131"/>
    <mergeCell ref="A6132:G6132"/>
    <mergeCell ref="A6133:G6133"/>
    <mergeCell ref="A6141:H6141"/>
    <mergeCell ref="A6142:H6142"/>
    <mergeCell ref="A6149:G6149"/>
    <mergeCell ref="A6150:G6150"/>
    <mergeCell ref="A6363:H6363"/>
    <mergeCell ref="A6364:H6364"/>
    <mergeCell ref="A6370:G6370"/>
    <mergeCell ref="A6371:G6371"/>
    <mergeCell ref="A6372:G6372"/>
    <mergeCell ref="A4761:G4761"/>
    <mergeCell ref="A4762:G4762"/>
    <mergeCell ref="A4763:H4763"/>
    <mergeCell ref="A4772:H4772"/>
    <mergeCell ref="A4773:H4773"/>
    <mergeCell ref="A4778:G4778"/>
    <mergeCell ref="A4779:G4779"/>
    <mergeCell ref="A4780:G4780"/>
    <mergeCell ref="A4781:H4781"/>
    <mergeCell ref="A4786:H4786"/>
    <mergeCell ref="A4787:H4787"/>
    <mergeCell ref="A4792:G4792"/>
    <mergeCell ref="A4793:G4793"/>
    <mergeCell ref="A4794:G4794"/>
    <mergeCell ref="A4795:H4795"/>
    <mergeCell ref="A4800:H4800"/>
    <mergeCell ref="A4801:H4801"/>
    <mergeCell ref="A4806:G4806"/>
    <mergeCell ref="A4807:G4807"/>
    <mergeCell ref="A4808:G4808"/>
    <mergeCell ref="A6338:G6338"/>
    <mergeCell ref="A6346:H6346"/>
    <mergeCell ref="A6347:H6347"/>
    <mergeCell ref="A6213:H6213"/>
    <mergeCell ref="A6214:H6214"/>
    <mergeCell ref="A6220:G6220"/>
    <mergeCell ref="A6221:G6221"/>
    <mergeCell ref="A6308:H6308"/>
    <mergeCell ref="A6314:G6314"/>
    <mergeCell ref="A6315:G6315"/>
    <mergeCell ref="A6316:G6316"/>
    <mergeCell ref="A6329:H6329"/>
    <mergeCell ref="A6330:H6330"/>
    <mergeCell ref="A6336:G6336"/>
    <mergeCell ref="A6337:G6337"/>
    <mergeCell ref="A6251:H6251"/>
    <mergeCell ref="A6252:H6252"/>
    <mergeCell ref="A6258:G6258"/>
    <mergeCell ref="A6259:G6259"/>
    <mergeCell ref="A6260:G6260"/>
    <mergeCell ref="A6268:H6268"/>
    <mergeCell ref="A6269:H6269"/>
    <mergeCell ref="A6275:G6275"/>
    <mergeCell ref="A6276:G6276"/>
    <mergeCell ref="A6277:G6277"/>
    <mergeCell ref="A6285:H6285"/>
    <mergeCell ref="A6286:H6286"/>
    <mergeCell ref="A6292:G6292"/>
    <mergeCell ref="A6293:G6293"/>
    <mergeCell ref="A6113:G6113"/>
    <mergeCell ref="A6114:G6114"/>
    <mergeCell ref="A6115:G6115"/>
    <mergeCell ref="A5927:G5927"/>
    <mergeCell ref="A5935:H5935"/>
    <mergeCell ref="A5936:H5936"/>
    <mergeCell ref="A5942:G5942"/>
    <mergeCell ref="A5943:G5943"/>
    <mergeCell ref="A5944:G5944"/>
    <mergeCell ref="A5952:H5952"/>
    <mergeCell ref="A5953:H5953"/>
    <mergeCell ref="A5959:G5959"/>
    <mergeCell ref="A5960:G5960"/>
    <mergeCell ref="A5961:G5961"/>
    <mergeCell ref="A5969:H5969"/>
    <mergeCell ref="A5970:H5970"/>
    <mergeCell ref="A5976:G5976"/>
    <mergeCell ref="A5977:G5977"/>
    <mergeCell ref="A5978:G5978"/>
    <mergeCell ref="A5987:H5987"/>
    <mergeCell ref="A5988:H5988"/>
    <mergeCell ref="A5994:G5994"/>
    <mergeCell ref="A5995:G5995"/>
    <mergeCell ref="A5996:G5996"/>
    <mergeCell ref="A6005:H6005"/>
    <mergeCell ref="A6006:H6006"/>
    <mergeCell ref="A6012:G6012"/>
    <mergeCell ref="A6013:G6013"/>
    <mergeCell ref="A6014:G6014"/>
    <mergeCell ref="A6022:H6022"/>
    <mergeCell ref="A6023:H6023"/>
    <mergeCell ref="A6029:G6029"/>
    <mergeCell ref="A5908:G5908"/>
    <mergeCell ref="A5909:G5909"/>
    <mergeCell ref="A5918:H5918"/>
    <mergeCell ref="A5919:H5919"/>
    <mergeCell ref="A5925:G5925"/>
    <mergeCell ref="A5926:G5926"/>
    <mergeCell ref="A6073:H6073"/>
    <mergeCell ref="A6079:G6079"/>
    <mergeCell ref="A6080:G6080"/>
    <mergeCell ref="A6081:G6081"/>
    <mergeCell ref="A6089:H6089"/>
    <mergeCell ref="A6090:H6090"/>
    <mergeCell ref="A6096:G6096"/>
    <mergeCell ref="A6097:G6097"/>
    <mergeCell ref="A6098:G6098"/>
    <mergeCell ref="A6106:H6106"/>
    <mergeCell ref="A6107:H6107"/>
    <mergeCell ref="A6030:G6030"/>
    <mergeCell ref="A6031:G6031"/>
    <mergeCell ref="A6039:H6039"/>
    <mergeCell ref="A6040:H6040"/>
    <mergeCell ref="A6046:G6046"/>
    <mergeCell ref="A6047:G6047"/>
    <mergeCell ref="A6048:G6048"/>
    <mergeCell ref="A6054:H6054"/>
    <mergeCell ref="A6055:H6055"/>
    <mergeCell ref="A6061:G6061"/>
    <mergeCell ref="A6062:G6062"/>
    <mergeCell ref="A6063:G6063"/>
    <mergeCell ref="A6072:H6072"/>
    <mergeCell ref="A5850:H5850"/>
    <mergeCell ref="A5856:G5856"/>
    <mergeCell ref="A5857:G5857"/>
    <mergeCell ref="A5858:G5858"/>
    <mergeCell ref="A5866:H5866"/>
    <mergeCell ref="A5867:H5867"/>
    <mergeCell ref="A5873:G5873"/>
    <mergeCell ref="A5874:G5874"/>
    <mergeCell ref="A5875:G5875"/>
    <mergeCell ref="A5883:H5883"/>
    <mergeCell ref="A5884:H5884"/>
    <mergeCell ref="A5890:G5890"/>
    <mergeCell ref="A5891:G5891"/>
    <mergeCell ref="A5892:G5892"/>
    <mergeCell ref="A5900:H5900"/>
    <mergeCell ref="A5901:H5901"/>
    <mergeCell ref="A5907:G5907"/>
    <mergeCell ref="A5792:G5792"/>
    <mergeCell ref="A5800:H5800"/>
    <mergeCell ref="A5801:H5801"/>
    <mergeCell ref="A5807:G5807"/>
    <mergeCell ref="A5808:G5808"/>
    <mergeCell ref="A5809:G5809"/>
    <mergeCell ref="A5818:H5818"/>
    <mergeCell ref="A5819:H5819"/>
    <mergeCell ref="A5825:G5825"/>
    <mergeCell ref="A5826:G5826"/>
    <mergeCell ref="A5827:G5827"/>
    <mergeCell ref="A5832:H5832"/>
    <mergeCell ref="A5833:H5833"/>
    <mergeCell ref="A5839:G5839"/>
    <mergeCell ref="A5840:G5840"/>
    <mergeCell ref="A5841:G5841"/>
    <mergeCell ref="A5849:H5849"/>
    <mergeCell ref="A5741:G5741"/>
    <mergeCell ref="A5748:H5748"/>
    <mergeCell ref="A5749:H5749"/>
    <mergeCell ref="A5755:G5755"/>
    <mergeCell ref="A5756:G5756"/>
    <mergeCell ref="A5757:G5757"/>
    <mergeCell ref="A5766:H5766"/>
    <mergeCell ref="A5767:H5767"/>
    <mergeCell ref="A5773:G5773"/>
    <mergeCell ref="A5774:G5774"/>
    <mergeCell ref="A5775:G5775"/>
    <mergeCell ref="A5783:H5783"/>
    <mergeCell ref="A5784:H5784"/>
    <mergeCell ref="A5790:G5790"/>
    <mergeCell ref="A5791:G5791"/>
    <mergeCell ref="A5724:G5724"/>
    <mergeCell ref="A5725:G5725"/>
    <mergeCell ref="A5726:G5726"/>
    <mergeCell ref="A5732:H5732"/>
    <mergeCell ref="A5733:H5733"/>
    <mergeCell ref="A5739:G5739"/>
    <mergeCell ref="A5607:H5607"/>
    <mergeCell ref="A5612:G5612"/>
    <mergeCell ref="A5613:G5613"/>
    <mergeCell ref="A5614:G5614"/>
    <mergeCell ref="A5615:H5615"/>
    <mergeCell ref="A5623:H5623"/>
    <mergeCell ref="A5624:H5624"/>
    <mergeCell ref="A5629:G5629"/>
    <mergeCell ref="A5696:G5696"/>
    <mergeCell ref="A5740:G5740"/>
    <mergeCell ref="A5697:G5697"/>
    <mergeCell ref="A5703:H5703"/>
    <mergeCell ref="A5704:H5704"/>
    <mergeCell ref="A5710:G5710"/>
    <mergeCell ref="A5711:G5711"/>
    <mergeCell ref="A5712:G5712"/>
    <mergeCell ref="A5717:H5717"/>
    <mergeCell ref="A5718:H5718"/>
    <mergeCell ref="A5655:H5655"/>
    <mergeCell ref="A5656:H5656"/>
    <mergeCell ref="A5661:G5661"/>
    <mergeCell ref="A5662:G5662"/>
    <mergeCell ref="A5663:G5663"/>
    <mergeCell ref="A5664:H5664"/>
    <mergeCell ref="A5671:H5671"/>
    <mergeCell ref="A5344:G5344"/>
    <mergeCell ref="A5345:G5345"/>
    <mergeCell ref="A5428:G5428"/>
    <mergeCell ref="A5429:G5429"/>
    <mergeCell ref="A5430:G5430"/>
    <mergeCell ref="A5431:H5431"/>
    <mergeCell ref="A5439:H5439"/>
    <mergeCell ref="A5440:H5440"/>
    <mergeCell ref="A5445:G5445"/>
    <mergeCell ref="A5387:H5387"/>
    <mergeCell ref="A5388:H5388"/>
    <mergeCell ref="A5393:G5393"/>
    <mergeCell ref="A5394:G5394"/>
    <mergeCell ref="A5395:G5395"/>
    <mergeCell ref="A5396:H5396"/>
    <mergeCell ref="A5405:H5405"/>
    <mergeCell ref="A5580:G5580"/>
    <mergeCell ref="A5354:H5354"/>
    <mergeCell ref="A5355:H5355"/>
    <mergeCell ref="A5360:G5360"/>
    <mergeCell ref="A5361:G5361"/>
    <mergeCell ref="A5362:G5362"/>
    <mergeCell ref="A5363:H5363"/>
    <mergeCell ref="A5370:H5370"/>
    <mergeCell ref="A5371:H5371"/>
    <mergeCell ref="A5376:G5376"/>
    <mergeCell ref="A5377:G5377"/>
    <mergeCell ref="A5378:G5378"/>
    <mergeCell ref="A5379:H5379"/>
    <mergeCell ref="A5446:G5446"/>
    <mergeCell ref="A5447:G5447"/>
    <mergeCell ref="A5448:H5448"/>
    <mergeCell ref="A5672:H5672"/>
    <mergeCell ref="A5677:G5677"/>
    <mergeCell ref="A5678:G5678"/>
    <mergeCell ref="A5679:G5679"/>
    <mergeCell ref="A5680:H5680"/>
    <mergeCell ref="A5688:H5688"/>
    <mergeCell ref="A5689:H5689"/>
    <mergeCell ref="A5695:G5695"/>
    <mergeCell ref="A5406:H5406"/>
    <mergeCell ref="A5411:G5411"/>
    <mergeCell ref="A5412:G5412"/>
    <mergeCell ref="A5413:G5413"/>
    <mergeCell ref="A5414:H5414"/>
    <mergeCell ref="A5422:H5422"/>
    <mergeCell ref="A5423:H5423"/>
    <mergeCell ref="A5630:G5630"/>
    <mergeCell ref="A5631:G5631"/>
    <mergeCell ref="A5632:H5632"/>
    <mergeCell ref="A5640:H5640"/>
    <mergeCell ref="A5641:H5641"/>
    <mergeCell ref="A5646:G5646"/>
    <mergeCell ref="A5647:G5647"/>
    <mergeCell ref="A5648:G5648"/>
    <mergeCell ref="A5649:H5649"/>
    <mergeCell ref="A5581:H5581"/>
    <mergeCell ref="A5588:H5588"/>
    <mergeCell ref="A5589:H5589"/>
    <mergeCell ref="A5594:G5594"/>
    <mergeCell ref="A5595:G5595"/>
    <mergeCell ref="A5596:G5596"/>
    <mergeCell ref="A5597:H5597"/>
    <mergeCell ref="A5606:H5606"/>
    <mergeCell ref="A5292:G5292"/>
    <mergeCell ref="A4656:H4656"/>
    <mergeCell ref="A4661:G4661"/>
    <mergeCell ref="A4662:G4662"/>
    <mergeCell ref="A4745:G4745"/>
    <mergeCell ref="A4746:G4746"/>
    <mergeCell ref="A4747:G4747"/>
    <mergeCell ref="A4748:H4748"/>
    <mergeCell ref="A4754:H4754"/>
    <mergeCell ref="A4755:H4755"/>
    <mergeCell ref="A4760:G4760"/>
    <mergeCell ref="A4700:H4700"/>
    <mergeCell ref="A4707:H4707"/>
    <mergeCell ref="A4708:H4708"/>
    <mergeCell ref="A4713:G4713"/>
    <mergeCell ref="A4714:G4714"/>
    <mergeCell ref="A4715:G4715"/>
    <mergeCell ref="A4716:H4716"/>
    <mergeCell ref="A5006:H5006"/>
    <mergeCell ref="A5012:H5012"/>
    <mergeCell ref="A5013:H5013"/>
    <mergeCell ref="A5018:G5018"/>
    <mergeCell ref="A4963:H4963"/>
    <mergeCell ref="A4964:H4964"/>
    <mergeCell ref="A4969:G4969"/>
    <mergeCell ref="A4970:G4970"/>
    <mergeCell ref="A4971:G4971"/>
    <mergeCell ref="A4972:H4972"/>
    <mergeCell ref="A4979:H4979"/>
    <mergeCell ref="A4980:H4980"/>
    <mergeCell ref="A4985:G4985"/>
    <mergeCell ref="A4986:G4986"/>
    <mergeCell ref="A5293:H5293"/>
    <mergeCell ref="A5304:H5304"/>
    <mergeCell ref="A5305:H5305"/>
    <mergeCell ref="A5310:G5310"/>
    <mergeCell ref="A5311:G5311"/>
    <mergeCell ref="A5312:G5312"/>
    <mergeCell ref="A5313:H5313"/>
    <mergeCell ref="A5322:H5322"/>
    <mergeCell ref="A5323:H5323"/>
    <mergeCell ref="A5328:G5328"/>
    <mergeCell ref="A5329:G5329"/>
    <mergeCell ref="A5330:G5330"/>
    <mergeCell ref="A5331:H5331"/>
    <mergeCell ref="A5338:H5338"/>
    <mergeCell ref="A5339:H5339"/>
    <mergeCell ref="A4724:H4724"/>
    <mergeCell ref="A4725:H4725"/>
    <mergeCell ref="A4730:G4730"/>
    <mergeCell ref="A4731:G4731"/>
    <mergeCell ref="A4732:G4732"/>
    <mergeCell ref="A4733:H4733"/>
    <mergeCell ref="A4739:H4739"/>
    <mergeCell ref="A4740:H4740"/>
    <mergeCell ref="A5267:H5267"/>
    <mergeCell ref="A5272:G5272"/>
    <mergeCell ref="A5273:G5273"/>
    <mergeCell ref="A5274:G5274"/>
    <mergeCell ref="A5275:H5275"/>
    <mergeCell ref="A5284:H5284"/>
    <mergeCell ref="A5285:H5285"/>
    <mergeCell ref="A5290:G5290"/>
    <mergeCell ref="A5291:G5291"/>
    <mergeCell ref="A4539:G4539"/>
    <mergeCell ref="A4540:H4540"/>
    <mergeCell ref="A4548:H4548"/>
    <mergeCell ref="A4549:H4549"/>
    <mergeCell ref="A4554:G4554"/>
    <mergeCell ref="A4555:G4555"/>
    <mergeCell ref="A4556:G4556"/>
    <mergeCell ref="A4557:H4557"/>
    <mergeCell ref="A4567:H4567"/>
    <mergeCell ref="A4568:H4568"/>
    <mergeCell ref="A4573:G4573"/>
    <mergeCell ref="A4574:G4574"/>
    <mergeCell ref="A4575:G4575"/>
    <mergeCell ref="A4576:H4576"/>
    <mergeCell ref="A4585:H4585"/>
    <mergeCell ref="A4586:H4586"/>
    <mergeCell ref="A4591:G4591"/>
    <mergeCell ref="A4592:G4592"/>
    <mergeCell ref="A4593:G4593"/>
    <mergeCell ref="A4594:H4594"/>
    <mergeCell ref="A4603:H4603"/>
    <mergeCell ref="A4604:H4604"/>
    <mergeCell ref="A4609:G4609"/>
    <mergeCell ref="A4610:G4610"/>
    <mergeCell ref="A4675:H4675"/>
    <mergeCell ref="A4680:G4680"/>
    <mergeCell ref="A4681:G4681"/>
    <mergeCell ref="A4682:G4682"/>
    <mergeCell ref="A4683:H4683"/>
    <mergeCell ref="A4691:H4691"/>
    <mergeCell ref="A4692:H4692"/>
    <mergeCell ref="A4697:G4697"/>
    <mergeCell ref="A4698:G4698"/>
    <mergeCell ref="A4699:G4699"/>
    <mergeCell ref="A4502:G4502"/>
    <mergeCell ref="A4503:G4503"/>
    <mergeCell ref="A4504:G4504"/>
    <mergeCell ref="A4505:H4505"/>
    <mergeCell ref="A4512:H4512"/>
    <mergeCell ref="A4513:H4513"/>
    <mergeCell ref="A4518:G4518"/>
    <mergeCell ref="A4519:G4519"/>
    <mergeCell ref="A4520:G4520"/>
    <mergeCell ref="A4521:H4521"/>
    <mergeCell ref="A4531:H4531"/>
    <mergeCell ref="A4532:H4532"/>
    <mergeCell ref="A4537:G4537"/>
    <mergeCell ref="A4538:G4538"/>
    <mergeCell ref="A4663:G4663"/>
    <mergeCell ref="A4664:H4664"/>
    <mergeCell ref="A4674:H4674"/>
    <mergeCell ref="A4611:G4611"/>
    <mergeCell ref="A4612:H4612"/>
    <mergeCell ref="A4620:H4620"/>
    <mergeCell ref="A4621:H4621"/>
    <mergeCell ref="A4626:G4626"/>
    <mergeCell ref="A4627:G4627"/>
    <mergeCell ref="A4628:G4628"/>
    <mergeCell ref="A4629:H4629"/>
    <mergeCell ref="A4642:H4642"/>
    <mergeCell ref="A4643:H4643"/>
    <mergeCell ref="A4648:G4648"/>
    <mergeCell ref="A4649:G4649"/>
    <mergeCell ref="A4650:G4650"/>
    <mergeCell ref="A4651:H4651"/>
    <mergeCell ref="A4655:H4655"/>
    <mergeCell ref="A4452:G4452"/>
    <mergeCell ref="A4453:G4453"/>
    <mergeCell ref="A4454:H4454"/>
    <mergeCell ref="A4462:H4462"/>
    <mergeCell ref="A4463:H4463"/>
    <mergeCell ref="A4468:G4468"/>
    <mergeCell ref="A4469:G4469"/>
    <mergeCell ref="A4470:G4470"/>
    <mergeCell ref="A4471:H4471"/>
    <mergeCell ref="A4480:H4480"/>
    <mergeCell ref="A4481:H4481"/>
    <mergeCell ref="A4486:G4486"/>
    <mergeCell ref="A4487:G4487"/>
    <mergeCell ref="A4488:G4488"/>
    <mergeCell ref="A4489:H4489"/>
    <mergeCell ref="A4496:H4496"/>
    <mergeCell ref="A4497:H4497"/>
    <mergeCell ref="A4407:G4407"/>
    <mergeCell ref="A4408:H4408"/>
    <mergeCell ref="A4414:H4414"/>
    <mergeCell ref="A4415:H4415"/>
    <mergeCell ref="A4420:G4420"/>
    <mergeCell ref="A4421:G4421"/>
    <mergeCell ref="A4422:G4422"/>
    <mergeCell ref="A4423:H4423"/>
    <mergeCell ref="A4431:H4431"/>
    <mergeCell ref="A4432:H4432"/>
    <mergeCell ref="A4437:G4437"/>
    <mergeCell ref="A4438:G4438"/>
    <mergeCell ref="A4439:G4439"/>
    <mergeCell ref="A4440:H4440"/>
    <mergeCell ref="A4445:H4445"/>
    <mergeCell ref="A4446:H4446"/>
    <mergeCell ref="A4451:G4451"/>
    <mergeCell ref="A4292:H4292"/>
    <mergeCell ref="A4297:G4297"/>
    <mergeCell ref="A4298:G4298"/>
    <mergeCell ref="A4299:G4299"/>
    <mergeCell ref="A4300:H4300"/>
    <mergeCell ref="A4309:H4309"/>
    <mergeCell ref="A4310:H4310"/>
    <mergeCell ref="A4315:G4315"/>
    <mergeCell ref="A4316:G4316"/>
    <mergeCell ref="A4391:G4391"/>
    <mergeCell ref="A4392:G4392"/>
    <mergeCell ref="A4393:G4393"/>
    <mergeCell ref="A4394:H4394"/>
    <mergeCell ref="A4399:H4399"/>
    <mergeCell ref="A4400:H4400"/>
    <mergeCell ref="A4405:G4405"/>
    <mergeCell ref="A4406:G4406"/>
    <mergeCell ref="A4355:H4355"/>
    <mergeCell ref="A4356:H4356"/>
    <mergeCell ref="A4361:G4361"/>
    <mergeCell ref="A4362:G4362"/>
    <mergeCell ref="A4363:G4363"/>
    <mergeCell ref="A4364:H4364"/>
    <mergeCell ref="A4370:H4370"/>
    <mergeCell ref="A4371:H4371"/>
    <mergeCell ref="A4376:G4376"/>
    <mergeCell ref="A4377:G4377"/>
    <mergeCell ref="A4378:G4378"/>
    <mergeCell ref="A4379:H4379"/>
    <mergeCell ref="A4385:H4385"/>
    <mergeCell ref="A4386:H4386"/>
    <mergeCell ref="A4351:H4351"/>
    <mergeCell ref="A4198:G4198"/>
    <mergeCell ref="A4199:H4199"/>
    <mergeCell ref="A4208:H4208"/>
    <mergeCell ref="A4209:H4209"/>
    <mergeCell ref="A4214:G4214"/>
    <mergeCell ref="A4215:G4215"/>
    <mergeCell ref="A4216:G4216"/>
    <mergeCell ref="A4217:H4217"/>
    <mergeCell ref="A4223:H4223"/>
    <mergeCell ref="A4224:H4224"/>
    <mergeCell ref="A4229:G4229"/>
    <mergeCell ref="A4230:G4230"/>
    <mergeCell ref="A4231:G4231"/>
    <mergeCell ref="A4232:H4232"/>
    <mergeCell ref="A4240:H4240"/>
    <mergeCell ref="A4241:H4241"/>
    <mergeCell ref="A4246:G4246"/>
    <mergeCell ref="A4247:G4247"/>
    <mergeCell ref="A4191:H4191"/>
    <mergeCell ref="A4196:G4196"/>
    <mergeCell ref="A4197:G4197"/>
    <mergeCell ref="A4317:G4317"/>
    <mergeCell ref="A4318:H4318"/>
    <mergeCell ref="A4326:H4326"/>
    <mergeCell ref="A4327:H4327"/>
    <mergeCell ref="A4332:G4332"/>
    <mergeCell ref="A4333:G4333"/>
    <mergeCell ref="A4334:G4334"/>
    <mergeCell ref="A4335:H4335"/>
    <mergeCell ref="A4342:H4342"/>
    <mergeCell ref="A4343:H4343"/>
    <mergeCell ref="A4348:G4348"/>
    <mergeCell ref="A4349:G4349"/>
    <mergeCell ref="A4350:G4350"/>
    <mergeCell ref="A4248:G4248"/>
    <mergeCell ref="A4249:H4249"/>
    <mergeCell ref="A4256:H4256"/>
    <mergeCell ref="A4257:H4257"/>
    <mergeCell ref="A4262:G4262"/>
    <mergeCell ref="A4263:G4263"/>
    <mergeCell ref="A4264:G4264"/>
    <mergeCell ref="A4265:H4265"/>
    <mergeCell ref="A4274:H4274"/>
    <mergeCell ref="A4275:H4275"/>
    <mergeCell ref="A4280:G4280"/>
    <mergeCell ref="A4281:G4281"/>
    <mergeCell ref="A4282:G4282"/>
    <mergeCell ref="A4283:H4283"/>
    <mergeCell ref="A4291:H4291"/>
    <mergeCell ref="A4145:G4145"/>
    <mergeCell ref="A4146:G4146"/>
    <mergeCell ref="A4147:G4147"/>
    <mergeCell ref="A4148:H4148"/>
    <mergeCell ref="A4156:H4156"/>
    <mergeCell ref="A4157:H4157"/>
    <mergeCell ref="A4162:G4162"/>
    <mergeCell ref="A4163:G4163"/>
    <mergeCell ref="A4164:G4164"/>
    <mergeCell ref="A4165:H4165"/>
    <mergeCell ref="A4172:H4172"/>
    <mergeCell ref="A4173:H4173"/>
    <mergeCell ref="A4178:G4178"/>
    <mergeCell ref="A4179:G4179"/>
    <mergeCell ref="A4180:G4180"/>
    <mergeCell ref="A4181:H4181"/>
    <mergeCell ref="A4190:H4190"/>
    <mergeCell ref="A4096:G4096"/>
    <mergeCell ref="A4097:G4097"/>
    <mergeCell ref="A4098:H4098"/>
    <mergeCell ref="A4107:H4107"/>
    <mergeCell ref="A4108:H4108"/>
    <mergeCell ref="A4113:G4113"/>
    <mergeCell ref="A4114:G4114"/>
    <mergeCell ref="A4115:G4115"/>
    <mergeCell ref="A4116:H4116"/>
    <mergeCell ref="A4123:H4123"/>
    <mergeCell ref="A4124:H4124"/>
    <mergeCell ref="A4129:G4129"/>
    <mergeCell ref="A4130:G4130"/>
    <mergeCell ref="A4131:G4131"/>
    <mergeCell ref="A4132:H4132"/>
    <mergeCell ref="A4139:H4139"/>
    <mergeCell ref="A4140:H4140"/>
    <mergeCell ref="A4036:G4036"/>
    <mergeCell ref="A4037:G4037"/>
    <mergeCell ref="A4038:H4038"/>
    <mergeCell ref="A4043:H4043"/>
    <mergeCell ref="A4044:H4044"/>
    <mergeCell ref="A4065:G4065"/>
    <mergeCell ref="A4066:G4066"/>
    <mergeCell ref="A4067:H4067"/>
    <mergeCell ref="A4073:H4073"/>
    <mergeCell ref="A4074:H4074"/>
    <mergeCell ref="A4079:G4079"/>
    <mergeCell ref="A4080:G4080"/>
    <mergeCell ref="A4081:G4081"/>
    <mergeCell ref="A4082:H4082"/>
    <mergeCell ref="A4089:H4089"/>
    <mergeCell ref="A4090:H4090"/>
    <mergeCell ref="A4095:G4095"/>
    <mergeCell ref="A4049:G4049"/>
    <mergeCell ref="A4050:G4050"/>
    <mergeCell ref="A4051:G4051"/>
    <mergeCell ref="A4052:H4052"/>
    <mergeCell ref="A4058:H4058"/>
    <mergeCell ref="A4059:H4059"/>
    <mergeCell ref="A4064:G4064"/>
    <mergeCell ref="A4018:G4018"/>
    <mergeCell ref="A4019:G4019"/>
    <mergeCell ref="A4020:G4020"/>
    <mergeCell ref="A4021:H4021"/>
    <mergeCell ref="A4029:H4029"/>
    <mergeCell ref="A4030:H4030"/>
    <mergeCell ref="A4035:G4035"/>
    <mergeCell ref="A3953:G3953"/>
    <mergeCell ref="A3954:G3954"/>
    <mergeCell ref="A3955:H3955"/>
    <mergeCell ref="A3964:H3964"/>
    <mergeCell ref="A3965:H3965"/>
    <mergeCell ref="A3970:G3970"/>
    <mergeCell ref="A3971:G3971"/>
    <mergeCell ref="A3952:G3952"/>
    <mergeCell ref="A3972:G3972"/>
    <mergeCell ref="A3973:H3973"/>
    <mergeCell ref="A3982:H3982"/>
    <mergeCell ref="A3983:H3983"/>
    <mergeCell ref="A3988:G3988"/>
    <mergeCell ref="A3989:G3989"/>
    <mergeCell ref="A3990:G3990"/>
    <mergeCell ref="A3823:H3823"/>
    <mergeCell ref="A3828:G3828"/>
    <mergeCell ref="A3829:G3829"/>
    <mergeCell ref="A3830:G3830"/>
    <mergeCell ref="A3831:H3831"/>
    <mergeCell ref="A3836:H3836"/>
    <mergeCell ref="A3837:H3837"/>
    <mergeCell ref="A3842:G3842"/>
    <mergeCell ref="A3843:G3843"/>
    <mergeCell ref="A3844:G3844"/>
    <mergeCell ref="A3845:H3845"/>
    <mergeCell ref="A3852:H3852"/>
    <mergeCell ref="A3853:H3853"/>
    <mergeCell ref="A3858:G3858"/>
    <mergeCell ref="A3859:G3859"/>
    <mergeCell ref="A4012:H4012"/>
    <mergeCell ref="A4013:H4013"/>
    <mergeCell ref="A3991:H3991"/>
    <mergeCell ref="A3997:H3997"/>
    <mergeCell ref="A3998:H3998"/>
    <mergeCell ref="A4003:G4003"/>
    <mergeCell ref="A4004:G4004"/>
    <mergeCell ref="A4005:G4005"/>
    <mergeCell ref="A4006:H4006"/>
    <mergeCell ref="A3860:G3860"/>
    <mergeCell ref="A3861:H3861"/>
    <mergeCell ref="A3867:H3867"/>
    <mergeCell ref="A3868:H3868"/>
    <mergeCell ref="A3873:G3873"/>
    <mergeCell ref="A3874:G3874"/>
    <mergeCell ref="A3875:G3875"/>
    <mergeCell ref="A3876:H3876"/>
    <mergeCell ref="A3783:G3783"/>
    <mergeCell ref="A3784:G3784"/>
    <mergeCell ref="A3785:G3785"/>
    <mergeCell ref="A3786:H3786"/>
    <mergeCell ref="A3792:H3792"/>
    <mergeCell ref="A3793:H3793"/>
    <mergeCell ref="A3798:G3798"/>
    <mergeCell ref="A3799:G3799"/>
    <mergeCell ref="A3800:G3800"/>
    <mergeCell ref="A3801:H3801"/>
    <mergeCell ref="A3807:H3807"/>
    <mergeCell ref="A3808:H3808"/>
    <mergeCell ref="A3813:G3813"/>
    <mergeCell ref="A3814:G3814"/>
    <mergeCell ref="A3815:G3815"/>
    <mergeCell ref="A3816:H3816"/>
    <mergeCell ref="A3822:H3822"/>
    <mergeCell ref="A3756:G3756"/>
    <mergeCell ref="A3757:H3757"/>
    <mergeCell ref="A3763:H3763"/>
    <mergeCell ref="A3764:H3764"/>
    <mergeCell ref="A3769:G3769"/>
    <mergeCell ref="A3770:G3770"/>
    <mergeCell ref="A3771:G3771"/>
    <mergeCell ref="A3772:H3772"/>
    <mergeCell ref="A3777:H3777"/>
    <mergeCell ref="A3778:H3778"/>
    <mergeCell ref="A3718:G3718"/>
    <mergeCell ref="A3719:G3719"/>
    <mergeCell ref="A3720:G3720"/>
    <mergeCell ref="A3721:H3721"/>
    <mergeCell ref="A3728:H3728"/>
    <mergeCell ref="A3729:H3729"/>
    <mergeCell ref="A3734:G3734"/>
    <mergeCell ref="A3735:G3735"/>
    <mergeCell ref="A3736:G3736"/>
    <mergeCell ref="A3737:H3737"/>
    <mergeCell ref="A3748:H3748"/>
    <mergeCell ref="A3749:H3749"/>
    <mergeCell ref="A3754:G3754"/>
    <mergeCell ref="A3755:G3755"/>
    <mergeCell ref="A3693:H3693"/>
    <mergeCell ref="A3698:G3698"/>
    <mergeCell ref="A3699:G3699"/>
    <mergeCell ref="A3700:G3700"/>
    <mergeCell ref="A3701:H3701"/>
    <mergeCell ref="A3712:H3712"/>
    <mergeCell ref="A3713:H3713"/>
    <mergeCell ref="A3642:H3642"/>
    <mergeCell ref="A3647:G3647"/>
    <mergeCell ref="A3648:G3648"/>
    <mergeCell ref="A3649:G3649"/>
    <mergeCell ref="A3650:H3650"/>
    <mergeCell ref="A3657:H3657"/>
    <mergeCell ref="A3658:H3658"/>
    <mergeCell ref="A3663:G3663"/>
    <mergeCell ref="A3664:G3664"/>
    <mergeCell ref="A3665:G3665"/>
    <mergeCell ref="A3666:H3666"/>
    <mergeCell ref="A3674:H3674"/>
    <mergeCell ref="A3675:H3675"/>
    <mergeCell ref="A3680:G3680"/>
    <mergeCell ref="A3681:G3681"/>
    <mergeCell ref="A3682:G3682"/>
    <mergeCell ref="A3683:H3683"/>
    <mergeCell ref="A3692:H3692"/>
    <mergeCell ref="A3502:G3502"/>
    <mergeCell ref="A3503:H3503"/>
    <mergeCell ref="A3511:H3511"/>
    <mergeCell ref="A3512:H3512"/>
    <mergeCell ref="A3517:G3517"/>
    <mergeCell ref="A3518:G3518"/>
    <mergeCell ref="A3519:G3519"/>
    <mergeCell ref="A3520:H3520"/>
    <mergeCell ref="A3528:H3528"/>
    <mergeCell ref="A3529:H3529"/>
    <mergeCell ref="A3534:G3534"/>
    <mergeCell ref="A3535:G3535"/>
    <mergeCell ref="A3536:G3536"/>
    <mergeCell ref="A3537:H3537"/>
    <mergeCell ref="A3544:H3544"/>
    <mergeCell ref="A3545:H3545"/>
    <mergeCell ref="A3550:G3550"/>
    <mergeCell ref="A3567:G3567"/>
    <mergeCell ref="A3568:G3568"/>
    <mergeCell ref="A3624:H3624"/>
    <mergeCell ref="A3629:G3629"/>
    <mergeCell ref="A3630:G3630"/>
    <mergeCell ref="A3632:H3632"/>
    <mergeCell ref="A3641:H3641"/>
    <mergeCell ref="A3569:G3569"/>
    <mergeCell ref="A3570:H3570"/>
    <mergeCell ref="A3580:H3580"/>
    <mergeCell ref="A3581:H3581"/>
    <mergeCell ref="A3586:G3586"/>
    <mergeCell ref="A3587:G3587"/>
    <mergeCell ref="A3588:G3588"/>
    <mergeCell ref="A3589:H3589"/>
    <mergeCell ref="A3607:H3607"/>
    <mergeCell ref="A3608:H3608"/>
    <mergeCell ref="A3613:G3613"/>
    <mergeCell ref="A3614:G3614"/>
    <mergeCell ref="A3615:G3615"/>
    <mergeCell ref="A3616:H3616"/>
    <mergeCell ref="A3623:H3623"/>
    <mergeCell ref="A3355:G3355"/>
    <mergeCell ref="A3356:G3356"/>
    <mergeCell ref="A3357:H3357"/>
    <mergeCell ref="A3368:H3368"/>
    <mergeCell ref="A3369:H3369"/>
    <mergeCell ref="A3374:G3374"/>
    <mergeCell ref="A3375:G3375"/>
    <mergeCell ref="A3376:G3376"/>
    <mergeCell ref="A3377:H3377"/>
    <mergeCell ref="A3387:H3387"/>
    <mergeCell ref="A3388:H3388"/>
    <mergeCell ref="A3393:G3393"/>
    <mergeCell ref="A3394:G3394"/>
    <mergeCell ref="A3395:G3395"/>
    <mergeCell ref="A3396:H3396"/>
    <mergeCell ref="A3405:H3405"/>
    <mergeCell ref="A3406:H3406"/>
    <mergeCell ref="A3922:G3922"/>
    <mergeCell ref="A3923:H3923"/>
    <mergeCell ref="A3930:H3930"/>
    <mergeCell ref="A3931:H3931"/>
    <mergeCell ref="A3936:G3936"/>
    <mergeCell ref="A3937:G3937"/>
    <mergeCell ref="A3938:G3938"/>
    <mergeCell ref="A3939:H3939"/>
    <mergeCell ref="A3946:H3946"/>
    <mergeCell ref="A3947:H3947"/>
    <mergeCell ref="A3412:G3412"/>
    <mergeCell ref="A3413:G3413"/>
    <mergeCell ref="A3414:H3414"/>
    <mergeCell ref="A3423:H3423"/>
    <mergeCell ref="A3424:H3424"/>
    <mergeCell ref="A3429:G3429"/>
    <mergeCell ref="A3430:G3430"/>
    <mergeCell ref="A3431:G3431"/>
    <mergeCell ref="A3432:H3432"/>
    <mergeCell ref="A3440:H3440"/>
    <mergeCell ref="A3441:H3441"/>
    <mergeCell ref="A3446:G3446"/>
    <mergeCell ref="A3447:G3447"/>
    <mergeCell ref="A3448:G3448"/>
    <mergeCell ref="A3449:H3449"/>
    <mergeCell ref="A3458:H3458"/>
    <mergeCell ref="A3459:H3459"/>
    <mergeCell ref="A3464:G3464"/>
    <mergeCell ref="A3465:G3465"/>
    <mergeCell ref="A3466:G3466"/>
    <mergeCell ref="A3467:H3467"/>
    <mergeCell ref="A3475:H3475"/>
    <mergeCell ref="A3883:H3883"/>
    <mergeCell ref="A3884:H3884"/>
    <mergeCell ref="A3889:G3889"/>
    <mergeCell ref="A3890:G3890"/>
    <mergeCell ref="A3891:G3891"/>
    <mergeCell ref="A3892:H3892"/>
    <mergeCell ref="A3899:H3899"/>
    <mergeCell ref="A3900:H3900"/>
    <mergeCell ref="A3905:G3905"/>
    <mergeCell ref="A3906:G3906"/>
    <mergeCell ref="A3411:G3411"/>
    <mergeCell ref="A3907:G3907"/>
    <mergeCell ref="A3908:H3908"/>
    <mergeCell ref="A3914:H3914"/>
    <mergeCell ref="A3915:H3915"/>
    <mergeCell ref="A3920:G3920"/>
    <mergeCell ref="A3921:G3921"/>
    <mergeCell ref="A3476:H3476"/>
    <mergeCell ref="A3481:G3481"/>
    <mergeCell ref="A3482:G3482"/>
    <mergeCell ref="A3483:G3483"/>
    <mergeCell ref="A3484:H3484"/>
    <mergeCell ref="A3494:H3494"/>
    <mergeCell ref="A3495:H3495"/>
    <mergeCell ref="A3500:G3500"/>
    <mergeCell ref="A3501:G3501"/>
    <mergeCell ref="A3631:G3631"/>
    <mergeCell ref="A3551:G3551"/>
    <mergeCell ref="A3552:G3552"/>
    <mergeCell ref="A3553:H3553"/>
    <mergeCell ref="A3561:H3561"/>
    <mergeCell ref="A3562:H3562"/>
  </mergeCells>
  <pageMargins left="0.7" right="0.7" top="0.75" bottom="0.75" header="0" footer="0"/>
  <pageSetup orientation="landscape"/>
  <tableParts count="4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  <tablePart r:id="rId271"/>
    <tablePart r:id="rId272"/>
    <tablePart r:id="rId273"/>
    <tablePart r:id="rId274"/>
    <tablePart r:id="rId275"/>
    <tablePart r:id="rId276"/>
    <tablePart r:id="rId277"/>
    <tablePart r:id="rId278"/>
    <tablePart r:id="rId279"/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  <tablePart r:id="rId301"/>
    <tablePart r:id="rId302"/>
    <tablePart r:id="rId303"/>
    <tablePart r:id="rId304"/>
    <tablePart r:id="rId305"/>
    <tablePart r:id="rId306"/>
    <tablePart r:id="rId307"/>
    <tablePart r:id="rId308"/>
    <tablePart r:id="rId309"/>
    <tablePart r:id="rId310"/>
    <tablePart r:id="rId311"/>
    <tablePart r:id="rId312"/>
    <tablePart r:id="rId313"/>
    <tablePart r:id="rId314"/>
    <tablePart r:id="rId315"/>
    <tablePart r:id="rId316"/>
    <tablePart r:id="rId317"/>
    <tablePart r:id="rId318"/>
    <tablePart r:id="rId319"/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  <tablePart r:id="rId344"/>
    <tablePart r:id="rId345"/>
    <tablePart r:id="rId346"/>
    <tablePart r:id="rId347"/>
    <tablePart r:id="rId348"/>
    <tablePart r:id="rId349"/>
    <tablePart r:id="rId350"/>
    <tablePart r:id="rId351"/>
    <tablePart r:id="rId352"/>
    <tablePart r:id="rId353"/>
    <tablePart r:id="rId354"/>
    <tablePart r:id="rId355"/>
    <tablePart r:id="rId356"/>
    <tablePart r:id="rId357"/>
    <tablePart r:id="rId358"/>
    <tablePart r:id="rId359"/>
    <tablePart r:id="rId360"/>
    <tablePart r:id="rId361"/>
    <tablePart r:id="rId362"/>
    <tablePart r:id="rId363"/>
    <tablePart r:id="rId364"/>
    <tablePart r:id="rId365"/>
    <tablePart r:id="rId366"/>
    <tablePart r:id="rId367"/>
    <tablePart r:id="rId368"/>
    <tablePart r:id="rId369"/>
    <tablePart r:id="rId370"/>
    <tablePart r:id="rId371"/>
    <tablePart r:id="rId372"/>
    <tablePart r:id="rId373"/>
    <tablePart r:id="rId374"/>
    <tablePart r:id="rId375"/>
    <tablePart r:id="rId376"/>
    <tablePart r:id="rId377"/>
    <tablePart r:id="rId378"/>
    <tablePart r:id="rId379"/>
    <tablePart r:id="rId380"/>
    <tablePart r:id="rId381"/>
    <tablePart r:id="rId382"/>
    <tablePart r:id="rId383"/>
    <tablePart r:id="rId384"/>
    <tablePart r:id="rId385"/>
    <tablePart r:id="rId386"/>
    <tablePart r:id="rId387"/>
    <tablePart r:id="rId388"/>
    <tablePart r:id="rId389"/>
    <tablePart r:id="rId390"/>
    <tablePart r:id="rId391"/>
    <tablePart r:id="rId392"/>
    <tablePart r:id="rId393"/>
    <tablePart r:id="rId394"/>
    <tablePart r:id="rId395"/>
    <tablePart r:id="rId396"/>
    <tablePart r:id="rId397"/>
    <tablePart r:id="rId398"/>
    <tablePart r:id="rId399"/>
    <tablePart r:id="rId400"/>
    <tablePart r:id="rId401"/>
    <tablePart r:id="rId402"/>
    <tablePart r:id="rId403"/>
    <tablePart r:id="rId404"/>
    <tablePart r:id="rId405"/>
    <tablePart r:id="rId406"/>
    <tablePart r:id="rId407"/>
    <tablePart r:id="rId408"/>
    <tablePart r:id="rId409"/>
    <tablePart r:id="rId410"/>
    <tablePart r:id="rId411"/>
    <tablePart r:id="rId412"/>
    <tablePart r:id="rId413"/>
    <tablePart r:id="rId414"/>
    <tablePart r:id="rId415"/>
    <tablePart r:id="rId416"/>
    <tablePart r:id="rId417"/>
    <tablePart r:id="rId418"/>
    <tablePart r:id="rId419"/>
    <tablePart r:id="rId420"/>
    <tablePart r:id="rId421"/>
    <tablePart r:id="rId422"/>
    <tablePart r:id="rId423"/>
    <tablePart r:id="rId424"/>
    <tablePart r:id="rId425"/>
    <tablePart r:id="rId426"/>
    <tablePart r:id="rId427"/>
    <tablePart r:id="rId428"/>
    <tablePart r:id="rId429"/>
    <tablePart r:id="rId430"/>
    <tablePart r:id="rId431"/>
    <tablePart r:id="rId432"/>
    <tablePart r:id="rId433"/>
    <tablePart r:id="rId434"/>
    <tablePart r:id="rId435"/>
    <tablePart r:id="rId436"/>
    <tablePart r:id="rId437"/>
    <tablePart r:id="rId438"/>
    <tablePart r:id="rId439"/>
    <tablePart r:id="rId440"/>
    <tablePart r:id="rId4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Base</cp:lastModifiedBy>
  <dcterms:created xsi:type="dcterms:W3CDTF">2025-10-15T15:22:51Z</dcterms:created>
  <dcterms:modified xsi:type="dcterms:W3CDTF">2025-11-06T10:48:08Z</dcterms:modified>
</cp:coreProperties>
</file>