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i\invoice-image-generator\"/>
    </mc:Choice>
  </mc:AlternateContent>
  <xr:revisionPtr revIDLastSave="0" documentId="13_ncr:1_{3D2627C2-DC4D-40ED-8B15-8F6EEF6421C5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fTLi6bKfwgAU+zefhSD9L66bvGC/eKDiTvid11+3t8="/>
    </ext>
  </extLst>
</workbook>
</file>

<file path=xl/calcChain.xml><?xml version="1.0" encoding="utf-8"?>
<calcChain xmlns="http://schemas.openxmlformats.org/spreadsheetml/2006/main">
  <c r="H4411" i="1" l="1"/>
  <c r="H4412" i="1" s="1"/>
  <c r="G4410" i="1"/>
  <c r="G4409" i="1"/>
  <c r="G4408" i="1"/>
  <c r="G4393" i="1"/>
  <c r="H4394" i="1" s="1"/>
  <c r="H4395" i="1" s="1"/>
  <c r="G4392" i="1"/>
  <c r="G4391" i="1"/>
  <c r="H4377" i="1"/>
  <c r="H4378" i="1" s="1"/>
  <c r="G4376" i="1"/>
  <c r="G4375" i="1"/>
  <c r="G4374" i="1"/>
  <c r="G4357" i="1"/>
  <c r="G4356" i="1"/>
  <c r="G4355" i="1"/>
  <c r="H4343" i="1"/>
  <c r="H4344" i="1" s="1"/>
  <c r="G4342" i="1"/>
  <c r="G4341" i="1"/>
  <c r="G4340" i="1"/>
  <c r="G4328" i="1"/>
  <c r="G4327" i="1"/>
  <c r="G4326" i="1"/>
  <c r="H4329" i="1" s="1"/>
  <c r="H4330" i="1" s="1"/>
  <c r="G4313" i="1"/>
  <c r="G4312" i="1"/>
  <c r="G4311" i="1"/>
  <c r="H4314" i="1" s="1"/>
  <c r="H4315" i="1" s="1"/>
  <c r="G4296" i="1"/>
  <c r="G4295" i="1"/>
  <c r="G4294" i="1"/>
  <c r="H4297" i="1" s="1"/>
  <c r="H4298" i="1" s="1"/>
  <c r="G4278" i="1"/>
  <c r="G4277" i="1"/>
  <c r="H4279" i="1" s="1"/>
  <c r="H4280" i="1" s="1"/>
  <c r="G4276" i="1"/>
  <c r="G4261" i="1"/>
  <c r="H4262" i="1" s="1"/>
  <c r="H4263" i="1" s="1"/>
  <c r="G4260" i="1"/>
  <c r="G4259" i="1"/>
  <c r="H4246" i="1"/>
  <c r="H4247" i="1" s="1"/>
  <c r="G4245" i="1"/>
  <c r="G4244" i="1"/>
  <c r="G4243" i="1"/>
  <c r="G4231" i="1"/>
  <c r="G4230" i="1"/>
  <c r="G4229" i="1"/>
  <c r="G4212" i="1"/>
  <c r="H4213" i="1" s="1"/>
  <c r="H4214" i="1" s="1"/>
  <c r="G4211" i="1"/>
  <c r="G4210" i="1"/>
  <c r="H4199" i="1"/>
  <c r="H4200" i="1" s="1"/>
  <c r="G4198" i="1"/>
  <c r="G4197" i="1"/>
  <c r="G4196" i="1"/>
  <c r="H4173" i="1"/>
  <c r="G4171" i="1"/>
  <c r="G4170" i="1"/>
  <c r="G4169" i="1"/>
  <c r="H4172" i="1" s="1"/>
  <c r="G4157" i="1"/>
  <c r="G4156" i="1"/>
  <c r="G4155" i="1"/>
  <c r="G4141" i="1"/>
  <c r="G4140" i="1"/>
  <c r="H4142" i="1" s="1"/>
  <c r="H4143" i="1" s="1"/>
  <c r="G4139" i="1"/>
  <c r="G4125" i="1"/>
  <c r="H4126" i="1" s="1"/>
  <c r="H4127" i="1" s="1"/>
  <c r="G4124" i="1"/>
  <c r="G4123" i="1"/>
  <c r="H4112" i="1"/>
  <c r="H4113" i="1" s="1"/>
  <c r="G4111" i="1"/>
  <c r="G4110" i="1"/>
  <c r="G4109" i="1"/>
  <c r="G4093" i="1"/>
  <c r="G4092" i="1"/>
  <c r="G4091" i="1"/>
  <c r="H4077" i="1"/>
  <c r="H4078" i="1" s="1"/>
  <c r="G4076" i="1"/>
  <c r="G4075" i="1"/>
  <c r="G4074" i="1"/>
  <c r="G4060" i="1"/>
  <c r="G4059" i="1"/>
  <c r="G4058" i="1"/>
  <c r="H4061" i="1" s="1"/>
  <c r="H4062" i="1" s="1"/>
  <c r="G4045" i="1"/>
  <c r="G4044" i="1"/>
  <c r="G4043" i="1"/>
  <c r="H4046" i="1" s="1"/>
  <c r="H4047" i="1" s="1"/>
  <c r="G4029" i="1"/>
  <c r="G4028" i="1"/>
  <c r="G4027" i="1"/>
  <c r="H4030" i="1" s="1"/>
  <c r="H4031" i="1" s="1"/>
  <c r="G4013" i="1"/>
  <c r="G4012" i="1"/>
  <c r="H4014" i="1" s="1"/>
  <c r="H4015" i="1" s="1"/>
  <c r="G4011" i="1"/>
  <c r="G3996" i="1"/>
  <c r="H3997" i="1" s="1"/>
  <c r="H3998" i="1" s="1"/>
  <c r="G3995" i="1"/>
  <c r="G3994" i="1"/>
  <c r="H3982" i="1"/>
  <c r="H3983" i="1" s="1"/>
  <c r="G3981" i="1"/>
  <c r="G3980" i="1"/>
  <c r="G3979" i="1"/>
  <c r="G3964" i="1"/>
  <c r="G3963" i="1"/>
  <c r="G3962" i="1"/>
  <c r="G3948" i="1"/>
  <c r="H3949" i="1" s="1"/>
  <c r="H3950" i="1" s="1"/>
  <c r="G3947" i="1"/>
  <c r="G3946" i="1"/>
  <c r="H3934" i="1"/>
  <c r="H3935" i="1" s="1"/>
  <c r="G3933" i="1"/>
  <c r="G3932" i="1"/>
  <c r="G3931" i="1"/>
  <c r="H3920" i="1"/>
  <c r="G3918" i="1"/>
  <c r="G3917" i="1"/>
  <c r="G3916" i="1"/>
  <c r="H3919" i="1" s="1"/>
  <c r="G3902" i="1"/>
  <c r="G3901" i="1"/>
  <c r="G3900" i="1"/>
  <c r="G3887" i="1"/>
  <c r="G3886" i="1"/>
  <c r="H3888" i="1" s="1"/>
  <c r="H3889" i="1" s="1"/>
  <c r="G3885" i="1"/>
  <c r="G3871" i="1"/>
  <c r="H3872" i="1" s="1"/>
  <c r="H3873" i="1" s="1"/>
  <c r="G3870" i="1"/>
  <c r="G3869" i="1"/>
  <c r="H3858" i="1"/>
  <c r="H3859" i="1" s="1"/>
  <c r="G3857" i="1"/>
  <c r="G3856" i="1"/>
  <c r="G3855" i="1"/>
  <c r="G3844" i="1"/>
  <c r="G3843" i="1"/>
  <c r="G3842" i="1"/>
  <c r="H3831" i="1"/>
  <c r="H3832" i="1" s="1"/>
  <c r="G3830" i="1"/>
  <c r="G3829" i="1"/>
  <c r="G3828" i="1"/>
  <c r="G3813" i="1"/>
  <c r="G3812" i="1"/>
  <c r="G3811" i="1"/>
  <c r="H3814" i="1" s="1"/>
  <c r="H3815" i="1" s="1"/>
  <c r="G3798" i="1"/>
  <c r="G3797" i="1"/>
  <c r="G3796" i="1"/>
  <c r="H3799" i="1" s="1"/>
  <c r="H3800" i="1" s="1"/>
  <c r="G3783" i="1"/>
  <c r="G3782" i="1"/>
  <c r="G3781" i="1"/>
  <c r="H3784" i="1" s="1"/>
  <c r="H3785" i="1" s="1"/>
  <c r="G3769" i="1"/>
  <c r="G3768" i="1"/>
  <c r="H3770" i="1" s="1"/>
  <c r="H3771" i="1" s="1"/>
  <c r="G3767" i="1"/>
  <c r="G3752" i="1"/>
  <c r="H3753" i="1" s="1"/>
  <c r="H3754" i="1" s="1"/>
  <c r="G3751" i="1"/>
  <c r="G3750" i="1"/>
  <c r="H3738" i="1"/>
  <c r="H3739" i="1" s="1"/>
  <c r="G3737" i="1"/>
  <c r="G3736" i="1"/>
  <c r="G3735" i="1"/>
  <c r="G3722" i="1"/>
  <c r="G3721" i="1"/>
  <c r="G3720" i="1"/>
  <c r="G3708" i="1"/>
  <c r="H3709" i="1" s="1"/>
  <c r="H3710" i="1" s="1"/>
  <c r="G3707" i="1"/>
  <c r="G3706" i="1"/>
  <c r="H3694" i="1"/>
  <c r="H3695" i="1" s="1"/>
  <c r="G3693" i="1"/>
  <c r="G3692" i="1"/>
  <c r="G3691" i="1"/>
  <c r="H3680" i="1"/>
  <c r="G3678" i="1"/>
  <c r="G3677" i="1"/>
  <c r="G3676" i="1"/>
  <c r="H3679" i="1" s="1"/>
  <c r="G3663" i="1"/>
  <c r="G3662" i="1"/>
  <c r="G3661" i="1"/>
  <c r="G3647" i="1"/>
  <c r="G3646" i="1"/>
  <c r="H3648" i="1" s="1"/>
  <c r="H3649" i="1" s="1"/>
  <c r="G3645" i="1"/>
  <c r="G3631" i="1"/>
  <c r="H3632" i="1" s="1"/>
  <c r="H3633" i="1" s="1"/>
  <c r="G3630" i="1"/>
  <c r="G3629" i="1"/>
  <c r="H3618" i="1"/>
  <c r="H3619" i="1" s="1"/>
  <c r="G3617" i="1"/>
  <c r="G3616" i="1"/>
  <c r="G3615" i="1"/>
  <c r="G3601" i="1"/>
  <c r="G3600" i="1"/>
  <c r="G3599" i="1"/>
  <c r="H3584" i="1"/>
  <c r="H3585" i="1" s="1"/>
  <c r="G3583" i="1"/>
  <c r="G3582" i="1"/>
  <c r="G3581" i="1"/>
  <c r="G3568" i="1"/>
  <c r="G3567" i="1"/>
  <c r="G3566" i="1"/>
  <c r="H3569" i="1" s="1"/>
  <c r="H3570" i="1" s="1"/>
  <c r="G3554" i="1"/>
  <c r="G3553" i="1"/>
  <c r="G3552" i="1"/>
  <c r="H3555" i="1" s="1"/>
  <c r="H3556" i="1" s="1"/>
  <c r="G3539" i="1"/>
  <c r="G3538" i="1"/>
  <c r="G3537" i="1"/>
  <c r="H3540" i="1" s="1"/>
  <c r="H3541" i="1" s="1"/>
  <c r="G3525" i="1"/>
  <c r="G3524" i="1"/>
  <c r="H3526" i="1" s="1"/>
  <c r="H3527" i="1" s="1"/>
  <c r="G3523" i="1"/>
  <c r="G3510" i="1"/>
  <c r="H3511" i="1" s="1"/>
  <c r="H3512" i="1" s="1"/>
  <c r="G3509" i="1"/>
  <c r="G3508" i="1"/>
  <c r="H3496" i="1"/>
  <c r="H3497" i="1" s="1"/>
  <c r="G3495" i="1"/>
  <c r="G3494" i="1"/>
  <c r="G3493" i="1"/>
  <c r="G3478" i="1"/>
  <c r="G3477" i="1"/>
  <c r="G3476" i="1"/>
  <c r="G3461" i="1"/>
  <c r="H3462" i="1" s="1"/>
  <c r="H3463" i="1" s="1"/>
  <c r="G3460" i="1"/>
  <c r="G3459" i="1"/>
  <c r="H3445" i="1"/>
  <c r="H3446" i="1" s="1"/>
  <c r="G3444" i="1"/>
  <c r="G3443" i="1"/>
  <c r="G3442" i="1"/>
  <c r="H3430" i="1"/>
  <c r="G3428" i="1"/>
  <c r="G3427" i="1"/>
  <c r="G3426" i="1"/>
  <c r="H3429" i="1" s="1"/>
  <c r="G3412" i="1"/>
  <c r="G3411" i="1"/>
  <c r="G3410" i="1"/>
  <c r="G3396" i="1"/>
  <c r="G3395" i="1"/>
  <c r="H3397" i="1" s="1"/>
  <c r="H3398" i="1" s="1"/>
  <c r="G3394" i="1"/>
  <c r="G3380" i="1"/>
  <c r="H3381" i="1" s="1"/>
  <c r="H3382" i="1" s="1"/>
  <c r="G3379" i="1"/>
  <c r="G3378" i="1"/>
  <c r="H3366" i="1"/>
  <c r="H3367" i="1" s="1"/>
  <c r="G3365" i="1"/>
  <c r="G3364" i="1"/>
  <c r="G3363" i="1"/>
  <c r="G3351" i="1"/>
  <c r="G3350" i="1"/>
  <c r="G3349" i="1"/>
  <c r="H3336" i="1"/>
  <c r="H3337" i="1" s="1"/>
  <c r="G3335" i="1"/>
  <c r="G3334" i="1"/>
  <c r="G3333" i="1"/>
  <c r="G3319" i="1"/>
  <c r="G3318" i="1"/>
  <c r="G3317" i="1"/>
  <c r="H3320" i="1" s="1"/>
  <c r="H3321" i="1" s="1"/>
  <c r="G3304" i="1"/>
  <c r="G3303" i="1"/>
  <c r="G3302" i="1"/>
  <c r="H3305" i="1" s="1"/>
  <c r="H3306" i="1" s="1"/>
  <c r="G3289" i="1"/>
  <c r="G3288" i="1"/>
  <c r="G3287" i="1"/>
  <c r="H3290" i="1" s="1"/>
  <c r="H3291" i="1" s="1"/>
  <c r="G3271" i="1"/>
  <c r="G3270" i="1"/>
  <c r="H3272" i="1" s="1"/>
  <c r="H3273" i="1" s="1"/>
  <c r="G3269" i="1"/>
  <c r="G3255" i="1"/>
  <c r="H3256" i="1" s="1"/>
  <c r="H3257" i="1" s="1"/>
  <c r="G3254" i="1"/>
  <c r="G3253" i="1"/>
  <c r="H3240" i="1"/>
  <c r="H3241" i="1" s="1"/>
  <c r="G3239" i="1"/>
  <c r="G3238" i="1"/>
  <c r="G3237" i="1"/>
  <c r="G3224" i="1"/>
  <c r="G3223" i="1"/>
  <c r="G3222" i="1"/>
  <c r="G3208" i="1"/>
  <c r="H3209" i="1" s="1"/>
  <c r="H3210" i="1" s="1"/>
  <c r="G3207" i="1"/>
  <c r="G3206" i="1"/>
  <c r="H3194" i="1"/>
  <c r="H3195" i="1" s="1"/>
  <c r="G3193" i="1"/>
  <c r="G3192" i="1"/>
  <c r="G3191" i="1"/>
  <c r="H3180" i="1"/>
  <c r="G3178" i="1"/>
  <c r="G3177" i="1"/>
  <c r="G3176" i="1"/>
  <c r="H3179" i="1" s="1"/>
  <c r="G3161" i="1"/>
  <c r="G3160" i="1"/>
  <c r="G3159" i="1"/>
  <c r="G3146" i="1"/>
  <c r="G3145" i="1"/>
  <c r="H3147" i="1" s="1"/>
  <c r="H3148" i="1" s="1"/>
  <c r="G3144" i="1"/>
  <c r="G3130" i="1"/>
  <c r="H3131" i="1" s="1"/>
  <c r="H3132" i="1" s="1"/>
  <c r="G3129" i="1"/>
  <c r="G3128" i="1"/>
  <c r="H3116" i="1"/>
  <c r="H3117" i="1" s="1"/>
  <c r="G3115" i="1"/>
  <c r="G3114" i="1"/>
  <c r="G3113" i="1"/>
  <c r="G3099" i="1"/>
  <c r="G3098" i="1"/>
  <c r="G3097" i="1"/>
  <c r="H3084" i="1"/>
  <c r="H3085" i="1" s="1"/>
  <c r="G3083" i="1"/>
  <c r="G3082" i="1"/>
  <c r="G3081" i="1"/>
  <c r="G3068" i="1"/>
  <c r="G3067" i="1"/>
  <c r="G3066" i="1"/>
  <c r="H3069" i="1" s="1"/>
  <c r="H3070" i="1" s="1"/>
  <c r="G3052" i="1"/>
  <c r="G3051" i="1"/>
  <c r="G3050" i="1"/>
  <c r="H3053" i="1" s="1"/>
  <c r="H3054" i="1" s="1"/>
  <c r="G3037" i="1"/>
  <c r="G3036" i="1"/>
  <c r="G3035" i="1"/>
  <c r="H3038" i="1" s="1"/>
  <c r="H3039" i="1" s="1"/>
  <c r="G3021" i="1"/>
  <c r="G3020" i="1"/>
  <c r="G3019" i="1"/>
  <c r="G3006" i="1"/>
  <c r="H3007" i="1" s="1"/>
  <c r="H3008" i="1" s="1"/>
  <c r="G3005" i="1"/>
  <c r="G3004" i="1"/>
  <c r="H2992" i="1"/>
  <c r="H2993" i="1" s="1"/>
  <c r="G2991" i="1"/>
  <c r="G2990" i="1"/>
  <c r="G2989" i="1"/>
  <c r="H2977" i="1"/>
  <c r="G2975" i="1"/>
  <c r="G2974" i="1"/>
  <c r="G2973" i="1"/>
  <c r="H2976" i="1" s="1"/>
  <c r="H2959" i="1"/>
  <c r="H2960" i="1" s="1"/>
  <c r="G2958" i="1"/>
  <c r="G2957" i="1"/>
  <c r="G2956" i="1"/>
  <c r="G2942" i="1"/>
  <c r="G2941" i="1"/>
  <c r="G2940" i="1"/>
  <c r="H2943" i="1" s="1"/>
  <c r="H2944" i="1" s="1"/>
  <c r="G2927" i="1"/>
  <c r="G2926" i="1"/>
  <c r="G2925" i="1"/>
  <c r="H2928" i="1" s="1"/>
  <c r="H2929" i="1" s="1"/>
  <c r="G2912" i="1"/>
  <c r="G2911" i="1"/>
  <c r="G2910" i="1"/>
  <c r="H2913" i="1" s="1"/>
  <c r="H2914" i="1" s="1"/>
  <c r="G2897" i="1"/>
  <c r="G2896" i="1"/>
  <c r="G2895" i="1"/>
  <c r="G2882" i="1"/>
  <c r="H2883" i="1" s="1"/>
  <c r="H2884" i="1" s="1"/>
  <c r="G2881" i="1"/>
  <c r="G2880" i="1"/>
  <c r="H2868" i="1"/>
  <c r="H2869" i="1" s="1"/>
  <c r="G2867" i="1"/>
  <c r="G2866" i="1"/>
  <c r="G2865" i="1"/>
  <c r="H2853" i="1"/>
  <c r="G2851" i="1"/>
  <c r="G2850" i="1"/>
  <c r="G2849" i="1"/>
  <c r="H2852" i="1" s="1"/>
  <c r="H2838" i="1"/>
  <c r="H2839" i="1" s="1"/>
  <c r="G2837" i="1"/>
  <c r="G2836" i="1"/>
  <c r="G2835" i="1"/>
  <c r="G2821" i="1"/>
  <c r="G2820" i="1"/>
  <c r="G2819" i="1"/>
  <c r="H2822" i="1" s="1"/>
  <c r="H2823" i="1" s="1"/>
  <c r="G2805" i="1"/>
  <c r="G2804" i="1"/>
  <c r="G2803" i="1"/>
  <c r="H2806" i="1" s="1"/>
  <c r="H2807" i="1" s="1"/>
  <c r="G2790" i="1"/>
  <c r="G2789" i="1"/>
  <c r="G2788" i="1"/>
  <c r="H2791" i="1" s="1"/>
  <c r="H2792" i="1" s="1"/>
  <c r="G2773" i="1"/>
  <c r="G2772" i="1"/>
  <c r="G2771" i="1"/>
  <c r="G2759" i="1"/>
  <c r="H2760" i="1" s="1"/>
  <c r="H2761" i="1" s="1"/>
  <c r="G2758" i="1"/>
  <c r="G2757" i="1"/>
  <c r="H2744" i="1"/>
  <c r="H2745" i="1" s="1"/>
  <c r="G2743" i="1"/>
  <c r="G2742" i="1"/>
  <c r="G2741" i="1"/>
  <c r="H2729" i="1"/>
  <c r="G2727" i="1"/>
  <c r="G2726" i="1"/>
  <c r="G2725" i="1"/>
  <c r="H2728" i="1" s="1"/>
  <c r="H2713" i="1"/>
  <c r="H2714" i="1" s="1"/>
  <c r="G2712" i="1"/>
  <c r="G2711" i="1"/>
  <c r="G2710" i="1"/>
  <c r="G2697" i="1"/>
  <c r="G2696" i="1"/>
  <c r="G2695" i="1"/>
  <c r="H2698" i="1" s="1"/>
  <c r="H2699" i="1" s="1"/>
  <c r="G2683" i="1"/>
  <c r="G2682" i="1"/>
  <c r="G2681" i="1"/>
  <c r="H2684" i="1" s="1"/>
  <c r="H2685" i="1" s="1"/>
  <c r="G2665" i="1"/>
  <c r="G2664" i="1"/>
  <c r="G2663" i="1"/>
  <c r="H2666" i="1" s="1"/>
  <c r="H2667" i="1" s="1"/>
  <c r="G2648" i="1"/>
  <c r="G2647" i="1"/>
  <c r="G2646" i="1"/>
  <c r="G2633" i="1"/>
  <c r="H2634" i="1" s="1"/>
  <c r="H2635" i="1" s="1"/>
  <c r="G2632" i="1"/>
  <c r="G2631" i="1"/>
  <c r="H2620" i="1"/>
  <c r="H2621" i="1" s="1"/>
  <c r="G2619" i="1"/>
  <c r="G2618" i="1"/>
  <c r="G2617" i="1"/>
  <c r="H2606" i="1"/>
  <c r="G2604" i="1"/>
  <c r="G2603" i="1"/>
  <c r="G2602" i="1"/>
  <c r="H2605" i="1" s="1"/>
  <c r="H2589" i="1"/>
  <c r="H2590" i="1" s="1"/>
  <c r="G2588" i="1"/>
  <c r="G2587" i="1"/>
  <c r="G2586" i="1"/>
  <c r="G2573" i="1"/>
  <c r="G2572" i="1"/>
  <c r="G2571" i="1"/>
  <c r="H2574" i="1" s="1"/>
  <c r="H2575" i="1" s="1"/>
  <c r="G2560" i="1"/>
  <c r="G2559" i="1"/>
  <c r="G2558" i="1"/>
  <c r="H2561" i="1" s="1"/>
  <c r="H2562" i="1" s="1"/>
  <c r="G2546" i="1"/>
  <c r="G2545" i="1"/>
  <c r="G2544" i="1"/>
  <c r="H2547" i="1" s="1"/>
  <c r="H2548" i="1" s="1"/>
  <c r="G2532" i="1"/>
  <c r="G2531" i="1"/>
  <c r="G2530" i="1"/>
  <c r="G2516" i="1"/>
  <c r="H2517" i="1" s="1"/>
  <c r="H2518" i="1" s="1"/>
  <c r="G2515" i="1"/>
  <c r="G2514" i="1"/>
  <c r="H2501" i="1"/>
  <c r="H2502" i="1" s="1"/>
  <c r="G2500" i="1"/>
  <c r="G2499" i="1"/>
  <c r="G2498" i="1"/>
  <c r="H2480" i="1"/>
  <c r="G2478" i="1"/>
  <c r="G2477" i="1"/>
  <c r="G2476" i="1"/>
  <c r="H2479" i="1" s="1"/>
  <c r="H2464" i="1"/>
  <c r="H2465" i="1" s="1"/>
  <c r="G2463" i="1"/>
  <c r="G2462" i="1"/>
  <c r="G2461" i="1"/>
  <c r="G2446" i="1"/>
  <c r="G2445" i="1"/>
  <c r="G2444" i="1"/>
  <c r="H2447" i="1" s="1"/>
  <c r="H2448" i="1" s="1"/>
  <c r="G2431" i="1"/>
  <c r="G2430" i="1"/>
  <c r="G2429" i="1"/>
  <c r="H2432" i="1" s="1"/>
  <c r="H2433" i="1" s="1"/>
  <c r="G2404" i="1"/>
  <c r="G2403" i="1"/>
  <c r="G2402" i="1"/>
  <c r="H2405" i="1" s="1"/>
  <c r="H2406" i="1" s="1"/>
  <c r="G2384" i="1"/>
  <c r="G2383" i="1"/>
  <c r="G2382" i="1"/>
  <c r="G2368" i="1"/>
  <c r="H2369" i="1" s="1"/>
  <c r="H2370" i="1" s="1"/>
  <c r="G2367" i="1"/>
  <c r="G2366" i="1"/>
  <c r="H2349" i="1"/>
  <c r="H2350" i="1" s="1"/>
  <c r="G2348" i="1"/>
  <c r="G2347" i="1"/>
  <c r="G2346" i="1"/>
  <c r="H2328" i="1"/>
  <c r="G2326" i="1"/>
  <c r="G2325" i="1"/>
  <c r="G2324" i="1"/>
  <c r="H2327" i="1" s="1"/>
  <c r="H2314" i="1"/>
  <c r="H2315" i="1" s="1"/>
  <c r="G2313" i="1"/>
  <c r="G2312" i="1"/>
  <c r="G2311" i="1"/>
  <c r="G2298" i="1"/>
  <c r="G2297" i="1"/>
  <c r="G2296" i="1"/>
  <c r="H2299" i="1" s="1"/>
  <c r="H2300" i="1" s="1"/>
  <c r="G2280" i="1"/>
  <c r="G2279" i="1"/>
  <c r="G2278" i="1"/>
  <c r="H2281" i="1" s="1"/>
  <c r="H2282" i="1" s="1"/>
  <c r="G2264" i="1"/>
  <c r="G2263" i="1"/>
  <c r="G2262" i="1"/>
  <c r="H2265" i="1" s="1"/>
  <c r="H2266" i="1" s="1"/>
  <c r="G2248" i="1"/>
  <c r="G2247" i="1"/>
  <c r="G2246" i="1"/>
  <c r="G2232" i="1"/>
  <c r="H2233" i="1" s="1"/>
  <c r="H2234" i="1" s="1"/>
  <c r="G2231" i="1"/>
  <c r="G2230" i="1"/>
  <c r="H2214" i="1"/>
  <c r="H2215" i="1" s="1"/>
  <c r="G2213" i="1"/>
  <c r="G2212" i="1"/>
  <c r="G2211" i="1"/>
  <c r="H2195" i="1"/>
  <c r="G2193" i="1"/>
  <c r="G2192" i="1"/>
  <c r="G2191" i="1"/>
  <c r="H2194" i="1" s="1"/>
  <c r="H2176" i="1"/>
  <c r="H2177" i="1" s="1"/>
  <c r="G2175" i="1"/>
  <c r="G2174" i="1"/>
  <c r="G2173" i="1"/>
  <c r="G2162" i="1"/>
  <c r="G2161" i="1"/>
  <c r="G2160" i="1"/>
  <c r="H2163" i="1" s="1"/>
  <c r="H2164" i="1" s="1"/>
  <c r="G2145" i="1"/>
  <c r="G2144" i="1"/>
  <c r="G2143" i="1"/>
  <c r="H2146" i="1" s="1"/>
  <c r="H2147" i="1" s="1"/>
  <c r="G2128" i="1"/>
  <c r="G2127" i="1"/>
  <c r="G2126" i="1"/>
  <c r="H2129" i="1" s="1"/>
  <c r="H2130" i="1" s="1"/>
  <c r="G2113" i="1"/>
  <c r="G2112" i="1"/>
  <c r="G2111" i="1"/>
  <c r="G2094" i="1"/>
  <c r="H2095" i="1" s="1"/>
  <c r="H2096" i="1" s="1"/>
  <c r="G2093" i="1"/>
  <c r="G2092" i="1"/>
  <c r="H2079" i="1"/>
  <c r="H2080" i="1" s="1"/>
  <c r="G2078" i="1"/>
  <c r="G2077" i="1"/>
  <c r="G2076" i="1"/>
  <c r="H2064" i="1"/>
  <c r="G2062" i="1"/>
  <c r="G2061" i="1"/>
  <c r="G2060" i="1"/>
  <c r="H2063" i="1" s="1"/>
  <c r="H2050" i="1"/>
  <c r="H2051" i="1" s="1"/>
  <c r="G2049" i="1"/>
  <c r="G2048" i="1"/>
  <c r="G2047" i="1"/>
  <c r="G2035" i="1"/>
  <c r="G2034" i="1"/>
  <c r="G2033" i="1"/>
  <c r="H2036" i="1" s="1"/>
  <c r="H2037" i="1" s="1"/>
  <c r="G2020" i="1"/>
  <c r="G2019" i="1"/>
  <c r="G2018" i="1"/>
  <c r="H2021" i="1" s="1"/>
  <c r="H2022" i="1" s="1"/>
  <c r="G2005" i="1"/>
  <c r="G2004" i="1"/>
  <c r="G2003" i="1"/>
  <c r="H2006" i="1" s="1"/>
  <c r="H2007" i="1" s="1"/>
  <c r="G1990" i="1"/>
  <c r="G1989" i="1"/>
  <c r="G1988" i="1"/>
  <c r="G1976" i="1"/>
  <c r="H1977" i="1" s="1"/>
  <c r="H1978" i="1" s="1"/>
  <c r="G1975" i="1"/>
  <c r="G1974" i="1"/>
  <c r="H1963" i="1"/>
  <c r="H1964" i="1" s="1"/>
  <c r="G1962" i="1"/>
  <c r="G1961" i="1"/>
  <c r="G1960" i="1"/>
  <c r="H1950" i="1"/>
  <c r="G1948" i="1"/>
  <c r="G1947" i="1"/>
  <c r="G1946" i="1"/>
  <c r="H1949" i="1" s="1"/>
  <c r="H1935" i="1"/>
  <c r="H1936" i="1" s="1"/>
  <c r="G1934" i="1"/>
  <c r="G1933" i="1"/>
  <c r="G1932" i="1"/>
  <c r="G1914" i="1"/>
  <c r="G1913" i="1"/>
  <c r="G1912" i="1"/>
  <c r="H1915" i="1" s="1"/>
  <c r="H1916" i="1" s="1"/>
  <c r="G1898" i="1"/>
  <c r="G1897" i="1"/>
  <c r="G1896" i="1"/>
  <c r="H1899" i="1" s="1"/>
  <c r="H1900" i="1" s="1"/>
  <c r="G1882" i="1"/>
  <c r="G1881" i="1"/>
  <c r="G1880" i="1"/>
  <c r="H1883" i="1" s="1"/>
  <c r="H1884" i="1" s="1"/>
  <c r="G1867" i="1"/>
  <c r="G1866" i="1"/>
  <c r="G1865" i="1"/>
  <c r="G1851" i="1"/>
  <c r="H1852" i="1" s="1"/>
  <c r="H1853" i="1" s="1"/>
  <c r="G1850" i="1"/>
  <c r="G1849" i="1"/>
  <c r="H1837" i="1"/>
  <c r="H1838" i="1" s="1"/>
  <c r="G1836" i="1"/>
  <c r="G1835" i="1"/>
  <c r="G1834" i="1"/>
  <c r="H1823" i="1"/>
  <c r="G1821" i="1"/>
  <c r="G1820" i="1"/>
  <c r="G1819" i="1"/>
  <c r="H1822" i="1" s="1"/>
  <c r="H1806" i="1"/>
  <c r="H1807" i="1" s="1"/>
  <c r="G1805" i="1"/>
  <c r="G1804" i="1"/>
  <c r="G1803" i="1"/>
  <c r="G1788" i="1"/>
  <c r="G1787" i="1"/>
  <c r="G1786" i="1"/>
  <c r="H1789" i="1" s="1"/>
  <c r="H1790" i="1" s="1"/>
  <c r="G1771" i="1"/>
  <c r="G1770" i="1"/>
  <c r="G1769" i="1"/>
  <c r="H1772" i="1" s="1"/>
  <c r="H1773" i="1" s="1"/>
  <c r="G1754" i="1"/>
  <c r="G1753" i="1"/>
  <c r="G1752" i="1"/>
  <c r="H1755" i="1" s="1"/>
  <c r="H1756" i="1" s="1"/>
  <c r="G1739" i="1"/>
  <c r="G1738" i="1"/>
  <c r="G1737" i="1"/>
  <c r="G1725" i="1"/>
  <c r="H1726" i="1" s="1"/>
  <c r="H1727" i="1" s="1"/>
  <c r="G1724" i="1"/>
  <c r="G1723" i="1"/>
  <c r="H1710" i="1"/>
  <c r="H1711" i="1" s="1"/>
  <c r="G1709" i="1"/>
  <c r="G1708" i="1"/>
  <c r="G1707" i="1"/>
  <c r="G1694" i="1"/>
  <c r="G1693" i="1"/>
  <c r="G1692" i="1"/>
  <c r="H1695" i="1" s="1"/>
  <c r="H1696" i="1" s="1"/>
  <c r="G1680" i="1"/>
  <c r="G1679" i="1"/>
  <c r="G1678" i="1"/>
  <c r="H1681" i="1" s="1"/>
  <c r="H1682" i="1" s="1"/>
  <c r="G1661" i="1"/>
  <c r="G1660" i="1"/>
  <c r="H1662" i="1" s="1"/>
  <c r="H1663" i="1" s="1"/>
  <c r="G1659" i="1"/>
  <c r="G1638" i="1"/>
  <c r="H1639" i="1" s="1"/>
  <c r="H1640" i="1" s="1"/>
  <c r="G1637" i="1"/>
  <c r="G1636" i="1"/>
  <c r="H1621" i="1"/>
  <c r="H1622" i="1" s="1"/>
  <c r="G1620" i="1"/>
  <c r="G1619" i="1"/>
  <c r="G1618" i="1"/>
  <c r="G1600" i="1"/>
  <c r="G1599" i="1"/>
  <c r="G1598" i="1"/>
  <c r="G1583" i="1"/>
  <c r="H1584" i="1" s="1"/>
  <c r="H1585" i="1" s="1"/>
  <c r="G1582" i="1"/>
  <c r="G1581" i="1"/>
  <c r="H1568" i="1"/>
  <c r="H1569" i="1" s="1"/>
  <c r="G1567" i="1"/>
  <c r="G1566" i="1"/>
  <c r="G1565" i="1"/>
  <c r="G1549" i="1"/>
  <c r="G1548" i="1"/>
  <c r="G1547" i="1"/>
  <c r="H1550" i="1" s="1"/>
  <c r="H1551" i="1" s="1"/>
  <c r="G1529" i="1"/>
  <c r="G1528" i="1"/>
  <c r="G1527" i="1"/>
  <c r="H1530" i="1" s="1"/>
  <c r="H1531" i="1" s="1"/>
  <c r="G1511" i="1"/>
  <c r="G1510" i="1"/>
  <c r="H1512" i="1" s="1"/>
  <c r="H1513" i="1" s="1"/>
  <c r="G1509" i="1"/>
  <c r="G1494" i="1"/>
  <c r="H1495" i="1" s="1"/>
  <c r="H1496" i="1" s="1"/>
  <c r="G1493" i="1"/>
  <c r="G1492" i="1"/>
  <c r="H1479" i="1"/>
  <c r="H1480" i="1" s="1"/>
  <c r="G1478" i="1"/>
  <c r="G1477" i="1"/>
  <c r="G1476" i="1"/>
  <c r="G1459" i="1"/>
  <c r="G1458" i="1"/>
  <c r="G1457" i="1"/>
  <c r="G1443" i="1"/>
  <c r="H1444" i="1" s="1"/>
  <c r="H1445" i="1" s="1"/>
  <c r="G1442" i="1"/>
  <c r="G1441" i="1"/>
  <c r="H1424" i="1"/>
  <c r="H1425" i="1" s="1"/>
  <c r="G1423" i="1"/>
  <c r="G1422" i="1"/>
  <c r="G1421" i="1"/>
  <c r="G1408" i="1"/>
  <c r="G1407" i="1"/>
  <c r="G1406" i="1"/>
  <c r="H1409" i="1" s="1"/>
  <c r="H1410" i="1" s="1"/>
  <c r="G1390" i="1"/>
  <c r="G1389" i="1"/>
  <c r="G1388" i="1"/>
  <c r="H1391" i="1" s="1"/>
  <c r="H1392" i="1" s="1"/>
  <c r="G1373" i="1"/>
  <c r="G1372" i="1"/>
  <c r="H1374" i="1" s="1"/>
  <c r="H1375" i="1" s="1"/>
  <c r="G1371" i="1"/>
  <c r="G1358" i="1"/>
  <c r="H1359" i="1" s="1"/>
  <c r="H1360" i="1" s="1"/>
  <c r="G1357" i="1"/>
  <c r="G1356" i="1"/>
  <c r="H1343" i="1"/>
  <c r="H1344" i="1" s="1"/>
  <c r="G1342" i="1"/>
  <c r="G1341" i="1"/>
  <c r="G1340" i="1"/>
  <c r="G1324" i="1"/>
  <c r="G1323" i="1"/>
  <c r="G1322" i="1"/>
  <c r="G1310" i="1"/>
  <c r="H1311" i="1" s="1"/>
  <c r="H1312" i="1" s="1"/>
  <c r="G1309" i="1"/>
  <c r="G1308" i="1"/>
  <c r="H1293" i="1"/>
  <c r="H1294" i="1" s="1"/>
  <c r="G1292" i="1"/>
  <c r="G1291" i="1"/>
  <c r="G1290" i="1"/>
  <c r="G1271" i="1"/>
  <c r="G1270" i="1"/>
  <c r="G1269" i="1"/>
  <c r="H1272" i="1" s="1"/>
  <c r="H1273" i="1" s="1"/>
  <c r="G1249" i="1"/>
  <c r="G1248" i="1"/>
  <c r="G1247" i="1"/>
  <c r="H1250" i="1" s="1"/>
  <c r="H1251" i="1" s="1"/>
  <c r="G1231" i="1"/>
  <c r="G1230" i="1"/>
  <c r="H1232" i="1" s="1"/>
  <c r="H1233" i="1" s="1"/>
  <c r="G1229" i="1"/>
  <c r="G1213" i="1"/>
  <c r="H1214" i="1" s="1"/>
  <c r="H1215" i="1" s="1"/>
  <c r="G1212" i="1"/>
  <c r="G1211" i="1"/>
  <c r="H1188" i="1"/>
  <c r="H1189" i="1" s="1"/>
  <c r="G1187" i="1"/>
  <c r="G1186" i="1"/>
  <c r="G1185" i="1"/>
  <c r="G1166" i="1"/>
  <c r="G1165" i="1"/>
  <c r="G1164" i="1"/>
  <c r="G1152" i="1"/>
  <c r="H1153" i="1" s="1"/>
  <c r="H1154" i="1" s="1"/>
  <c r="G1151" i="1"/>
  <c r="G1150" i="1"/>
  <c r="H1134" i="1"/>
  <c r="H1135" i="1" s="1"/>
  <c r="G1133" i="1"/>
  <c r="G1132" i="1"/>
  <c r="G1131" i="1"/>
  <c r="G1115" i="1"/>
  <c r="G1114" i="1"/>
  <c r="G1113" i="1"/>
  <c r="H1116" i="1" s="1"/>
  <c r="H1117" i="1" s="1"/>
  <c r="G1102" i="1"/>
  <c r="G1101" i="1"/>
  <c r="G1100" i="1"/>
  <c r="H1103" i="1" s="1"/>
  <c r="H1104" i="1" s="1"/>
  <c r="G1087" i="1"/>
  <c r="G1086" i="1"/>
  <c r="H1088" i="1" s="1"/>
  <c r="H1089" i="1" s="1"/>
  <c r="G1085" i="1"/>
  <c r="G1068" i="1"/>
  <c r="H1069" i="1" s="1"/>
  <c r="H1070" i="1" s="1"/>
  <c r="G1067" i="1"/>
  <c r="G1066" i="1"/>
  <c r="H1052" i="1"/>
  <c r="H1053" i="1" s="1"/>
  <c r="G1051" i="1"/>
  <c r="G1050" i="1"/>
  <c r="G1049" i="1"/>
  <c r="G1037" i="1"/>
  <c r="G1036" i="1"/>
  <c r="G1035" i="1"/>
  <c r="G1022" i="1"/>
  <c r="H1023" i="1" s="1"/>
  <c r="H1024" i="1" s="1"/>
  <c r="G1021" i="1"/>
  <c r="G1020" i="1"/>
  <c r="H1008" i="1"/>
  <c r="H1009" i="1" s="1"/>
  <c r="G1007" i="1"/>
  <c r="G1006" i="1"/>
  <c r="G1005" i="1"/>
  <c r="G992" i="1"/>
  <c r="G991" i="1"/>
  <c r="G990" i="1"/>
  <c r="H993" i="1" s="1"/>
  <c r="H994" i="1" s="1"/>
  <c r="G973" i="1"/>
  <c r="G972" i="1"/>
  <c r="G971" i="1"/>
  <c r="H974" i="1" s="1"/>
  <c r="H975" i="1" s="1"/>
  <c r="G955" i="1"/>
  <c r="G954" i="1"/>
  <c r="H956" i="1" s="1"/>
  <c r="H957" i="1" s="1"/>
  <c r="G953" i="1"/>
  <c r="G940" i="1"/>
  <c r="H941" i="1" s="1"/>
  <c r="H942" i="1" s="1"/>
  <c r="G939" i="1"/>
  <c r="G938" i="1"/>
  <c r="H926" i="1"/>
  <c r="H927" i="1" s="1"/>
  <c r="G925" i="1"/>
  <c r="G924" i="1"/>
  <c r="G923" i="1"/>
  <c r="G908" i="1"/>
  <c r="G907" i="1"/>
  <c r="G906" i="1"/>
  <c r="G893" i="1"/>
  <c r="H894" i="1" s="1"/>
  <c r="H895" i="1" s="1"/>
  <c r="G892" i="1"/>
  <c r="G891" i="1"/>
  <c r="H880" i="1"/>
  <c r="H881" i="1" s="1"/>
  <c r="G879" i="1"/>
  <c r="G878" i="1"/>
  <c r="G877" i="1"/>
  <c r="G865" i="1"/>
  <c r="G864" i="1"/>
  <c r="G863" i="1"/>
  <c r="H866" i="1" s="1"/>
  <c r="H867" i="1" s="1"/>
  <c r="G849" i="1"/>
  <c r="G848" i="1"/>
  <c r="G847" i="1"/>
  <c r="H850" i="1" s="1"/>
  <c r="H851" i="1" s="1"/>
  <c r="G833" i="1"/>
  <c r="G832" i="1"/>
  <c r="H834" i="1" s="1"/>
  <c r="H835" i="1" s="1"/>
  <c r="G831" i="1"/>
  <c r="G818" i="1"/>
  <c r="H819" i="1" s="1"/>
  <c r="H820" i="1" s="1"/>
  <c r="G817" i="1"/>
  <c r="G816" i="1"/>
  <c r="H802" i="1"/>
  <c r="H803" i="1" s="1"/>
  <c r="G801" i="1"/>
  <c r="G800" i="1"/>
  <c r="G799" i="1"/>
  <c r="G785" i="1"/>
  <c r="G784" i="1"/>
  <c r="G783" i="1"/>
  <c r="G768" i="1"/>
  <c r="H769" i="1" s="1"/>
  <c r="H770" i="1" s="1"/>
  <c r="G767" i="1"/>
  <c r="G766" i="1"/>
  <c r="H753" i="1"/>
  <c r="H754" i="1" s="1"/>
  <c r="G752" i="1"/>
  <c r="G751" i="1"/>
  <c r="G750" i="1"/>
  <c r="G736" i="1"/>
  <c r="G735" i="1"/>
  <c r="G734" i="1"/>
  <c r="H737" i="1" s="1"/>
  <c r="H738" i="1" s="1"/>
  <c r="G719" i="1"/>
  <c r="G718" i="1"/>
  <c r="G717" i="1"/>
  <c r="H720" i="1" s="1"/>
  <c r="H721" i="1" s="1"/>
  <c r="G698" i="1"/>
  <c r="G697" i="1"/>
  <c r="H699" i="1" s="1"/>
  <c r="H700" i="1" s="1"/>
  <c r="G696" i="1"/>
  <c r="G682" i="1"/>
  <c r="H683" i="1" s="1"/>
  <c r="H684" i="1" s="1"/>
  <c r="G681" i="1"/>
  <c r="G680" i="1"/>
  <c r="H670" i="1"/>
  <c r="H671" i="1" s="1"/>
  <c r="G669" i="1"/>
  <c r="G668" i="1"/>
  <c r="G667" i="1"/>
  <c r="G650" i="1"/>
  <c r="G649" i="1"/>
  <c r="G648" i="1"/>
  <c r="G634" i="1"/>
  <c r="H635" i="1" s="1"/>
  <c r="H636" i="1" s="1"/>
  <c r="G633" i="1"/>
  <c r="G632" i="1"/>
  <c r="H620" i="1"/>
  <c r="H621" i="1" s="1"/>
  <c r="G619" i="1"/>
  <c r="G618" i="1"/>
  <c r="G617" i="1"/>
  <c r="G603" i="1"/>
  <c r="G602" i="1"/>
  <c r="G601" i="1"/>
  <c r="H604" i="1" s="1"/>
  <c r="H605" i="1" s="1"/>
  <c r="G584" i="1"/>
  <c r="G583" i="1"/>
  <c r="G582" i="1"/>
  <c r="H585" i="1" s="1"/>
  <c r="H586" i="1" s="1"/>
  <c r="G569" i="1"/>
  <c r="G568" i="1"/>
  <c r="H570" i="1" s="1"/>
  <c r="H571" i="1" s="1"/>
  <c r="G567" i="1"/>
  <c r="G554" i="1"/>
  <c r="H555" i="1" s="1"/>
  <c r="H556" i="1" s="1"/>
  <c r="G553" i="1"/>
  <c r="G552" i="1"/>
  <c r="H540" i="1"/>
  <c r="H541" i="1" s="1"/>
  <c r="G539" i="1"/>
  <c r="G538" i="1"/>
  <c r="G537" i="1"/>
  <c r="G520" i="1"/>
  <c r="G519" i="1"/>
  <c r="G518" i="1"/>
  <c r="G501" i="1"/>
  <c r="H502" i="1" s="1"/>
  <c r="H503" i="1" s="1"/>
  <c r="G500" i="1"/>
  <c r="G499" i="1"/>
  <c r="H487" i="1"/>
  <c r="H488" i="1" s="1"/>
  <c r="G486" i="1"/>
  <c r="G485" i="1"/>
  <c r="G484" i="1"/>
  <c r="G470" i="1"/>
  <c r="G469" i="1"/>
  <c r="G468" i="1"/>
  <c r="H471" i="1" s="1"/>
  <c r="H472" i="1" s="1"/>
  <c r="G455" i="1"/>
  <c r="G454" i="1"/>
  <c r="G453" i="1"/>
  <c r="H456" i="1" s="1"/>
  <c r="H457" i="1" s="1"/>
  <c r="G440" i="1"/>
  <c r="G439" i="1"/>
  <c r="H441" i="1" s="1"/>
  <c r="H442" i="1" s="1"/>
  <c r="G438" i="1"/>
  <c r="G424" i="1"/>
  <c r="H425" i="1" s="1"/>
  <c r="H426" i="1" s="1"/>
  <c r="G423" i="1"/>
  <c r="G422" i="1"/>
  <c r="H410" i="1"/>
  <c r="H411" i="1" s="1"/>
  <c r="G409" i="1"/>
  <c r="G408" i="1"/>
  <c r="G407" i="1"/>
  <c r="G394" i="1"/>
  <c r="G393" i="1"/>
  <c r="G392" i="1"/>
  <c r="G380" i="1"/>
  <c r="H381" i="1" s="1"/>
  <c r="H382" i="1" s="1"/>
  <c r="G379" i="1"/>
  <c r="G378" i="1"/>
  <c r="H367" i="1"/>
  <c r="H368" i="1" s="1"/>
  <c r="G366" i="1"/>
  <c r="G365" i="1"/>
  <c r="G364" i="1"/>
  <c r="G347" i="1"/>
  <c r="G346" i="1"/>
  <c r="G345" i="1"/>
  <c r="H348" i="1" s="1"/>
  <c r="H349" i="1" s="1"/>
  <c r="G332" i="1"/>
  <c r="G331" i="1"/>
  <c r="G330" i="1"/>
  <c r="H333" i="1" s="1"/>
  <c r="H334" i="1" s="1"/>
  <c r="G317" i="1"/>
  <c r="G316" i="1"/>
  <c r="H318" i="1" s="1"/>
  <c r="H319" i="1" s="1"/>
  <c r="G315" i="1"/>
  <c r="G302" i="1"/>
  <c r="H303" i="1" s="1"/>
  <c r="H304" i="1" s="1"/>
  <c r="G301" i="1"/>
  <c r="G300" i="1"/>
  <c r="H287" i="1"/>
  <c r="H288" i="1" s="1"/>
  <c r="G286" i="1"/>
  <c r="G285" i="1"/>
  <c r="G284" i="1"/>
  <c r="G270" i="1"/>
  <c r="G269" i="1"/>
  <c r="G268" i="1"/>
  <c r="G254" i="1"/>
  <c r="H255" i="1" s="1"/>
  <c r="H256" i="1" s="1"/>
  <c r="G253" i="1"/>
  <c r="G252" i="1"/>
  <c r="H240" i="1"/>
  <c r="H241" i="1" s="1"/>
  <c r="G239" i="1"/>
  <c r="G238" i="1"/>
  <c r="G237" i="1"/>
  <c r="G225" i="1"/>
  <c r="G224" i="1"/>
  <c r="G223" i="1"/>
  <c r="H226" i="1" s="1"/>
  <c r="H227" i="1" s="1"/>
  <c r="G212" i="1"/>
  <c r="G211" i="1"/>
  <c r="G210" i="1"/>
  <c r="H213" i="1" s="1"/>
  <c r="H214" i="1" s="1"/>
  <c r="G196" i="1"/>
  <c r="G195" i="1"/>
  <c r="H197" i="1" s="1"/>
  <c r="H198" i="1" s="1"/>
  <c r="G194" i="1"/>
  <c r="G182" i="1"/>
  <c r="H183" i="1" s="1"/>
  <c r="H184" i="1" s="1"/>
  <c r="G181" i="1"/>
  <c r="G180" i="1"/>
  <c r="H167" i="1"/>
  <c r="H168" i="1" s="1"/>
  <c r="G166" i="1"/>
  <c r="G165" i="1"/>
  <c r="G164" i="1"/>
  <c r="G152" i="1"/>
  <c r="G151" i="1"/>
  <c r="G150" i="1"/>
  <c r="G138" i="1"/>
  <c r="H139" i="1" s="1"/>
  <c r="H140" i="1" s="1"/>
  <c r="G137" i="1"/>
  <c r="G136" i="1"/>
  <c r="H124" i="1"/>
  <c r="H125" i="1" s="1"/>
  <c r="G123" i="1"/>
  <c r="G122" i="1"/>
  <c r="G121" i="1"/>
  <c r="G109" i="1"/>
  <c r="G108" i="1"/>
  <c r="G107" i="1"/>
  <c r="H110" i="1" s="1"/>
  <c r="H111" i="1" s="1"/>
  <c r="G95" i="1"/>
  <c r="G94" i="1"/>
  <c r="G93" i="1"/>
  <c r="H96" i="1" s="1"/>
  <c r="H97" i="1" s="1"/>
  <c r="G77" i="1"/>
  <c r="G76" i="1"/>
  <c r="H78" i="1" s="1"/>
  <c r="H79" i="1" s="1"/>
  <c r="G75" i="1"/>
  <c r="G61" i="1"/>
  <c r="H62" i="1" s="1"/>
  <c r="H63" i="1" s="1"/>
  <c r="G60" i="1"/>
  <c r="G59" i="1"/>
  <c r="H49" i="1"/>
  <c r="H50" i="1" s="1"/>
  <c r="G48" i="1"/>
  <c r="G47" i="1"/>
  <c r="G46" i="1"/>
  <c r="G34" i="1"/>
  <c r="G33" i="1"/>
  <c r="G32" i="1"/>
  <c r="G21" i="1"/>
  <c r="H22" i="1" s="1"/>
  <c r="H23" i="1" s="1"/>
  <c r="G20" i="1"/>
  <c r="G19" i="1"/>
  <c r="H8" i="1"/>
  <c r="H9" i="1" s="1"/>
  <c r="G7" i="1"/>
  <c r="G6" i="1"/>
  <c r="G5" i="1"/>
  <c r="H35" i="1" l="1"/>
  <c r="H36" i="1" s="1"/>
  <c r="H153" i="1"/>
  <c r="H154" i="1" s="1"/>
  <c r="H271" i="1"/>
  <c r="H272" i="1" s="1"/>
  <c r="H395" i="1"/>
  <c r="H396" i="1" s="1"/>
  <c r="H521" i="1"/>
  <c r="H522" i="1" s="1"/>
  <c r="H651" i="1"/>
  <c r="H652" i="1" s="1"/>
  <c r="H786" i="1"/>
  <c r="H787" i="1" s="1"/>
  <c r="H909" i="1"/>
  <c r="H910" i="1" s="1"/>
  <c r="H1038" i="1"/>
  <c r="H1039" i="1" s="1"/>
  <c r="H1167" i="1"/>
  <c r="H1168" i="1" s="1"/>
  <c r="H1325" i="1"/>
  <c r="H1326" i="1" s="1"/>
  <c r="H1460" i="1"/>
  <c r="H1461" i="1" s="1"/>
  <c r="H1601" i="1"/>
  <c r="H1602" i="1" s="1"/>
  <c r="H1740" i="1"/>
  <c r="H1741" i="1" s="1"/>
  <c r="H1868" i="1"/>
  <c r="H1869" i="1" s="1"/>
  <c r="H1991" i="1"/>
  <c r="H1992" i="1" s="1"/>
  <c r="H2114" i="1"/>
  <c r="H2115" i="1" s="1"/>
  <c r="H2249" i="1"/>
  <c r="H2250" i="1" s="1"/>
  <c r="H2385" i="1"/>
  <c r="H2386" i="1" s="1"/>
  <c r="H2533" i="1"/>
  <c r="H2534" i="1" s="1"/>
  <c r="H2649" i="1"/>
  <c r="H2650" i="1" s="1"/>
  <c r="H2774" i="1"/>
  <c r="H2775" i="1" s="1"/>
  <c r="H2898" i="1"/>
  <c r="H2899" i="1" s="1"/>
  <c r="H3022" i="1"/>
  <c r="H3023" i="1" s="1"/>
  <c r="H3162" i="1"/>
  <c r="H3163" i="1" s="1"/>
  <c r="H3413" i="1"/>
  <c r="H3414" i="1" s="1"/>
  <c r="H3664" i="1"/>
  <c r="H3665" i="1" s="1"/>
  <c r="H3903" i="1"/>
  <c r="H3904" i="1" s="1"/>
  <c r="H4158" i="1"/>
  <c r="H4159" i="1" s="1"/>
  <c r="H3100" i="1"/>
  <c r="H3101" i="1" s="1"/>
  <c r="H3225" i="1"/>
  <c r="H3226" i="1" s="1"/>
  <c r="H3352" i="1"/>
  <c r="H3353" i="1" s="1"/>
  <c r="H3479" i="1"/>
  <c r="H3480" i="1" s="1"/>
  <c r="H3602" i="1"/>
  <c r="H3603" i="1" s="1"/>
  <c r="H3723" i="1"/>
  <c r="H3724" i="1" s="1"/>
  <c r="H3845" i="1"/>
  <c r="H3846" i="1" s="1"/>
  <c r="H3965" i="1"/>
  <c r="H3966" i="1" s="1"/>
  <c r="H4094" i="1"/>
  <c r="H4095" i="1" s="1"/>
  <c r="H4232" i="1"/>
  <c r="H4233" i="1" s="1"/>
  <c r="H4358" i="1"/>
  <c r="H4359" i="1" s="1"/>
</calcChain>
</file>

<file path=xl/sharedStrings.xml><?xml version="1.0" encoding="utf-8"?>
<sst xmlns="http://schemas.openxmlformats.org/spreadsheetml/2006/main" count="8680" uniqueCount="729">
  <si>
    <t>فاکتور فروش پارچه اوت لت</t>
  </si>
  <si>
    <t xml:space="preserve"> tmo</t>
  </si>
  <si>
    <t>کد سبد 00626</t>
  </si>
  <si>
    <t>ردیف</t>
  </si>
  <si>
    <t>نام طرح‌ها</t>
  </si>
  <si>
    <t>کد اوت لت</t>
  </si>
  <si>
    <t>جنس پارچه</t>
  </si>
  <si>
    <t>متراژ (متر)</t>
  </si>
  <si>
    <t>قیمت واحد (تومان)</t>
  </si>
  <si>
    <t>جمع  (تومان)</t>
  </si>
  <si>
    <t>گل و پرنده 6329</t>
  </si>
  <si>
    <t>0745/</t>
  </si>
  <si>
    <t xml:space="preserve">بوگاتی </t>
  </si>
  <si>
    <t>پروانه بهاری 6701</t>
  </si>
  <si>
    <t xml:space="preserve">ژاکارد </t>
  </si>
  <si>
    <t>هزینه ارسال رایگان</t>
  </si>
  <si>
    <t>جمع کل بدون تخفیف (تومان):</t>
  </si>
  <si>
    <t>سود شما از این فاکتور (تومان):</t>
  </si>
  <si>
    <t>جمع کل با تخفیف (تومان):</t>
  </si>
  <si>
    <t>از کل مبلغ فروش این فاکتور یک درصد صرف امور خیریه می‌شود.</t>
  </si>
  <si>
    <t>کد سبد 00627</t>
  </si>
  <si>
    <t>پاپیون زمینه مشکی 6713</t>
  </si>
  <si>
    <t>0761/</t>
  </si>
  <si>
    <t xml:space="preserve">بوگانی </t>
  </si>
  <si>
    <t>گوچی بافت دار 6313</t>
  </si>
  <si>
    <t>0759/</t>
  </si>
  <si>
    <t>کد سبد 00628</t>
  </si>
  <si>
    <t>بابونه ابی ریز 6727</t>
  </si>
  <si>
    <t>گل 9 کد 5039</t>
  </si>
  <si>
    <t>0297/</t>
  </si>
  <si>
    <t>کد سبد 00629</t>
  </si>
  <si>
    <t>شکوفه صورتی پودری 6864</t>
  </si>
  <si>
    <t>لوگو باربی 3034</t>
  </si>
  <si>
    <t>کد سبد 00630</t>
  </si>
  <si>
    <t>رزگون ابی 6851</t>
  </si>
  <si>
    <t>پاپیون دانتلی 6809</t>
  </si>
  <si>
    <t>03268/</t>
  </si>
  <si>
    <t>کد سبد 00631</t>
  </si>
  <si>
    <t xml:space="preserve">6740 ریز سرمه ای </t>
  </si>
  <si>
    <t>0954/</t>
  </si>
  <si>
    <t>پاپیون زمینه سفید 6712</t>
  </si>
  <si>
    <t>040/</t>
  </si>
  <si>
    <t>کد سبد 00632</t>
  </si>
  <si>
    <t>زبرا مشکی ( پارچه گورخری) 6528</t>
  </si>
  <si>
    <t>بوگاتی</t>
  </si>
  <si>
    <t>ژاکارد</t>
  </si>
  <si>
    <t>کد سبد 00633</t>
  </si>
  <si>
    <t>باغ هزار گل 6811</t>
  </si>
  <si>
    <t>کد سبد 00634</t>
  </si>
  <si>
    <t>باغ هزار گل سرمه ای 6836</t>
  </si>
  <si>
    <t>کد سبد 00635</t>
  </si>
  <si>
    <t>بلبل کرمی 6845</t>
  </si>
  <si>
    <t>0374/</t>
  </si>
  <si>
    <t xml:space="preserve">پاپیون دانتلی 6809 </t>
  </si>
  <si>
    <t>0137/</t>
  </si>
  <si>
    <t>کد سبد 00636</t>
  </si>
  <si>
    <t>کیتی 6658</t>
  </si>
  <si>
    <t>پاپیون مشکی کیوت 6726</t>
  </si>
  <si>
    <t>0892/</t>
  </si>
  <si>
    <t>کد سبد 00637</t>
  </si>
  <si>
    <t>گل کریستالی  6854</t>
  </si>
  <si>
    <t>0403/</t>
  </si>
  <si>
    <t>پروانه و مرغ بهاری 6674</t>
  </si>
  <si>
    <t>کد سبد 00638</t>
  </si>
  <si>
    <t>تدی کرمی 6771</t>
  </si>
  <si>
    <t>گل وینتیج 6806</t>
  </si>
  <si>
    <t xml:space="preserve">ژااکارد </t>
  </si>
  <si>
    <t>کد سبد 00639</t>
  </si>
  <si>
    <t>گل پینترستی سبز 6780</t>
  </si>
  <si>
    <t>کد سبد 00640</t>
  </si>
  <si>
    <t>پروانه مونلا 6863</t>
  </si>
  <si>
    <t>0843/</t>
  </si>
  <si>
    <t>کد سبد 00641</t>
  </si>
  <si>
    <t>پرنده سبز یلداییی 6766</t>
  </si>
  <si>
    <t>کد سبد 00642</t>
  </si>
  <si>
    <t>پاپیوتن زمینه مشکی 6713</t>
  </si>
  <si>
    <t>0807/</t>
  </si>
  <si>
    <t>باندانا مشکی 5065</t>
  </si>
  <si>
    <t>کد سبد 00643</t>
  </si>
  <si>
    <t>باغ پرنده 6840</t>
  </si>
  <si>
    <t>گل و بته 6810</t>
  </si>
  <si>
    <t>کد سبد 00644</t>
  </si>
  <si>
    <t>پاپیون رزی 6759</t>
  </si>
  <si>
    <t>کد سبد 00645</t>
  </si>
  <si>
    <t>0528/</t>
  </si>
  <si>
    <t>کد سبد 00646</t>
  </si>
  <si>
    <t>رز بزرگ مشکی 6713</t>
  </si>
  <si>
    <t>پاپیون درشت 6769</t>
  </si>
  <si>
    <t>کد سبد 00647</t>
  </si>
  <si>
    <t>دسته گل کرمی 6781</t>
  </si>
  <si>
    <t>گل 3080</t>
  </si>
  <si>
    <t>کد سبد 00648</t>
  </si>
  <si>
    <t>0924/</t>
  </si>
  <si>
    <t>کد سبد 00649</t>
  </si>
  <si>
    <t xml:space="preserve">  tmo با کمک خانم ذوقی </t>
  </si>
  <si>
    <t>کد سبد 00650</t>
  </si>
  <si>
    <t>کد سبد 00651</t>
  </si>
  <si>
    <t>پینترستی ابی 6730</t>
  </si>
  <si>
    <t>پروانه مورفو 6743</t>
  </si>
  <si>
    <t>کد سبد 00652</t>
  </si>
  <si>
    <t>پرنده طلایی 6888</t>
  </si>
  <si>
    <t>کد سبد 00653</t>
  </si>
  <si>
    <t>0463/</t>
  </si>
  <si>
    <t>پرنده سبز یلدایی 6766</t>
  </si>
  <si>
    <t>کد سبد 00654</t>
  </si>
  <si>
    <t>رز بزرگ سفید 6735</t>
  </si>
  <si>
    <t>فرش قرمز ایرانی 6804</t>
  </si>
  <si>
    <t>کد سبد 00655</t>
  </si>
  <si>
    <t>گل سرخ ریز 6745</t>
  </si>
  <si>
    <t>کد سبد 00656</t>
  </si>
  <si>
    <t>قلب سفید زمینه مشکی 6041</t>
  </si>
  <si>
    <t>کد سبد 00657</t>
  </si>
  <si>
    <t>بلبل بهاری 6807</t>
  </si>
  <si>
    <t>کرم تک رنگ 6837</t>
  </si>
  <si>
    <t>کد سبد 00658</t>
  </si>
  <si>
    <t>قلب تو خالی 6725</t>
  </si>
  <si>
    <t>زبرا 5046</t>
  </si>
  <si>
    <t>کد سبد 00659</t>
  </si>
  <si>
    <t>مینی موس خالدار 2072</t>
  </si>
  <si>
    <t>بابونه زمینه مشکی 6719</t>
  </si>
  <si>
    <t xml:space="preserve">tmo  خانم ذوقی و </t>
  </si>
  <si>
    <t>کد سبد 00660</t>
  </si>
  <si>
    <t>کیتی پاپیونی 6172</t>
  </si>
  <si>
    <t>کد سبد 00661</t>
  </si>
  <si>
    <t>شکوفه و گنجشک کرمی 6838</t>
  </si>
  <si>
    <t xml:space="preserve">باغ هزارگل 6811 </t>
  </si>
  <si>
    <t>کد سبد 00662</t>
  </si>
  <si>
    <t>خرگوش صورتی 6667</t>
  </si>
  <si>
    <t>پاپیون رزی 6753</t>
  </si>
  <si>
    <t>0205/</t>
  </si>
  <si>
    <t>کد سبد 00663</t>
  </si>
  <si>
    <t>پروانه و شکوفه 6818</t>
  </si>
  <si>
    <t>کد سبد 00664</t>
  </si>
  <si>
    <t>باغ گل صورتی 6742</t>
  </si>
  <si>
    <t>0709/</t>
  </si>
  <si>
    <t>کد سبد 00665</t>
  </si>
  <si>
    <t>0830/</t>
  </si>
  <si>
    <t>کد سبد 00666</t>
  </si>
  <si>
    <t>باغ هزارگل 6811</t>
  </si>
  <si>
    <t>کد سبد 00667</t>
  </si>
  <si>
    <t>قلبی ریز 6857</t>
  </si>
  <si>
    <t>کد سبد 00668</t>
  </si>
  <si>
    <t>دونه های برفی 6038</t>
  </si>
  <si>
    <t>کد سبد 00669</t>
  </si>
  <si>
    <t>دیور صورتی  6819</t>
  </si>
  <si>
    <t>کد سبد 00670</t>
  </si>
  <si>
    <t>گل رنگارنگ 6700</t>
  </si>
  <si>
    <t>باغ طاووسی ابی 6842</t>
  </si>
  <si>
    <t>کد سبد 00671</t>
  </si>
  <si>
    <t>گل رز صورتی 6774</t>
  </si>
  <si>
    <t>کاشی گل ابی 6825</t>
  </si>
  <si>
    <t>کد سبد 00672</t>
  </si>
  <si>
    <t>گل ترنم 6029</t>
  </si>
  <si>
    <t>کد سبد 00673</t>
  </si>
  <si>
    <t>بابونه ریز سرمه ای 6740</t>
  </si>
  <si>
    <t>کد سبد 00674</t>
  </si>
  <si>
    <t>دیور صورتی 6819</t>
  </si>
  <si>
    <t>کد سبد 00675</t>
  </si>
  <si>
    <t>پاپیون خال خالی 6761</t>
  </si>
  <si>
    <t>0890/</t>
  </si>
  <si>
    <t>کد سبد 00676</t>
  </si>
  <si>
    <t>پاپیون مرواریدی 6860</t>
  </si>
  <si>
    <t>پاپیون کیوت 6726</t>
  </si>
  <si>
    <t>کد سبد 00677</t>
  </si>
  <si>
    <t>ادمک مشکی 6336</t>
  </si>
  <si>
    <t>0677/</t>
  </si>
  <si>
    <t>کد سبد 00678</t>
  </si>
  <si>
    <t>بابونه ریز زرشکی 6758</t>
  </si>
  <si>
    <t xml:space="preserve">شکوفه و پرنده یلدایی قرمز6765 </t>
  </si>
  <si>
    <t>کد سبد 00679</t>
  </si>
  <si>
    <t>هلو کیتی 6738</t>
  </si>
  <si>
    <t>کد سبد 00680</t>
  </si>
  <si>
    <t>کد سبد 00681</t>
  </si>
  <si>
    <t>قلب ریز 6857</t>
  </si>
  <si>
    <t>پاپیون گیپور 6870</t>
  </si>
  <si>
    <t>کد سبد 00682</t>
  </si>
  <si>
    <t>کد سبد 00683</t>
  </si>
  <si>
    <t>هلو کیتی 6328</t>
  </si>
  <si>
    <t>کد سبد 00684</t>
  </si>
  <si>
    <t>کیتی زمینه مشکی 6658</t>
  </si>
  <si>
    <t>پروانه طلایی 6768</t>
  </si>
  <si>
    <t>کد سبد 00685</t>
  </si>
  <si>
    <t>پروانه  لونا 6858</t>
  </si>
  <si>
    <t>کد سبد 00686</t>
  </si>
  <si>
    <t>بتمن 6830</t>
  </si>
  <si>
    <t>پاپیون لند 6855</t>
  </si>
  <si>
    <t>کد سبد 00687</t>
  </si>
  <si>
    <t>گل و پرنده 2 کد 6329</t>
  </si>
  <si>
    <t>0240/</t>
  </si>
  <si>
    <t>کد سبد 00688</t>
  </si>
  <si>
    <t>گل 5038</t>
  </si>
  <si>
    <t>کد سبد 00689</t>
  </si>
  <si>
    <t>شکوفه و پرنده یلدایی قرمز 6765</t>
  </si>
  <si>
    <t>کد سبد 00690</t>
  </si>
  <si>
    <t>فلامینگو 5020</t>
  </si>
  <si>
    <t>0451/</t>
  </si>
  <si>
    <t>فلامینگو 5019</t>
  </si>
  <si>
    <t>کد سبد 00691</t>
  </si>
  <si>
    <t>بابونه ریز زرشکی 6785</t>
  </si>
  <si>
    <t>گل 3041</t>
  </si>
  <si>
    <t>کد سبد 00692</t>
  </si>
  <si>
    <t>انار مرواریدی 6777</t>
  </si>
  <si>
    <t>کد سبد 00693</t>
  </si>
  <si>
    <t>بابونه بهشتی شکلاتی 6813</t>
  </si>
  <si>
    <t>0722/</t>
  </si>
  <si>
    <t>کد سبد 00694</t>
  </si>
  <si>
    <t>0503/</t>
  </si>
  <si>
    <t>0490/</t>
  </si>
  <si>
    <t>کد سبد 00695</t>
  </si>
  <si>
    <t>بابونه سفید طرح جین 6393</t>
  </si>
  <si>
    <t>0704/</t>
  </si>
  <si>
    <t>کد سبد 00696</t>
  </si>
  <si>
    <t>کد سبد 00697</t>
  </si>
  <si>
    <t>بابونه بهشتی زرد 6739</t>
  </si>
  <si>
    <t>کد سبد 00698</t>
  </si>
  <si>
    <t>کت صورتی 6030</t>
  </si>
  <si>
    <t>کد سبد 00699</t>
  </si>
  <si>
    <t>0368/</t>
  </si>
  <si>
    <t>0913/</t>
  </si>
  <si>
    <t>کد سبد 00700</t>
  </si>
  <si>
    <t>پاپیون راه راه ابی 6874</t>
  </si>
  <si>
    <t>کد سبد 00701</t>
  </si>
  <si>
    <t>کد سبد 00702</t>
  </si>
  <si>
    <t>پاپیون دانتلی  6809</t>
  </si>
  <si>
    <t>0506/</t>
  </si>
  <si>
    <t>کد سبد 00703</t>
  </si>
  <si>
    <t>شکوفه سبز 6879</t>
  </si>
  <si>
    <t>طرح گل 3080</t>
  </si>
  <si>
    <t>کد سبد 00704</t>
  </si>
  <si>
    <t>بتمن  6830</t>
  </si>
  <si>
    <t>0679/</t>
  </si>
  <si>
    <t>کد سبد 00705</t>
  </si>
  <si>
    <t>0502/</t>
  </si>
  <si>
    <t>049/</t>
  </si>
  <si>
    <t>کد سبد 00706</t>
  </si>
  <si>
    <t>بابونه کیوت 6736</t>
  </si>
  <si>
    <t>کد سبد 00707</t>
  </si>
  <si>
    <t>گل و گلی 6187</t>
  </si>
  <si>
    <t>کد سبد 00708</t>
  </si>
  <si>
    <t>کد سبد 00709</t>
  </si>
  <si>
    <t>هلو کیتی 6736</t>
  </si>
  <si>
    <t>کد سبد 00710</t>
  </si>
  <si>
    <t>کد سبد 00711</t>
  </si>
  <si>
    <t>گل زنبق 6790</t>
  </si>
  <si>
    <t>باغ هزارگل 6836</t>
  </si>
  <si>
    <t>کد سبد 00712</t>
  </si>
  <si>
    <t>گلاس 3 کد 2071</t>
  </si>
  <si>
    <t>گوچی صورتی 6821</t>
  </si>
  <si>
    <t>0720/</t>
  </si>
  <si>
    <t>کد سبد 00713</t>
  </si>
  <si>
    <t>تدی کرمی  6771</t>
  </si>
  <si>
    <t>پلنگی قهوه ای 6834</t>
  </si>
  <si>
    <t>کد سبد 00714</t>
  </si>
  <si>
    <t>شکوفه ی کارامل 6835</t>
  </si>
  <si>
    <t>کد سبد 00715</t>
  </si>
  <si>
    <t>بابونه گلبهی 6734</t>
  </si>
  <si>
    <t>0813/</t>
  </si>
  <si>
    <t>کد سبد 00716</t>
  </si>
  <si>
    <t>کد سبد 00717</t>
  </si>
  <si>
    <t>پرنده سبز یلدایی6766</t>
  </si>
  <si>
    <t>0933/</t>
  </si>
  <si>
    <t>کد سبد 00718</t>
  </si>
  <si>
    <t>شکوفه کارامل 6835</t>
  </si>
  <si>
    <t>کد سبد 00719</t>
  </si>
  <si>
    <t>کد سبد 00720</t>
  </si>
  <si>
    <t>گل و پرنده 7045</t>
  </si>
  <si>
    <t>کد سبد 00721</t>
  </si>
  <si>
    <t>کاشی پرنده 6686</t>
  </si>
  <si>
    <t>کد سبد 00722</t>
  </si>
  <si>
    <t>کد سبد 00723</t>
  </si>
  <si>
    <t>کد سبد 00724</t>
  </si>
  <si>
    <t>0357/</t>
  </si>
  <si>
    <t>گیلاسی مشکی 6715</t>
  </si>
  <si>
    <t>کد سبد 00725</t>
  </si>
  <si>
    <t>گل و بته  6810</t>
  </si>
  <si>
    <t>کد سبد 00726</t>
  </si>
  <si>
    <t>گل ابی ملیح 6776</t>
  </si>
  <si>
    <t>کد سبد 00727</t>
  </si>
  <si>
    <t>کد سبد 00728</t>
  </si>
  <si>
    <t>کد سبد 00729</t>
  </si>
  <si>
    <t>گیلاس 3 کد 2071</t>
  </si>
  <si>
    <t>باغ هزارگل سرمه ای 6836</t>
  </si>
  <si>
    <t>کد سبد 00730</t>
  </si>
  <si>
    <t>کد سبد 00731</t>
  </si>
  <si>
    <t>کیتی پاپیون صورتی 6527</t>
  </si>
  <si>
    <t>0705/</t>
  </si>
  <si>
    <t>کد سبد 00732</t>
  </si>
  <si>
    <t>چهار خونه 4028</t>
  </si>
  <si>
    <t>گل رز صورتی 6714</t>
  </si>
  <si>
    <t>کد سبد 00733</t>
  </si>
  <si>
    <t>کد سبد 00734</t>
  </si>
  <si>
    <t>کد سبد 00735</t>
  </si>
  <si>
    <t>باونه ریز زرشکی 6758</t>
  </si>
  <si>
    <t>کد سبد 00736</t>
  </si>
  <si>
    <t>اسپایدرمن 6831</t>
  </si>
  <si>
    <t>گل اسلیمی سرخابی 6823</t>
  </si>
  <si>
    <t>کد سبد 00737</t>
  </si>
  <si>
    <t>کد سبد 00738</t>
  </si>
  <si>
    <t>بلبل 5011</t>
  </si>
  <si>
    <t>کد سبد 00739</t>
  </si>
  <si>
    <t>گل ریز شاخه ای 6789</t>
  </si>
  <si>
    <t>کد سبد 00740</t>
  </si>
  <si>
    <t>کد سبد 00741</t>
  </si>
  <si>
    <t>پروانه موکا 6829</t>
  </si>
  <si>
    <t xml:space="preserve">پاپیون مشکی  کیوت 6726 </t>
  </si>
  <si>
    <t>کد سبد 00742</t>
  </si>
  <si>
    <t>پاپیون درشت  6769</t>
  </si>
  <si>
    <t>کد سبد 00743</t>
  </si>
  <si>
    <t>کد سبد 00744</t>
  </si>
  <si>
    <t>یاغ طاووسی ابی 6842</t>
  </si>
  <si>
    <t>کد سبد 00745</t>
  </si>
  <si>
    <t>پاپیون گیپور مشکی 6870</t>
  </si>
  <si>
    <t>کد سبد 00746</t>
  </si>
  <si>
    <t xml:space="preserve">پاپیون درشت 6769 </t>
  </si>
  <si>
    <t>کد سبد 00747</t>
  </si>
  <si>
    <t>پاپیون مشکی خالدار 6692</t>
  </si>
  <si>
    <t>کد سبد 00748</t>
  </si>
  <si>
    <t>قاصدک 3 کد 5025</t>
  </si>
  <si>
    <t>کد سبد 00749</t>
  </si>
  <si>
    <t>0819/</t>
  </si>
  <si>
    <t>کد سبد 00750</t>
  </si>
  <si>
    <t>کهکشان گلگسی 5063</t>
  </si>
  <si>
    <t>0474/</t>
  </si>
  <si>
    <t>کد سبد 00751</t>
  </si>
  <si>
    <t>0479/</t>
  </si>
  <si>
    <t>گوچی بافت دار  6313</t>
  </si>
  <si>
    <t>کد سبد 00752</t>
  </si>
  <si>
    <t>کد سبد 00753</t>
  </si>
  <si>
    <t>گل کریستالی 6854</t>
  </si>
  <si>
    <t>کد سبد 00754</t>
  </si>
  <si>
    <t>کد سبد 00755</t>
  </si>
  <si>
    <t>گل رنگین 6816</t>
  </si>
  <si>
    <t>0478/</t>
  </si>
  <si>
    <t>0829/</t>
  </si>
  <si>
    <t>کد سبد 00756</t>
  </si>
  <si>
    <t>گیلاسی مشکی6715</t>
  </si>
  <si>
    <t>0615/</t>
  </si>
  <si>
    <t>کد سبد 00757</t>
  </si>
  <si>
    <t>کد سبد 00758</t>
  </si>
  <si>
    <t>گربه اشرفی 2 کد 2069</t>
  </si>
  <si>
    <t>0569/</t>
  </si>
  <si>
    <t>کد سبد 00759</t>
  </si>
  <si>
    <t>شکوفه و پرنده یلذایی قرمز 6765</t>
  </si>
  <si>
    <t>0795/</t>
  </si>
  <si>
    <t>کد سبد 00760</t>
  </si>
  <si>
    <t>کد سبد 00761</t>
  </si>
  <si>
    <t>پاپیون دانتلی6809</t>
  </si>
  <si>
    <t>لیمو و طوطی 6859</t>
  </si>
  <si>
    <t>0794/</t>
  </si>
  <si>
    <t>کد سبد 00762</t>
  </si>
  <si>
    <t>کد سبد 00763</t>
  </si>
  <si>
    <t>پروانه مورفو6743</t>
  </si>
  <si>
    <t>کاشی گل  ابی 6825</t>
  </si>
  <si>
    <t>کد سبد 00764</t>
  </si>
  <si>
    <t>پاپیون خالدار ریز 6856</t>
  </si>
  <si>
    <t>کد سبد 00765</t>
  </si>
  <si>
    <t>گل رز  6774</t>
  </si>
  <si>
    <t>کد سبد 00766</t>
  </si>
  <si>
    <t>کد سبد 00767</t>
  </si>
  <si>
    <t>ابنباتی 3087</t>
  </si>
  <si>
    <t>کد سبد 00768</t>
  </si>
  <si>
    <t>هلو کیتی گلبهی 6841</t>
  </si>
  <si>
    <t>چهل تیکه سرخ 6817</t>
  </si>
  <si>
    <t>کد سبد 00769</t>
  </si>
  <si>
    <t>کد سبد 00770</t>
  </si>
  <si>
    <t>پروانه مینیاتوری 6786</t>
  </si>
  <si>
    <t>گل و پرنده7045</t>
  </si>
  <si>
    <t>کد سبد 00771</t>
  </si>
  <si>
    <t>کد سبد 00772</t>
  </si>
  <si>
    <t>پاپیون شکلاتی 6833</t>
  </si>
  <si>
    <t>091/</t>
  </si>
  <si>
    <t>کد سبد 00773</t>
  </si>
  <si>
    <t>0821/</t>
  </si>
  <si>
    <t>کد سبد 00774</t>
  </si>
  <si>
    <t>لیمو وطوطی 6859</t>
  </si>
  <si>
    <t>پاپیون و گل کیوت 6770</t>
  </si>
  <si>
    <t>کد سبد 00775</t>
  </si>
  <si>
    <t>کد سبد 00776</t>
  </si>
  <si>
    <t>پاپیون راه راه شکلاتی 6871</t>
  </si>
  <si>
    <t>کد سبد 00777</t>
  </si>
  <si>
    <t>رز بزرگ مشکی 6731</t>
  </si>
  <si>
    <t>کد سبد 00778</t>
  </si>
  <si>
    <t>گل سیز ریز 6785</t>
  </si>
  <si>
    <t>کد سبد 00779</t>
  </si>
  <si>
    <t>کد سبد 00780</t>
  </si>
  <si>
    <t>ابی ملیح 6776</t>
  </si>
  <si>
    <t>کد سبد 00781</t>
  </si>
  <si>
    <t>بابونه  ابی ریز  6727</t>
  </si>
  <si>
    <t>ابی ملیح6776</t>
  </si>
  <si>
    <t>کد سبد 00782</t>
  </si>
  <si>
    <t>کد سبد 00783</t>
  </si>
  <si>
    <t>کد سبد 00784</t>
  </si>
  <si>
    <t>کد سبد 00785</t>
  </si>
  <si>
    <t>کد سبد 00786</t>
  </si>
  <si>
    <t>کد سبد 00787</t>
  </si>
  <si>
    <t>گل سبز پینترستی 6780</t>
  </si>
  <si>
    <t>کد سبد 00788</t>
  </si>
  <si>
    <t>رز بزرگ زمینه مشکی 6731</t>
  </si>
  <si>
    <t>کد سبد 00789</t>
  </si>
  <si>
    <t>کد سبد 00790</t>
  </si>
  <si>
    <t>کد سبد 00791</t>
  </si>
  <si>
    <t>کد سبد 00792</t>
  </si>
  <si>
    <t>بابونه بهشتی سبز6732</t>
  </si>
  <si>
    <t>گل و پرنده زمردی  6843</t>
  </si>
  <si>
    <t>کد سبد 00793</t>
  </si>
  <si>
    <t>طرح گل 5038</t>
  </si>
  <si>
    <t>ونگوک 5096</t>
  </si>
  <si>
    <t>کد سبد 00794</t>
  </si>
  <si>
    <t>کد سبد 00795</t>
  </si>
  <si>
    <t>کد سبد 00796</t>
  </si>
  <si>
    <t>کد سبد 00797</t>
  </si>
  <si>
    <t>کد سبد 00798</t>
  </si>
  <si>
    <t xml:space="preserve">باغ هزار گل 6811 </t>
  </si>
  <si>
    <t>کد سبد 00799</t>
  </si>
  <si>
    <t>گوچی شکلاتی 6021</t>
  </si>
  <si>
    <t>کد سبد 00800</t>
  </si>
  <si>
    <t>انیمه ای 6523</t>
  </si>
  <si>
    <t>گیلاس پاپیونی قرمز 6763</t>
  </si>
  <si>
    <t>فلاح و یوسفی</t>
  </si>
  <si>
    <t>کد سبد 00801</t>
  </si>
  <si>
    <t>02358/</t>
  </si>
  <si>
    <t>02442/</t>
  </si>
  <si>
    <t>کد سبد 00802</t>
  </si>
  <si>
    <t>اسپایدر من 6831</t>
  </si>
  <si>
    <t>01158/</t>
  </si>
  <si>
    <t>کد سبد 00803</t>
  </si>
  <si>
    <t>08464/</t>
  </si>
  <si>
    <t>کد سبد 00804</t>
  </si>
  <si>
    <t>مه گل 6850</t>
  </si>
  <si>
    <t>01829/</t>
  </si>
  <si>
    <t>03869/</t>
  </si>
  <si>
    <t>کد سبد 00805</t>
  </si>
  <si>
    <t>0860/</t>
  </si>
  <si>
    <t>02770/</t>
  </si>
  <si>
    <t>کد سبد 00806</t>
  </si>
  <si>
    <t>گل گل صورتی 6847</t>
  </si>
  <si>
    <t>04136/</t>
  </si>
  <si>
    <t>08359/</t>
  </si>
  <si>
    <t>کد سبد 00807</t>
  </si>
  <si>
    <t>08226/</t>
  </si>
  <si>
    <t>03779/</t>
  </si>
  <si>
    <t>کد سبد 00808</t>
  </si>
  <si>
    <t>شکوفه و پرنده قرمز یلدایی 6765</t>
  </si>
  <si>
    <t>07835/</t>
  </si>
  <si>
    <t>03777/</t>
  </si>
  <si>
    <t>کد سبد 00809</t>
  </si>
  <si>
    <t>07524/</t>
  </si>
  <si>
    <t>01090/</t>
  </si>
  <si>
    <t>کد سبد 00810</t>
  </si>
  <si>
    <t>07454/</t>
  </si>
  <si>
    <t>05107/</t>
  </si>
  <si>
    <t>کد سبد 00811</t>
  </si>
  <si>
    <t>02665/</t>
  </si>
  <si>
    <t>کد سبد 00812</t>
  </si>
  <si>
    <t>07270/</t>
  </si>
  <si>
    <t>گل رز سرخ 6787</t>
  </si>
  <si>
    <t>03601/</t>
  </si>
  <si>
    <t>کد سبد 00813</t>
  </si>
  <si>
    <t>01846/</t>
  </si>
  <si>
    <t>پروانه لونا 6858</t>
  </si>
  <si>
    <t>06630/</t>
  </si>
  <si>
    <t>کد سبد 00814</t>
  </si>
  <si>
    <t>0136/</t>
  </si>
  <si>
    <t>03613/</t>
  </si>
  <si>
    <t>کد سبد 00815</t>
  </si>
  <si>
    <t>0671/</t>
  </si>
  <si>
    <t>کد سبد 00816</t>
  </si>
  <si>
    <t>03216/</t>
  </si>
  <si>
    <t>02356/</t>
  </si>
  <si>
    <t>کد سبد 00817</t>
  </si>
  <si>
    <t>06627/</t>
  </si>
  <si>
    <t>کد سبد 00818</t>
  </si>
  <si>
    <t>خارپشت 6668</t>
  </si>
  <si>
    <t>02664/</t>
  </si>
  <si>
    <t>کد سبد 00819</t>
  </si>
  <si>
    <t>06587/</t>
  </si>
  <si>
    <t>کد سبد 00820</t>
  </si>
  <si>
    <t>03684/</t>
  </si>
  <si>
    <t>کد سبد 00821</t>
  </si>
  <si>
    <t>01016/</t>
  </si>
  <si>
    <t>شکوفه و گنجشک سبز 6839</t>
  </si>
  <si>
    <t>01115/</t>
  </si>
  <si>
    <t>کد سبد 00822</t>
  </si>
  <si>
    <t>01138/</t>
  </si>
  <si>
    <t>کد سبد 00823</t>
  </si>
  <si>
    <t>07518/</t>
  </si>
  <si>
    <t>06594/</t>
  </si>
  <si>
    <t>کد سبد 00824</t>
  </si>
  <si>
    <t>دسته گل کرمی 6871</t>
  </si>
  <si>
    <t>02431/</t>
  </si>
  <si>
    <t>کد سبد 00825</t>
  </si>
  <si>
    <t>03008/</t>
  </si>
  <si>
    <t>02145/</t>
  </si>
  <si>
    <t>کد سبد 00826</t>
  </si>
  <si>
    <t>02300/</t>
  </si>
  <si>
    <t>03265/</t>
  </si>
  <si>
    <t>کد سبد 00827</t>
  </si>
  <si>
    <t>خرگو ش صورتی 6667</t>
  </si>
  <si>
    <t>04182/</t>
  </si>
  <si>
    <t>01245/</t>
  </si>
  <si>
    <t>کد سبد 00828</t>
  </si>
  <si>
    <t>0213/</t>
  </si>
  <si>
    <t>بابونه خالدار آبی 6394</t>
  </si>
  <si>
    <t>08444/</t>
  </si>
  <si>
    <t>کد سبد 00829</t>
  </si>
  <si>
    <t>01680/</t>
  </si>
  <si>
    <t>کد سبد 00830</t>
  </si>
  <si>
    <t>گیلاس مشکی 6715</t>
  </si>
  <si>
    <t>0449/</t>
  </si>
  <si>
    <t>04125/</t>
  </si>
  <si>
    <t>کد سبد 00831</t>
  </si>
  <si>
    <t>گل 5039</t>
  </si>
  <si>
    <t>05575/</t>
  </si>
  <si>
    <t>02365/</t>
  </si>
  <si>
    <t>کد سبد 00832</t>
  </si>
  <si>
    <t>03536/</t>
  </si>
  <si>
    <t>کد سبد 00833</t>
  </si>
  <si>
    <t>02389/</t>
  </si>
  <si>
    <t>کد سبد 00834</t>
  </si>
  <si>
    <t>03659/</t>
  </si>
  <si>
    <t>بابونه زمینه گلبهی 6392</t>
  </si>
  <si>
    <t>02661/</t>
  </si>
  <si>
    <t>کد سبد 00835</t>
  </si>
  <si>
    <t>01768/</t>
  </si>
  <si>
    <t>کد سبد 00836</t>
  </si>
  <si>
    <t>انار 6071</t>
  </si>
  <si>
    <t>07502/</t>
  </si>
  <si>
    <t>06631/</t>
  </si>
  <si>
    <t>کد سبد 00837</t>
  </si>
  <si>
    <t>03278/</t>
  </si>
  <si>
    <t>جنگل دیور 6545</t>
  </si>
  <si>
    <t>0118/</t>
  </si>
  <si>
    <t>کد سبد 00838</t>
  </si>
  <si>
    <t>01985/</t>
  </si>
  <si>
    <t>0235/</t>
  </si>
  <si>
    <t>کد سبد 00839</t>
  </si>
  <si>
    <t>02438/</t>
  </si>
  <si>
    <t>کد سبد 00840</t>
  </si>
  <si>
    <t>02589/</t>
  </si>
  <si>
    <t>کد سبد 00841</t>
  </si>
  <si>
    <t>03717/</t>
  </si>
  <si>
    <t>04562/</t>
  </si>
  <si>
    <t>کد سبد 00842</t>
  </si>
  <si>
    <t>01150/</t>
  </si>
  <si>
    <t>04358/</t>
  </si>
  <si>
    <t>کد سبد 00843</t>
  </si>
  <si>
    <t>07455/</t>
  </si>
  <si>
    <t>01177/</t>
  </si>
  <si>
    <t>کد سبد 00844</t>
  </si>
  <si>
    <t>02569/</t>
  </si>
  <si>
    <t>کد سبد 00845</t>
  </si>
  <si>
    <t>02984/</t>
  </si>
  <si>
    <t>شکوفه زار صورتی 6844</t>
  </si>
  <si>
    <t>01274/</t>
  </si>
  <si>
    <t>کد سبد 00846</t>
  </si>
  <si>
    <t>01866/</t>
  </si>
  <si>
    <t>کاشی سنتی 4082</t>
  </si>
  <si>
    <t>08036/</t>
  </si>
  <si>
    <t>کد سبد 00847</t>
  </si>
  <si>
    <t>07450/</t>
  </si>
  <si>
    <t>ساحل 6531</t>
  </si>
  <si>
    <t>01269/</t>
  </si>
  <si>
    <t>کد سبد 00848</t>
  </si>
  <si>
    <t>08238/</t>
  </si>
  <si>
    <t>0535/</t>
  </si>
  <si>
    <t>کد سبد 00849</t>
  </si>
  <si>
    <t>گل و بلبل 6699</t>
  </si>
  <si>
    <t>08237/</t>
  </si>
  <si>
    <t>02929/</t>
  </si>
  <si>
    <t>کد سبد 00850</t>
  </si>
  <si>
    <t>03625/</t>
  </si>
  <si>
    <t>کد سبد 00851</t>
  </si>
  <si>
    <t>رز زرد 6852</t>
  </si>
  <si>
    <t>08239/</t>
  </si>
  <si>
    <t>06148/</t>
  </si>
  <si>
    <t>کد سبد 00852</t>
  </si>
  <si>
    <t>02432/</t>
  </si>
  <si>
    <t>کد سبد 00853</t>
  </si>
  <si>
    <t>01258/</t>
  </si>
  <si>
    <t>03676/</t>
  </si>
  <si>
    <t>/</t>
  </si>
  <si>
    <t>کد سبد 00854</t>
  </si>
  <si>
    <t>پروانه کهکشانی 6846</t>
  </si>
  <si>
    <t>02369/</t>
  </si>
  <si>
    <t>کد سبد 00855</t>
  </si>
  <si>
    <t>08299/</t>
  </si>
  <si>
    <t>05587/</t>
  </si>
  <si>
    <t>کد سبد 00856</t>
  </si>
  <si>
    <t>البالویی زمینه مشکی خالدار قرمز 6177</t>
  </si>
  <si>
    <t>0741/</t>
  </si>
  <si>
    <t>کد سبد 00857</t>
  </si>
  <si>
    <t>رز صورتی 6876</t>
  </si>
  <si>
    <t>0331/</t>
  </si>
  <si>
    <t>06485/</t>
  </si>
  <si>
    <t>کد سبد 00858</t>
  </si>
  <si>
    <t>هلوکیتی 6328</t>
  </si>
  <si>
    <t>کد سبد 00859</t>
  </si>
  <si>
    <t>08113/</t>
  </si>
  <si>
    <t>02444/</t>
  </si>
  <si>
    <t>کد سبد 00860</t>
  </si>
  <si>
    <t>گل سبز ریز 6785</t>
  </si>
  <si>
    <t>01838/</t>
  </si>
  <si>
    <t>01566/</t>
  </si>
  <si>
    <t>کد سبد 00861</t>
  </si>
  <si>
    <t>گیلاسی پاپیونی 6724</t>
  </si>
  <si>
    <t>01160/</t>
  </si>
  <si>
    <t>هرمس 3064</t>
  </si>
  <si>
    <t>07360/</t>
  </si>
  <si>
    <t>کد سبد 00862</t>
  </si>
  <si>
    <t>08451/</t>
  </si>
  <si>
    <t>0115/</t>
  </si>
  <si>
    <t>کد سبد 00863</t>
  </si>
  <si>
    <t>چهارخونه قرمز 6832</t>
  </si>
  <si>
    <t>03016/</t>
  </si>
  <si>
    <t>01148/</t>
  </si>
  <si>
    <t>کد سبد 00864</t>
  </si>
  <si>
    <t>04301/</t>
  </si>
  <si>
    <t>02960/</t>
  </si>
  <si>
    <t>کد سبد 00865</t>
  </si>
  <si>
    <t>پاپیون گلی ریز 6862</t>
  </si>
  <si>
    <t>08411/</t>
  </si>
  <si>
    <t>01171/</t>
  </si>
  <si>
    <t>کد سبد 00866</t>
  </si>
  <si>
    <t>07536/</t>
  </si>
  <si>
    <t>چشم ئنظر 2024</t>
  </si>
  <si>
    <t>08064/</t>
  </si>
  <si>
    <t>کد سبد 00867</t>
  </si>
  <si>
    <t>پاپیون خال خالی 6761/</t>
  </si>
  <si>
    <t>0613/</t>
  </si>
  <si>
    <t>کد سبد 00868</t>
  </si>
  <si>
    <t>01458/</t>
  </si>
  <si>
    <t>02653/</t>
  </si>
  <si>
    <t>کد سبد 00869</t>
  </si>
  <si>
    <t>01706/</t>
  </si>
  <si>
    <t>خرگوشی و پاپیون 6791</t>
  </si>
  <si>
    <t>کد سبد 00870</t>
  </si>
  <si>
    <t>0112/</t>
  </si>
  <si>
    <t>01030/</t>
  </si>
  <si>
    <t>کد سبد 00871</t>
  </si>
  <si>
    <t>کد سبد 00872</t>
  </si>
  <si>
    <t>02345/</t>
  </si>
  <si>
    <t>کد سبد 00873</t>
  </si>
  <si>
    <t>08469/</t>
  </si>
  <si>
    <t>شکوفه ماچا 6866</t>
  </si>
  <si>
    <t>02689/</t>
  </si>
  <si>
    <t>کد سبد 00874</t>
  </si>
  <si>
    <t>ابری سفید 6757</t>
  </si>
  <si>
    <t>03236/</t>
  </si>
  <si>
    <t>01008/</t>
  </si>
  <si>
    <t>کد سبد 00875</t>
  </si>
  <si>
    <t>03269/</t>
  </si>
  <si>
    <t>کد سبد 00876</t>
  </si>
  <si>
    <t>07467/</t>
  </si>
  <si>
    <t>کد سبد 00877</t>
  </si>
  <si>
    <t>تک رنگ صورتی پودری 6865</t>
  </si>
  <si>
    <t>0110/</t>
  </si>
  <si>
    <t>کد سبد 00878</t>
  </si>
  <si>
    <t>06780/</t>
  </si>
  <si>
    <t>08461/</t>
  </si>
  <si>
    <t>کد سبد 00879</t>
  </si>
  <si>
    <t>08328/</t>
  </si>
  <si>
    <t>گوچی 6313</t>
  </si>
  <si>
    <t>01707/</t>
  </si>
  <si>
    <t>کد سبد 00880</t>
  </si>
  <si>
    <t>02297/</t>
  </si>
  <si>
    <t>کد سبد 00881</t>
  </si>
  <si>
    <t>03542/</t>
  </si>
  <si>
    <t>02131/</t>
  </si>
  <si>
    <t>کد سبد 00882</t>
  </si>
  <si>
    <t>قلب توخالی 6725</t>
  </si>
  <si>
    <t>02584/</t>
  </si>
  <si>
    <t>پاپیون زمنیه مشکی 6713</t>
  </si>
  <si>
    <t>01232/</t>
  </si>
  <si>
    <t>کد سبد 00883</t>
  </si>
  <si>
    <t>گل رنگی زرد نارنجی 6733</t>
  </si>
  <si>
    <t>0120/</t>
  </si>
  <si>
    <t>01108/</t>
  </si>
  <si>
    <t>کد سبد 00884</t>
  </si>
  <si>
    <t>بابونه راه راه 6702</t>
  </si>
  <si>
    <t>01303/</t>
  </si>
  <si>
    <t>کد سبد 00885</t>
  </si>
  <si>
    <t>4132/</t>
  </si>
  <si>
    <t>کد سبد 00886</t>
  </si>
  <si>
    <t>08458/</t>
  </si>
  <si>
    <t>فندی 4034</t>
  </si>
  <si>
    <t>0116/</t>
  </si>
  <si>
    <t>کد سبد 00887</t>
  </si>
  <si>
    <t>گوچی مشکی 6368</t>
  </si>
  <si>
    <t>08460/</t>
  </si>
  <si>
    <t>کد سبد 00888</t>
  </si>
  <si>
    <t>شکوفه کارمل 6835</t>
  </si>
  <si>
    <t>01003/</t>
  </si>
  <si>
    <t>01142/</t>
  </si>
  <si>
    <t>کد سبد 00889</t>
  </si>
  <si>
    <t>02154/</t>
  </si>
  <si>
    <t>کد سبد 00890</t>
  </si>
  <si>
    <t>گل و پرنده زمردی 6843</t>
  </si>
  <si>
    <t>01869/</t>
  </si>
  <si>
    <t>02117/</t>
  </si>
  <si>
    <t>کد سبد 00891</t>
  </si>
  <si>
    <t>01737/</t>
  </si>
  <si>
    <t>کد سبد 00892</t>
  </si>
  <si>
    <t>کد سبد 00893</t>
  </si>
  <si>
    <t>03003/</t>
  </si>
  <si>
    <t>02705/</t>
  </si>
  <si>
    <t>کد سبد 00894</t>
  </si>
  <si>
    <t>0113/</t>
  </si>
  <si>
    <t>کد سبد 00895</t>
  </si>
  <si>
    <t>08407/</t>
  </si>
  <si>
    <t>دیور مشکی 6546</t>
  </si>
  <si>
    <t>03575/</t>
  </si>
  <si>
    <t>کد سبد 00896</t>
  </si>
  <si>
    <t>بابونه ریز سورمه ای 6740</t>
  </si>
  <si>
    <t>08341/</t>
  </si>
  <si>
    <t>پروانه مونلا 6763</t>
  </si>
  <si>
    <t>کد سبد 00897</t>
  </si>
  <si>
    <t>02278/</t>
  </si>
  <si>
    <t>01306/</t>
  </si>
  <si>
    <t>کد سبد 00898</t>
  </si>
  <si>
    <t>01868/</t>
  </si>
  <si>
    <t>03654/</t>
  </si>
  <si>
    <t>کد سبد 00899</t>
  </si>
  <si>
    <t>04158/</t>
  </si>
  <si>
    <t>01820/</t>
  </si>
  <si>
    <t>کد سبد 00900</t>
  </si>
  <si>
    <t>باغ هزار گل سورمه ای 6836</t>
  </si>
  <si>
    <t>02307/</t>
  </si>
  <si>
    <t>03014/</t>
  </si>
  <si>
    <t>پاپیون زمینه مشکی  6713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</si>
</sst>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"/>
    <numFmt numFmtId="165" formatCode="_(* #,##0_);_(* \(#,##0\);_(* &quot;-&quot;??_);_(@_)"/>
  </numFmts>
  <fonts count="8" x14ac:knownFonts="1">
    <font>
      <sz val="11"/>
      <color theme="1"/>
      <name val="Calibri"/>
      <scheme val="minor"/>
    </font>
    <font>
      <sz val="20"/>
      <color theme="1"/>
      <name val="Calibri"/>
    </font>
    <font>
      <sz val="11"/>
      <name val="Calibri"/>
    </font>
    <font>
      <sz val="11"/>
      <color theme="1"/>
      <name val="Calibri"/>
    </font>
    <font>
      <sz val="14"/>
      <color theme="1"/>
      <name val="Calibri"/>
    </font>
    <font>
      <sz val="12"/>
      <color theme="1"/>
      <name val="Calibri"/>
    </font>
    <font>
      <sz val="8"/>
      <color theme="1"/>
      <name val="Calibri"/>
    </font>
    <font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3D6D6"/>
        <bgColor rgb="FFF3D6D6"/>
      </patternFill>
    </fill>
    <fill>
      <patternFill patternType="solid">
        <fgColor rgb="FFCFE0F4"/>
        <bgColor rgb="FFCFE0F4"/>
      </patternFill>
    </fill>
    <fill>
      <patternFill patternType="solid">
        <fgColor rgb="FFFFFFFF"/>
        <bgColor rgb="FFFFFFFF"/>
      </patternFill>
    </fill>
    <fill>
      <patternFill patternType="solid">
        <fgColor rgb="FFD9E7F6"/>
        <bgColor rgb="FFD9E7F6"/>
      </patternFill>
    </fill>
    <fill>
      <patternFill patternType="solid">
        <fgColor rgb="FFB7E1A1"/>
        <bgColor rgb="FFB7E1A1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3" borderId="4" xfId="0" applyFont="1" applyFill="1" applyBorder="1"/>
    <xf numFmtId="0" fontId="1" fillId="0" borderId="4" xfId="0" applyFont="1" applyBorder="1" applyAlignment="1">
      <alignment horizontal="center"/>
    </xf>
    <xf numFmtId="0" fontId="3" fillId="4" borderId="5" xfId="0" applyFont="1" applyFill="1" applyBorder="1" applyAlignment="1">
      <alignment horizontal="right"/>
    </xf>
    <xf numFmtId="164" fontId="3" fillId="4" borderId="5" xfId="0" applyNumberFormat="1" applyFont="1" applyFill="1" applyBorder="1"/>
    <xf numFmtId="165" fontId="4" fillId="0" borderId="6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3" fillId="0" borderId="4" xfId="0" applyFont="1" applyBorder="1"/>
    <xf numFmtId="165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3" fontId="1" fillId="5" borderId="4" xfId="0" applyNumberFormat="1" applyFont="1" applyFill="1" applyBorder="1" applyAlignment="1">
      <alignment horizontal="center"/>
    </xf>
    <xf numFmtId="3" fontId="1" fillId="6" borderId="4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right"/>
    </xf>
    <xf numFmtId="164" fontId="3" fillId="7" borderId="5" xfId="0" applyNumberFormat="1" applyFont="1" applyFill="1" applyBorder="1"/>
    <xf numFmtId="164" fontId="6" fillId="4" borderId="5" xfId="0" applyNumberFormat="1" applyFont="1" applyFill="1" applyBorder="1"/>
    <xf numFmtId="0" fontId="3" fillId="8" borderId="5" xfId="0" applyFont="1" applyFill="1" applyBorder="1"/>
    <xf numFmtId="0" fontId="3" fillId="9" borderId="5" xfId="0" applyFont="1" applyFill="1" applyBorder="1"/>
    <xf numFmtId="0" fontId="3" fillId="9" borderId="5" xfId="0" applyFont="1" applyFill="1" applyBorder="1" applyAlignment="1">
      <alignment horizontal="right"/>
    </xf>
    <xf numFmtId="0" fontId="1" fillId="4" borderId="0" xfId="0" applyFont="1" applyFill="1" applyAlignment="1">
      <alignment horizontal="center"/>
    </xf>
    <xf numFmtId="0" fontId="3" fillId="4" borderId="0" xfId="0" applyFont="1" applyFill="1"/>
    <xf numFmtId="0" fontId="3" fillId="0" borderId="0" xfId="0" applyFont="1" applyAlignment="1">
      <alignment horizontal="right"/>
    </xf>
    <xf numFmtId="0" fontId="7" fillId="0" borderId="0" xfId="0" applyFont="1"/>
    <xf numFmtId="0" fontId="7" fillId="3" borderId="4" xfId="0" applyFont="1" applyFill="1" applyBorder="1"/>
    <xf numFmtId="0" fontId="3" fillId="4" borderId="0" xfId="0" applyFont="1" applyFill="1" applyAlignment="1">
      <alignment horizontal="right"/>
    </xf>
    <xf numFmtId="164" fontId="3" fillId="4" borderId="0" xfId="0" applyNumberFormat="1" applyFont="1" applyFill="1"/>
    <xf numFmtId="0" fontId="7" fillId="0" borderId="4" xfId="0" applyFont="1" applyBorder="1"/>
    <xf numFmtId="0" fontId="3" fillId="7" borderId="0" xfId="0" applyFont="1" applyFill="1" applyAlignment="1">
      <alignment horizontal="right"/>
    </xf>
    <xf numFmtId="164" fontId="3" fillId="7" borderId="0" xfId="0" applyNumberFormat="1" applyFont="1" applyFill="1"/>
    <xf numFmtId="0" fontId="7" fillId="4" borderId="0" xfId="0" applyFont="1" applyFill="1" applyAlignment="1">
      <alignment horizontal="right"/>
    </xf>
    <xf numFmtId="0" fontId="7" fillId="4" borderId="0" xfId="0" applyFont="1" applyFill="1"/>
    <xf numFmtId="164" fontId="3" fillId="7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64" fontId="7" fillId="4" borderId="0" xfId="0" applyNumberFormat="1" applyFont="1" applyFill="1"/>
    <xf numFmtId="0" fontId="7" fillId="7" borderId="0" xfId="0" applyFont="1" applyFill="1" applyAlignment="1">
      <alignment horizontal="right"/>
    </xf>
    <xf numFmtId="164" fontId="7" fillId="7" borderId="0" xfId="0" applyNumberFormat="1" applyFont="1" applyFill="1"/>
    <xf numFmtId="0" fontId="1" fillId="5" borderId="1" xfId="0" applyFont="1" applyFill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1" fillId="6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00"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</dxfs>
  <tableStyles count="100">
    <tableStyle name="Sheet2-style" pivot="0" count="2" xr9:uid="{00000000-0011-0000-FFFF-FFFF00000000}">
      <tableStyleElement type="firstRowStripe" dxfId="199"/>
      <tableStyleElement type="secondRowStripe" dxfId="198"/>
    </tableStyle>
    <tableStyle name="Sheet2-style 2" pivot="0" count="2" xr9:uid="{00000000-0011-0000-FFFF-FFFF01000000}">
      <tableStyleElement type="firstRowStripe" dxfId="197"/>
      <tableStyleElement type="secondRowStripe" dxfId="196"/>
    </tableStyle>
    <tableStyle name="Sheet2-style 3" pivot="0" count="2" xr9:uid="{00000000-0011-0000-FFFF-FFFF02000000}">
      <tableStyleElement type="firstRowStripe" dxfId="195"/>
      <tableStyleElement type="secondRowStripe" dxfId="194"/>
    </tableStyle>
    <tableStyle name="Sheet2-style 4" pivot="0" count="2" xr9:uid="{00000000-0011-0000-FFFF-FFFF03000000}">
      <tableStyleElement type="firstRowStripe" dxfId="193"/>
      <tableStyleElement type="secondRowStripe" dxfId="192"/>
    </tableStyle>
    <tableStyle name="Sheet2-style 5" pivot="0" count="2" xr9:uid="{00000000-0011-0000-FFFF-FFFF04000000}">
      <tableStyleElement type="firstRowStripe" dxfId="191"/>
      <tableStyleElement type="secondRowStripe" dxfId="190"/>
    </tableStyle>
    <tableStyle name="Sheet2-style 6" pivot="0" count="2" xr9:uid="{00000000-0011-0000-FFFF-FFFF05000000}">
      <tableStyleElement type="firstRowStripe" dxfId="189"/>
      <tableStyleElement type="secondRowStripe" dxfId="188"/>
    </tableStyle>
    <tableStyle name="Sheet2-style 7" pivot="0" count="2" xr9:uid="{00000000-0011-0000-FFFF-FFFF06000000}">
      <tableStyleElement type="firstRowStripe" dxfId="187"/>
      <tableStyleElement type="secondRowStripe" dxfId="186"/>
    </tableStyle>
    <tableStyle name="Sheet2-style 8" pivot="0" count="2" xr9:uid="{00000000-0011-0000-FFFF-FFFF07000000}">
      <tableStyleElement type="firstRowStripe" dxfId="185"/>
      <tableStyleElement type="secondRowStripe" dxfId="184"/>
    </tableStyle>
    <tableStyle name="Sheet2-style 9" pivot="0" count="2" xr9:uid="{00000000-0011-0000-FFFF-FFFF08000000}">
      <tableStyleElement type="firstRowStripe" dxfId="183"/>
      <tableStyleElement type="secondRowStripe" dxfId="182"/>
    </tableStyle>
    <tableStyle name="Sheet2-style 10" pivot="0" count="2" xr9:uid="{00000000-0011-0000-FFFF-FFFF09000000}">
      <tableStyleElement type="firstRowStripe" dxfId="181"/>
      <tableStyleElement type="secondRowStripe" dxfId="180"/>
    </tableStyle>
    <tableStyle name="Sheet2-style 11" pivot="0" count="2" xr9:uid="{00000000-0011-0000-FFFF-FFFF0A000000}">
      <tableStyleElement type="firstRowStripe" dxfId="179"/>
      <tableStyleElement type="secondRowStripe" dxfId="178"/>
    </tableStyle>
    <tableStyle name="Sheet2-style 12" pivot="0" count="2" xr9:uid="{00000000-0011-0000-FFFF-FFFF0B000000}">
      <tableStyleElement type="firstRowStripe" dxfId="177"/>
      <tableStyleElement type="secondRowStripe" dxfId="176"/>
    </tableStyle>
    <tableStyle name="Sheet2-style 13" pivot="0" count="2" xr9:uid="{00000000-0011-0000-FFFF-FFFF0C000000}">
      <tableStyleElement type="firstRowStripe" dxfId="175"/>
      <tableStyleElement type="secondRowStripe" dxfId="174"/>
    </tableStyle>
    <tableStyle name="Sheet2-style 14" pivot="0" count="2" xr9:uid="{00000000-0011-0000-FFFF-FFFF0D000000}">
      <tableStyleElement type="firstRowStripe" dxfId="173"/>
      <tableStyleElement type="secondRowStripe" dxfId="172"/>
    </tableStyle>
    <tableStyle name="Sheet2-style 15" pivot="0" count="2" xr9:uid="{00000000-0011-0000-FFFF-FFFF0E000000}">
      <tableStyleElement type="firstRowStripe" dxfId="171"/>
      <tableStyleElement type="secondRowStripe" dxfId="170"/>
    </tableStyle>
    <tableStyle name="Sheet2-style 16" pivot="0" count="2" xr9:uid="{00000000-0011-0000-FFFF-FFFF0F000000}">
      <tableStyleElement type="firstRowStripe" dxfId="169"/>
      <tableStyleElement type="secondRowStripe" dxfId="168"/>
    </tableStyle>
    <tableStyle name="Sheet2-style 17" pivot="0" count="2" xr9:uid="{00000000-0011-0000-FFFF-FFFF10000000}">
      <tableStyleElement type="firstRowStripe" dxfId="167"/>
      <tableStyleElement type="secondRowStripe" dxfId="166"/>
    </tableStyle>
    <tableStyle name="Sheet2-style 18" pivot="0" count="2" xr9:uid="{00000000-0011-0000-FFFF-FFFF11000000}">
      <tableStyleElement type="firstRowStripe" dxfId="165"/>
      <tableStyleElement type="secondRowStripe" dxfId="164"/>
    </tableStyle>
    <tableStyle name="Sheet2-style 19" pivot="0" count="2" xr9:uid="{00000000-0011-0000-FFFF-FFFF12000000}">
      <tableStyleElement type="firstRowStripe" dxfId="163"/>
      <tableStyleElement type="secondRowStripe" dxfId="162"/>
    </tableStyle>
    <tableStyle name="Sheet2-style 20" pivot="0" count="2" xr9:uid="{00000000-0011-0000-FFFF-FFFF13000000}">
      <tableStyleElement type="firstRowStripe" dxfId="161"/>
      <tableStyleElement type="secondRowStripe" dxfId="160"/>
    </tableStyle>
    <tableStyle name="Sheet2-style 21" pivot="0" count="2" xr9:uid="{00000000-0011-0000-FFFF-FFFF14000000}">
      <tableStyleElement type="firstRowStripe" dxfId="159"/>
      <tableStyleElement type="secondRowStripe" dxfId="158"/>
    </tableStyle>
    <tableStyle name="Sheet2-style 22" pivot="0" count="2" xr9:uid="{00000000-0011-0000-FFFF-FFFF15000000}">
      <tableStyleElement type="firstRowStripe" dxfId="157"/>
      <tableStyleElement type="secondRowStripe" dxfId="156"/>
    </tableStyle>
    <tableStyle name="Sheet2-style 23" pivot="0" count="2" xr9:uid="{00000000-0011-0000-FFFF-FFFF16000000}">
      <tableStyleElement type="firstRowStripe" dxfId="155"/>
      <tableStyleElement type="secondRowStripe" dxfId="154"/>
    </tableStyle>
    <tableStyle name="Sheet2-style 24" pivot="0" count="2" xr9:uid="{00000000-0011-0000-FFFF-FFFF17000000}">
      <tableStyleElement type="firstRowStripe" dxfId="153"/>
      <tableStyleElement type="secondRowStripe" dxfId="152"/>
    </tableStyle>
    <tableStyle name="Sheet2-style 25" pivot="0" count="2" xr9:uid="{00000000-0011-0000-FFFF-FFFF18000000}">
      <tableStyleElement type="firstRowStripe" dxfId="151"/>
      <tableStyleElement type="secondRowStripe" dxfId="150"/>
    </tableStyle>
    <tableStyle name="Sheet2-style 26" pivot="0" count="2" xr9:uid="{00000000-0011-0000-FFFF-FFFF19000000}">
      <tableStyleElement type="firstRowStripe" dxfId="149"/>
      <tableStyleElement type="secondRowStripe" dxfId="148"/>
    </tableStyle>
    <tableStyle name="Sheet2-style 27" pivot="0" count="2" xr9:uid="{00000000-0011-0000-FFFF-FFFF1A000000}">
      <tableStyleElement type="firstRowStripe" dxfId="147"/>
      <tableStyleElement type="secondRowStripe" dxfId="146"/>
    </tableStyle>
    <tableStyle name="Sheet2-style 28" pivot="0" count="2" xr9:uid="{00000000-0011-0000-FFFF-FFFF1B000000}">
      <tableStyleElement type="firstRowStripe" dxfId="145"/>
      <tableStyleElement type="secondRowStripe" dxfId="144"/>
    </tableStyle>
    <tableStyle name="Sheet2-style 29" pivot="0" count="2" xr9:uid="{00000000-0011-0000-FFFF-FFFF1C000000}">
      <tableStyleElement type="firstRowStripe" dxfId="143"/>
      <tableStyleElement type="secondRowStripe" dxfId="142"/>
    </tableStyle>
    <tableStyle name="Sheet2-style 30" pivot="0" count="2" xr9:uid="{00000000-0011-0000-FFFF-FFFF1D000000}">
      <tableStyleElement type="firstRowStripe" dxfId="141"/>
      <tableStyleElement type="secondRowStripe" dxfId="140"/>
    </tableStyle>
    <tableStyle name="Sheet2-style 31" pivot="0" count="2" xr9:uid="{00000000-0011-0000-FFFF-FFFF1E000000}">
      <tableStyleElement type="firstRowStripe" dxfId="139"/>
      <tableStyleElement type="secondRowStripe" dxfId="138"/>
    </tableStyle>
    <tableStyle name="Sheet2-style 32" pivot="0" count="2" xr9:uid="{00000000-0011-0000-FFFF-FFFF1F000000}">
      <tableStyleElement type="firstRowStripe" dxfId="137"/>
      <tableStyleElement type="secondRowStripe" dxfId="136"/>
    </tableStyle>
    <tableStyle name="Sheet2-style 33" pivot="0" count="2" xr9:uid="{00000000-0011-0000-FFFF-FFFF20000000}">
      <tableStyleElement type="firstRowStripe" dxfId="135"/>
      <tableStyleElement type="secondRowStripe" dxfId="134"/>
    </tableStyle>
    <tableStyle name="Sheet2-style 34" pivot="0" count="2" xr9:uid="{00000000-0011-0000-FFFF-FFFF21000000}">
      <tableStyleElement type="firstRowStripe" dxfId="133"/>
      <tableStyleElement type="secondRowStripe" dxfId="132"/>
    </tableStyle>
    <tableStyle name="Sheet2-style 35" pivot="0" count="2" xr9:uid="{00000000-0011-0000-FFFF-FFFF22000000}">
      <tableStyleElement type="firstRowStripe" dxfId="131"/>
      <tableStyleElement type="secondRowStripe" dxfId="130"/>
    </tableStyle>
    <tableStyle name="Sheet2-style 36" pivot="0" count="2" xr9:uid="{00000000-0011-0000-FFFF-FFFF23000000}">
      <tableStyleElement type="firstRowStripe" dxfId="129"/>
      <tableStyleElement type="secondRowStripe" dxfId="128"/>
    </tableStyle>
    <tableStyle name="Sheet2-style 37" pivot="0" count="2" xr9:uid="{00000000-0011-0000-FFFF-FFFF24000000}">
      <tableStyleElement type="firstRowStripe" dxfId="127"/>
      <tableStyleElement type="secondRowStripe" dxfId="126"/>
    </tableStyle>
    <tableStyle name="Sheet2-style 38" pivot="0" count="2" xr9:uid="{00000000-0011-0000-FFFF-FFFF25000000}">
      <tableStyleElement type="firstRowStripe" dxfId="125"/>
      <tableStyleElement type="secondRowStripe" dxfId="124"/>
    </tableStyle>
    <tableStyle name="Sheet2-style 39" pivot="0" count="2" xr9:uid="{00000000-0011-0000-FFFF-FFFF26000000}">
      <tableStyleElement type="firstRowStripe" dxfId="123"/>
      <tableStyleElement type="secondRowStripe" dxfId="122"/>
    </tableStyle>
    <tableStyle name="Sheet2-style 40" pivot="0" count="2" xr9:uid="{00000000-0011-0000-FFFF-FFFF27000000}">
      <tableStyleElement type="firstRowStripe" dxfId="121"/>
      <tableStyleElement type="secondRowStripe" dxfId="120"/>
    </tableStyle>
    <tableStyle name="Sheet2-style 41" pivot="0" count="2" xr9:uid="{00000000-0011-0000-FFFF-FFFF28000000}">
      <tableStyleElement type="firstRowStripe" dxfId="119"/>
      <tableStyleElement type="secondRowStripe" dxfId="118"/>
    </tableStyle>
    <tableStyle name="Sheet2-style 42" pivot="0" count="2" xr9:uid="{00000000-0011-0000-FFFF-FFFF29000000}">
      <tableStyleElement type="firstRowStripe" dxfId="117"/>
      <tableStyleElement type="secondRowStripe" dxfId="116"/>
    </tableStyle>
    <tableStyle name="Sheet2-style 43" pivot="0" count="2" xr9:uid="{00000000-0011-0000-FFFF-FFFF2A000000}">
      <tableStyleElement type="firstRowStripe" dxfId="115"/>
      <tableStyleElement type="secondRowStripe" dxfId="114"/>
    </tableStyle>
    <tableStyle name="Sheet2-style 44" pivot="0" count="2" xr9:uid="{00000000-0011-0000-FFFF-FFFF2B000000}">
      <tableStyleElement type="firstRowStripe" dxfId="113"/>
      <tableStyleElement type="secondRowStripe" dxfId="112"/>
    </tableStyle>
    <tableStyle name="Sheet2-style 45" pivot="0" count="2" xr9:uid="{00000000-0011-0000-FFFF-FFFF2C000000}">
      <tableStyleElement type="firstRowStripe" dxfId="111"/>
      <tableStyleElement type="secondRowStripe" dxfId="110"/>
    </tableStyle>
    <tableStyle name="Sheet2-style 46" pivot="0" count="2" xr9:uid="{00000000-0011-0000-FFFF-FFFF2D000000}">
      <tableStyleElement type="firstRowStripe" dxfId="109"/>
      <tableStyleElement type="secondRowStripe" dxfId="108"/>
    </tableStyle>
    <tableStyle name="Sheet2-style 47" pivot="0" count="2" xr9:uid="{00000000-0011-0000-FFFF-FFFF2E000000}">
      <tableStyleElement type="firstRowStripe" dxfId="107"/>
      <tableStyleElement type="secondRowStripe" dxfId="106"/>
    </tableStyle>
    <tableStyle name="Sheet2-style 48" pivot="0" count="2" xr9:uid="{00000000-0011-0000-FFFF-FFFF2F000000}">
      <tableStyleElement type="firstRowStripe" dxfId="105"/>
      <tableStyleElement type="secondRowStripe" dxfId="104"/>
    </tableStyle>
    <tableStyle name="Sheet2-style 49" pivot="0" count="2" xr9:uid="{00000000-0011-0000-FFFF-FFFF30000000}">
      <tableStyleElement type="firstRowStripe" dxfId="103"/>
      <tableStyleElement type="secondRowStripe" dxfId="102"/>
    </tableStyle>
    <tableStyle name="Sheet2-style 50" pivot="0" count="2" xr9:uid="{00000000-0011-0000-FFFF-FFFF31000000}">
      <tableStyleElement type="firstRowStripe" dxfId="101"/>
      <tableStyleElement type="secondRowStripe" dxfId="100"/>
    </tableStyle>
    <tableStyle name="Sheet2-style 51" pivot="0" count="2" xr9:uid="{00000000-0011-0000-FFFF-FFFF32000000}">
      <tableStyleElement type="firstRowStripe" dxfId="99"/>
      <tableStyleElement type="secondRowStripe" dxfId="98"/>
    </tableStyle>
    <tableStyle name="Sheet2-style 52" pivot="0" count="2" xr9:uid="{00000000-0011-0000-FFFF-FFFF33000000}">
      <tableStyleElement type="firstRowStripe" dxfId="97"/>
      <tableStyleElement type="secondRowStripe" dxfId="96"/>
    </tableStyle>
    <tableStyle name="Sheet2-style 53" pivot="0" count="2" xr9:uid="{00000000-0011-0000-FFFF-FFFF34000000}">
      <tableStyleElement type="firstRowStripe" dxfId="95"/>
      <tableStyleElement type="secondRowStripe" dxfId="94"/>
    </tableStyle>
    <tableStyle name="Sheet2-style 54" pivot="0" count="2" xr9:uid="{00000000-0011-0000-FFFF-FFFF35000000}">
      <tableStyleElement type="firstRowStripe" dxfId="93"/>
      <tableStyleElement type="secondRowStripe" dxfId="92"/>
    </tableStyle>
    <tableStyle name="Sheet2-style 55" pivot="0" count="2" xr9:uid="{00000000-0011-0000-FFFF-FFFF36000000}">
      <tableStyleElement type="firstRowStripe" dxfId="91"/>
      <tableStyleElement type="secondRowStripe" dxfId="90"/>
    </tableStyle>
    <tableStyle name="Sheet2-style 56" pivot="0" count="2" xr9:uid="{00000000-0011-0000-FFFF-FFFF37000000}">
      <tableStyleElement type="firstRowStripe" dxfId="89"/>
      <tableStyleElement type="secondRowStripe" dxfId="88"/>
    </tableStyle>
    <tableStyle name="Sheet2-style 57" pivot="0" count="2" xr9:uid="{00000000-0011-0000-FFFF-FFFF38000000}">
      <tableStyleElement type="firstRowStripe" dxfId="87"/>
      <tableStyleElement type="secondRowStripe" dxfId="86"/>
    </tableStyle>
    <tableStyle name="Sheet2-style 58" pivot="0" count="2" xr9:uid="{00000000-0011-0000-FFFF-FFFF39000000}">
      <tableStyleElement type="firstRowStripe" dxfId="85"/>
      <tableStyleElement type="secondRowStripe" dxfId="84"/>
    </tableStyle>
    <tableStyle name="Sheet2-style 59" pivot="0" count="2" xr9:uid="{00000000-0011-0000-FFFF-FFFF3A000000}">
      <tableStyleElement type="firstRowStripe" dxfId="83"/>
      <tableStyleElement type="secondRowStripe" dxfId="82"/>
    </tableStyle>
    <tableStyle name="Sheet2-style 60" pivot="0" count="2" xr9:uid="{00000000-0011-0000-FFFF-FFFF3B000000}">
      <tableStyleElement type="firstRowStripe" dxfId="81"/>
      <tableStyleElement type="secondRowStripe" dxfId="80"/>
    </tableStyle>
    <tableStyle name="Sheet2-style 61" pivot="0" count="2" xr9:uid="{00000000-0011-0000-FFFF-FFFF3C000000}">
      <tableStyleElement type="firstRowStripe" dxfId="79"/>
      <tableStyleElement type="secondRowStripe" dxfId="78"/>
    </tableStyle>
    <tableStyle name="Sheet2-style 62" pivot="0" count="2" xr9:uid="{00000000-0011-0000-FFFF-FFFF3D000000}">
      <tableStyleElement type="firstRowStripe" dxfId="77"/>
      <tableStyleElement type="secondRowStripe" dxfId="76"/>
    </tableStyle>
    <tableStyle name="Sheet2-style 63" pivot="0" count="2" xr9:uid="{00000000-0011-0000-FFFF-FFFF3E000000}">
      <tableStyleElement type="firstRowStripe" dxfId="75"/>
      <tableStyleElement type="secondRowStripe" dxfId="74"/>
    </tableStyle>
    <tableStyle name="Sheet2-style 64" pivot="0" count="2" xr9:uid="{00000000-0011-0000-FFFF-FFFF3F000000}">
      <tableStyleElement type="firstRowStripe" dxfId="73"/>
      <tableStyleElement type="secondRowStripe" dxfId="72"/>
    </tableStyle>
    <tableStyle name="Sheet2-style 65" pivot="0" count="2" xr9:uid="{00000000-0011-0000-FFFF-FFFF40000000}">
      <tableStyleElement type="firstRowStripe" dxfId="71"/>
      <tableStyleElement type="secondRowStripe" dxfId="70"/>
    </tableStyle>
    <tableStyle name="Sheet2-style 66" pivot="0" count="2" xr9:uid="{00000000-0011-0000-FFFF-FFFF41000000}">
      <tableStyleElement type="firstRowStripe" dxfId="69"/>
      <tableStyleElement type="secondRowStripe" dxfId="68"/>
    </tableStyle>
    <tableStyle name="Sheet2-style 67" pivot="0" count="2" xr9:uid="{00000000-0011-0000-FFFF-FFFF42000000}">
      <tableStyleElement type="firstRowStripe" dxfId="67"/>
      <tableStyleElement type="secondRowStripe" dxfId="66"/>
    </tableStyle>
    <tableStyle name="Sheet2-style 68" pivot="0" count="2" xr9:uid="{00000000-0011-0000-FFFF-FFFF43000000}">
      <tableStyleElement type="firstRowStripe" dxfId="65"/>
      <tableStyleElement type="secondRowStripe" dxfId="64"/>
    </tableStyle>
    <tableStyle name="Sheet2-style 69" pivot="0" count="2" xr9:uid="{00000000-0011-0000-FFFF-FFFF44000000}">
      <tableStyleElement type="firstRowStripe" dxfId="63"/>
      <tableStyleElement type="secondRowStripe" dxfId="62"/>
    </tableStyle>
    <tableStyle name="Sheet2-style 70" pivot="0" count="2" xr9:uid="{00000000-0011-0000-FFFF-FFFF45000000}">
      <tableStyleElement type="firstRowStripe" dxfId="61"/>
      <tableStyleElement type="secondRowStripe" dxfId="60"/>
    </tableStyle>
    <tableStyle name="Sheet2-style 71" pivot="0" count="2" xr9:uid="{00000000-0011-0000-FFFF-FFFF46000000}">
      <tableStyleElement type="firstRowStripe" dxfId="59"/>
      <tableStyleElement type="secondRowStripe" dxfId="58"/>
    </tableStyle>
    <tableStyle name="Sheet2-style 72" pivot="0" count="2" xr9:uid="{00000000-0011-0000-FFFF-FFFF47000000}">
      <tableStyleElement type="firstRowStripe" dxfId="57"/>
      <tableStyleElement type="secondRowStripe" dxfId="56"/>
    </tableStyle>
    <tableStyle name="Sheet2-style 73" pivot="0" count="2" xr9:uid="{00000000-0011-0000-FFFF-FFFF48000000}">
      <tableStyleElement type="firstRowStripe" dxfId="55"/>
      <tableStyleElement type="secondRowStripe" dxfId="54"/>
    </tableStyle>
    <tableStyle name="Sheet2-style 74" pivot="0" count="2" xr9:uid="{00000000-0011-0000-FFFF-FFFF49000000}">
      <tableStyleElement type="firstRowStripe" dxfId="53"/>
      <tableStyleElement type="secondRowStripe" dxfId="52"/>
    </tableStyle>
    <tableStyle name="Sheet2-style 75" pivot="0" count="2" xr9:uid="{00000000-0011-0000-FFFF-FFFF4A000000}">
      <tableStyleElement type="firstRowStripe" dxfId="51"/>
      <tableStyleElement type="secondRowStripe" dxfId="50"/>
    </tableStyle>
    <tableStyle name="Sheet2-style 76" pivot="0" count="2" xr9:uid="{00000000-0011-0000-FFFF-FFFF4B000000}">
      <tableStyleElement type="firstRowStripe" dxfId="49"/>
      <tableStyleElement type="secondRowStripe" dxfId="48"/>
    </tableStyle>
    <tableStyle name="Sheet2-style 77" pivot="0" count="2" xr9:uid="{00000000-0011-0000-FFFF-FFFF4C000000}">
      <tableStyleElement type="firstRowStripe" dxfId="47"/>
      <tableStyleElement type="secondRowStripe" dxfId="46"/>
    </tableStyle>
    <tableStyle name="Sheet2-style 78" pivot="0" count="2" xr9:uid="{00000000-0011-0000-FFFF-FFFF4D000000}">
      <tableStyleElement type="firstRowStripe" dxfId="45"/>
      <tableStyleElement type="secondRowStripe" dxfId="44"/>
    </tableStyle>
    <tableStyle name="Sheet2-style 79" pivot="0" count="2" xr9:uid="{00000000-0011-0000-FFFF-FFFF4E000000}">
      <tableStyleElement type="firstRowStripe" dxfId="43"/>
      <tableStyleElement type="secondRowStripe" dxfId="42"/>
    </tableStyle>
    <tableStyle name="Sheet2-style 80" pivot="0" count="2" xr9:uid="{00000000-0011-0000-FFFF-FFFF4F000000}">
      <tableStyleElement type="firstRowStripe" dxfId="41"/>
      <tableStyleElement type="secondRowStripe" dxfId="40"/>
    </tableStyle>
    <tableStyle name="Sheet2-style 81" pivot="0" count="2" xr9:uid="{00000000-0011-0000-FFFF-FFFF50000000}">
      <tableStyleElement type="firstRowStripe" dxfId="39"/>
      <tableStyleElement type="secondRowStripe" dxfId="38"/>
    </tableStyle>
    <tableStyle name="Sheet2-style 82" pivot="0" count="2" xr9:uid="{00000000-0011-0000-FFFF-FFFF51000000}">
      <tableStyleElement type="firstRowStripe" dxfId="37"/>
      <tableStyleElement type="secondRowStripe" dxfId="36"/>
    </tableStyle>
    <tableStyle name="Sheet2-style 83" pivot="0" count="2" xr9:uid="{00000000-0011-0000-FFFF-FFFF52000000}">
      <tableStyleElement type="firstRowStripe" dxfId="35"/>
      <tableStyleElement type="secondRowStripe" dxfId="34"/>
    </tableStyle>
    <tableStyle name="Sheet2-style 84" pivot="0" count="2" xr9:uid="{00000000-0011-0000-FFFF-FFFF53000000}">
      <tableStyleElement type="firstRowStripe" dxfId="33"/>
      <tableStyleElement type="secondRowStripe" dxfId="32"/>
    </tableStyle>
    <tableStyle name="Sheet2-style 85" pivot="0" count="2" xr9:uid="{00000000-0011-0000-FFFF-FFFF54000000}">
      <tableStyleElement type="firstRowStripe" dxfId="31"/>
      <tableStyleElement type="secondRowStripe" dxfId="30"/>
    </tableStyle>
    <tableStyle name="Sheet2-style 86" pivot="0" count="2" xr9:uid="{00000000-0011-0000-FFFF-FFFF55000000}">
      <tableStyleElement type="firstRowStripe" dxfId="29"/>
      <tableStyleElement type="secondRowStripe" dxfId="28"/>
    </tableStyle>
    <tableStyle name="Sheet2-style 87" pivot="0" count="2" xr9:uid="{00000000-0011-0000-FFFF-FFFF56000000}">
      <tableStyleElement type="firstRowStripe" dxfId="27"/>
      <tableStyleElement type="secondRowStripe" dxfId="26"/>
    </tableStyle>
    <tableStyle name="Sheet2-style 88" pivot="0" count="2" xr9:uid="{00000000-0011-0000-FFFF-FFFF57000000}">
      <tableStyleElement type="firstRowStripe" dxfId="25"/>
      <tableStyleElement type="secondRowStripe" dxfId="24"/>
    </tableStyle>
    <tableStyle name="Sheet2-style 89" pivot="0" count="2" xr9:uid="{00000000-0011-0000-FFFF-FFFF58000000}">
      <tableStyleElement type="firstRowStripe" dxfId="23"/>
      <tableStyleElement type="secondRowStripe" dxfId="22"/>
    </tableStyle>
    <tableStyle name="Sheet2-style 90" pivot="0" count="2" xr9:uid="{00000000-0011-0000-FFFF-FFFF59000000}">
      <tableStyleElement type="firstRowStripe" dxfId="21"/>
      <tableStyleElement type="secondRowStripe" dxfId="20"/>
    </tableStyle>
    <tableStyle name="Sheet2-style 91" pivot="0" count="2" xr9:uid="{00000000-0011-0000-FFFF-FFFF5A000000}">
      <tableStyleElement type="firstRowStripe" dxfId="19"/>
      <tableStyleElement type="secondRowStripe" dxfId="18"/>
    </tableStyle>
    <tableStyle name="Sheet2-style 92" pivot="0" count="2" xr9:uid="{00000000-0011-0000-FFFF-FFFF5B000000}">
      <tableStyleElement type="firstRowStripe" dxfId="17"/>
      <tableStyleElement type="secondRowStripe" dxfId="16"/>
    </tableStyle>
    <tableStyle name="Sheet2-style 93" pivot="0" count="2" xr9:uid="{00000000-0011-0000-FFFF-FFFF5C000000}">
      <tableStyleElement type="firstRowStripe" dxfId="15"/>
      <tableStyleElement type="secondRowStripe" dxfId="14"/>
    </tableStyle>
    <tableStyle name="Sheet2-style 94" pivot="0" count="2" xr9:uid="{00000000-0011-0000-FFFF-FFFF5D000000}">
      <tableStyleElement type="firstRowStripe" dxfId="13"/>
      <tableStyleElement type="secondRowStripe" dxfId="12"/>
    </tableStyle>
    <tableStyle name="Sheet2-style 95" pivot="0" count="2" xr9:uid="{00000000-0011-0000-FFFF-FFFF5E000000}">
      <tableStyleElement type="firstRowStripe" dxfId="11"/>
      <tableStyleElement type="secondRowStripe" dxfId="10"/>
    </tableStyle>
    <tableStyle name="Sheet2-style 96" pivot="0" count="2" xr9:uid="{00000000-0011-0000-FFFF-FFFF5F000000}">
      <tableStyleElement type="firstRowStripe" dxfId="9"/>
      <tableStyleElement type="secondRowStripe" dxfId="8"/>
    </tableStyle>
    <tableStyle name="Sheet2-style 97" pivot="0" count="2" xr9:uid="{00000000-0011-0000-FFFF-FFFF60000000}">
      <tableStyleElement type="firstRowStripe" dxfId="7"/>
      <tableStyleElement type="secondRowStripe" dxfId="6"/>
    </tableStyle>
    <tableStyle name="Sheet2-style 98" pivot="0" count="2" xr9:uid="{00000000-0011-0000-FFFF-FFFF61000000}">
      <tableStyleElement type="firstRowStripe" dxfId="5"/>
      <tableStyleElement type="secondRowStripe" dxfId="4"/>
    </tableStyle>
    <tableStyle name="Sheet2-style 99" pivot="0" count="2" xr9:uid="{00000000-0011-0000-FFFF-FFFF62000000}">
      <tableStyleElement type="firstRowStripe" dxfId="3"/>
      <tableStyleElement type="secondRowStripe" dxfId="2"/>
    </tableStyle>
    <tableStyle name="Sheet2-style 100" pivot="0" count="2" xr9:uid="{00000000-0011-0000-FFFF-FFFF6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849:E2850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Sheet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865:E2866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Sheet2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2880:E2881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Sheet2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2895:E2896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Sheet2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2910:E2911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Sheet2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2925:E2926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Sheet2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2940:E2941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Sheet2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2956:E2957" headerRowCount="0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Sheet2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2973:E2974" headerRowCount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name="Sheet2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2989:E2990" headerRowCount="0">
  <tableColumns count="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</tableColumns>
  <tableStyleInfo name="Sheet2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3004:E3005" headerRowCount="0">
  <tableColumns count="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</tableColumns>
  <tableStyleInfo name="Sheet2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3019:E3020" headerRowCount="0">
  <tableColumns count="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</tableColumns>
  <tableStyleInfo name="Sheet2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3035:E3036" headerRowCount="0">
  <tableColumns count="4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</tableColumns>
  <tableStyleInfo name="Sheet2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3050:E3051" headerRowCount="0">
  <tableColumns count="4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</tableColumns>
  <tableStyleInfo name="Sheet2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3066:E3067" headerRowCount="0">
  <tableColumns count="4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</tableColumns>
  <tableStyleInfo name="Sheet2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3081:E3082" headerRowCount="0">
  <tableColumns count="4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</tableColumns>
  <tableStyleInfo name="Sheet2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3097:E3098" headerRowCount="0">
  <tableColumns count="4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</tableColumns>
  <tableStyleInfo name="Sheet2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3113:E3114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Sheet2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3128:E3129" headerRowCount="0">
  <tableColumns count="4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</tableColumns>
  <tableStyleInfo name="Sheet2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3144:E3145" headerRowCount="0">
  <tableColumns count="4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</tableColumns>
  <tableStyleInfo name="Sheet2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3159:E3160" headerRowCount="0">
  <tableColumns count="4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</tableColumns>
  <tableStyleInfo name="Sheet2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3176:E3177" headerRowCount="0">
  <tableColumns count="4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</tableColumns>
  <tableStyleInfo name="Sheet2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3191:E3192" headerRowCount="0">
  <tableColumns count="4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</tableColumns>
  <tableStyleInfo name="Sheet2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3206:E3207" headerRowCount="0">
  <tableColumns count="4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</tableColumns>
  <tableStyleInfo name="Sheet2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3222:E3223" headerRowCount="0">
  <tableColumns count="4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</tableColumns>
  <tableStyleInfo name="Sheet2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3237:E3238" headerRowCount="0">
  <tableColumns count="4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</tableColumns>
  <tableStyleInfo name="Sheet2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3253:E3254" headerRowCount="0">
  <tableColumns count="4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</tableColumns>
  <tableStyleInfo name="Sheet2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B3269:E3270" headerRowCount="0">
  <tableColumns count="4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</tableColumns>
  <tableStyleInfo name="Sheet2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3287:E3288" headerRowCount="0">
  <tableColumns count="4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</tableColumns>
  <tableStyleInfo name="Sheet2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3302:E3303" headerRowCount="0">
  <tableColumns count="4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</tableColumns>
  <tableStyleInfo name="Sheet2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3317:E3318" headerRowCount="0">
  <tableColumns count="4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</tableColumns>
  <tableStyleInfo name="Sheet2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3333:E3334" headerRowCount="0">
  <tableColumns count="4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</tableColumns>
  <tableStyleInfo name="Sheet2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3349:E3350" headerRowCount="0">
  <tableColumns count="4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</tableColumns>
  <tableStyleInfo name="Sheet2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3363:E3364" headerRowCount="0">
  <tableColumns count="4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</tableColumns>
  <tableStyleInfo name="Sheet2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3378:E3379" headerRowCount="0">
  <tableColumns count="4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</tableColumns>
  <tableStyleInfo name="Sheet2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3394:E3395" headerRowCount="0">
  <tableColumns count="4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</tableColumns>
  <tableStyleInfo name="Sheet2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3410:E3411" headerRowCount="0">
  <tableColumns count="4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</tableColumns>
  <tableStyleInfo name="Sheet2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3426:E3427" headerRowCount="0">
  <tableColumns count="4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</tableColumns>
  <tableStyleInfo name="Sheet2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3442:E3443" headerRowCount="0">
  <tableColumns count="4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</tableColumns>
  <tableStyleInfo name="Sheet2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3459:E3460" headerRowCount="0">
  <tableColumns count="4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</tableColumns>
  <tableStyleInfo name="Sheet2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3476:E3477" headerRowCount="0">
  <tableColumns count="4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</tableColumns>
  <tableStyleInfo name="Sheet2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3493:E3494" headerRowCount="0">
  <tableColumns count="4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</tableColumns>
  <tableStyleInfo name="Sheet2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3508:E3509" headerRowCount="0">
  <tableColumns count="4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</tableColumns>
  <tableStyleInfo name="Sheet2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3523:E3524" headerRowCount="0">
  <tableColumns count="4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</tableColumns>
  <tableStyleInfo name="Sheet2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3537:E3538" headerRowCount="0">
  <tableColumns count="4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</tableColumns>
  <tableStyleInfo name="Sheet2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3552:E3553" headerRowCount="0">
  <tableColumns count="4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</tableColumns>
  <tableStyleInfo name="Sheet2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3566:E3567" headerRowCount="0">
  <tableColumns count="4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</tableColumns>
  <tableStyleInfo name="Sheet2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B3581:E3582" headerRowCount="0">
  <tableColumns count="4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</tableColumns>
  <tableStyleInfo name="Sheet2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3599:E3600" headerRowCount="0">
  <tableColumns count="4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</tableColumns>
  <tableStyleInfo name="Sheet2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B3615:E3616" headerRowCount="0">
  <tableColumns count="4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</tableColumns>
  <tableStyleInfo name="Sheet2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3629:E3630" headerRowCount="0">
  <tableColumns count="4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</tableColumns>
  <tableStyleInfo name="Sheet2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3645:E3646" headerRowCount="0">
  <tableColumns count="4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</tableColumns>
  <tableStyleInfo name="Sheet2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B3661:E3662" headerRowCount="0">
  <tableColumns count="4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</tableColumns>
  <tableStyleInfo name="Sheet2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3676:E3677" headerRowCount="0">
  <tableColumns count="4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</tableColumns>
  <tableStyleInfo name="Sheet2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3691:E3692" headerRowCount="0">
  <tableColumns count="4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</tableColumns>
  <tableStyleInfo name="Sheet2-style 5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B3706:E3707" headerRowCount="0">
  <tableColumns count="4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</tableColumns>
  <tableStyleInfo name="Sheet2-style 56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B3720:E3721" headerRowCount="0">
  <tableColumns count="4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</tableColumns>
  <tableStyleInfo name="Sheet2-style 57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3735:E3736" headerRowCount="0">
  <tableColumns count="4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</tableColumns>
  <tableStyleInfo name="Sheet2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3750:E3751" headerRowCount="0">
  <tableColumns count="4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</tableColumns>
  <tableStyleInfo name="Sheet2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3767:E3768" headerRowCount="0">
  <tableColumns count="4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</tableColumns>
  <tableStyleInfo name="Sheet2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B3781:E3782" headerRowCount="0">
  <tableColumns count="4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</tableColumns>
  <tableStyleInfo name="Sheet2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3796:E3797" headerRowCount="0">
  <tableColumns count="4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</tableColumns>
  <tableStyleInfo name="Sheet2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B3811:E3812" headerRowCount="0">
  <tableColumns count="4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</tableColumns>
  <tableStyleInfo name="Sheet2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B3828:E3829" headerRowCount="0">
  <tableColumns count="4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</tableColumns>
  <tableStyleInfo name="Sheet2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3842:E3843" headerRowCount="0">
  <tableColumns count="4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</tableColumns>
  <tableStyleInfo name="Sheet2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3855:E3856" headerRowCount="0">
  <tableColumns count="4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</tableColumns>
  <tableStyleInfo name="Sheet2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B3869:E3870" headerRowCount="0">
  <tableColumns count="4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</tableColumns>
  <tableStyleInfo name="Sheet2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B3885:E3886" headerRowCount="0">
  <tableColumns count="4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</tableColumns>
  <tableStyleInfo name="Sheet2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B3900:E3901" headerRowCount="0">
  <tableColumns count="4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</tableColumns>
  <tableStyleInfo name="Sheet2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B3916:E3917" headerRowCount="0">
  <tableColumns count="4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</tableColumns>
  <tableStyleInfo name="Sheet2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B3931:E3932" headerRowCount="0">
  <tableColumns count="4">
    <tableColumn id="1" xr3:uid="{00000000-0010-0000-4600-000001000000}" name="Column1"/>
    <tableColumn id="2" xr3:uid="{00000000-0010-0000-4600-000002000000}" name="Column2"/>
    <tableColumn id="3" xr3:uid="{00000000-0010-0000-4600-000003000000}" name="Column3"/>
    <tableColumn id="4" xr3:uid="{00000000-0010-0000-4600-000004000000}" name="Column4"/>
  </tableColumns>
  <tableStyleInfo name="Sheet2-style 71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B3946:E3947" headerRowCount="0">
  <tableColumns count="4">
    <tableColumn id="1" xr3:uid="{00000000-0010-0000-4700-000001000000}" name="Column1"/>
    <tableColumn id="2" xr3:uid="{00000000-0010-0000-4700-000002000000}" name="Column2"/>
    <tableColumn id="3" xr3:uid="{00000000-0010-0000-4700-000003000000}" name="Column3"/>
    <tableColumn id="4" xr3:uid="{00000000-0010-0000-4700-000004000000}" name="Column4"/>
  </tableColumns>
  <tableStyleInfo name="Sheet2-style 7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B3962:E3963" headerRowCount="0">
  <tableColumns count="4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</tableColumns>
  <tableStyleInfo name="Sheet2-style 7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B3979:E3980" headerRowCount="0">
  <tableColumns count="4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</tableColumns>
  <tableStyleInfo name="Sheet2-style 7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B3994:E3995" headerRowCount="0">
  <tableColumns count="4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</tableColumns>
  <tableStyleInfo name="Sheet2-style 7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B4011:E4012" headerRowCount="0">
  <tableColumns count="4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</tableColumns>
  <tableStyleInfo name="Sheet2-style 7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B4027:E4028" headerRowCount="0">
  <tableColumns count="4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</tableColumns>
  <tableStyleInfo name="Sheet2-style 77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B4043:E4044" headerRowCount="0">
  <tableColumns count="4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</tableColumns>
  <tableStyleInfo name="Sheet2-style 78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B4058:E4059" headerRowCount="0">
  <tableColumns count="4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</tableColumns>
  <tableStyleInfo name="Sheet2-style 79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B4074:E4075" headerRowCount="0">
  <tableColumns count="4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</tableColumns>
  <tableStyleInfo name="Sheet2-style 80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B4091:E4092" headerRowCount="0">
  <tableColumns count="4">
    <tableColumn id="1" xr3:uid="{00000000-0010-0000-5000-000001000000}" name="Column1"/>
    <tableColumn id="2" xr3:uid="{00000000-0010-0000-5000-000002000000}" name="Column2"/>
    <tableColumn id="3" xr3:uid="{00000000-0010-0000-5000-000003000000}" name="Column3"/>
    <tableColumn id="4" xr3:uid="{00000000-0010-0000-5000-000004000000}" name="Column4"/>
  </tableColumns>
  <tableStyleInfo name="Sheet2-style 81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B4109:E4110" headerRowCount="0">
  <tableColumns count="4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</tableColumns>
  <tableStyleInfo name="Sheet2-style 82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B4123:E4124" headerRowCount="0">
  <tableColumns count="4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</tableColumns>
  <tableStyleInfo name="Sheet2-style 83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B4139:E4140" headerRowCount="0">
  <tableColumns count="4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</tableColumns>
  <tableStyleInfo name="Sheet2-style 84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B4155:E4156" headerRowCount="0">
  <tableColumns count="4">
    <tableColumn id="1" xr3:uid="{00000000-0010-0000-5400-000001000000}" name="Column1"/>
    <tableColumn id="2" xr3:uid="{00000000-0010-0000-5400-000002000000}" name="Column2"/>
    <tableColumn id="3" xr3:uid="{00000000-0010-0000-5400-000003000000}" name="Column3"/>
    <tableColumn id="4" xr3:uid="{00000000-0010-0000-5400-000004000000}" name="Column4"/>
  </tableColumns>
  <tableStyleInfo name="Sheet2-style 85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B4169:E4170" headerRowCount="0">
  <tableColumns count="4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</tableColumns>
  <tableStyleInfo name="Sheet2-style 86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B4196:E4197" headerRowCount="0">
  <tableColumns count="4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</tableColumns>
  <tableStyleInfo name="Sheet2-style 87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B4210:E4211" headerRowCount="0">
  <tableColumns count="4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</tableColumns>
  <tableStyleInfo name="Sheet2-style 88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B4229:E4230" headerRowCount="0">
  <tableColumns count="4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</tableColumns>
  <tableStyleInfo name="Sheet2-style 89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B4243:E4244" headerRowCount="0">
  <tableColumns count="4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</tableColumns>
  <tableStyleInfo name="Sheet2-style 90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B4259:E4260" headerRowCount="0">
  <tableColumns count="4">
    <tableColumn id="1" xr3:uid="{00000000-0010-0000-5A00-000001000000}" name="Column1"/>
    <tableColumn id="2" xr3:uid="{00000000-0010-0000-5A00-000002000000}" name="Column2"/>
    <tableColumn id="3" xr3:uid="{00000000-0010-0000-5A00-000003000000}" name="Column3"/>
    <tableColumn id="4" xr3:uid="{00000000-0010-0000-5A00-000004000000}" name="Column4"/>
  </tableColumns>
  <tableStyleInfo name="Sheet2-style 91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B4276:E4277" headerRowCount="0">
  <tableColumns count="4">
    <tableColumn id="1" xr3:uid="{00000000-0010-0000-5B00-000001000000}" name="Column1"/>
    <tableColumn id="2" xr3:uid="{00000000-0010-0000-5B00-000002000000}" name="Column2"/>
    <tableColumn id="3" xr3:uid="{00000000-0010-0000-5B00-000003000000}" name="Column3"/>
    <tableColumn id="4" xr3:uid="{00000000-0010-0000-5B00-000004000000}" name="Column4"/>
  </tableColumns>
  <tableStyleInfo name="Sheet2-style 92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B4294:E4295" headerRowCount="0">
  <tableColumns count="4">
    <tableColumn id="1" xr3:uid="{00000000-0010-0000-5C00-000001000000}" name="Column1"/>
    <tableColumn id="2" xr3:uid="{00000000-0010-0000-5C00-000002000000}" name="Column2"/>
    <tableColumn id="3" xr3:uid="{00000000-0010-0000-5C00-000003000000}" name="Column3"/>
    <tableColumn id="4" xr3:uid="{00000000-0010-0000-5C00-000004000000}" name="Column4"/>
  </tableColumns>
  <tableStyleInfo name="Sheet2-style 93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B4311:E4312" headerRowCount="0">
  <tableColumns count="4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</tableColumns>
  <tableStyleInfo name="Sheet2-style 94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B4326:E4327" headerRowCount="0">
  <tableColumns count="4">
    <tableColumn id="1" xr3:uid="{00000000-0010-0000-5E00-000001000000}" name="Column1"/>
    <tableColumn id="2" xr3:uid="{00000000-0010-0000-5E00-000002000000}" name="Column2"/>
    <tableColumn id="3" xr3:uid="{00000000-0010-0000-5E00-000003000000}" name="Column3"/>
    <tableColumn id="4" xr3:uid="{00000000-0010-0000-5E00-000004000000}" name="Column4"/>
  </tableColumns>
  <tableStyleInfo name="Sheet2-style 95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B4340:E4341" headerRowCount="0">
  <tableColumns count="4">
    <tableColumn id="1" xr3:uid="{00000000-0010-0000-5F00-000001000000}" name="Column1"/>
    <tableColumn id="2" xr3:uid="{00000000-0010-0000-5F00-000002000000}" name="Column2"/>
    <tableColumn id="3" xr3:uid="{00000000-0010-0000-5F00-000003000000}" name="Column3"/>
    <tableColumn id="4" xr3:uid="{00000000-0010-0000-5F00-000004000000}" name="Column4"/>
  </tableColumns>
  <tableStyleInfo name="Sheet2-style 9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B4355:E4356" headerRowCount="0">
  <tableColumns count="4">
    <tableColumn id="1" xr3:uid="{00000000-0010-0000-6000-000001000000}" name="Column1"/>
    <tableColumn id="2" xr3:uid="{00000000-0010-0000-6000-000002000000}" name="Column2"/>
    <tableColumn id="3" xr3:uid="{00000000-0010-0000-6000-000003000000}" name="Column3"/>
    <tableColumn id="4" xr3:uid="{00000000-0010-0000-6000-000004000000}" name="Column4"/>
  </tableColumns>
  <tableStyleInfo name="Sheet2-style 9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B4374:E4375" headerRowCount="0">
  <tableColumns count="4">
    <tableColumn id="1" xr3:uid="{00000000-0010-0000-6100-000001000000}" name="Column1"/>
    <tableColumn id="2" xr3:uid="{00000000-0010-0000-6100-000002000000}" name="Column2"/>
    <tableColumn id="3" xr3:uid="{00000000-0010-0000-6100-000003000000}" name="Column3"/>
    <tableColumn id="4" xr3:uid="{00000000-0010-0000-6100-000004000000}" name="Column4"/>
  </tableColumns>
  <tableStyleInfo name="Sheet2-style 9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B4391:E4392" headerRowCount="0">
  <tableColumns count="4">
    <tableColumn id="1" xr3:uid="{00000000-0010-0000-6200-000001000000}" name="Column1"/>
    <tableColumn id="2" xr3:uid="{00000000-0010-0000-6200-000002000000}" name="Column2"/>
    <tableColumn id="3" xr3:uid="{00000000-0010-0000-6200-000003000000}" name="Column3"/>
    <tableColumn id="4" xr3:uid="{00000000-0010-0000-6200-000004000000}" name="Column4"/>
  </tableColumns>
  <tableStyleInfo name="Sheet2-style 9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B4408:E4409" headerRowCount="0">
  <tableColumns count="4">
    <tableColumn id="1" xr3:uid="{00000000-0010-0000-6300-000001000000}" name="Column1"/>
    <tableColumn id="2" xr3:uid="{00000000-0010-0000-6300-000002000000}" name="Column2"/>
    <tableColumn id="3" xr3:uid="{00000000-0010-0000-6300-000003000000}" name="Column3"/>
    <tableColumn id="4" xr3:uid="{00000000-0010-0000-6300-000004000000}" name="Column4"/>
  </tableColumns>
  <tableStyleInfo name="Sheet2-style 10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84" Type="http://schemas.openxmlformats.org/officeDocument/2006/relationships/table" Target="../tables/table84.xml"/><Relationship Id="rId89" Type="http://schemas.openxmlformats.org/officeDocument/2006/relationships/table" Target="../tables/table89.xml"/><Relationship Id="rId16" Type="http://schemas.openxmlformats.org/officeDocument/2006/relationships/table" Target="../tables/table16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74" Type="http://schemas.openxmlformats.org/officeDocument/2006/relationships/table" Target="../tables/table74.xml"/><Relationship Id="rId79" Type="http://schemas.openxmlformats.org/officeDocument/2006/relationships/table" Target="../tables/table79.xml"/><Relationship Id="rId5" Type="http://schemas.openxmlformats.org/officeDocument/2006/relationships/table" Target="../tables/table5.xml"/><Relationship Id="rId90" Type="http://schemas.openxmlformats.org/officeDocument/2006/relationships/table" Target="../tables/table90.xml"/><Relationship Id="rId95" Type="http://schemas.openxmlformats.org/officeDocument/2006/relationships/table" Target="../tables/table95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80" Type="http://schemas.openxmlformats.org/officeDocument/2006/relationships/table" Target="../tables/table80.xml"/><Relationship Id="rId85" Type="http://schemas.openxmlformats.org/officeDocument/2006/relationships/table" Target="../tables/table85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59" Type="http://schemas.openxmlformats.org/officeDocument/2006/relationships/table" Target="../tables/table59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62" Type="http://schemas.openxmlformats.org/officeDocument/2006/relationships/table" Target="../tables/table62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91" Type="http://schemas.openxmlformats.org/officeDocument/2006/relationships/table" Target="../tables/table91.xml"/><Relationship Id="rId96" Type="http://schemas.openxmlformats.org/officeDocument/2006/relationships/table" Target="../tables/table9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81" Type="http://schemas.openxmlformats.org/officeDocument/2006/relationships/table" Target="../tables/table81.xml"/><Relationship Id="rId86" Type="http://schemas.openxmlformats.org/officeDocument/2006/relationships/table" Target="../tables/table86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4420"/>
  <sheetViews>
    <sheetView rightToLeft="1" tabSelected="1" topLeftCell="A1231" workbookViewId="0">
      <selection activeCell="B1249" sqref="B1249"/>
    </sheetView>
  </sheetViews>
  <sheetFormatPr defaultColWidth="14.3984375" defaultRowHeight="15" customHeight="1" x14ac:dyDescent="0.45"/>
  <cols>
    <col min="1" max="1" width="8.73046875" customWidth="1"/>
    <col min="2" max="2" width="22.53125" customWidth="1"/>
    <col min="3" max="3" width="14.53125" customWidth="1"/>
    <col min="4" max="5" width="8.73046875" customWidth="1"/>
    <col min="6" max="6" width="16.53125" customWidth="1"/>
    <col min="7" max="7" width="13.1328125" customWidth="1"/>
    <col min="8" max="8" width="18.86328125" customWidth="1"/>
    <col min="9" max="9" width="14.86328125" customWidth="1"/>
    <col min="10" max="26" width="8.73046875" customWidth="1"/>
  </cols>
  <sheetData>
    <row r="2" spans="1:26" ht="25.5" x14ac:dyDescent="0.75">
      <c r="A2" s="43" t="s">
        <v>0</v>
      </c>
      <c r="B2" s="40"/>
      <c r="C2" s="40"/>
      <c r="D2" s="40"/>
      <c r="E2" s="40"/>
      <c r="F2" s="40"/>
      <c r="G2" s="40"/>
      <c r="H2" s="41"/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x14ac:dyDescent="0.75">
      <c r="A3" s="43" t="s">
        <v>2</v>
      </c>
      <c r="B3" s="40"/>
      <c r="C3" s="40"/>
      <c r="D3" s="40"/>
      <c r="E3" s="40"/>
      <c r="F3" s="40"/>
      <c r="G3" s="40"/>
      <c r="H3" s="41"/>
      <c r="I3" s="1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5500000000000000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3" t="s">
        <v>8</v>
      </c>
      <c r="G4" s="2" t="s">
        <v>9</v>
      </c>
      <c r="H4" s="4"/>
      <c r="I4" s="1" t="s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x14ac:dyDescent="0.75">
      <c r="A5" s="5">
        <v>1</v>
      </c>
      <c r="B5" s="6" t="s">
        <v>10</v>
      </c>
      <c r="C5" s="7" t="s">
        <v>11</v>
      </c>
      <c r="D5" s="6" t="s">
        <v>12</v>
      </c>
      <c r="E5" s="6">
        <v>0.91</v>
      </c>
      <c r="F5" s="8">
        <v>293000</v>
      </c>
      <c r="G5" s="9">
        <f t="shared" ref="G5:G7" si="0">IFERROR(E5*F5,0)</f>
        <v>266630</v>
      </c>
      <c r="H5" s="10"/>
      <c r="I5" s="1" t="s">
        <v>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x14ac:dyDescent="0.75">
      <c r="A6" s="5">
        <v>2</v>
      </c>
      <c r="B6" s="6" t="s">
        <v>13</v>
      </c>
      <c r="C6" s="7">
        <v>2260</v>
      </c>
      <c r="D6" s="6" t="s">
        <v>14</v>
      </c>
      <c r="E6" s="6">
        <v>2.5299999999999998</v>
      </c>
      <c r="F6" s="11">
        <v>435000</v>
      </c>
      <c r="G6" s="9">
        <f t="shared" si="0"/>
        <v>1100550</v>
      </c>
      <c r="H6" s="10"/>
      <c r="I6" s="1" t="s"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x14ac:dyDescent="0.75">
      <c r="A7" s="5">
        <v>3</v>
      </c>
      <c r="B7" s="12" t="s">
        <v>15</v>
      </c>
      <c r="C7" s="10"/>
      <c r="D7" s="10"/>
      <c r="E7" s="10"/>
      <c r="F7" s="10"/>
      <c r="G7" s="13">
        <f t="shared" si="0"/>
        <v>0</v>
      </c>
      <c r="H7" s="10"/>
      <c r="I7" s="1" t="s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75">
      <c r="A8" s="39" t="s">
        <v>16</v>
      </c>
      <c r="B8" s="40"/>
      <c r="C8" s="40"/>
      <c r="D8" s="40"/>
      <c r="E8" s="40"/>
      <c r="F8" s="40"/>
      <c r="G8" s="41"/>
      <c r="H8" s="14">
        <f>SUM(G5:G7)</f>
        <v>1367180</v>
      </c>
      <c r="I8" s="1" t="s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x14ac:dyDescent="0.75">
      <c r="A9" s="39" t="s">
        <v>17</v>
      </c>
      <c r="B9" s="40"/>
      <c r="C9" s="40"/>
      <c r="D9" s="40"/>
      <c r="E9" s="40"/>
      <c r="F9" s="40"/>
      <c r="G9" s="41"/>
      <c r="H9" s="14">
        <f>MAX(0,H8-648000)</f>
        <v>719180</v>
      </c>
      <c r="I9" s="1" t="s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x14ac:dyDescent="0.75">
      <c r="A10" s="42" t="s">
        <v>18</v>
      </c>
      <c r="B10" s="40"/>
      <c r="C10" s="40"/>
      <c r="D10" s="40"/>
      <c r="E10" s="40"/>
      <c r="F10" s="40"/>
      <c r="G10" s="41"/>
      <c r="H10" s="15">
        <v>649000</v>
      </c>
      <c r="I10" s="1" t="s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x14ac:dyDescent="0.75">
      <c r="A11" s="43" t="s">
        <v>19</v>
      </c>
      <c r="B11" s="40"/>
      <c r="C11" s="40"/>
      <c r="D11" s="40"/>
      <c r="E11" s="40"/>
      <c r="F11" s="40"/>
      <c r="G11" s="40"/>
      <c r="H11" s="41"/>
      <c r="I11" s="1" t="s">
        <v>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x14ac:dyDescent="0.45">
      <c r="I12" s="1" t="s">
        <v>1</v>
      </c>
    </row>
    <row r="13" spans="1:26" ht="14.25" x14ac:dyDescent="0.45">
      <c r="I13" s="1" t="s">
        <v>1</v>
      </c>
    </row>
    <row r="14" spans="1:26" ht="14.25" x14ac:dyDescent="0.45">
      <c r="I14" s="1" t="s">
        <v>1</v>
      </c>
    </row>
    <row r="15" spans="1:26" ht="14.25" x14ac:dyDescent="0.45">
      <c r="I15" s="1" t="s">
        <v>1</v>
      </c>
    </row>
    <row r="16" spans="1:26" ht="25.5" x14ac:dyDescent="0.75">
      <c r="A16" s="43" t="s">
        <v>0</v>
      </c>
      <c r="B16" s="40"/>
      <c r="C16" s="40"/>
      <c r="D16" s="40"/>
      <c r="E16" s="40"/>
      <c r="F16" s="40"/>
      <c r="G16" s="40"/>
      <c r="H16" s="41"/>
      <c r="I16" s="1" t="s">
        <v>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x14ac:dyDescent="0.75">
      <c r="A17" s="43" t="s">
        <v>20</v>
      </c>
      <c r="B17" s="40"/>
      <c r="C17" s="40"/>
      <c r="D17" s="40"/>
      <c r="E17" s="40"/>
      <c r="F17" s="40"/>
      <c r="G17" s="40"/>
      <c r="H17" s="41"/>
      <c r="I17" s="1" t="s">
        <v>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55000000000000004">
      <c r="A18" s="2" t="s">
        <v>3</v>
      </c>
      <c r="B18" s="2" t="s">
        <v>4</v>
      </c>
      <c r="C18" s="2" t="s">
        <v>5</v>
      </c>
      <c r="D18" s="2" t="s">
        <v>6</v>
      </c>
      <c r="E18" s="2" t="s">
        <v>7</v>
      </c>
      <c r="F18" s="3" t="s">
        <v>8</v>
      </c>
      <c r="G18" s="2" t="s">
        <v>9</v>
      </c>
      <c r="H18" s="4"/>
      <c r="I18" s="1" t="s">
        <v>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x14ac:dyDescent="0.75">
      <c r="A19" s="5">
        <v>1</v>
      </c>
      <c r="B19" s="6" t="s">
        <v>21</v>
      </c>
      <c r="C19" s="7" t="s">
        <v>22</v>
      </c>
      <c r="D19" s="6" t="s">
        <v>23</v>
      </c>
      <c r="E19" s="6">
        <v>1.5</v>
      </c>
      <c r="F19" s="8">
        <v>293000</v>
      </c>
      <c r="G19" s="9">
        <f t="shared" ref="G19:G21" si="1">IFERROR(E19*F19,0)</f>
        <v>439500</v>
      </c>
      <c r="H19" s="10"/>
      <c r="I19" s="1" t="s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x14ac:dyDescent="0.75">
      <c r="A20" s="5">
        <v>2</v>
      </c>
      <c r="B20" s="16" t="s">
        <v>24</v>
      </c>
      <c r="C20" s="17" t="s">
        <v>25</v>
      </c>
      <c r="D20" s="16" t="s">
        <v>14</v>
      </c>
      <c r="E20" s="16">
        <v>2.0699999999999998</v>
      </c>
      <c r="F20" s="11">
        <v>435000</v>
      </c>
      <c r="G20" s="9">
        <f t="shared" si="1"/>
        <v>900449.99999999988</v>
      </c>
      <c r="H20" s="10"/>
      <c r="I20" s="1" t="s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75">
      <c r="A21" s="5">
        <v>3</v>
      </c>
      <c r="B21" s="12" t="s">
        <v>15</v>
      </c>
      <c r="C21" s="10"/>
      <c r="D21" s="10"/>
      <c r="E21" s="10"/>
      <c r="F21" s="10"/>
      <c r="G21" s="13">
        <f t="shared" si="1"/>
        <v>0</v>
      </c>
      <c r="H21" s="10"/>
      <c r="I21" s="1" t="s">
        <v>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75">
      <c r="A22" s="39" t="s">
        <v>16</v>
      </c>
      <c r="B22" s="40"/>
      <c r="C22" s="40"/>
      <c r="D22" s="40"/>
      <c r="E22" s="40"/>
      <c r="F22" s="40"/>
      <c r="G22" s="41"/>
      <c r="H22" s="14">
        <f>SUM(G19:G21)</f>
        <v>1339950</v>
      </c>
      <c r="I22" s="1" t="s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75">
      <c r="A23" s="39" t="s">
        <v>17</v>
      </c>
      <c r="B23" s="40"/>
      <c r="C23" s="40"/>
      <c r="D23" s="40"/>
      <c r="E23" s="40"/>
      <c r="F23" s="40"/>
      <c r="G23" s="41"/>
      <c r="H23" s="14">
        <f>MAX(0,H22-648000)</f>
        <v>691950</v>
      </c>
      <c r="I23" s="1" t="s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75">
      <c r="A24" s="42" t="s">
        <v>18</v>
      </c>
      <c r="B24" s="40"/>
      <c r="C24" s="40"/>
      <c r="D24" s="40"/>
      <c r="E24" s="40"/>
      <c r="F24" s="40"/>
      <c r="G24" s="41"/>
      <c r="H24" s="15">
        <v>649000</v>
      </c>
      <c r="I24" s="1" t="s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75">
      <c r="A25" s="43" t="s">
        <v>19</v>
      </c>
      <c r="B25" s="40"/>
      <c r="C25" s="40"/>
      <c r="D25" s="40"/>
      <c r="E25" s="40"/>
      <c r="F25" s="40"/>
      <c r="G25" s="40"/>
      <c r="H25" s="41"/>
      <c r="I25" s="1" t="s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5">
      <c r="I26" s="1" t="s">
        <v>1</v>
      </c>
    </row>
    <row r="27" spans="1:26" ht="15.75" customHeight="1" x14ac:dyDescent="0.45">
      <c r="I27" s="1" t="s">
        <v>1</v>
      </c>
    </row>
    <row r="28" spans="1:26" ht="15.75" customHeight="1" x14ac:dyDescent="0.45">
      <c r="I28" s="1" t="s">
        <v>1</v>
      </c>
    </row>
    <row r="29" spans="1:26" ht="15.75" customHeight="1" x14ac:dyDescent="0.75">
      <c r="A29" s="43" t="s">
        <v>0</v>
      </c>
      <c r="B29" s="40"/>
      <c r="C29" s="40"/>
      <c r="D29" s="40"/>
      <c r="E29" s="40"/>
      <c r="F29" s="40"/>
      <c r="G29" s="40"/>
      <c r="H29" s="41"/>
      <c r="I29" s="1" t="s"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75">
      <c r="A30" s="43" t="s">
        <v>26</v>
      </c>
      <c r="B30" s="40"/>
      <c r="C30" s="40"/>
      <c r="D30" s="40"/>
      <c r="E30" s="40"/>
      <c r="F30" s="40"/>
      <c r="G30" s="40"/>
      <c r="H30" s="41"/>
      <c r="I30" s="1" t="s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55000000000000004">
      <c r="A31" s="2" t="s">
        <v>3</v>
      </c>
      <c r="B31" s="2" t="s">
        <v>4</v>
      </c>
      <c r="C31" s="2" t="s">
        <v>5</v>
      </c>
      <c r="D31" s="2" t="s">
        <v>6</v>
      </c>
      <c r="E31" s="2" t="s">
        <v>7</v>
      </c>
      <c r="F31" s="3" t="s">
        <v>8</v>
      </c>
      <c r="G31" s="2" t="s">
        <v>9</v>
      </c>
      <c r="H31" s="4"/>
      <c r="I31" s="1" t="s"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75">
      <c r="A32" s="5">
        <v>1</v>
      </c>
      <c r="B32" s="6" t="s">
        <v>27</v>
      </c>
      <c r="C32" s="7">
        <v>1445</v>
      </c>
      <c r="D32" s="6" t="s">
        <v>12</v>
      </c>
      <c r="E32" s="6">
        <v>1.6</v>
      </c>
      <c r="F32" s="8">
        <v>293000</v>
      </c>
      <c r="G32" s="9">
        <f t="shared" ref="G32:G34" si="2">IFERROR(E32*F32,0)</f>
        <v>468800</v>
      </c>
      <c r="H32" s="10"/>
      <c r="I32" s="1" t="s"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75">
      <c r="A33" s="5">
        <v>2</v>
      </c>
      <c r="B33" s="16" t="s">
        <v>28</v>
      </c>
      <c r="C33" s="17" t="s">
        <v>29</v>
      </c>
      <c r="D33" s="16" t="s">
        <v>14</v>
      </c>
      <c r="E33" s="16">
        <v>2</v>
      </c>
      <c r="F33" s="11">
        <v>435000</v>
      </c>
      <c r="G33" s="9">
        <f t="shared" si="2"/>
        <v>870000</v>
      </c>
      <c r="H33" s="10"/>
      <c r="I33" s="1" t="s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75">
      <c r="A34" s="5">
        <v>3</v>
      </c>
      <c r="B34" s="12" t="s">
        <v>15</v>
      </c>
      <c r="C34" s="10"/>
      <c r="D34" s="10"/>
      <c r="E34" s="10"/>
      <c r="F34" s="10"/>
      <c r="G34" s="13">
        <f t="shared" si="2"/>
        <v>0</v>
      </c>
      <c r="H34" s="10"/>
      <c r="I34" s="1" t="s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75">
      <c r="A35" s="39" t="s">
        <v>16</v>
      </c>
      <c r="B35" s="40"/>
      <c r="C35" s="40"/>
      <c r="D35" s="40"/>
      <c r="E35" s="40"/>
      <c r="F35" s="40"/>
      <c r="G35" s="41"/>
      <c r="H35" s="14">
        <f>SUM(G32:G34)</f>
        <v>1338800</v>
      </c>
      <c r="I35" s="1" t="s">
        <v>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75">
      <c r="A36" s="39" t="s">
        <v>17</v>
      </c>
      <c r="B36" s="40"/>
      <c r="C36" s="40"/>
      <c r="D36" s="40"/>
      <c r="E36" s="40"/>
      <c r="F36" s="40"/>
      <c r="G36" s="41"/>
      <c r="H36" s="14">
        <f>MAX(0,H35-648000)</f>
        <v>690800</v>
      </c>
      <c r="I36" s="1" t="s">
        <v>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75">
      <c r="A37" s="42" t="s">
        <v>18</v>
      </c>
      <c r="B37" s="40"/>
      <c r="C37" s="40"/>
      <c r="D37" s="40"/>
      <c r="E37" s="40"/>
      <c r="F37" s="40"/>
      <c r="G37" s="41"/>
      <c r="H37" s="15">
        <v>649000</v>
      </c>
      <c r="I37" s="1" t="s">
        <v>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75">
      <c r="A38" s="43" t="s">
        <v>19</v>
      </c>
      <c r="B38" s="40"/>
      <c r="C38" s="40"/>
      <c r="D38" s="40"/>
      <c r="E38" s="40"/>
      <c r="F38" s="40"/>
      <c r="G38" s="40"/>
      <c r="H38" s="41"/>
      <c r="I38" s="1" t="s">
        <v>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45">
      <c r="I39" s="1" t="s">
        <v>1</v>
      </c>
    </row>
    <row r="40" spans="1:26" ht="15.75" customHeight="1" x14ac:dyDescent="0.45">
      <c r="I40" s="1" t="s">
        <v>1</v>
      </c>
    </row>
    <row r="41" spans="1:26" ht="15.75" customHeight="1" x14ac:dyDescent="0.45">
      <c r="I41" s="1" t="s">
        <v>1</v>
      </c>
    </row>
    <row r="42" spans="1:26" ht="15.75" customHeight="1" x14ac:dyDescent="0.45">
      <c r="I42" s="1" t="s">
        <v>1</v>
      </c>
    </row>
    <row r="43" spans="1:26" ht="15.75" customHeight="1" x14ac:dyDescent="0.75">
      <c r="A43" s="43" t="s">
        <v>0</v>
      </c>
      <c r="B43" s="40"/>
      <c r="C43" s="40"/>
      <c r="D43" s="40"/>
      <c r="E43" s="40"/>
      <c r="F43" s="40"/>
      <c r="G43" s="40"/>
      <c r="H43" s="41"/>
      <c r="I43" s="1" t="s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75">
      <c r="A44" s="43" t="s">
        <v>30</v>
      </c>
      <c r="B44" s="40"/>
      <c r="C44" s="40"/>
      <c r="D44" s="40"/>
      <c r="E44" s="40"/>
      <c r="F44" s="40"/>
      <c r="G44" s="40"/>
      <c r="H44" s="41"/>
      <c r="I44" s="1" t="s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5000000000000004">
      <c r="A45" s="2" t="s">
        <v>3</v>
      </c>
      <c r="B45" s="2" t="s">
        <v>4</v>
      </c>
      <c r="C45" s="2" t="s">
        <v>5</v>
      </c>
      <c r="D45" s="2" t="s">
        <v>6</v>
      </c>
      <c r="E45" s="2" t="s">
        <v>7</v>
      </c>
      <c r="F45" s="3" t="s">
        <v>8</v>
      </c>
      <c r="G45" s="2" t="s">
        <v>9</v>
      </c>
      <c r="H45" s="4"/>
      <c r="I45" s="1" t="s">
        <v>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75">
      <c r="A46" s="5">
        <v>1</v>
      </c>
      <c r="B46" s="18" t="s">
        <v>31</v>
      </c>
      <c r="C46" s="7">
        <v>2831</v>
      </c>
      <c r="D46" s="6" t="s">
        <v>12</v>
      </c>
      <c r="E46" s="6">
        <v>1.4</v>
      </c>
      <c r="F46" s="8">
        <v>293000</v>
      </c>
      <c r="G46" s="9">
        <f t="shared" ref="G46:G48" si="3">IFERROR(E46*F46,0)</f>
        <v>410200</v>
      </c>
      <c r="H46" s="10"/>
      <c r="I46" s="1" t="s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75">
      <c r="A47" s="5">
        <v>2</v>
      </c>
      <c r="B47" s="16" t="s">
        <v>32</v>
      </c>
      <c r="C47" s="17">
        <v>2080</v>
      </c>
      <c r="D47" s="16" t="s">
        <v>14</v>
      </c>
      <c r="E47" s="16">
        <v>2</v>
      </c>
      <c r="F47" s="11">
        <v>435000</v>
      </c>
      <c r="G47" s="9">
        <f t="shared" si="3"/>
        <v>870000</v>
      </c>
      <c r="H47" s="10"/>
      <c r="I47" s="1" t="s"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75">
      <c r="A48" s="5">
        <v>3</v>
      </c>
      <c r="B48" s="12" t="s">
        <v>15</v>
      </c>
      <c r="C48" s="10"/>
      <c r="D48" s="10"/>
      <c r="E48" s="10"/>
      <c r="F48" s="10"/>
      <c r="G48" s="13">
        <f t="shared" si="3"/>
        <v>0</v>
      </c>
      <c r="H48" s="10"/>
      <c r="I48" s="1" t="s">
        <v>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75">
      <c r="A49" s="39" t="s">
        <v>16</v>
      </c>
      <c r="B49" s="40"/>
      <c r="C49" s="40"/>
      <c r="D49" s="40"/>
      <c r="E49" s="40"/>
      <c r="F49" s="40"/>
      <c r="G49" s="41"/>
      <c r="H49" s="14">
        <f>SUM(G46:G48)</f>
        <v>1280200</v>
      </c>
      <c r="I49" s="1" t="s">
        <v>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75">
      <c r="A50" s="39" t="s">
        <v>17</v>
      </c>
      <c r="B50" s="40"/>
      <c r="C50" s="40"/>
      <c r="D50" s="40"/>
      <c r="E50" s="40"/>
      <c r="F50" s="40"/>
      <c r="G50" s="41"/>
      <c r="H50" s="14">
        <f>MAX(0,H49-648000)</f>
        <v>632200</v>
      </c>
      <c r="I50" s="1" t="s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75">
      <c r="A51" s="42" t="s">
        <v>18</v>
      </c>
      <c r="B51" s="40"/>
      <c r="C51" s="40"/>
      <c r="D51" s="40"/>
      <c r="E51" s="40"/>
      <c r="F51" s="40"/>
      <c r="G51" s="41"/>
      <c r="H51" s="15">
        <v>649000</v>
      </c>
      <c r="I51" s="1" t="s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75">
      <c r="A52" s="43" t="s">
        <v>19</v>
      </c>
      <c r="B52" s="40"/>
      <c r="C52" s="40"/>
      <c r="D52" s="40"/>
      <c r="E52" s="40"/>
      <c r="F52" s="40"/>
      <c r="G52" s="40"/>
      <c r="H52" s="41"/>
      <c r="I52" s="1" t="s">
        <v>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45">
      <c r="I53" s="1" t="s">
        <v>1</v>
      </c>
    </row>
    <row r="54" spans="1:26" ht="15.75" customHeight="1" x14ac:dyDescent="0.45">
      <c r="I54" s="1" t="s">
        <v>1</v>
      </c>
    </row>
    <row r="55" spans="1:26" ht="15.75" customHeight="1" x14ac:dyDescent="0.45">
      <c r="I55" s="1" t="s">
        <v>1</v>
      </c>
    </row>
    <row r="56" spans="1:26" ht="15.75" customHeight="1" x14ac:dyDescent="0.75">
      <c r="A56" s="43" t="s">
        <v>0</v>
      </c>
      <c r="B56" s="40"/>
      <c r="C56" s="40"/>
      <c r="D56" s="40"/>
      <c r="E56" s="40"/>
      <c r="F56" s="40"/>
      <c r="G56" s="40"/>
      <c r="H56" s="41"/>
      <c r="I56" s="1" t="s">
        <v>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75">
      <c r="A57" s="43" t="s">
        <v>33</v>
      </c>
      <c r="B57" s="40"/>
      <c r="C57" s="40"/>
      <c r="D57" s="40"/>
      <c r="E57" s="40"/>
      <c r="F57" s="40"/>
      <c r="G57" s="40"/>
      <c r="H57" s="41"/>
      <c r="I57" s="1" t="s">
        <v>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5000000000000004">
      <c r="A58" s="2" t="s">
        <v>3</v>
      </c>
      <c r="B58" s="2" t="s">
        <v>4</v>
      </c>
      <c r="C58" s="2" t="s">
        <v>5</v>
      </c>
      <c r="D58" s="2" t="s">
        <v>6</v>
      </c>
      <c r="E58" s="2" t="s">
        <v>7</v>
      </c>
      <c r="F58" s="3" t="s">
        <v>8</v>
      </c>
      <c r="G58" s="2" t="s">
        <v>9</v>
      </c>
      <c r="H58" s="4"/>
      <c r="I58" s="1" t="s">
        <v>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75">
      <c r="A59" s="5">
        <v>1</v>
      </c>
      <c r="B59" s="6" t="s">
        <v>34</v>
      </c>
      <c r="C59" s="7">
        <v>1466</v>
      </c>
      <c r="D59" s="6" t="s">
        <v>12</v>
      </c>
      <c r="E59" s="6">
        <v>1.5</v>
      </c>
      <c r="F59" s="8">
        <v>293000</v>
      </c>
      <c r="G59" s="9">
        <f t="shared" ref="G59:G61" si="4">IFERROR(E59*F59,0)</f>
        <v>439500</v>
      </c>
      <c r="H59" s="10"/>
      <c r="I59" s="1" t="s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75">
      <c r="A60" s="5">
        <v>2</v>
      </c>
      <c r="B60" s="16" t="s">
        <v>35</v>
      </c>
      <c r="C60" s="17" t="s">
        <v>36</v>
      </c>
      <c r="D60" s="16" t="s">
        <v>14</v>
      </c>
      <c r="E60" s="16">
        <v>1.98</v>
      </c>
      <c r="F60" s="11">
        <v>435000</v>
      </c>
      <c r="G60" s="9">
        <f t="shared" si="4"/>
        <v>861300</v>
      </c>
      <c r="H60" s="10"/>
      <c r="I60" s="1" t="s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75">
      <c r="A61" s="5">
        <v>3</v>
      </c>
      <c r="B61" s="12" t="s">
        <v>15</v>
      </c>
      <c r="C61" s="10"/>
      <c r="D61" s="10"/>
      <c r="E61" s="10"/>
      <c r="F61" s="10"/>
      <c r="G61" s="13">
        <f t="shared" si="4"/>
        <v>0</v>
      </c>
      <c r="H61" s="10"/>
      <c r="I61" s="1" t="s">
        <v>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75">
      <c r="A62" s="39" t="s">
        <v>16</v>
      </c>
      <c r="B62" s="40"/>
      <c r="C62" s="40"/>
      <c r="D62" s="40"/>
      <c r="E62" s="40"/>
      <c r="F62" s="40"/>
      <c r="G62" s="41"/>
      <c r="H62" s="14">
        <f>SUM(G59:G61)</f>
        <v>1300800</v>
      </c>
      <c r="I62" s="1" t="s">
        <v>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75">
      <c r="A63" s="39" t="s">
        <v>17</v>
      </c>
      <c r="B63" s="40"/>
      <c r="C63" s="40"/>
      <c r="D63" s="40"/>
      <c r="E63" s="40"/>
      <c r="F63" s="40"/>
      <c r="G63" s="41"/>
      <c r="H63" s="14">
        <f>MAX(0,H62-648000)</f>
        <v>652800</v>
      </c>
      <c r="I63" s="1" t="s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75">
      <c r="A64" s="42" t="s">
        <v>18</v>
      </c>
      <c r="B64" s="40"/>
      <c r="C64" s="40"/>
      <c r="D64" s="40"/>
      <c r="E64" s="40"/>
      <c r="F64" s="40"/>
      <c r="G64" s="41"/>
      <c r="H64" s="15">
        <v>649000</v>
      </c>
      <c r="I64" s="1" t="s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75">
      <c r="A65" s="43" t="s">
        <v>19</v>
      </c>
      <c r="B65" s="40"/>
      <c r="C65" s="40"/>
      <c r="D65" s="40"/>
      <c r="E65" s="40"/>
      <c r="F65" s="40"/>
      <c r="G65" s="40"/>
      <c r="H65" s="41"/>
      <c r="I65" s="1" t="s">
        <v>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5">
      <c r="I66" s="1" t="s">
        <v>1</v>
      </c>
    </row>
    <row r="67" spans="1:26" ht="15.75" customHeight="1" x14ac:dyDescent="0.45">
      <c r="I67" s="1" t="s">
        <v>1</v>
      </c>
    </row>
    <row r="68" spans="1:26" ht="15.75" customHeight="1" x14ac:dyDescent="0.45">
      <c r="I68" s="1" t="s">
        <v>1</v>
      </c>
    </row>
    <row r="69" spans="1:26" ht="15.75" customHeight="1" x14ac:dyDescent="0.45">
      <c r="I69" s="1" t="s">
        <v>1</v>
      </c>
    </row>
    <row r="70" spans="1:26" ht="15.75" customHeight="1" x14ac:dyDescent="0.45">
      <c r="I70" s="1" t="s">
        <v>1</v>
      </c>
    </row>
    <row r="71" spans="1:26" ht="15.75" customHeight="1" x14ac:dyDescent="0.45">
      <c r="I71" s="1" t="s">
        <v>1</v>
      </c>
    </row>
    <row r="72" spans="1:26" ht="15.75" customHeight="1" x14ac:dyDescent="0.75">
      <c r="A72" s="43" t="s">
        <v>0</v>
      </c>
      <c r="B72" s="40"/>
      <c r="C72" s="40"/>
      <c r="D72" s="40"/>
      <c r="E72" s="40"/>
      <c r="F72" s="40"/>
      <c r="G72" s="40"/>
      <c r="H72" s="41"/>
      <c r="I72" s="1" t="s"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75">
      <c r="A73" s="43" t="s">
        <v>37</v>
      </c>
      <c r="B73" s="40"/>
      <c r="C73" s="40"/>
      <c r="D73" s="40"/>
      <c r="E73" s="40"/>
      <c r="F73" s="40"/>
      <c r="G73" s="40"/>
      <c r="H73" s="41"/>
      <c r="I73" s="1" t="s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5000000000000004">
      <c r="A74" s="2" t="s">
        <v>3</v>
      </c>
      <c r="B74" s="2" t="s">
        <v>4</v>
      </c>
      <c r="C74" s="2" t="s">
        <v>5</v>
      </c>
      <c r="D74" s="2" t="s">
        <v>6</v>
      </c>
      <c r="E74" s="2" t="s">
        <v>7</v>
      </c>
      <c r="F74" s="3" t="s">
        <v>8</v>
      </c>
      <c r="G74" s="2" t="s">
        <v>9</v>
      </c>
      <c r="H74" s="4"/>
      <c r="I74" s="1" t="s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75">
      <c r="A75" s="5">
        <v>1</v>
      </c>
      <c r="B75" s="6" t="s">
        <v>38</v>
      </c>
      <c r="C75" s="7" t="s">
        <v>39</v>
      </c>
      <c r="D75" s="6" t="s">
        <v>12</v>
      </c>
      <c r="E75" s="6">
        <v>2.2599999999999998</v>
      </c>
      <c r="F75" s="8">
        <v>293000</v>
      </c>
      <c r="G75" s="9">
        <f t="shared" ref="G75:G77" si="5">IFERROR(E75*F75,0)</f>
        <v>662179.99999999988</v>
      </c>
      <c r="H75" s="10"/>
      <c r="I75" s="1" t="s">
        <v>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75">
      <c r="A76" s="5">
        <v>2</v>
      </c>
      <c r="B76" s="16" t="s">
        <v>40</v>
      </c>
      <c r="C76" s="17" t="s">
        <v>41</v>
      </c>
      <c r="D76" s="16" t="s">
        <v>14</v>
      </c>
      <c r="E76" s="16">
        <v>1.1499999999999999</v>
      </c>
      <c r="F76" s="11">
        <v>435000</v>
      </c>
      <c r="G76" s="9">
        <f t="shared" si="5"/>
        <v>500249.99999999994</v>
      </c>
      <c r="H76" s="10"/>
      <c r="I76" s="1" t="s">
        <v>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75">
      <c r="A77" s="5">
        <v>3</v>
      </c>
      <c r="B77" s="12" t="s">
        <v>15</v>
      </c>
      <c r="C77" s="10"/>
      <c r="D77" s="10"/>
      <c r="E77" s="10"/>
      <c r="F77" s="10"/>
      <c r="G77" s="13">
        <f t="shared" si="5"/>
        <v>0</v>
      </c>
      <c r="H77" s="10"/>
      <c r="I77" s="1" t="s"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75">
      <c r="A78" s="39" t="s">
        <v>16</v>
      </c>
      <c r="B78" s="40"/>
      <c r="C78" s="40"/>
      <c r="D78" s="40"/>
      <c r="E78" s="40"/>
      <c r="F78" s="40"/>
      <c r="G78" s="41"/>
      <c r="H78" s="14">
        <f>SUM(G75:G77)</f>
        <v>1162429.9999999998</v>
      </c>
      <c r="I78" s="1" t="s">
        <v>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75">
      <c r="A79" s="39" t="s">
        <v>17</v>
      </c>
      <c r="B79" s="40"/>
      <c r="C79" s="40"/>
      <c r="D79" s="40"/>
      <c r="E79" s="40"/>
      <c r="F79" s="40"/>
      <c r="G79" s="41"/>
      <c r="H79" s="14">
        <f>MAX(0,H78-648000)</f>
        <v>514429.99999999977</v>
      </c>
      <c r="I79" s="1" t="s"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75">
      <c r="A80" s="42" t="s">
        <v>18</v>
      </c>
      <c r="B80" s="40"/>
      <c r="C80" s="40"/>
      <c r="D80" s="40"/>
      <c r="E80" s="40"/>
      <c r="F80" s="40"/>
      <c r="G80" s="41"/>
      <c r="H80" s="15">
        <v>649000</v>
      </c>
      <c r="I80" s="1" t="s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75">
      <c r="A81" s="43" t="s">
        <v>19</v>
      </c>
      <c r="B81" s="40"/>
      <c r="C81" s="40"/>
      <c r="D81" s="40"/>
      <c r="E81" s="40"/>
      <c r="F81" s="40"/>
      <c r="G81" s="40"/>
      <c r="H81" s="41"/>
      <c r="I81" s="1" t="s">
        <v>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5">
      <c r="I82" s="1" t="s">
        <v>1</v>
      </c>
    </row>
    <row r="83" spans="1:26" ht="15.75" customHeight="1" x14ac:dyDescent="0.45">
      <c r="I83" s="1" t="s">
        <v>1</v>
      </c>
    </row>
    <row r="84" spans="1:26" ht="15.75" customHeight="1" x14ac:dyDescent="0.45">
      <c r="I84" s="1" t="s">
        <v>1</v>
      </c>
    </row>
    <row r="85" spans="1:26" ht="15.75" customHeight="1" x14ac:dyDescent="0.45">
      <c r="I85" s="1" t="s">
        <v>1</v>
      </c>
    </row>
    <row r="86" spans="1:26" ht="15.75" customHeight="1" x14ac:dyDescent="0.45">
      <c r="I86" s="1" t="s">
        <v>1</v>
      </c>
    </row>
    <row r="87" spans="1:26" ht="15.75" customHeight="1" x14ac:dyDescent="0.45">
      <c r="I87" s="1" t="s">
        <v>1</v>
      </c>
    </row>
    <row r="88" spans="1:26" ht="15.75" customHeight="1" x14ac:dyDescent="0.45">
      <c r="I88" s="1" t="s">
        <v>1</v>
      </c>
    </row>
    <row r="89" spans="1:26" ht="15.75" customHeight="1" x14ac:dyDescent="0.45">
      <c r="I89" s="1" t="s">
        <v>1</v>
      </c>
    </row>
    <row r="90" spans="1:26" ht="15.75" customHeight="1" x14ac:dyDescent="0.75">
      <c r="A90" s="43" t="s">
        <v>0</v>
      </c>
      <c r="B90" s="40"/>
      <c r="C90" s="40"/>
      <c r="D90" s="40"/>
      <c r="E90" s="40"/>
      <c r="F90" s="40"/>
      <c r="G90" s="40"/>
      <c r="H90" s="41"/>
      <c r="I90" s="1" t="s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75">
      <c r="A91" s="43" t="s">
        <v>42</v>
      </c>
      <c r="B91" s="40"/>
      <c r="C91" s="40"/>
      <c r="D91" s="40"/>
      <c r="E91" s="40"/>
      <c r="F91" s="40"/>
      <c r="G91" s="40"/>
      <c r="H91" s="41"/>
      <c r="I91" s="1" t="s">
        <v>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5000000000000004">
      <c r="A92" s="2" t="s">
        <v>3</v>
      </c>
      <c r="B92" s="2" t="s">
        <v>4</v>
      </c>
      <c r="C92" s="2" t="s">
        <v>5</v>
      </c>
      <c r="D92" s="2" t="s">
        <v>6</v>
      </c>
      <c r="E92" s="2" t="s">
        <v>7</v>
      </c>
      <c r="F92" s="3" t="s">
        <v>8</v>
      </c>
      <c r="G92" s="2" t="s">
        <v>9</v>
      </c>
      <c r="H92" s="4"/>
      <c r="I92" s="1" t="s">
        <v>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75">
      <c r="A93" s="5">
        <v>1</v>
      </c>
      <c r="B93" s="6" t="s">
        <v>43</v>
      </c>
      <c r="C93" s="7">
        <v>2823</v>
      </c>
      <c r="D93" s="6" t="s">
        <v>44</v>
      </c>
      <c r="E93" s="6">
        <v>1.4</v>
      </c>
      <c r="F93" s="8">
        <v>293000</v>
      </c>
      <c r="G93" s="9">
        <f t="shared" ref="G93:G95" si="6">IFERROR(E93*F93,0)</f>
        <v>410200</v>
      </c>
      <c r="H93" s="10"/>
      <c r="I93" s="1" t="s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75">
      <c r="A94" s="5">
        <v>2</v>
      </c>
      <c r="B94" s="16" t="s">
        <v>21</v>
      </c>
      <c r="C94" s="17">
        <v>2004</v>
      </c>
      <c r="D94" s="16" t="s">
        <v>45</v>
      </c>
      <c r="E94" s="16">
        <v>2</v>
      </c>
      <c r="F94" s="11">
        <v>435000</v>
      </c>
      <c r="G94" s="9">
        <f t="shared" si="6"/>
        <v>870000</v>
      </c>
      <c r="H94" s="10"/>
      <c r="I94" s="1" t="s">
        <v>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75">
      <c r="A95" s="5">
        <v>3</v>
      </c>
      <c r="B95" s="12" t="s">
        <v>15</v>
      </c>
      <c r="C95" s="10"/>
      <c r="D95" s="10"/>
      <c r="E95" s="10"/>
      <c r="F95" s="10"/>
      <c r="G95" s="13">
        <f t="shared" si="6"/>
        <v>0</v>
      </c>
      <c r="H95" s="10"/>
      <c r="I95" s="1" t="s">
        <v>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75">
      <c r="A96" s="39" t="s">
        <v>16</v>
      </c>
      <c r="B96" s="40"/>
      <c r="C96" s="40"/>
      <c r="D96" s="40"/>
      <c r="E96" s="40"/>
      <c r="F96" s="40"/>
      <c r="G96" s="41"/>
      <c r="H96" s="14">
        <f>SUM(G93:G95)</f>
        <v>1280200</v>
      </c>
      <c r="I96" s="1" t="s">
        <v>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75">
      <c r="A97" s="39" t="s">
        <v>17</v>
      </c>
      <c r="B97" s="40"/>
      <c r="C97" s="40"/>
      <c r="D97" s="40"/>
      <c r="E97" s="40"/>
      <c r="F97" s="40"/>
      <c r="G97" s="41"/>
      <c r="H97" s="14">
        <f>MAX(0,H96-648000)</f>
        <v>632200</v>
      </c>
      <c r="I97" s="1" t="s">
        <v>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75">
      <c r="A98" s="42" t="s">
        <v>18</v>
      </c>
      <c r="B98" s="40"/>
      <c r="C98" s="40"/>
      <c r="D98" s="40"/>
      <c r="E98" s="40"/>
      <c r="F98" s="40"/>
      <c r="G98" s="41"/>
      <c r="H98" s="15">
        <v>649000</v>
      </c>
      <c r="I98" s="1" t="s">
        <v>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75">
      <c r="A99" s="43" t="s">
        <v>19</v>
      </c>
      <c r="B99" s="40"/>
      <c r="C99" s="40"/>
      <c r="D99" s="40"/>
      <c r="E99" s="40"/>
      <c r="F99" s="40"/>
      <c r="G99" s="40"/>
      <c r="H99" s="41"/>
      <c r="I99" s="1" t="s">
        <v>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5">
      <c r="I100" s="1" t="s">
        <v>1</v>
      </c>
    </row>
    <row r="101" spans="1:26" ht="15.75" customHeight="1" x14ac:dyDescent="0.45">
      <c r="I101" s="1" t="s">
        <v>1</v>
      </c>
    </row>
    <row r="102" spans="1:26" ht="15.75" customHeight="1" x14ac:dyDescent="0.45">
      <c r="I102" s="1" t="s">
        <v>1</v>
      </c>
    </row>
    <row r="103" spans="1:26" ht="15.75" customHeight="1" x14ac:dyDescent="0.45">
      <c r="I103" s="1" t="s">
        <v>1</v>
      </c>
    </row>
    <row r="104" spans="1:26" ht="15.75" customHeight="1" x14ac:dyDescent="0.75">
      <c r="A104" s="43" t="s">
        <v>0</v>
      </c>
      <c r="B104" s="40"/>
      <c r="C104" s="40"/>
      <c r="D104" s="40"/>
      <c r="E104" s="40"/>
      <c r="F104" s="40"/>
      <c r="G104" s="40"/>
      <c r="H104" s="41"/>
      <c r="I104" s="1" t="s">
        <v>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75">
      <c r="A105" s="43" t="s">
        <v>46</v>
      </c>
      <c r="B105" s="40"/>
      <c r="C105" s="40"/>
      <c r="D105" s="40"/>
      <c r="E105" s="40"/>
      <c r="F105" s="40"/>
      <c r="G105" s="40"/>
      <c r="H105" s="41"/>
      <c r="I105" s="1" t="s">
        <v>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5000000000000004">
      <c r="A106" s="2" t="s">
        <v>3</v>
      </c>
      <c r="B106" s="2" t="s">
        <v>4</v>
      </c>
      <c r="C106" s="2" t="s">
        <v>5</v>
      </c>
      <c r="D106" s="2" t="s">
        <v>6</v>
      </c>
      <c r="E106" s="2" t="s">
        <v>7</v>
      </c>
      <c r="F106" s="3" t="s">
        <v>8</v>
      </c>
      <c r="G106" s="2" t="s">
        <v>9</v>
      </c>
      <c r="H106" s="4"/>
      <c r="I106" s="1" t="s">
        <v>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75">
      <c r="A107" s="5">
        <v>1</v>
      </c>
      <c r="B107" s="6" t="s">
        <v>38</v>
      </c>
      <c r="C107" s="7">
        <v>1727</v>
      </c>
      <c r="D107" s="6" t="s">
        <v>44</v>
      </c>
      <c r="E107" s="6">
        <v>1.5</v>
      </c>
      <c r="F107" s="8">
        <v>293000</v>
      </c>
      <c r="G107" s="9">
        <f t="shared" ref="G107:G109" si="7">IFERROR(E107*F107,0)</f>
        <v>439500</v>
      </c>
      <c r="H107" s="10"/>
      <c r="I107" s="1" t="s">
        <v>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75">
      <c r="A108" s="5">
        <v>2</v>
      </c>
      <c r="B108" s="16" t="s">
        <v>47</v>
      </c>
      <c r="C108" s="17">
        <v>1756</v>
      </c>
      <c r="D108" s="16" t="s">
        <v>14</v>
      </c>
      <c r="E108" s="16">
        <v>2</v>
      </c>
      <c r="F108" s="11">
        <v>435000</v>
      </c>
      <c r="G108" s="9">
        <f t="shared" si="7"/>
        <v>870000</v>
      </c>
      <c r="H108" s="10"/>
      <c r="I108" s="1" t="s">
        <v>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75">
      <c r="A109" s="5">
        <v>3</v>
      </c>
      <c r="B109" s="12" t="s">
        <v>15</v>
      </c>
      <c r="C109" s="10"/>
      <c r="D109" s="10"/>
      <c r="E109" s="10"/>
      <c r="F109" s="10"/>
      <c r="G109" s="13">
        <f t="shared" si="7"/>
        <v>0</v>
      </c>
      <c r="H109" s="10"/>
      <c r="I109" s="1" t="s">
        <v>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75">
      <c r="A110" s="39" t="s">
        <v>16</v>
      </c>
      <c r="B110" s="40"/>
      <c r="C110" s="40"/>
      <c r="D110" s="40"/>
      <c r="E110" s="40"/>
      <c r="F110" s="40"/>
      <c r="G110" s="41"/>
      <c r="H110" s="14">
        <f>SUM(G107:G109)</f>
        <v>1309500</v>
      </c>
      <c r="I110" s="1" t="s">
        <v>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75">
      <c r="A111" s="39" t="s">
        <v>17</v>
      </c>
      <c r="B111" s="40"/>
      <c r="C111" s="40"/>
      <c r="D111" s="40"/>
      <c r="E111" s="40"/>
      <c r="F111" s="40"/>
      <c r="G111" s="41"/>
      <c r="H111" s="14">
        <f>MAX(0,H110-648000)</f>
        <v>661500</v>
      </c>
      <c r="I111" s="1" t="s">
        <v>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75">
      <c r="A112" s="42" t="s">
        <v>18</v>
      </c>
      <c r="B112" s="40"/>
      <c r="C112" s="40"/>
      <c r="D112" s="40"/>
      <c r="E112" s="40"/>
      <c r="F112" s="40"/>
      <c r="G112" s="41"/>
      <c r="H112" s="15">
        <v>649000</v>
      </c>
      <c r="I112" s="1" t="s">
        <v>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75">
      <c r="A113" s="43" t="s">
        <v>19</v>
      </c>
      <c r="B113" s="40"/>
      <c r="C113" s="40"/>
      <c r="D113" s="40"/>
      <c r="E113" s="40"/>
      <c r="F113" s="40"/>
      <c r="G113" s="40"/>
      <c r="H113" s="41"/>
      <c r="I113" s="1" t="s">
        <v>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5">
      <c r="I114" s="1" t="s">
        <v>1</v>
      </c>
    </row>
    <row r="115" spans="1:26" ht="15.75" customHeight="1" x14ac:dyDescent="0.45">
      <c r="I115" s="1" t="s">
        <v>1</v>
      </c>
    </row>
    <row r="116" spans="1:26" ht="15.75" customHeight="1" x14ac:dyDescent="0.45">
      <c r="I116" s="1" t="s">
        <v>1</v>
      </c>
    </row>
    <row r="117" spans="1:26" ht="15.75" customHeight="1" x14ac:dyDescent="0.45">
      <c r="I117" s="1" t="s">
        <v>1</v>
      </c>
    </row>
    <row r="118" spans="1:26" ht="15.75" customHeight="1" x14ac:dyDescent="0.75">
      <c r="A118" s="43" t="s">
        <v>0</v>
      </c>
      <c r="B118" s="40"/>
      <c r="C118" s="40"/>
      <c r="D118" s="40"/>
      <c r="E118" s="40"/>
      <c r="F118" s="40"/>
      <c r="G118" s="40"/>
      <c r="H118" s="41"/>
      <c r="I118" s="1" t="s">
        <v>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75">
      <c r="A119" s="43" t="s">
        <v>48</v>
      </c>
      <c r="B119" s="40"/>
      <c r="C119" s="40"/>
      <c r="D119" s="40"/>
      <c r="E119" s="40"/>
      <c r="F119" s="40"/>
      <c r="G119" s="40"/>
      <c r="H119" s="41"/>
      <c r="I119" s="1" t="s">
        <v>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5000000000000004">
      <c r="A120" s="2" t="s">
        <v>3</v>
      </c>
      <c r="B120" s="2" t="s">
        <v>4</v>
      </c>
      <c r="C120" s="2" t="s">
        <v>5</v>
      </c>
      <c r="D120" s="2" t="s">
        <v>6</v>
      </c>
      <c r="E120" s="2" t="s">
        <v>7</v>
      </c>
      <c r="F120" s="3" t="s">
        <v>8</v>
      </c>
      <c r="G120" s="2" t="s">
        <v>9</v>
      </c>
      <c r="H120" s="4"/>
      <c r="I120" s="1" t="s">
        <v>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75">
      <c r="A121" s="5">
        <v>1</v>
      </c>
      <c r="B121" s="6" t="s">
        <v>38</v>
      </c>
      <c r="C121" s="7">
        <v>1205</v>
      </c>
      <c r="D121" s="6" t="s">
        <v>44</v>
      </c>
      <c r="E121" s="6">
        <v>2</v>
      </c>
      <c r="F121" s="8">
        <v>293000</v>
      </c>
      <c r="G121" s="9">
        <f t="shared" ref="G121:G123" si="8">IFERROR(E121*F121,0)</f>
        <v>586000</v>
      </c>
      <c r="H121" s="10"/>
      <c r="I121" s="1" t="s">
        <v>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75">
      <c r="A122" s="5">
        <v>2</v>
      </c>
      <c r="B122" s="16" t="s">
        <v>49</v>
      </c>
      <c r="C122" s="17">
        <v>2720</v>
      </c>
      <c r="D122" s="16" t="s">
        <v>14</v>
      </c>
      <c r="E122" s="16">
        <v>1.48</v>
      </c>
      <c r="F122" s="11">
        <v>435000</v>
      </c>
      <c r="G122" s="9">
        <f t="shared" si="8"/>
        <v>643800</v>
      </c>
      <c r="H122" s="10"/>
      <c r="I122" s="1" t="s">
        <v>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75">
      <c r="A123" s="5">
        <v>3</v>
      </c>
      <c r="B123" s="12" t="s">
        <v>15</v>
      </c>
      <c r="C123" s="10"/>
      <c r="D123" s="10"/>
      <c r="E123" s="10"/>
      <c r="F123" s="10"/>
      <c r="G123" s="13">
        <f t="shared" si="8"/>
        <v>0</v>
      </c>
      <c r="H123" s="10"/>
      <c r="I123" s="1" t="s">
        <v>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75">
      <c r="A124" s="39" t="s">
        <v>16</v>
      </c>
      <c r="B124" s="40"/>
      <c r="C124" s="40"/>
      <c r="D124" s="40"/>
      <c r="E124" s="40"/>
      <c r="F124" s="40"/>
      <c r="G124" s="41"/>
      <c r="H124" s="14">
        <f>SUM(G121:G123)</f>
        <v>1229800</v>
      </c>
      <c r="I124" s="1" t="s">
        <v>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75">
      <c r="A125" s="39" t="s">
        <v>17</v>
      </c>
      <c r="B125" s="40"/>
      <c r="C125" s="40"/>
      <c r="D125" s="40"/>
      <c r="E125" s="40"/>
      <c r="F125" s="40"/>
      <c r="G125" s="41"/>
      <c r="H125" s="14">
        <f>MAX(0,H124-648000)</f>
        <v>581800</v>
      </c>
      <c r="I125" s="1" t="s">
        <v>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75">
      <c r="A126" s="42" t="s">
        <v>18</v>
      </c>
      <c r="B126" s="40"/>
      <c r="C126" s="40"/>
      <c r="D126" s="40"/>
      <c r="E126" s="40"/>
      <c r="F126" s="40"/>
      <c r="G126" s="41"/>
      <c r="H126" s="15">
        <v>649000</v>
      </c>
      <c r="I126" s="1" t="s">
        <v>1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75">
      <c r="A127" s="43" t="s">
        <v>19</v>
      </c>
      <c r="B127" s="40"/>
      <c r="C127" s="40"/>
      <c r="D127" s="40"/>
      <c r="E127" s="40"/>
      <c r="F127" s="40"/>
      <c r="G127" s="40"/>
      <c r="H127" s="41"/>
      <c r="I127" s="1" t="s">
        <v>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5">
      <c r="I128" s="1" t="s">
        <v>1</v>
      </c>
    </row>
    <row r="129" spans="1:26" ht="15.75" customHeight="1" x14ac:dyDescent="0.45">
      <c r="I129" s="1" t="s">
        <v>1</v>
      </c>
    </row>
    <row r="130" spans="1:26" ht="15.75" customHeight="1" x14ac:dyDescent="0.45">
      <c r="I130" s="1" t="s">
        <v>1</v>
      </c>
    </row>
    <row r="131" spans="1:26" ht="15.75" customHeight="1" x14ac:dyDescent="0.45">
      <c r="I131" s="1" t="s">
        <v>1</v>
      </c>
    </row>
    <row r="132" spans="1:26" ht="15.75" customHeight="1" x14ac:dyDescent="0.45">
      <c r="I132" s="1" t="s">
        <v>1</v>
      </c>
    </row>
    <row r="133" spans="1:26" ht="15.75" customHeight="1" x14ac:dyDescent="0.75">
      <c r="A133" s="43" t="s">
        <v>0</v>
      </c>
      <c r="B133" s="40"/>
      <c r="C133" s="40"/>
      <c r="D133" s="40"/>
      <c r="E133" s="40"/>
      <c r="F133" s="40"/>
      <c r="G133" s="40"/>
      <c r="H133" s="41"/>
      <c r="I133" s="1" t="s">
        <v>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75">
      <c r="A134" s="43" t="s">
        <v>50</v>
      </c>
      <c r="B134" s="40"/>
      <c r="C134" s="40"/>
      <c r="D134" s="40"/>
      <c r="E134" s="40"/>
      <c r="F134" s="40"/>
      <c r="G134" s="40"/>
      <c r="H134" s="41"/>
      <c r="I134" s="1" t="s">
        <v>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5000000000000004">
      <c r="A135" s="2" t="s">
        <v>3</v>
      </c>
      <c r="B135" s="2" t="s">
        <v>4</v>
      </c>
      <c r="C135" s="2" t="s">
        <v>5</v>
      </c>
      <c r="D135" s="2" t="s">
        <v>6</v>
      </c>
      <c r="E135" s="2" t="s">
        <v>7</v>
      </c>
      <c r="F135" s="3" t="s">
        <v>8</v>
      </c>
      <c r="G135" s="2" t="s">
        <v>9</v>
      </c>
      <c r="H135" s="4"/>
      <c r="I135" s="1" t="s">
        <v>1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75">
      <c r="A136" s="5">
        <v>1</v>
      </c>
      <c r="B136" s="6" t="s">
        <v>51</v>
      </c>
      <c r="C136" s="7" t="s">
        <v>52</v>
      </c>
      <c r="D136" s="6" t="s">
        <v>12</v>
      </c>
      <c r="E136" s="6">
        <v>1.5</v>
      </c>
      <c r="F136" s="8">
        <v>293000</v>
      </c>
      <c r="G136" s="9">
        <f t="shared" ref="G136:G138" si="9">IFERROR(E136*F136,0)</f>
        <v>439500</v>
      </c>
      <c r="H136" s="10"/>
      <c r="I136" s="1" t="s">
        <v>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75">
      <c r="A137" s="5">
        <v>2</v>
      </c>
      <c r="B137" s="16" t="s">
        <v>53</v>
      </c>
      <c r="C137" s="17" t="s">
        <v>54</v>
      </c>
      <c r="D137" s="16" t="s">
        <v>14</v>
      </c>
      <c r="E137" s="16">
        <v>2</v>
      </c>
      <c r="F137" s="11">
        <v>435000</v>
      </c>
      <c r="G137" s="9">
        <f t="shared" si="9"/>
        <v>870000</v>
      </c>
      <c r="H137" s="10"/>
      <c r="I137" s="1" t="s">
        <v>1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75">
      <c r="A138" s="5">
        <v>3</v>
      </c>
      <c r="B138" s="12" t="s">
        <v>15</v>
      </c>
      <c r="C138" s="10"/>
      <c r="D138" s="10"/>
      <c r="E138" s="10"/>
      <c r="F138" s="10"/>
      <c r="G138" s="13">
        <f t="shared" si="9"/>
        <v>0</v>
      </c>
      <c r="H138" s="10"/>
      <c r="I138" s="1" t="s">
        <v>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75">
      <c r="A139" s="39" t="s">
        <v>16</v>
      </c>
      <c r="B139" s="40"/>
      <c r="C139" s="40"/>
      <c r="D139" s="40"/>
      <c r="E139" s="40"/>
      <c r="F139" s="40"/>
      <c r="G139" s="41"/>
      <c r="H139" s="14">
        <f>SUM(G136:G138)</f>
        <v>1309500</v>
      </c>
      <c r="I139" s="1" t="s">
        <v>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75">
      <c r="A140" s="39" t="s">
        <v>17</v>
      </c>
      <c r="B140" s="40"/>
      <c r="C140" s="40"/>
      <c r="D140" s="40"/>
      <c r="E140" s="40"/>
      <c r="F140" s="40"/>
      <c r="G140" s="41"/>
      <c r="H140" s="14">
        <f>MAX(0,H139-648000)</f>
        <v>661500</v>
      </c>
      <c r="I140" s="1" t="s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75">
      <c r="A141" s="42" t="s">
        <v>18</v>
      </c>
      <c r="B141" s="40"/>
      <c r="C141" s="40"/>
      <c r="D141" s="40"/>
      <c r="E141" s="40"/>
      <c r="F141" s="40"/>
      <c r="G141" s="41"/>
      <c r="H141" s="15">
        <v>649000</v>
      </c>
      <c r="I141" s="1" t="s">
        <v>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75">
      <c r="A142" s="43" t="s">
        <v>19</v>
      </c>
      <c r="B142" s="40"/>
      <c r="C142" s="40"/>
      <c r="D142" s="40"/>
      <c r="E142" s="40"/>
      <c r="F142" s="40"/>
      <c r="G142" s="40"/>
      <c r="H142" s="41"/>
      <c r="I142" s="1" t="s">
        <v>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5">
      <c r="I143" s="1" t="s">
        <v>1</v>
      </c>
    </row>
    <row r="144" spans="1:26" ht="15.75" customHeight="1" x14ac:dyDescent="0.45">
      <c r="I144" s="1" t="s">
        <v>1</v>
      </c>
    </row>
    <row r="145" spans="1:26" ht="15.75" customHeight="1" x14ac:dyDescent="0.45">
      <c r="I145" s="1" t="s">
        <v>1</v>
      </c>
    </row>
    <row r="146" spans="1:26" ht="15.75" customHeight="1" x14ac:dyDescent="0.45">
      <c r="I146" s="1" t="s">
        <v>1</v>
      </c>
    </row>
    <row r="147" spans="1:26" ht="15.75" customHeight="1" x14ac:dyDescent="0.75">
      <c r="A147" s="43" t="s">
        <v>0</v>
      </c>
      <c r="B147" s="40"/>
      <c r="C147" s="40"/>
      <c r="D147" s="40"/>
      <c r="E147" s="40"/>
      <c r="F147" s="40"/>
      <c r="G147" s="40"/>
      <c r="H147" s="41"/>
      <c r="I147" s="1" t="s">
        <v>1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75">
      <c r="A148" s="43" t="s">
        <v>55</v>
      </c>
      <c r="B148" s="40"/>
      <c r="C148" s="40"/>
      <c r="D148" s="40"/>
      <c r="E148" s="40"/>
      <c r="F148" s="40"/>
      <c r="G148" s="40"/>
      <c r="H148" s="41"/>
      <c r="I148" s="1" t="s">
        <v>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5000000000000004">
      <c r="A149" s="2" t="s">
        <v>3</v>
      </c>
      <c r="B149" s="2" t="s">
        <v>4</v>
      </c>
      <c r="C149" s="2" t="s">
        <v>5</v>
      </c>
      <c r="D149" s="2" t="s">
        <v>6</v>
      </c>
      <c r="E149" s="2" t="s">
        <v>7</v>
      </c>
      <c r="F149" s="3" t="s">
        <v>8</v>
      </c>
      <c r="G149" s="2" t="s">
        <v>9</v>
      </c>
      <c r="H149" s="4"/>
      <c r="I149" s="1" t="s">
        <v>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75">
      <c r="A150" s="5">
        <v>1</v>
      </c>
      <c r="B150" s="6" t="s">
        <v>56</v>
      </c>
      <c r="C150" s="7">
        <v>1241</v>
      </c>
      <c r="D150" s="6" t="s">
        <v>12</v>
      </c>
      <c r="E150" s="6">
        <v>1.5</v>
      </c>
      <c r="F150" s="8">
        <v>293000</v>
      </c>
      <c r="G150" s="9">
        <f t="shared" ref="G150:G152" si="10">IFERROR(E150*F150,0)</f>
        <v>439500</v>
      </c>
      <c r="H150" s="10"/>
      <c r="I150" s="1" t="s">
        <v>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75">
      <c r="A151" s="5">
        <v>2</v>
      </c>
      <c r="B151" s="16" t="s">
        <v>57</v>
      </c>
      <c r="C151" s="17" t="s">
        <v>58</v>
      </c>
      <c r="D151" s="16" t="s">
        <v>14</v>
      </c>
      <c r="E151" s="16">
        <v>2.2000000000000002</v>
      </c>
      <c r="F151" s="11">
        <v>435000</v>
      </c>
      <c r="G151" s="9">
        <f t="shared" si="10"/>
        <v>957000.00000000012</v>
      </c>
      <c r="H151" s="10"/>
      <c r="I151" s="1" t="s">
        <v>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75">
      <c r="A152" s="5">
        <v>3</v>
      </c>
      <c r="B152" s="12" t="s">
        <v>15</v>
      </c>
      <c r="C152" s="10"/>
      <c r="D152" s="10"/>
      <c r="E152" s="10"/>
      <c r="F152" s="10"/>
      <c r="G152" s="13">
        <f t="shared" si="10"/>
        <v>0</v>
      </c>
      <c r="H152" s="10"/>
      <c r="I152" s="1" t="s">
        <v>1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75">
      <c r="A153" s="39" t="s">
        <v>16</v>
      </c>
      <c r="B153" s="40"/>
      <c r="C153" s="40"/>
      <c r="D153" s="40"/>
      <c r="E153" s="40"/>
      <c r="F153" s="40"/>
      <c r="G153" s="41"/>
      <c r="H153" s="14">
        <f>SUM(G150:G152)</f>
        <v>1396500</v>
      </c>
      <c r="I153" s="1" t="s">
        <v>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75">
      <c r="A154" s="39" t="s">
        <v>17</v>
      </c>
      <c r="B154" s="40"/>
      <c r="C154" s="40"/>
      <c r="D154" s="40"/>
      <c r="E154" s="40"/>
      <c r="F154" s="40"/>
      <c r="G154" s="41"/>
      <c r="H154" s="14">
        <f>MAX(0,H153-648000)</f>
        <v>748500</v>
      </c>
      <c r="I154" s="1" t="s">
        <v>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75">
      <c r="A155" s="42" t="s">
        <v>18</v>
      </c>
      <c r="B155" s="40"/>
      <c r="C155" s="40"/>
      <c r="D155" s="40"/>
      <c r="E155" s="40"/>
      <c r="F155" s="40"/>
      <c r="G155" s="41"/>
      <c r="H155" s="15">
        <v>649000</v>
      </c>
      <c r="I155" s="1" t="s">
        <v>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75">
      <c r="A156" s="43" t="s">
        <v>19</v>
      </c>
      <c r="B156" s="40"/>
      <c r="C156" s="40"/>
      <c r="D156" s="40"/>
      <c r="E156" s="40"/>
      <c r="F156" s="40"/>
      <c r="G156" s="40"/>
      <c r="H156" s="41"/>
      <c r="I156" s="1" t="s">
        <v>1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5">
      <c r="I157" s="1" t="s">
        <v>1</v>
      </c>
    </row>
    <row r="158" spans="1:26" ht="15.75" customHeight="1" x14ac:dyDescent="0.45">
      <c r="I158" s="1" t="s">
        <v>1</v>
      </c>
    </row>
    <row r="159" spans="1:26" ht="15.75" customHeight="1" x14ac:dyDescent="0.45">
      <c r="I159" s="1" t="s">
        <v>1</v>
      </c>
    </row>
    <row r="160" spans="1:26" ht="15.75" customHeight="1" x14ac:dyDescent="0.45">
      <c r="I160" s="1" t="s">
        <v>1</v>
      </c>
    </row>
    <row r="161" spans="1:26" ht="15.75" customHeight="1" x14ac:dyDescent="0.75">
      <c r="A161" s="43" t="s">
        <v>0</v>
      </c>
      <c r="B161" s="40"/>
      <c r="C161" s="40"/>
      <c r="D161" s="40"/>
      <c r="E161" s="40"/>
      <c r="F161" s="40"/>
      <c r="G161" s="40"/>
      <c r="H161" s="41"/>
      <c r="I161" s="1" t="s">
        <v>1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75">
      <c r="A162" s="43" t="s">
        <v>59</v>
      </c>
      <c r="B162" s="40"/>
      <c r="C162" s="40"/>
      <c r="D162" s="40"/>
      <c r="E162" s="40"/>
      <c r="F162" s="40"/>
      <c r="G162" s="40"/>
      <c r="H162" s="41"/>
      <c r="I162" s="1" t="s">
        <v>1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5000000000000004">
      <c r="A163" s="2" t="s">
        <v>3</v>
      </c>
      <c r="B163" s="2" t="s">
        <v>4</v>
      </c>
      <c r="C163" s="2" t="s">
        <v>5</v>
      </c>
      <c r="D163" s="2" t="s">
        <v>6</v>
      </c>
      <c r="E163" s="2" t="s">
        <v>7</v>
      </c>
      <c r="F163" s="3" t="s">
        <v>8</v>
      </c>
      <c r="G163" s="2" t="s">
        <v>9</v>
      </c>
      <c r="H163" s="4"/>
      <c r="I163" s="1" t="s">
        <v>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75">
      <c r="A164" s="5">
        <v>1</v>
      </c>
      <c r="B164" s="6" t="s">
        <v>60</v>
      </c>
      <c r="C164" s="7" t="s">
        <v>61</v>
      </c>
      <c r="D164" s="6" t="s">
        <v>12</v>
      </c>
      <c r="E164" s="6">
        <v>2.5</v>
      </c>
      <c r="F164" s="8">
        <v>293000</v>
      </c>
      <c r="G164" s="9">
        <f t="shared" ref="G164:G166" si="11">IFERROR(E164*F164,0)</f>
        <v>732500</v>
      </c>
      <c r="H164" s="10"/>
      <c r="I164" s="1" t="s">
        <v>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75">
      <c r="A165" s="5">
        <v>2</v>
      </c>
      <c r="B165" s="16" t="s">
        <v>62</v>
      </c>
      <c r="C165" s="17">
        <v>2014</v>
      </c>
      <c r="D165" s="16" t="s">
        <v>14</v>
      </c>
      <c r="E165" s="16">
        <v>1</v>
      </c>
      <c r="F165" s="11">
        <v>435000</v>
      </c>
      <c r="G165" s="9">
        <f t="shared" si="11"/>
        <v>435000</v>
      </c>
      <c r="H165" s="10"/>
      <c r="I165" s="1" t="s">
        <v>1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75">
      <c r="A166" s="5">
        <v>3</v>
      </c>
      <c r="B166" s="12" t="s">
        <v>15</v>
      </c>
      <c r="C166" s="10"/>
      <c r="D166" s="10"/>
      <c r="E166" s="10"/>
      <c r="F166" s="10"/>
      <c r="G166" s="13">
        <f t="shared" si="11"/>
        <v>0</v>
      </c>
      <c r="H166" s="10"/>
      <c r="I166" s="1" t="s">
        <v>1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75">
      <c r="A167" s="39" t="s">
        <v>16</v>
      </c>
      <c r="B167" s="40"/>
      <c r="C167" s="40"/>
      <c r="D167" s="40"/>
      <c r="E167" s="40"/>
      <c r="F167" s="40"/>
      <c r="G167" s="41"/>
      <c r="H167" s="14">
        <f>SUM(G164:G166)</f>
        <v>1167500</v>
      </c>
      <c r="I167" s="1" t="s">
        <v>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75">
      <c r="A168" s="39" t="s">
        <v>17</v>
      </c>
      <c r="B168" s="40"/>
      <c r="C168" s="40"/>
      <c r="D168" s="40"/>
      <c r="E168" s="40"/>
      <c r="F168" s="40"/>
      <c r="G168" s="41"/>
      <c r="H168" s="14">
        <f>MAX(0,H167-648000)</f>
        <v>519500</v>
      </c>
      <c r="I168" s="1" t="s">
        <v>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75">
      <c r="A169" s="42" t="s">
        <v>18</v>
      </c>
      <c r="B169" s="40"/>
      <c r="C169" s="40"/>
      <c r="D169" s="40"/>
      <c r="E169" s="40"/>
      <c r="F169" s="40"/>
      <c r="G169" s="41"/>
      <c r="H169" s="15">
        <v>649000</v>
      </c>
      <c r="I169" s="1" t="s">
        <v>1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75">
      <c r="A170" s="43" t="s">
        <v>19</v>
      </c>
      <c r="B170" s="40"/>
      <c r="C170" s="40"/>
      <c r="D170" s="40"/>
      <c r="E170" s="40"/>
      <c r="F170" s="40"/>
      <c r="G170" s="40"/>
      <c r="H170" s="41"/>
      <c r="I170" s="1" t="s">
        <v>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5">
      <c r="I171" s="1" t="s">
        <v>1</v>
      </c>
    </row>
    <row r="172" spans="1:26" ht="15.75" customHeight="1" x14ac:dyDescent="0.45">
      <c r="I172" s="1" t="s">
        <v>1</v>
      </c>
    </row>
    <row r="173" spans="1:26" ht="15.75" customHeight="1" x14ac:dyDescent="0.45">
      <c r="I173" s="1" t="s">
        <v>1</v>
      </c>
    </row>
    <row r="174" spans="1:26" ht="15.75" customHeight="1" x14ac:dyDescent="0.45">
      <c r="I174" s="1" t="s">
        <v>1</v>
      </c>
    </row>
    <row r="175" spans="1:26" ht="15.75" customHeight="1" x14ac:dyDescent="0.45">
      <c r="I175" s="1" t="s">
        <v>1</v>
      </c>
    </row>
    <row r="176" spans="1:26" ht="15.75" customHeight="1" x14ac:dyDescent="0.45">
      <c r="I176" s="1" t="s">
        <v>1</v>
      </c>
    </row>
    <row r="177" spans="1:26" ht="15.75" customHeight="1" x14ac:dyDescent="0.75">
      <c r="A177" s="43" t="s">
        <v>0</v>
      </c>
      <c r="B177" s="40"/>
      <c r="C177" s="40"/>
      <c r="D177" s="40"/>
      <c r="E177" s="40"/>
      <c r="F177" s="40"/>
      <c r="G177" s="40"/>
      <c r="H177" s="41"/>
      <c r="I177" s="1" t="s">
        <v>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75">
      <c r="A178" s="43" t="s">
        <v>63</v>
      </c>
      <c r="B178" s="40"/>
      <c r="C178" s="40"/>
      <c r="D178" s="40"/>
      <c r="E178" s="40"/>
      <c r="F178" s="40"/>
      <c r="G178" s="40"/>
      <c r="H178" s="41"/>
      <c r="I178" s="1" t="s">
        <v>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5000000000000004">
      <c r="A179" s="2" t="s">
        <v>3</v>
      </c>
      <c r="B179" s="2" t="s">
        <v>4</v>
      </c>
      <c r="C179" s="2" t="s">
        <v>5</v>
      </c>
      <c r="D179" s="2" t="s">
        <v>6</v>
      </c>
      <c r="E179" s="2" t="s">
        <v>7</v>
      </c>
      <c r="F179" s="3" t="s">
        <v>8</v>
      </c>
      <c r="G179" s="2" t="s">
        <v>9</v>
      </c>
      <c r="H179" s="4"/>
      <c r="I179" s="1" t="s">
        <v>1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75">
      <c r="A180" s="5">
        <v>1</v>
      </c>
      <c r="B180" s="6" t="s">
        <v>64</v>
      </c>
      <c r="C180" s="7">
        <v>9559</v>
      </c>
      <c r="D180" s="6" t="s">
        <v>12</v>
      </c>
      <c r="E180" s="6">
        <v>2</v>
      </c>
      <c r="F180" s="8">
        <v>293000</v>
      </c>
      <c r="G180" s="9">
        <f t="shared" ref="G180:G182" si="12">IFERROR(E180*F180,0)</f>
        <v>586000</v>
      </c>
      <c r="H180" s="10"/>
      <c r="I180" s="1" t="s">
        <v>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75">
      <c r="A181" s="5">
        <v>2</v>
      </c>
      <c r="B181" s="6" t="s">
        <v>65</v>
      </c>
      <c r="C181" s="7">
        <v>1046</v>
      </c>
      <c r="D181" s="16" t="s">
        <v>66</v>
      </c>
      <c r="E181" s="16">
        <v>1.43</v>
      </c>
      <c r="F181" s="11">
        <v>435000</v>
      </c>
      <c r="G181" s="9">
        <f t="shared" si="12"/>
        <v>622050</v>
      </c>
      <c r="H181" s="10"/>
      <c r="I181" s="1" t="s">
        <v>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75">
      <c r="A182" s="5">
        <v>3</v>
      </c>
      <c r="B182" s="12" t="s">
        <v>15</v>
      </c>
      <c r="C182" s="10"/>
      <c r="D182" s="10"/>
      <c r="E182" s="10"/>
      <c r="F182" s="10"/>
      <c r="G182" s="13">
        <f t="shared" si="12"/>
        <v>0</v>
      </c>
      <c r="H182" s="10"/>
      <c r="I182" s="1" t="s">
        <v>1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75">
      <c r="A183" s="39" t="s">
        <v>16</v>
      </c>
      <c r="B183" s="40"/>
      <c r="C183" s="40"/>
      <c r="D183" s="40"/>
      <c r="E183" s="40"/>
      <c r="F183" s="40"/>
      <c r="G183" s="41"/>
      <c r="H183" s="14">
        <f>SUM(G180:G182)</f>
        <v>1208050</v>
      </c>
      <c r="I183" s="1" t="s">
        <v>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75">
      <c r="A184" s="39" t="s">
        <v>17</v>
      </c>
      <c r="B184" s="40"/>
      <c r="C184" s="40"/>
      <c r="D184" s="40"/>
      <c r="E184" s="40"/>
      <c r="F184" s="40"/>
      <c r="G184" s="41"/>
      <c r="H184" s="14">
        <f>MAX(0,H183-648000)</f>
        <v>560050</v>
      </c>
      <c r="I184" s="1" t="s">
        <v>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75">
      <c r="A185" s="42" t="s">
        <v>18</v>
      </c>
      <c r="B185" s="40"/>
      <c r="C185" s="40"/>
      <c r="D185" s="40"/>
      <c r="E185" s="40"/>
      <c r="F185" s="40"/>
      <c r="G185" s="41"/>
      <c r="H185" s="15">
        <v>649000</v>
      </c>
      <c r="I185" s="1" t="s">
        <v>1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75">
      <c r="A186" s="43" t="s">
        <v>19</v>
      </c>
      <c r="B186" s="40"/>
      <c r="C186" s="40"/>
      <c r="D186" s="40"/>
      <c r="E186" s="40"/>
      <c r="F186" s="40"/>
      <c r="G186" s="40"/>
      <c r="H186" s="41"/>
      <c r="I186" s="1" t="s">
        <v>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5">
      <c r="I187" s="1" t="s">
        <v>1</v>
      </c>
    </row>
    <row r="188" spans="1:26" ht="15.75" customHeight="1" x14ac:dyDescent="0.45">
      <c r="I188" s="1" t="s">
        <v>1</v>
      </c>
    </row>
    <row r="189" spans="1:26" ht="15.75" customHeight="1" x14ac:dyDescent="0.45">
      <c r="I189" s="1" t="s">
        <v>1</v>
      </c>
    </row>
    <row r="190" spans="1:26" ht="15.75" customHeight="1" x14ac:dyDescent="0.45">
      <c r="I190" s="1" t="s">
        <v>1</v>
      </c>
    </row>
    <row r="191" spans="1:26" ht="15.75" customHeight="1" x14ac:dyDescent="0.75">
      <c r="A191" s="43" t="s">
        <v>0</v>
      </c>
      <c r="B191" s="40"/>
      <c r="C191" s="40"/>
      <c r="D191" s="40"/>
      <c r="E191" s="40"/>
      <c r="F191" s="40"/>
      <c r="G191" s="40"/>
      <c r="H191" s="41"/>
      <c r="I191" s="1" t="s">
        <v>1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75">
      <c r="A192" s="43" t="s">
        <v>67</v>
      </c>
      <c r="B192" s="40"/>
      <c r="C192" s="40"/>
      <c r="D192" s="40"/>
      <c r="E192" s="40"/>
      <c r="F192" s="40"/>
      <c r="G192" s="40"/>
      <c r="H192" s="41"/>
      <c r="I192" s="1" t="s">
        <v>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5000000000000004">
      <c r="A193" s="2" t="s">
        <v>3</v>
      </c>
      <c r="B193" s="2" t="s">
        <v>4</v>
      </c>
      <c r="C193" s="2" t="s">
        <v>5</v>
      </c>
      <c r="D193" s="2" t="s">
        <v>6</v>
      </c>
      <c r="E193" s="2" t="s">
        <v>7</v>
      </c>
      <c r="F193" s="3" t="s">
        <v>8</v>
      </c>
      <c r="G193" s="2" t="s">
        <v>9</v>
      </c>
      <c r="H193" s="4"/>
      <c r="I193" s="1" t="s">
        <v>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75">
      <c r="A194" s="5">
        <v>1</v>
      </c>
      <c r="B194" s="6" t="s">
        <v>65</v>
      </c>
      <c r="C194" s="7">
        <v>5568</v>
      </c>
      <c r="D194" s="6" t="s">
        <v>12</v>
      </c>
      <c r="E194" s="6">
        <v>2</v>
      </c>
      <c r="F194" s="8">
        <v>293000</v>
      </c>
      <c r="G194" s="9">
        <f t="shared" ref="G194:G196" si="13">IFERROR(E194*F194,0)</f>
        <v>586000</v>
      </c>
      <c r="H194" s="10"/>
      <c r="I194" s="1" t="s">
        <v>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75">
      <c r="A195" s="5">
        <v>2</v>
      </c>
      <c r="B195" s="16" t="s">
        <v>68</v>
      </c>
      <c r="C195" s="17">
        <v>8874</v>
      </c>
      <c r="D195" s="16" t="s">
        <v>14</v>
      </c>
      <c r="E195" s="16">
        <v>2.4500000000000002</v>
      </c>
      <c r="F195" s="11">
        <v>435000</v>
      </c>
      <c r="G195" s="9">
        <f t="shared" si="13"/>
        <v>1065750</v>
      </c>
      <c r="H195" s="10"/>
      <c r="I195" s="1" t="s">
        <v>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75">
      <c r="A196" s="5">
        <v>3</v>
      </c>
      <c r="B196" s="12" t="s">
        <v>15</v>
      </c>
      <c r="C196" s="10"/>
      <c r="D196" s="10"/>
      <c r="E196" s="10"/>
      <c r="F196" s="10"/>
      <c r="G196" s="13">
        <f t="shared" si="13"/>
        <v>0</v>
      </c>
      <c r="H196" s="10"/>
      <c r="I196" s="1" t="s">
        <v>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75">
      <c r="A197" s="39" t="s">
        <v>16</v>
      </c>
      <c r="B197" s="40"/>
      <c r="C197" s="40"/>
      <c r="D197" s="40"/>
      <c r="E197" s="40"/>
      <c r="F197" s="40"/>
      <c r="G197" s="41"/>
      <c r="H197" s="14">
        <f>SUM(G194:G196)</f>
        <v>1651750</v>
      </c>
      <c r="I197" s="1" t="s">
        <v>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75">
      <c r="A198" s="39" t="s">
        <v>17</v>
      </c>
      <c r="B198" s="40"/>
      <c r="C198" s="40"/>
      <c r="D198" s="40"/>
      <c r="E198" s="40"/>
      <c r="F198" s="40"/>
      <c r="G198" s="41"/>
      <c r="H198" s="14">
        <f>MAX(0,H197-648000)</f>
        <v>1003750</v>
      </c>
      <c r="I198" s="1" t="s">
        <v>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75">
      <c r="A199" s="42" t="s">
        <v>18</v>
      </c>
      <c r="B199" s="40"/>
      <c r="C199" s="40"/>
      <c r="D199" s="40"/>
      <c r="E199" s="40"/>
      <c r="F199" s="40"/>
      <c r="G199" s="41"/>
      <c r="H199" s="15">
        <v>649000</v>
      </c>
      <c r="I199" s="1" t="s">
        <v>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75">
      <c r="A200" s="43" t="s">
        <v>19</v>
      </c>
      <c r="B200" s="40"/>
      <c r="C200" s="40"/>
      <c r="D200" s="40"/>
      <c r="E200" s="40"/>
      <c r="F200" s="40"/>
      <c r="G200" s="40"/>
      <c r="H200" s="41"/>
      <c r="I200" s="1" t="s">
        <v>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5">
      <c r="I201" s="1" t="s">
        <v>1</v>
      </c>
    </row>
    <row r="202" spans="1:26" ht="15.75" customHeight="1" x14ac:dyDescent="0.45">
      <c r="I202" s="1" t="s">
        <v>1</v>
      </c>
    </row>
    <row r="203" spans="1:26" ht="15.75" customHeight="1" x14ac:dyDescent="0.45">
      <c r="I203" s="1" t="s">
        <v>1</v>
      </c>
    </row>
    <row r="204" spans="1:26" ht="15.75" customHeight="1" x14ac:dyDescent="0.45">
      <c r="I204" s="1" t="s">
        <v>1</v>
      </c>
    </row>
    <row r="205" spans="1:26" ht="15.75" customHeight="1" x14ac:dyDescent="0.45">
      <c r="I205" s="1" t="s">
        <v>1</v>
      </c>
    </row>
    <row r="206" spans="1:26" ht="15.75" customHeight="1" x14ac:dyDescent="0.45">
      <c r="I206" s="1" t="s">
        <v>1</v>
      </c>
    </row>
    <row r="207" spans="1:26" ht="15.75" customHeight="1" x14ac:dyDescent="0.75">
      <c r="A207" s="43" t="s">
        <v>0</v>
      </c>
      <c r="B207" s="40"/>
      <c r="C207" s="40"/>
      <c r="D207" s="40"/>
      <c r="E207" s="40"/>
      <c r="F207" s="40"/>
      <c r="G207" s="40"/>
      <c r="H207" s="41"/>
      <c r="I207" s="1" t="s">
        <v>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75">
      <c r="A208" s="43" t="s">
        <v>69</v>
      </c>
      <c r="B208" s="40"/>
      <c r="C208" s="40"/>
      <c r="D208" s="40"/>
      <c r="E208" s="40"/>
      <c r="F208" s="40"/>
      <c r="G208" s="40"/>
      <c r="H208" s="41"/>
      <c r="I208" s="1" t="s">
        <v>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5000000000000004">
      <c r="A209" s="2" t="s">
        <v>3</v>
      </c>
      <c r="B209" s="2" t="s">
        <v>4</v>
      </c>
      <c r="C209" s="2" t="s">
        <v>5</v>
      </c>
      <c r="D209" s="2" t="s">
        <v>6</v>
      </c>
      <c r="E209" s="2" t="s">
        <v>7</v>
      </c>
      <c r="F209" s="3" t="s">
        <v>8</v>
      </c>
      <c r="G209" s="2" t="s">
        <v>9</v>
      </c>
      <c r="H209" s="4"/>
      <c r="I209" s="1" t="s">
        <v>1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75">
      <c r="A210" s="5">
        <v>1</v>
      </c>
      <c r="B210" s="6" t="s">
        <v>64</v>
      </c>
      <c r="C210" s="7">
        <v>6352</v>
      </c>
      <c r="D210" s="6" t="s">
        <v>12</v>
      </c>
      <c r="E210" s="6">
        <v>1.95</v>
      </c>
      <c r="F210" s="8">
        <v>293000</v>
      </c>
      <c r="G210" s="9">
        <f t="shared" ref="G210:G212" si="14">IFERROR(E210*F210,0)</f>
        <v>571350</v>
      </c>
      <c r="H210" s="10"/>
      <c r="I210" s="1" t="s">
        <v>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75">
      <c r="A211" s="5">
        <v>2</v>
      </c>
      <c r="B211" s="16" t="s">
        <v>70</v>
      </c>
      <c r="C211" s="17" t="s">
        <v>71</v>
      </c>
      <c r="D211" s="16" t="s">
        <v>14</v>
      </c>
      <c r="E211" s="16">
        <v>1.5</v>
      </c>
      <c r="F211" s="11">
        <v>435000</v>
      </c>
      <c r="G211" s="9">
        <f t="shared" si="14"/>
        <v>652500</v>
      </c>
      <c r="H211" s="10"/>
      <c r="I211" s="1" t="s">
        <v>1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75">
      <c r="A212" s="5">
        <v>3</v>
      </c>
      <c r="B212" s="12" t="s">
        <v>15</v>
      </c>
      <c r="C212" s="10"/>
      <c r="D212" s="10"/>
      <c r="E212" s="10"/>
      <c r="F212" s="10"/>
      <c r="G212" s="13">
        <f t="shared" si="14"/>
        <v>0</v>
      </c>
      <c r="H212" s="10"/>
      <c r="I212" s="1" t="s">
        <v>1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75">
      <c r="A213" s="39" t="s">
        <v>16</v>
      </c>
      <c r="B213" s="40"/>
      <c r="C213" s="40"/>
      <c r="D213" s="40"/>
      <c r="E213" s="40"/>
      <c r="F213" s="40"/>
      <c r="G213" s="41"/>
      <c r="H213" s="14">
        <f>SUM(G210:G212)</f>
        <v>1223850</v>
      </c>
      <c r="I213" s="1" t="s">
        <v>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75">
      <c r="A214" s="39" t="s">
        <v>17</v>
      </c>
      <c r="B214" s="40"/>
      <c r="C214" s="40"/>
      <c r="D214" s="40"/>
      <c r="E214" s="40"/>
      <c r="F214" s="40"/>
      <c r="G214" s="41"/>
      <c r="H214" s="14">
        <f>MAX(0,H213-648000)</f>
        <v>575850</v>
      </c>
      <c r="I214" s="1" t="s">
        <v>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75">
      <c r="A215" s="42" t="s">
        <v>18</v>
      </c>
      <c r="B215" s="40"/>
      <c r="C215" s="40"/>
      <c r="D215" s="40"/>
      <c r="E215" s="40"/>
      <c r="F215" s="40"/>
      <c r="G215" s="41"/>
      <c r="H215" s="15">
        <v>649000</v>
      </c>
      <c r="I215" s="1" t="s">
        <v>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75">
      <c r="A216" s="43" t="s">
        <v>19</v>
      </c>
      <c r="B216" s="40"/>
      <c r="C216" s="40"/>
      <c r="D216" s="40"/>
      <c r="E216" s="40"/>
      <c r="F216" s="40"/>
      <c r="G216" s="40"/>
      <c r="H216" s="41"/>
      <c r="I216" s="1" t="s">
        <v>1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5">
      <c r="I217" s="1" t="s">
        <v>1</v>
      </c>
    </row>
    <row r="218" spans="1:26" ht="15.75" customHeight="1" x14ac:dyDescent="0.45">
      <c r="I218" s="1" t="s">
        <v>1</v>
      </c>
    </row>
    <row r="219" spans="1:26" ht="15.75" customHeight="1" x14ac:dyDescent="0.45">
      <c r="I219" s="1" t="s">
        <v>1</v>
      </c>
    </row>
    <row r="220" spans="1:26" ht="15.75" customHeight="1" x14ac:dyDescent="0.75">
      <c r="A220" s="43" t="s">
        <v>0</v>
      </c>
      <c r="B220" s="40"/>
      <c r="C220" s="40"/>
      <c r="D220" s="40"/>
      <c r="E220" s="40"/>
      <c r="F220" s="40"/>
      <c r="G220" s="40"/>
      <c r="H220" s="41"/>
      <c r="I220" s="1" t="s">
        <v>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75">
      <c r="A221" s="43" t="s">
        <v>72</v>
      </c>
      <c r="B221" s="40"/>
      <c r="C221" s="40"/>
      <c r="D221" s="40"/>
      <c r="E221" s="40"/>
      <c r="F221" s="40"/>
      <c r="G221" s="40"/>
      <c r="H221" s="41"/>
      <c r="I221" s="1" t="s">
        <v>1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5000000000000004">
      <c r="A222" s="2" t="s">
        <v>3</v>
      </c>
      <c r="B222" s="2" t="s">
        <v>4</v>
      </c>
      <c r="C222" s="2" t="s">
        <v>5</v>
      </c>
      <c r="D222" s="2" t="s">
        <v>6</v>
      </c>
      <c r="E222" s="2" t="s">
        <v>7</v>
      </c>
      <c r="F222" s="3" t="s">
        <v>8</v>
      </c>
      <c r="G222" s="2" t="s">
        <v>9</v>
      </c>
      <c r="H222" s="4"/>
      <c r="I222" s="1" t="s">
        <v>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75">
      <c r="A223" s="5">
        <v>1</v>
      </c>
      <c r="B223" s="6" t="s">
        <v>65</v>
      </c>
      <c r="C223" s="7">
        <v>7278</v>
      </c>
      <c r="D223" s="6" t="s">
        <v>12</v>
      </c>
      <c r="E223" s="6">
        <v>2</v>
      </c>
      <c r="F223" s="8">
        <v>293000</v>
      </c>
      <c r="G223" s="9">
        <f t="shared" ref="G223:G225" si="15">IFERROR(E223*F223,0)</f>
        <v>586000</v>
      </c>
      <c r="H223" s="10"/>
      <c r="I223" s="1" t="s">
        <v>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75">
      <c r="A224" s="5">
        <v>2</v>
      </c>
      <c r="B224" s="16" t="s">
        <v>73</v>
      </c>
      <c r="C224" s="17">
        <v>5529</v>
      </c>
      <c r="D224" s="16" t="s">
        <v>14</v>
      </c>
      <c r="E224" s="16">
        <v>1.5</v>
      </c>
      <c r="F224" s="11">
        <v>435000</v>
      </c>
      <c r="G224" s="9">
        <f t="shared" si="15"/>
        <v>652500</v>
      </c>
      <c r="H224" s="10"/>
      <c r="I224" s="1" t="s">
        <v>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75">
      <c r="A225" s="5">
        <v>3</v>
      </c>
      <c r="B225" s="12" t="s">
        <v>15</v>
      </c>
      <c r="C225" s="10"/>
      <c r="D225" s="10"/>
      <c r="E225" s="10"/>
      <c r="F225" s="10"/>
      <c r="G225" s="13">
        <f t="shared" si="15"/>
        <v>0</v>
      </c>
      <c r="H225" s="10"/>
      <c r="I225" s="1" t="s">
        <v>1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75">
      <c r="A226" s="39" t="s">
        <v>16</v>
      </c>
      <c r="B226" s="40"/>
      <c r="C226" s="40"/>
      <c r="D226" s="40"/>
      <c r="E226" s="40"/>
      <c r="F226" s="40"/>
      <c r="G226" s="41"/>
      <c r="H226" s="14">
        <f>SUM(G223:G225)</f>
        <v>1238500</v>
      </c>
      <c r="I226" s="1" t="s">
        <v>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75">
      <c r="A227" s="39" t="s">
        <v>17</v>
      </c>
      <c r="B227" s="40"/>
      <c r="C227" s="40"/>
      <c r="D227" s="40"/>
      <c r="E227" s="40"/>
      <c r="F227" s="40"/>
      <c r="G227" s="41"/>
      <c r="H227" s="14">
        <f>MAX(0,H226-648000)</f>
        <v>590500</v>
      </c>
      <c r="I227" s="1" t="s">
        <v>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75">
      <c r="A228" s="42" t="s">
        <v>18</v>
      </c>
      <c r="B228" s="40"/>
      <c r="C228" s="40"/>
      <c r="D228" s="40"/>
      <c r="E228" s="40"/>
      <c r="F228" s="40"/>
      <c r="G228" s="41"/>
      <c r="H228" s="15">
        <v>649000</v>
      </c>
      <c r="I228" s="1" t="s">
        <v>1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75">
      <c r="A229" s="43" t="s">
        <v>19</v>
      </c>
      <c r="B229" s="40"/>
      <c r="C229" s="40"/>
      <c r="D229" s="40"/>
      <c r="E229" s="40"/>
      <c r="F229" s="40"/>
      <c r="G229" s="40"/>
      <c r="H229" s="41"/>
      <c r="I229" s="1" t="s">
        <v>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45">
      <c r="I230" s="1" t="s">
        <v>1</v>
      </c>
    </row>
    <row r="231" spans="1:26" ht="15.75" customHeight="1" x14ac:dyDescent="0.45">
      <c r="I231" s="1" t="s">
        <v>1</v>
      </c>
    </row>
    <row r="232" spans="1:26" ht="15.75" customHeight="1" x14ac:dyDescent="0.45">
      <c r="I232" s="1" t="s">
        <v>1</v>
      </c>
    </row>
    <row r="233" spans="1:26" ht="15.75" customHeight="1" x14ac:dyDescent="0.45">
      <c r="I233" s="1" t="s">
        <v>1</v>
      </c>
    </row>
    <row r="234" spans="1:26" ht="15.75" customHeight="1" x14ac:dyDescent="0.75">
      <c r="A234" s="43" t="s">
        <v>0</v>
      </c>
      <c r="B234" s="40"/>
      <c r="C234" s="40"/>
      <c r="D234" s="40"/>
      <c r="E234" s="40"/>
      <c r="F234" s="40"/>
      <c r="G234" s="40"/>
      <c r="H234" s="41"/>
      <c r="I234" s="1" t="s">
        <v>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75">
      <c r="A235" s="43" t="s">
        <v>74</v>
      </c>
      <c r="B235" s="40"/>
      <c r="C235" s="40"/>
      <c r="D235" s="40"/>
      <c r="E235" s="40"/>
      <c r="F235" s="40"/>
      <c r="G235" s="40"/>
      <c r="H235" s="41"/>
      <c r="I235" s="1" t="s">
        <v>1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5000000000000004">
      <c r="A236" s="2" t="s">
        <v>3</v>
      </c>
      <c r="B236" s="2" t="s">
        <v>4</v>
      </c>
      <c r="C236" s="2" t="s">
        <v>5</v>
      </c>
      <c r="D236" s="2" t="s">
        <v>6</v>
      </c>
      <c r="E236" s="2" t="s">
        <v>7</v>
      </c>
      <c r="F236" s="3" t="s">
        <v>8</v>
      </c>
      <c r="G236" s="2" t="s">
        <v>9</v>
      </c>
      <c r="H236" s="4"/>
      <c r="I236" s="1" t="s">
        <v>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75">
      <c r="A237" s="5">
        <v>1</v>
      </c>
      <c r="B237" s="6" t="s">
        <v>75</v>
      </c>
      <c r="C237" s="7" t="s">
        <v>76</v>
      </c>
      <c r="D237" s="6" t="s">
        <v>12</v>
      </c>
      <c r="E237" s="6">
        <v>2.5</v>
      </c>
      <c r="F237" s="8">
        <v>293000</v>
      </c>
      <c r="G237" s="9">
        <f t="shared" ref="G237:G239" si="16">IFERROR(E237*F237,0)</f>
        <v>732500</v>
      </c>
      <c r="H237" s="10"/>
      <c r="I237" s="1" t="s">
        <v>1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75">
      <c r="A238" s="5">
        <v>2</v>
      </c>
      <c r="B238" s="6" t="s">
        <v>77</v>
      </c>
      <c r="C238" s="7" t="s">
        <v>76</v>
      </c>
      <c r="D238" s="6" t="s">
        <v>45</v>
      </c>
      <c r="E238" s="6">
        <v>1</v>
      </c>
      <c r="F238" s="11">
        <v>435000</v>
      </c>
      <c r="G238" s="9">
        <f t="shared" si="16"/>
        <v>435000</v>
      </c>
      <c r="H238" s="10"/>
      <c r="I238" s="1" t="s">
        <v>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75">
      <c r="A239" s="5">
        <v>3</v>
      </c>
      <c r="B239" s="12" t="s">
        <v>15</v>
      </c>
      <c r="C239" s="10"/>
      <c r="D239" s="10"/>
      <c r="E239" s="10"/>
      <c r="F239" s="10"/>
      <c r="G239" s="13">
        <f t="shared" si="16"/>
        <v>0</v>
      </c>
      <c r="H239" s="10"/>
      <c r="I239" s="1" t="s">
        <v>1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75">
      <c r="A240" s="39" t="s">
        <v>16</v>
      </c>
      <c r="B240" s="40"/>
      <c r="C240" s="40"/>
      <c r="D240" s="40"/>
      <c r="E240" s="40"/>
      <c r="F240" s="40"/>
      <c r="G240" s="41"/>
      <c r="H240" s="14">
        <f>SUM(G237:G239)</f>
        <v>1167500</v>
      </c>
      <c r="I240" s="1" t="s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75">
      <c r="A241" s="39" t="s">
        <v>17</v>
      </c>
      <c r="B241" s="40"/>
      <c r="C241" s="40"/>
      <c r="D241" s="40"/>
      <c r="E241" s="40"/>
      <c r="F241" s="40"/>
      <c r="G241" s="41"/>
      <c r="H241" s="14">
        <f>MAX(0,H240-648000)</f>
        <v>519500</v>
      </c>
      <c r="I241" s="1" t="s">
        <v>1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75">
      <c r="A242" s="42" t="s">
        <v>18</v>
      </c>
      <c r="B242" s="40"/>
      <c r="C242" s="40"/>
      <c r="D242" s="40"/>
      <c r="E242" s="40"/>
      <c r="F242" s="40"/>
      <c r="G242" s="41"/>
      <c r="H242" s="15">
        <v>649000</v>
      </c>
      <c r="I242" s="1" t="s">
        <v>1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75">
      <c r="A243" s="43" t="s">
        <v>19</v>
      </c>
      <c r="B243" s="40"/>
      <c r="C243" s="40"/>
      <c r="D243" s="40"/>
      <c r="E243" s="40"/>
      <c r="F243" s="40"/>
      <c r="G243" s="40"/>
      <c r="H243" s="41"/>
      <c r="I243" s="1" t="s">
        <v>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45">
      <c r="I244" s="1" t="s">
        <v>1</v>
      </c>
    </row>
    <row r="245" spans="1:26" ht="15.75" customHeight="1" x14ac:dyDescent="0.45">
      <c r="I245" s="1" t="s">
        <v>1</v>
      </c>
    </row>
    <row r="246" spans="1:26" ht="15.75" customHeight="1" x14ac:dyDescent="0.45">
      <c r="I246" s="1" t="s">
        <v>1</v>
      </c>
    </row>
    <row r="247" spans="1:26" ht="15.75" customHeight="1" x14ac:dyDescent="0.45">
      <c r="I247" s="1" t="s">
        <v>1</v>
      </c>
    </row>
    <row r="248" spans="1:26" ht="15.75" customHeight="1" x14ac:dyDescent="0.45">
      <c r="I248" s="1" t="s">
        <v>1</v>
      </c>
    </row>
    <row r="249" spans="1:26" ht="15.75" customHeight="1" x14ac:dyDescent="0.75">
      <c r="A249" s="43" t="s">
        <v>0</v>
      </c>
      <c r="B249" s="40"/>
      <c r="C249" s="40"/>
      <c r="D249" s="40"/>
      <c r="E249" s="40"/>
      <c r="F249" s="40"/>
      <c r="G249" s="40"/>
      <c r="H249" s="41"/>
      <c r="I249" s="1" t="s">
        <v>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75">
      <c r="A250" s="43" t="s">
        <v>78</v>
      </c>
      <c r="B250" s="40"/>
      <c r="C250" s="40"/>
      <c r="D250" s="40"/>
      <c r="E250" s="40"/>
      <c r="F250" s="40"/>
      <c r="G250" s="40"/>
      <c r="H250" s="41"/>
      <c r="I250" s="1" t="s">
        <v>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5000000000000004">
      <c r="A251" s="2" t="s">
        <v>3</v>
      </c>
      <c r="B251" s="2" t="s">
        <v>4</v>
      </c>
      <c r="C251" s="2" t="s">
        <v>5</v>
      </c>
      <c r="D251" s="2" t="s">
        <v>6</v>
      </c>
      <c r="E251" s="2" t="s">
        <v>7</v>
      </c>
      <c r="F251" s="3" t="s">
        <v>8</v>
      </c>
      <c r="G251" s="2" t="s">
        <v>9</v>
      </c>
      <c r="H251" s="4"/>
      <c r="I251" s="1" t="s">
        <v>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75">
      <c r="A252" s="5">
        <v>1</v>
      </c>
      <c r="B252" s="6" t="s">
        <v>79</v>
      </c>
      <c r="C252" s="7">
        <v>2495</v>
      </c>
      <c r="D252" s="6" t="s">
        <v>12</v>
      </c>
      <c r="E252" s="6">
        <v>2.4</v>
      </c>
      <c r="F252" s="8">
        <v>293000</v>
      </c>
      <c r="G252" s="9">
        <f t="shared" ref="G252:G254" si="17">IFERROR(E252*F252,0)</f>
        <v>703200</v>
      </c>
      <c r="H252" s="10"/>
      <c r="I252" s="1" t="s">
        <v>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75">
      <c r="A253" s="5">
        <v>2</v>
      </c>
      <c r="B253" s="16" t="s">
        <v>80</v>
      </c>
      <c r="C253" s="17">
        <v>2495</v>
      </c>
      <c r="D253" s="16" t="s">
        <v>14</v>
      </c>
      <c r="E253" s="16">
        <v>1.1000000000000001</v>
      </c>
      <c r="F253" s="11">
        <v>435000</v>
      </c>
      <c r="G253" s="9">
        <f t="shared" si="17"/>
        <v>478500.00000000006</v>
      </c>
      <c r="H253" s="10"/>
      <c r="I253" s="1" t="s">
        <v>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75">
      <c r="A254" s="5">
        <v>3</v>
      </c>
      <c r="B254" s="12" t="s">
        <v>15</v>
      </c>
      <c r="C254" s="10"/>
      <c r="D254" s="10"/>
      <c r="E254" s="10"/>
      <c r="F254" s="10"/>
      <c r="G254" s="13">
        <f t="shared" si="17"/>
        <v>0</v>
      </c>
      <c r="H254" s="10"/>
      <c r="I254" s="1" t="s">
        <v>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75">
      <c r="A255" s="39" t="s">
        <v>16</v>
      </c>
      <c r="B255" s="40"/>
      <c r="C255" s="40"/>
      <c r="D255" s="40"/>
      <c r="E255" s="40"/>
      <c r="F255" s="40"/>
      <c r="G255" s="41"/>
      <c r="H255" s="14">
        <f>SUM(G252:G254)</f>
        <v>1181700</v>
      </c>
      <c r="I255" s="1" t="s">
        <v>1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75">
      <c r="A256" s="39" t="s">
        <v>17</v>
      </c>
      <c r="B256" s="40"/>
      <c r="C256" s="40"/>
      <c r="D256" s="40"/>
      <c r="E256" s="40"/>
      <c r="F256" s="40"/>
      <c r="G256" s="41"/>
      <c r="H256" s="14">
        <f>MAX(0,H255-648000)</f>
        <v>533700</v>
      </c>
      <c r="I256" s="1" t="s">
        <v>1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75">
      <c r="A257" s="42" t="s">
        <v>18</v>
      </c>
      <c r="B257" s="40"/>
      <c r="C257" s="40"/>
      <c r="D257" s="40"/>
      <c r="E257" s="40"/>
      <c r="F257" s="40"/>
      <c r="G257" s="41"/>
      <c r="H257" s="15">
        <v>649000</v>
      </c>
      <c r="I257" s="1" t="s">
        <v>1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75">
      <c r="A258" s="43" t="s">
        <v>19</v>
      </c>
      <c r="B258" s="40"/>
      <c r="C258" s="40"/>
      <c r="D258" s="40"/>
      <c r="E258" s="40"/>
      <c r="F258" s="40"/>
      <c r="G258" s="40"/>
      <c r="H258" s="41"/>
      <c r="I258" s="1" t="s">
        <v>1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45">
      <c r="I259" s="1" t="s">
        <v>1</v>
      </c>
    </row>
    <row r="260" spans="1:26" ht="15.75" customHeight="1" x14ac:dyDescent="0.45">
      <c r="I260" s="1" t="s">
        <v>1</v>
      </c>
    </row>
    <row r="261" spans="1:26" ht="15.75" customHeight="1" x14ac:dyDescent="0.45">
      <c r="I261" s="1" t="s">
        <v>1</v>
      </c>
    </row>
    <row r="262" spans="1:26" ht="15.75" customHeight="1" x14ac:dyDescent="0.45">
      <c r="I262" s="1" t="s">
        <v>1</v>
      </c>
    </row>
    <row r="263" spans="1:26" ht="15.75" customHeight="1" x14ac:dyDescent="0.45">
      <c r="I263" s="1" t="s">
        <v>1</v>
      </c>
    </row>
    <row r="264" spans="1:26" ht="15.75" customHeight="1" x14ac:dyDescent="0.45">
      <c r="I264" s="1" t="s">
        <v>1</v>
      </c>
    </row>
    <row r="265" spans="1:26" ht="15.75" customHeight="1" x14ac:dyDescent="0.75">
      <c r="A265" s="43" t="s">
        <v>0</v>
      </c>
      <c r="B265" s="40"/>
      <c r="C265" s="40"/>
      <c r="D265" s="40"/>
      <c r="E265" s="40"/>
      <c r="F265" s="40"/>
      <c r="G265" s="40"/>
      <c r="H265" s="41"/>
      <c r="I265" s="1" t="s">
        <v>1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75">
      <c r="A266" s="43" t="s">
        <v>81</v>
      </c>
      <c r="B266" s="40"/>
      <c r="C266" s="40"/>
      <c r="D266" s="40"/>
      <c r="E266" s="40"/>
      <c r="F266" s="40"/>
      <c r="G266" s="40"/>
      <c r="H266" s="41"/>
      <c r="I266" s="1" t="s">
        <v>1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5000000000000004">
      <c r="A267" s="2" t="s">
        <v>3</v>
      </c>
      <c r="B267" s="2" t="s">
        <v>4</v>
      </c>
      <c r="C267" s="2" t="s">
        <v>5</v>
      </c>
      <c r="D267" s="2" t="s">
        <v>6</v>
      </c>
      <c r="E267" s="2" t="s">
        <v>7</v>
      </c>
      <c r="F267" s="3" t="s">
        <v>8</v>
      </c>
      <c r="G267" s="2" t="s">
        <v>9</v>
      </c>
      <c r="H267" s="4"/>
      <c r="I267" s="1" t="s">
        <v>1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75">
      <c r="A268" s="5">
        <v>1</v>
      </c>
      <c r="B268" s="6" t="s">
        <v>65</v>
      </c>
      <c r="C268" s="7">
        <v>1215</v>
      </c>
      <c r="D268" s="6" t="s">
        <v>12</v>
      </c>
      <c r="E268" s="6">
        <v>2</v>
      </c>
      <c r="F268" s="8">
        <v>293000</v>
      </c>
      <c r="G268" s="9">
        <f t="shared" ref="G268:G270" si="18">IFERROR(E268*F268,0)</f>
        <v>586000</v>
      </c>
      <c r="H268" s="10"/>
      <c r="I268" s="1" t="s">
        <v>1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75">
      <c r="A269" s="5">
        <v>2</v>
      </c>
      <c r="B269" s="16" t="s">
        <v>82</v>
      </c>
      <c r="C269" s="17">
        <v>2669</v>
      </c>
      <c r="D269" s="16" t="s">
        <v>14</v>
      </c>
      <c r="E269" s="16">
        <v>1.5</v>
      </c>
      <c r="F269" s="11">
        <v>435000</v>
      </c>
      <c r="G269" s="9">
        <f t="shared" si="18"/>
        <v>652500</v>
      </c>
      <c r="H269" s="10"/>
      <c r="I269" s="1" t="s">
        <v>1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75">
      <c r="A270" s="5">
        <v>3</v>
      </c>
      <c r="B270" s="12" t="s">
        <v>15</v>
      </c>
      <c r="C270" s="10"/>
      <c r="D270" s="10"/>
      <c r="E270" s="10"/>
      <c r="F270" s="10"/>
      <c r="G270" s="13">
        <f t="shared" si="18"/>
        <v>0</v>
      </c>
      <c r="H270" s="10"/>
      <c r="I270" s="1" t="s">
        <v>1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75">
      <c r="A271" s="39" t="s">
        <v>16</v>
      </c>
      <c r="B271" s="40"/>
      <c r="C271" s="40"/>
      <c r="D271" s="40"/>
      <c r="E271" s="40"/>
      <c r="F271" s="40"/>
      <c r="G271" s="41"/>
      <c r="H271" s="14">
        <f>SUM(G268:G270)</f>
        <v>1238500</v>
      </c>
      <c r="I271" s="1" t="s">
        <v>1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75">
      <c r="A272" s="39" t="s">
        <v>17</v>
      </c>
      <c r="B272" s="40"/>
      <c r="C272" s="40"/>
      <c r="D272" s="40"/>
      <c r="E272" s="40"/>
      <c r="F272" s="40"/>
      <c r="G272" s="41"/>
      <c r="H272" s="14">
        <f>MAX(0,H271-648000)</f>
        <v>590500</v>
      </c>
      <c r="I272" s="1" t="s">
        <v>1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75">
      <c r="A273" s="42" t="s">
        <v>18</v>
      </c>
      <c r="B273" s="40"/>
      <c r="C273" s="40"/>
      <c r="D273" s="40"/>
      <c r="E273" s="40"/>
      <c r="F273" s="40"/>
      <c r="G273" s="41"/>
      <c r="H273" s="15">
        <v>649000</v>
      </c>
      <c r="I273" s="1" t="s">
        <v>1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75">
      <c r="A274" s="43" t="s">
        <v>19</v>
      </c>
      <c r="B274" s="40"/>
      <c r="C274" s="40"/>
      <c r="D274" s="40"/>
      <c r="E274" s="40"/>
      <c r="F274" s="40"/>
      <c r="G274" s="40"/>
      <c r="H274" s="41"/>
      <c r="I274" s="1" t="s">
        <v>1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45">
      <c r="I275" s="1" t="s">
        <v>1</v>
      </c>
    </row>
    <row r="276" spans="1:26" ht="15.75" customHeight="1" x14ac:dyDescent="0.45">
      <c r="I276" s="1" t="s">
        <v>1</v>
      </c>
    </row>
    <row r="277" spans="1:26" ht="15.75" customHeight="1" x14ac:dyDescent="0.45">
      <c r="I277" s="1" t="s">
        <v>1</v>
      </c>
    </row>
    <row r="278" spans="1:26" ht="15.75" customHeight="1" x14ac:dyDescent="0.45">
      <c r="I278" s="1" t="s">
        <v>1</v>
      </c>
    </row>
    <row r="279" spans="1:26" ht="15.75" customHeight="1" x14ac:dyDescent="0.45">
      <c r="I279" s="1" t="s">
        <v>1</v>
      </c>
    </row>
    <row r="280" spans="1:26" ht="15.75" customHeight="1" x14ac:dyDescent="0.45">
      <c r="I280" s="1" t="s">
        <v>1</v>
      </c>
    </row>
    <row r="281" spans="1:26" ht="15.75" customHeight="1" x14ac:dyDescent="0.75">
      <c r="A281" s="43" t="s">
        <v>0</v>
      </c>
      <c r="B281" s="40"/>
      <c r="C281" s="40"/>
      <c r="D281" s="40"/>
      <c r="E281" s="40"/>
      <c r="F281" s="40"/>
      <c r="G281" s="40"/>
      <c r="H281" s="41"/>
      <c r="I281" s="1" t="s">
        <v>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75">
      <c r="A282" s="43" t="s">
        <v>83</v>
      </c>
      <c r="B282" s="40"/>
      <c r="C282" s="40"/>
      <c r="D282" s="40"/>
      <c r="E282" s="40"/>
      <c r="F282" s="40"/>
      <c r="G282" s="40"/>
      <c r="H282" s="41"/>
      <c r="I282" s="1" t="s">
        <v>1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5000000000000004">
      <c r="A283" s="2" t="s">
        <v>3</v>
      </c>
      <c r="B283" s="2" t="s">
        <v>4</v>
      </c>
      <c r="C283" s="2" t="s">
        <v>5</v>
      </c>
      <c r="D283" s="2" t="s">
        <v>6</v>
      </c>
      <c r="E283" s="2" t="s">
        <v>7</v>
      </c>
      <c r="F283" s="3" t="s">
        <v>8</v>
      </c>
      <c r="G283" s="2" t="s">
        <v>9</v>
      </c>
      <c r="H283" s="4"/>
      <c r="I283" s="1" t="s">
        <v>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75">
      <c r="A284" s="5">
        <v>1</v>
      </c>
      <c r="B284" s="6" t="s">
        <v>64</v>
      </c>
      <c r="C284" s="7">
        <v>1285</v>
      </c>
      <c r="D284" s="6" t="s">
        <v>12</v>
      </c>
      <c r="E284" s="6">
        <v>2.5</v>
      </c>
      <c r="F284" s="8">
        <v>293000</v>
      </c>
      <c r="G284" s="9">
        <f t="shared" ref="G284:G286" si="19">IFERROR(E284*F284,0)</f>
        <v>732500</v>
      </c>
      <c r="H284" s="10"/>
      <c r="I284" s="1" t="s">
        <v>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75">
      <c r="A285" s="5">
        <v>2</v>
      </c>
      <c r="B285" s="16" t="s">
        <v>47</v>
      </c>
      <c r="C285" s="17" t="s">
        <v>84</v>
      </c>
      <c r="D285" s="16" t="s">
        <v>14</v>
      </c>
      <c r="E285" s="16">
        <v>1</v>
      </c>
      <c r="F285" s="11">
        <v>435000</v>
      </c>
      <c r="G285" s="9">
        <f t="shared" si="19"/>
        <v>435000</v>
      </c>
      <c r="H285" s="10"/>
      <c r="I285" s="1" t="s">
        <v>1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75">
      <c r="A286" s="5">
        <v>3</v>
      </c>
      <c r="B286" s="12" t="s">
        <v>15</v>
      </c>
      <c r="C286" s="10"/>
      <c r="D286" s="10"/>
      <c r="E286" s="10"/>
      <c r="F286" s="10"/>
      <c r="G286" s="13">
        <f t="shared" si="19"/>
        <v>0</v>
      </c>
      <c r="H286" s="10"/>
      <c r="I286" s="1" t="s">
        <v>1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75">
      <c r="A287" s="39" t="s">
        <v>16</v>
      </c>
      <c r="B287" s="40"/>
      <c r="C287" s="40"/>
      <c r="D287" s="40"/>
      <c r="E287" s="40"/>
      <c r="F287" s="40"/>
      <c r="G287" s="41"/>
      <c r="H287" s="14">
        <f>SUM(G284:G286)</f>
        <v>1167500</v>
      </c>
      <c r="I287" s="1" t="s">
        <v>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75">
      <c r="A288" s="39" t="s">
        <v>17</v>
      </c>
      <c r="B288" s="40"/>
      <c r="C288" s="40"/>
      <c r="D288" s="40"/>
      <c r="E288" s="40"/>
      <c r="F288" s="40"/>
      <c r="G288" s="41"/>
      <c r="H288" s="14">
        <f>MAX(0,H287-648000)</f>
        <v>519500</v>
      </c>
      <c r="I288" s="1" t="s">
        <v>1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75">
      <c r="A289" s="42" t="s">
        <v>18</v>
      </c>
      <c r="B289" s="40"/>
      <c r="C289" s="40"/>
      <c r="D289" s="40"/>
      <c r="E289" s="40"/>
      <c r="F289" s="40"/>
      <c r="G289" s="41"/>
      <c r="H289" s="15">
        <v>649000</v>
      </c>
      <c r="I289" s="1" t="s">
        <v>1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75">
      <c r="A290" s="43" t="s">
        <v>19</v>
      </c>
      <c r="B290" s="40"/>
      <c r="C290" s="40"/>
      <c r="D290" s="40"/>
      <c r="E290" s="40"/>
      <c r="F290" s="40"/>
      <c r="G290" s="40"/>
      <c r="H290" s="41"/>
      <c r="I290" s="1" t="s">
        <v>1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45">
      <c r="I291" s="1" t="s">
        <v>1</v>
      </c>
    </row>
    <row r="292" spans="1:26" ht="15.75" customHeight="1" x14ac:dyDescent="0.45">
      <c r="I292" s="1" t="s">
        <v>1</v>
      </c>
    </row>
    <row r="293" spans="1:26" ht="15.75" customHeight="1" x14ac:dyDescent="0.45">
      <c r="I293" s="1" t="s">
        <v>1</v>
      </c>
    </row>
    <row r="294" spans="1:26" ht="15.75" customHeight="1" x14ac:dyDescent="0.45">
      <c r="I294" s="1" t="s">
        <v>1</v>
      </c>
    </row>
    <row r="295" spans="1:26" ht="15.75" customHeight="1" x14ac:dyDescent="0.45">
      <c r="I295" s="1" t="s">
        <v>1</v>
      </c>
    </row>
    <row r="296" spans="1:26" ht="15.75" customHeight="1" x14ac:dyDescent="0.45">
      <c r="I296" s="1" t="s">
        <v>1</v>
      </c>
    </row>
    <row r="297" spans="1:26" ht="15.75" customHeight="1" x14ac:dyDescent="0.75">
      <c r="A297" s="43" t="s">
        <v>0</v>
      </c>
      <c r="B297" s="40"/>
      <c r="C297" s="40"/>
      <c r="D297" s="40"/>
      <c r="E297" s="40"/>
      <c r="F297" s="40"/>
      <c r="G297" s="40"/>
      <c r="H297" s="41"/>
      <c r="I297" s="1" t="s">
        <v>1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75">
      <c r="A298" s="43" t="s">
        <v>85</v>
      </c>
      <c r="B298" s="40"/>
      <c r="C298" s="40"/>
      <c r="D298" s="40"/>
      <c r="E298" s="40"/>
      <c r="F298" s="40"/>
      <c r="G298" s="40"/>
      <c r="H298" s="41"/>
      <c r="I298" s="1" t="s">
        <v>1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5000000000000004">
      <c r="A299" s="2" t="s">
        <v>3</v>
      </c>
      <c r="B299" s="2" t="s">
        <v>4</v>
      </c>
      <c r="C299" s="2" t="s">
        <v>5</v>
      </c>
      <c r="D299" s="2" t="s">
        <v>6</v>
      </c>
      <c r="E299" s="2" t="s">
        <v>7</v>
      </c>
      <c r="F299" s="3" t="s">
        <v>8</v>
      </c>
      <c r="G299" s="2" t="s">
        <v>9</v>
      </c>
      <c r="H299" s="4"/>
      <c r="I299" s="1" t="s">
        <v>1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75">
      <c r="A300" s="5">
        <v>1</v>
      </c>
      <c r="B300" s="6" t="s">
        <v>86</v>
      </c>
      <c r="C300" s="7">
        <v>1254</v>
      </c>
      <c r="D300" s="6" t="s">
        <v>12</v>
      </c>
      <c r="E300" s="6">
        <v>1.5</v>
      </c>
      <c r="F300" s="8">
        <v>293000</v>
      </c>
      <c r="G300" s="9">
        <f t="shared" ref="G300:G302" si="20">IFERROR(E300*F300,0)</f>
        <v>439500</v>
      </c>
      <c r="H300" s="10"/>
      <c r="I300" s="1" t="s">
        <v>1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75">
      <c r="A301" s="5">
        <v>2</v>
      </c>
      <c r="B301" s="16" t="s">
        <v>87</v>
      </c>
      <c r="C301" s="17">
        <v>7275</v>
      </c>
      <c r="D301" s="16" t="s">
        <v>14</v>
      </c>
      <c r="E301" s="16">
        <v>1.95</v>
      </c>
      <c r="F301" s="11">
        <v>435000</v>
      </c>
      <c r="G301" s="9">
        <f t="shared" si="20"/>
        <v>848250</v>
      </c>
      <c r="H301" s="10"/>
      <c r="I301" s="1" t="s">
        <v>1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75">
      <c r="A302" s="5">
        <v>3</v>
      </c>
      <c r="B302" s="12" t="s">
        <v>15</v>
      </c>
      <c r="C302" s="10"/>
      <c r="D302" s="10"/>
      <c r="E302" s="10"/>
      <c r="F302" s="10"/>
      <c r="G302" s="13">
        <f t="shared" si="20"/>
        <v>0</v>
      </c>
      <c r="H302" s="10"/>
      <c r="I302" s="1" t="s">
        <v>1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75">
      <c r="A303" s="39" t="s">
        <v>16</v>
      </c>
      <c r="B303" s="40"/>
      <c r="C303" s="40"/>
      <c r="D303" s="40"/>
      <c r="E303" s="40"/>
      <c r="F303" s="40"/>
      <c r="G303" s="41"/>
      <c r="H303" s="14">
        <f>SUM(G300:G302)</f>
        <v>1287750</v>
      </c>
      <c r="I303" s="1" t="s">
        <v>1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75">
      <c r="A304" s="39" t="s">
        <v>17</v>
      </c>
      <c r="B304" s="40"/>
      <c r="C304" s="40"/>
      <c r="D304" s="40"/>
      <c r="E304" s="40"/>
      <c r="F304" s="40"/>
      <c r="G304" s="41"/>
      <c r="H304" s="14">
        <f>MAX(0,H303-648000)</f>
        <v>639750</v>
      </c>
      <c r="I304" s="1" t="s">
        <v>1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75">
      <c r="A305" s="42" t="s">
        <v>18</v>
      </c>
      <c r="B305" s="40"/>
      <c r="C305" s="40"/>
      <c r="D305" s="40"/>
      <c r="E305" s="40"/>
      <c r="F305" s="40"/>
      <c r="G305" s="41"/>
      <c r="H305" s="15">
        <v>649000</v>
      </c>
      <c r="I305" s="1" t="s">
        <v>1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75">
      <c r="A306" s="43" t="s">
        <v>19</v>
      </c>
      <c r="B306" s="40"/>
      <c r="C306" s="40"/>
      <c r="D306" s="40"/>
      <c r="E306" s="40"/>
      <c r="F306" s="40"/>
      <c r="G306" s="40"/>
      <c r="H306" s="41"/>
      <c r="I306" s="1" t="s">
        <v>1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45">
      <c r="I307" s="1" t="s">
        <v>1</v>
      </c>
    </row>
    <row r="308" spans="1:26" ht="15.75" customHeight="1" x14ac:dyDescent="0.45">
      <c r="I308" s="1" t="s">
        <v>1</v>
      </c>
    </row>
    <row r="309" spans="1:26" ht="15.75" customHeight="1" x14ac:dyDescent="0.45">
      <c r="I309" s="1" t="s">
        <v>1</v>
      </c>
    </row>
    <row r="310" spans="1:26" ht="15.75" customHeight="1" x14ac:dyDescent="0.45">
      <c r="I310" s="1" t="s">
        <v>1</v>
      </c>
    </row>
    <row r="311" spans="1:26" ht="15.75" customHeight="1" x14ac:dyDescent="0.45">
      <c r="I311" s="1" t="s">
        <v>1</v>
      </c>
    </row>
    <row r="312" spans="1:26" ht="15.75" customHeight="1" x14ac:dyDescent="0.75">
      <c r="A312" s="43" t="s">
        <v>0</v>
      </c>
      <c r="B312" s="40"/>
      <c r="C312" s="40"/>
      <c r="D312" s="40"/>
      <c r="E312" s="40"/>
      <c r="F312" s="40"/>
      <c r="G312" s="40"/>
      <c r="H312" s="41"/>
      <c r="I312" s="1" t="s">
        <v>1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75">
      <c r="A313" s="43" t="s">
        <v>88</v>
      </c>
      <c r="B313" s="40"/>
      <c r="C313" s="40"/>
      <c r="D313" s="40"/>
      <c r="E313" s="40"/>
      <c r="F313" s="40"/>
      <c r="G313" s="40"/>
      <c r="H313" s="41"/>
      <c r="I313" s="1" t="s">
        <v>1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5000000000000004">
      <c r="A314" s="2" t="s">
        <v>3</v>
      </c>
      <c r="B314" s="2" t="s">
        <v>4</v>
      </c>
      <c r="C314" s="2" t="s">
        <v>5</v>
      </c>
      <c r="D314" s="2" t="s">
        <v>6</v>
      </c>
      <c r="E314" s="2" t="s">
        <v>7</v>
      </c>
      <c r="F314" s="3" t="s">
        <v>8</v>
      </c>
      <c r="G314" s="2" t="s">
        <v>9</v>
      </c>
      <c r="H314" s="4"/>
      <c r="I314" s="1" t="s">
        <v>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75">
      <c r="A315" s="5">
        <v>1</v>
      </c>
      <c r="B315" s="6" t="s">
        <v>89</v>
      </c>
      <c r="C315" s="7">
        <v>1016</v>
      </c>
      <c r="D315" s="6" t="s">
        <v>12</v>
      </c>
      <c r="E315" s="6">
        <v>2</v>
      </c>
      <c r="F315" s="8">
        <v>293000</v>
      </c>
      <c r="G315" s="9">
        <f t="shared" ref="G315:G317" si="21">IFERROR(E315*F315,0)</f>
        <v>586000</v>
      </c>
      <c r="H315" s="10"/>
      <c r="I315" s="1" t="s">
        <v>1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75">
      <c r="A316" s="5">
        <v>2</v>
      </c>
      <c r="B316" s="16" t="s">
        <v>90</v>
      </c>
      <c r="C316" s="17">
        <v>1458</v>
      </c>
      <c r="D316" s="16" t="s">
        <v>14</v>
      </c>
      <c r="E316" s="16">
        <v>1.5</v>
      </c>
      <c r="F316" s="11">
        <v>435000</v>
      </c>
      <c r="G316" s="9">
        <f t="shared" si="21"/>
        <v>652500</v>
      </c>
      <c r="H316" s="10"/>
      <c r="I316" s="1" t="s">
        <v>1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75">
      <c r="A317" s="5">
        <v>3</v>
      </c>
      <c r="B317" s="12" t="s">
        <v>15</v>
      </c>
      <c r="C317" s="10"/>
      <c r="D317" s="10"/>
      <c r="E317" s="10"/>
      <c r="F317" s="10"/>
      <c r="G317" s="13">
        <f t="shared" si="21"/>
        <v>0</v>
      </c>
      <c r="H317" s="10"/>
      <c r="I317" s="1" t="s">
        <v>1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75">
      <c r="A318" s="39" t="s">
        <v>16</v>
      </c>
      <c r="B318" s="40"/>
      <c r="C318" s="40"/>
      <c r="D318" s="40"/>
      <c r="E318" s="40"/>
      <c r="F318" s="40"/>
      <c r="G318" s="41"/>
      <c r="H318" s="14">
        <f>SUM(G315:G317)</f>
        <v>1238500</v>
      </c>
      <c r="I318" s="1" t="s">
        <v>1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75">
      <c r="A319" s="39" t="s">
        <v>17</v>
      </c>
      <c r="B319" s="40"/>
      <c r="C319" s="40"/>
      <c r="D319" s="40"/>
      <c r="E319" s="40"/>
      <c r="F319" s="40"/>
      <c r="G319" s="41"/>
      <c r="H319" s="14">
        <f>MAX(0,H318-648000)</f>
        <v>590500</v>
      </c>
      <c r="I319" s="1" t="s">
        <v>1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75">
      <c r="A320" s="42" t="s">
        <v>18</v>
      </c>
      <c r="B320" s="40"/>
      <c r="C320" s="40"/>
      <c r="D320" s="40"/>
      <c r="E320" s="40"/>
      <c r="F320" s="40"/>
      <c r="G320" s="41"/>
      <c r="H320" s="15">
        <v>649000</v>
      </c>
      <c r="I320" s="1" t="s">
        <v>1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75">
      <c r="A321" s="43" t="s">
        <v>19</v>
      </c>
      <c r="B321" s="40"/>
      <c r="C321" s="40"/>
      <c r="D321" s="40"/>
      <c r="E321" s="40"/>
      <c r="F321" s="40"/>
      <c r="G321" s="40"/>
      <c r="H321" s="41"/>
      <c r="I321" s="1" t="s">
        <v>1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45">
      <c r="I322" s="1" t="s">
        <v>1</v>
      </c>
    </row>
    <row r="323" spans="1:26" ht="15.75" customHeight="1" x14ac:dyDescent="0.45">
      <c r="I323" s="1" t="s">
        <v>1</v>
      </c>
    </row>
    <row r="324" spans="1:26" ht="15.75" customHeight="1" x14ac:dyDescent="0.45">
      <c r="I324" s="1" t="s">
        <v>1</v>
      </c>
    </row>
    <row r="325" spans="1:26" ht="15.75" customHeight="1" x14ac:dyDescent="0.45">
      <c r="I325" s="1" t="s">
        <v>1</v>
      </c>
    </row>
    <row r="326" spans="1:26" ht="15.75" customHeight="1" x14ac:dyDescent="0.45">
      <c r="I326" s="1" t="s">
        <v>1</v>
      </c>
    </row>
    <row r="327" spans="1:26" ht="15.75" customHeight="1" x14ac:dyDescent="0.75">
      <c r="A327" s="43" t="s">
        <v>0</v>
      </c>
      <c r="B327" s="40"/>
      <c r="C327" s="40"/>
      <c r="D327" s="40"/>
      <c r="E327" s="40"/>
      <c r="F327" s="40"/>
      <c r="G327" s="40"/>
      <c r="H327" s="41"/>
      <c r="I327" s="1" t="s">
        <v>1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75">
      <c r="A328" s="43" t="s">
        <v>91</v>
      </c>
      <c r="B328" s="40"/>
      <c r="C328" s="40"/>
      <c r="D328" s="40"/>
      <c r="E328" s="40"/>
      <c r="F328" s="40"/>
      <c r="G328" s="40"/>
      <c r="H328" s="41"/>
      <c r="I328" s="1" t="s">
        <v>1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5000000000000004">
      <c r="A329" s="2" t="s">
        <v>3</v>
      </c>
      <c r="B329" s="2" t="s">
        <v>4</v>
      </c>
      <c r="C329" s="2" t="s">
        <v>5</v>
      </c>
      <c r="D329" s="2" t="s">
        <v>6</v>
      </c>
      <c r="E329" s="2" t="s">
        <v>7</v>
      </c>
      <c r="F329" s="3" t="s">
        <v>8</v>
      </c>
      <c r="G329" s="2" t="s">
        <v>9</v>
      </c>
      <c r="H329" s="4"/>
      <c r="I329" s="1" t="s">
        <v>1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75">
      <c r="A330" s="5">
        <v>1</v>
      </c>
      <c r="B330" s="6" t="s">
        <v>70</v>
      </c>
      <c r="C330" s="7" t="s">
        <v>92</v>
      </c>
      <c r="D330" s="6" t="s">
        <v>12</v>
      </c>
      <c r="E330" s="6">
        <v>1.3</v>
      </c>
      <c r="F330" s="8">
        <v>293000</v>
      </c>
      <c r="G330" s="9">
        <f t="shared" ref="G330:G332" si="22">IFERROR(E330*F330,0)</f>
        <v>380900</v>
      </c>
      <c r="H330" s="10"/>
      <c r="I330" s="1" t="s">
        <v>1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75">
      <c r="A331" s="5">
        <v>2</v>
      </c>
      <c r="B331" s="6" t="s">
        <v>65</v>
      </c>
      <c r="C331" s="7">
        <v>7279</v>
      </c>
      <c r="D331" s="6" t="s">
        <v>14</v>
      </c>
      <c r="E331" s="6">
        <v>2.1</v>
      </c>
      <c r="F331" s="11">
        <v>435000</v>
      </c>
      <c r="G331" s="9">
        <f t="shared" si="22"/>
        <v>913500</v>
      </c>
      <c r="H331" s="10"/>
      <c r="I331" s="1" t="s">
        <v>1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75">
      <c r="A332" s="5">
        <v>3</v>
      </c>
      <c r="B332" s="12" t="s">
        <v>15</v>
      </c>
      <c r="C332" s="10"/>
      <c r="D332" s="10"/>
      <c r="E332" s="10"/>
      <c r="F332" s="10"/>
      <c r="G332" s="13">
        <f t="shared" si="22"/>
        <v>0</v>
      </c>
      <c r="H332" s="10"/>
      <c r="I332" s="1" t="s">
        <v>1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75">
      <c r="A333" s="39" t="s">
        <v>16</v>
      </c>
      <c r="B333" s="40"/>
      <c r="C333" s="40"/>
      <c r="D333" s="40"/>
      <c r="E333" s="40"/>
      <c r="F333" s="40"/>
      <c r="G333" s="41"/>
      <c r="H333" s="14">
        <f>SUM(G330:G332)</f>
        <v>1294400</v>
      </c>
      <c r="I333" s="1" t="s">
        <v>1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75">
      <c r="A334" s="39" t="s">
        <v>17</v>
      </c>
      <c r="B334" s="40"/>
      <c r="C334" s="40"/>
      <c r="D334" s="40"/>
      <c r="E334" s="40"/>
      <c r="F334" s="40"/>
      <c r="G334" s="41"/>
      <c r="H334" s="14">
        <f>MAX(0,H333-648000)</f>
        <v>646400</v>
      </c>
      <c r="I334" s="1" t="s">
        <v>1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75">
      <c r="A335" s="42" t="s">
        <v>18</v>
      </c>
      <c r="B335" s="40"/>
      <c r="C335" s="40"/>
      <c r="D335" s="40"/>
      <c r="E335" s="40"/>
      <c r="F335" s="40"/>
      <c r="G335" s="41"/>
      <c r="H335" s="15">
        <v>649000</v>
      </c>
      <c r="I335" s="1" t="s">
        <v>1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75">
      <c r="A336" s="43" t="s">
        <v>19</v>
      </c>
      <c r="B336" s="40"/>
      <c r="C336" s="40"/>
      <c r="D336" s="40"/>
      <c r="E336" s="40"/>
      <c r="F336" s="40"/>
      <c r="G336" s="40"/>
      <c r="H336" s="41"/>
      <c r="I336" s="1" t="s">
        <v>1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45">
      <c r="I337" s="1" t="s">
        <v>1</v>
      </c>
    </row>
    <row r="338" spans="1:26" ht="15.75" customHeight="1" x14ac:dyDescent="0.45">
      <c r="I338" s="1" t="s">
        <v>1</v>
      </c>
    </row>
    <row r="339" spans="1:26" ht="15.75" customHeight="1" x14ac:dyDescent="0.45">
      <c r="I339" s="1" t="s">
        <v>1</v>
      </c>
    </row>
    <row r="340" spans="1:26" ht="15.75" customHeight="1" x14ac:dyDescent="0.45">
      <c r="I340" s="1" t="s">
        <v>1</v>
      </c>
    </row>
    <row r="341" spans="1:26" ht="15.75" customHeight="1" x14ac:dyDescent="0.45">
      <c r="I341" s="1" t="s">
        <v>1</v>
      </c>
    </row>
    <row r="342" spans="1:26" ht="15.75" customHeight="1" x14ac:dyDescent="0.75">
      <c r="A342" s="43" t="s">
        <v>0</v>
      </c>
      <c r="B342" s="40"/>
      <c r="C342" s="40"/>
      <c r="D342" s="40"/>
      <c r="E342" s="40"/>
      <c r="F342" s="40"/>
      <c r="G342" s="40"/>
      <c r="H342" s="41"/>
      <c r="I342" s="1" t="s">
        <v>1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75">
      <c r="A343" s="43" t="s">
        <v>93</v>
      </c>
      <c r="B343" s="40"/>
      <c r="C343" s="40"/>
      <c r="D343" s="40"/>
      <c r="E343" s="40"/>
      <c r="F343" s="40"/>
      <c r="G343" s="40"/>
      <c r="H343" s="41"/>
      <c r="I343" s="1" t="s">
        <v>1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5000000000000004">
      <c r="A344" s="2" t="s">
        <v>3</v>
      </c>
      <c r="B344" s="2" t="s">
        <v>4</v>
      </c>
      <c r="C344" s="2" t="s">
        <v>5</v>
      </c>
      <c r="D344" s="2" t="s">
        <v>6</v>
      </c>
      <c r="E344" s="2" t="s">
        <v>7</v>
      </c>
      <c r="F344" s="3" t="s">
        <v>8</v>
      </c>
      <c r="G344" s="2" t="s">
        <v>9</v>
      </c>
      <c r="H344" s="4"/>
      <c r="I344" s="1" t="s">
        <v>1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75">
      <c r="A345" s="5">
        <v>1</v>
      </c>
      <c r="B345" s="16" t="s">
        <v>87</v>
      </c>
      <c r="C345" s="7">
        <v>4585</v>
      </c>
      <c r="D345" s="6" t="s">
        <v>12</v>
      </c>
      <c r="E345" s="6">
        <v>1.53</v>
      </c>
      <c r="F345" s="8">
        <v>293000</v>
      </c>
      <c r="G345" s="9">
        <f t="shared" ref="G345:G347" si="23">IFERROR(E345*F345,0)</f>
        <v>448290</v>
      </c>
      <c r="H345" s="10"/>
      <c r="I345" s="1" t="s">
        <v>1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75">
      <c r="A346" s="5">
        <v>2</v>
      </c>
      <c r="B346" s="16" t="s">
        <v>35</v>
      </c>
      <c r="C346" s="17">
        <v>7277</v>
      </c>
      <c r="D346" s="16" t="s">
        <v>14</v>
      </c>
      <c r="E346" s="16">
        <v>2</v>
      </c>
      <c r="F346" s="11">
        <v>435000</v>
      </c>
      <c r="G346" s="9">
        <f t="shared" si="23"/>
        <v>870000</v>
      </c>
      <c r="H346" s="10"/>
      <c r="I346" s="1" t="s">
        <v>1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75">
      <c r="A347" s="5">
        <v>3</v>
      </c>
      <c r="B347" s="12" t="s">
        <v>15</v>
      </c>
      <c r="C347" s="10"/>
      <c r="D347" s="10"/>
      <c r="E347" s="10"/>
      <c r="F347" s="10"/>
      <c r="G347" s="13">
        <f t="shared" si="23"/>
        <v>0</v>
      </c>
      <c r="H347" s="10"/>
      <c r="I347" s="1" t="s">
        <v>1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75">
      <c r="A348" s="39" t="s">
        <v>16</v>
      </c>
      <c r="B348" s="40"/>
      <c r="C348" s="40"/>
      <c r="D348" s="40"/>
      <c r="E348" s="40"/>
      <c r="F348" s="40"/>
      <c r="G348" s="41"/>
      <c r="H348" s="14">
        <f>SUM(G345:G347)</f>
        <v>1318290</v>
      </c>
      <c r="I348" s="1" t="s">
        <v>1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75">
      <c r="A349" s="39" t="s">
        <v>17</v>
      </c>
      <c r="B349" s="40"/>
      <c r="C349" s="40"/>
      <c r="D349" s="40"/>
      <c r="E349" s="40"/>
      <c r="F349" s="40"/>
      <c r="G349" s="41"/>
      <c r="H349" s="14">
        <f>MAX(0,H348-648000)</f>
        <v>670290</v>
      </c>
      <c r="I349" s="1" t="s">
        <v>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75">
      <c r="A350" s="42" t="s">
        <v>18</v>
      </c>
      <c r="B350" s="40"/>
      <c r="C350" s="40"/>
      <c r="D350" s="40"/>
      <c r="E350" s="40"/>
      <c r="F350" s="40"/>
      <c r="G350" s="41"/>
      <c r="H350" s="15">
        <v>649000</v>
      </c>
      <c r="I350" s="1" t="s">
        <v>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75">
      <c r="A351" s="43" t="s">
        <v>19</v>
      </c>
      <c r="B351" s="40"/>
      <c r="C351" s="40"/>
      <c r="D351" s="40"/>
      <c r="E351" s="40"/>
      <c r="F351" s="40"/>
      <c r="G351" s="40"/>
      <c r="H351" s="41"/>
      <c r="I351" s="1" t="s">
        <v>1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45">
      <c r="I352" s="1" t="s">
        <v>94</v>
      </c>
    </row>
    <row r="353" spans="1:26" ht="15.75" customHeight="1" x14ac:dyDescent="0.45">
      <c r="I353" s="1" t="s">
        <v>94</v>
      </c>
    </row>
    <row r="354" spans="1:26" ht="15.75" customHeight="1" x14ac:dyDescent="0.45">
      <c r="I354" s="1" t="s">
        <v>94</v>
      </c>
    </row>
    <row r="355" spans="1:26" ht="15.75" customHeight="1" x14ac:dyDescent="0.45">
      <c r="I355" s="1" t="s">
        <v>94</v>
      </c>
    </row>
    <row r="356" spans="1:26" ht="15.75" customHeight="1" x14ac:dyDescent="0.45">
      <c r="I356" s="1" t="s">
        <v>94</v>
      </c>
    </row>
    <row r="357" spans="1:26" ht="15.75" customHeight="1" x14ac:dyDescent="0.45">
      <c r="I357" s="1" t="s">
        <v>94</v>
      </c>
    </row>
    <row r="358" spans="1:26" ht="15.75" customHeight="1" x14ac:dyDescent="0.45">
      <c r="I358" s="1" t="s">
        <v>94</v>
      </c>
    </row>
    <row r="359" spans="1:26" ht="15.75" customHeight="1" x14ac:dyDescent="0.45">
      <c r="I359" s="1" t="s">
        <v>94</v>
      </c>
    </row>
    <row r="360" spans="1:26" ht="15.75" customHeight="1" x14ac:dyDescent="0.45">
      <c r="I360" s="1" t="s">
        <v>94</v>
      </c>
    </row>
    <row r="361" spans="1:26" ht="15.75" customHeight="1" x14ac:dyDescent="0.75">
      <c r="A361" s="43" t="s">
        <v>0</v>
      </c>
      <c r="B361" s="40"/>
      <c r="C361" s="40"/>
      <c r="D361" s="40"/>
      <c r="E361" s="40"/>
      <c r="F361" s="40"/>
      <c r="G361" s="40"/>
      <c r="H361" s="41"/>
      <c r="I361" s="1" t="s">
        <v>94</v>
      </c>
      <c r="J361" s="19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75">
      <c r="A362" s="43" t="s">
        <v>95</v>
      </c>
      <c r="B362" s="40"/>
      <c r="C362" s="40"/>
      <c r="D362" s="40"/>
      <c r="E362" s="40"/>
      <c r="F362" s="40"/>
      <c r="G362" s="40"/>
      <c r="H362" s="41"/>
      <c r="I362" s="1" t="s">
        <v>94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5000000000000004">
      <c r="A363" s="2" t="s">
        <v>3</v>
      </c>
      <c r="B363" s="2" t="s">
        <v>4</v>
      </c>
      <c r="C363" s="2" t="s">
        <v>5</v>
      </c>
      <c r="D363" s="2" t="s">
        <v>6</v>
      </c>
      <c r="E363" s="2" t="s">
        <v>7</v>
      </c>
      <c r="F363" s="3" t="s">
        <v>8</v>
      </c>
      <c r="G363" s="2" t="s">
        <v>9</v>
      </c>
      <c r="H363" s="4"/>
      <c r="I363" s="1" t="s">
        <v>94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75">
      <c r="A364" s="5">
        <v>1</v>
      </c>
      <c r="B364" s="6" t="s">
        <v>64</v>
      </c>
      <c r="C364" s="7">
        <v>1256</v>
      </c>
      <c r="D364" s="6" t="s">
        <v>12</v>
      </c>
      <c r="E364" s="6">
        <v>2</v>
      </c>
      <c r="F364" s="8">
        <v>293000</v>
      </c>
      <c r="G364" s="9">
        <f t="shared" ref="G364:G366" si="24">IFERROR(E364*F364,0)</f>
        <v>586000</v>
      </c>
      <c r="H364" s="10"/>
      <c r="I364" s="1" t="s">
        <v>94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75">
      <c r="A365" s="5">
        <v>2</v>
      </c>
      <c r="B365" s="16" t="s">
        <v>35</v>
      </c>
      <c r="C365" s="17">
        <v>3024</v>
      </c>
      <c r="D365" s="16" t="s">
        <v>14</v>
      </c>
      <c r="E365" s="16">
        <v>1.5</v>
      </c>
      <c r="F365" s="11">
        <v>435000</v>
      </c>
      <c r="G365" s="9">
        <f t="shared" si="24"/>
        <v>652500</v>
      </c>
      <c r="H365" s="10"/>
      <c r="I365" s="1" t="s">
        <v>94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75">
      <c r="A366" s="5">
        <v>3</v>
      </c>
      <c r="B366" s="12" t="s">
        <v>15</v>
      </c>
      <c r="C366" s="10"/>
      <c r="D366" s="10"/>
      <c r="E366" s="10"/>
      <c r="F366" s="10"/>
      <c r="G366" s="13">
        <f t="shared" si="24"/>
        <v>0</v>
      </c>
      <c r="H366" s="10"/>
      <c r="I366" s="1" t="s">
        <v>94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75">
      <c r="A367" s="39" t="s">
        <v>16</v>
      </c>
      <c r="B367" s="40"/>
      <c r="C367" s="40"/>
      <c r="D367" s="40"/>
      <c r="E367" s="40"/>
      <c r="F367" s="40"/>
      <c r="G367" s="41"/>
      <c r="H367" s="14">
        <f>SUM(G364:G366)</f>
        <v>1238500</v>
      </c>
      <c r="I367" s="1" t="s">
        <v>94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75">
      <c r="A368" s="39" t="s">
        <v>17</v>
      </c>
      <c r="B368" s="40"/>
      <c r="C368" s="40"/>
      <c r="D368" s="40"/>
      <c r="E368" s="40"/>
      <c r="F368" s="40"/>
      <c r="G368" s="41"/>
      <c r="H368" s="14">
        <f>MAX(0,H367-648000)</f>
        <v>590500</v>
      </c>
      <c r="I368" s="1" t="s">
        <v>94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75">
      <c r="A369" s="42" t="s">
        <v>18</v>
      </c>
      <c r="B369" s="40"/>
      <c r="C369" s="40"/>
      <c r="D369" s="40"/>
      <c r="E369" s="40"/>
      <c r="F369" s="40"/>
      <c r="G369" s="41"/>
      <c r="H369" s="15">
        <v>649000</v>
      </c>
      <c r="I369" s="1" t="s">
        <v>94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75">
      <c r="A370" s="43" t="s">
        <v>19</v>
      </c>
      <c r="B370" s="40"/>
      <c r="C370" s="40"/>
      <c r="D370" s="40"/>
      <c r="E370" s="40"/>
      <c r="F370" s="40"/>
      <c r="G370" s="40"/>
      <c r="H370" s="41"/>
      <c r="I370" s="1" t="s">
        <v>94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45">
      <c r="I371" s="1" t="s">
        <v>94</v>
      </c>
    </row>
    <row r="372" spans="1:26" ht="15.75" customHeight="1" x14ac:dyDescent="0.45">
      <c r="I372" s="1" t="s">
        <v>94</v>
      </c>
    </row>
    <row r="373" spans="1:26" ht="15.75" customHeight="1" x14ac:dyDescent="0.45">
      <c r="I373" s="1" t="s">
        <v>94</v>
      </c>
    </row>
    <row r="374" spans="1:26" ht="15.75" customHeight="1" x14ac:dyDescent="0.45">
      <c r="I374" s="1" t="s">
        <v>94</v>
      </c>
    </row>
    <row r="375" spans="1:26" ht="15.75" customHeight="1" x14ac:dyDescent="0.75">
      <c r="A375" s="43" t="s">
        <v>0</v>
      </c>
      <c r="B375" s="40"/>
      <c r="C375" s="40"/>
      <c r="D375" s="40"/>
      <c r="E375" s="40"/>
      <c r="F375" s="40"/>
      <c r="G375" s="40"/>
      <c r="H375" s="41"/>
      <c r="I375" s="1" t="s">
        <v>94</v>
      </c>
      <c r="J375" s="20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75">
      <c r="A376" s="43" t="s">
        <v>96</v>
      </c>
      <c r="B376" s="40"/>
      <c r="C376" s="40"/>
      <c r="D376" s="40"/>
      <c r="E376" s="40"/>
      <c r="F376" s="40"/>
      <c r="G376" s="40"/>
      <c r="H376" s="41"/>
      <c r="I376" s="1" t="s">
        <v>94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5000000000000004">
      <c r="A377" s="2" t="s">
        <v>3</v>
      </c>
      <c r="B377" s="2" t="s">
        <v>4</v>
      </c>
      <c r="C377" s="2" t="s">
        <v>5</v>
      </c>
      <c r="D377" s="2" t="s">
        <v>6</v>
      </c>
      <c r="E377" s="2" t="s">
        <v>7</v>
      </c>
      <c r="F377" s="3" t="s">
        <v>8</v>
      </c>
      <c r="G377" s="2" t="s">
        <v>9</v>
      </c>
      <c r="H377" s="4"/>
      <c r="I377" s="1" t="s">
        <v>94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75">
      <c r="A378" s="5">
        <v>1</v>
      </c>
      <c r="B378" s="6" t="s">
        <v>97</v>
      </c>
      <c r="C378" s="7">
        <v>1684</v>
      </c>
      <c r="D378" s="6" t="s">
        <v>12</v>
      </c>
      <c r="E378" s="6">
        <v>1.5</v>
      </c>
      <c r="F378" s="8">
        <v>293000</v>
      </c>
      <c r="G378" s="9">
        <f t="shared" ref="G378:G380" si="25">IFERROR(E378*F378,0)</f>
        <v>439500</v>
      </c>
      <c r="H378" s="10"/>
      <c r="I378" s="1" t="s">
        <v>94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75">
      <c r="A379" s="5">
        <v>2</v>
      </c>
      <c r="B379" s="16" t="s">
        <v>98</v>
      </c>
      <c r="C379" s="17">
        <v>7292</v>
      </c>
      <c r="D379" s="16" t="s">
        <v>14</v>
      </c>
      <c r="E379" s="16">
        <v>1.96</v>
      </c>
      <c r="F379" s="11">
        <v>435000</v>
      </c>
      <c r="G379" s="9">
        <f t="shared" si="25"/>
        <v>852600</v>
      </c>
      <c r="H379" s="10"/>
      <c r="I379" s="1" t="s">
        <v>94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75">
      <c r="A380" s="5">
        <v>3</v>
      </c>
      <c r="B380" s="12" t="s">
        <v>15</v>
      </c>
      <c r="C380" s="10"/>
      <c r="D380" s="10"/>
      <c r="E380" s="10"/>
      <c r="F380" s="10"/>
      <c r="G380" s="13">
        <f t="shared" si="25"/>
        <v>0</v>
      </c>
      <c r="H380" s="10"/>
      <c r="I380" s="1" t="s">
        <v>94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75">
      <c r="A381" s="39" t="s">
        <v>16</v>
      </c>
      <c r="B381" s="40"/>
      <c r="C381" s="40"/>
      <c r="D381" s="40"/>
      <c r="E381" s="40"/>
      <c r="F381" s="40"/>
      <c r="G381" s="41"/>
      <c r="H381" s="14">
        <f>SUM(G378:G380)</f>
        <v>1292100</v>
      </c>
      <c r="I381" s="1" t="s">
        <v>94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75">
      <c r="A382" s="39" t="s">
        <v>17</v>
      </c>
      <c r="B382" s="40"/>
      <c r="C382" s="40"/>
      <c r="D382" s="40"/>
      <c r="E382" s="40"/>
      <c r="F382" s="40"/>
      <c r="G382" s="41"/>
      <c r="H382" s="14">
        <f>MAX(0,H381-648000)</f>
        <v>644100</v>
      </c>
      <c r="I382" s="1" t="s">
        <v>94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75">
      <c r="A383" s="42" t="s">
        <v>18</v>
      </c>
      <c r="B383" s="40"/>
      <c r="C383" s="40"/>
      <c r="D383" s="40"/>
      <c r="E383" s="40"/>
      <c r="F383" s="40"/>
      <c r="G383" s="41"/>
      <c r="H383" s="15">
        <v>649000</v>
      </c>
      <c r="I383" s="1" t="s">
        <v>94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75">
      <c r="A384" s="43" t="s">
        <v>19</v>
      </c>
      <c r="B384" s="40"/>
      <c r="C384" s="40"/>
      <c r="D384" s="40"/>
      <c r="E384" s="40"/>
      <c r="F384" s="40"/>
      <c r="G384" s="40"/>
      <c r="H384" s="41"/>
      <c r="I384" s="1" t="s">
        <v>94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45">
      <c r="I385" s="1" t="s">
        <v>94</v>
      </c>
    </row>
    <row r="386" spans="1:26" ht="15.75" customHeight="1" x14ac:dyDescent="0.45">
      <c r="I386" s="1" t="s">
        <v>94</v>
      </c>
    </row>
    <row r="387" spans="1:26" ht="15.75" customHeight="1" x14ac:dyDescent="0.45">
      <c r="I387" s="1" t="s">
        <v>94</v>
      </c>
    </row>
    <row r="388" spans="1:26" ht="15.75" customHeight="1" x14ac:dyDescent="0.45">
      <c r="I388" s="1" t="s">
        <v>94</v>
      </c>
    </row>
    <row r="389" spans="1:26" ht="15.75" customHeight="1" x14ac:dyDescent="0.75">
      <c r="A389" s="43" t="s">
        <v>0</v>
      </c>
      <c r="B389" s="40"/>
      <c r="C389" s="40"/>
      <c r="D389" s="40"/>
      <c r="E389" s="40"/>
      <c r="F389" s="40"/>
      <c r="G389" s="40"/>
      <c r="H389" s="41"/>
      <c r="I389" s="1" t="s">
        <v>94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75">
      <c r="A390" s="43" t="s">
        <v>99</v>
      </c>
      <c r="B390" s="40"/>
      <c r="C390" s="40"/>
      <c r="D390" s="40"/>
      <c r="E390" s="40"/>
      <c r="F390" s="40"/>
      <c r="G390" s="40"/>
      <c r="H390" s="41"/>
      <c r="I390" s="1" t="s">
        <v>94</v>
      </c>
      <c r="J390" s="20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5000000000000004">
      <c r="A391" s="2" t="s">
        <v>3</v>
      </c>
      <c r="B391" s="2" t="s">
        <v>4</v>
      </c>
      <c r="C391" s="2" t="s">
        <v>5</v>
      </c>
      <c r="D391" s="2" t="s">
        <v>6</v>
      </c>
      <c r="E391" s="2" t="s">
        <v>7</v>
      </c>
      <c r="F391" s="3" t="s">
        <v>8</v>
      </c>
      <c r="G391" s="2" t="s">
        <v>9</v>
      </c>
      <c r="H391" s="4"/>
      <c r="I391" s="1" t="s">
        <v>94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75">
      <c r="A392" s="5">
        <v>1</v>
      </c>
      <c r="B392" s="6" t="s">
        <v>100</v>
      </c>
      <c r="C392" s="7">
        <v>558</v>
      </c>
      <c r="D392" s="6" t="s">
        <v>12</v>
      </c>
      <c r="E392" s="6">
        <v>1.6</v>
      </c>
      <c r="F392" s="8">
        <v>293000</v>
      </c>
      <c r="G392" s="9">
        <f t="shared" ref="G392:G394" si="26">IFERROR(E392*F392,0)</f>
        <v>468800</v>
      </c>
      <c r="H392" s="10"/>
      <c r="I392" s="1" t="s">
        <v>94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75">
      <c r="A393" s="5">
        <v>2</v>
      </c>
      <c r="B393" s="16" t="s">
        <v>80</v>
      </c>
      <c r="C393" s="17">
        <v>7281</v>
      </c>
      <c r="D393" s="16" t="s">
        <v>14</v>
      </c>
      <c r="E393" s="16">
        <v>2</v>
      </c>
      <c r="F393" s="11">
        <v>435000</v>
      </c>
      <c r="G393" s="9">
        <f t="shared" si="26"/>
        <v>870000</v>
      </c>
      <c r="H393" s="10"/>
      <c r="I393" s="1" t="s">
        <v>94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75">
      <c r="A394" s="5">
        <v>3</v>
      </c>
      <c r="B394" s="12" t="s">
        <v>15</v>
      </c>
      <c r="C394" s="10"/>
      <c r="D394" s="10"/>
      <c r="E394" s="10"/>
      <c r="F394" s="10"/>
      <c r="G394" s="13">
        <f t="shared" si="26"/>
        <v>0</v>
      </c>
      <c r="H394" s="10"/>
      <c r="I394" s="1" t="s">
        <v>94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75">
      <c r="A395" s="39" t="s">
        <v>16</v>
      </c>
      <c r="B395" s="40"/>
      <c r="C395" s="40"/>
      <c r="D395" s="40"/>
      <c r="E395" s="40"/>
      <c r="F395" s="40"/>
      <c r="G395" s="41"/>
      <c r="H395" s="14">
        <f>SUM(G392:G394)</f>
        <v>1338800</v>
      </c>
      <c r="I395" s="1" t="s">
        <v>94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75">
      <c r="A396" s="39" t="s">
        <v>17</v>
      </c>
      <c r="B396" s="40"/>
      <c r="C396" s="40"/>
      <c r="D396" s="40"/>
      <c r="E396" s="40"/>
      <c r="F396" s="40"/>
      <c r="G396" s="41"/>
      <c r="H396" s="14">
        <f>MAX(0,H395-648000)</f>
        <v>690800</v>
      </c>
      <c r="I396" s="1" t="s">
        <v>94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75">
      <c r="A397" s="42" t="s">
        <v>18</v>
      </c>
      <c r="B397" s="40"/>
      <c r="C397" s="40"/>
      <c r="D397" s="40"/>
      <c r="E397" s="40"/>
      <c r="F397" s="40"/>
      <c r="G397" s="41"/>
      <c r="H397" s="15">
        <v>649000</v>
      </c>
      <c r="I397" s="1" t="s">
        <v>94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75">
      <c r="A398" s="43" t="s">
        <v>19</v>
      </c>
      <c r="B398" s="40"/>
      <c r="C398" s="40"/>
      <c r="D398" s="40"/>
      <c r="E398" s="40"/>
      <c r="F398" s="40"/>
      <c r="G398" s="40"/>
      <c r="H398" s="41"/>
      <c r="I398" s="1" t="s">
        <v>94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45">
      <c r="I399" s="1" t="s">
        <v>94</v>
      </c>
    </row>
    <row r="400" spans="1:26" ht="15.75" customHeight="1" x14ac:dyDescent="0.45">
      <c r="I400" s="1" t="s">
        <v>94</v>
      </c>
    </row>
    <row r="401" spans="1:26" ht="15.75" customHeight="1" x14ac:dyDescent="0.45">
      <c r="I401" s="1" t="s">
        <v>94</v>
      </c>
    </row>
    <row r="402" spans="1:26" ht="15.75" customHeight="1" x14ac:dyDescent="0.45">
      <c r="I402" s="1" t="s">
        <v>94</v>
      </c>
    </row>
    <row r="403" spans="1:26" ht="15.75" customHeight="1" x14ac:dyDescent="0.45">
      <c r="I403" s="1" t="s">
        <v>94</v>
      </c>
    </row>
    <row r="404" spans="1:26" ht="15.75" customHeight="1" x14ac:dyDescent="0.75">
      <c r="A404" s="43" t="s">
        <v>0</v>
      </c>
      <c r="B404" s="40"/>
      <c r="C404" s="40"/>
      <c r="D404" s="40"/>
      <c r="E404" s="40"/>
      <c r="F404" s="40"/>
      <c r="G404" s="40"/>
      <c r="H404" s="41"/>
      <c r="I404" s="1" t="s">
        <v>94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75">
      <c r="A405" s="43" t="s">
        <v>101</v>
      </c>
      <c r="B405" s="40"/>
      <c r="C405" s="40"/>
      <c r="D405" s="40"/>
      <c r="E405" s="40"/>
      <c r="F405" s="40"/>
      <c r="G405" s="40"/>
      <c r="H405" s="41"/>
      <c r="I405" s="1" t="s">
        <v>94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5000000000000004">
      <c r="A406" s="2" t="s">
        <v>3</v>
      </c>
      <c r="B406" s="2" t="s">
        <v>4</v>
      </c>
      <c r="C406" s="2" t="s">
        <v>5</v>
      </c>
      <c r="D406" s="2" t="s">
        <v>6</v>
      </c>
      <c r="E406" s="2" t="s">
        <v>7</v>
      </c>
      <c r="F406" s="3" t="s">
        <v>8</v>
      </c>
      <c r="G406" s="2" t="s">
        <v>9</v>
      </c>
      <c r="H406" s="4"/>
      <c r="I406" s="1" t="s">
        <v>94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75">
      <c r="A407" s="5">
        <v>1</v>
      </c>
      <c r="B407" s="6" t="s">
        <v>82</v>
      </c>
      <c r="C407" s="7" t="s">
        <v>102</v>
      </c>
      <c r="D407" s="6" t="s">
        <v>12</v>
      </c>
      <c r="E407" s="6">
        <v>1.82</v>
      </c>
      <c r="F407" s="8">
        <v>293000</v>
      </c>
      <c r="G407" s="9">
        <f t="shared" ref="G407:G409" si="27">IFERROR(E407*F407,0)</f>
        <v>533260</v>
      </c>
      <c r="H407" s="10"/>
      <c r="I407" s="1" t="s">
        <v>94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75">
      <c r="A408" s="5">
        <v>2</v>
      </c>
      <c r="B408" s="16" t="s">
        <v>103</v>
      </c>
      <c r="C408" s="17"/>
      <c r="D408" s="16" t="s">
        <v>14</v>
      </c>
      <c r="E408" s="16">
        <v>1.82</v>
      </c>
      <c r="F408" s="11">
        <v>435000</v>
      </c>
      <c r="G408" s="9">
        <f t="shared" si="27"/>
        <v>791700</v>
      </c>
      <c r="H408" s="10"/>
      <c r="I408" s="1" t="s">
        <v>94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75">
      <c r="A409" s="5">
        <v>3</v>
      </c>
      <c r="B409" s="12" t="s">
        <v>15</v>
      </c>
      <c r="C409" s="10"/>
      <c r="D409" s="10"/>
      <c r="E409" s="10"/>
      <c r="F409" s="10"/>
      <c r="G409" s="13">
        <f t="shared" si="27"/>
        <v>0</v>
      </c>
      <c r="H409" s="10"/>
      <c r="I409" s="1" t="s">
        <v>94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75">
      <c r="A410" s="39" t="s">
        <v>16</v>
      </c>
      <c r="B410" s="40"/>
      <c r="C410" s="40"/>
      <c r="D410" s="40"/>
      <c r="E410" s="40"/>
      <c r="F410" s="40"/>
      <c r="G410" s="41"/>
      <c r="H410" s="14">
        <f>SUM(G407:G409)</f>
        <v>1324960</v>
      </c>
      <c r="I410" s="1" t="s">
        <v>94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75">
      <c r="A411" s="39" t="s">
        <v>17</v>
      </c>
      <c r="B411" s="40"/>
      <c r="C411" s="40"/>
      <c r="D411" s="40"/>
      <c r="E411" s="40"/>
      <c r="F411" s="40"/>
      <c r="G411" s="41"/>
      <c r="H411" s="14">
        <f>MAX(0,H410-648000)</f>
        <v>676960</v>
      </c>
      <c r="I411" s="1" t="s">
        <v>94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75">
      <c r="A412" s="42" t="s">
        <v>18</v>
      </c>
      <c r="B412" s="40"/>
      <c r="C412" s="40"/>
      <c r="D412" s="40"/>
      <c r="E412" s="40"/>
      <c r="F412" s="40"/>
      <c r="G412" s="41"/>
      <c r="H412" s="15">
        <v>649000</v>
      </c>
      <c r="I412" s="1" t="s">
        <v>94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75">
      <c r="A413" s="43" t="s">
        <v>19</v>
      </c>
      <c r="B413" s="40"/>
      <c r="C413" s="40"/>
      <c r="D413" s="40"/>
      <c r="E413" s="40"/>
      <c r="F413" s="40"/>
      <c r="G413" s="40"/>
      <c r="H413" s="41"/>
      <c r="I413" s="1" t="s">
        <v>94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45">
      <c r="I414" s="1" t="s">
        <v>94</v>
      </c>
    </row>
    <row r="415" spans="1:26" ht="15.75" customHeight="1" x14ac:dyDescent="0.45">
      <c r="I415" s="1" t="s">
        <v>94</v>
      </c>
    </row>
    <row r="416" spans="1:26" ht="15.75" customHeight="1" x14ac:dyDescent="0.45">
      <c r="I416" s="1" t="s">
        <v>94</v>
      </c>
    </row>
    <row r="417" spans="1:26" ht="15.75" customHeight="1" x14ac:dyDescent="0.45">
      <c r="I417" s="1" t="s">
        <v>94</v>
      </c>
    </row>
    <row r="418" spans="1:26" ht="15.75" customHeight="1" x14ac:dyDescent="0.45">
      <c r="I418" s="1" t="s">
        <v>94</v>
      </c>
    </row>
    <row r="419" spans="1:26" ht="15.75" customHeight="1" x14ac:dyDescent="0.75">
      <c r="A419" s="43" t="s">
        <v>0</v>
      </c>
      <c r="B419" s="40"/>
      <c r="C419" s="40"/>
      <c r="D419" s="40"/>
      <c r="E419" s="40"/>
      <c r="F419" s="40"/>
      <c r="G419" s="40"/>
      <c r="H419" s="41"/>
      <c r="I419" s="1" t="s">
        <v>94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75">
      <c r="A420" s="43" t="s">
        <v>104</v>
      </c>
      <c r="B420" s="40"/>
      <c r="C420" s="40"/>
      <c r="D420" s="40"/>
      <c r="E420" s="40"/>
      <c r="F420" s="40"/>
      <c r="G420" s="40"/>
      <c r="H420" s="41"/>
      <c r="I420" s="1" t="s">
        <v>94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5000000000000004">
      <c r="A421" s="2" t="s">
        <v>3</v>
      </c>
      <c r="B421" s="2" t="s">
        <v>4</v>
      </c>
      <c r="C421" s="2" t="s">
        <v>5</v>
      </c>
      <c r="D421" s="2" t="s">
        <v>6</v>
      </c>
      <c r="E421" s="2" t="s">
        <v>7</v>
      </c>
      <c r="F421" s="3" t="s">
        <v>8</v>
      </c>
      <c r="G421" s="2" t="s">
        <v>9</v>
      </c>
      <c r="H421" s="4"/>
      <c r="I421" s="1" t="s">
        <v>94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75">
      <c r="A422" s="5">
        <v>1</v>
      </c>
      <c r="B422" s="6" t="s">
        <v>105</v>
      </c>
      <c r="C422" s="7">
        <v>1023</v>
      </c>
      <c r="D422" s="6" t="s">
        <v>12</v>
      </c>
      <c r="E422" s="6">
        <v>1.5</v>
      </c>
      <c r="F422" s="8">
        <v>293000</v>
      </c>
      <c r="G422" s="9">
        <f t="shared" ref="G422:G424" si="28">IFERROR(E422*F422,0)</f>
        <v>439500</v>
      </c>
      <c r="H422" s="10"/>
      <c r="I422" s="1" t="s">
        <v>94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75">
      <c r="A423" s="5">
        <v>2</v>
      </c>
      <c r="B423" s="16" t="s">
        <v>106</v>
      </c>
      <c r="C423" s="17">
        <v>2599</v>
      </c>
      <c r="D423" s="16" t="s">
        <v>14</v>
      </c>
      <c r="E423" s="16">
        <v>1.94</v>
      </c>
      <c r="F423" s="11">
        <v>435000</v>
      </c>
      <c r="G423" s="9">
        <f t="shared" si="28"/>
        <v>843900</v>
      </c>
      <c r="H423" s="10"/>
      <c r="I423" s="1" t="s">
        <v>94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75">
      <c r="A424" s="5">
        <v>3</v>
      </c>
      <c r="B424" s="12" t="s">
        <v>15</v>
      </c>
      <c r="C424" s="10"/>
      <c r="D424" s="10"/>
      <c r="E424" s="10"/>
      <c r="F424" s="10"/>
      <c r="G424" s="13">
        <f t="shared" si="28"/>
        <v>0</v>
      </c>
      <c r="H424" s="10"/>
      <c r="I424" s="1" t="s">
        <v>94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75">
      <c r="A425" s="39" t="s">
        <v>16</v>
      </c>
      <c r="B425" s="40"/>
      <c r="C425" s="40"/>
      <c r="D425" s="40"/>
      <c r="E425" s="40"/>
      <c r="F425" s="40"/>
      <c r="G425" s="41"/>
      <c r="H425" s="14">
        <f>SUM(G422:G424)</f>
        <v>1283400</v>
      </c>
      <c r="I425" s="1" t="s">
        <v>94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75">
      <c r="A426" s="39" t="s">
        <v>17</v>
      </c>
      <c r="B426" s="40"/>
      <c r="C426" s="40"/>
      <c r="D426" s="40"/>
      <c r="E426" s="40"/>
      <c r="F426" s="40"/>
      <c r="G426" s="41"/>
      <c r="H426" s="14">
        <f>MAX(0,H425-648000)</f>
        <v>635400</v>
      </c>
      <c r="I426" s="1" t="s">
        <v>94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75">
      <c r="A427" s="42" t="s">
        <v>18</v>
      </c>
      <c r="B427" s="40"/>
      <c r="C427" s="40"/>
      <c r="D427" s="40"/>
      <c r="E427" s="40"/>
      <c r="F427" s="40"/>
      <c r="G427" s="41"/>
      <c r="H427" s="15">
        <v>649000</v>
      </c>
      <c r="I427" s="1" t="s">
        <v>94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75">
      <c r="A428" s="43" t="s">
        <v>19</v>
      </c>
      <c r="B428" s="40"/>
      <c r="C428" s="40"/>
      <c r="D428" s="40"/>
      <c r="E428" s="40"/>
      <c r="F428" s="40"/>
      <c r="G428" s="40"/>
      <c r="H428" s="41"/>
      <c r="I428" s="1" t="s">
        <v>94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45">
      <c r="I429" s="1" t="s">
        <v>94</v>
      </c>
    </row>
    <row r="430" spans="1:26" ht="15.75" customHeight="1" x14ac:dyDescent="0.45">
      <c r="I430" s="1" t="s">
        <v>94</v>
      </c>
    </row>
    <row r="431" spans="1:26" ht="15.75" customHeight="1" x14ac:dyDescent="0.45">
      <c r="I431" s="1" t="s">
        <v>94</v>
      </c>
    </row>
    <row r="432" spans="1:26" ht="15.75" customHeight="1" x14ac:dyDescent="0.45">
      <c r="I432" s="1" t="s">
        <v>94</v>
      </c>
    </row>
    <row r="433" spans="1:26" ht="15.75" customHeight="1" x14ac:dyDescent="0.45">
      <c r="I433" s="1" t="s">
        <v>94</v>
      </c>
    </row>
    <row r="434" spans="1:26" ht="15.75" customHeight="1" x14ac:dyDescent="0.45">
      <c r="I434" s="1" t="s">
        <v>94</v>
      </c>
    </row>
    <row r="435" spans="1:26" ht="15.75" customHeight="1" x14ac:dyDescent="0.75">
      <c r="A435" s="43" t="s">
        <v>0</v>
      </c>
      <c r="B435" s="40"/>
      <c r="C435" s="40"/>
      <c r="D435" s="40"/>
      <c r="E435" s="40"/>
      <c r="F435" s="40"/>
      <c r="G435" s="40"/>
      <c r="H435" s="41"/>
      <c r="I435" s="1" t="s">
        <v>94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75">
      <c r="A436" s="43" t="s">
        <v>107</v>
      </c>
      <c r="B436" s="40"/>
      <c r="C436" s="40"/>
      <c r="D436" s="40"/>
      <c r="E436" s="40"/>
      <c r="F436" s="40"/>
      <c r="G436" s="40"/>
      <c r="H436" s="41"/>
      <c r="I436" s="1" t="s">
        <v>94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5000000000000004">
      <c r="A437" s="2" t="s">
        <v>3</v>
      </c>
      <c r="B437" s="2" t="s">
        <v>4</v>
      </c>
      <c r="C437" s="2" t="s">
        <v>5</v>
      </c>
      <c r="D437" s="2" t="s">
        <v>6</v>
      </c>
      <c r="E437" s="2" t="s">
        <v>7</v>
      </c>
      <c r="F437" s="3" t="s">
        <v>8</v>
      </c>
      <c r="G437" s="2" t="s">
        <v>9</v>
      </c>
      <c r="H437" s="4"/>
      <c r="I437" s="1" t="s">
        <v>94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75">
      <c r="A438" s="5">
        <v>1</v>
      </c>
      <c r="B438" s="6" t="s">
        <v>108</v>
      </c>
      <c r="C438" s="7">
        <v>1018</v>
      </c>
      <c r="D438" s="6" t="s">
        <v>12</v>
      </c>
      <c r="E438" s="6">
        <v>1.7</v>
      </c>
      <c r="F438" s="8">
        <v>293000</v>
      </c>
      <c r="G438" s="9">
        <f t="shared" ref="G438:G440" si="29">IFERROR(E438*F438,0)</f>
        <v>498100</v>
      </c>
      <c r="H438" s="10"/>
      <c r="I438" s="1" t="s">
        <v>94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75">
      <c r="A439" s="5">
        <v>2</v>
      </c>
      <c r="B439" s="16" t="s">
        <v>65</v>
      </c>
      <c r="C439" s="17">
        <v>1046</v>
      </c>
      <c r="D439" s="16" t="s">
        <v>45</v>
      </c>
      <c r="E439" s="16">
        <v>1.8</v>
      </c>
      <c r="F439" s="11">
        <v>435000</v>
      </c>
      <c r="G439" s="9">
        <f t="shared" si="29"/>
        <v>783000</v>
      </c>
      <c r="H439" s="10"/>
      <c r="I439" s="1" t="s">
        <v>94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75">
      <c r="A440" s="5">
        <v>3</v>
      </c>
      <c r="B440" s="12" t="s">
        <v>15</v>
      </c>
      <c r="C440" s="10"/>
      <c r="D440" s="10"/>
      <c r="E440" s="10"/>
      <c r="F440" s="10"/>
      <c r="G440" s="13">
        <f t="shared" si="29"/>
        <v>0</v>
      </c>
      <c r="H440" s="10"/>
      <c r="I440" s="1" t="s">
        <v>94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75">
      <c r="A441" s="39" t="s">
        <v>16</v>
      </c>
      <c r="B441" s="40"/>
      <c r="C441" s="40"/>
      <c r="D441" s="40"/>
      <c r="E441" s="40"/>
      <c r="F441" s="40"/>
      <c r="G441" s="41"/>
      <c r="H441" s="14">
        <f>SUM(G438:G440)</f>
        <v>1281100</v>
      </c>
      <c r="I441" s="1" t="s">
        <v>94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75">
      <c r="A442" s="39" t="s">
        <v>17</v>
      </c>
      <c r="B442" s="40"/>
      <c r="C442" s="40"/>
      <c r="D442" s="40"/>
      <c r="E442" s="40"/>
      <c r="F442" s="40"/>
      <c r="G442" s="41"/>
      <c r="H442" s="14">
        <f>MAX(0,H441-648000)</f>
        <v>633100</v>
      </c>
      <c r="I442" s="1" t="s">
        <v>94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75">
      <c r="A443" s="42" t="s">
        <v>18</v>
      </c>
      <c r="B443" s="40"/>
      <c r="C443" s="40"/>
      <c r="D443" s="40"/>
      <c r="E443" s="40"/>
      <c r="F443" s="40"/>
      <c r="G443" s="41"/>
      <c r="H443" s="15">
        <v>649000</v>
      </c>
      <c r="I443" s="1" t="s">
        <v>94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75">
      <c r="A444" s="43" t="s">
        <v>19</v>
      </c>
      <c r="B444" s="40"/>
      <c r="C444" s="40"/>
      <c r="D444" s="40"/>
      <c r="E444" s="40"/>
      <c r="F444" s="40"/>
      <c r="G444" s="40"/>
      <c r="H444" s="41"/>
      <c r="I444" s="1" t="s">
        <v>94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45">
      <c r="I445" s="1" t="s">
        <v>94</v>
      </c>
    </row>
    <row r="446" spans="1:26" ht="15.75" customHeight="1" x14ac:dyDescent="0.45">
      <c r="I446" s="1" t="s">
        <v>94</v>
      </c>
    </row>
    <row r="447" spans="1:26" ht="15.75" customHeight="1" x14ac:dyDescent="0.45">
      <c r="I447" s="1" t="s">
        <v>94</v>
      </c>
    </row>
    <row r="448" spans="1:26" ht="15.75" customHeight="1" x14ac:dyDescent="0.45">
      <c r="I448" s="1" t="s">
        <v>94</v>
      </c>
    </row>
    <row r="449" spans="1:26" ht="15.75" customHeight="1" x14ac:dyDescent="0.45">
      <c r="I449" s="1" t="s">
        <v>94</v>
      </c>
    </row>
    <row r="450" spans="1:26" ht="15.75" customHeight="1" x14ac:dyDescent="0.75">
      <c r="A450" s="43" t="s">
        <v>0</v>
      </c>
      <c r="B450" s="40"/>
      <c r="C450" s="40"/>
      <c r="D450" s="40"/>
      <c r="E450" s="40"/>
      <c r="F450" s="40"/>
      <c r="G450" s="40"/>
      <c r="H450" s="41"/>
      <c r="I450" s="1" t="s">
        <v>94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75">
      <c r="A451" s="43" t="s">
        <v>109</v>
      </c>
      <c r="B451" s="40"/>
      <c r="C451" s="40"/>
      <c r="D451" s="40"/>
      <c r="E451" s="40"/>
      <c r="F451" s="40"/>
      <c r="G451" s="40"/>
      <c r="H451" s="41"/>
      <c r="I451" s="1" t="s">
        <v>94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5000000000000004">
      <c r="A452" s="2" t="s">
        <v>3</v>
      </c>
      <c r="B452" s="2" t="s">
        <v>4</v>
      </c>
      <c r="C452" s="2" t="s">
        <v>5</v>
      </c>
      <c r="D452" s="2" t="s">
        <v>6</v>
      </c>
      <c r="E452" s="2" t="s">
        <v>7</v>
      </c>
      <c r="F452" s="3" t="s">
        <v>8</v>
      </c>
      <c r="G452" s="2" t="s">
        <v>9</v>
      </c>
      <c r="H452" s="4"/>
      <c r="I452" s="1" t="s">
        <v>94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75">
      <c r="A453" s="5">
        <v>1</v>
      </c>
      <c r="B453" s="6" t="s">
        <v>110</v>
      </c>
      <c r="C453" s="7">
        <v>1014</v>
      </c>
      <c r="D453" s="6" t="s">
        <v>12</v>
      </c>
      <c r="E453" s="6">
        <v>1.8</v>
      </c>
      <c r="F453" s="8">
        <v>293000</v>
      </c>
      <c r="G453" s="9">
        <f t="shared" ref="G453:G455" si="30">IFERROR(E453*F453,0)</f>
        <v>527400</v>
      </c>
      <c r="H453" s="10"/>
      <c r="I453" s="1" t="s">
        <v>94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75">
      <c r="A454" s="5">
        <v>2</v>
      </c>
      <c r="B454" s="16" t="s">
        <v>21</v>
      </c>
      <c r="C454" s="17">
        <v>2141</v>
      </c>
      <c r="D454" s="16" t="s">
        <v>14</v>
      </c>
      <c r="E454" s="16">
        <v>1.73</v>
      </c>
      <c r="F454" s="11">
        <v>435000</v>
      </c>
      <c r="G454" s="9">
        <f t="shared" si="30"/>
        <v>752550</v>
      </c>
      <c r="H454" s="10"/>
      <c r="I454" s="1" t="s">
        <v>94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75">
      <c r="A455" s="5">
        <v>3</v>
      </c>
      <c r="B455" s="12" t="s">
        <v>15</v>
      </c>
      <c r="C455" s="10"/>
      <c r="D455" s="10"/>
      <c r="E455" s="10"/>
      <c r="F455" s="10"/>
      <c r="G455" s="13">
        <f t="shared" si="30"/>
        <v>0</v>
      </c>
      <c r="H455" s="10"/>
      <c r="I455" s="1" t="s">
        <v>94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75">
      <c r="A456" s="39" t="s">
        <v>16</v>
      </c>
      <c r="B456" s="40"/>
      <c r="C456" s="40"/>
      <c r="D456" s="40"/>
      <c r="E456" s="40"/>
      <c r="F456" s="40"/>
      <c r="G456" s="41"/>
      <c r="H456" s="14">
        <f>SUM(G453:G455)</f>
        <v>1279950</v>
      </c>
      <c r="I456" s="1" t="s">
        <v>94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75">
      <c r="A457" s="39" t="s">
        <v>17</v>
      </c>
      <c r="B457" s="40"/>
      <c r="C457" s="40"/>
      <c r="D457" s="40"/>
      <c r="E457" s="40"/>
      <c r="F457" s="40"/>
      <c r="G457" s="41"/>
      <c r="H457" s="14">
        <f>MAX(0,H456-648000)</f>
        <v>631950</v>
      </c>
      <c r="I457" s="1" t="s">
        <v>94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75">
      <c r="A458" s="42" t="s">
        <v>18</v>
      </c>
      <c r="B458" s="40"/>
      <c r="C458" s="40"/>
      <c r="D458" s="40"/>
      <c r="E458" s="40"/>
      <c r="F458" s="40"/>
      <c r="G458" s="41"/>
      <c r="H458" s="15">
        <v>649000</v>
      </c>
      <c r="I458" s="1" t="s">
        <v>94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75">
      <c r="A459" s="43" t="s">
        <v>19</v>
      </c>
      <c r="B459" s="40"/>
      <c r="C459" s="40"/>
      <c r="D459" s="40"/>
      <c r="E459" s="40"/>
      <c r="F459" s="40"/>
      <c r="G459" s="40"/>
      <c r="H459" s="41"/>
      <c r="I459" s="1" t="s">
        <v>94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45">
      <c r="I460" s="1" t="s">
        <v>94</v>
      </c>
    </row>
    <row r="461" spans="1:26" ht="15.75" customHeight="1" x14ac:dyDescent="0.45">
      <c r="I461" s="1" t="s">
        <v>94</v>
      </c>
    </row>
    <row r="462" spans="1:26" ht="15.75" customHeight="1" x14ac:dyDescent="0.45">
      <c r="I462" s="1" t="s">
        <v>94</v>
      </c>
    </row>
    <row r="463" spans="1:26" ht="15.75" customHeight="1" x14ac:dyDescent="0.45">
      <c r="I463" s="1" t="s">
        <v>94</v>
      </c>
    </row>
    <row r="464" spans="1:26" ht="15.75" customHeight="1" x14ac:dyDescent="0.45">
      <c r="I464" s="1" t="s">
        <v>94</v>
      </c>
    </row>
    <row r="465" spans="1:26" ht="15.75" customHeight="1" x14ac:dyDescent="0.75">
      <c r="A465" s="43" t="s">
        <v>0</v>
      </c>
      <c r="B465" s="40"/>
      <c r="C465" s="40"/>
      <c r="D465" s="40"/>
      <c r="E465" s="40"/>
      <c r="F465" s="40"/>
      <c r="G465" s="40"/>
      <c r="H465" s="41"/>
      <c r="I465" s="1" t="s">
        <v>94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75">
      <c r="A466" s="43" t="s">
        <v>111</v>
      </c>
      <c r="B466" s="40"/>
      <c r="C466" s="40"/>
      <c r="D466" s="40"/>
      <c r="E466" s="40"/>
      <c r="F466" s="40"/>
      <c r="G466" s="40"/>
      <c r="H466" s="41"/>
      <c r="I466" s="1" t="s">
        <v>94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5000000000000004">
      <c r="A467" s="2" t="s">
        <v>3</v>
      </c>
      <c r="B467" s="2" t="s">
        <v>4</v>
      </c>
      <c r="C467" s="2" t="s">
        <v>5</v>
      </c>
      <c r="D467" s="2" t="s">
        <v>6</v>
      </c>
      <c r="E467" s="2" t="s">
        <v>7</v>
      </c>
      <c r="F467" s="3" t="s">
        <v>8</v>
      </c>
      <c r="G467" s="2" t="s">
        <v>9</v>
      </c>
      <c r="H467" s="4"/>
      <c r="I467" s="1" t="s">
        <v>94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75">
      <c r="A468" s="5">
        <v>1</v>
      </c>
      <c r="B468" s="6" t="s">
        <v>112</v>
      </c>
      <c r="C468" s="7">
        <v>2309</v>
      </c>
      <c r="D468" s="6" t="s">
        <v>12</v>
      </c>
      <c r="E468" s="6">
        <v>2.42</v>
      </c>
      <c r="F468" s="8">
        <v>293000</v>
      </c>
      <c r="G468" s="9">
        <f t="shared" ref="G468:G470" si="31">IFERROR(E468*F468,0)</f>
        <v>709060</v>
      </c>
      <c r="H468" s="10"/>
      <c r="I468" s="1" t="s">
        <v>94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75">
      <c r="A469" s="5">
        <v>2</v>
      </c>
      <c r="B469" s="16" t="s">
        <v>113</v>
      </c>
      <c r="C469" s="17">
        <v>7490</v>
      </c>
      <c r="D469" s="16" t="s">
        <v>14</v>
      </c>
      <c r="E469" s="16">
        <v>1</v>
      </c>
      <c r="F469" s="11">
        <v>435000</v>
      </c>
      <c r="G469" s="9">
        <f t="shared" si="31"/>
        <v>435000</v>
      </c>
      <c r="H469" s="10"/>
      <c r="I469" s="1" t="s">
        <v>94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75">
      <c r="A470" s="5">
        <v>3</v>
      </c>
      <c r="B470" s="12" t="s">
        <v>15</v>
      </c>
      <c r="C470" s="10"/>
      <c r="D470" s="10"/>
      <c r="E470" s="10"/>
      <c r="F470" s="10"/>
      <c r="G470" s="13">
        <f t="shared" si="31"/>
        <v>0</v>
      </c>
      <c r="H470" s="10"/>
      <c r="I470" s="1" t="s">
        <v>94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75">
      <c r="A471" s="39" t="s">
        <v>16</v>
      </c>
      <c r="B471" s="40"/>
      <c r="C471" s="40"/>
      <c r="D471" s="40"/>
      <c r="E471" s="40"/>
      <c r="F471" s="40"/>
      <c r="G471" s="41"/>
      <c r="H471" s="14">
        <f>SUM(G468:G470)</f>
        <v>1144060</v>
      </c>
      <c r="I471" s="1" t="s">
        <v>94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75">
      <c r="A472" s="39" t="s">
        <v>17</v>
      </c>
      <c r="B472" s="40"/>
      <c r="C472" s="40"/>
      <c r="D472" s="40"/>
      <c r="E472" s="40"/>
      <c r="F472" s="40"/>
      <c r="G472" s="41"/>
      <c r="H472" s="14">
        <f>MAX(0,H471-648000)</f>
        <v>496060</v>
      </c>
      <c r="I472" s="1" t="s">
        <v>94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75">
      <c r="A473" s="42" t="s">
        <v>18</v>
      </c>
      <c r="B473" s="40"/>
      <c r="C473" s="40"/>
      <c r="D473" s="40"/>
      <c r="E473" s="40"/>
      <c r="F473" s="40"/>
      <c r="G473" s="41"/>
      <c r="H473" s="15">
        <v>649000</v>
      </c>
      <c r="I473" s="1" t="s">
        <v>94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75">
      <c r="A474" s="43" t="s">
        <v>19</v>
      </c>
      <c r="B474" s="40"/>
      <c r="C474" s="40"/>
      <c r="D474" s="40"/>
      <c r="E474" s="40"/>
      <c r="F474" s="40"/>
      <c r="G474" s="40"/>
      <c r="H474" s="41"/>
      <c r="I474" s="1" t="s">
        <v>94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45">
      <c r="I475" s="1" t="s">
        <v>94</v>
      </c>
    </row>
    <row r="476" spans="1:26" ht="15.75" customHeight="1" x14ac:dyDescent="0.45">
      <c r="I476" s="1" t="s">
        <v>94</v>
      </c>
    </row>
    <row r="477" spans="1:26" ht="15.75" customHeight="1" x14ac:dyDescent="0.45">
      <c r="I477" s="1" t="s">
        <v>94</v>
      </c>
    </row>
    <row r="478" spans="1:26" ht="15.75" customHeight="1" x14ac:dyDescent="0.45">
      <c r="I478" s="1" t="s">
        <v>94</v>
      </c>
    </row>
    <row r="479" spans="1:26" ht="15.75" customHeight="1" x14ac:dyDescent="0.45">
      <c r="I479" s="1" t="s">
        <v>94</v>
      </c>
    </row>
    <row r="480" spans="1:26" ht="15.75" customHeight="1" x14ac:dyDescent="0.45">
      <c r="I480" s="1" t="s">
        <v>94</v>
      </c>
    </row>
    <row r="481" spans="1:26" ht="15.75" customHeight="1" x14ac:dyDescent="0.75">
      <c r="A481" s="43" t="s">
        <v>0</v>
      </c>
      <c r="B481" s="40"/>
      <c r="C481" s="40"/>
      <c r="D481" s="40"/>
      <c r="E481" s="40"/>
      <c r="F481" s="40"/>
      <c r="G481" s="40"/>
      <c r="H481" s="41"/>
      <c r="I481" s="1" t="s">
        <v>94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75">
      <c r="A482" s="43" t="s">
        <v>114</v>
      </c>
      <c r="B482" s="40"/>
      <c r="C482" s="40"/>
      <c r="D482" s="40"/>
      <c r="E482" s="40"/>
      <c r="F482" s="40"/>
      <c r="G482" s="40"/>
      <c r="H482" s="41"/>
      <c r="I482" s="1" t="s">
        <v>94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5000000000000004">
      <c r="A483" s="2" t="s">
        <v>3</v>
      </c>
      <c r="B483" s="2" t="s">
        <v>4</v>
      </c>
      <c r="C483" s="2" t="s">
        <v>5</v>
      </c>
      <c r="D483" s="2" t="s">
        <v>6</v>
      </c>
      <c r="E483" s="2" t="s">
        <v>7</v>
      </c>
      <c r="F483" s="3" t="s">
        <v>8</v>
      </c>
      <c r="G483" s="2" t="s">
        <v>9</v>
      </c>
      <c r="H483" s="4"/>
      <c r="I483" s="1" t="s">
        <v>94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75">
      <c r="A484" s="5">
        <v>1</v>
      </c>
      <c r="B484" s="6" t="s">
        <v>115</v>
      </c>
      <c r="C484" s="7">
        <v>1025</v>
      </c>
      <c r="D484" s="6" t="s">
        <v>12</v>
      </c>
      <c r="E484" s="6">
        <v>2</v>
      </c>
      <c r="F484" s="8">
        <v>293000</v>
      </c>
      <c r="G484" s="9">
        <f t="shared" ref="G484:G486" si="32">IFERROR(E484*F484,0)</f>
        <v>586000</v>
      </c>
      <c r="H484" s="10"/>
      <c r="I484" s="1" t="s">
        <v>94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75">
      <c r="A485" s="5">
        <v>2</v>
      </c>
      <c r="B485" s="6" t="s">
        <v>116</v>
      </c>
      <c r="C485" s="7">
        <v>3599</v>
      </c>
      <c r="D485" s="6" t="s">
        <v>14</v>
      </c>
      <c r="E485" s="6">
        <v>1.4</v>
      </c>
      <c r="F485" s="11">
        <v>435000</v>
      </c>
      <c r="G485" s="9">
        <f t="shared" si="32"/>
        <v>609000</v>
      </c>
      <c r="H485" s="10"/>
      <c r="I485" s="1" t="s">
        <v>94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75">
      <c r="A486" s="5">
        <v>3</v>
      </c>
      <c r="B486" s="12" t="s">
        <v>15</v>
      </c>
      <c r="C486" s="10"/>
      <c r="D486" s="10"/>
      <c r="E486" s="10"/>
      <c r="F486" s="10"/>
      <c r="G486" s="13">
        <f t="shared" si="32"/>
        <v>0</v>
      </c>
      <c r="H486" s="10"/>
      <c r="I486" s="1" t="s">
        <v>94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75">
      <c r="A487" s="39" t="s">
        <v>16</v>
      </c>
      <c r="B487" s="40"/>
      <c r="C487" s="40"/>
      <c r="D487" s="40"/>
      <c r="E487" s="40"/>
      <c r="F487" s="40"/>
      <c r="G487" s="41"/>
      <c r="H487" s="14">
        <f>SUM(G484:G486)</f>
        <v>1195000</v>
      </c>
      <c r="I487" s="1" t="s">
        <v>94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75">
      <c r="A488" s="39" t="s">
        <v>17</v>
      </c>
      <c r="B488" s="40"/>
      <c r="C488" s="40"/>
      <c r="D488" s="40"/>
      <c r="E488" s="40"/>
      <c r="F488" s="40"/>
      <c r="G488" s="41"/>
      <c r="H488" s="14">
        <f>MAX(0,H487-648000)</f>
        <v>547000</v>
      </c>
      <c r="I488" s="1" t="s">
        <v>94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75">
      <c r="A489" s="42" t="s">
        <v>18</v>
      </c>
      <c r="B489" s="40"/>
      <c r="C489" s="40"/>
      <c r="D489" s="40"/>
      <c r="E489" s="40"/>
      <c r="F489" s="40"/>
      <c r="G489" s="41"/>
      <c r="H489" s="15">
        <v>649000</v>
      </c>
      <c r="I489" s="1" t="s">
        <v>94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75">
      <c r="A490" s="43" t="s">
        <v>19</v>
      </c>
      <c r="B490" s="40"/>
      <c r="C490" s="40"/>
      <c r="D490" s="40"/>
      <c r="E490" s="40"/>
      <c r="F490" s="40"/>
      <c r="G490" s="40"/>
      <c r="H490" s="41"/>
      <c r="I490" s="1" t="s">
        <v>94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45">
      <c r="I491" s="1" t="s">
        <v>94</v>
      </c>
    </row>
    <row r="492" spans="1:26" ht="15.75" customHeight="1" x14ac:dyDescent="0.45">
      <c r="I492" s="1" t="s">
        <v>94</v>
      </c>
    </row>
    <row r="493" spans="1:26" ht="15.75" customHeight="1" x14ac:dyDescent="0.45">
      <c r="I493" s="1" t="s">
        <v>94</v>
      </c>
    </row>
    <row r="494" spans="1:26" ht="15.75" customHeight="1" x14ac:dyDescent="0.45">
      <c r="I494" s="1" t="s">
        <v>94</v>
      </c>
    </row>
    <row r="495" spans="1:26" ht="15.75" customHeight="1" x14ac:dyDescent="0.45">
      <c r="I495" s="1" t="s">
        <v>94</v>
      </c>
    </row>
    <row r="496" spans="1:26" ht="15.75" customHeight="1" x14ac:dyDescent="0.75">
      <c r="A496" s="43" t="s">
        <v>0</v>
      </c>
      <c r="B496" s="40"/>
      <c r="C496" s="40"/>
      <c r="D496" s="40"/>
      <c r="E496" s="40"/>
      <c r="F496" s="40"/>
      <c r="G496" s="40"/>
      <c r="H496" s="41"/>
      <c r="I496" s="1" t="s">
        <v>94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75">
      <c r="A497" s="43" t="s">
        <v>117</v>
      </c>
      <c r="B497" s="40"/>
      <c r="C497" s="40"/>
      <c r="D497" s="40"/>
      <c r="E497" s="40"/>
      <c r="F497" s="40"/>
      <c r="G497" s="40"/>
      <c r="H497" s="41"/>
      <c r="I497" s="1" t="s">
        <v>94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5000000000000004">
      <c r="A498" s="2" t="s">
        <v>3</v>
      </c>
      <c r="B498" s="2" t="s">
        <v>4</v>
      </c>
      <c r="C498" s="2" t="s">
        <v>5</v>
      </c>
      <c r="D498" s="2" t="s">
        <v>6</v>
      </c>
      <c r="E498" s="2" t="s">
        <v>7</v>
      </c>
      <c r="F498" s="3" t="s">
        <v>8</v>
      </c>
      <c r="G498" s="2" t="s">
        <v>9</v>
      </c>
      <c r="H498" s="4"/>
      <c r="I498" s="1" t="s">
        <v>94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75">
      <c r="A499" s="5">
        <v>1</v>
      </c>
      <c r="B499" s="6" t="s">
        <v>118</v>
      </c>
      <c r="C499" s="7">
        <v>6790</v>
      </c>
      <c r="D499" s="6" t="s">
        <v>12</v>
      </c>
      <c r="E499" s="6">
        <v>2.12</v>
      </c>
      <c r="F499" s="8">
        <v>293000</v>
      </c>
      <c r="G499" s="9">
        <f t="shared" ref="G499:G501" si="33">IFERROR(E499*F499,0)</f>
        <v>621160</v>
      </c>
      <c r="H499" s="10"/>
      <c r="I499" s="1" t="s">
        <v>94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75">
      <c r="A500" s="5">
        <v>2</v>
      </c>
      <c r="B500" s="16" t="s">
        <v>119</v>
      </c>
      <c r="C500" s="17">
        <v>4536</v>
      </c>
      <c r="D500" s="16" t="s">
        <v>14</v>
      </c>
      <c r="E500" s="16">
        <v>1.35</v>
      </c>
      <c r="F500" s="11">
        <v>435000</v>
      </c>
      <c r="G500" s="9">
        <f t="shared" si="33"/>
        <v>587250</v>
      </c>
      <c r="H500" s="10"/>
      <c r="I500" s="1" t="s">
        <v>94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75">
      <c r="A501" s="5">
        <v>3</v>
      </c>
      <c r="B501" s="12" t="s">
        <v>15</v>
      </c>
      <c r="C501" s="10"/>
      <c r="D501" s="10"/>
      <c r="E501" s="10"/>
      <c r="F501" s="10"/>
      <c r="G501" s="13">
        <f t="shared" si="33"/>
        <v>0</v>
      </c>
      <c r="H501" s="10"/>
      <c r="I501" s="1" t="s">
        <v>94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75">
      <c r="A502" s="39" t="s">
        <v>16</v>
      </c>
      <c r="B502" s="40"/>
      <c r="C502" s="40"/>
      <c r="D502" s="40"/>
      <c r="E502" s="40"/>
      <c r="F502" s="40"/>
      <c r="G502" s="41"/>
      <c r="H502" s="14">
        <f>SUM(G499:G501)</f>
        <v>1208410</v>
      </c>
      <c r="I502" s="1" t="s">
        <v>94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75">
      <c r="A503" s="39" t="s">
        <v>17</v>
      </c>
      <c r="B503" s="40"/>
      <c r="C503" s="40"/>
      <c r="D503" s="40"/>
      <c r="E503" s="40"/>
      <c r="F503" s="40"/>
      <c r="G503" s="41"/>
      <c r="H503" s="14">
        <f>MAX(0,H502-648000)</f>
        <v>560410</v>
      </c>
      <c r="I503" s="1" t="s">
        <v>94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75">
      <c r="A504" s="42" t="s">
        <v>18</v>
      </c>
      <c r="B504" s="40"/>
      <c r="C504" s="40"/>
      <c r="D504" s="40"/>
      <c r="E504" s="40"/>
      <c r="F504" s="40"/>
      <c r="G504" s="41"/>
      <c r="H504" s="15">
        <v>649000</v>
      </c>
      <c r="I504" s="1" t="s">
        <v>94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75">
      <c r="A505" s="43" t="s">
        <v>19</v>
      </c>
      <c r="B505" s="40"/>
      <c r="C505" s="40"/>
      <c r="D505" s="40"/>
      <c r="E505" s="40"/>
      <c r="F505" s="40"/>
      <c r="G505" s="40"/>
      <c r="H505" s="41"/>
      <c r="I505" s="1" t="s">
        <v>94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45">
      <c r="I506" s="1" t="s">
        <v>94</v>
      </c>
    </row>
    <row r="507" spans="1:26" ht="15.75" customHeight="1" x14ac:dyDescent="0.45"/>
    <row r="508" spans="1:26" ht="15.75" customHeight="1" x14ac:dyDescent="0.45"/>
    <row r="509" spans="1:26" ht="15.75" customHeight="1" x14ac:dyDescent="0.45"/>
    <row r="510" spans="1:26" ht="15.75" customHeight="1" x14ac:dyDescent="0.45"/>
    <row r="511" spans="1:26" ht="15.75" customHeight="1" x14ac:dyDescent="0.45"/>
    <row r="512" spans="1:26" ht="15.75" customHeight="1" x14ac:dyDescent="0.45"/>
    <row r="513" spans="1:26" ht="15.75" customHeight="1" x14ac:dyDescent="0.45"/>
    <row r="514" spans="1:26" ht="15.75" customHeight="1" x14ac:dyDescent="0.45"/>
    <row r="515" spans="1:26" ht="15.75" customHeight="1" x14ac:dyDescent="0.75">
      <c r="A515" s="43" t="s">
        <v>0</v>
      </c>
      <c r="B515" s="40"/>
      <c r="C515" s="40"/>
      <c r="D515" s="40"/>
      <c r="E515" s="40"/>
      <c r="F515" s="40"/>
      <c r="G515" s="40"/>
      <c r="H515" s="41"/>
      <c r="I515" s="1" t="s">
        <v>120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75">
      <c r="A516" s="43" t="s">
        <v>121</v>
      </c>
      <c r="B516" s="40"/>
      <c r="C516" s="40"/>
      <c r="D516" s="40"/>
      <c r="E516" s="40"/>
      <c r="F516" s="40"/>
      <c r="G516" s="40"/>
      <c r="H516" s="41"/>
      <c r="I516" s="1" t="s">
        <v>120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5000000000000004">
      <c r="A517" s="2" t="s">
        <v>3</v>
      </c>
      <c r="B517" s="2" t="s">
        <v>4</v>
      </c>
      <c r="C517" s="2" t="s">
        <v>5</v>
      </c>
      <c r="D517" s="2" t="s">
        <v>6</v>
      </c>
      <c r="E517" s="2" t="s">
        <v>7</v>
      </c>
      <c r="F517" s="3" t="s">
        <v>8</v>
      </c>
      <c r="G517" s="2" t="s">
        <v>9</v>
      </c>
      <c r="H517" s="4"/>
      <c r="I517" s="1" t="s">
        <v>120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75">
      <c r="A518" s="5">
        <v>1</v>
      </c>
      <c r="B518" s="6" t="s">
        <v>122</v>
      </c>
      <c r="C518" s="7">
        <v>1017</v>
      </c>
      <c r="D518" s="6" t="s">
        <v>12</v>
      </c>
      <c r="E518" s="6">
        <v>2</v>
      </c>
      <c r="F518" s="8">
        <v>293000</v>
      </c>
      <c r="G518" s="9">
        <f t="shared" ref="G518:G520" si="34">IFERROR(E518*F518,0)</f>
        <v>586000</v>
      </c>
      <c r="H518" s="10"/>
      <c r="I518" s="1" t="s">
        <v>120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75">
      <c r="A519" s="5">
        <v>2</v>
      </c>
      <c r="B519" s="16" t="s">
        <v>90</v>
      </c>
      <c r="C519" s="17">
        <v>5232</v>
      </c>
      <c r="D519" s="16" t="s">
        <v>14</v>
      </c>
      <c r="E519" s="16">
        <v>1.45</v>
      </c>
      <c r="F519" s="11">
        <v>435000</v>
      </c>
      <c r="G519" s="9">
        <f t="shared" si="34"/>
        <v>630750</v>
      </c>
      <c r="H519" s="10"/>
      <c r="I519" s="1" t="s">
        <v>120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75">
      <c r="A520" s="5">
        <v>3</v>
      </c>
      <c r="B520" s="12" t="s">
        <v>15</v>
      </c>
      <c r="C520" s="10"/>
      <c r="D520" s="10"/>
      <c r="E520" s="10"/>
      <c r="F520" s="10"/>
      <c r="G520" s="13">
        <f t="shared" si="34"/>
        <v>0</v>
      </c>
      <c r="H520" s="10"/>
      <c r="I520" s="1" t="s">
        <v>120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75">
      <c r="A521" s="39" t="s">
        <v>16</v>
      </c>
      <c r="B521" s="40"/>
      <c r="C521" s="40"/>
      <c r="D521" s="40"/>
      <c r="E521" s="40"/>
      <c r="F521" s="40"/>
      <c r="G521" s="41"/>
      <c r="H521" s="14">
        <f>SUM(G518:G520)</f>
        <v>1216750</v>
      </c>
      <c r="I521" s="1" t="s">
        <v>120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75">
      <c r="A522" s="39" t="s">
        <v>17</v>
      </c>
      <c r="B522" s="40"/>
      <c r="C522" s="40"/>
      <c r="D522" s="40"/>
      <c r="E522" s="40"/>
      <c r="F522" s="40"/>
      <c r="G522" s="41"/>
      <c r="H522" s="14">
        <f>MAX(0,H521-648000)</f>
        <v>568750</v>
      </c>
      <c r="I522" s="1" t="s">
        <v>120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75">
      <c r="A523" s="42" t="s">
        <v>18</v>
      </c>
      <c r="B523" s="40"/>
      <c r="C523" s="40"/>
      <c r="D523" s="40"/>
      <c r="E523" s="40"/>
      <c r="F523" s="40"/>
      <c r="G523" s="41"/>
      <c r="H523" s="15">
        <v>649000</v>
      </c>
      <c r="I523" s="1" t="s">
        <v>120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75">
      <c r="A524" s="43" t="s">
        <v>19</v>
      </c>
      <c r="B524" s="40"/>
      <c r="C524" s="40"/>
      <c r="D524" s="40"/>
      <c r="E524" s="40"/>
      <c r="F524" s="40"/>
      <c r="G524" s="40"/>
      <c r="H524" s="41"/>
      <c r="I524" s="1" t="s">
        <v>120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45"/>
    <row r="526" spans="1:26" ht="15.75" customHeight="1" x14ac:dyDescent="0.45"/>
    <row r="527" spans="1:26" ht="15.75" customHeight="1" x14ac:dyDescent="0.45"/>
    <row r="528" spans="1:26" ht="15.75" customHeight="1" x14ac:dyDescent="0.45"/>
    <row r="529" spans="1:26" ht="15.75" customHeight="1" x14ac:dyDescent="0.45"/>
    <row r="530" spans="1:26" ht="15.75" customHeight="1" x14ac:dyDescent="0.45"/>
    <row r="531" spans="1:26" ht="15.75" customHeight="1" x14ac:dyDescent="0.45"/>
    <row r="532" spans="1:26" ht="15.75" customHeight="1" x14ac:dyDescent="0.45"/>
    <row r="533" spans="1:26" ht="15.75" customHeight="1" x14ac:dyDescent="0.45"/>
    <row r="534" spans="1:26" ht="15.75" customHeight="1" x14ac:dyDescent="0.75">
      <c r="A534" s="43" t="s">
        <v>0</v>
      </c>
      <c r="B534" s="40"/>
      <c r="C534" s="40"/>
      <c r="D534" s="40"/>
      <c r="E534" s="40"/>
      <c r="F534" s="40"/>
      <c r="G534" s="40"/>
      <c r="H534" s="41"/>
      <c r="I534" s="1" t="s">
        <v>120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75">
      <c r="A535" s="43" t="s">
        <v>123</v>
      </c>
      <c r="B535" s="40"/>
      <c r="C535" s="40"/>
      <c r="D535" s="40"/>
      <c r="E535" s="40"/>
      <c r="F535" s="40"/>
      <c r="G535" s="40"/>
      <c r="H535" s="41"/>
      <c r="I535" s="1" t="s">
        <v>120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5000000000000004">
      <c r="A536" s="2" t="s">
        <v>3</v>
      </c>
      <c r="B536" s="2" t="s">
        <v>4</v>
      </c>
      <c r="C536" s="2" t="s">
        <v>5</v>
      </c>
      <c r="D536" s="2" t="s">
        <v>6</v>
      </c>
      <c r="E536" s="2" t="s">
        <v>7</v>
      </c>
      <c r="F536" s="3" t="s">
        <v>8</v>
      </c>
      <c r="G536" s="2" t="s">
        <v>9</v>
      </c>
      <c r="H536" s="4"/>
      <c r="I536" s="1" t="s">
        <v>120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75">
      <c r="A537" s="5">
        <v>1</v>
      </c>
      <c r="B537" s="6" t="s">
        <v>124</v>
      </c>
      <c r="C537" s="7">
        <v>8876</v>
      </c>
      <c r="D537" s="6" t="s">
        <v>12</v>
      </c>
      <c r="E537" s="6">
        <v>3</v>
      </c>
      <c r="F537" s="8">
        <v>293000</v>
      </c>
      <c r="G537" s="9">
        <f t="shared" ref="G537:G539" si="35">IFERROR(E537*F537,0)</f>
        <v>879000</v>
      </c>
      <c r="H537" s="10"/>
      <c r="I537" s="1" t="s">
        <v>120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75">
      <c r="A538" s="5">
        <v>2</v>
      </c>
      <c r="B538" s="16" t="s">
        <v>125</v>
      </c>
      <c r="C538" s="17">
        <v>2771</v>
      </c>
      <c r="D538" s="16" t="s">
        <v>14</v>
      </c>
      <c r="E538" s="16">
        <v>0.55000000000000004</v>
      </c>
      <c r="F538" s="11">
        <v>435000</v>
      </c>
      <c r="G538" s="9">
        <f t="shared" si="35"/>
        <v>239250.00000000003</v>
      </c>
      <c r="H538" s="10"/>
      <c r="I538" s="1" t="s">
        <v>120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75">
      <c r="A539" s="5">
        <v>3</v>
      </c>
      <c r="B539" s="12" t="s">
        <v>15</v>
      </c>
      <c r="C539" s="10"/>
      <c r="D539" s="10"/>
      <c r="E539" s="10"/>
      <c r="F539" s="10"/>
      <c r="G539" s="13">
        <f t="shared" si="35"/>
        <v>0</v>
      </c>
      <c r="H539" s="10"/>
      <c r="I539" s="1" t="s">
        <v>120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75">
      <c r="A540" s="39" t="s">
        <v>16</v>
      </c>
      <c r="B540" s="40"/>
      <c r="C540" s="40"/>
      <c r="D540" s="40"/>
      <c r="E540" s="40"/>
      <c r="F540" s="40"/>
      <c r="G540" s="41"/>
      <c r="H540" s="14">
        <f>SUM(G537:G539)</f>
        <v>1118250</v>
      </c>
      <c r="I540" s="1" t="s">
        <v>120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75">
      <c r="A541" s="39" t="s">
        <v>17</v>
      </c>
      <c r="B541" s="40"/>
      <c r="C541" s="40"/>
      <c r="D541" s="40"/>
      <c r="E541" s="40"/>
      <c r="F541" s="40"/>
      <c r="G541" s="41"/>
      <c r="H541" s="14">
        <f>MAX(0,H540-648000)</f>
        <v>470250</v>
      </c>
      <c r="I541" s="1" t="s">
        <v>120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75">
      <c r="A542" s="42" t="s">
        <v>18</v>
      </c>
      <c r="B542" s="40"/>
      <c r="C542" s="40"/>
      <c r="D542" s="40"/>
      <c r="E542" s="40"/>
      <c r="F542" s="40"/>
      <c r="G542" s="41"/>
      <c r="H542" s="15">
        <v>649000</v>
      </c>
      <c r="I542" s="1" t="s">
        <v>120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75">
      <c r="A543" s="43" t="s">
        <v>19</v>
      </c>
      <c r="B543" s="40"/>
      <c r="C543" s="40"/>
      <c r="D543" s="40"/>
      <c r="E543" s="40"/>
      <c r="F543" s="40"/>
      <c r="G543" s="40"/>
      <c r="H543" s="41"/>
      <c r="I543" s="1" t="s">
        <v>120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45"/>
    <row r="545" spans="1:26" ht="15.75" customHeight="1" x14ac:dyDescent="0.45"/>
    <row r="546" spans="1:26" ht="15.75" customHeight="1" x14ac:dyDescent="0.45"/>
    <row r="547" spans="1:26" ht="15.75" customHeight="1" x14ac:dyDescent="0.45"/>
    <row r="548" spans="1:26" ht="15.75" customHeight="1" x14ac:dyDescent="0.45"/>
    <row r="549" spans="1:26" ht="15.75" customHeight="1" x14ac:dyDescent="0.75">
      <c r="A549" s="43" t="s">
        <v>0</v>
      </c>
      <c r="B549" s="40"/>
      <c r="C549" s="40"/>
      <c r="D549" s="40"/>
      <c r="E549" s="40"/>
      <c r="F549" s="40"/>
      <c r="G549" s="40"/>
      <c r="H549" s="41"/>
      <c r="I549" s="1" t="s">
        <v>120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75">
      <c r="A550" s="43" t="s">
        <v>126</v>
      </c>
      <c r="B550" s="40"/>
      <c r="C550" s="40"/>
      <c r="D550" s="40"/>
      <c r="E550" s="40"/>
      <c r="F550" s="40"/>
      <c r="G550" s="40"/>
      <c r="H550" s="41"/>
      <c r="I550" s="1" t="s">
        <v>120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5000000000000004">
      <c r="A551" s="2" t="s">
        <v>3</v>
      </c>
      <c r="B551" s="2" t="s">
        <v>4</v>
      </c>
      <c r="C551" s="2" t="s">
        <v>5</v>
      </c>
      <c r="D551" s="2" t="s">
        <v>6</v>
      </c>
      <c r="E551" s="2" t="s">
        <v>7</v>
      </c>
      <c r="F551" s="3" t="s">
        <v>8</v>
      </c>
      <c r="G551" s="2" t="s">
        <v>9</v>
      </c>
      <c r="H551" s="4"/>
      <c r="I551" s="1" t="s">
        <v>120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75">
      <c r="A552" s="5">
        <v>1</v>
      </c>
      <c r="B552" s="6" t="s">
        <v>127</v>
      </c>
      <c r="C552" s="7">
        <v>2918</v>
      </c>
      <c r="D552" s="6" t="s">
        <v>12</v>
      </c>
      <c r="E552" s="6">
        <v>2.5499999999999998</v>
      </c>
      <c r="F552" s="8">
        <v>293000</v>
      </c>
      <c r="G552" s="9">
        <f t="shared" ref="G552:G554" si="36">IFERROR(E552*F552,0)</f>
        <v>747150</v>
      </c>
      <c r="H552" s="10"/>
      <c r="I552" s="1" t="s">
        <v>120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75">
      <c r="A553" s="5">
        <v>2</v>
      </c>
      <c r="B553" s="6" t="s">
        <v>128</v>
      </c>
      <c r="C553" s="7" t="s">
        <v>129</v>
      </c>
      <c r="D553" s="6" t="s">
        <v>14</v>
      </c>
      <c r="E553" s="6">
        <v>1.1000000000000001</v>
      </c>
      <c r="F553" s="11">
        <v>435000</v>
      </c>
      <c r="G553" s="9">
        <f t="shared" si="36"/>
        <v>478500.00000000006</v>
      </c>
      <c r="H553" s="10"/>
      <c r="I553" s="1" t="s">
        <v>120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75">
      <c r="A554" s="5">
        <v>3</v>
      </c>
      <c r="B554" s="12" t="s">
        <v>15</v>
      </c>
      <c r="C554" s="10"/>
      <c r="D554" s="10"/>
      <c r="E554" s="10"/>
      <c r="F554" s="10"/>
      <c r="G554" s="13">
        <f t="shared" si="36"/>
        <v>0</v>
      </c>
      <c r="H554" s="10"/>
      <c r="I554" s="1" t="s">
        <v>120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75">
      <c r="A555" s="39" t="s">
        <v>16</v>
      </c>
      <c r="B555" s="40"/>
      <c r="C555" s="40"/>
      <c r="D555" s="40"/>
      <c r="E555" s="40"/>
      <c r="F555" s="40"/>
      <c r="G555" s="41"/>
      <c r="H555" s="14">
        <f>SUM(G552:G554)</f>
        <v>1225650</v>
      </c>
      <c r="I555" s="1" t="s">
        <v>120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75">
      <c r="A556" s="39" t="s">
        <v>17</v>
      </c>
      <c r="B556" s="40"/>
      <c r="C556" s="40"/>
      <c r="D556" s="40"/>
      <c r="E556" s="40"/>
      <c r="F556" s="40"/>
      <c r="G556" s="41"/>
      <c r="H556" s="14">
        <f>MAX(0,H555-648000)</f>
        <v>577650</v>
      </c>
      <c r="I556" s="1" t="s">
        <v>120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75">
      <c r="A557" s="42" t="s">
        <v>18</v>
      </c>
      <c r="B557" s="40"/>
      <c r="C557" s="40"/>
      <c r="D557" s="40"/>
      <c r="E557" s="40"/>
      <c r="F557" s="40"/>
      <c r="G557" s="41"/>
      <c r="H557" s="15">
        <v>649000</v>
      </c>
      <c r="I557" s="1" t="s">
        <v>120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75">
      <c r="A558" s="43" t="s">
        <v>19</v>
      </c>
      <c r="B558" s="40"/>
      <c r="C558" s="40"/>
      <c r="D558" s="40"/>
      <c r="E558" s="40"/>
      <c r="F558" s="40"/>
      <c r="G558" s="40"/>
      <c r="H558" s="41"/>
      <c r="I558" s="1" t="s">
        <v>120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45"/>
    <row r="560" spans="1:26" ht="15.75" customHeight="1" x14ac:dyDescent="0.45"/>
    <row r="561" spans="1:26" ht="15.75" customHeight="1" x14ac:dyDescent="0.45"/>
    <row r="562" spans="1:26" ht="15.75" customHeight="1" x14ac:dyDescent="0.45"/>
    <row r="563" spans="1:26" ht="15.75" customHeight="1" x14ac:dyDescent="0.45"/>
    <row r="564" spans="1:26" ht="15.75" customHeight="1" x14ac:dyDescent="0.75">
      <c r="A564" s="43" t="s">
        <v>0</v>
      </c>
      <c r="B564" s="40"/>
      <c r="C564" s="40"/>
      <c r="D564" s="40"/>
      <c r="E564" s="40"/>
      <c r="F564" s="40"/>
      <c r="G564" s="40"/>
      <c r="H564" s="41"/>
      <c r="I564" s="1" t="s">
        <v>120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75">
      <c r="A565" s="43" t="s">
        <v>130</v>
      </c>
      <c r="B565" s="40"/>
      <c r="C565" s="40"/>
      <c r="D565" s="40"/>
      <c r="E565" s="40"/>
      <c r="F565" s="40"/>
      <c r="G565" s="40"/>
      <c r="H565" s="41"/>
      <c r="I565" s="1" t="s">
        <v>120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5000000000000004">
      <c r="A566" s="2" t="s">
        <v>3</v>
      </c>
      <c r="B566" s="2" t="s">
        <v>4</v>
      </c>
      <c r="C566" s="2" t="s">
        <v>5</v>
      </c>
      <c r="D566" s="2" t="s">
        <v>6</v>
      </c>
      <c r="E566" s="2" t="s">
        <v>7</v>
      </c>
      <c r="F566" s="3" t="s">
        <v>8</v>
      </c>
      <c r="G566" s="2" t="s">
        <v>9</v>
      </c>
      <c r="H566" s="4"/>
      <c r="I566" s="1" t="s">
        <v>120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75">
      <c r="A567" s="5">
        <v>1</v>
      </c>
      <c r="B567" s="6" t="s">
        <v>131</v>
      </c>
      <c r="C567" s="7">
        <v>8125</v>
      </c>
      <c r="D567" s="6" t="s">
        <v>12</v>
      </c>
      <c r="E567" s="6">
        <v>2</v>
      </c>
      <c r="F567" s="8">
        <v>293000</v>
      </c>
      <c r="G567" s="9">
        <f t="shared" ref="G567:G569" si="37">IFERROR(E567*F567,0)</f>
        <v>586000</v>
      </c>
      <c r="H567" s="10"/>
      <c r="I567" s="1" t="s">
        <v>120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75">
      <c r="A568" s="5">
        <v>2</v>
      </c>
      <c r="B568" s="16" t="s">
        <v>35</v>
      </c>
      <c r="C568" s="17">
        <v>2991</v>
      </c>
      <c r="D568" s="16" t="s">
        <v>14</v>
      </c>
      <c r="E568" s="16">
        <v>1.45</v>
      </c>
      <c r="F568" s="11">
        <v>435000</v>
      </c>
      <c r="G568" s="9">
        <f t="shared" si="37"/>
        <v>630750</v>
      </c>
      <c r="H568" s="10"/>
      <c r="I568" s="1" t="s">
        <v>120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75">
      <c r="A569" s="5">
        <v>3</v>
      </c>
      <c r="B569" s="12" t="s">
        <v>15</v>
      </c>
      <c r="C569" s="10"/>
      <c r="D569" s="10"/>
      <c r="E569" s="10"/>
      <c r="F569" s="10"/>
      <c r="G569" s="13">
        <f t="shared" si="37"/>
        <v>0</v>
      </c>
      <c r="H569" s="10"/>
      <c r="I569" s="1" t="s">
        <v>120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75">
      <c r="A570" s="39" t="s">
        <v>16</v>
      </c>
      <c r="B570" s="40"/>
      <c r="C570" s="40"/>
      <c r="D570" s="40"/>
      <c r="E570" s="40"/>
      <c r="F570" s="40"/>
      <c r="G570" s="41"/>
      <c r="H570" s="14">
        <f>SUM(G567:G569)</f>
        <v>1216750</v>
      </c>
      <c r="I570" s="1" t="s">
        <v>120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75">
      <c r="A571" s="39" t="s">
        <v>17</v>
      </c>
      <c r="B571" s="40"/>
      <c r="C571" s="40"/>
      <c r="D571" s="40"/>
      <c r="E571" s="40"/>
      <c r="F571" s="40"/>
      <c r="G571" s="41"/>
      <c r="H571" s="14">
        <f>MAX(0,H570-648000)</f>
        <v>568750</v>
      </c>
      <c r="I571" s="1" t="s">
        <v>120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75">
      <c r="A572" s="42" t="s">
        <v>18</v>
      </c>
      <c r="B572" s="40"/>
      <c r="C572" s="40"/>
      <c r="D572" s="40"/>
      <c r="E572" s="40"/>
      <c r="F572" s="40"/>
      <c r="G572" s="41"/>
      <c r="H572" s="15">
        <v>649000</v>
      </c>
      <c r="I572" s="1" t="s">
        <v>120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75">
      <c r="A573" s="43" t="s">
        <v>19</v>
      </c>
      <c r="B573" s="40"/>
      <c r="C573" s="40"/>
      <c r="D573" s="40"/>
      <c r="E573" s="40"/>
      <c r="F573" s="40"/>
      <c r="G573" s="40"/>
      <c r="H573" s="41"/>
      <c r="I573" s="1" t="s">
        <v>120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45"/>
    <row r="575" spans="1:26" ht="15.75" customHeight="1" x14ac:dyDescent="0.45"/>
    <row r="576" spans="1:26" ht="15.75" customHeight="1" x14ac:dyDescent="0.45"/>
    <row r="577" spans="1:26" ht="15.75" customHeight="1" x14ac:dyDescent="0.45"/>
    <row r="578" spans="1:26" ht="15.75" customHeight="1" x14ac:dyDescent="0.45"/>
    <row r="579" spans="1:26" ht="15.75" customHeight="1" x14ac:dyDescent="0.75">
      <c r="A579" s="43" t="s">
        <v>0</v>
      </c>
      <c r="B579" s="40"/>
      <c r="C579" s="40"/>
      <c r="D579" s="40"/>
      <c r="E579" s="40"/>
      <c r="F579" s="40"/>
      <c r="G579" s="40"/>
      <c r="H579" s="41"/>
      <c r="I579" s="1" t="s">
        <v>120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75">
      <c r="A580" s="43" t="s">
        <v>132</v>
      </c>
      <c r="B580" s="40"/>
      <c r="C580" s="40"/>
      <c r="D580" s="40"/>
      <c r="E580" s="40"/>
      <c r="F580" s="40"/>
      <c r="G580" s="40"/>
      <c r="H580" s="41"/>
      <c r="I580" s="1" t="s">
        <v>120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5000000000000004">
      <c r="A581" s="2" t="s">
        <v>3</v>
      </c>
      <c r="B581" s="2" t="s">
        <v>4</v>
      </c>
      <c r="C581" s="2" t="s">
        <v>5</v>
      </c>
      <c r="D581" s="2" t="s">
        <v>6</v>
      </c>
      <c r="E581" s="2" t="s">
        <v>7</v>
      </c>
      <c r="F581" s="3" t="s">
        <v>8</v>
      </c>
      <c r="G581" s="2" t="s">
        <v>9</v>
      </c>
      <c r="H581" s="4"/>
      <c r="I581" s="1" t="s">
        <v>120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75">
      <c r="A582" s="5">
        <v>1</v>
      </c>
      <c r="B582" s="6" t="s">
        <v>122</v>
      </c>
      <c r="C582" s="7">
        <v>1017</v>
      </c>
      <c r="D582" s="6" t="s">
        <v>12</v>
      </c>
      <c r="E582" s="6">
        <v>2.46</v>
      </c>
      <c r="F582" s="8">
        <v>293000</v>
      </c>
      <c r="G582" s="9">
        <f t="shared" ref="G582:G584" si="38">IFERROR(E582*F582,0)</f>
        <v>720780</v>
      </c>
      <c r="H582" s="10"/>
      <c r="I582" s="1" t="s">
        <v>120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75">
      <c r="A583" s="5">
        <v>2</v>
      </c>
      <c r="B583" s="16" t="s">
        <v>133</v>
      </c>
      <c r="C583" s="17" t="s">
        <v>134</v>
      </c>
      <c r="D583" s="16" t="s">
        <v>14</v>
      </c>
      <c r="E583" s="16">
        <v>0.99</v>
      </c>
      <c r="F583" s="11">
        <v>435000</v>
      </c>
      <c r="G583" s="9">
        <f t="shared" si="38"/>
        <v>430650</v>
      </c>
      <c r="H583" s="10"/>
      <c r="I583" s="1" t="s">
        <v>120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75">
      <c r="A584" s="5">
        <v>3</v>
      </c>
      <c r="B584" s="12" t="s">
        <v>15</v>
      </c>
      <c r="C584" s="10"/>
      <c r="D584" s="10"/>
      <c r="E584" s="10"/>
      <c r="F584" s="10"/>
      <c r="G584" s="13">
        <f t="shared" si="38"/>
        <v>0</v>
      </c>
      <c r="H584" s="10"/>
      <c r="I584" s="1" t="s">
        <v>120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75">
      <c r="A585" s="39" t="s">
        <v>16</v>
      </c>
      <c r="B585" s="40"/>
      <c r="C585" s="40"/>
      <c r="D585" s="40"/>
      <c r="E585" s="40"/>
      <c r="F585" s="40"/>
      <c r="G585" s="41"/>
      <c r="H585" s="14">
        <f>SUM(G582:G584)</f>
        <v>1151430</v>
      </c>
      <c r="I585" s="1" t="s">
        <v>120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75">
      <c r="A586" s="39" t="s">
        <v>17</v>
      </c>
      <c r="B586" s="40"/>
      <c r="C586" s="40"/>
      <c r="D586" s="40"/>
      <c r="E586" s="40"/>
      <c r="F586" s="40"/>
      <c r="G586" s="41"/>
      <c r="H586" s="14">
        <f>MAX(0,H585-648000)</f>
        <v>503430</v>
      </c>
      <c r="I586" s="1" t="s">
        <v>120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75">
      <c r="A587" s="42" t="s">
        <v>18</v>
      </c>
      <c r="B587" s="40"/>
      <c r="C587" s="40"/>
      <c r="D587" s="40"/>
      <c r="E587" s="40"/>
      <c r="F587" s="40"/>
      <c r="G587" s="41"/>
      <c r="H587" s="15">
        <v>649000</v>
      </c>
      <c r="I587" s="1" t="s">
        <v>120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75">
      <c r="A588" s="43" t="s">
        <v>19</v>
      </c>
      <c r="B588" s="40"/>
      <c r="C588" s="40"/>
      <c r="D588" s="40"/>
      <c r="E588" s="40"/>
      <c r="F588" s="40"/>
      <c r="G588" s="40"/>
      <c r="H588" s="41"/>
      <c r="I588" s="1" t="s">
        <v>120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45"/>
    <row r="590" spans="1:26" ht="15.75" customHeight="1" x14ac:dyDescent="0.45"/>
    <row r="591" spans="1:26" ht="15.75" customHeight="1" x14ac:dyDescent="0.45"/>
    <row r="592" spans="1:26" ht="15.75" customHeight="1" x14ac:dyDescent="0.45"/>
    <row r="593" spans="1:26" ht="15.75" customHeight="1" x14ac:dyDescent="0.45"/>
    <row r="594" spans="1:26" ht="15.75" customHeight="1" x14ac:dyDescent="0.45"/>
    <row r="595" spans="1:26" ht="15.75" customHeight="1" x14ac:dyDescent="0.45"/>
    <row r="596" spans="1:26" ht="15.75" customHeight="1" x14ac:dyDescent="0.45"/>
    <row r="597" spans="1:26" ht="15.75" customHeight="1" x14ac:dyDescent="0.45"/>
    <row r="598" spans="1:26" ht="15.75" customHeight="1" x14ac:dyDescent="0.75">
      <c r="A598" s="43" t="s">
        <v>0</v>
      </c>
      <c r="B598" s="40"/>
      <c r="C598" s="40"/>
      <c r="D598" s="40"/>
      <c r="E598" s="40"/>
      <c r="F598" s="40"/>
      <c r="G598" s="40"/>
      <c r="H598" s="41"/>
      <c r="I598" s="1" t="s">
        <v>120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75">
      <c r="A599" s="43" t="s">
        <v>135</v>
      </c>
      <c r="B599" s="40"/>
      <c r="C599" s="40"/>
      <c r="D599" s="40"/>
      <c r="E599" s="40"/>
      <c r="F599" s="40"/>
      <c r="G599" s="40"/>
      <c r="H599" s="41"/>
      <c r="I599" s="1" t="s">
        <v>120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5000000000000004">
      <c r="A600" s="2" t="s">
        <v>3</v>
      </c>
      <c r="B600" s="2" t="s">
        <v>4</v>
      </c>
      <c r="C600" s="2" t="s">
        <v>5</v>
      </c>
      <c r="D600" s="2" t="s">
        <v>6</v>
      </c>
      <c r="E600" s="2" t="s">
        <v>7</v>
      </c>
      <c r="F600" s="3" t="s">
        <v>8</v>
      </c>
      <c r="G600" s="2" t="s">
        <v>9</v>
      </c>
      <c r="H600" s="4"/>
      <c r="I600" s="1" t="s">
        <v>120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75">
      <c r="A601" s="5">
        <v>1</v>
      </c>
      <c r="B601" s="6" t="s">
        <v>47</v>
      </c>
      <c r="C601" s="7">
        <v>2288</v>
      </c>
      <c r="D601" s="6" t="s">
        <v>12</v>
      </c>
      <c r="E601" s="6">
        <v>2</v>
      </c>
      <c r="F601" s="8">
        <v>293000</v>
      </c>
      <c r="G601" s="9">
        <f t="shared" ref="G601:G603" si="39">IFERROR(E601*F601,0)</f>
        <v>586000</v>
      </c>
      <c r="H601" s="10"/>
      <c r="I601" s="1" t="s">
        <v>120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75">
      <c r="A602" s="5">
        <v>2</v>
      </c>
      <c r="B602" s="16" t="s">
        <v>98</v>
      </c>
      <c r="C602" s="17" t="s">
        <v>136</v>
      </c>
      <c r="D602" s="16" t="s">
        <v>14</v>
      </c>
      <c r="E602" s="16">
        <v>1.42</v>
      </c>
      <c r="F602" s="11">
        <v>435000</v>
      </c>
      <c r="G602" s="9">
        <f t="shared" si="39"/>
        <v>617700</v>
      </c>
      <c r="H602" s="10"/>
      <c r="I602" s="1" t="s">
        <v>120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75">
      <c r="A603" s="5">
        <v>3</v>
      </c>
      <c r="B603" s="12" t="s">
        <v>15</v>
      </c>
      <c r="C603" s="10"/>
      <c r="D603" s="10"/>
      <c r="E603" s="10"/>
      <c r="F603" s="10"/>
      <c r="G603" s="13">
        <f t="shared" si="39"/>
        <v>0</v>
      </c>
      <c r="H603" s="10"/>
      <c r="I603" s="1" t="s">
        <v>120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75">
      <c r="A604" s="39" t="s">
        <v>16</v>
      </c>
      <c r="B604" s="40"/>
      <c r="C604" s="40"/>
      <c r="D604" s="40"/>
      <c r="E604" s="40"/>
      <c r="F604" s="40"/>
      <c r="G604" s="41"/>
      <c r="H604" s="14">
        <f>SUM(G601:G603)</f>
        <v>1203700</v>
      </c>
      <c r="I604" s="1" t="s">
        <v>120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75">
      <c r="A605" s="39" t="s">
        <v>17</v>
      </c>
      <c r="B605" s="40"/>
      <c r="C605" s="40"/>
      <c r="D605" s="40"/>
      <c r="E605" s="40"/>
      <c r="F605" s="40"/>
      <c r="G605" s="41"/>
      <c r="H605" s="14">
        <f>MAX(0,H604-648000)</f>
        <v>555700</v>
      </c>
      <c r="I605" s="1" t="s">
        <v>120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75">
      <c r="A606" s="42" t="s">
        <v>18</v>
      </c>
      <c r="B606" s="40"/>
      <c r="C606" s="40"/>
      <c r="D606" s="40"/>
      <c r="E606" s="40"/>
      <c r="F606" s="40"/>
      <c r="G606" s="41"/>
      <c r="H606" s="15">
        <v>649000</v>
      </c>
      <c r="I606" s="1" t="s">
        <v>120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75">
      <c r="A607" s="43" t="s">
        <v>19</v>
      </c>
      <c r="B607" s="40"/>
      <c r="C607" s="40"/>
      <c r="D607" s="40"/>
      <c r="E607" s="40"/>
      <c r="F607" s="40"/>
      <c r="G607" s="40"/>
      <c r="H607" s="41"/>
      <c r="I607" s="1" t="s">
        <v>120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45"/>
    <row r="609" spans="1:26" ht="15.75" customHeight="1" x14ac:dyDescent="0.45"/>
    <row r="610" spans="1:26" ht="15.75" customHeight="1" x14ac:dyDescent="0.45"/>
    <row r="611" spans="1:26" ht="15.75" customHeight="1" x14ac:dyDescent="0.45"/>
    <row r="612" spans="1:26" ht="15.75" customHeight="1" x14ac:dyDescent="0.45"/>
    <row r="613" spans="1:26" ht="15.75" customHeight="1" x14ac:dyDescent="0.45"/>
    <row r="614" spans="1:26" ht="15.75" customHeight="1" x14ac:dyDescent="0.75">
      <c r="A614" s="43" t="s">
        <v>0</v>
      </c>
      <c r="B614" s="40"/>
      <c r="C614" s="40"/>
      <c r="D614" s="40"/>
      <c r="E614" s="40"/>
      <c r="F614" s="40"/>
      <c r="G614" s="40"/>
      <c r="H614" s="41"/>
      <c r="I614" s="1" t="s">
        <v>120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75">
      <c r="A615" s="43" t="s">
        <v>137</v>
      </c>
      <c r="B615" s="40"/>
      <c r="C615" s="40"/>
      <c r="D615" s="40"/>
      <c r="E615" s="40"/>
      <c r="F615" s="40"/>
      <c r="G615" s="40"/>
      <c r="H615" s="41"/>
      <c r="I615" s="1" t="s">
        <v>120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5000000000000004">
      <c r="A616" s="2" t="s">
        <v>3</v>
      </c>
      <c r="B616" s="2" t="s">
        <v>4</v>
      </c>
      <c r="C616" s="2" t="s">
        <v>5</v>
      </c>
      <c r="D616" s="2" t="s">
        <v>6</v>
      </c>
      <c r="E616" s="2" t="s">
        <v>7</v>
      </c>
      <c r="F616" s="3" t="s">
        <v>8</v>
      </c>
      <c r="G616" s="2" t="s">
        <v>9</v>
      </c>
      <c r="H616" s="4"/>
      <c r="I616" s="1" t="s">
        <v>120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75">
      <c r="A617" s="5">
        <v>1</v>
      </c>
      <c r="B617" s="6" t="s">
        <v>87</v>
      </c>
      <c r="C617" s="7">
        <v>4393</v>
      </c>
      <c r="D617" s="6" t="s">
        <v>12</v>
      </c>
      <c r="E617" s="6">
        <v>3</v>
      </c>
      <c r="F617" s="8">
        <v>293000</v>
      </c>
      <c r="G617" s="9">
        <f t="shared" ref="G617:G619" si="40">IFERROR(E617*F617,0)</f>
        <v>879000</v>
      </c>
      <c r="H617" s="10"/>
      <c r="I617" s="1" t="s">
        <v>120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75">
      <c r="A618" s="5">
        <v>2</v>
      </c>
      <c r="B618" s="16" t="s">
        <v>138</v>
      </c>
      <c r="C618" s="17">
        <v>4370</v>
      </c>
      <c r="D618" s="16" t="s">
        <v>14</v>
      </c>
      <c r="E618" s="16">
        <v>0.45</v>
      </c>
      <c r="F618" s="11">
        <v>435000</v>
      </c>
      <c r="G618" s="9">
        <f t="shared" si="40"/>
        <v>195750</v>
      </c>
      <c r="H618" s="10"/>
      <c r="I618" s="1" t="s">
        <v>120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75">
      <c r="A619" s="5">
        <v>3</v>
      </c>
      <c r="B619" s="12" t="s">
        <v>15</v>
      </c>
      <c r="C619" s="10"/>
      <c r="D619" s="10"/>
      <c r="E619" s="10"/>
      <c r="F619" s="10"/>
      <c r="G619" s="13">
        <f t="shared" si="40"/>
        <v>0</v>
      </c>
      <c r="H619" s="10"/>
      <c r="I619" s="1" t="s">
        <v>120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75">
      <c r="A620" s="39" t="s">
        <v>16</v>
      </c>
      <c r="B620" s="40"/>
      <c r="C620" s="40"/>
      <c r="D620" s="40"/>
      <c r="E620" s="40"/>
      <c r="F620" s="40"/>
      <c r="G620" s="41"/>
      <c r="H620" s="14">
        <f>SUM(G617:G619)</f>
        <v>1074750</v>
      </c>
      <c r="I620" s="1" t="s">
        <v>120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75">
      <c r="A621" s="39" t="s">
        <v>17</v>
      </c>
      <c r="B621" s="40"/>
      <c r="C621" s="40"/>
      <c r="D621" s="40"/>
      <c r="E621" s="40"/>
      <c r="F621" s="40"/>
      <c r="G621" s="41"/>
      <c r="H621" s="14">
        <f>MAX(0,H620-648000)</f>
        <v>426750</v>
      </c>
      <c r="I621" s="1" t="s">
        <v>120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75">
      <c r="A622" s="42" t="s">
        <v>18</v>
      </c>
      <c r="B622" s="40"/>
      <c r="C622" s="40"/>
      <c r="D622" s="40"/>
      <c r="E622" s="40"/>
      <c r="F622" s="40"/>
      <c r="G622" s="41"/>
      <c r="H622" s="15">
        <v>649000</v>
      </c>
      <c r="I622" s="1" t="s">
        <v>120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75">
      <c r="A623" s="43" t="s">
        <v>19</v>
      </c>
      <c r="B623" s="40"/>
      <c r="C623" s="40"/>
      <c r="D623" s="40"/>
      <c r="E623" s="40"/>
      <c r="F623" s="40"/>
      <c r="G623" s="40"/>
      <c r="H623" s="41"/>
      <c r="I623" s="1" t="s">
        <v>120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45"/>
    <row r="625" spans="1:26" ht="15.75" customHeight="1" x14ac:dyDescent="0.45"/>
    <row r="626" spans="1:26" ht="15.75" customHeight="1" x14ac:dyDescent="0.45"/>
    <row r="627" spans="1:26" ht="15.75" customHeight="1" x14ac:dyDescent="0.45"/>
    <row r="628" spans="1:26" ht="15.75" customHeight="1" x14ac:dyDescent="0.45"/>
    <row r="629" spans="1:26" ht="15.75" customHeight="1" x14ac:dyDescent="0.75">
      <c r="A629" s="43" t="s">
        <v>0</v>
      </c>
      <c r="B629" s="40"/>
      <c r="C629" s="40"/>
      <c r="D629" s="40"/>
      <c r="E629" s="40"/>
      <c r="F629" s="40"/>
      <c r="G629" s="40"/>
      <c r="H629" s="41"/>
      <c r="I629" s="1" t="s">
        <v>120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75">
      <c r="A630" s="43" t="s">
        <v>139</v>
      </c>
      <c r="B630" s="40"/>
      <c r="C630" s="40"/>
      <c r="D630" s="40"/>
      <c r="E630" s="40"/>
      <c r="F630" s="40"/>
      <c r="G630" s="40"/>
      <c r="H630" s="41"/>
      <c r="I630" s="1" t="s">
        <v>120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5000000000000004">
      <c r="A631" s="2" t="s">
        <v>3</v>
      </c>
      <c r="B631" s="2" t="s">
        <v>4</v>
      </c>
      <c r="C631" s="2" t="s">
        <v>5</v>
      </c>
      <c r="D631" s="2" t="s">
        <v>6</v>
      </c>
      <c r="E631" s="2" t="s">
        <v>7</v>
      </c>
      <c r="F631" s="3" t="s">
        <v>8</v>
      </c>
      <c r="G631" s="2" t="s">
        <v>9</v>
      </c>
      <c r="H631" s="4"/>
      <c r="I631" s="1" t="s">
        <v>120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75">
      <c r="A632" s="5">
        <v>1</v>
      </c>
      <c r="B632" s="6" t="s">
        <v>68</v>
      </c>
      <c r="C632" s="7">
        <v>1020</v>
      </c>
      <c r="D632" s="6" t="s">
        <v>12</v>
      </c>
      <c r="E632" s="6">
        <v>2</v>
      </c>
      <c r="F632" s="8">
        <v>293000</v>
      </c>
      <c r="G632" s="9">
        <f t="shared" ref="G632:G634" si="41">IFERROR(E632*F632,0)</f>
        <v>586000</v>
      </c>
      <c r="H632" s="10"/>
      <c r="I632" s="1" t="s">
        <v>120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75">
      <c r="A633" s="5">
        <v>2</v>
      </c>
      <c r="B633" s="16" t="s">
        <v>140</v>
      </c>
      <c r="C633" s="17">
        <v>2547</v>
      </c>
      <c r="D633" s="16" t="s">
        <v>14</v>
      </c>
      <c r="E633" s="16">
        <v>1.45</v>
      </c>
      <c r="F633" s="11">
        <v>435000</v>
      </c>
      <c r="G633" s="9">
        <f t="shared" si="41"/>
        <v>630750</v>
      </c>
      <c r="H633" s="10"/>
      <c r="I633" s="1" t="s">
        <v>120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75">
      <c r="A634" s="5">
        <v>3</v>
      </c>
      <c r="B634" s="12" t="s">
        <v>15</v>
      </c>
      <c r="C634" s="10"/>
      <c r="D634" s="10"/>
      <c r="E634" s="10"/>
      <c r="F634" s="10"/>
      <c r="G634" s="13">
        <f t="shared" si="41"/>
        <v>0</v>
      </c>
      <c r="H634" s="10"/>
      <c r="I634" s="1" t="s">
        <v>120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75">
      <c r="A635" s="39" t="s">
        <v>16</v>
      </c>
      <c r="B635" s="40"/>
      <c r="C635" s="40"/>
      <c r="D635" s="40"/>
      <c r="E635" s="40"/>
      <c r="F635" s="40"/>
      <c r="G635" s="41"/>
      <c r="H635" s="14">
        <f>SUM(G632:G634)</f>
        <v>1216750</v>
      </c>
      <c r="I635" s="1" t="s">
        <v>120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75">
      <c r="A636" s="39" t="s">
        <v>17</v>
      </c>
      <c r="B636" s="40"/>
      <c r="C636" s="40"/>
      <c r="D636" s="40"/>
      <c r="E636" s="40"/>
      <c r="F636" s="40"/>
      <c r="G636" s="41"/>
      <c r="H636" s="14">
        <f>MAX(0,H635-648000)</f>
        <v>568750</v>
      </c>
      <c r="I636" s="1" t="s">
        <v>120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75">
      <c r="A637" s="42" t="s">
        <v>18</v>
      </c>
      <c r="B637" s="40"/>
      <c r="C637" s="40"/>
      <c r="D637" s="40"/>
      <c r="E637" s="40"/>
      <c r="F637" s="40"/>
      <c r="G637" s="41"/>
      <c r="H637" s="15">
        <v>649000</v>
      </c>
      <c r="I637" s="1" t="s">
        <v>120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75">
      <c r="A638" s="43" t="s">
        <v>19</v>
      </c>
      <c r="B638" s="40"/>
      <c r="C638" s="40"/>
      <c r="D638" s="40"/>
      <c r="E638" s="40"/>
      <c r="F638" s="40"/>
      <c r="G638" s="40"/>
      <c r="H638" s="41"/>
      <c r="I638" s="1" t="s">
        <v>120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45"/>
    <row r="640" spans="1:26" ht="15.75" customHeight="1" x14ac:dyDescent="0.45"/>
    <row r="641" spans="1:26" ht="15.75" customHeight="1" x14ac:dyDescent="0.45"/>
    <row r="642" spans="1:26" ht="15.75" customHeight="1" x14ac:dyDescent="0.45"/>
    <row r="643" spans="1:26" ht="15.75" customHeight="1" x14ac:dyDescent="0.45"/>
    <row r="644" spans="1:26" ht="15.75" customHeight="1" x14ac:dyDescent="0.45"/>
    <row r="645" spans="1:26" ht="15.75" customHeight="1" x14ac:dyDescent="0.75">
      <c r="A645" s="43" t="s">
        <v>0</v>
      </c>
      <c r="B645" s="40"/>
      <c r="C645" s="40"/>
      <c r="D645" s="40"/>
      <c r="E645" s="40"/>
      <c r="F645" s="40"/>
      <c r="G645" s="40"/>
      <c r="H645" s="41"/>
      <c r="I645" s="1" t="s">
        <v>120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75">
      <c r="A646" s="43" t="s">
        <v>141</v>
      </c>
      <c r="B646" s="40"/>
      <c r="C646" s="40"/>
      <c r="D646" s="40"/>
      <c r="E646" s="40"/>
      <c r="F646" s="40"/>
      <c r="G646" s="40"/>
      <c r="H646" s="41"/>
      <c r="I646" s="1" t="s">
        <v>120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5000000000000004">
      <c r="A647" s="2" t="s">
        <v>3</v>
      </c>
      <c r="B647" s="2" t="s">
        <v>4</v>
      </c>
      <c r="C647" s="2" t="s">
        <v>5</v>
      </c>
      <c r="D647" s="2" t="s">
        <v>6</v>
      </c>
      <c r="E647" s="2" t="s">
        <v>7</v>
      </c>
      <c r="F647" s="3" t="s">
        <v>8</v>
      </c>
      <c r="G647" s="2" t="s">
        <v>9</v>
      </c>
      <c r="H647" s="4"/>
      <c r="I647" s="1" t="s">
        <v>120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75">
      <c r="A648" s="5">
        <v>1</v>
      </c>
      <c r="B648" s="16" t="s">
        <v>98</v>
      </c>
      <c r="C648" s="7">
        <v>2287</v>
      </c>
      <c r="D648" s="6" t="s">
        <v>12</v>
      </c>
      <c r="E648" s="6">
        <v>2.4300000000000002</v>
      </c>
      <c r="F648" s="8">
        <v>293000</v>
      </c>
      <c r="G648" s="9">
        <f t="shared" ref="G648:G650" si="42">IFERROR(E648*F648,0)</f>
        <v>711990</v>
      </c>
      <c r="H648" s="10"/>
      <c r="I648" s="1" t="s">
        <v>120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75">
      <c r="A649" s="5">
        <v>2</v>
      </c>
      <c r="B649" s="16" t="s">
        <v>142</v>
      </c>
      <c r="C649" s="17">
        <v>4552</v>
      </c>
      <c r="D649" s="16" t="s">
        <v>14</v>
      </c>
      <c r="E649" s="16">
        <v>1.07</v>
      </c>
      <c r="F649" s="11">
        <v>435000</v>
      </c>
      <c r="G649" s="9">
        <f t="shared" si="42"/>
        <v>465450</v>
      </c>
      <c r="H649" s="10"/>
      <c r="I649" s="1" t="s">
        <v>120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75">
      <c r="A650" s="5">
        <v>3</v>
      </c>
      <c r="B650" s="12" t="s">
        <v>15</v>
      </c>
      <c r="C650" s="10"/>
      <c r="D650" s="10"/>
      <c r="E650" s="10"/>
      <c r="F650" s="10"/>
      <c r="G650" s="13">
        <f t="shared" si="42"/>
        <v>0</v>
      </c>
      <c r="H650" s="10"/>
      <c r="I650" s="1" t="s">
        <v>120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75">
      <c r="A651" s="39" t="s">
        <v>16</v>
      </c>
      <c r="B651" s="40"/>
      <c r="C651" s="40"/>
      <c r="D651" s="40"/>
      <c r="E651" s="40"/>
      <c r="F651" s="40"/>
      <c r="G651" s="41"/>
      <c r="H651" s="14">
        <f>SUM(G648:G650)</f>
        <v>1177440</v>
      </c>
      <c r="I651" s="1" t="s">
        <v>120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75">
      <c r="A652" s="39" t="s">
        <v>17</v>
      </c>
      <c r="B652" s="40"/>
      <c r="C652" s="40"/>
      <c r="D652" s="40"/>
      <c r="E652" s="40"/>
      <c r="F652" s="40"/>
      <c r="G652" s="41"/>
      <c r="H652" s="14">
        <f>MAX(0,H651-648000)</f>
        <v>529440</v>
      </c>
      <c r="I652" s="1" t="s">
        <v>120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75">
      <c r="A653" s="42" t="s">
        <v>18</v>
      </c>
      <c r="B653" s="40"/>
      <c r="C653" s="40"/>
      <c r="D653" s="40"/>
      <c r="E653" s="40"/>
      <c r="F653" s="40"/>
      <c r="G653" s="41"/>
      <c r="H653" s="15">
        <v>649000</v>
      </c>
      <c r="I653" s="1" t="s">
        <v>120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75">
      <c r="A654" s="43" t="s">
        <v>19</v>
      </c>
      <c r="B654" s="40"/>
      <c r="C654" s="40"/>
      <c r="D654" s="40"/>
      <c r="E654" s="40"/>
      <c r="F654" s="40"/>
      <c r="G654" s="40"/>
      <c r="H654" s="41"/>
      <c r="I654" s="1" t="s">
        <v>120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45"/>
    <row r="656" spans="1:26" ht="15.75" customHeight="1" x14ac:dyDescent="0.45"/>
    <row r="657" spans="1:26" ht="15.75" customHeight="1" x14ac:dyDescent="0.45"/>
    <row r="658" spans="1:26" ht="15.75" customHeight="1" x14ac:dyDescent="0.45"/>
    <row r="659" spans="1:26" ht="15.75" customHeight="1" x14ac:dyDescent="0.45"/>
    <row r="660" spans="1:26" ht="15.75" customHeight="1" x14ac:dyDescent="0.45"/>
    <row r="661" spans="1:26" ht="15.75" customHeight="1" x14ac:dyDescent="0.45"/>
    <row r="662" spans="1:26" ht="15.75" customHeight="1" x14ac:dyDescent="0.45"/>
    <row r="663" spans="1:26" ht="15.75" customHeight="1" x14ac:dyDescent="0.45"/>
    <row r="664" spans="1:26" ht="15.75" customHeight="1" x14ac:dyDescent="0.75">
      <c r="A664" s="43" t="s">
        <v>0</v>
      </c>
      <c r="B664" s="40"/>
      <c r="C664" s="40"/>
      <c r="D664" s="40"/>
      <c r="E664" s="40"/>
      <c r="F664" s="40"/>
      <c r="G664" s="40"/>
      <c r="H664" s="41"/>
      <c r="I664" s="1" t="s">
        <v>120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75">
      <c r="A665" s="43" t="s">
        <v>143</v>
      </c>
      <c r="B665" s="40"/>
      <c r="C665" s="40"/>
      <c r="D665" s="40"/>
      <c r="E665" s="40"/>
      <c r="F665" s="40"/>
      <c r="G665" s="40"/>
      <c r="H665" s="41"/>
      <c r="I665" s="1" t="s">
        <v>120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5000000000000004">
      <c r="A666" s="2" t="s">
        <v>3</v>
      </c>
      <c r="B666" s="2" t="s">
        <v>4</v>
      </c>
      <c r="C666" s="2" t="s">
        <v>5</v>
      </c>
      <c r="D666" s="2" t="s">
        <v>6</v>
      </c>
      <c r="E666" s="2" t="s">
        <v>7</v>
      </c>
      <c r="F666" s="3" t="s">
        <v>8</v>
      </c>
      <c r="G666" s="2" t="s">
        <v>9</v>
      </c>
      <c r="H666" s="4"/>
      <c r="I666" s="1" t="s">
        <v>120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75">
      <c r="A667" s="5">
        <v>1</v>
      </c>
      <c r="B667" s="6" t="s">
        <v>144</v>
      </c>
      <c r="C667" s="7">
        <v>4151</v>
      </c>
      <c r="D667" s="6" t="s">
        <v>12</v>
      </c>
      <c r="E667" s="6">
        <v>2.9</v>
      </c>
      <c r="F667" s="8">
        <v>293000</v>
      </c>
      <c r="G667" s="9">
        <f t="shared" ref="G667:G669" si="43">IFERROR(E667*F667,0)</f>
        <v>849700</v>
      </c>
      <c r="H667" s="10"/>
      <c r="I667" s="1" t="s">
        <v>120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75">
      <c r="A668" s="5">
        <v>2</v>
      </c>
      <c r="B668" s="16" t="s">
        <v>35</v>
      </c>
      <c r="C668" s="17">
        <v>2666</v>
      </c>
      <c r="D668" s="16" t="s">
        <v>14</v>
      </c>
      <c r="E668" s="16">
        <v>0.66</v>
      </c>
      <c r="F668" s="11">
        <v>435000</v>
      </c>
      <c r="G668" s="9">
        <f t="shared" si="43"/>
        <v>287100</v>
      </c>
      <c r="H668" s="10"/>
      <c r="I668" s="1" t="s">
        <v>120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75">
      <c r="A669" s="5">
        <v>3</v>
      </c>
      <c r="B669" s="12" t="s">
        <v>15</v>
      </c>
      <c r="C669" s="10"/>
      <c r="D669" s="10"/>
      <c r="E669" s="10"/>
      <c r="F669" s="10"/>
      <c r="G669" s="13">
        <f t="shared" si="43"/>
        <v>0</v>
      </c>
      <c r="H669" s="10"/>
      <c r="I669" s="1" t="s">
        <v>120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75">
      <c r="A670" s="39" t="s">
        <v>16</v>
      </c>
      <c r="B670" s="40"/>
      <c r="C670" s="40"/>
      <c r="D670" s="40"/>
      <c r="E670" s="40"/>
      <c r="F670" s="40"/>
      <c r="G670" s="41"/>
      <c r="H670" s="14">
        <f>SUM(G667:G669)</f>
        <v>1136800</v>
      </c>
      <c r="I670" s="1" t="s">
        <v>120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75">
      <c r="A671" s="39" t="s">
        <v>17</v>
      </c>
      <c r="B671" s="40"/>
      <c r="C671" s="40"/>
      <c r="D671" s="40"/>
      <c r="E671" s="40"/>
      <c r="F671" s="40"/>
      <c r="G671" s="41"/>
      <c r="H671" s="14">
        <f>MAX(0,H670-648000)</f>
        <v>488800</v>
      </c>
      <c r="I671" s="1" t="s">
        <v>120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75">
      <c r="A672" s="42" t="s">
        <v>18</v>
      </c>
      <c r="B672" s="40"/>
      <c r="C672" s="40"/>
      <c r="D672" s="40"/>
      <c r="E672" s="40"/>
      <c r="F672" s="40"/>
      <c r="G672" s="41"/>
      <c r="H672" s="15">
        <v>649000</v>
      </c>
      <c r="I672" s="1" t="s">
        <v>120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75">
      <c r="A673" s="43" t="s">
        <v>19</v>
      </c>
      <c r="B673" s="40"/>
      <c r="C673" s="40"/>
      <c r="D673" s="40"/>
      <c r="E673" s="40"/>
      <c r="F673" s="40"/>
      <c r="G673" s="40"/>
      <c r="H673" s="41"/>
      <c r="I673" s="1" t="s">
        <v>120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45"/>
    <row r="675" spans="1:26" ht="15.75" customHeight="1" x14ac:dyDescent="0.45"/>
    <row r="676" spans="1:26" ht="15.75" customHeight="1" x14ac:dyDescent="0.45"/>
    <row r="677" spans="1:26" ht="15.75" customHeight="1" x14ac:dyDescent="0.75">
      <c r="A677" s="43" t="s">
        <v>0</v>
      </c>
      <c r="B677" s="40"/>
      <c r="C677" s="40"/>
      <c r="D677" s="40"/>
      <c r="E677" s="40"/>
      <c r="F677" s="40"/>
      <c r="G677" s="40"/>
      <c r="H677" s="41"/>
      <c r="I677" s="1" t="s">
        <v>120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75">
      <c r="A678" s="43" t="s">
        <v>145</v>
      </c>
      <c r="B678" s="40"/>
      <c r="C678" s="40"/>
      <c r="D678" s="40"/>
      <c r="E678" s="40"/>
      <c r="F678" s="40"/>
      <c r="G678" s="40"/>
      <c r="H678" s="41"/>
      <c r="I678" s="1" t="s">
        <v>120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5000000000000004">
      <c r="A679" s="2" t="s">
        <v>3</v>
      </c>
      <c r="B679" s="2" t="s">
        <v>4</v>
      </c>
      <c r="C679" s="2" t="s">
        <v>5</v>
      </c>
      <c r="D679" s="2" t="s">
        <v>6</v>
      </c>
      <c r="E679" s="2" t="s">
        <v>7</v>
      </c>
      <c r="F679" s="3" t="s">
        <v>8</v>
      </c>
      <c r="G679" s="2" t="s">
        <v>9</v>
      </c>
      <c r="H679" s="4"/>
      <c r="I679" s="1" t="s">
        <v>120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75">
      <c r="A680" s="5">
        <v>1</v>
      </c>
      <c r="B680" s="6" t="s">
        <v>146</v>
      </c>
      <c r="C680" s="7">
        <v>3860</v>
      </c>
      <c r="D680" s="6" t="s">
        <v>12</v>
      </c>
      <c r="E680" s="6">
        <v>1.95</v>
      </c>
      <c r="F680" s="8">
        <v>293000</v>
      </c>
      <c r="G680" s="9">
        <f t="shared" ref="G680:G682" si="44">IFERROR(E680*F680,0)</f>
        <v>571350</v>
      </c>
      <c r="H680" s="10"/>
      <c r="I680" s="1" t="s">
        <v>120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75">
      <c r="A681" s="5">
        <v>2</v>
      </c>
      <c r="B681" s="16" t="s">
        <v>147</v>
      </c>
      <c r="C681" s="17">
        <v>2962</v>
      </c>
      <c r="D681" s="16" t="s">
        <v>14</v>
      </c>
      <c r="E681" s="16">
        <v>1.49</v>
      </c>
      <c r="F681" s="11">
        <v>435000</v>
      </c>
      <c r="G681" s="9">
        <f t="shared" si="44"/>
        <v>648150</v>
      </c>
      <c r="H681" s="10"/>
      <c r="I681" s="1" t="s">
        <v>120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75">
      <c r="A682" s="5">
        <v>3</v>
      </c>
      <c r="B682" s="12" t="s">
        <v>15</v>
      </c>
      <c r="C682" s="10"/>
      <c r="D682" s="10"/>
      <c r="E682" s="10"/>
      <c r="F682" s="10"/>
      <c r="G682" s="13">
        <f t="shared" si="44"/>
        <v>0</v>
      </c>
      <c r="H682" s="10"/>
      <c r="I682" s="1" t="s">
        <v>120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75">
      <c r="A683" s="39" t="s">
        <v>16</v>
      </c>
      <c r="B683" s="40"/>
      <c r="C683" s="40"/>
      <c r="D683" s="40"/>
      <c r="E683" s="40"/>
      <c r="F683" s="40"/>
      <c r="G683" s="41"/>
      <c r="H683" s="14">
        <f>SUM(G680:G682)</f>
        <v>1219500</v>
      </c>
      <c r="I683" s="1" t="s">
        <v>120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75">
      <c r="A684" s="39" t="s">
        <v>17</v>
      </c>
      <c r="B684" s="40"/>
      <c r="C684" s="40"/>
      <c r="D684" s="40"/>
      <c r="E684" s="40"/>
      <c r="F684" s="40"/>
      <c r="G684" s="41"/>
      <c r="H684" s="14">
        <f>MAX(0,H683-648000)</f>
        <v>571500</v>
      </c>
      <c r="I684" s="1" t="s">
        <v>120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75">
      <c r="A685" s="42" t="s">
        <v>18</v>
      </c>
      <c r="B685" s="40"/>
      <c r="C685" s="40"/>
      <c r="D685" s="40"/>
      <c r="E685" s="40"/>
      <c r="F685" s="40"/>
      <c r="G685" s="41"/>
      <c r="H685" s="15">
        <v>649000</v>
      </c>
      <c r="I685" s="1" t="s">
        <v>120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75">
      <c r="A686" s="43" t="s">
        <v>19</v>
      </c>
      <c r="B686" s="40"/>
      <c r="C686" s="40"/>
      <c r="D686" s="40"/>
      <c r="E686" s="40"/>
      <c r="F686" s="40"/>
      <c r="G686" s="40"/>
      <c r="H686" s="41"/>
      <c r="I686" s="1" t="s">
        <v>120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45"/>
    <row r="688" spans="1:26" ht="15.75" customHeight="1" x14ac:dyDescent="0.45"/>
    <row r="689" spans="1:26" ht="15.75" customHeight="1" x14ac:dyDescent="0.45"/>
    <row r="690" spans="1:26" ht="15.75" customHeight="1" x14ac:dyDescent="0.45"/>
    <row r="691" spans="1:26" ht="15.75" customHeight="1" x14ac:dyDescent="0.45"/>
    <row r="692" spans="1:26" ht="15.75" customHeight="1" x14ac:dyDescent="0.45"/>
    <row r="693" spans="1:26" ht="15.75" customHeight="1" x14ac:dyDescent="0.75">
      <c r="A693" s="43" t="s">
        <v>0</v>
      </c>
      <c r="B693" s="40"/>
      <c r="C693" s="40"/>
      <c r="D693" s="40"/>
      <c r="E693" s="40"/>
      <c r="F693" s="40"/>
      <c r="G693" s="40"/>
      <c r="H693" s="41"/>
      <c r="I693" s="1" t="s">
        <v>120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75">
      <c r="A694" s="43" t="s">
        <v>148</v>
      </c>
      <c r="B694" s="40"/>
      <c r="C694" s="40"/>
      <c r="D694" s="40"/>
      <c r="E694" s="40"/>
      <c r="F694" s="40"/>
      <c r="G694" s="40"/>
      <c r="H694" s="41"/>
      <c r="I694" s="1" t="s">
        <v>120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5000000000000004">
      <c r="A695" s="2" t="s">
        <v>3</v>
      </c>
      <c r="B695" s="2" t="s">
        <v>4</v>
      </c>
      <c r="C695" s="2" t="s">
        <v>5</v>
      </c>
      <c r="D695" s="2" t="s">
        <v>6</v>
      </c>
      <c r="E695" s="2" t="s">
        <v>7</v>
      </c>
      <c r="F695" s="3" t="s">
        <v>8</v>
      </c>
      <c r="G695" s="2" t="s">
        <v>9</v>
      </c>
      <c r="H695" s="4"/>
      <c r="I695" s="1" t="s">
        <v>120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75">
      <c r="A696" s="5">
        <v>1</v>
      </c>
      <c r="B696" s="6" t="s">
        <v>149</v>
      </c>
      <c r="C696" s="7">
        <v>3560</v>
      </c>
      <c r="D696" s="6" t="s">
        <v>12</v>
      </c>
      <c r="E696" s="6">
        <v>2.9</v>
      </c>
      <c r="F696" s="8">
        <v>293000</v>
      </c>
      <c r="G696" s="9">
        <f t="shared" ref="G696:G698" si="45">IFERROR(E696*F696,0)</f>
        <v>849700</v>
      </c>
      <c r="H696" s="10"/>
      <c r="I696" s="1" t="s">
        <v>120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75">
      <c r="A697" s="5">
        <v>2</v>
      </c>
      <c r="B697" s="16" t="s">
        <v>150</v>
      </c>
      <c r="C697" s="17">
        <v>2686</v>
      </c>
      <c r="D697" s="16" t="s">
        <v>14</v>
      </c>
      <c r="E697" s="16">
        <v>0.72</v>
      </c>
      <c r="F697" s="11">
        <v>435000</v>
      </c>
      <c r="G697" s="9">
        <f t="shared" si="45"/>
        <v>313200</v>
      </c>
      <c r="H697" s="10"/>
      <c r="I697" s="1" t="s">
        <v>120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75">
      <c r="A698" s="5">
        <v>3</v>
      </c>
      <c r="B698" s="12" t="s">
        <v>15</v>
      </c>
      <c r="C698" s="10"/>
      <c r="D698" s="10"/>
      <c r="E698" s="10"/>
      <c r="F698" s="10"/>
      <c r="G698" s="13">
        <f t="shared" si="45"/>
        <v>0</v>
      </c>
      <c r="H698" s="10"/>
      <c r="I698" s="1" t="s">
        <v>120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75">
      <c r="A699" s="39" t="s">
        <v>16</v>
      </c>
      <c r="B699" s="40"/>
      <c r="C699" s="40"/>
      <c r="D699" s="40"/>
      <c r="E699" s="40"/>
      <c r="F699" s="40"/>
      <c r="G699" s="41"/>
      <c r="H699" s="14">
        <f>SUM(G696:G698)</f>
        <v>1162900</v>
      </c>
      <c r="I699" s="1" t="s">
        <v>120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75">
      <c r="A700" s="39" t="s">
        <v>17</v>
      </c>
      <c r="B700" s="40"/>
      <c r="C700" s="40"/>
      <c r="D700" s="40"/>
      <c r="E700" s="40"/>
      <c r="F700" s="40"/>
      <c r="G700" s="41"/>
      <c r="H700" s="14">
        <f>MAX(0,H699-648000)</f>
        <v>514900</v>
      </c>
      <c r="I700" s="1" t="s">
        <v>120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75">
      <c r="A701" s="42" t="s">
        <v>18</v>
      </c>
      <c r="B701" s="40"/>
      <c r="C701" s="40"/>
      <c r="D701" s="40"/>
      <c r="E701" s="40"/>
      <c r="F701" s="40"/>
      <c r="G701" s="41"/>
      <c r="H701" s="15">
        <v>649000</v>
      </c>
      <c r="I701" s="1" t="s">
        <v>120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75">
      <c r="A702" s="43" t="s">
        <v>19</v>
      </c>
      <c r="B702" s="40"/>
      <c r="C702" s="40"/>
      <c r="D702" s="40"/>
      <c r="E702" s="40"/>
      <c r="F702" s="40"/>
      <c r="G702" s="40"/>
      <c r="H702" s="41"/>
      <c r="I702" s="1" t="s">
        <v>120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45"/>
    <row r="704" spans="1:26" ht="15.75" customHeight="1" x14ac:dyDescent="0.45"/>
    <row r="705" spans="1:26" ht="15.75" customHeight="1" x14ac:dyDescent="0.45"/>
    <row r="706" spans="1:26" ht="15.75" customHeight="1" x14ac:dyDescent="0.45"/>
    <row r="707" spans="1:26" ht="15.75" customHeight="1" x14ac:dyDescent="0.45"/>
    <row r="708" spans="1:26" ht="15.75" customHeight="1" x14ac:dyDescent="0.45"/>
    <row r="709" spans="1:26" ht="15.75" customHeight="1" x14ac:dyDescent="0.45"/>
    <row r="710" spans="1:26" ht="15.75" customHeight="1" x14ac:dyDescent="0.45"/>
    <row r="711" spans="1:26" ht="15.75" customHeight="1" x14ac:dyDescent="0.45"/>
    <row r="712" spans="1:26" ht="15.75" customHeight="1" x14ac:dyDescent="0.45"/>
    <row r="713" spans="1:26" ht="15.75" customHeight="1" x14ac:dyDescent="0.45"/>
    <row r="714" spans="1:26" ht="15.75" customHeight="1" x14ac:dyDescent="0.75">
      <c r="A714" s="43" t="s">
        <v>0</v>
      </c>
      <c r="B714" s="40"/>
      <c r="C714" s="40"/>
      <c r="D714" s="40"/>
      <c r="E714" s="40"/>
      <c r="F714" s="40"/>
      <c r="G714" s="40"/>
      <c r="H714" s="41"/>
      <c r="I714" s="1" t="s">
        <v>120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75">
      <c r="A715" s="43" t="s">
        <v>151</v>
      </c>
      <c r="B715" s="40"/>
      <c r="C715" s="40"/>
      <c r="D715" s="40"/>
      <c r="E715" s="40"/>
      <c r="F715" s="40"/>
      <c r="G715" s="40"/>
      <c r="H715" s="41"/>
      <c r="I715" s="1" t="s">
        <v>120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5000000000000004">
      <c r="A716" s="2" t="s">
        <v>3</v>
      </c>
      <c r="B716" s="2" t="s">
        <v>4</v>
      </c>
      <c r="C716" s="2" t="s">
        <v>5</v>
      </c>
      <c r="D716" s="2" t="s">
        <v>6</v>
      </c>
      <c r="E716" s="2" t="s">
        <v>7</v>
      </c>
      <c r="F716" s="3" t="s">
        <v>8</v>
      </c>
      <c r="G716" s="2" t="s">
        <v>9</v>
      </c>
      <c r="H716" s="4"/>
      <c r="I716" s="1" t="s">
        <v>120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75">
      <c r="A717" s="5">
        <v>1</v>
      </c>
      <c r="B717" s="6" t="s">
        <v>152</v>
      </c>
      <c r="C717" s="7">
        <v>8191</v>
      </c>
      <c r="D717" s="6" t="s">
        <v>12</v>
      </c>
      <c r="E717" s="6">
        <v>3</v>
      </c>
      <c r="F717" s="8">
        <v>293000</v>
      </c>
      <c r="G717" s="9">
        <f t="shared" ref="G717:G719" si="46">IFERROR(E717*F717,0)</f>
        <v>879000</v>
      </c>
      <c r="H717" s="10"/>
      <c r="I717" s="1" t="s">
        <v>120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75">
      <c r="A718" s="5">
        <v>2</v>
      </c>
      <c r="B718" s="16" t="s">
        <v>103</v>
      </c>
      <c r="C718" s="17">
        <v>2556</v>
      </c>
      <c r="D718" s="16" t="s">
        <v>14</v>
      </c>
      <c r="E718" s="16">
        <v>0.59</v>
      </c>
      <c r="F718" s="11">
        <v>435000</v>
      </c>
      <c r="G718" s="9">
        <f t="shared" si="46"/>
        <v>256650</v>
      </c>
      <c r="H718" s="10"/>
      <c r="I718" s="1" t="s">
        <v>120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75">
      <c r="A719" s="5">
        <v>3</v>
      </c>
      <c r="B719" s="12" t="s">
        <v>15</v>
      </c>
      <c r="C719" s="10"/>
      <c r="D719" s="10"/>
      <c r="E719" s="10"/>
      <c r="F719" s="10"/>
      <c r="G719" s="13">
        <f t="shared" si="46"/>
        <v>0</v>
      </c>
      <c r="H719" s="10"/>
      <c r="I719" s="1" t="s">
        <v>120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75">
      <c r="A720" s="39" t="s">
        <v>16</v>
      </c>
      <c r="B720" s="40"/>
      <c r="C720" s="40"/>
      <c r="D720" s="40"/>
      <c r="E720" s="40"/>
      <c r="F720" s="40"/>
      <c r="G720" s="41"/>
      <c r="H720" s="14">
        <f>SUM(G717:G719)</f>
        <v>1135650</v>
      </c>
      <c r="I720" s="1" t="s">
        <v>120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75">
      <c r="A721" s="39" t="s">
        <v>17</v>
      </c>
      <c r="B721" s="40"/>
      <c r="C721" s="40"/>
      <c r="D721" s="40"/>
      <c r="E721" s="40"/>
      <c r="F721" s="40"/>
      <c r="G721" s="41"/>
      <c r="H721" s="14">
        <f>MAX(0,H720-648000)</f>
        <v>487650</v>
      </c>
      <c r="I721" s="1" t="s">
        <v>120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75">
      <c r="A722" s="42" t="s">
        <v>18</v>
      </c>
      <c r="B722" s="40"/>
      <c r="C722" s="40"/>
      <c r="D722" s="40"/>
      <c r="E722" s="40"/>
      <c r="F722" s="40"/>
      <c r="G722" s="41"/>
      <c r="H722" s="15">
        <v>649000</v>
      </c>
      <c r="I722" s="1" t="s">
        <v>120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75">
      <c r="A723" s="43" t="s">
        <v>19</v>
      </c>
      <c r="B723" s="40"/>
      <c r="C723" s="40"/>
      <c r="D723" s="40"/>
      <c r="E723" s="40"/>
      <c r="F723" s="40"/>
      <c r="G723" s="40"/>
      <c r="H723" s="41"/>
      <c r="I723" s="1" t="s">
        <v>120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45"/>
    <row r="725" spans="1:26" ht="15.75" customHeight="1" x14ac:dyDescent="0.45"/>
    <row r="726" spans="1:26" ht="15.75" customHeight="1" x14ac:dyDescent="0.45"/>
    <row r="727" spans="1:26" ht="15.75" customHeight="1" x14ac:dyDescent="0.45"/>
    <row r="728" spans="1:26" ht="15.75" customHeight="1" x14ac:dyDescent="0.45"/>
    <row r="729" spans="1:26" ht="15.75" customHeight="1" x14ac:dyDescent="0.45"/>
    <row r="730" spans="1:26" ht="15.75" customHeight="1" x14ac:dyDescent="0.45"/>
    <row r="731" spans="1:26" ht="15.75" customHeight="1" x14ac:dyDescent="0.75">
      <c r="A731" s="43" t="s">
        <v>0</v>
      </c>
      <c r="B731" s="40"/>
      <c r="C731" s="40"/>
      <c r="D731" s="40"/>
      <c r="E731" s="40"/>
      <c r="F731" s="40"/>
      <c r="G731" s="40"/>
      <c r="H731" s="41"/>
      <c r="I731" s="1" t="s">
        <v>120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75">
      <c r="A732" s="43" t="s">
        <v>153</v>
      </c>
      <c r="B732" s="40"/>
      <c r="C732" s="40"/>
      <c r="D732" s="40"/>
      <c r="E732" s="40"/>
      <c r="F732" s="40"/>
      <c r="G732" s="40"/>
      <c r="H732" s="41"/>
      <c r="I732" s="1" t="s">
        <v>120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5000000000000004">
      <c r="A733" s="2" t="s">
        <v>3</v>
      </c>
      <c r="B733" s="2" t="s">
        <v>4</v>
      </c>
      <c r="C733" s="2" t="s">
        <v>5</v>
      </c>
      <c r="D733" s="2" t="s">
        <v>6</v>
      </c>
      <c r="E733" s="2" t="s">
        <v>7</v>
      </c>
      <c r="F733" s="3" t="s">
        <v>8</v>
      </c>
      <c r="G733" s="2" t="s">
        <v>9</v>
      </c>
      <c r="H733" s="4"/>
      <c r="I733" s="1" t="s">
        <v>120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75">
      <c r="A734" s="5">
        <v>1</v>
      </c>
      <c r="B734" s="6" t="s">
        <v>64</v>
      </c>
      <c r="C734" s="7">
        <v>4566</v>
      </c>
      <c r="D734" s="6" t="s">
        <v>12</v>
      </c>
      <c r="E734" s="6">
        <v>1.65</v>
      </c>
      <c r="F734" s="8">
        <v>293000</v>
      </c>
      <c r="G734" s="9">
        <f t="shared" ref="G734:G736" si="47">IFERROR(E734*F734,0)</f>
        <v>483450</v>
      </c>
      <c r="H734" s="10"/>
      <c r="I734" s="1" t="s">
        <v>120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75">
      <c r="A735" s="5">
        <v>2</v>
      </c>
      <c r="B735" s="16" t="s">
        <v>154</v>
      </c>
      <c r="C735" s="17">
        <v>3696</v>
      </c>
      <c r="D735" s="16" t="s">
        <v>14</v>
      </c>
      <c r="E735" s="16">
        <v>1.58</v>
      </c>
      <c r="F735" s="11">
        <v>435000</v>
      </c>
      <c r="G735" s="9">
        <f t="shared" si="47"/>
        <v>687300</v>
      </c>
      <c r="H735" s="10"/>
      <c r="I735" s="1" t="s">
        <v>120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75">
      <c r="A736" s="5">
        <v>3</v>
      </c>
      <c r="B736" s="12" t="s">
        <v>15</v>
      </c>
      <c r="C736" s="10"/>
      <c r="D736" s="10"/>
      <c r="E736" s="10"/>
      <c r="F736" s="10"/>
      <c r="G736" s="13">
        <f t="shared" si="47"/>
        <v>0</v>
      </c>
      <c r="H736" s="10"/>
      <c r="I736" s="1" t="s">
        <v>120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75">
      <c r="A737" s="39" t="s">
        <v>16</v>
      </c>
      <c r="B737" s="40"/>
      <c r="C737" s="40"/>
      <c r="D737" s="40"/>
      <c r="E737" s="40"/>
      <c r="F737" s="40"/>
      <c r="G737" s="41"/>
      <c r="H737" s="14">
        <f>SUM(G734:G736)</f>
        <v>1170750</v>
      </c>
      <c r="I737" s="1" t="s">
        <v>120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75">
      <c r="A738" s="39" t="s">
        <v>17</v>
      </c>
      <c r="B738" s="40"/>
      <c r="C738" s="40"/>
      <c r="D738" s="40"/>
      <c r="E738" s="40"/>
      <c r="F738" s="40"/>
      <c r="G738" s="41"/>
      <c r="H738" s="14">
        <f>MAX(0,H737-648000)</f>
        <v>522750</v>
      </c>
      <c r="I738" s="1" t="s">
        <v>120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75">
      <c r="A739" s="42" t="s">
        <v>18</v>
      </c>
      <c r="B739" s="40"/>
      <c r="C739" s="40"/>
      <c r="D739" s="40"/>
      <c r="E739" s="40"/>
      <c r="F739" s="40"/>
      <c r="G739" s="41"/>
      <c r="H739" s="15">
        <v>649000</v>
      </c>
      <c r="I739" s="1" t="s">
        <v>120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75">
      <c r="A740" s="43" t="s">
        <v>19</v>
      </c>
      <c r="B740" s="40"/>
      <c r="C740" s="40"/>
      <c r="D740" s="40"/>
      <c r="E740" s="40"/>
      <c r="F740" s="40"/>
      <c r="G740" s="40"/>
      <c r="H740" s="41"/>
      <c r="I740" s="1" t="s">
        <v>120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45"/>
    <row r="742" spans="1:26" ht="15.75" customHeight="1" x14ac:dyDescent="0.45"/>
    <row r="743" spans="1:26" ht="15.75" customHeight="1" x14ac:dyDescent="0.45"/>
    <row r="744" spans="1:26" ht="15.75" customHeight="1" x14ac:dyDescent="0.45"/>
    <row r="745" spans="1:26" ht="15.75" customHeight="1" x14ac:dyDescent="0.45"/>
    <row r="746" spans="1:26" ht="15.75" customHeight="1" x14ac:dyDescent="0.45"/>
    <row r="747" spans="1:26" ht="15.75" customHeight="1" x14ac:dyDescent="0.75">
      <c r="A747" s="43" t="s">
        <v>0</v>
      </c>
      <c r="B747" s="40"/>
      <c r="C747" s="40"/>
      <c r="D747" s="40"/>
      <c r="E747" s="40"/>
      <c r="F747" s="40"/>
      <c r="G747" s="40"/>
      <c r="H747" s="41"/>
      <c r="I747" s="1" t="s">
        <v>120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75">
      <c r="A748" s="43" t="s">
        <v>155</v>
      </c>
      <c r="B748" s="40"/>
      <c r="C748" s="40"/>
      <c r="D748" s="40"/>
      <c r="E748" s="40"/>
      <c r="F748" s="40"/>
      <c r="G748" s="40"/>
      <c r="H748" s="41"/>
      <c r="I748" s="1" t="s">
        <v>120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5000000000000004">
      <c r="A749" s="2" t="s">
        <v>3</v>
      </c>
      <c r="B749" s="2" t="s">
        <v>4</v>
      </c>
      <c r="C749" s="2" t="s">
        <v>5</v>
      </c>
      <c r="D749" s="2" t="s">
        <v>6</v>
      </c>
      <c r="E749" s="2" t="s">
        <v>7</v>
      </c>
      <c r="F749" s="3" t="s">
        <v>8</v>
      </c>
      <c r="G749" s="2" t="s">
        <v>9</v>
      </c>
      <c r="H749" s="4"/>
      <c r="I749" s="1" t="s">
        <v>120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75">
      <c r="A750" s="5">
        <v>1</v>
      </c>
      <c r="B750" s="6" t="s">
        <v>21</v>
      </c>
      <c r="C750" s="7">
        <v>3631</v>
      </c>
      <c r="D750" s="6" t="s">
        <v>12</v>
      </c>
      <c r="E750" s="6">
        <v>3</v>
      </c>
      <c r="F750" s="8">
        <v>293000</v>
      </c>
      <c r="G750" s="9">
        <f t="shared" ref="G750:G752" si="48">IFERROR(E750*F750,0)</f>
        <v>879000</v>
      </c>
      <c r="H750" s="10"/>
      <c r="I750" s="1" t="s">
        <v>120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75">
      <c r="A751" s="5">
        <v>2</v>
      </c>
      <c r="B751" s="16" t="s">
        <v>156</v>
      </c>
      <c r="C751" s="17">
        <v>3615</v>
      </c>
      <c r="D751" s="16" t="s">
        <v>14</v>
      </c>
      <c r="E751" s="16">
        <v>0.62</v>
      </c>
      <c r="F751" s="11">
        <v>435000</v>
      </c>
      <c r="G751" s="9">
        <f t="shared" si="48"/>
        <v>269700</v>
      </c>
      <c r="H751" s="10"/>
      <c r="I751" s="1" t="s">
        <v>120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75">
      <c r="A752" s="5">
        <v>3</v>
      </c>
      <c r="B752" s="12" t="s">
        <v>15</v>
      </c>
      <c r="C752" s="10"/>
      <c r="D752" s="10"/>
      <c r="E752" s="10"/>
      <c r="F752" s="10"/>
      <c r="G752" s="13">
        <f t="shared" si="48"/>
        <v>0</v>
      </c>
      <c r="H752" s="10"/>
      <c r="I752" s="1" t="s">
        <v>120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75">
      <c r="A753" s="39" t="s">
        <v>16</v>
      </c>
      <c r="B753" s="40"/>
      <c r="C753" s="40"/>
      <c r="D753" s="40"/>
      <c r="E753" s="40"/>
      <c r="F753" s="40"/>
      <c r="G753" s="41"/>
      <c r="H753" s="14">
        <f>SUM(G750:G752)</f>
        <v>1148700</v>
      </c>
      <c r="I753" s="1" t="s">
        <v>120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75">
      <c r="A754" s="39" t="s">
        <v>17</v>
      </c>
      <c r="B754" s="40"/>
      <c r="C754" s="40"/>
      <c r="D754" s="40"/>
      <c r="E754" s="40"/>
      <c r="F754" s="40"/>
      <c r="G754" s="41"/>
      <c r="H754" s="14">
        <f>MAX(0,H753-648000)</f>
        <v>500700</v>
      </c>
      <c r="I754" s="1" t="s">
        <v>120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75">
      <c r="A755" s="42" t="s">
        <v>18</v>
      </c>
      <c r="B755" s="40"/>
      <c r="C755" s="40"/>
      <c r="D755" s="40"/>
      <c r="E755" s="40"/>
      <c r="F755" s="40"/>
      <c r="G755" s="41"/>
      <c r="H755" s="15">
        <v>649000</v>
      </c>
      <c r="I755" s="1" t="s">
        <v>120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75">
      <c r="A756" s="43" t="s">
        <v>19</v>
      </c>
      <c r="B756" s="40"/>
      <c r="C756" s="40"/>
      <c r="D756" s="40"/>
      <c r="E756" s="40"/>
      <c r="F756" s="40"/>
      <c r="G756" s="40"/>
      <c r="H756" s="41"/>
      <c r="I756" s="1" t="s">
        <v>120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45"/>
    <row r="758" spans="1:26" ht="15.75" customHeight="1" x14ac:dyDescent="0.45"/>
    <row r="759" spans="1:26" ht="15.75" customHeight="1" x14ac:dyDescent="0.45"/>
    <row r="760" spans="1:26" ht="15.75" customHeight="1" x14ac:dyDescent="0.45"/>
    <row r="761" spans="1:26" ht="15.75" customHeight="1" x14ac:dyDescent="0.45"/>
    <row r="762" spans="1:26" ht="15.75" customHeight="1" x14ac:dyDescent="0.45"/>
    <row r="763" spans="1:26" ht="15.75" customHeight="1" x14ac:dyDescent="0.75">
      <c r="A763" s="43" t="s">
        <v>0</v>
      </c>
      <c r="B763" s="40"/>
      <c r="C763" s="40"/>
      <c r="D763" s="40"/>
      <c r="E763" s="40"/>
      <c r="F763" s="40"/>
      <c r="G763" s="40"/>
      <c r="H763" s="41"/>
      <c r="I763" s="1" t="s">
        <v>120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75">
      <c r="A764" s="43" t="s">
        <v>157</v>
      </c>
      <c r="B764" s="40"/>
      <c r="C764" s="40"/>
      <c r="D764" s="40"/>
      <c r="E764" s="40"/>
      <c r="F764" s="40"/>
      <c r="G764" s="40"/>
      <c r="H764" s="41"/>
      <c r="I764" s="1" t="s">
        <v>120</v>
      </c>
      <c r="J764" s="19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5000000000000004">
      <c r="A765" s="2" t="s">
        <v>3</v>
      </c>
      <c r="B765" s="2" t="s">
        <v>4</v>
      </c>
      <c r="C765" s="2" t="s">
        <v>5</v>
      </c>
      <c r="D765" s="2" t="s">
        <v>6</v>
      </c>
      <c r="E765" s="2" t="s">
        <v>7</v>
      </c>
      <c r="F765" s="3" t="s">
        <v>8</v>
      </c>
      <c r="G765" s="2" t="s">
        <v>9</v>
      </c>
      <c r="H765" s="4"/>
      <c r="I765" s="1" t="s">
        <v>120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75">
      <c r="A766" s="5">
        <v>1</v>
      </c>
      <c r="B766" s="6" t="s">
        <v>31</v>
      </c>
      <c r="C766" s="7">
        <v>7264</v>
      </c>
      <c r="D766" s="6" t="s">
        <v>12</v>
      </c>
      <c r="E766" s="6">
        <v>3</v>
      </c>
      <c r="F766" s="8">
        <v>293000</v>
      </c>
      <c r="G766" s="9">
        <f t="shared" ref="G766:G768" si="49">IFERROR(E766*F766,0)</f>
        <v>879000</v>
      </c>
      <c r="H766" s="10"/>
      <c r="I766" s="1" t="s">
        <v>120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75">
      <c r="A767" s="5">
        <v>2</v>
      </c>
      <c r="B767" s="16" t="s">
        <v>158</v>
      </c>
      <c r="C767" s="17" t="s">
        <v>159</v>
      </c>
      <c r="D767" s="16" t="s">
        <v>14</v>
      </c>
      <c r="E767" s="16">
        <v>0.68</v>
      </c>
      <c r="F767" s="11">
        <v>435000</v>
      </c>
      <c r="G767" s="9">
        <f t="shared" si="49"/>
        <v>295800</v>
      </c>
      <c r="H767" s="10"/>
      <c r="I767" s="1" t="s">
        <v>120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75">
      <c r="A768" s="5">
        <v>3</v>
      </c>
      <c r="B768" s="12" t="s">
        <v>15</v>
      </c>
      <c r="C768" s="10"/>
      <c r="D768" s="10"/>
      <c r="E768" s="10"/>
      <c r="F768" s="10"/>
      <c r="G768" s="13">
        <f t="shared" si="49"/>
        <v>0</v>
      </c>
      <c r="H768" s="10"/>
      <c r="I768" s="1" t="s">
        <v>120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75">
      <c r="A769" s="39" t="s">
        <v>16</v>
      </c>
      <c r="B769" s="40"/>
      <c r="C769" s="40"/>
      <c r="D769" s="40"/>
      <c r="E769" s="40"/>
      <c r="F769" s="40"/>
      <c r="G769" s="41"/>
      <c r="H769" s="14">
        <f>SUM(G766:G768)</f>
        <v>1174800</v>
      </c>
      <c r="I769" s="1" t="s">
        <v>120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75">
      <c r="A770" s="39" t="s">
        <v>17</v>
      </c>
      <c r="B770" s="40"/>
      <c r="C770" s="40"/>
      <c r="D770" s="40"/>
      <c r="E770" s="40"/>
      <c r="F770" s="40"/>
      <c r="G770" s="41"/>
      <c r="H770" s="14">
        <f>MAX(0,H769-648000)</f>
        <v>526800</v>
      </c>
      <c r="I770" s="1" t="s">
        <v>120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75">
      <c r="A771" s="42" t="s">
        <v>18</v>
      </c>
      <c r="B771" s="40"/>
      <c r="C771" s="40"/>
      <c r="D771" s="40"/>
      <c r="E771" s="40"/>
      <c r="F771" s="40"/>
      <c r="G771" s="41"/>
      <c r="H771" s="15">
        <v>649000</v>
      </c>
      <c r="I771" s="1" t="s">
        <v>120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75">
      <c r="A772" s="43" t="s">
        <v>19</v>
      </c>
      <c r="B772" s="40"/>
      <c r="C772" s="40"/>
      <c r="D772" s="40"/>
      <c r="E772" s="40"/>
      <c r="F772" s="40"/>
      <c r="G772" s="40"/>
      <c r="H772" s="41"/>
      <c r="I772" s="1" t="s">
        <v>120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45"/>
    <row r="774" spans="1:26" ht="15.75" customHeight="1" x14ac:dyDescent="0.45"/>
    <row r="775" spans="1:26" ht="15.75" customHeight="1" x14ac:dyDescent="0.45"/>
    <row r="776" spans="1:26" ht="15.75" customHeight="1" x14ac:dyDescent="0.45"/>
    <row r="777" spans="1:26" ht="15.75" customHeight="1" x14ac:dyDescent="0.45"/>
    <row r="778" spans="1:26" ht="15.75" customHeight="1" x14ac:dyDescent="0.45"/>
    <row r="779" spans="1:26" ht="15.75" customHeight="1" x14ac:dyDescent="0.45"/>
    <row r="780" spans="1:26" ht="15.75" customHeight="1" x14ac:dyDescent="0.75">
      <c r="A780" s="43" t="s">
        <v>0</v>
      </c>
      <c r="B780" s="40"/>
      <c r="C780" s="40"/>
      <c r="D780" s="40"/>
      <c r="E780" s="40"/>
      <c r="F780" s="40"/>
      <c r="G780" s="40"/>
      <c r="H780" s="41"/>
      <c r="I780" s="1" t="s">
        <v>120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75">
      <c r="A781" s="43" t="s">
        <v>160</v>
      </c>
      <c r="B781" s="40"/>
      <c r="C781" s="40"/>
      <c r="D781" s="40"/>
      <c r="E781" s="40"/>
      <c r="F781" s="40"/>
      <c r="G781" s="40"/>
      <c r="H781" s="41"/>
      <c r="I781" s="1" t="s">
        <v>120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5000000000000004">
      <c r="A782" s="2" t="s">
        <v>3</v>
      </c>
      <c r="B782" s="2" t="s">
        <v>4</v>
      </c>
      <c r="C782" s="2" t="s">
        <v>5</v>
      </c>
      <c r="D782" s="2" t="s">
        <v>6</v>
      </c>
      <c r="E782" s="2" t="s">
        <v>7</v>
      </c>
      <c r="F782" s="3" t="s">
        <v>8</v>
      </c>
      <c r="G782" s="2" t="s">
        <v>9</v>
      </c>
      <c r="H782" s="4"/>
      <c r="I782" s="1" t="s">
        <v>120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75">
      <c r="A783" s="5">
        <v>1</v>
      </c>
      <c r="B783" s="6" t="s">
        <v>161</v>
      </c>
      <c r="C783" s="7">
        <v>1979</v>
      </c>
      <c r="D783" s="6" t="s">
        <v>12</v>
      </c>
      <c r="E783" s="6">
        <v>1.45</v>
      </c>
      <c r="F783" s="8">
        <v>293000</v>
      </c>
      <c r="G783" s="9">
        <f t="shared" ref="G783:G785" si="50">IFERROR(E783*F783,0)</f>
        <v>424850</v>
      </c>
      <c r="H783" s="10"/>
      <c r="I783" s="1" t="s">
        <v>120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75">
      <c r="A784" s="5">
        <v>2</v>
      </c>
      <c r="B784" s="16" t="s">
        <v>162</v>
      </c>
      <c r="C784" s="17">
        <v>5552</v>
      </c>
      <c r="D784" s="16" t="s">
        <v>14</v>
      </c>
      <c r="E784" s="16">
        <v>2.02</v>
      </c>
      <c r="F784" s="11">
        <v>435000</v>
      </c>
      <c r="G784" s="9">
        <f t="shared" si="50"/>
        <v>878700</v>
      </c>
      <c r="H784" s="10"/>
      <c r="I784" s="1" t="s">
        <v>120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75">
      <c r="A785" s="5">
        <v>3</v>
      </c>
      <c r="B785" s="12" t="s">
        <v>15</v>
      </c>
      <c r="C785" s="10"/>
      <c r="D785" s="10"/>
      <c r="E785" s="10"/>
      <c r="F785" s="10"/>
      <c r="G785" s="13">
        <f t="shared" si="50"/>
        <v>0</v>
      </c>
      <c r="H785" s="10"/>
      <c r="I785" s="1" t="s">
        <v>120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75">
      <c r="A786" s="39" t="s">
        <v>16</v>
      </c>
      <c r="B786" s="40"/>
      <c r="C786" s="40"/>
      <c r="D786" s="40"/>
      <c r="E786" s="40"/>
      <c r="F786" s="40"/>
      <c r="G786" s="41"/>
      <c r="H786" s="14">
        <f>SUM(G783:G785)</f>
        <v>1303550</v>
      </c>
      <c r="I786" s="1" t="s">
        <v>120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75">
      <c r="A787" s="39" t="s">
        <v>17</v>
      </c>
      <c r="B787" s="40"/>
      <c r="C787" s="40"/>
      <c r="D787" s="40"/>
      <c r="E787" s="40"/>
      <c r="F787" s="40"/>
      <c r="G787" s="41"/>
      <c r="H787" s="14">
        <f>MAX(0,H786-648000)</f>
        <v>655550</v>
      </c>
      <c r="I787" s="1" t="s">
        <v>120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75">
      <c r="A788" s="42" t="s">
        <v>18</v>
      </c>
      <c r="B788" s="40"/>
      <c r="C788" s="40"/>
      <c r="D788" s="40"/>
      <c r="E788" s="40"/>
      <c r="F788" s="40"/>
      <c r="G788" s="41"/>
      <c r="H788" s="15">
        <v>649000</v>
      </c>
      <c r="I788" s="1" t="s">
        <v>120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75">
      <c r="A789" s="43" t="s">
        <v>19</v>
      </c>
      <c r="B789" s="40"/>
      <c r="C789" s="40"/>
      <c r="D789" s="40"/>
      <c r="E789" s="40"/>
      <c r="F789" s="40"/>
      <c r="G789" s="40"/>
      <c r="H789" s="41"/>
      <c r="I789" s="1" t="s">
        <v>120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45"/>
    <row r="791" spans="1:26" ht="15.75" customHeight="1" x14ac:dyDescent="0.45"/>
    <row r="792" spans="1:26" ht="15.75" customHeight="1" x14ac:dyDescent="0.45"/>
    <row r="793" spans="1:26" ht="15.75" customHeight="1" x14ac:dyDescent="0.45"/>
    <row r="794" spans="1:26" ht="15.75" customHeight="1" x14ac:dyDescent="0.45"/>
    <row r="795" spans="1:26" ht="15.75" customHeight="1" x14ac:dyDescent="0.45"/>
    <row r="796" spans="1:26" ht="15.75" customHeight="1" x14ac:dyDescent="0.75">
      <c r="A796" s="43" t="s">
        <v>0</v>
      </c>
      <c r="B796" s="40"/>
      <c r="C796" s="40"/>
      <c r="D796" s="40"/>
      <c r="E796" s="40"/>
      <c r="F796" s="40"/>
      <c r="G796" s="40"/>
      <c r="H796" s="41"/>
      <c r="I796" s="1" t="s">
        <v>120</v>
      </c>
      <c r="J796" s="20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75">
      <c r="A797" s="43" t="s">
        <v>163</v>
      </c>
      <c r="B797" s="40"/>
      <c r="C797" s="40"/>
      <c r="D797" s="40"/>
      <c r="E797" s="40"/>
      <c r="F797" s="40"/>
      <c r="G797" s="40"/>
      <c r="H797" s="41"/>
      <c r="I797" s="1" t="s">
        <v>120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5000000000000004">
      <c r="A798" s="2" t="s">
        <v>3</v>
      </c>
      <c r="B798" s="2" t="s">
        <v>4</v>
      </c>
      <c r="C798" s="2" t="s">
        <v>5</v>
      </c>
      <c r="D798" s="2" t="s">
        <v>6</v>
      </c>
      <c r="E798" s="2" t="s">
        <v>7</v>
      </c>
      <c r="F798" s="3" t="s">
        <v>8</v>
      </c>
      <c r="G798" s="2" t="s">
        <v>9</v>
      </c>
      <c r="H798" s="4"/>
      <c r="I798" s="1" t="s">
        <v>120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75">
      <c r="A799" s="5">
        <v>1</v>
      </c>
      <c r="B799" s="6" t="s">
        <v>164</v>
      </c>
      <c r="C799" s="7" t="s">
        <v>165</v>
      </c>
      <c r="D799" s="6" t="s">
        <v>12</v>
      </c>
      <c r="E799" s="6">
        <v>1.5</v>
      </c>
      <c r="F799" s="8">
        <v>293000</v>
      </c>
      <c r="G799" s="9">
        <f t="shared" ref="G799:G801" si="51">IFERROR(E799*F799,0)</f>
        <v>439500</v>
      </c>
      <c r="H799" s="10"/>
      <c r="I799" s="1" t="s">
        <v>120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75">
      <c r="A800" s="5">
        <v>2</v>
      </c>
      <c r="B800" s="16" t="s">
        <v>162</v>
      </c>
      <c r="C800" s="17">
        <v>7896</v>
      </c>
      <c r="D800" s="16" t="s">
        <v>14</v>
      </c>
      <c r="E800" s="16">
        <v>2</v>
      </c>
      <c r="F800" s="11">
        <v>435000</v>
      </c>
      <c r="G800" s="9">
        <f t="shared" si="51"/>
        <v>870000</v>
      </c>
      <c r="H800" s="10"/>
      <c r="I800" s="1" t="s">
        <v>120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75">
      <c r="A801" s="5">
        <v>3</v>
      </c>
      <c r="B801" s="12" t="s">
        <v>15</v>
      </c>
      <c r="C801" s="10"/>
      <c r="D801" s="10"/>
      <c r="E801" s="10"/>
      <c r="F801" s="10"/>
      <c r="G801" s="13">
        <f t="shared" si="51"/>
        <v>0</v>
      </c>
      <c r="H801" s="10"/>
      <c r="I801" s="1" t="s">
        <v>120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75">
      <c r="A802" s="39" t="s">
        <v>16</v>
      </c>
      <c r="B802" s="40"/>
      <c r="C802" s="40"/>
      <c r="D802" s="40"/>
      <c r="E802" s="40"/>
      <c r="F802" s="40"/>
      <c r="G802" s="41"/>
      <c r="H802" s="14">
        <f>SUM(G799:G801)</f>
        <v>1309500</v>
      </c>
      <c r="I802" s="1" t="s">
        <v>120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75">
      <c r="A803" s="39" t="s">
        <v>17</v>
      </c>
      <c r="B803" s="40"/>
      <c r="C803" s="40"/>
      <c r="D803" s="40"/>
      <c r="E803" s="40"/>
      <c r="F803" s="40"/>
      <c r="G803" s="41"/>
      <c r="H803" s="14">
        <f>MAX(0,H802-648000)</f>
        <v>661500</v>
      </c>
      <c r="I803" s="1" t="s">
        <v>120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75">
      <c r="A804" s="42" t="s">
        <v>18</v>
      </c>
      <c r="B804" s="40"/>
      <c r="C804" s="40"/>
      <c r="D804" s="40"/>
      <c r="E804" s="40"/>
      <c r="F804" s="40"/>
      <c r="G804" s="41"/>
      <c r="H804" s="15">
        <v>649000</v>
      </c>
      <c r="I804" s="1" t="s">
        <v>120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75">
      <c r="A805" s="43" t="s">
        <v>19</v>
      </c>
      <c r="B805" s="40"/>
      <c r="C805" s="40"/>
      <c r="D805" s="40"/>
      <c r="E805" s="40"/>
      <c r="F805" s="40"/>
      <c r="G805" s="40"/>
      <c r="H805" s="41"/>
      <c r="I805" s="1" t="s">
        <v>120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45"/>
    <row r="807" spans="1:26" ht="15.75" customHeight="1" x14ac:dyDescent="0.45"/>
    <row r="808" spans="1:26" ht="15.75" customHeight="1" x14ac:dyDescent="0.45"/>
    <row r="809" spans="1:26" ht="15.75" customHeight="1" x14ac:dyDescent="0.45"/>
    <row r="810" spans="1:26" ht="15.75" customHeight="1" x14ac:dyDescent="0.45"/>
    <row r="811" spans="1:26" ht="15.75" customHeight="1" x14ac:dyDescent="0.45"/>
    <row r="812" spans="1:26" ht="15.75" customHeight="1" x14ac:dyDescent="0.45"/>
    <row r="813" spans="1:26" ht="15.75" customHeight="1" x14ac:dyDescent="0.75">
      <c r="A813" s="43" t="s">
        <v>0</v>
      </c>
      <c r="B813" s="40"/>
      <c r="C813" s="40"/>
      <c r="D813" s="40"/>
      <c r="E813" s="40"/>
      <c r="F813" s="40"/>
      <c r="G813" s="40"/>
      <c r="H813" s="41"/>
      <c r="I813" s="1" t="s">
        <v>120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75">
      <c r="A814" s="43" t="s">
        <v>166</v>
      </c>
      <c r="B814" s="40"/>
      <c r="C814" s="40"/>
      <c r="D814" s="40"/>
      <c r="E814" s="40"/>
      <c r="F814" s="40"/>
      <c r="G814" s="40"/>
      <c r="H814" s="41"/>
      <c r="I814" s="1" t="s">
        <v>120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5000000000000004">
      <c r="A815" s="2" t="s">
        <v>3</v>
      </c>
      <c r="B815" s="2" t="s">
        <v>4</v>
      </c>
      <c r="C815" s="2" t="s">
        <v>5</v>
      </c>
      <c r="D815" s="2" t="s">
        <v>6</v>
      </c>
      <c r="E815" s="2" t="s">
        <v>7</v>
      </c>
      <c r="F815" s="3" t="s">
        <v>8</v>
      </c>
      <c r="G815" s="2" t="s">
        <v>9</v>
      </c>
      <c r="H815" s="4"/>
      <c r="I815" s="1" t="s">
        <v>120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75">
      <c r="A816" s="5">
        <v>1</v>
      </c>
      <c r="B816" s="6" t="s">
        <v>167</v>
      </c>
      <c r="C816" s="7">
        <v>3550</v>
      </c>
      <c r="D816" s="6" t="s">
        <v>12</v>
      </c>
      <c r="E816" s="6">
        <v>1.5</v>
      </c>
      <c r="F816" s="8">
        <v>293000</v>
      </c>
      <c r="G816" s="9">
        <f t="shared" ref="G816:G818" si="52">IFERROR(E816*F816,0)</f>
        <v>439500</v>
      </c>
      <c r="H816" s="10"/>
      <c r="I816" s="1" t="s">
        <v>120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75">
      <c r="A817" s="5">
        <v>2</v>
      </c>
      <c r="B817" s="16" t="s">
        <v>168</v>
      </c>
      <c r="C817" s="17">
        <v>4523</v>
      </c>
      <c r="D817" s="16" t="s">
        <v>14</v>
      </c>
      <c r="E817" s="16">
        <v>2</v>
      </c>
      <c r="F817" s="11">
        <v>435000</v>
      </c>
      <c r="G817" s="9">
        <f t="shared" si="52"/>
        <v>870000</v>
      </c>
      <c r="H817" s="10"/>
      <c r="I817" s="1" t="s">
        <v>120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75">
      <c r="A818" s="5">
        <v>3</v>
      </c>
      <c r="B818" s="12" t="s">
        <v>15</v>
      </c>
      <c r="C818" s="10"/>
      <c r="D818" s="10"/>
      <c r="E818" s="10"/>
      <c r="F818" s="10"/>
      <c r="G818" s="13">
        <f t="shared" si="52"/>
        <v>0</v>
      </c>
      <c r="H818" s="10"/>
      <c r="I818" s="1" t="s">
        <v>120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75">
      <c r="A819" s="39" t="s">
        <v>16</v>
      </c>
      <c r="B819" s="40"/>
      <c r="C819" s="40"/>
      <c r="D819" s="40"/>
      <c r="E819" s="40"/>
      <c r="F819" s="40"/>
      <c r="G819" s="41"/>
      <c r="H819" s="14">
        <f>SUM(G816:G818)</f>
        <v>1309500</v>
      </c>
      <c r="I819" s="1" t="s">
        <v>120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75">
      <c r="A820" s="39" t="s">
        <v>17</v>
      </c>
      <c r="B820" s="40"/>
      <c r="C820" s="40"/>
      <c r="D820" s="40"/>
      <c r="E820" s="40"/>
      <c r="F820" s="40"/>
      <c r="G820" s="41"/>
      <c r="H820" s="14">
        <f>MAX(0,H819-648000)</f>
        <v>661500</v>
      </c>
      <c r="I820" s="1" t="s">
        <v>120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75">
      <c r="A821" s="42" t="s">
        <v>18</v>
      </c>
      <c r="B821" s="40"/>
      <c r="C821" s="40"/>
      <c r="D821" s="40"/>
      <c r="E821" s="40"/>
      <c r="F821" s="40"/>
      <c r="G821" s="41"/>
      <c r="H821" s="15">
        <v>649000</v>
      </c>
      <c r="I821" s="1" t="s">
        <v>120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75">
      <c r="A822" s="43" t="s">
        <v>19</v>
      </c>
      <c r="B822" s="40"/>
      <c r="C822" s="40"/>
      <c r="D822" s="40"/>
      <c r="E822" s="40"/>
      <c r="F822" s="40"/>
      <c r="G822" s="40"/>
      <c r="H822" s="41"/>
      <c r="I822" s="1" t="s">
        <v>120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45"/>
    <row r="824" spans="1:26" ht="15.75" customHeight="1" x14ac:dyDescent="0.45"/>
    <row r="825" spans="1:26" ht="15.75" customHeight="1" x14ac:dyDescent="0.45"/>
    <row r="826" spans="1:26" ht="15.75" customHeight="1" x14ac:dyDescent="0.45"/>
    <row r="827" spans="1:26" ht="15.75" customHeight="1" x14ac:dyDescent="0.45"/>
    <row r="828" spans="1:26" ht="15.75" customHeight="1" x14ac:dyDescent="0.75">
      <c r="A828" s="43" t="s">
        <v>0</v>
      </c>
      <c r="B828" s="40"/>
      <c r="C828" s="40"/>
      <c r="D828" s="40"/>
      <c r="E828" s="40"/>
      <c r="F828" s="40"/>
      <c r="G828" s="40"/>
      <c r="H828" s="41"/>
      <c r="I828" s="1" t="s">
        <v>120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75">
      <c r="A829" s="43" t="s">
        <v>169</v>
      </c>
      <c r="B829" s="40"/>
      <c r="C829" s="40"/>
      <c r="D829" s="40"/>
      <c r="E829" s="40"/>
      <c r="F829" s="40"/>
      <c r="G829" s="40"/>
      <c r="H829" s="41"/>
      <c r="I829" s="1" t="s">
        <v>120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5000000000000004">
      <c r="A830" s="2" t="s">
        <v>3</v>
      </c>
      <c r="B830" s="2" t="s">
        <v>4</v>
      </c>
      <c r="C830" s="2" t="s">
        <v>5</v>
      </c>
      <c r="D830" s="2" t="s">
        <v>6</v>
      </c>
      <c r="E830" s="2" t="s">
        <v>7</v>
      </c>
      <c r="F830" s="3" t="s">
        <v>8</v>
      </c>
      <c r="G830" s="2" t="s">
        <v>9</v>
      </c>
      <c r="H830" s="4"/>
      <c r="I830" s="1" t="s">
        <v>120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75">
      <c r="A831" s="5">
        <v>1</v>
      </c>
      <c r="B831" s="6" t="s">
        <v>170</v>
      </c>
      <c r="C831" s="7">
        <v>1235</v>
      </c>
      <c r="D831" s="6" t="s">
        <v>12</v>
      </c>
      <c r="E831" s="6">
        <v>2</v>
      </c>
      <c r="F831" s="8">
        <v>293000</v>
      </c>
      <c r="G831" s="9">
        <f t="shared" ref="G831:G833" si="53">IFERROR(E831*F831,0)</f>
        <v>586000</v>
      </c>
      <c r="H831" s="10"/>
      <c r="I831" s="1" t="s">
        <v>120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75">
      <c r="A832" s="5">
        <v>2</v>
      </c>
      <c r="B832" s="16" t="s">
        <v>70</v>
      </c>
      <c r="C832" s="17"/>
      <c r="D832" s="16" t="s">
        <v>14</v>
      </c>
      <c r="E832" s="16"/>
      <c r="F832" s="11">
        <v>435000</v>
      </c>
      <c r="G832" s="9">
        <f t="shared" si="53"/>
        <v>0</v>
      </c>
      <c r="H832" s="10"/>
      <c r="I832" s="1" t="s">
        <v>120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75">
      <c r="A833" s="5">
        <v>3</v>
      </c>
      <c r="B833" s="12" t="s">
        <v>15</v>
      </c>
      <c r="C833" s="10"/>
      <c r="D833" s="10"/>
      <c r="E833" s="10"/>
      <c r="F833" s="10"/>
      <c r="G833" s="13">
        <f t="shared" si="53"/>
        <v>0</v>
      </c>
      <c r="H833" s="10"/>
      <c r="I833" s="1" t="s">
        <v>120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75">
      <c r="A834" s="39" t="s">
        <v>16</v>
      </c>
      <c r="B834" s="40"/>
      <c r="C834" s="40"/>
      <c r="D834" s="40"/>
      <c r="E834" s="40"/>
      <c r="F834" s="40"/>
      <c r="G834" s="41"/>
      <c r="H834" s="14">
        <f>SUM(G831:G833)</f>
        <v>586000</v>
      </c>
      <c r="I834" s="1" t="s">
        <v>120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75">
      <c r="A835" s="39" t="s">
        <v>17</v>
      </c>
      <c r="B835" s="40"/>
      <c r="C835" s="40"/>
      <c r="D835" s="40"/>
      <c r="E835" s="40"/>
      <c r="F835" s="40"/>
      <c r="G835" s="41"/>
      <c r="H835" s="14">
        <f>MAX(0,H834-648000)</f>
        <v>0</v>
      </c>
      <c r="I835" s="1" t="s">
        <v>120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75">
      <c r="A836" s="42" t="s">
        <v>18</v>
      </c>
      <c r="B836" s="40"/>
      <c r="C836" s="40"/>
      <c r="D836" s="40"/>
      <c r="E836" s="40"/>
      <c r="F836" s="40"/>
      <c r="G836" s="41"/>
      <c r="H836" s="15">
        <v>649000</v>
      </c>
      <c r="I836" s="1" t="s">
        <v>120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75">
      <c r="A837" s="43" t="s">
        <v>19</v>
      </c>
      <c r="B837" s="40"/>
      <c r="C837" s="40"/>
      <c r="D837" s="40"/>
      <c r="E837" s="40"/>
      <c r="F837" s="40"/>
      <c r="G837" s="40"/>
      <c r="H837" s="41"/>
      <c r="I837" s="1" t="s">
        <v>120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45"/>
    <row r="839" spans="1:26" ht="15.75" customHeight="1" x14ac:dyDescent="0.45"/>
    <row r="840" spans="1:26" ht="15.75" customHeight="1" x14ac:dyDescent="0.45"/>
    <row r="841" spans="1:26" ht="15.75" customHeight="1" x14ac:dyDescent="0.45"/>
    <row r="842" spans="1:26" ht="15.75" customHeight="1" x14ac:dyDescent="0.45"/>
    <row r="843" spans="1:26" ht="15.75" customHeight="1" x14ac:dyDescent="0.45"/>
    <row r="844" spans="1:26" ht="15.75" customHeight="1" x14ac:dyDescent="0.75">
      <c r="A844" s="43" t="s">
        <v>0</v>
      </c>
      <c r="B844" s="40"/>
      <c r="C844" s="40"/>
      <c r="D844" s="40"/>
      <c r="E844" s="40"/>
      <c r="F844" s="40"/>
      <c r="G844" s="40"/>
      <c r="H844" s="41"/>
      <c r="I844" s="1" t="s">
        <v>120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75">
      <c r="A845" s="43" t="s">
        <v>171</v>
      </c>
      <c r="B845" s="40"/>
      <c r="C845" s="40"/>
      <c r="D845" s="40"/>
      <c r="E845" s="40"/>
      <c r="F845" s="40"/>
      <c r="G845" s="40"/>
      <c r="H845" s="41"/>
      <c r="I845" s="1" t="s">
        <v>120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5000000000000004">
      <c r="A846" s="2" t="s">
        <v>3</v>
      </c>
      <c r="B846" s="2" t="s">
        <v>4</v>
      </c>
      <c r="C846" s="2" t="s">
        <v>5</v>
      </c>
      <c r="D846" s="2" t="s">
        <v>6</v>
      </c>
      <c r="E846" s="2" t="s">
        <v>7</v>
      </c>
      <c r="F846" s="3" t="s">
        <v>8</v>
      </c>
      <c r="G846" s="2" t="s">
        <v>9</v>
      </c>
      <c r="H846" s="4"/>
      <c r="I846" s="1" t="s">
        <v>120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75">
      <c r="A847" s="5">
        <v>1</v>
      </c>
      <c r="B847" s="6" t="s">
        <v>115</v>
      </c>
      <c r="C847" s="7">
        <v>2584</v>
      </c>
      <c r="D847" s="6" t="s">
        <v>12</v>
      </c>
      <c r="E847" s="6">
        <v>1.75</v>
      </c>
      <c r="F847" s="8">
        <v>293000</v>
      </c>
      <c r="G847" s="9">
        <f t="shared" ref="G847:G849" si="54">IFERROR(E847*F847,0)</f>
        <v>512750</v>
      </c>
      <c r="H847" s="10"/>
      <c r="I847" s="1" t="s">
        <v>120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75">
      <c r="A848" s="5">
        <v>2</v>
      </c>
      <c r="B848" s="16" t="s">
        <v>49</v>
      </c>
      <c r="C848" s="17">
        <v>2699</v>
      </c>
      <c r="D848" s="16" t="s">
        <v>14</v>
      </c>
      <c r="E848" s="16">
        <v>1.87</v>
      </c>
      <c r="F848" s="11">
        <v>435000</v>
      </c>
      <c r="G848" s="9">
        <f t="shared" si="54"/>
        <v>813450</v>
      </c>
      <c r="H848" s="10"/>
      <c r="I848" s="1" t="s">
        <v>120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75">
      <c r="A849" s="5">
        <v>3</v>
      </c>
      <c r="B849" s="12" t="s">
        <v>15</v>
      </c>
      <c r="C849" s="10"/>
      <c r="D849" s="10"/>
      <c r="E849" s="10"/>
      <c r="F849" s="10"/>
      <c r="G849" s="13">
        <f t="shared" si="54"/>
        <v>0</v>
      </c>
      <c r="H849" s="10"/>
      <c r="I849" s="1" t="s">
        <v>120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75">
      <c r="A850" s="39" t="s">
        <v>16</v>
      </c>
      <c r="B850" s="40"/>
      <c r="C850" s="40"/>
      <c r="D850" s="40"/>
      <c r="E850" s="40"/>
      <c r="F850" s="40"/>
      <c r="G850" s="41"/>
      <c r="H850" s="14">
        <f>SUM(G847:G849)</f>
        <v>1326200</v>
      </c>
      <c r="I850" s="1" t="s">
        <v>120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75">
      <c r="A851" s="39" t="s">
        <v>17</v>
      </c>
      <c r="B851" s="40"/>
      <c r="C851" s="40"/>
      <c r="D851" s="40"/>
      <c r="E851" s="40"/>
      <c r="F851" s="40"/>
      <c r="G851" s="41"/>
      <c r="H851" s="14">
        <f>MAX(0,H850-648000)</f>
        <v>678200</v>
      </c>
      <c r="I851" s="1" t="s">
        <v>120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75">
      <c r="A852" s="42" t="s">
        <v>18</v>
      </c>
      <c r="B852" s="40"/>
      <c r="C852" s="40"/>
      <c r="D852" s="40"/>
      <c r="E852" s="40"/>
      <c r="F852" s="40"/>
      <c r="G852" s="41"/>
      <c r="H852" s="15">
        <v>649000</v>
      </c>
      <c r="I852" s="1" t="s">
        <v>120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75">
      <c r="A853" s="43" t="s">
        <v>19</v>
      </c>
      <c r="B853" s="40"/>
      <c r="C853" s="40"/>
      <c r="D853" s="40"/>
      <c r="E853" s="40"/>
      <c r="F853" s="40"/>
      <c r="G853" s="40"/>
      <c r="H853" s="41"/>
      <c r="I853" s="1" t="s">
        <v>120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45"/>
    <row r="855" spans="1:26" ht="15.75" customHeight="1" x14ac:dyDescent="0.45"/>
    <row r="856" spans="1:26" ht="15.75" customHeight="1" x14ac:dyDescent="0.45"/>
    <row r="857" spans="1:26" ht="15.75" customHeight="1" x14ac:dyDescent="0.45"/>
    <row r="858" spans="1:26" ht="15.75" customHeight="1" x14ac:dyDescent="0.45"/>
    <row r="859" spans="1:26" ht="15.75" customHeight="1" x14ac:dyDescent="0.45"/>
    <row r="860" spans="1:26" ht="15.75" customHeight="1" x14ac:dyDescent="0.75">
      <c r="A860" s="43" t="s">
        <v>0</v>
      </c>
      <c r="B860" s="40"/>
      <c r="C860" s="40"/>
      <c r="D860" s="40"/>
      <c r="E860" s="40"/>
      <c r="F860" s="40"/>
      <c r="G860" s="40"/>
      <c r="H860" s="41"/>
      <c r="I860" s="1" t="s">
        <v>120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75">
      <c r="A861" s="43" t="s">
        <v>172</v>
      </c>
      <c r="B861" s="40"/>
      <c r="C861" s="40"/>
      <c r="D861" s="40"/>
      <c r="E861" s="40"/>
      <c r="F861" s="40"/>
      <c r="G861" s="40"/>
      <c r="H861" s="41"/>
      <c r="I861" s="1" t="s">
        <v>120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5000000000000004">
      <c r="A862" s="2" t="s">
        <v>3</v>
      </c>
      <c r="B862" s="2" t="s">
        <v>4</v>
      </c>
      <c r="C862" s="2" t="s">
        <v>5</v>
      </c>
      <c r="D862" s="2" t="s">
        <v>6</v>
      </c>
      <c r="E862" s="2" t="s">
        <v>7</v>
      </c>
      <c r="F862" s="3" t="s">
        <v>8</v>
      </c>
      <c r="G862" s="2" t="s">
        <v>9</v>
      </c>
      <c r="H862" s="4"/>
      <c r="I862" s="1" t="s">
        <v>120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75">
      <c r="A863" s="5">
        <v>1</v>
      </c>
      <c r="B863" s="6" t="s">
        <v>173</v>
      </c>
      <c r="C863" s="7">
        <v>1028</v>
      </c>
      <c r="D863" s="6" t="s">
        <v>12</v>
      </c>
      <c r="E863" s="6">
        <v>1.9</v>
      </c>
      <c r="F863" s="8">
        <v>293000</v>
      </c>
      <c r="G863" s="9">
        <f t="shared" ref="G863:G865" si="55">IFERROR(E863*F863,0)</f>
        <v>556700</v>
      </c>
      <c r="H863" s="10"/>
      <c r="I863" s="1" t="s">
        <v>120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75">
      <c r="A864" s="5">
        <v>2</v>
      </c>
      <c r="B864" s="16" t="s">
        <v>174</v>
      </c>
      <c r="C864" s="17">
        <v>1031</v>
      </c>
      <c r="D864" s="16" t="s">
        <v>14</v>
      </c>
      <c r="E864" s="16">
        <v>1.46</v>
      </c>
      <c r="F864" s="11">
        <v>435000</v>
      </c>
      <c r="G864" s="9">
        <f t="shared" si="55"/>
        <v>635100</v>
      </c>
      <c r="H864" s="10"/>
      <c r="I864" s="1" t="s">
        <v>120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75">
      <c r="A865" s="5">
        <v>3</v>
      </c>
      <c r="B865" s="12" t="s">
        <v>15</v>
      </c>
      <c r="C865" s="10"/>
      <c r="D865" s="10"/>
      <c r="E865" s="10"/>
      <c r="F865" s="10"/>
      <c r="G865" s="13">
        <f t="shared" si="55"/>
        <v>0</v>
      </c>
      <c r="H865" s="10"/>
      <c r="I865" s="1" t="s">
        <v>120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75">
      <c r="A866" s="39" t="s">
        <v>16</v>
      </c>
      <c r="B866" s="40"/>
      <c r="C866" s="40"/>
      <c r="D866" s="40"/>
      <c r="E866" s="40"/>
      <c r="F866" s="40"/>
      <c r="G866" s="41"/>
      <c r="H866" s="14">
        <f>SUM(G863:G865)</f>
        <v>1191800</v>
      </c>
      <c r="I866" s="1" t="s">
        <v>120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75">
      <c r="A867" s="39" t="s">
        <v>17</v>
      </c>
      <c r="B867" s="40"/>
      <c r="C867" s="40"/>
      <c r="D867" s="40"/>
      <c r="E867" s="40"/>
      <c r="F867" s="40"/>
      <c r="G867" s="41"/>
      <c r="H867" s="14">
        <f>MAX(0,H866-648000)</f>
        <v>543800</v>
      </c>
      <c r="I867" s="1" t="s">
        <v>120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75">
      <c r="A868" s="42" t="s">
        <v>18</v>
      </c>
      <c r="B868" s="40"/>
      <c r="C868" s="40"/>
      <c r="D868" s="40"/>
      <c r="E868" s="40"/>
      <c r="F868" s="40"/>
      <c r="G868" s="41"/>
      <c r="H868" s="15">
        <v>649000</v>
      </c>
      <c r="I868" s="1" t="s">
        <v>120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75">
      <c r="A869" s="43" t="s">
        <v>19</v>
      </c>
      <c r="B869" s="40"/>
      <c r="C869" s="40"/>
      <c r="D869" s="40"/>
      <c r="E869" s="40"/>
      <c r="F869" s="40"/>
      <c r="G869" s="40"/>
      <c r="H869" s="41"/>
      <c r="I869" s="1" t="s">
        <v>120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45"/>
    <row r="871" spans="1:26" ht="15.75" customHeight="1" x14ac:dyDescent="0.45"/>
    <row r="872" spans="1:26" ht="15.75" customHeight="1" x14ac:dyDescent="0.45"/>
    <row r="873" spans="1:26" ht="15.75" customHeight="1" x14ac:dyDescent="0.45"/>
    <row r="874" spans="1:26" ht="15.75" customHeight="1" x14ac:dyDescent="0.75">
      <c r="A874" s="43" t="s">
        <v>0</v>
      </c>
      <c r="B874" s="40"/>
      <c r="C874" s="40"/>
      <c r="D874" s="40"/>
      <c r="E874" s="40"/>
      <c r="F874" s="40"/>
      <c r="G874" s="40"/>
      <c r="H874" s="41"/>
      <c r="I874" s="1" t="s">
        <v>120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75">
      <c r="A875" s="43" t="s">
        <v>175</v>
      </c>
      <c r="B875" s="40"/>
      <c r="C875" s="40"/>
      <c r="D875" s="40"/>
      <c r="E875" s="40"/>
      <c r="F875" s="40"/>
      <c r="G875" s="40"/>
      <c r="H875" s="41"/>
      <c r="I875" s="1" t="s">
        <v>120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5000000000000004">
      <c r="A876" s="2" t="s">
        <v>3</v>
      </c>
      <c r="B876" s="2" t="s">
        <v>4</v>
      </c>
      <c r="C876" s="2" t="s">
        <v>5</v>
      </c>
      <c r="D876" s="2" t="s">
        <v>6</v>
      </c>
      <c r="E876" s="2" t="s">
        <v>7</v>
      </c>
      <c r="F876" s="3" t="s">
        <v>8</v>
      </c>
      <c r="G876" s="2" t="s">
        <v>9</v>
      </c>
      <c r="H876" s="4"/>
      <c r="I876" s="1" t="s">
        <v>120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75">
      <c r="A877" s="5">
        <v>1</v>
      </c>
      <c r="B877" s="21" t="s">
        <v>168</v>
      </c>
      <c r="C877" s="7">
        <v>7665</v>
      </c>
      <c r="D877" s="6" t="s">
        <v>12</v>
      </c>
      <c r="E877" s="6">
        <v>1.5</v>
      </c>
      <c r="F877" s="8">
        <v>293000</v>
      </c>
      <c r="G877" s="9">
        <f t="shared" ref="G877:G879" si="56">IFERROR(E877*F877,0)</f>
        <v>439500</v>
      </c>
      <c r="H877" s="10"/>
      <c r="I877" s="1" t="s">
        <v>120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75">
      <c r="A878" s="5">
        <v>2</v>
      </c>
      <c r="B878" s="16" t="s">
        <v>21</v>
      </c>
      <c r="C878" s="17">
        <v>8448</v>
      </c>
      <c r="D878" s="16" t="s">
        <v>14</v>
      </c>
      <c r="E878" s="16">
        <v>2</v>
      </c>
      <c r="F878" s="11">
        <v>435000</v>
      </c>
      <c r="G878" s="9">
        <f t="shared" si="56"/>
        <v>870000</v>
      </c>
      <c r="H878" s="10"/>
      <c r="I878" s="1" t="s">
        <v>120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75">
      <c r="A879" s="5">
        <v>3</v>
      </c>
      <c r="B879" s="12" t="s">
        <v>15</v>
      </c>
      <c r="C879" s="10"/>
      <c r="D879" s="10"/>
      <c r="E879" s="10"/>
      <c r="F879" s="10"/>
      <c r="G879" s="13">
        <f t="shared" si="56"/>
        <v>0</v>
      </c>
      <c r="H879" s="10"/>
      <c r="I879" s="1" t="s">
        <v>120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75">
      <c r="A880" s="39" t="s">
        <v>16</v>
      </c>
      <c r="B880" s="40"/>
      <c r="C880" s="40"/>
      <c r="D880" s="40"/>
      <c r="E880" s="40"/>
      <c r="F880" s="40"/>
      <c r="G880" s="41"/>
      <c r="H880" s="14">
        <f>SUM(G877:G879)</f>
        <v>1309500</v>
      </c>
      <c r="I880" s="1" t="s">
        <v>120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75">
      <c r="A881" s="39" t="s">
        <v>17</v>
      </c>
      <c r="B881" s="40"/>
      <c r="C881" s="40"/>
      <c r="D881" s="40"/>
      <c r="E881" s="40"/>
      <c r="F881" s="40"/>
      <c r="G881" s="41"/>
      <c r="H881" s="14">
        <f>MAX(0,H880-648000)</f>
        <v>661500</v>
      </c>
      <c r="I881" s="1" t="s">
        <v>120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75">
      <c r="A882" s="42" t="s">
        <v>18</v>
      </c>
      <c r="B882" s="40"/>
      <c r="C882" s="40"/>
      <c r="D882" s="40"/>
      <c r="E882" s="40"/>
      <c r="F882" s="40"/>
      <c r="G882" s="41"/>
      <c r="H882" s="15">
        <v>649000</v>
      </c>
      <c r="I882" s="1" t="s">
        <v>120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75">
      <c r="A883" s="43" t="s">
        <v>19</v>
      </c>
      <c r="B883" s="40"/>
      <c r="C883" s="40"/>
      <c r="D883" s="40"/>
      <c r="E883" s="40"/>
      <c r="F883" s="40"/>
      <c r="G883" s="40"/>
      <c r="H883" s="41"/>
      <c r="I883" s="1" t="s">
        <v>120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45"/>
    <row r="885" spans="1:26" ht="15.75" customHeight="1" x14ac:dyDescent="0.45"/>
    <row r="886" spans="1:26" ht="15.75" customHeight="1" x14ac:dyDescent="0.45"/>
    <row r="887" spans="1:26" ht="15.75" customHeight="1" x14ac:dyDescent="0.45"/>
    <row r="888" spans="1:26" ht="15.75" customHeight="1" x14ac:dyDescent="0.75">
      <c r="A888" s="43" t="s">
        <v>0</v>
      </c>
      <c r="B888" s="40"/>
      <c r="C888" s="40"/>
      <c r="D888" s="40"/>
      <c r="E888" s="40"/>
      <c r="F888" s="40"/>
      <c r="G888" s="40"/>
      <c r="H888" s="41"/>
      <c r="I888" s="1" t="s">
        <v>120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75">
      <c r="A889" s="43" t="s">
        <v>176</v>
      </c>
      <c r="B889" s="40"/>
      <c r="C889" s="40"/>
      <c r="D889" s="40"/>
      <c r="E889" s="40"/>
      <c r="F889" s="40"/>
      <c r="G889" s="40"/>
      <c r="H889" s="41"/>
      <c r="I889" s="1" t="s">
        <v>120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5000000000000004">
      <c r="A890" s="2" t="s">
        <v>3</v>
      </c>
      <c r="B890" s="2" t="s">
        <v>4</v>
      </c>
      <c r="C890" s="2" t="s">
        <v>5</v>
      </c>
      <c r="D890" s="2" t="s">
        <v>6</v>
      </c>
      <c r="E890" s="2" t="s">
        <v>7</v>
      </c>
      <c r="F890" s="3" t="s">
        <v>8</v>
      </c>
      <c r="G890" s="2" t="s">
        <v>9</v>
      </c>
      <c r="H890" s="4"/>
      <c r="I890" s="1" t="s">
        <v>120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75">
      <c r="A891" s="5">
        <v>1</v>
      </c>
      <c r="B891" s="21" t="s">
        <v>177</v>
      </c>
      <c r="C891" s="7">
        <v>1258</v>
      </c>
      <c r="D891" s="6" t="s">
        <v>12</v>
      </c>
      <c r="E891" s="6">
        <v>0.77</v>
      </c>
      <c r="F891" s="8">
        <v>293000</v>
      </c>
      <c r="G891" s="9">
        <f t="shared" ref="G891:G893" si="57">IFERROR(E891*F891,0)</f>
        <v>225610</v>
      </c>
      <c r="H891" s="10"/>
      <c r="I891" s="1" t="s">
        <v>120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75">
      <c r="A892" s="5">
        <v>2</v>
      </c>
      <c r="B892" s="16" t="s">
        <v>87</v>
      </c>
      <c r="C892" s="17">
        <v>1195</v>
      </c>
      <c r="D892" s="16" t="s">
        <v>14</v>
      </c>
      <c r="E892" s="16">
        <v>2.93</v>
      </c>
      <c r="F892" s="11">
        <v>435000</v>
      </c>
      <c r="G892" s="9">
        <f t="shared" si="57"/>
        <v>1274550</v>
      </c>
      <c r="H892" s="10"/>
      <c r="I892" s="1" t="s">
        <v>120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75">
      <c r="A893" s="5">
        <v>3</v>
      </c>
      <c r="B893" s="12" t="s">
        <v>15</v>
      </c>
      <c r="C893" s="10"/>
      <c r="D893" s="10"/>
      <c r="E893" s="10"/>
      <c r="F893" s="10"/>
      <c r="G893" s="13">
        <f t="shared" si="57"/>
        <v>0</v>
      </c>
      <c r="H893" s="10"/>
      <c r="I893" s="1" t="s">
        <v>120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75">
      <c r="A894" s="39" t="s">
        <v>16</v>
      </c>
      <c r="B894" s="40"/>
      <c r="C894" s="40"/>
      <c r="D894" s="40"/>
      <c r="E894" s="40"/>
      <c r="F894" s="40"/>
      <c r="G894" s="41"/>
      <c r="H894" s="14">
        <f>SUM(G891:G893)</f>
        <v>1500160</v>
      </c>
      <c r="I894" s="1" t="s">
        <v>120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75">
      <c r="A895" s="39" t="s">
        <v>17</v>
      </c>
      <c r="B895" s="40"/>
      <c r="C895" s="40"/>
      <c r="D895" s="40"/>
      <c r="E895" s="40"/>
      <c r="F895" s="40"/>
      <c r="G895" s="41"/>
      <c r="H895" s="14">
        <f>MAX(0,H894-648000)</f>
        <v>852160</v>
      </c>
      <c r="I895" s="1" t="s">
        <v>120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75">
      <c r="A896" s="42" t="s">
        <v>18</v>
      </c>
      <c r="B896" s="40"/>
      <c r="C896" s="40"/>
      <c r="D896" s="40"/>
      <c r="E896" s="40"/>
      <c r="F896" s="40"/>
      <c r="G896" s="41"/>
      <c r="H896" s="15">
        <v>649000</v>
      </c>
      <c r="I896" s="1" t="s">
        <v>120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75">
      <c r="A897" s="43" t="s">
        <v>19</v>
      </c>
      <c r="B897" s="40"/>
      <c r="C897" s="40"/>
      <c r="D897" s="40"/>
      <c r="E897" s="40"/>
      <c r="F897" s="40"/>
      <c r="G897" s="40"/>
      <c r="H897" s="41"/>
      <c r="I897" s="1" t="s">
        <v>120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45"/>
    <row r="899" spans="1:26" ht="15.75" customHeight="1" x14ac:dyDescent="0.45"/>
    <row r="900" spans="1:26" ht="15.75" customHeight="1" x14ac:dyDescent="0.45"/>
    <row r="901" spans="1:26" ht="15.75" customHeight="1" x14ac:dyDescent="0.45"/>
    <row r="902" spans="1:26" ht="15.75" customHeight="1" x14ac:dyDescent="0.45"/>
    <row r="903" spans="1:26" ht="15.75" customHeight="1" x14ac:dyDescent="0.75">
      <c r="A903" s="43" t="s">
        <v>0</v>
      </c>
      <c r="B903" s="40"/>
      <c r="C903" s="40"/>
      <c r="D903" s="40"/>
      <c r="E903" s="40"/>
      <c r="F903" s="40"/>
      <c r="G903" s="40"/>
      <c r="H903" s="41"/>
      <c r="I903" s="1" t="s">
        <v>120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75">
      <c r="A904" s="43" t="s">
        <v>178</v>
      </c>
      <c r="B904" s="40"/>
      <c r="C904" s="40"/>
      <c r="D904" s="40"/>
      <c r="E904" s="40"/>
      <c r="F904" s="40"/>
      <c r="G904" s="40"/>
      <c r="H904" s="41"/>
      <c r="I904" s="1" t="s">
        <v>120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5000000000000004">
      <c r="A905" s="2" t="s">
        <v>3</v>
      </c>
      <c r="B905" s="2" t="s">
        <v>4</v>
      </c>
      <c r="C905" s="2" t="s">
        <v>5</v>
      </c>
      <c r="D905" s="2" t="s">
        <v>6</v>
      </c>
      <c r="E905" s="2" t="s">
        <v>7</v>
      </c>
      <c r="F905" s="3" t="s">
        <v>8</v>
      </c>
      <c r="G905" s="2" t="s">
        <v>9</v>
      </c>
      <c r="H905" s="4"/>
      <c r="I905" s="1" t="s">
        <v>120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75">
      <c r="A906" s="5">
        <v>1</v>
      </c>
      <c r="B906" s="21" t="s">
        <v>179</v>
      </c>
      <c r="C906" s="7">
        <v>5612</v>
      </c>
      <c r="D906" s="6" t="s">
        <v>12</v>
      </c>
      <c r="E906" s="6">
        <v>2</v>
      </c>
      <c r="F906" s="8">
        <v>293000</v>
      </c>
      <c r="G906" s="9">
        <f t="shared" ref="G906:G908" si="58">IFERROR(E906*F906,0)</f>
        <v>586000</v>
      </c>
      <c r="H906" s="10"/>
      <c r="I906" s="1" t="s">
        <v>120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75">
      <c r="A907" s="5">
        <v>2</v>
      </c>
      <c r="B907" s="16" t="s">
        <v>180</v>
      </c>
      <c r="C907" s="17">
        <v>2600</v>
      </c>
      <c r="D907" s="16" t="s">
        <v>14</v>
      </c>
      <c r="E907" s="16">
        <v>1.5</v>
      </c>
      <c r="F907" s="11">
        <v>435000</v>
      </c>
      <c r="G907" s="9">
        <f t="shared" si="58"/>
        <v>652500</v>
      </c>
      <c r="H907" s="10"/>
      <c r="I907" s="1" t="s">
        <v>120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75">
      <c r="A908" s="5">
        <v>3</v>
      </c>
      <c r="B908" s="12" t="s">
        <v>15</v>
      </c>
      <c r="C908" s="10"/>
      <c r="D908" s="10"/>
      <c r="E908" s="10"/>
      <c r="F908" s="10"/>
      <c r="G908" s="13">
        <f t="shared" si="58"/>
        <v>0</v>
      </c>
      <c r="H908" s="10"/>
      <c r="I908" s="1" t="s">
        <v>120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75">
      <c r="A909" s="39" t="s">
        <v>16</v>
      </c>
      <c r="B909" s="40"/>
      <c r="C909" s="40"/>
      <c r="D909" s="40"/>
      <c r="E909" s="40"/>
      <c r="F909" s="40"/>
      <c r="G909" s="41"/>
      <c r="H909" s="14">
        <f>SUM(G906:G908)</f>
        <v>1238500</v>
      </c>
      <c r="I909" s="1" t="s">
        <v>120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75">
      <c r="A910" s="39" t="s">
        <v>17</v>
      </c>
      <c r="B910" s="40"/>
      <c r="C910" s="40"/>
      <c r="D910" s="40"/>
      <c r="E910" s="40"/>
      <c r="F910" s="40"/>
      <c r="G910" s="41"/>
      <c r="H910" s="14">
        <f>MAX(0,H909-648000)</f>
        <v>590500</v>
      </c>
      <c r="I910" s="1" t="s">
        <v>120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75">
      <c r="A911" s="42" t="s">
        <v>18</v>
      </c>
      <c r="B911" s="40"/>
      <c r="C911" s="40"/>
      <c r="D911" s="40"/>
      <c r="E911" s="40"/>
      <c r="F911" s="40"/>
      <c r="G911" s="41"/>
      <c r="H911" s="15">
        <v>649000</v>
      </c>
      <c r="I911" s="1" t="s">
        <v>120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75">
      <c r="A912" s="43" t="s">
        <v>19</v>
      </c>
      <c r="B912" s="40"/>
      <c r="C912" s="40"/>
      <c r="D912" s="40"/>
      <c r="E912" s="40"/>
      <c r="F912" s="40"/>
      <c r="G912" s="40"/>
      <c r="H912" s="41"/>
      <c r="I912" s="1" t="s">
        <v>120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45"/>
    <row r="914" spans="1:26" ht="15.75" customHeight="1" x14ac:dyDescent="0.45"/>
    <row r="915" spans="1:26" ht="15.75" customHeight="1" x14ac:dyDescent="0.45"/>
    <row r="916" spans="1:26" ht="15.75" customHeight="1" x14ac:dyDescent="0.45"/>
    <row r="917" spans="1:26" ht="15.75" customHeight="1" x14ac:dyDescent="0.45"/>
    <row r="918" spans="1:26" ht="15.75" customHeight="1" x14ac:dyDescent="0.45"/>
    <row r="919" spans="1:26" ht="15.75" customHeight="1" x14ac:dyDescent="0.45"/>
    <row r="920" spans="1:26" ht="15.75" customHeight="1" x14ac:dyDescent="0.75">
      <c r="A920" s="43" t="s">
        <v>0</v>
      </c>
      <c r="B920" s="40"/>
      <c r="C920" s="40"/>
      <c r="D920" s="40"/>
      <c r="E920" s="40"/>
      <c r="F920" s="40"/>
      <c r="G920" s="40"/>
      <c r="H920" s="41"/>
      <c r="I920" s="1" t="s">
        <v>120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75">
      <c r="A921" s="43" t="s">
        <v>181</v>
      </c>
      <c r="B921" s="40"/>
      <c r="C921" s="40"/>
      <c r="D921" s="40"/>
      <c r="E921" s="40"/>
      <c r="F921" s="40"/>
      <c r="G921" s="40"/>
      <c r="H921" s="41"/>
      <c r="I921" s="1" t="s">
        <v>120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5000000000000004">
      <c r="A922" s="2" t="s">
        <v>3</v>
      </c>
      <c r="B922" s="2" t="s">
        <v>4</v>
      </c>
      <c r="C922" s="2" t="s">
        <v>5</v>
      </c>
      <c r="D922" s="2" t="s">
        <v>6</v>
      </c>
      <c r="E922" s="2" t="s">
        <v>7</v>
      </c>
      <c r="F922" s="3" t="s">
        <v>8</v>
      </c>
      <c r="G922" s="2" t="s">
        <v>9</v>
      </c>
      <c r="H922" s="4"/>
      <c r="I922" s="1" t="s">
        <v>120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75">
      <c r="A923" s="5">
        <v>1</v>
      </c>
      <c r="B923" s="21" t="s">
        <v>179</v>
      </c>
      <c r="C923" s="7">
        <v>1263</v>
      </c>
      <c r="D923" s="6" t="s">
        <v>12</v>
      </c>
      <c r="E923" s="6">
        <v>2</v>
      </c>
      <c r="F923" s="8">
        <v>293000</v>
      </c>
      <c r="G923" s="9">
        <f t="shared" ref="G923:G925" si="59">IFERROR(E923*F923,0)</f>
        <v>586000</v>
      </c>
      <c r="H923" s="10"/>
      <c r="I923" s="1" t="s">
        <v>120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75">
      <c r="A924" s="5">
        <v>2</v>
      </c>
      <c r="B924" s="16" t="s">
        <v>182</v>
      </c>
      <c r="C924" s="17">
        <v>3680</v>
      </c>
      <c r="D924" s="16" t="s">
        <v>14</v>
      </c>
      <c r="E924" s="16">
        <v>1.45</v>
      </c>
      <c r="F924" s="11">
        <v>435000</v>
      </c>
      <c r="G924" s="9">
        <f t="shared" si="59"/>
        <v>630750</v>
      </c>
      <c r="H924" s="10"/>
      <c r="I924" s="1" t="s">
        <v>120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75">
      <c r="A925" s="5">
        <v>3</v>
      </c>
      <c r="B925" s="12" t="s">
        <v>15</v>
      </c>
      <c r="C925" s="10"/>
      <c r="D925" s="10"/>
      <c r="E925" s="10"/>
      <c r="F925" s="10"/>
      <c r="G925" s="13">
        <f t="shared" si="59"/>
        <v>0</v>
      </c>
      <c r="H925" s="10"/>
      <c r="I925" s="1" t="s">
        <v>120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75">
      <c r="A926" s="39" t="s">
        <v>16</v>
      </c>
      <c r="B926" s="40"/>
      <c r="C926" s="40"/>
      <c r="D926" s="40"/>
      <c r="E926" s="40"/>
      <c r="F926" s="40"/>
      <c r="G926" s="41"/>
      <c r="H926" s="14">
        <f>SUM(G923:G925)</f>
        <v>1216750</v>
      </c>
      <c r="I926" s="1" t="s">
        <v>120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75">
      <c r="A927" s="39" t="s">
        <v>17</v>
      </c>
      <c r="B927" s="40"/>
      <c r="C927" s="40"/>
      <c r="D927" s="40"/>
      <c r="E927" s="40"/>
      <c r="F927" s="40"/>
      <c r="G927" s="41"/>
      <c r="H927" s="14">
        <f>MAX(0,H926-648000)</f>
        <v>568750</v>
      </c>
      <c r="I927" s="1" t="s">
        <v>120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75">
      <c r="A928" s="42" t="s">
        <v>18</v>
      </c>
      <c r="B928" s="40"/>
      <c r="C928" s="40"/>
      <c r="D928" s="40"/>
      <c r="E928" s="40"/>
      <c r="F928" s="40"/>
      <c r="G928" s="41"/>
      <c r="H928" s="15">
        <v>649000</v>
      </c>
      <c r="I928" s="1" t="s">
        <v>120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75">
      <c r="A929" s="43" t="s">
        <v>19</v>
      </c>
      <c r="B929" s="40"/>
      <c r="C929" s="40"/>
      <c r="D929" s="40"/>
      <c r="E929" s="40"/>
      <c r="F929" s="40"/>
      <c r="G929" s="40"/>
      <c r="H929" s="41"/>
      <c r="I929" s="1" t="s">
        <v>120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45"/>
    <row r="931" spans="1:26" ht="15.75" customHeight="1" x14ac:dyDescent="0.45"/>
    <row r="932" spans="1:26" ht="15.75" customHeight="1" x14ac:dyDescent="0.45"/>
    <row r="933" spans="1:26" ht="15.75" customHeight="1" x14ac:dyDescent="0.45"/>
    <row r="934" spans="1:26" ht="15.75" customHeight="1" x14ac:dyDescent="0.45"/>
    <row r="935" spans="1:26" ht="15.75" customHeight="1" x14ac:dyDescent="0.75">
      <c r="A935" s="43" t="s">
        <v>0</v>
      </c>
      <c r="B935" s="40"/>
      <c r="C935" s="40"/>
      <c r="D935" s="40"/>
      <c r="E935" s="40"/>
      <c r="F935" s="40"/>
      <c r="G935" s="40"/>
      <c r="H935" s="41"/>
      <c r="I935" s="1" t="s">
        <v>120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75">
      <c r="A936" s="43" t="s">
        <v>183</v>
      </c>
      <c r="B936" s="40"/>
      <c r="C936" s="40"/>
      <c r="D936" s="40"/>
      <c r="E936" s="40"/>
      <c r="F936" s="40"/>
      <c r="G936" s="40"/>
      <c r="H936" s="41"/>
      <c r="I936" s="1" t="s">
        <v>120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5000000000000004">
      <c r="A937" s="2" t="s">
        <v>3</v>
      </c>
      <c r="B937" s="2" t="s">
        <v>4</v>
      </c>
      <c r="C937" s="2" t="s">
        <v>5</v>
      </c>
      <c r="D937" s="2" t="s">
        <v>6</v>
      </c>
      <c r="E937" s="2" t="s">
        <v>7</v>
      </c>
      <c r="F937" s="3" t="s">
        <v>8</v>
      </c>
      <c r="G937" s="2" t="s">
        <v>9</v>
      </c>
      <c r="H937" s="4"/>
      <c r="I937" s="1" t="s">
        <v>120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75">
      <c r="A938" s="5">
        <v>1</v>
      </c>
      <c r="B938" s="21" t="s">
        <v>184</v>
      </c>
      <c r="C938" s="7">
        <v>1088</v>
      </c>
      <c r="D938" s="6" t="s">
        <v>12</v>
      </c>
      <c r="E938" s="6">
        <v>1.1000000000000001</v>
      </c>
      <c r="F938" s="8">
        <v>293000</v>
      </c>
      <c r="G938" s="9">
        <f t="shared" ref="G938:G940" si="60">IFERROR(E938*F938,0)</f>
        <v>322300</v>
      </c>
      <c r="H938" s="10"/>
      <c r="I938" s="1" t="s">
        <v>120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75">
      <c r="A939" s="5">
        <v>2</v>
      </c>
      <c r="B939" s="16" t="s">
        <v>185</v>
      </c>
      <c r="C939" s="17">
        <v>1236</v>
      </c>
      <c r="D939" s="16" t="s">
        <v>14</v>
      </c>
      <c r="E939" s="16">
        <v>2.5</v>
      </c>
      <c r="F939" s="11">
        <v>435000</v>
      </c>
      <c r="G939" s="9">
        <f t="shared" si="60"/>
        <v>1087500</v>
      </c>
      <c r="H939" s="10"/>
      <c r="I939" s="1" t="s">
        <v>120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75">
      <c r="A940" s="5">
        <v>3</v>
      </c>
      <c r="B940" s="12" t="s">
        <v>15</v>
      </c>
      <c r="C940" s="10"/>
      <c r="D940" s="10"/>
      <c r="E940" s="10"/>
      <c r="F940" s="10"/>
      <c r="G940" s="13">
        <f t="shared" si="60"/>
        <v>0</v>
      </c>
      <c r="H940" s="10"/>
      <c r="I940" s="1" t="s">
        <v>120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75">
      <c r="A941" s="39" t="s">
        <v>16</v>
      </c>
      <c r="B941" s="40"/>
      <c r="C941" s="40"/>
      <c r="D941" s="40"/>
      <c r="E941" s="40"/>
      <c r="F941" s="40"/>
      <c r="G941" s="41"/>
      <c r="H941" s="14">
        <f>SUM(G938:G940)</f>
        <v>1409800</v>
      </c>
      <c r="I941" s="1" t="s">
        <v>120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75">
      <c r="A942" s="39" t="s">
        <v>17</v>
      </c>
      <c r="B942" s="40"/>
      <c r="C942" s="40"/>
      <c r="D942" s="40"/>
      <c r="E942" s="40"/>
      <c r="F942" s="40"/>
      <c r="G942" s="41"/>
      <c r="H942" s="14">
        <f>MAX(0,H941-648000)</f>
        <v>761800</v>
      </c>
      <c r="I942" s="1" t="s">
        <v>120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75">
      <c r="A943" s="42" t="s">
        <v>18</v>
      </c>
      <c r="B943" s="40"/>
      <c r="C943" s="40"/>
      <c r="D943" s="40"/>
      <c r="E943" s="40"/>
      <c r="F943" s="40"/>
      <c r="G943" s="41"/>
      <c r="H943" s="15">
        <v>649000</v>
      </c>
      <c r="I943" s="1" t="s">
        <v>120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75">
      <c r="A944" s="43" t="s">
        <v>19</v>
      </c>
      <c r="B944" s="40"/>
      <c r="C944" s="40"/>
      <c r="D944" s="40"/>
      <c r="E944" s="40"/>
      <c r="F944" s="40"/>
      <c r="G944" s="40"/>
      <c r="H944" s="41"/>
      <c r="I944" s="1" t="s">
        <v>120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45"/>
    <row r="946" spans="1:26" ht="15.75" customHeight="1" x14ac:dyDescent="0.45"/>
    <row r="947" spans="1:26" ht="15.75" customHeight="1" x14ac:dyDescent="0.45"/>
    <row r="948" spans="1:26" ht="15.75" customHeight="1" x14ac:dyDescent="0.45"/>
    <row r="949" spans="1:26" ht="15.75" customHeight="1" x14ac:dyDescent="0.45"/>
    <row r="950" spans="1:26" ht="15.75" customHeight="1" x14ac:dyDescent="0.75">
      <c r="A950" s="43" t="s">
        <v>0</v>
      </c>
      <c r="B950" s="40"/>
      <c r="C950" s="40"/>
      <c r="D950" s="40"/>
      <c r="E950" s="40"/>
      <c r="F950" s="40"/>
      <c r="G950" s="40"/>
      <c r="H950" s="41"/>
      <c r="I950" s="1" t="s">
        <v>120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75">
      <c r="A951" s="43" t="s">
        <v>186</v>
      </c>
      <c r="B951" s="40"/>
      <c r="C951" s="40"/>
      <c r="D951" s="40"/>
      <c r="E951" s="40"/>
      <c r="F951" s="40"/>
      <c r="G951" s="40"/>
      <c r="H951" s="41"/>
      <c r="I951" s="1" t="s">
        <v>120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5000000000000004">
      <c r="A952" s="2" t="s">
        <v>3</v>
      </c>
      <c r="B952" s="2" t="s">
        <v>4</v>
      </c>
      <c r="C952" s="2" t="s">
        <v>5</v>
      </c>
      <c r="D952" s="2" t="s">
        <v>6</v>
      </c>
      <c r="E952" s="2" t="s">
        <v>7</v>
      </c>
      <c r="F952" s="3" t="s">
        <v>8</v>
      </c>
      <c r="G952" s="2" t="s">
        <v>9</v>
      </c>
      <c r="H952" s="4"/>
      <c r="I952" s="1" t="s">
        <v>120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75">
      <c r="A953" s="5">
        <v>1</v>
      </c>
      <c r="B953" s="21" t="s">
        <v>187</v>
      </c>
      <c r="C953" s="7">
        <v>7643</v>
      </c>
      <c r="D953" s="6" t="s">
        <v>12</v>
      </c>
      <c r="E953" s="6">
        <v>0.69</v>
      </c>
      <c r="F953" s="8">
        <v>293000</v>
      </c>
      <c r="G953" s="9">
        <f t="shared" ref="G953:G955" si="61">IFERROR(E953*F953,0)</f>
        <v>202169.99999999997</v>
      </c>
      <c r="H953" s="10"/>
      <c r="I953" s="1" t="s">
        <v>120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75">
      <c r="A954" s="5">
        <v>2</v>
      </c>
      <c r="B954" s="17" t="s">
        <v>49</v>
      </c>
      <c r="C954" s="16" t="s">
        <v>188</v>
      </c>
      <c r="D954" s="16" t="s">
        <v>14</v>
      </c>
      <c r="E954" s="16">
        <v>3</v>
      </c>
      <c r="F954" s="11">
        <v>435000</v>
      </c>
      <c r="G954" s="9">
        <f t="shared" si="61"/>
        <v>1305000</v>
      </c>
      <c r="H954" s="10"/>
      <c r="I954" s="1" t="s">
        <v>120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75">
      <c r="A955" s="5">
        <v>3</v>
      </c>
      <c r="B955" s="12" t="s">
        <v>15</v>
      </c>
      <c r="C955" s="10"/>
      <c r="D955" s="10"/>
      <c r="E955" s="10"/>
      <c r="F955" s="10"/>
      <c r="G955" s="13">
        <f t="shared" si="61"/>
        <v>0</v>
      </c>
      <c r="H955" s="10"/>
      <c r="I955" s="1" t="s">
        <v>120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75">
      <c r="A956" s="39" t="s">
        <v>16</v>
      </c>
      <c r="B956" s="40"/>
      <c r="C956" s="40"/>
      <c r="D956" s="40"/>
      <c r="E956" s="40"/>
      <c r="F956" s="40"/>
      <c r="G956" s="41"/>
      <c r="H956" s="14">
        <f>SUM(G953:G955)</f>
        <v>1507170</v>
      </c>
      <c r="I956" s="1" t="s">
        <v>120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75">
      <c r="A957" s="39" t="s">
        <v>17</v>
      </c>
      <c r="B957" s="40"/>
      <c r="C957" s="40"/>
      <c r="D957" s="40"/>
      <c r="E957" s="40"/>
      <c r="F957" s="40"/>
      <c r="G957" s="41"/>
      <c r="H957" s="14">
        <f>MAX(0,H956-648000)</f>
        <v>859170</v>
      </c>
      <c r="I957" s="1" t="s">
        <v>120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75">
      <c r="A958" s="42" t="s">
        <v>18</v>
      </c>
      <c r="B958" s="40"/>
      <c r="C958" s="40"/>
      <c r="D958" s="40"/>
      <c r="E958" s="40"/>
      <c r="F958" s="40"/>
      <c r="G958" s="41"/>
      <c r="H958" s="15">
        <v>649000</v>
      </c>
      <c r="I958" s="1" t="s">
        <v>120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75">
      <c r="A959" s="43" t="s">
        <v>19</v>
      </c>
      <c r="B959" s="40"/>
      <c r="C959" s="40"/>
      <c r="D959" s="40"/>
      <c r="E959" s="40"/>
      <c r="F959" s="40"/>
      <c r="G959" s="40"/>
      <c r="H959" s="41"/>
      <c r="I959" s="1" t="s">
        <v>120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45"/>
    <row r="961" spans="1:26" ht="15.75" customHeight="1" x14ac:dyDescent="0.45"/>
    <row r="962" spans="1:26" ht="15.75" customHeight="1" x14ac:dyDescent="0.45"/>
    <row r="963" spans="1:26" ht="15.75" customHeight="1" x14ac:dyDescent="0.45"/>
    <row r="964" spans="1:26" ht="15.75" customHeight="1" x14ac:dyDescent="0.45"/>
    <row r="965" spans="1:26" ht="15.75" customHeight="1" x14ac:dyDescent="0.45"/>
    <row r="966" spans="1:26" ht="15.75" customHeight="1" x14ac:dyDescent="0.45"/>
    <row r="967" spans="1:26" ht="15.75" customHeight="1" x14ac:dyDescent="0.45"/>
    <row r="968" spans="1:26" ht="15.75" customHeight="1" x14ac:dyDescent="0.75">
      <c r="A968" s="43" t="s">
        <v>0</v>
      </c>
      <c r="B968" s="40"/>
      <c r="C968" s="40"/>
      <c r="D968" s="40"/>
      <c r="E968" s="40"/>
      <c r="F968" s="40"/>
      <c r="G968" s="40"/>
      <c r="H968" s="41"/>
      <c r="I968" s="1" t="s">
        <v>120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75">
      <c r="A969" s="43" t="s">
        <v>189</v>
      </c>
      <c r="B969" s="40"/>
      <c r="C969" s="40"/>
      <c r="D969" s="40"/>
      <c r="E969" s="40"/>
      <c r="F969" s="40"/>
      <c r="G969" s="40"/>
      <c r="H969" s="41"/>
      <c r="I969" s="1" t="s">
        <v>120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5000000000000004">
      <c r="A970" s="2" t="s">
        <v>3</v>
      </c>
      <c r="B970" s="2" t="s">
        <v>4</v>
      </c>
      <c r="C970" s="2" t="s">
        <v>5</v>
      </c>
      <c r="D970" s="2" t="s">
        <v>6</v>
      </c>
      <c r="E970" s="2" t="s">
        <v>7</v>
      </c>
      <c r="F970" s="3" t="s">
        <v>8</v>
      </c>
      <c r="G970" s="2" t="s">
        <v>9</v>
      </c>
      <c r="H970" s="4"/>
      <c r="I970" s="1" t="s">
        <v>120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75">
      <c r="A971" s="5">
        <v>1</v>
      </c>
      <c r="B971" s="21" t="s">
        <v>190</v>
      </c>
      <c r="C971" s="7">
        <v>7462</v>
      </c>
      <c r="D971" s="6" t="s">
        <v>12</v>
      </c>
      <c r="E971" s="6">
        <v>1.2</v>
      </c>
      <c r="F971" s="8">
        <v>293000</v>
      </c>
      <c r="G971" s="9">
        <f t="shared" ref="G971:G973" si="62">IFERROR(E971*F971,0)</f>
        <v>351600</v>
      </c>
      <c r="H971" s="10"/>
      <c r="I971" s="1" t="s">
        <v>120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75">
      <c r="A972" s="5">
        <v>2</v>
      </c>
      <c r="B972" s="16" t="s">
        <v>27</v>
      </c>
      <c r="C972" s="17">
        <v>5597</v>
      </c>
      <c r="D972" s="16" t="s">
        <v>14</v>
      </c>
      <c r="E972" s="16">
        <v>2.5</v>
      </c>
      <c r="F972" s="11">
        <v>435000</v>
      </c>
      <c r="G972" s="9">
        <f t="shared" si="62"/>
        <v>1087500</v>
      </c>
      <c r="H972" s="10"/>
      <c r="I972" s="1" t="s">
        <v>120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75">
      <c r="A973" s="5">
        <v>3</v>
      </c>
      <c r="B973" s="12" t="s">
        <v>15</v>
      </c>
      <c r="C973" s="10"/>
      <c r="D973" s="10"/>
      <c r="E973" s="10"/>
      <c r="F973" s="10"/>
      <c r="G973" s="13">
        <f t="shared" si="62"/>
        <v>0</v>
      </c>
      <c r="H973" s="10"/>
      <c r="I973" s="1" t="s">
        <v>120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75">
      <c r="A974" s="39" t="s">
        <v>16</v>
      </c>
      <c r="B974" s="40"/>
      <c r="C974" s="40"/>
      <c r="D974" s="40"/>
      <c r="E974" s="40"/>
      <c r="F974" s="40"/>
      <c r="G974" s="41"/>
      <c r="H974" s="14">
        <f>SUM(G971:G973)</f>
        <v>1439100</v>
      </c>
      <c r="I974" s="1" t="s">
        <v>120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75">
      <c r="A975" s="39" t="s">
        <v>17</v>
      </c>
      <c r="B975" s="40"/>
      <c r="C975" s="40"/>
      <c r="D975" s="40"/>
      <c r="E975" s="40"/>
      <c r="F975" s="40"/>
      <c r="G975" s="41"/>
      <c r="H975" s="14">
        <f>MAX(0,H974-648000)</f>
        <v>791100</v>
      </c>
      <c r="I975" s="1" t="s">
        <v>120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75">
      <c r="A976" s="42" t="s">
        <v>18</v>
      </c>
      <c r="B976" s="40"/>
      <c r="C976" s="40"/>
      <c r="D976" s="40"/>
      <c r="E976" s="40"/>
      <c r="F976" s="40"/>
      <c r="G976" s="41"/>
      <c r="H976" s="15">
        <v>649000</v>
      </c>
      <c r="I976" s="1" t="s">
        <v>120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75">
      <c r="A977" s="43" t="s">
        <v>19</v>
      </c>
      <c r="B977" s="40"/>
      <c r="C977" s="40"/>
      <c r="D977" s="40"/>
      <c r="E977" s="40"/>
      <c r="F977" s="40"/>
      <c r="G977" s="40"/>
      <c r="H977" s="41"/>
      <c r="I977" s="1" t="s">
        <v>120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45"/>
    <row r="979" spans="1:26" ht="15.75" customHeight="1" x14ac:dyDescent="0.45"/>
    <row r="980" spans="1:26" ht="15.75" customHeight="1" x14ac:dyDescent="0.45"/>
    <row r="981" spans="1:26" ht="15.75" customHeight="1" x14ac:dyDescent="0.45"/>
    <row r="982" spans="1:26" ht="15.75" customHeight="1" x14ac:dyDescent="0.45"/>
    <row r="983" spans="1:26" ht="15.75" customHeight="1" x14ac:dyDescent="0.45"/>
    <row r="984" spans="1:26" ht="15.75" customHeight="1" x14ac:dyDescent="0.45"/>
    <row r="985" spans="1:26" ht="15.75" customHeight="1" x14ac:dyDescent="0.45"/>
    <row r="986" spans="1:26" ht="17.25" customHeight="1" x14ac:dyDescent="0.45"/>
    <row r="987" spans="1:26" ht="15.75" customHeight="1" x14ac:dyDescent="0.75">
      <c r="A987" s="43" t="s">
        <v>0</v>
      </c>
      <c r="B987" s="40"/>
      <c r="C987" s="40"/>
      <c r="D987" s="40"/>
      <c r="E987" s="40"/>
      <c r="F987" s="40"/>
      <c r="G987" s="40"/>
      <c r="H987" s="41"/>
      <c r="I987" s="1" t="s">
        <v>120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75">
      <c r="A988" s="43" t="s">
        <v>191</v>
      </c>
      <c r="B988" s="40"/>
      <c r="C988" s="40"/>
      <c r="D988" s="40"/>
      <c r="E988" s="40"/>
      <c r="F988" s="40"/>
      <c r="G988" s="40"/>
      <c r="H988" s="41"/>
      <c r="I988" s="1" t="s">
        <v>120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5000000000000004">
      <c r="A989" s="2" t="s">
        <v>3</v>
      </c>
      <c r="B989" s="2" t="s">
        <v>4</v>
      </c>
      <c r="C989" s="2" t="s">
        <v>5</v>
      </c>
      <c r="D989" s="2" t="s">
        <v>6</v>
      </c>
      <c r="E989" s="2" t="s">
        <v>7</v>
      </c>
      <c r="F989" s="3" t="s">
        <v>8</v>
      </c>
      <c r="G989" s="2" t="s">
        <v>9</v>
      </c>
      <c r="H989" s="4"/>
      <c r="I989" s="1" t="s">
        <v>120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75">
      <c r="A990" s="5">
        <v>1</v>
      </c>
      <c r="B990" s="21" t="s">
        <v>21</v>
      </c>
      <c r="C990" s="7">
        <v>8410</v>
      </c>
      <c r="D990" s="6" t="s">
        <v>12</v>
      </c>
      <c r="E990" s="6">
        <v>1.79</v>
      </c>
      <c r="F990" s="8">
        <v>293000</v>
      </c>
      <c r="G990" s="9">
        <f t="shared" ref="G990:G992" si="63">IFERROR(E990*F990,0)</f>
        <v>524470</v>
      </c>
      <c r="H990" s="10"/>
      <c r="I990" s="1" t="s">
        <v>120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75">
      <c r="A991" s="5">
        <v>2</v>
      </c>
      <c r="B991" s="16" t="s">
        <v>192</v>
      </c>
      <c r="C991" s="17">
        <v>2696</v>
      </c>
      <c r="D991" s="16" t="s">
        <v>14</v>
      </c>
      <c r="E991" s="16">
        <v>1.7</v>
      </c>
      <c r="F991" s="11">
        <v>435000</v>
      </c>
      <c r="G991" s="9">
        <f t="shared" si="63"/>
        <v>739500</v>
      </c>
      <c r="H991" s="10"/>
      <c r="I991" s="1" t="s">
        <v>120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75">
      <c r="A992" s="5">
        <v>3</v>
      </c>
      <c r="B992" s="12" t="s">
        <v>15</v>
      </c>
      <c r="C992" s="10"/>
      <c r="D992" s="10"/>
      <c r="E992" s="10"/>
      <c r="F992" s="10"/>
      <c r="G992" s="13">
        <f t="shared" si="63"/>
        <v>0</v>
      </c>
      <c r="H992" s="10"/>
      <c r="I992" s="1" t="s">
        <v>120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75">
      <c r="A993" s="39" t="s">
        <v>16</v>
      </c>
      <c r="B993" s="40"/>
      <c r="C993" s="40"/>
      <c r="D993" s="40"/>
      <c r="E993" s="40"/>
      <c r="F993" s="40"/>
      <c r="G993" s="41"/>
      <c r="H993" s="14">
        <f>SUM(G990:G992)</f>
        <v>1263970</v>
      </c>
      <c r="I993" s="1" t="s">
        <v>120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75">
      <c r="A994" s="39" t="s">
        <v>17</v>
      </c>
      <c r="B994" s="40"/>
      <c r="C994" s="40"/>
      <c r="D994" s="40"/>
      <c r="E994" s="40"/>
      <c r="F994" s="40"/>
      <c r="G994" s="41"/>
      <c r="H994" s="14">
        <f>MAX(0,H993-648000)</f>
        <v>615970</v>
      </c>
      <c r="I994" s="1" t="s">
        <v>120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75">
      <c r="A995" s="42" t="s">
        <v>18</v>
      </c>
      <c r="B995" s="40"/>
      <c r="C995" s="40"/>
      <c r="D995" s="40"/>
      <c r="E995" s="40"/>
      <c r="F995" s="40"/>
      <c r="G995" s="41"/>
      <c r="H995" s="15">
        <v>649000</v>
      </c>
      <c r="I995" s="1" t="s">
        <v>120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75">
      <c r="A996" s="43" t="s">
        <v>19</v>
      </c>
      <c r="B996" s="40"/>
      <c r="C996" s="40"/>
      <c r="D996" s="40"/>
      <c r="E996" s="40"/>
      <c r="F996" s="40"/>
      <c r="G996" s="40"/>
      <c r="H996" s="41"/>
      <c r="I996" s="1" t="s">
        <v>120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45"/>
    <row r="998" spans="1:26" ht="15.75" customHeight="1" x14ac:dyDescent="0.45"/>
    <row r="999" spans="1:26" ht="15.75" customHeight="1" x14ac:dyDescent="0.45"/>
    <row r="1000" spans="1:26" ht="15.75" customHeight="1" x14ac:dyDescent="0.45"/>
    <row r="1001" spans="1:26" ht="15.75" customHeight="1" x14ac:dyDescent="0.45"/>
    <row r="1002" spans="1:26" ht="15.75" customHeight="1" x14ac:dyDescent="0.75">
      <c r="A1002" s="43" t="s">
        <v>0</v>
      </c>
      <c r="B1002" s="40"/>
      <c r="C1002" s="40"/>
      <c r="D1002" s="40"/>
      <c r="E1002" s="40"/>
      <c r="F1002" s="40"/>
      <c r="G1002" s="40"/>
      <c r="H1002" s="41"/>
      <c r="I1002" s="1" t="s">
        <v>120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75">
      <c r="A1003" s="43" t="s">
        <v>193</v>
      </c>
      <c r="B1003" s="40"/>
      <c r="C1003" s="40"/>
      <c r="D1003" s="40"/>
      <c r="E1003" s="40"/>
      <c r="F1003" s="40"/>
      <c r="G1003" s="40"/>
      <c r="H1003" s="41"/>
      <c r="I1003" s="1" t="s">
        <v>120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55000000000000004">
      <c r="A1004" s="2" t="s">
        <v>3</v>
      </c>
      <c r="B1004" s="2" t="s">
        <v>4</v>
      </c>
      <c r="C1004" s="2" t="s">
        <v>5</v>
      </c>
      <c r="D1004" s="2" t="s">
        <v>6</v>
      </c>
      <c r="E1004" s="2" t="s">
        <v>7</v>
      </c>
      <c r="F1004" s="3" t="s">
        <v>8</v>
      </c>
      <c r="G1004" s="2" t="s">
        <v>9</v>
      </c>
      <c r="H1004" s="4"/>
      <c r="I1004" s="1" t="s">
        <v>120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75">
      <c r="A1005" s="5">
        <v>1</v>
      </c>
      <c r="B1005" s="21" t="s">
        <v>194</v>
      </c>
      <c r="C1005" s="7" t="s">
        <v>195</v>
      </c>
      <c r="D1005" s="6" t="s">
        <v>12</v>
      </c>
      <c r="E1005" s="6">
        <v>1.5</v>
      </c>
      <c r="F1005" s="8">
        <v>293000</v>
      </c>
      <c r="G1005" s="9">
        <f t="shared" ref="G1005:G1007" si="64">IFERROR(E1005*F1005,0)</f>
        <v>439500</v>
      </c>
      <c r="H1005" s="10"/>
      <c r="I1005" s="1" t="s">
        <v>120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75">
      <c r="A1006" s="5">
        <v>2</v>
      </c>
      <c r="B1006" s="16" t="s">
        <v>196</v>
      </c>
      <c r="C1006" s="17">
        <v>1172</v>
      </c>
      <c r="D1006" s="16" t="s">
        <v>14</v>
      </c>
      <c r="E1006" s="16">
        <v>2</v>
      </c>
      <c r="F1006" s="11">
        <v>435000</v>
      </c>
      <c r="G1006" s="9">
        <f t="shared" si="64"/>
        <v>870000</v>
      </c>
      <c r="H1006" s="10"/>
      <c r="I1006" s="1" t="s">
        <v>120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75">
      <c r="A1007" s="5">
        <v>3</v>
      </c>
      <c r="B1007" s="12" t="s">
        <v>15</v>
      </c>
      <c r="C1007" s="10"/>
      <c r="D1007" s="10"/>
      <c r="E1007" s="10"/>
      <c r="F1007" s="10"/>
      <c r="G1007" s="13">
        <f t="shared" si="64"/>
        <v>0</v>
      </c>
      <c r="H1007" s="10"/>
      <c r="I1007" s="1" t="s">
        <v>120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75">
      <c r="A1008" s="39" t="s">
        <v>16</v>
      </c>
      <c r="B1008" s="40"/>
      <c r="C1008" s="40"/>
      <c r="D1008" s="40"/>
      <c r="E1008" s="40"/>
      <c r="F1008" s="40"/>
      <c r="G1008" s="41"/>
      <c r="H1008" s="14">
        <f>SUM(G1005:G1007)</f>
        <v>1309500</v>
      </c>
      <c r="I1008" s="1" t="s">
        <v>120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75">
      <c r="A1009" s="39" t="s">
        <v>17</v>
      </c>
      <c r="B1009" s="40"/>
      <c r="C1009" s="40"/>
      <c r="D1009" s="40"/>
      <c r="E1009" s="40"/>
      <c r="F1009" s="40"/>
      <c r="G1009" s="41"/>
      <c r="H1009" s="14">
        <f>MAX(0,H1008-648000)</f>
        <v>661500</v>
      </c>
      <c r="I1009" s="1" t="s">
        <v>120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75">
      <c r="A1010" s="42" t="s">
        <v>18</v>
      </c>
      <c r="B1010" s="40"/>
      <c r="C1010" s="40"/>
      <c r="D1010" s="40"/>
      <c r="E1010" s="40"/>
      <c r="F1010" s="40"/>
      <c r="G1010" s="41"/>
      <c r="H1010" s="15">
        <v>649000</v>
      </c>
      <c r="I1010" s="1" t="s">
        <v>120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75">
      <c r="A1011" s="43" t="s">
        <v>19</v>
      </c>
      <c r="B1011" s="40"/>
      <c r="C1011" s="40"/>
      <c r="D1011" s="40"/>
      <c r="E1011" s="40"/>
      <c r="F1011" s="40"/>
      <c r="G1011" s="40"/>
      <c r="H1011" s="41"/>
      <c r="I1011" s="1" t="s">
        <v>120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45"/>
    <row r="1013" spans="1:26" ht="15.75" customHeight="1" x14ac:dyDescent="0.45"/>
    <row r="1014" spans="1:26" ht="15.75" customHeight="1" x14ac:dyDescent="0.45"/>
    <row r="1015" spans="1:26" ht="15.75" customHeight="1" x14ac:dyDescent="0.45"/>
    <row r="1016" spans="1:26" ht="15.75" customHeight="1" x14ac:dyDescent="0.45"/>
    <row r="1017" spans="1:26" ht="15.75" customHeight="1" x14ac:dyDescent="0.75">
      <c r="A1017" s="43" t="s">
        <v>0</v>
      </c>
      <c r="B1017" s="40"/>
      <c r="C1017" s="40"/>
      <c r="D1017" s="40"/>
      <c r="E1017" s="40"/>
      <c r="F1017" s="40"/>
      <c r="G1017" s="40"/>
      <c r="H1017" s="41"/>
      <c r="I1017" s="1" t="s">
        <v>120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75">
      <c r="A1018" s="43" t="s">
        <v>197</v>
      </c>
      <c r="B1018" s="40"/>
      <c r="C1018" s="40"/>
      <c r="D1018" s="40"/>
      <c r="E1018" s="40"/>
      <c r="F1018" s="40"/>
      <c r="G1018" s="40"/>
      <c r="H1018" s="41"/>
      <c r="I1018" s="1" t="s">
        <v>120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55000000000000004">
      <c r="A1019" s="2" t="s">
        <v>3</v>
      </c>
      <c r="B1019" s="2" t="s">
        <v>4</v>
      </c>
      <c r="C1019" s="2" t="s">
        <v>5</v>
      </c>
      <c r="D1019" s="2" t="s">
        <v>6</v>
      </c>
      <c r="E1019" s="2" t="s">
        <v>7</v>
      </c>
      <c r="F1019" s="3" t="s">
        <v>8</v>
      </c>
      <c r="G1019" s="2" t="s">
        <v>9</v>
      </c>
      <c r="H1019" s="4"/>
      <c r="I1019" s="1" t="s">
        <v>120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75">
      <c r="A1020" s="5">
        <v>1</v>
      </c>
      <c r="B1020" s="21" t="s">
        <v>198</v>
      </c>
      <c r="C1020" s="7">
        <v>9019</v>
      </c>
      <c r="D1020" s="6" t="s">
        <v>12</v>
      </c>
      <c r="E1020" s="6">
        <v>2</v>
      </c>
      <c r="F1020" s="8">
        <v>293000</v>
      </c>
      <c r="G1020" s="9">
        <f t="shared" ref="G1020:G1022" si="65">IFERROR(E1020*F1020,0)</f>
        <v>586000</v>
      </c>
      <c r="H1020" s="10"/>
      <c r="I1020" s="1" t="s">
        <v>120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75">
      <c r="A1021" s="5">
        <v>2</v>
      </c>
      <c r="B1021" s="16" t="s">
        <v>199</v>
      </c>
      <c r="C1021" s="17">
        <v>3670</v>
      </c>
      <c r="D1021" s="16" t="s">
        <v>14</v>
      </c>
      <c r="E1021" s="16">
        <v>1.5</v>
      </c>
      <c r="F1021" s="11">
        <v>435000</v>
      </c>
      <c r="G1021" s="9">
        <f t="shared" si="65"/>
        <v>652500</v>
      </c>
      <c r="H1021" s="10"/>
      <c r="I1021" s="1" t="s">
        <v>120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75">
      <c r="A1022" s="5">
        <v>3</v>
      </c>
      <c r="B1022" s="12" t="s">
        <v>15</v>
      </c>
      <c r="C1022" s="10"/>
      <c r="D1022" s="10"/>
      <c r="E1022" s="10"/>
      <c r="F1022" s="10"/>
      <c r="G1022" s="13">
        <f t="shared" si="65"/>
        <v>0</v>
      </c>
      <c r="H1022" s="10"/>
      <c r="I1022" s="1" t="s">
        <v>120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75">
      <c r="A1023" s="39" t="s">
        <v>16</v>
      </c>
      <c r="B1023" s="40"/>
      <c r="C1023" s="40"/>
      <c r="D1023" s="40"/>
      <c r="E1023" s="40"/>
      <c r="F1023" s="40"/>
      <c r="G1023" s="41"/>
      <c r="H1023" s="14">
        <f>SUM(G1020:G1022)</f>
        <v>1238500</v>
      </c>
      <c r="I1023" s="1" t="s">
        <v>120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75">
      <c r="A1024" s="39" t="s">
        <v>17</v>
      </c>
      <c r="B1024" s="40"/>
      <c r="C1024" s="40"/>
      <c r="D1024" s="40"/>
      <c r="E1024" s="40"/>
      <c r="F1024" s="40"/>
      <c r="G1024" s="41"/>
      <c r="H1024" s="14">
        <f>MAX(0,H1023-648000)</f>
        <v>590500</v>
      </c>
      <c r="I1024" s="1" t="s">
        <v>120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75">
      <c r="A1025" s="42" t="s">
        <v>18</v>
      </c>
      <c r="B1025" s="40"/>
      <c r="C1025" s="40"/>
      <c r="D1025" s="40"/>
      <c r="E1025" s="40"/>
      <c r="F1025" s="40"/>
      <c r="G1025" s="41"/>
      <c r="H1025" s="15">
        <v>649000</v>
      </c>
      <c r="I1025" s="1" t="s">
        <v>120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75">
      <c r="A1026" s="43" t="s">
        <v>19</v>
      </c>
      <c r="B1026" s="40"/>
      <c r="C1026" s="40"/>
      <c r="D1026" s="40"/>
      <c r="E1026" s="40"/>
      <c r="F1026" s="40"/>
      <c r="G1026" s="40"/>
      <c r="H1026" s="41"/>
      <c r="I1026" s="1" t="s">
        <v>120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45"/>
    <row r="1028" spans="1:26" ht="15.75" customHeight="1" x14ac:dyDescent="0.45"/>
    <row r="1029" spans="1:26" ht="15.75" customHeight="1" x14ac:dyDescent="0.45"/>
    <row r="1030" spans="1:26" ht="15.75" customHeight="1" x14ac:dyDescent="0.45"/>
    <row r="1031" spans="1:26" ht="15.75" customHeight="1" x14ac:dyDescent="0.45"/>
    <row r="1032" spans="1:26" ht="15.75" customHeight="1" x14ac:dyDescent="0.75">
      <c r="A1032" s="43" t="s">
        <v>0</v>
      </c>
      <c r="B1032" s="40"/>
      <c r="C1032" s="40"/>
      <c r="D1032" s="40"/>
      <c r="E1032" s="40"/>
      <c r="F1032" s="40"/>
      <c r="G1032" s="40"/>
      <c r="H1032" s="41"/>
      <c r="I1032" s="1" t="s">
        <v>120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75">
      <c r="A1033" s="43" t="s">
        <v>200</v>
      </c>
      <c r="B1033" s="40"/>
      <c r="C1033" s="40"/>
      <c r="D1033" s="40"/>
      <c r="E1033" s="40"/>
      <c r="F1033" s="40"/>
      <c r="G1033" s="40"/>
      <c r="H1033" s="41"/>
      <c r="I1033" s="1" t="s">
        <v>120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55000000000000004">
      <c r="A1034" s="2" t="s">
        <v>3</v>
      </c>
      <c r="B1034" s="2" t="s">
        <v>4</v>
      </c>
      <c r="C1034" s="2" t="s">
        <v>5</v>
      </c>
      <c r="D1034" s="2" t="s">
        <v>6</v>
      </c>
      <c r="E1034" s="2" t="s">
        <v>7</v>
      </c>
      <c r="F1034" s="3" t="s">
        <v>8</v>
      </c>
      <c r="G1034" s="2" t="s">
        <v>9</v>
      </c>
      <c r="H1034" s="4"/>
      <c r="I1034" s="1" t="s">
        <v>120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75">
      <c r="A1035" s="5">
        <v>1</v>
      </c>
      <c r="B1035" s="21" t="s">
        <v>21</v>
      </c>
      <c r="C1035" s="7">
        <v>7606</v>
      </c>
      <c r="D1035" s="6" t="s">
        <v>12</v>
      </c>
      <c r="E1035" s="6">
        <v>3.1</v>
      </c>
      <c r="F1035" s="8">
        <v>293000</v>
      </c>
      <c r="G1035" s="9">
        <f t="shared" ref="G1035:G1037" si="66">IFERROR(E1035*F1035,0)</f>
        <v>908300</v>
      </c>
      <c r="H1035" s="10"/>
      <c r="I1035" s="1" t="s">
        <v>120</v>
      </c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75">
      <c r="A1036" s="5">
        <v>2</v>
      </c>
      <c r="B1036" s="16" t="s">
        <v>201</v>
      </c>
      <c r="C1036" s="17">
        <v>1862</v>
      </c>
      <c r="D1036" s="16" t="s">
        <v>14</v>
      </c>
      <c r="E1036" s="16">
        <v>0.8</v>
      </c>
      <c r="F1036" s="11">
        <v>435000</v>
      </c>
      <c r="G1036" s="9">
        <f t="shared" si="66"/>
        <v>348000</v>
      </c>
      <c r="H1036" s="10"/>
      <c r="I1036" s="1" t="s">
        <v>120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 x14ac:dyDescent="0.75">
      <c r="A1037" s="5">
        <v>3</v>
      </c>
      <c r="B1037" s="12" t="s">
        <v>15</v>
      </c>
      <c r="C1037" s="10"/>
      <c r="D1037" s="10"/>
      <c r="E1037" s="10"/>
      <c r="F1037" s="10"/>
      <c r="G1037" s="13">
        <f t="shared" si="66"/>
        <v>0</v>
      </c>
      <c r="H1037" s="10"/>
      <c r="I1037" s="1" t="s">
        <v>120</v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75">
      <c r="A1038" s="39" t="s">
        <v>16</v>
      </c>
      <c r="B1038" s="40"/>
      <c r="C1038" s="40"/>
      <c r="D1038" s="40"/>
      <c r="E1038" s="40"/>
      <c r="F1038" s="40"/>
      <c r="G1038" s="41"/>
      <c r="H1038" s="14">
        <f>SUM(G1035:G1037)</f>
        <v>1256300</v>
      </c>
      <c r="I1038" s="1" t="s">
        <v>120</v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75">
      <c r="A1039" s="39" t="s">
        <v>17</v>
      </c>
      <c r="B1039" s="40"/>
      <c r="C1039" s="40"/>
      <c r="D1039" s="40"/>
      <c r="E1039" s="40"/>
      <c r="F1039" s="40"/>
      <c r="G1039" s="41"/>
      <c r="H1039" s="14">
        <f>MAX(0,H1038-648000)</f>
        <v>608300</v>
      </c>
      <c r="I1039" s="1" t="s">
        <v>120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 x14ac:dyDescent="0.75">
      <c r="A1040" s="42" t="s">
        <v>18</v>
      </c>
      <c r="B1040" s="40"/>
      <c r="C1040" s="40"/>
      <c r="D1040" s="40"/>
      <c r="E1040" s="40"/>
      <c r="F1040" s="40"/>
      <c r="G1040" s="41"/>
      <c r="H1040" s="15">
        <v>649000</v>
      </c>
      <c r="I1040" s="1" t="s">
        <v>120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75">
      <c r="A1041" s="43" t="s">
        <v>19</v>
      </c>
      <c r="B1041" s="40"/>
      <c r="C1041" s="40"/>
      <c r="D1041" s="40"/>
      <c r="E1041" s="40"/>
      <c r="F1041" s="40"/>
      <c r="G1041" s="40"/>
      <c r="H1041" s="41"/>
      <c r="I1041" s="1" t="s">
        <v>120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45"/>
    <row r="1043" spans="1:26" ht="15.75" customHeight="1" x14ac:dyDescent="0.45"/>
    <row r="1044" spans="1:26" ht="15.75" customHeight="1" x14ac:dyDescent="0.45"/>
    <row r="1045" spans="1:26" ht="15.75" customHeight="1" x14ac:dyDescent="0.45"/>
    <row r="1046" spans="1:26" ht="15.75" customHeight="1" x14ac:dyDescent="0.75">
      <c r="A1046" s="43" t="s">
        <v>0</v>
      </c>
      <c r="B1046" s="40"/>
      <c r="C1046" s="40"/>
      <c r="D1046" s="40"/>
      <c r="E1046" s="40"/>
      <c r="F1046" s="40"/>
      <c r="G1046" s="40"/>
      <c r="H1046" s="41"/>
      <c r="I1046" s="1" t="s">
        <v>120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customHeight="1" x14ac:dyDescent="0.75">
      <c r="A1047" s="43" t="s">
        <v>202</v>
      </c>
      <c r="B1047" s="40"/>
      <c r="C1047" s="40"/>
      <c r="D1047" s="40"/>
      <c r="E1047" s="40"/>
      <c r="F1047" s="40"/>
      <c r="G1047" s="40"/>
      <c r="H1047" s="41"/>
      <c r="I1047" s="1" t="s">
        <v>120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customHeight="1" x14ac:dyDescent="0.55000000000000004">
      <c r="A1048" s="2" t="s">
        <v>3</v>
      </c>
      <c r="B1048" s="2" t="s">
        <v>4</v>
      </c>
      <c r="C1048" s="2" t="s">
        <v>5</v>
      </c>
      <c r="D1048" s="2" t="s">
        <v>6</v>
      </c>
      <c r="E1048" s="2" t="s">
        <v>7</v>
      </c>
      <c r="F1048" s="3" t="s">
        <v>8</v>
      </c>
      <c r="G1048" s="2" t="s">
        <v>9</v>
      </c>
      <c r="H1048" s="4"/>
      <c r="I1048" s="1" t="s">
        <v>120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75">
      <c r="A1049" s="5">
        <v>1</v>
      </c>
      <c r="B1049" s="21" t="s">
        <v>203</v>
      </c>
      <c r="C1049" s="7">
        <v>4130</v>
      </c>
      <c r="D1049" s="6" t="s">
        <v>12</v>
      </c>
      <c r="E1049" s="6">
        <v>2.5</v>
      </c>
      <c r="F1049" s="8">
        <v>293000</v>
      </c>
      <c r="G1049" s="9">
        <f t="shared" ref="G1049:G1051" si="67">IFERROR(E1049*F1049,0)</f>
        <v>732500</v>
      </c>
      <c r="H1049" s="10"/>
      <c r="I1049" s="1" t="s">
        <v>120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75">
      <c r="A1050" s="5">
        <v>2</v>
      </c>
      <c r="B1050" s="16" t="s">
        <v>113</v>
      </c>
      <c r="C1050" s="17" t="s">
        <v>204</v>
      </c>
      <c r="D1050" s="16" t="s">
        <v>14</v>
      </c>
      <c r="E1050" s="16">
        <v>1</v>
      </c>
      <c r="F1050" s="11">
        <v>435000</v>
      </c>
      <c r="G1050" s="9">
        <f t="shared" si="67"/>
        <v>435000</v>
      </c>
      <c r="H1050" s="10"/>
      <c r="I1050" s="1" t="s">
        <v>120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75">
      <c r="A1051" s="5">
        <v>3</v>
      </c>
      <c r="B1051" s="12" t="s">
        <v>15</v>
      </c>
      <c r="C1051" s="10"/>
      <c r="D1051" s="10"/>
      <c r="E1051" s="10"/>
      <c r="F1051" s="10"/>
      <c r="G1051" s="13">
        <f t="shared" si="67"/>
        <v>0</v>
      </c>
      <c r="H1051" s="10"/>
      <c r="I1051" s="1" t="s">
        <v>120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customHeight="1" x14ac:dyDescent="0.75">
      <c r="A1052" s="39" t="s">
        <v>16</v>
      </c>
      <c r="B1052" s="40"/>
      <c r="C1052" s="40"/>
      <c r="D1052" s="40"/>
      <c r="E1052" s="40"/>
      <c r="F1052" s="40"/>
      <c r="G1052" s="41"/>
      <c r="H1052" s="14">
        <f>SUM(G1049:G1051)</f>
        <v>1167500</v>
      </c>
      <c r="I1052" s="1" t="s">
        <v>120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75">
      <c r="A1053" s="39" t="s">
        <v>17</v>
      </c>
      <c r="B1053" s="40"/>
      <c r="C1053" s="40"/>
      <c r="D1053" s="40"/>
      <c r="E1053" s="40"/>
      <c r="F1053" s="40"/>
      <c r="G1053" s="41"/>
      <c r="H1053" s="14">
        <f>MAX(0,H1052-648000)</f>
        <v>519500</v>
      </c>
      <c r="I1053" s="1" t="s">
        <v>120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customHeight="1" x14ac:dyDescent="0.75">
      <c r="A1054" s="42" t="s">
        <v>18</v>
      </c>
      <c r="B1054" s="40"/>
      <c r="C1054" s="40"/>
      <c r="D1054" s="40"/>
      <c r="E1054" s="40"/>
      <c r="F1054" s="40"/>
      <c r="G1054" s="41"/>
      <c r="H1054" s="15">
        <v>649000</v>
      </c>
      <c r="I1054" s="1" t="s">
        <v>120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75">
      <c r="A1055" s="43" t="s">
        <v>19</v>
      </c>
      <c r="B1055" s="40"/>
      <c r="C1055" s="40"/>
      <c r="D1055" s="40"/>
      <c r="E1055" s="40"/>
      <c r="F1055" s="40"/>
      <c r="G1055" s="40"/>
      <c r="H1055" s="41"/>
      <c r="I1055" s="1" t="s">
        <v>120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45"/>
    <row r="1057" spans="1:26" ht="15.75" customHeight="1" x14ac:dyDescent="0.45"/>
    <row r="1058" spans="1:26" ht="15.75" customHeight="1" x14ac:dyDescent="0.45"/>
    <row r="1059" spans="1:26" ht="15.75" customHeight="1" x14ac:dyDescent="0.45"/>
    <row r="1060" spans="1:26" ht="15.75" customHeight="1" x14ac:dyDescent="0.45"/>
    <row r="1061" spans="1:26" ht="15.75" customHeight="1" x14ac:dyDescent="0.45"/>
    <row r="1062" spans="1:26" ht="15.75" customHeight="1" x14ac:dyDescent="0.45"/>
    <row r="1063" spans="1:26" ht="15.75" customHeight="1" x14ac:dyDescent="0.75">
      <c r="A1063" s="43" t="s">
        <v>0</v>
      </c>
      <c r="B1063" s="40"/>
      <c r="C1063" s="40"/>
      <c r="D1063" s="40"/>
      <c r="E1063" s="40"/>
      <c r="F1063" s="40"/>
      <c r="G1063" s="40"/>
      <c r="H1063" s="41"/>
      <c r="I1063" s="1" t="s">
        <v>120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75">
      <c r="A1064" s="43" t="s">
        <v>205</v>
      </c>
      <c r="B1064" s="40"/>
      <c r="C1064" s="40"/>
      <c r="D1064" s="40"/>
      <c r="E1064" s="40"/>
      <c r="F1064" s="40"/>
      <c r="G1064" s="40"/>
      <c r="H1064" s="41"/>
      <c r="I1064" s="1" t="s">
        <v>120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55000000000000004">
      <c r="A1065" s="2" t="s">
        <v>3</v>
      </c>
      <c r="B1065" s="2" t="s">
        <v>4</v>
      </c>
      <c r="C1065" s="2" t="s">
        <v>5</v>
      </c>
      <c r="D1065" s="2" t="s">
        <v>6</v>
      </c>
      <c r="E1065" s="2" t="s">
        <v>7</v>
      </c>
      <c r="F1065" s="3" t="s">
        <v>8</v>
      </c>
      <c r="G1065" s="2" t="s">
        <v>9</v>
      </c>
      <c r="H1065" s="4"/>
      <c r="I1065" s="1" t="s">
        <v>120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75">
      <c r="A1066" s="5">
        <v>1</v>
      </c>
      <c r="B1066" s="21" t="s">
        <v>185</v>
      </c>
      <c r="C1066" s="7" t="s">
        <v>206</v>
      </c>
      <c r="D1066" s="6" t="s">
        <v>12</v>
      </c>
      <c r="E1066" s="6">
        <v>2.5</v>
      </c>
      <c r="F1066" s="8">
        <v>293000</v>
      </c>
      <c r="G1066" s="9">
        <f t="shared" ref="G1066:G1068" si="68">IFERROR(E1066*F1066,0)</f>
        <v>732500</v>
      </c>
      <c r="H1066" s="10"/>
      <c r="I1066" s="1" t="s">
        <v>120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customHeight="1" x14ac:dyDescent="0.75">
      <c r="A1067" s="5">
        <v>2</v>
      </c>
      <c r="B1067" s="16" t="s">
        <v>68</v>
      </c>
      <c r="C1067" s="17" t="s">
        <v>207</v>
      </c>
      <c r="D1067" s="16" t="s">
        <v>14</v>
      </c>
      <c r="E1067" s="16">
        <v>0.98</v>
      </c>
      <c r="F1067" s="11">
        <v>435000</v>
      </c>
      <c r="G1067" s="9">
        <f t="shared" si="68"/>
        <v>426300</v>
      </c>
      <c r="H1067" s="10"/>
      <c r="I1067" s="1" t="s">
        <v>120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customHeight="1" x14ac:dyDescent="0.75">
      <c r="A1068" s="5">
        <v>3</v>
      </c>
      <c r="B1068" s="12" t="s">
        <v>15</v>
      </c>
      <c r="C1068" s="10"/>
      <c r="D1068" s="10"/>
      <c r="E1068" s="10"/>
      <c r="F1068" s="10"/>
      <c r="G1068" s="13">
        <f t="shared" si="68"/>
        <v>0</v>
      </c>
      <c r="H1068" s="10"/>
      <c r="I1068" s="1" t="s">
        <v>120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75">
      <c r="A1069" s="39" t="s">
        <v>16</v>
      </c>
      <c r="B1069" s="40"/>
      <c r="C1069" s="40"/>
      <c r="D1069" s="40"/>
      <c r="E1069" s="40"/>
      <c r="F1069" s="40"/>
      <c r="G1069" s="41"/>
      <c r="H1069" s="14">
        <f>SUM(G1066:G1068)</f>
        <v>1158800</v>
      </c>
      <c r="I1069" s="1" t="s">
        <v>120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75">
      <c r="A1070" s="39" t="s">
        <v>17</v>
      </c>
      <c r="B1070" s="40"/>
      <c r="C1070" s="40"/>
      <c r="D1070" s="40"/>
      <c r="E1070" s="40"/>
      <c r="F1070" s="40"/>
      <c r="G1070" s="41"/>
      <c r="H1070" s="14">
        <f>MAX(0,H1069-648000)</f>
        <v>510800</v>
      </c>
      <c r="I1070" s="1" t="s">
        <v>120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75">
      <c r="A1071" s="42" t="s">
        <v>18</v>
      </c>
      <c r="B1071" s="40"/>
      <c r="C1071" s="40"/>
      <c r="D1071" s="40"/>
      <c r="E1071" s="40"/>
      <c r="F1071" s="40"/>
      <c r="G1071" s="41"/>
      <c r="H1071" s="15">
        <v>649000</v>
      </c>
      <c r="I1071" s="1" t="s">
        <v>120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75">
      <c r="A1072" s="43" t="s">
        <v>19</v>
      </c>
      <c r="B1072" s="40"/>
      <c r="C1072" s="40"/>
      <c r="D1072" s="40"/>
      <c r="E1072" s="40"/>
      <c r="F1072" s="40"/>
      <c r="G1072" s="40"/>
      <c r="H1072" s="41"/>
      <c r="I1072" s="1" t="s">
        <v>120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45"/>
    <row r="1074" spans="1:26" ht="15.75" customHeight="1" x14ac:dyDescent="0.45"/>
    <row r="1075" spans="1:26" ht="15.75" customHeight="1" x14ac:dyDescent="0.45"/>
    <row r="1076" spans="1:26" ht="15.75" customHeight="1" x14ac:dyDescent="0.45"/>
    <row r="1077" spans="1:26" ht="15.75" customHeight="1" x14ac:dyDescent="0.45"/>
    <row r="1078" spans="1:26" ht="15.75" customHeight="1" x14ac:dyDescent="0.45"/>
    <row r="1079" spans="1:26" ht="15.75" customHeight="1" x14ac:dyDescent="0.45"/>
    <row r="1080" spans="1:26" ht="15.75" customHeight="1" x14ac:dyDescent="0.45"/>
    <row r="1081" spans="1:26" ht="15.75" customHeight="1" x14ac:dyDescent="0.45"/>
    <row r="1082" spans="1:26" ht="15.75" customHeight="1" x14ac:dyDescent="0.75">
      <c r="A1082" s="43" t="s">
        <v>0</v>
      </c>
      <c r="B1082" s="40"/>
      <c r="C1082" s="40"/>
      <c r="D1082" s="40"/>
      <c r="E1082" s="40"/>
      <c r="F1082" s="40"/>
      <c r="G1082" s="40"/>
      <c r="H1082" s="41"/>
      <c r="I1082" s="1" t="s">
        <v>120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75">
      <c r="A1083" s="43" t="s">
        <v>208</v>
      </c>
      <c r="B1083" s="40"/>
      <c r="C1083" s="40"/>
      <c r="D1083" s="40"/>
      <c r="E1083" s="40"/>
      <c r="F1083" s="40"/>
      <c r="G1083" s="40"/>
      <c r="H1083" s="41"/>
      <c r="I1083" s="1" t="s">
        <v>120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55000000000000004">
      <c r="A1084" s="2" t="s">
        <v>3</v>
      </c>
      <c r="B1084" s="2" t="s">
        <v>4</v>
      </c>
      <c r="C1084" s="2" t="s">
        <v>5</v>
      </c>
      <c r="D1084" s="2" t="s">
        <v>6</v>
      </c>
      <c r="E1084" s="2" t="s">
        <v>7</v>
      </c>
      <c r="F1084" s="3" t="s">
        <v>8</v>
      </c>
      <c r="G1084" s="2" t="s">
        <v>9</v>
      </c>
      <c r="H1084" s="4"/>
      <c r="I1084" s="1" t="s">
        <v>120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75">
      <c r="A1085" s="5">
        <v>1</v>
      </c>
      <c r="B1085" s="21" t="s">
        <v>209</v>
      </c>
      <c r="C1085" s="7">
        <v>8815</v>
      </c>
      <c r="D1085" s="6" t="s">
        <v>12</v>
      </c>
      <c r="E1085" s="6">
        <v>2.98</v>
      </c>
      <c r="F1085" s="8">
        <v>293000</v>
      </c>
      <c r="G1085" s="9">
        <f t="shared" ref="G1085:G1087" si="69">IFERROR(E1085*F1085,0)</f>
        <v>873140</v>
      </c>
      <c r="H1085" s="10"/>
      <c r="I1085" s="1" t="s">
        <v>120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75">
      <c r="A1086" s="5">
        <v>2</v>
      </c>
      <c r="B1086" s="16" t="s">
        <v>24</v>
      </c>
      <c r="C1086" s="17" t="s">
        <v>210</v>
      </c>
      <c r="D1086" s="16" t="s">
        <v>14</v>
      </c>
      <c r="E1086" s="16">
        <v>0.56000000000000005</v>
      </c>
      <c r="F1086" s="11">
        <v>435000</v>
      </c>
      <c r="G1086" s="9">
        <f t="shared" si="69"/>
        <v>243600.00000000003</v>
      </c>
      <c r="H1086" s="10"/>
      <c r="I1086" s="1" t="s">
        <v>120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customHeight="1" x14ac:dyDescent="0.75">
      <c r="A1087" s="5">
        <v>3</v>
      </c>
      <c r="B1087" s="12" t="s">
        <v>15</v>
      </c>
      <c r="C1087" s="10"/>
      <c r="D1087" s="10"/>
      <c r="E1087" s="10"/>
      <c r="F1087" s="10"/>
      <c r="G1087" s="13">
        <f t="shared" si="69"/>
        <v>0</v>
      </c>
      <c r="H1087" s="10"/>
      <c r="I1087" s="1" t="s">
        <v>120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75">
      <c r="A1088" s="39" t="s">
        <v>16</v>
      </c>
      <c r="B1088" s="40"/>
      <c r="C1088" s="40"/>
      <c r="D1088" s="40"/>
      <c r="E1088" s="40"/>
      <c r="F1088" s="40"/>
      <c r="G1088" s="41"/>
      <c r="H1088" s="14">
        <f>SUM(G1085:G1087)</f>
        <v>1116740</v>
      </c>
      <c r="I1088" s="1" t="s">
        <v>120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75">
      <c r="A1089" s="39" t="s">
        <v>17</v>
      </c>
      <c r="B1089" s="40"/>
      <c r="C1089" s="40"/>
      <c r="D1089" s="40"/>
      <c r="E1089" s="40"/>
      <c r="F1089" s="40"/>
      <c r="G1089" s="41"/>
      <c r="H1089" s="14">
        <f>MAX(0,H1088-648000)</f>
        <v>468740</v>
      </c>
      <c r="I1089" s="1" t="s">
        <v>120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75">
      <c r="A1090" s="42" t="s">
        <v>18</v>
      </c>
      <c r="B1090" s="40"/>
      <c r="C1090" s="40"/>
      <c r="D1090" s="40"/>
      <c r="E1090" s="40"/>
      <c r="F1090" s="40"/>
      <c r="G1090" s="41"/>
      <c r="H1090" s="15">
        <v>649000</v>
      </c>
      <c r="I1090" s="1" t="s">
        <v>120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75">
      <c r="A1091" s="43" t="s">
        <v>19</v>
      </c>
      <c r="B1091" s="40"/>
      <c r="C1091" s="40"/>
      <c r="D1091" s="40"/>
      <c r="E1091" s="40"/>
      <c r="F1091" s="40"/>
      <c r="G1091" s="40"/>
      <c r="H1091" s="41"/>
      <c r="I1091" s="1" t="s">
        <v>120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45"/>
    <row r="1093" spans="1:26" ht="15.75" customHeight="1" x14ac:dyDescent="0.45"/>
    <row r="1094" spans="1:26" ht="15.75" customHeight="1" x14ac:dyDescent="0.45"/>
    <row r="1095" spans="1:26" ht="15.75" customHeight="1" x14ac:dyDescent="0.45"/>
    <row r="1096" spans="1:26" ht="15.75" customHeight="1" x14ac:dyDescent="0.45"/>
    <row r="1097" spans="1:26" ht="15.75" customHeight="1" x14ac:dyDescent="0.75">
      <c r="A1097" s="43" t="s">
        <v>0</v>
      </c>
      <c r="B1097" s="40"/>
      <c r="C1097" s="40"/>
      <c r="D1097" s="40"/>
      <c r="E1097" s="40"/>
      <c r="F1097" s="40"/>
      <c r="G1097" s="40"/>
      <c r="H1097" s="41"/>
      <c r="I1097" s="1" t="s">
        <v>120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75">
      <c r="A1098" s="43" t="s">
        <v>211</v>
      </c>
      <c r="B1098" s="40"/>
      <c r="C1098" s="40"/>
      <c r="D1098" s="40"/>
      <c r="E1098" s="40"/>
      <c r="F1098" s="40"/>
      <c r="G1098" s="40"/>
      <c r="H1098" s="41"/>
      <c r="I1098" s="1" t="s">
        <v>120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55000000000000004">
      <c r="A1099" s="2" t="s">
        <v>3</v>
      </c>
      <c r="B1099" s="2" t="s">
        <v>4</v>
      </c>
      <c r="C1099" s="2" t="s">
        <v>5</v>
      </c>
      <c r="D1099" s="2" t="s">
        <v>6</v>
      </c>
      <c r="E1099" s="2" t="s">
        <v>7</v>
      </c>
      <c r="F1099" s="3" t="s">
        <v>8</v>
      </c>
      <c r="G1099" s="2" t="s">
        <v>9</v>
      </c>
      <c r="H1099" s="4"/>
      <c r="I1099" s="1" t="s">
        <v>120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75">
      <c r="A1100" s="5">
        <v>1</v>
      </c>
      <c r="B1100" s="21" t="s">
        <v>105</v>
      </c>
      <c r="C1100" s="7">
        <v>1023</v>
      </c>
      <c r="D1100" s="6" t="s">
        <v>12</v>
      </c>
      <c r="E1100" s="6">
        <v>2</v>
      </c>
      <c r="F1100" s="8">
        <v>293000</v>
      </c>
      <c r="G1100" s="9">
        <f t="shared" ref="G1100:G1102" si="70">IFERROR(E1100*F1100,0)</f>
        <v>586000</v>
      </c>
      <c r="H1100" s="10"/>
      <c r="I1100" s="1" t="s">
        <v>120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75">
      <c r="A1101" s="5">
        <v>2</v>
      </c>
      <c r="B1101" s="16" t="s">
        <v>158</v>
      </c>
      <c r="C1101" s="17">
        <v>1258</v>
      </c>
      <c r="D1101" s="16" t="s">
        <v>14</v>
      </c>
      <c r="E1101" s="16">
        <v>1.5</v>
      </c>
      <c r="F1101" s="11">
        <v>435000</v>
      </c>
      <c r="G1101" s="9">
        <f t="shared" si="70"/>
        <v>652500</v>
      </c>
      <c r="H1101" s="10"/>
      <c r="I1101" s="1" t="s">
        <v>120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75">
      <c r="A1102" s="5">
        <v>3</v>
      </c>
      <c r="B1102" s="12" t="s">
        <v>15</v>
      </c>
      <c r="C1102" s="10"/>
      <c r="D1102" s="10"/>
      <c r="E1102" s="10"/>
      <c r="F1102" s="10"/>
      <c r="G1102" s="13">
        <f t="shared" si="70"/>
        <v>0</v>
      </c>
      <c r="H1102" s="10"/>
      <c r="I1102" s="1" t="s">
        <v>120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75">
      <c r="A1103" s="39" t="s">
        <v>16</v>
      </c>
      <c r="B1103" s="40"/>
      <c r="C1103" s="40"/>
      <c r="D1103" s="40"/>
      <c r="E1103" s="40"/>
      <c r="F1103" s="40"/>
      <c r="G1103" s="41"/>
      <c r="H1103" s="14">
        <f>SUM(G1100:G1102)</f>
        <v>1238500</v>
      </c>
      <c r="I1103" s="1" t="s">
        <v>120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.75" customHeight="1" x14ac:dyDescent="0.75">
      <c r="A1104" s="39" t="s">
        <v>17</v>
      </c>
      <c r="B1104" s="40"/>
      <c r="C1104" s="40"/>
      <c r="D1104" s="40"/>
      <c r="E1104" s="40"/>
      <c r="F1104" s="40"/>
      <c r="G1104" s="41"/>
      <c r="H1104" s="14">
        <f>MAX(0,H1103-648000)</f>
        <v>590500</v>
      </c>
      <c r="I1104" s="1" t="s">
        <v>120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75">
      <c r="A1105" s="42" t="s">
        <v>18</v>
      </c>
      <c r="B1105" s="40"/>
      <c r="C1105" s="40"/>
      <c r="D1105" s="40"/>
      <c r="E1105" s="40"/>
      <c r="F1105" s="40"/>
      <c r="G1105" s="41"/>
      <c r="H1105" s="15">
        <v>649000</v>
      </c>
      <c r="I1105" s="1" t="s">
        <v>120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75">
      <c r="A1106" s="43" t="s">
        <v>19</v>
      </c>
      <c r="B1106" s="40"/>
      <c r="C1106" s="40"/>
      <c r="D1106" s="40"/>
      <c r="E1106" s="40"/>
      <c r="F1106" s="40"/>
      <c r="G1106" s="40"/>
      <c r="H1106" s="41"/>
      <c r="I1106" s="1" t="s">
        <v>120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45"/>
    <row r="1108" spans="1:26" ht="15.75" customHeight="1" x14ac:dyDescent="0.45"/>
    <row r="1109" spans="1:26" ht="15.75" customHeight="1" x14ac:dyDescent="0.45"/>
    <row r="1110" spans="1:26" ht="15.75" customHeight="1" x14ac:dyDescent="0.75">
      <c r="A1110" s="43" t="s">
        <v>0</v>
      </c>
      <c r="B1110" s="40"/>
      <c r="C1110" s="40"/>
      <c r="D1110" s="40"/>
      <c r="E1110" s="40"/>
      <c r="F1110" s="40"/>
      <c r="G1110" s="40"/>
      <c r="H1110" s="41"/>
      <c r="I1110" s="1" t="s">
        <v>120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75">
      <c r="A1111" s="43" t="s">
        <v>212</v>
      </c>
      <c r="B1111" s="40"/>
      <c r="C1111" s="40"/>
      <c r="D1111" s="40"/>
      <c r="E1111" s="40"/>
      <c r="F1111" s="40"/>
      <c r="G1111" s="40"/>
      <c r="H1111" s="41"/>
      <c r="I1111" s="1" t="s">
        <v>120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55000000000000004">
      <c r="A1112" s="2" t="s">
        <v>3</v>
      </c>
      <c r="B1112" s="2" t="s">
        <v>4</v>
      </c>
      <c r="C1112" s="2" t="s">
        <v>5</v>
      </c>
      <c r="D1112" s="2" t="s">
        <v>6</v>
      </c>
      <c r="E1112" s="2" t="s">
        <v>7</v>
      </c>
      <c r="F1112" s="3" t="s">
        <v>8</v>
      </c>
      <c r="G1112" s="2" t="s">
        <v>9</v>
      </c>
      <c r="H1112" s="4"/>
      <c r="I1112" s="1" t="s">
        <v>120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75">
      <c r="A1113" s="5">
        <v>1</v>
      </c>
      <c r="B1113" s="21" t="s">
        <v>213</v>
      </c>
      <c r="C1113" s="7">
        <v>4389</v>
      </c>
      <c r="D1113" s="6" t="s">
        <v>12</v>
      </c>
      <c r="E1113" s="6">
        <v>2.5</v>
      </c>
      <c r="F1113" s="8">
        <v>293000</v>
      </c>
      <c r="G1113" s="9">
        <f t="shared" ref="G1113:G1115" si="71">IFERROR(E1113*F1113,0)</f>
        <v>732500</v>
      </c>
      <c r="H1113" s="10"/>
      <c r="I1113" s="1" t="s">
        <v>120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75">
      <c r="A1114" s="5">
        <v>2</v>
      </c>
      <c r="B1114" s="16" t="s">
        <v>49</v>
      </c>
      <c r="C1114" s="17">
        <v>1591</v>
      </c>
      <c r="D1114" s="16" t="s">
        <v>14</v>
      </c>
      <c r="E1114" s="16">
        <v>0.47</v>
      </c>
      <c r="F1114" s="11">
        <v>435000</v>
      </c>
      <c r="G1114" s="9">
        <f t="shared" si="71"/>
        <v>204450</v>
      </c>
      <c r="H1114" s="10"/>
      <c r="I1114" s="1" t="s">
        <v>120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.75" customHeight="1" x14ac:dyDescent="0.75">
      <c r="A1115" s="5">
        <v>3</v>
      </c>
      <c r="B1115" s="12" t="s">
        <v>15</v>
      </c>
      <c r="C1115" s="10"/>
      <c r="D1115" s="10"/>
      <c r="E1115" s="10"/>
      <c r="F1115" s="10"/>
      <c r="G1115" s="13">
        <f t="shared" si="71"/>
        <v>0</v>
      </c>
      <c r="H1115" s="10"/>
      <c r="I1115" s="1" t="s">
        <v>120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.75" customHeight="1" x14ac:dyDescent="0.75">
      <c r="A1116" s="39" t="s">
        <v>16</v>
      </c>
      <c r="B1116" s="40"/>
      <c r="C1116" s="40"/>
      <c r="D1116" s="40"/>
      <c r="E1116" s="40"/>
      <c r="F1116" s="40"/>
      <c r="G1116" s="41"/>
      <c r="H1116" s="14">
        <f>SUM(G1113:G1115)</f>
        <v>936950</v>
      </c>
      <c r="I1116" s="1" t="s">
        <v>120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75">
      <c r="A1117" s="39" t="s">
        <v>17</v>
      </c>
      <c r="B1117" s="40"/>
      <c r="C1117" s="40"/>
      <c r="D1117" s="40"/>
      <c r="E1117" s="40"/>
      <c r="F1117" s="40"/>
      <c r="G1117" s="41"/>
      <c r="H1117" s="14">
        <f>MAX(0,H1116-648000)</f>
        <v>288950</v>
      </c>
      <c r="I1117" s="1" t="s">
        <v>120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75">
      <c r="A1118" s="42" t="s">
        <v>18</v>
      </c>
      <c r="B1118" s="40"/>
      <c r="C1118" s="40"/>
      <c r="D1118" s="40"/>
      <c r="E1118" s="40"/>
      <c r="F1118" s="40"/>
      <c r="G1118" s="41"/>
      <c r="H1118" s="15">
        <v>649000</v>
      </c>
      <c r="I1118" s="1" t="s">
        <v>120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75">
      <c r="A1119" s="43" t="s">
        <v>19</v>
      </c>
      <c r="B1119" s="40"/>
      <c r="C1119" s="40"/>
      <c r="D1119" s="40"/>
      <c r="E1119" s="40"/>
      <c r="F1119" s="40"/>
      <c r="G1119" s="40"/>
      <c r="H1119" s="41"/>
      <c r="I1119" s="1" t="s">
        <v>120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45"/>
    <row r="1121" spans="1:26" ht="15.75" customHeight="1" x14ac:dyDescent="0.45"/>
    <row r="1122" spans="1:26" ht="15.75" customHeight="1" x14ac:dyDescent="0.45"/>
    <row r="1123" spans="1:26" ht="15.75" customHeight="1" x14ac:dyDescent="0.45"/>
    <row r="1124" spans="1:26" ht="15.75" customHeight="1" x14ac:dyDescent="0.45"/>
    <row r="1125" spans="1:26" ht="15.75" customHeight="1" x14ac:dyDescent="0.45"/>
    <row r="1126" spans="1:26" ht="15.75" customHeight="1" x14ac:dyDescent="0.45"/>
    <row r="1127" spans="1:26" ht="15.75" customHeight="1" x14ac:dyDescent="0.45"/>
    <row r="1128" spans="1:26" ht="15.75" customHeight="1" x14ac:dyDescent="0.75">
      <c r="A1128" s="43" t="s">
        <v>0</v>
      </c>
      <c r="B1128" s="40"/>
      <c r="C1128" s="40"/>
      <c r="D1128" s="40"/>
      <c r="E1128" s="40"/>
      <c r="F1128" s="40"/>
      <c r="G1128" s="40"/>
      <c r="H1128" s="41"/>
      <c r="I1128" s="1" t="s">
        <v>120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.75" customHeight="1" x14ac:dyDescent="0.75">
      <c r="A1129" s="43" t="s">
        <v>214</v>
      </c>
      <c r="B1129" s="40"/>
      <c r="C1129" s="40"/>
      <c r="D1129" s="40"/>
      <c r="E1129" s="40"/>
      <c r="F1129" s="40"/>
      <c r="G1129" s="40"/>
      <c r="H1129" s="41"/>
      <c r="I1129" s="1" t="s">
        <v>120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customHeight="1" x14ac:dyDescent="0.55000000000000004">
      <c r="A1130" s="2" t="s">
        <v>3</v>
      </c>
      <c r="B1130" s="2" t="s">
        <v>4</v>
      </c>
      <c r="C1130" s="2" t="s">
        <v>5</v>
      </c>
      <c r="D1130" s="2" t="s">
        <v>6</v>
      </c>
      <c r="E1130" s="2" t="s">
        <v>7</v>
      </c>
      <c r="F1130" s="3" t="s">
        <v>8</v>
      </c>
      <c r="G1130" s="2" t="s">
        <v>9</v>
      </c>
      <c r="H1130" s="4"/>
      <c r="I1130" s="1" t="s">
        <v>120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.75" customHeight="1" x14ac:dyDescent="0.75">
      <c r="A1131" s="5">
        <v>1</v>
      </c>
      <c r="B1131" s="21" t="s">
        <v>215</v>
      </c>
      <c r="C1131" s="7">
        <v>8845</v>
      </c>
      <c r="D1131" s="6" t="s">
        <v>12</v>
      </c>
      <c r="E1131" s="6">
        <v>2</v>
      </c>
      <c r="F1131" s="8">
        <v>293000</v>
      </c>
      <c r="G1131" s="9">
        <f t="shared" ref="G1131:G1133" si="72">IFERROR(E1131*F1131,0)</f>
        <v>586000</v>
      </c>
      <c r="H1131" s="10"/>
      <c r="I1131" s="1" t="s">
        <v>120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.75" customHeight="1" x14ac:dyDescent="0.75">
      <c r="A1132" s="5">
        <v>2</v>
      </c>
      <c r="B1132" s="16" t="s">
        <v>35</v>
      </c>
      <c r="C1132" s="17">
        <v>2666</v>
      </c>
      <c r="D1132" s="16" t="s">
        <v>14</v>
      </c>
      <c r="E1132" s="16">
        <v>1.4</v>
      </c>
      <c r="F1132" s="11">
        <v>435000</v>
      </c>
      <c r="G1132" s="9">
        <f t="shared" si="72"/>
        <v>609000</v>
      </c>
      <c r="H1132" s="10"/>
      <c r="I1132" s="1" t="s">
        <v>120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75">
      <c r="A1133" s="5">
        <v>3</v>
      </c>
      <c r="B1133" s="12" t="s">
        <v>15</v>
      </c>
      <c r="C1133" s="10"/>
      <c r="D1133" s="10"/>
      <c r="E1133" s="10"/>
      <c r="F1133" s="10"/>
      <c r="G1133" s="13">
        <f t="shared" si="72"/>
        <v>0</v>
      </c>
      <c r="H1133" s="10"/>
      <c r="I1133" s="1" t="s">
        <v>120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.75" customHeight="1" x14ac:dyDescent="0.75">
      <c r="A1134" s="39" t="s">
        <v>16</v>
      </c>
      <c r="B1134" s="40"/>
      <c r="C1134" s="40"/>
      <c r="D1134" s="40"/>
      <c r="E1134" s="40"/>
      <c r="F1134" s="40"/>
      <c r="G1134" s="41"/>
      <c r="H1134" s="14">
        <f>SUM(G1131:G1133)</f>
        <v>1195000</v>
      </c>
      <c r="I1134" s="1" t="s">
        <v>120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.75" customHeight="1" x14ac:dyDescent="0.75">
      <c r="A1135" s="39" t="s">
        <v>17</v>
      </c>
      <c r="B1135" s="40"/>
      <c r="C1135" s="40"/>
      <c r="D1135" s="40"/>
      <c r="E1135" s="40"/>
      <c r="F1135" s="40"/>
      <c r="G1135" s="41"/>
      <c r="H1135" s="14">
        <f>MAX(0,H1134-648000)</f>
        <v>547000</v>
      </c>
      <c r="I1135" s="1" t="s">
        <v>120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.75" customHeight="1" x14ac:dyDescent="0.75">
      <c r="A1136" s="42" t="s">
        <v>18</v>
      </c>
      <c r="B1136" s="40"/>
      <c r="C1136" s="40"/>
      <c r="D1136" s="40"/>
      <c r="E1136" s="40"/>
      <c r="F1136" s="40"/>
      <c r="G1136" s="41"/>
      <c r="H1136" s="15">
        <v>649000</v>
      </c>
      <c r="I1136" s="1" t="s">
        <v>120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.75" customHeight="1" x14ac:dyDescent="0.75">
      <c r="A1137" s="43" t="s">
        <v>19</v>
      </c>
      <c r="B1137" s="40"/>
      <c r="C1137" s="40"/>
      <c r="D1137" s="40"/>
      <c r="E1137" s="40"/>
      <c r="F1137" s="40"/>
      <c r="G1137" s="40"/>
      <c r="H1137" s="41"/>
      <c r="I1137" s="1" t="s">
        <v>120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.75" customHeight="1" x14ac:dyDescent="0.45"/>
    <row r="1139" spans="1:26" ht="15.75" customHeight="1" x14ac:dyDescent="0.45"/>
    <row r="1140" spans="1:26" ht="15.75" customHeight="1" x14ac:dyDescent="0.45"/>
    <row r="1141" spans="1:26" ht="15.75" customHeight="1" x14ac:dyDescent="0.45"/>
    <row r="1142" spans="1:26" ht="15.75" customHeight="1" x14ac:dyDescent="0.45"/>
    <row r="1143" spans="1:26" ht="15.75" customHeight="1" x14ac:dyDescent="0.45"/>
    <row r="1144" spans="1:26" ht="15.75" customHeight="1" x14ac:dyDescent="0.45"/>
    <row r="1145" spans="1:26" ht="15.75" customHeight="1" x14ac:dyDescent="0.45"/>
    <row r="1146" spans="1:26" ht="15.75" customHeight="1" x14ac:dyDescent="0.45"/>
    <row r="1147" spans="1:26" ht="15.75" customHeight="1" x14ac:dyDescent="0.75">
      <c r="A1147" s="43" t="s">
        <v>0</v>
      </c>
      <c r="B1147" s="40"/>
      <c r="C1147" s="40"/>
      <c r="D1147" s="40"/>
      <c r="E1147" s="40"/>
      <c r="F1147" s="40"/>
      <c r="G1147" s="40"/>
      <c r="H1147" s="41"/>
      <c r="I1147" s="1" t="s">
        <v>120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.75" customHeight="1" x14ac:dyDescent="0.75">
      <c r="A1148" s="43" t="s">
        <v>216</v>
      </c>
      <c r="B1148" s="40"/>
      <c r="C1148" s="40"/>
      <c r="D1148" s="40"/>
      <c r="E1148" s="40"/>
      <c r="F1148" s="40"/>
      <c r="G1148" s="40"/>
      <c r="H1148" s="41"/>
      <c r="I1148" s="1" t="s">
        <v>120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.75" customHeight="1" x14ac:dyDescent="0.55000000000000004">
      <c r="A1149" s="2" t="s">
        <v>3</v>
      </c>
      <c r="B1149" s="2" t="s">
        <v>4</v>
      </c>
      <c r="C1149" s="2" t="s">
        <v>5</v>
      </c>
      <c r="D1149" s="2" t="s">
        <v>6</v>
      </c>
      <c r="E1149" s="2" t="s">
        <v>7</v>
      </c>
      <c r="F1149" s="3" t="s">
        <v>8</v>
      </c>
      <c r="G1149" s="2" t="s">
        <v>9</v>
      </c>
      <c r="H1149" s="4"/>
      <c r="I1149" s="1" t="s">
        <v>120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.75" customHeight="1" x14ac:dyDescent="0.75">
      <c r="A1150" s="5">
        <v>1</v>
      </c>
      <c r="B1150" s="21" t="s">
        <v>68</v>
      </c>
      <c r="C1150" s="7" t="s">
        <v>217</v>
      </c>
      <c r="D1150" s="6" t="s">
        <v>12</v>
      </c>
      <c r="E1150" s="6">
        <v>1.5</v>
      </c>
      <c r="F1150" s="8">
        <v>293000</v>
      </c>
      <c r="G1150" s="9">
        <f t="shared" ref="G1150:G1152" si="73">IFERROR(E1150*F1150,0)</f>
        <v>439500</v>
      </c>
      <c r="H1150" s="10"/>
      <c r="I1150" s="1" t="s">
        <v>120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.75" customHeight="1" x14ac:dyDescent="0.75">
      <c r="A1151" s="5">
        <v>2</v>
      </c>
      <c r="B1151" s="16" t="s">
        <v>150</v>
      </c>
      <c r="C1151" s="17" t="s">
        <v>218</v>
      </c>
      <c r="D1151" s="16" t="s">
        <v>14</v>
      </c>
      <c r="E1151" s="16">
        <v>2</v>
      </c>
      <c r="F1151" s="11">
        <v>435000</v>
      </c>
      <c r="G1151" s="9">
        <f t="shared" si="73"/>
        <v>870000</v>
      </c>
      <c r="H1151" s="10"/>
      <c r="I1151" s="1" t="s">
        <v>120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.75" customHeight="1" x14ac:dyDescent="0.75">
      <c r="A1152" s="5">
        <v>3</v>
      </c>
      <c r="B1152" s="12" t="s">
        <v>15</v>
      </c>
      <c r="C1152" s="10"/>
      <c r="D1152" s="10"/>
      <c r="E1152" s="10"/>
      <c r="F1152" s="10"/>
      <c r="G1152" s="13">
        <f t="shared" si="73"/>
        <v>0</v>
      </c>
      <c r="H1152" s="10"/>
      <c r="I1152" s="1" t="s">
        <v>120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customHeight="1" x14ac:dyDescent="0.75">
      <c r="A1153" s="39" t="s">
        <v>16</v>
      </c>
      <c r="B1153" s="40"/>
      <c r="C1153" s="40"/>
      <c r="D1153" s="40"/>
      <c r="E1153" s="40"/>
      <c r="F1153" s="40"/>
      <c r="G1153" s="41"/>
      <c r="H1153" s="14">
        <f>SUM(G1150:G1152)</f>
        <v>1309500</v>
      </c>
      <c r="I1153" s="1" t="s">
        <v>120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75">
      <c r="A1154" s="39" t="s">
        <v>17</v>
      </c>
      <c r="B1154" s="40"/>
      <c r="C1154" s="40"/>
      <c r="D1154" s="40"/>
      <c r="E1154" s="40"/>
      <c r="F1154" s="40"/>
      <c r="G1154" s="41"/>
      <c r="H1154" s="14">
        <f>MAX(0,H1153-648000)</f>
        <v>661500</v>
      </c>
      <c r="I1154" s="1" t="s">
        <v>120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customHeight="1" x14ac:dyDescent="0.75">
      <c r="A1155" s="42" t="s">
        <v>18</v>
      </c>
      <c r="B1155" s="40"/>
      <c r="C1155" s="40"/>
      <c r="D1155" s="40"/>
      <c r="E1155" s="40"/>
      <c r="F1155" s="40"/>
      <c r="G1155" s="41"/>
      <c r="H1155" s="15">
        <v>649000</v>
      </c>
      <c r="I1155" s="1" t="s">
        <v>120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75">
      <c r="A1156" s="43" t="s">
        <v>19</v>
      </c>
      <c r="B1156" s="40"/>
      <c r="C1156" s="40"/>
      <c r="D1156" s="40"/>
      <c r="E1156" s="40"/>
      <c r="F1156" s="40"/>
      <c r="G1156" s="40"/>
      <c r="H1156" s="41"/>
      <c r="I1156" s="1" t="s">
        <v>120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.75" customHeight="1" x14ac:dyDescent="0.45"/>
    <row r="1158" spans="1:26" ht="15.75" customHeight="1" x14ac:dyDescent="0.45"/>
    <row r="1159" spans="1:26" ht="15.75" customHeight="1" x14ac:dyDescent="0.45"/>
    <row r="1160" spans="1:26" ht="15.75" customHeight="1" x14ac:dyDescent="0.45"/>
    <row r="1161" spans="1:26" ht="15.75" customHeight="1" x14ac:dyDescent="0.75">
      <c r="A1161" s="43" t="s">
        <v>0</v>
      </c>
      <c r="B1161" s="40"/>
      <c r="C1161" s="40"/>
      <c r="D1161" s="40"/>
      <c r="E1161" s="40"/>
      <c r="F1161" s="40"/>
      <c r="G1161" s="40"/>
      <c r="H1161" s="41"/>
      <c r="I1161" s="1" t="s">
        <v>120</v>
      </c>
      <c r="J1161" s="19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.75" customHeight="1" x14ac:dyDescent="0.75">
      <c r="A1162" s="43" t="s">
        <v>219</v>
      </c>
      <c r="B1162" s="40"/>
      <c r="C1162" s="40"/>
      <c r="D1162" s="40"/>
      <c r="E1162" s="40"/>
      <c r="F1162" s="40"/>
      <c r="G1162" s="40"/>
      <c r="H1162" s="41"/>
      <c r="I1162" s="1" t="s">
        <v>120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.75" customHeight="1" x14ac:dyDescent="0.55000000000000004">
      <c r="A1163" s="2" t="s">
        <v>3</v>
      </c>
      <c r="B1163" s="2" t="s">
        <v>4</v>
      </c>
      <c r="C1163" s="2" t="s">
        <v>5</v>
      </c>
      <c r="D1163" s="2" t="s">
        <v>6</v>
      </c>
      <c r="E1163" s="2" t="s">
        <v>7</v>
      </c>
      <c r="F1163" s="3" t="s">
        <v>8</v>
      </c>
      <c r="G1163" s="2" t="s">
        <v>9</v>
      </c>
      <c r="H1163" s="4"/>
      <c r="I1163" s="1" t="s">
        <v>120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.75" customHeight="1" x14ac:dyDescent="0.75">
      <c r="A1164" s="5">
        <v>1</v>
      </c>
      <c r="B1164" s="21" t="s">
        <v>220</v>
      </c>
      <c r="C1164" s="7">
        <v>8108</v>
      </c>
      <c r="D1164" s="6" t="s">
        <v>12</v>
      </c>
      <c r="E1164" s="6">
        <v>2</v>
      </c>
      <c r="F1164" s="8">
        <v>293000</v>
      </c>
      <c r="G1164" s="9">
        <f t="shared" ref="G1164:G1166" si="74">IFERROR(E1164*F1164,0)</f>
        <v>586000</v>
      </c>
      <c r="H1164" s="10"/>
      <c r="I1164" s="1" t="s">
        <v>120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.75" customHeight="1" x14ac:dyDescent="0.75">
      <c r="A1165" s="5">
        <v>2</v>
      </c>
      <c r="B1165" s="16" t="s">
        <v>190</v>
      </c>
      <c r="C1165" s="17">
        <v>2507</v>
      </c>
      <c r="D1165" s="16" t="s">
        <v>14</v>
      </c>
      <c r="E1165" s="16">
        <v>1.45</v>
      </c>
      <c r="F1165" s="11">
        <v>435000</v>
      </c>
      <c r="G1165" s="9">
        <f t="shared" si="74"/>
        <v>630750</v>
      </c>
      <c r="H1165" s="10"/>
      <c r="I1165" s="1" t="s">
        <v>120</v>
      </c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.75" customHeight="1" x14ac:dyDescent="0.75">
      <c r="A1166" s="5">
        <v>3</v>
      </c>
      <c r="B1166" s="12" t="s">
        <v>15</v>
      </c>
      <c r="C1166" s="10"/>
      <c r="D1166" s="10"/>
      <c r="E1166" s="10"/>
      <c r="F1166" s="10"/>
      <c r="G1166" s="13">
        <f t="shared" si="74"/>
        <v>0</v>
      </c>
      <c r="H1166" s="10"/>
      <c r="I1166" s="1" t="s">
        <v>120</v>
      </c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.75" customHeight="1" x14ac:dyDescent="0.75">
      <c r="A1167" s="39" t="s">
        <v>16</v>
      </c>
      <c r="B1167" s="40"/>
      <c r="C1167" s="40"/>
      <c r="D1167" s="40"/>
      <c r="E1167" s="40"/>
      <c r="F1167" s="40"/>
      <c r="G1167" s="41"/>
      <c r="H1167" s="14">
        <f>SUM(G1164:G1166)</f>
        <v>1216750</v>
      </c>
      <c r="I1167" s="1" t="s">
        <v>120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.75" customHeight="1" x14ac:dyDescent="0.75">
      <c r="A1168" s="39" t="s">
        <v>17</v>
      </c>
      <c r="B1168" s="40"/>
      <c r="C1168" s="40"/>
      <c r="D1168" s="40"/>
      <c r="E1168" s="40"/>
      <c r="F1168" s="40"/>
      <c r="G1168" s="41"/>
      <c r="H1168" s="14">
        <f>MAX(0,H1167-648000)</f>
        <v>568750</v>
      </c>
      <c r="I1168" s="1" t="s">
        <v>120</v>
      </c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.75" customHeight="1" x14ac:dyDescent="0.75">
      <c r="A1169" s="42" t="s">
        <v>18</v>
      </c>
      <c r="B1169" s="40"/>
      <c r="C1169" s="40"/>
      <c r="D1169" s="40"/>
      <c r="E1169" s="40"/>
      <c r="F1169" s="40"/>
      <c r="G1169" s="41"/>
      <c r="H1169" s="15">
        <v>649000</v>
      </c>
      <c r="I1169" s="1" t="s">
        <v>120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.75" customHeight="1" x14ac:dyDescent="0.75">
      <c r="A1170" s="43" t="s">
        <v>19</v>
      </c>
      <c r="B1170" s="40"/>
      <c r="C1170" s="40"/>
      <c r="D1170" s="40"/>
      <c r="E1170" s="40"/>
      <c r="F1170" s="40"/>
      <c r="G1170" s="40"/>
      <c r="H1170" s="41"/>
      <c r="I1170" s="1" t="s">
        <v>120</v>
      </c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.75" customHeight="1" x14ac:dyDescent="0.45"/>
    <row r="1172" spans="1:26" ht="15.75" customHeight="1" x14ac:dyDescent="0.45"/>
    <row r="1173" spans="1:26" ht="15.75" customHeight="1" x14ac:dyDescent="0.45"/>
    <row r="1174" spans="1:26" ht="15.75" customHeight="1" x14ac:dyDescent="0.45"/>
    <row r="1175" spans="1:26" ht="15.75" customHeight="1" x14ac:dyDescent="0.45"/>
    <row r="1176" spans="1:26" ht="15.75" customHeight="1" x14ac:dyDescent="0.45"/>
    <row r="1177" spans="1:26" ht="15.75" customHeight="1" x14ac:dyDescent="0.45"/>
    <row r="1178" spans="1:26" ht="15.75" customHeight="1" x14ac:dyDescent="0.45"/>
    <row r="1179" spans="1:26" ht="15.75" customHeight="1" x14ac:dyDescent="0.45"/>
    <row r="1180" spans="1:26" ht="15.75" customHeight="1" x14ac:dyDescent="0.45"/>
    <row r="1181" spans="1:26" ht="15.75" customHeight="1" x14ac:dyDescent="0.45"/>
    <row r="1182" spans="1:26" ht="15.75" customHeight="1" x14ac:dyDescent="0.75">
      <c r="A1182" s="43" t="s">
        <v>0</v>
      </c>
      <c r="B1182" s="40"/>
      <c r="C1182" s="40"/>
      <c r="D1182" s="40"/>
      <c r="E1182" s="40"/>
      <c r="F1182" s="40"/>
      <c r="G1182" s="40"/>
      <c r="H1182" s="41"/>
      <c r="I1182" s="1" t="s">
        <v>120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.75" customHeight="1" x14ac:dyDescent="0.75">
      <c r="A1183" s="43" t="s">
        <v>221</v>
      </c>
      <c r="B1183" s="40"/>
      <c r="C1183" s="40"/>
      <c r="D1183" s="40"/>
      <c r="E1183" s="40"/>
      <c r="F1183" s="40"/>
      <c r="G1183" s="40"/>
      <c r="H1183" s="41"/>
      <c r="I1183" s="1" t="s">
        <v>120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.75" customHeight="1" x14ac:dyDescent="0.55000000000000004">
      <c r="A1184" s="2" t="s">
        <v>3</v>
      </c>
      <c r="B1184" s="2" t="s">
        <v>4</v>
      </c>
      <c r="C1184" s="2" t="s">
        <v>5</v>
      </c>
      <c r="D1184" s="2" t="s">
        <v>6</v>
      </c>
      <c r="E1184" s="2" t="s">
        <v>7</v>
      </c>
      <c r="F1184" s="3" t="s">
        <v>8</v>
      </c>
      <c r="G1184" s="2" t="s">
        <v>9</v>
      </c>
      <c r="H1184" s="4"/>
      <c r="I1184" s="1" t="s">
        <v>120</v>
      </c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.75" customHeight="1" x14ac:dyDescent="0.75">
      <c r="A1185" s="5">
        <v>1</v>
      </c>
      <c r="B1185" s="21" t="s">
        <v>149</v>
      </c>
      <c r="C1185" s="7">
        <v>2912</v>
      </c>
      <c r="D1185" s="6" t="s">
        <v>12</v>
      </c>
      <c r="E1185" s="6">
        <v>0.63</v>
      </c>
      <c r="F1185" s="8">
        <v>293000</v>
      </c>
      <c r="G1185" s="9">
        <f t="shared" ref="G1185:G1187" si="75">IFERROR(E1185*F1185,0)</f>
        <v>184590</v>
      </c>
      <c r="H1185" s="10"/>
      <c r="I1185" s="1" t="s">
        <v>120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.75" customHeight="1" x14ac:dyDescent="0.75">
      <c r="A1186" s="5">
        <v>2</v>
      </c>
      <c r="B1186" s="16" t="s">
        <v>82</v>
      </c>
      <c r="C1186" s="17">
        <v>7985</v>
      </c>
      <c r="D1186" s="16" t="s">
        <v>14</v>
      </c>
      <c r="E1186" s="16">
        <v>3</v>
      </c>
      <c r="F1186" s="11">
        <v>435000</v>
      </c>
      <c r="G1186" s="9">
        <f t="shared" si="75"/>
        <v>1305000</v>
      </c>
      <c r="H1186" s="10"/>
      <c r="I1186" s="1" t="s">
        <v>120</v>
      </c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.75" customHeight="1" x14ac:dyDescent="0.75">
      <c r="A1187" s="5">
        <v>3</v>
      </c>
      <c r="B1187" s="12" t="s">
        <v>15</v>
      </c>
      <c r="C1187" s="10"/>
      <c r="D1187" s="10"/>
      <c r="E1187" s="10"/>
      <c r="F1187" s="10"/>
      <c r="G1187" s="13">
        <f t="shared" si="75"/>
        <v>0</v>
      </c>
      <c r="H1187" s="10"/>
      <c r="I1187" s="1" t="s">
        <v>120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.75" customHeight="1" x14ac:dyDescent="0.75">
      <c r="A1188" s="39" t="s">
        <v>16</v>
      </c>
      <c r="B1188" s="40"/>
      <c r="C1188" s="40"/>
      <c r="D1188" s="40"/>
      <c r="E1188" s="40"/>
      <c r="F1188" s="40"/>
      <c r="G1188" s="41"/>
      <c r="H1188" s="14">
        <f>SUM(G1185:G1187)</f>
        <v>1489590</v>
      </c>
      <c r="I1188" s="1" t="s">
        <v>120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.75" customHeight="1" x14ac:dyDescent="0.75">
      <c r="A1189" s="39" t="s">
        <v>17</v>
      </c>
      <c r="B1189" s="40"/>
      <c r="C1189" s="40"/>
      <c r="D1189" s="40"/>
      <c r="E1189" s="40"/>
      <c r="F1189" s="40"/>
      <c r="G1189" s="41"/>
      <c r="H1189" s="14">
        <f>MAX(0,H1188-648000)</f>
        <v>841590</v>
      </c>
      <c r="I1189" s="1" t="s">
        <v>120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.75" customHeight="1" x14ac:dyDescent="0.75">
      <c r="A1190" s="42" t="s">
        <v>18</v>
      </c>
      <c r="B1190" s="40"/>
      <c r="C1190" s="40"/>
      <c r="D1190" s="40"/>
      <c r="E1190" s="40"/>
      <c r="F1190" s="40"/>
      <c r="G1190" s="41"/>
      <c r="H1190" s="15">
        <v>649000</v>
      </c>
      <c r="I1190" s="1" t="s">
        <v>120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.75" customHeight="1" x14ac:dyDescent="0.75">
      <c r="A1191" s="43" t="s">
        <v>19</v>
      </c>
      <c r="B1191" s="40"/>
      <c r="C1191" s="40"/>
      <c r="D1191" s="40"/>
      <c r="E1191" s="40"/>
      <c r="F1191" s="40"/>
      <c r="G1191" s="40"/>
      <c r="H1191" s="41"/>
      <c r="I1191" s="1" t="s">
        <v>120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.75" customHeight="1" x14ac:dyDescent="0.45"/>
    <row r="1193" spans="1:26" ht="15.75" customHeight="1" x14ac:dyDescent="0.45"/>
    <row r="1194" spans="1:26" ht="15.75" customHeight="1" x14ac:dyDescent="0.45"/>
    <row r="1195" spans="1:26" ht="15.75" customHeight="1" x14ac:dyDescent="0.45"/>
    <row r="1196" spans="1:26" ht="15.75" customHeight="1" x14ac:dyDescent="0.45"/>
    <row r="1197" spans="1:26" ht="15.75" customHeight="1" x14ac:dyDescent="0.45"/>
    <row r="1198" spans="1:26" ht="15.75" customHeight="1" x14ac:dyDescent="0.45"/>
    <row r="1199" spans="1:26" ht="15.75" customHeight="1" x14ac:dyDescent="0.45"/>
    <row r="1200" spans="1:26" ht="15.75" customHeight="1" x14ac:dyDescent="0.45"/>
    <row r="1201" spans="1:26" ht="15.75" customHeight="1" x14ac:dyDescent="0.45"/>
    <row r="1202" spans="1:26" ht="15.75" customHeight="1" x14ac:dyDescent="0.45"/>
    <row r="1203" spans="1:26" ht="15.75" customHeight="1" x14ac:dyDescent="0.45"/>
    <row r="1204" spans="1:26" ht="15.75" customHeight="1" x14ac:dyDescent="0.45"/>
    <row r="1205" spans="1:26" ht="15.75" customHeight="1" x14ac:dyDescent="0.45"/>
    <row r="1206" spans="1:26" ht="15.75" customHeight="1" x14ac:dyDescent="0.45"/>
    <row r="1207" spans="1:26" ht="15.75" customHeight="1" x14ac:dyDescent="0.45"/>
    <row r="1208" spans="1:26" ht="15.75" customHeight="1" x14ac:dyDescent="0.75">
      <c r="A1208" s="43" t="s">
        <v>0</v>
      </c>
      <c r="B1208" s="40"/>
      <c r="C1208" s="40"/>
      <c r="D1208" s="40"/>
      <c r="E1208" s="40"/>
      <c r="F1208" s="40"/>
      <c r="G1208" s="40"/>
      <c r="H1208" s="41"/>
      <c r="I1208" s="1" t="s">
        <v>120</v>
      </c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.75" customHeight="1" x14ac:dyDescent="0.75">
      <c r="A1209" s="43" t="s">
        <v>222</v>
      </c>
      <c r="B1209" s="40"/>
      <c r="C1209" s="40"/>
      <c r="D1209" s="40"/>
      <c r="E1209" s="40"/>
      <c r="F1209" s="40"/>
      <c r="G1209" s="40"/>
      <c r="H1209" s="41"/>
      <c r="I1209" s="1" t="s">
        <v>120</v>
      </c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.75" customHeight="1" x14ac:dyDescent="0.55000000000000004">
      <c r="A1210" s="2" t="s">
        <v>3</v>
      </c>
      <c r="B1210" s="2" t="s">
        <v>4</v>
      </c>
      <c r="C1210" s="2" t="s">
        <v>5</v>
      </c>
      <c r="D1210" s="2" t="s">
        <v>6</v>
      </c>
      <c r="E1210" s="2" t="s">
        <v>7</v>
      </c>
      <c r="F1210" s="3" t="s">
        <v>8</v>
      </c>
      <c r="G1210" s="2" t="s">
        <v>9</v>
      </c>
      <c r="H1210" s="4"/>
      <c r="I1210" s="1" t="s">
        <v>120</v>
      </c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.75" customHeight="1" x14ac:dyDescent="0.75">
      <c r="A1211" s="5">
        <v>1</v>
      </c>
      <c r="B1211" s="21" t="s">
        <v>223</v>
      </c>
      <c r="C1211" s="7" t="s">
        <v>224</v>
      </c>
      <c r="D1211" s="6" t="s">
        <v>12</v>
      </c>
      <c r="E1211" s="6">
        <v>1.95</v>
      </c>
      <c r="F1211" s="8">
        <v>293000</v>
      </c>
      <c r="G1211" s="9">
        <f t="shared" ref="G1211:G1213" si="76">IFERROR(E1211*F1211,0)</f>
        <v>571350</v>
      </c>
      <c r="H1211" s="10"/>
      <c r="I1211" s="1" t="s">
        <v>120</v>
      </c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.75" customHeight="1" x14ac:dyDescent="0.75">
      <c r="A1212" s="5">
        <v>2</v>
      </c>
      <c r="B1212" s="16" t="s">
        <v>65</v>
      </c>
      <c r="C1212" s="17">
        <v>1046</v>
      </c>
      <c r="D1212" s="16" t="s">
        <v>14</v>
      </c>
      <c r="E1212" s="16">
        <v>1.5</v>
      </c>
      <c r="F1212" s="11">
        <v>435000</v>
      </c>
      <c r="G1212" s="9">
        <f t="shared" si="76"/>
        <v>652500</v>
      </c>
      <c r="H1212" s="10"/>
      <c r="I1212" s="1" t="s">
        <v>120</v>
      </c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.75" customHeight="1" x14ac:dyDescent="0.75">
      <c r="A1213" s="5">
        <v>3</v>
      </c>
      <c r="B1213" s="12" t="s">
        <v>15</v>
      </c>
      <c r="C1213" s="10"/>
      <c r="D1213" s="10"/>
      <c r="E1213" s="10"/>
      <c r="F1213" s="10"/>
      <c r="G1213" s="13">
        <f t="shared" si="76"/>
        <v>0</v>
      </c>
      <c r="H1213" s="10"/>
      <c r="I1213" s="1" t="s">
        <v>120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.75" customHeight="1" x14ac:dyDescent="0.75">
      <c r="A1214" s="39" t="s">
        <v>16</v>
      </c>
      <c r="B1214" s="40"/>
      <c r="C1214" s="40"/>
      <c r="D1214" s="40"/>
      <c r="E1214" s="40"/>
      <c r="F1214" s="40"/>
      <c r="G1214" s="41"/>
      <c r="H1214" s="14">
        <f>SUM(G1211:G1213)</f>
        <v>1223850</v>
      </c>
      <c r="I1214" s="1" t="s">
        <v>120</v>
      </c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.75" customHeight="1" x14ac:dyDescent="0.75">
      <c r="A1215" s="39" t="s">
        <v>17</v>
      </c>
      <c r="B1215" s="40"/>
      <c r="C1215" s="40"/>
      <c r="D1215" s="40"/>
      <c r="E1215" s="40"/>
      <c r="F1215" s="40"/>
      <c r="G1215" s="41"/>
      <c r="H1215" s="14">
        <f>MAX(0,H1214-648000)</f>
        <v>575850</v>
      </c>
      <c r="I1215" s="1" t="s">
        <v>120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.75" customHeight="1" x14ac:dyDescent="0.75">
      <c r="A1216" s="42" t="s">
        <v>18</v>
      </c>
      <c r="B1216" s="40"/>
      <c r="C1216" s="40"/>
      <c r="D1216" s="40"/>
      <c r="E1216" s="40"/>
      <c r="F1216" s="40"/>
      <c r="G1216" s="41"/>
      <c r="H1216" s="15">
        <v>649000</v>
      </c>
      <c r="I1216" s="1" t="s">
        <v>120</v>
      </c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.75" customHeight="1" x14ac:dyDescent="0.75">
      <c r="A1217" s="43" t="s">
        <v>19</v>
      </c>
      <c r="B1217" s="40"/>
      <c r="C1217" s="40"/>
      <c r="D1217" s="40"/>
      <c r="E1217" s="40"/>
      <c r="F1217" s="40"/>
      <c r="G1217" s="40"/>
      <c r="H1217" s="41"/>
      <c r="I1217" s="1" t="s">
        <v>120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.75" customHeight="1" x14ac:dyDescent="0.45"/>
    <row r="1219" spans="1:26" ht="15.75" customHeight="1" x14ac:dyDescent="0.45"/>
    <row r="1220" spans="1:26" ht="15.75" customHeight="1" x14ac:dyDescent="0.45"/>
    <row r="1221" spans="1:26" ht="15.75" customHeight="1" x14ac:dyDescent="0.45"/>
    <row r="1222" spans="1:26" ht="15.75" customHeight="1" x14ac:dyDescent="0.45"/>
    <row r="1223" spans="1:26" ht="15.75" customHeight="1" x14ac:dyDescent="0.45"/>
    <row r="1224" spans="1:26" ht="15.75" customHeight="1" x14ac:dyDescent="0.45"/>
    <row r="1225" spans="1:26" ht="15.75" customHeight="1" x14ac:dyDescent="0.45"/>
    <row r="1226" spans="1:26" ht="15.75" customHeight="1" x14ac:dyDescent="0.75">
      <c r="A1226" s="43" t="s">
        <v>0</v>
      </c>
      <c r="B1226" s="40"/>
      <c r="C1226" s="40"/>
      <c r="D1226" s="40"/>
      <c r="E1226" s="40"/>
      <c r="F1226" s="40"/>
      <c r="G1226" s="40"/>
      <c r="H1226" s="41"/>
      <c r="I1226" s="1" t="s">
        <v>120</v>
      </c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.75" customHeight="1" x14ac:dyDescent="0.75">
      <c r="A1227" s="43" t="s">
        <v>225</v>
      </c>
      <c r="B1227" s="40"/>
      <c r="C1227" s="40"/>
      <c r="D1227" s="40"/>
      <c r="E1227" s="40"/>
      <c r="F1227" s="40"/>
      <c r="G1227" s="40"/>
      <c r="H1227" s="41"/>
      <c r="I1227" s="1" t="s">
        <v>120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.75" customHeight="1" x14ac:dyDescent="0.55000000000000004">
      <c r="A1228" s="2" t="s">
        <v>3</v>
      </c>
      <c r="B1228" s="2" t="s">
        <v>4</v>
      </c>
      <c r="C1228" s="2" t="s">
        <v>5</v>
      </c>
      <c r="D1228" s="2" t="s">
        <v>6</v>
      </c>
      <c r="E1228" s="2" t="s">
        <v>7</v>
      </c>
      <c r="F1228" s="3" t="s">
        <v>8</v>
      </c>
      <c r="G1228" s="2" t="s">
        <v>9</v>
      </c>
      <c r="H1228" s="4"/>
      <c r="I1228" s="1" t="s">
        <v>120</v>
      </c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.75" customHeight="1" x14ac:dyDescent="0.75">
      <c r="A1229" s="5">
        <v>1</v>
      </c>
      <c r="B1229" s="21" t="s">
        <v>226</v>
      </c>
      <c r="C1229" s="7">
        <v>8103</v>
      </c>
      <c r="D1229" s="6" t="s">
        <v>12</v>
      </c>
      <c r="E1229" s="6">
        <v>2.5</v>
      </c>
      <c r="F1229" s="8">
        <v>293000</v>
      </c>
      <c r="G1229" s="9">
        <f t="shared" ref="G1229:G1231" si="77">IFERROR(E1229*F1229,0)</f>
        <v>732500</v>
      </c>
      <c r="H1229" s="10"/>
      <c r="I1229" s="1" t="s">
        <v>120</v>
      </c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.75" customHeight="1" x14ac:dyDescent="0.75">
      <c r="A1230" s="5">
        <v>2</v>
      </c>
      <c r="B1230" s="16" t="s">
        <v>227</v>
      </c>
      <c r="C1230" s="17">
        <v>1528</v>
      </c>
      <c r="D1230" s="16" t="s">
        <v>14</v>
      </c>
      <c r="E1230" s="16">
        <v>1</v>
      </c>
      <c r="F1230" s="11">
        <v>435000</v>
      </c>
      <c r="G1230" s="9">
        <f t="shared" si="77"/>
        <v>435000</v>
      </c>
      <c r="H1230" s="10"/>
      <c r="I1230" s="1" t="s">
        <v>120</v>
      </c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.75" customHeight="1" x14ac:dyDescent="0.75">
      <c r="A1231" s="5">
        <v>3</v>
      </c>
      <c r="B1231" s="12" t="s">
        <v>15</v>
      </c>
      <c r="C1231" s="10"/>
      <c r="D1231" s="10"/>
      <c r="E1231" s="10"/>
      <c r="F1231" s="10"/>
      <c r="G1231" s="13">
        <f t="shared" si="77"/>
        <v>0</v>
      </c>
      <c r="H1231" s="10"/>
      <c r="I1231" s="1" t="s">
        <v>120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.75" customHeight="1" x14ac:dyDescent="0.75">
      <c r="A1232" s="39" t="s">
        <v>16</v>
      </c>
      <c r="B1232" s="40"/>
      <c r="C1232" s="40"/>
      <c r="D1232" s="40"/>
      <c r="E1232" s="40"/>
      <c r="F1232" s="40"/>
      <c r="G1232" s="41"/>
      <c r="H1232" s="14">
        <f>SUM(G1229:G1231)</f>
        <v>1167500</v>
      </c>
      <c r="I1232" s="1" t="s">
        <v>120</v>
      </c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.75" customHeight="1" x14ac:dyDescent="0.75">
      <c r="A1233" s="39" t="s">
        <v>17</v>
      </c>
      <c r="B1233" s="40"/>
      <c r="C1233" s="40"/>
      <c r="D1233" s="40"/>
      <c r="E1233" s="40"/>
      <c r="F1233" s="40"/>
      <c r="G1233" s="41"/>
      <c r="H1233" s="14">
        <f>MAX(0,H1232-648000)</f>
        <v>519500</v>
      </c>
      <c r="I1233" s="1" t="s">
        <v>120</v>
      </c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.75" customHeight="1" x14ac:dyDescent="0.75">
      <c r="A1234" s="42" t="s">
        <v>18</v>
      </c>
      <c r="B1234" s="40"/>
      <c r="C1234" s="40"/>
      <c r="D1234" s="40"/>
      <c r="E1234" s="40"/>
      <c r="F1234" s="40"/>
      <c r="G1234" s="41"/>
      <c r="H1234" s="15">
        <v>649000</v>
      </c>
      <c r="I1234" s="1" t="s">
        <v>120</v>
      </c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.75" customHeight="1" x14ac:dyDescent="0.75">
      <c r="A1235" s="43" t="s">
        <v>19</v>
      </c>
      <c r="B1235" s="40"/>
      <c r="C1235" s="40"/>
      <c r="D1235" s="40"/>
      <c r="E1235" s="40"/>
      <c r="F1235" s="40"/>
      <c r="G1235" s="40"/>
      <c r="H1235" s="41"/>
      <c r="I1235" s="1" t="s">
        <v>120</v>
      </c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.75" customHeight="1" x14ac:dyDescent="0.45"/>
    <row r="1237" spans="1:26" ht="15.75" customHeight="1" x14ac:dyDescent="0.45"/>
    <row r="1238" spans="1:26" ht="15.75" customHeight="1" x14ac:dyDescent="0.45"/>
    <row r="1239" spans="1:26" ht="15.75" customHeight="1" x14ac:dyDescent="0.45"/>
    <row r="1240" spans="1:26" ht="15.75" customHeight="1" x14ac:dyDescent="0.45"/>
    <row r="1241" spans="1:26" ht="15.75" customHeight="1" x14ac:dyDescent="0.45"/>
    <row r="1242" spans="1:26" ht="15.75" customHeight="1" x14ac:dyDescent="0.45"/>
    <row r="1243" spans="1:26" ht="15.75" customHeight="1" x14ac:dyDescent="0.45"/>
    <row r="1244" spans="1:26" ht="15.75" customHeight="1" x14ac:dyDescent="0.75">
      <c r="A1244" s="43" t="s">
        <v>0</v>
      </c>
      <c r="B1244" s="40"/>
      <c r="C1244" s="40"/>
      <c r="D1244" s="40"/>
      <c r="E1244" s="40"/>
      <c r="F1244" s="40"/>
      <c r="G1244" s="40"/>
      <c r="H1244" s="41"/>
      <c r="I1244" s="1" t="s">
        <v>120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.75" customHeight="1" x14ac:dyDescent="0.75">
      <c r="A1245" s="43" t="s">
        <v>228</v>
      </c>
      <c r="B1245" s="40"/>
      <c r="C1245" s="40"/>
      <c r="D1245" s="40"/>
      <c r="E1245" s="40"/>
      <c r="F1245" s="40"/>
      <c r="G1245" s="40"/>
      <c r="H1245" s="41"/>
      <c r="I1245" s="1" t="s">
        <v>120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.75" customHeight="1" x14ac:dyDescent="0.55000000000000004">
      <c r="A1246" s="2" t="s">
        <v>3</v>
      </c>
      <c r="B1246" s="2" t="s">
        <v>4</v>
      </c>
      <c r="C1246" s="2" t="s">
        <v>5</v>
      </c>
      <c r="D1246" s="2" t="s">
        <v>6</v>
      </c>
      <c r="E1246" s="2" t="s">
        <v>7</v>
      </c>
      <c r="F1246" s="3" t="s">
        <v>8</v>
      </c>
      <c r="G1246" s="2" t="s">
        <v>9</v>
      </c>
      <c r="H1246" s="4"/>
      <c r="I1246" s="1" t="s">
        <v>120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.75" customHeight="1" x14ac:dyDescent="0.75">
      <c r="A1247" s="5">
        <v>1</v>
      </c>
      <c r="B1247" s="21" t="s">
        <v>229</v>
      </c>
      <c r="C1247" s="7">
        <v>1972</v>
      </c>
      <c r="D1247" s="6" t="s">
        <v>12</v>
      </c>
      <c r="E1247" s="6">
        <v>2.4500000000000002</v>
      </c>
      <c r="F1247" s="8">
        <v>293000</v>
      </c>
      <c r="G1247" s="9">
        <f t="shared" ref="G1247:G1249" si="78">IFERROR(E1247*F1247,0)</f>
        <v>717850</v>
      </c>
      <c r="H1247" s="10"/>
      <c r="I1247" s="1" t="s">
        <v>120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.75" customHeight="1" x14ac:dyDescent="0.75">
      <c r="A1248" s="5">
        <v>2</v>
      </c>
      <c r="B1248" s="16" t="s">
        <v>728</v>
      </c>
      <c r="C1248" s="17" t="s">
        <v>230</v>
      </c>
      <c r="D1248" s="16" t="s">
        <v>14</v>
      </c>
      <c r="E1248" s="16">
        <v>1</v>
      </c>
      <c r="F1248" s="11">
        <v>435000</v>
      </c>
      <c r="G1248" s="9">
        <f t="shared" si="78"/>
        <v>435000</v>
      </c>
      <c r="H1248" s="10"/>
      <c r="I1248" s="1" t="s">
        <v>120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.75" customHeight="1" x14ac:dyDescent="0.75">
      <c r="A1249" s="5">
        <v>3</v>
      </c>
      <c r="B1249" s="12" t="s">
        <v>15</v>
      </c>
      <c r="C1249" s="10"/>
      <c r="D1249" s="10"/>
      <c r="E1249" s="10"/>
      <c r="F1249" s="10"/>
      <c r="G1249" s="13">
        <f t="shared" si="78"/>
        <v>0</v>
      </c>
      <c r="H1249" s="10"/>
      <c r="I1249" s="1" t="s">
        <v>120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.75" customHeight="1" x14ac:dyDescent="0.75">
      <c r="A1250" s="39" t="s">
        <v>16</v>
      </c>
      <c r="B1250" s="40"/>
      <c r="C1250" s="40"/>
      <c r="D1250" s="40"/>
      <c r="E1250" s="40"/>
      <c r="F1250" s="40"/>
      <c r="G1250" s="41"/>
      <c r="H1250" s="14">
        <f>SUM(G1247:G1249)</f>
        <v>1152850</v>
      </c>
      <c r="I1250" s="1" t="s">
        <v>120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.75" customHeight="1" x14ac:dyDescent="0.75">
      <c r="A1251" s="39" t="s">
        <v>17</v>
      </c>
      <c r="B1251" s="40"/>
      <c r="C1251" s="40"/>
      <c r="D1251" s="40"/>
      <c r="E1251" s="40"/>
      <c r="F1251" s="40"/>
      <c r="G1251" s="41"/>
      <c r="H1251" s="14">
        <f>MAX(0,H1250-648000)</f>
        <v>504850</v>
      </c>
      <c r="I1251" s="1" t="s">
        <v>120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.75" customHeight="1" x14ac:dyDescent="0.75">
      <c r="A1252" s="42" t="s">
        <v>18</v>
      </c>
      <c r="B1252" s="40"/>
      <c r="C1252" s="40"/>
      <c r="D1252" s="40"/>
      <c r="E1252" s="40"/>
      <c r="F1252" s="40"/>
      <c r="G1252" s="41"/>
      <c r="H1252" s="15">
        <v>649000</v>
      </c>
      <c r="I1252" s="1" t="s">
        <v>120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.75" customHeight="1" x14ac:dyDescent="0.75">
      <c r="A1253" s="43" t="s">
        <v>19</v>
      </c>
      <c r="B1253" s="40"/>
      <c r="C1253" s="40"/>
      <c r="D1253" s="40"/>
      <c r="E1253" s="40"/>
      <c r="F1253" s="40"/>
      <c r="G1253" s="40"/>
      <c r="H1253" s="41"/>
      <c r="I1253" s="1" t="s">
        <v>120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.75" customHeight="1" x14ac:dyDescent="0.45"/>
    <row r="1255" spans="1:26" ht="15.75" customHeight="1" x14ac:dyDescent="0.45"/>
    <row r="1256" spans="1:26" ht="15.75" customHeight="1" x14ac:dyDescent="0.45"/>
    <row r="1257" spans="1:26" ht="15.75" customHeight="1" x14ac:dyDescent="0.45"/>
    <row r="1258" spans="1:26" ht="15.75" customHeight="1" x14ac:dyDescent="0.45"/>
    <row r="1259" spans="1:26" ht="15.75" customHeight="1" x14ac:dyDescent="0.45"/>
    <row r="1260" spans="1:26" ht="15.75" customHeight="1" x14ac:dyDescent="0.45"/>
    <row r="1261" spans="1:26" ht="15.75" customHeight="1" x14ac:dyDescent="0.45"/>
    <row r="1262" spans="1:26" ht="15.75" customHeight="1" x14ac:dyDescent="0.45"/>
    <row r="1263" spans="1:26" ht="15.75" customHeight="1" x14ac:dyDescent="0.45"/>
    <row r="1264" spans="1:26" ht="15.75" customHeight="1" x14ac:dyDescent="0.45"/>
    <row r="1265" spans="1:26" ht="15.75" customHeight="1" x14ac:dyDescent="0.45"/>
    <row r="1266" spans="1:26" ht="15.75" customHeight="1" x14ac:dyDescent="0.75">
      <c r="A1266" s="43" t="s">
        <v>0</v>
      </c>
      <c r="B1266" s="40"/>
      <c r="C1266" s="40"/>
      <c r="D1266" s="40"/>
      <c r="E1266" s="40"/>
      <c r="F1266" s="40"/>
      <c r="G1266" s="40"/>
      <c r="H1266" s="41"/>
      <c r="I1266" s="1" t="s">
        <v>120</v>
      </c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.75" customHeight="1" x14ac:dyDescent="0.75">
      <c r="A1267" s="43" t="s">
        <v>231</v>
      </c>
      <c r="B1267" s="40"/>
      <c r="C1267" s="40"/>
      <c r="D1267" s="40"/>
      <c r="E1267" s="40"/>
      <c r="F1267" s="40"/>
      <c r="G1267" s="40"/>
      <c r="H1267" s="41"/>
      <c r="I1267" s="1" t="s">
        <v>120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.75" customHeight="1" x14ac:dyDescent="0.55000000000000004">
      <c r="A1268" s="2" t="s">
        <v>3</v>
      </c>
      <c r="B1268" s="2" t="s">
        <v>4</v>
      </c>
      <c r="C1268" s="2" t="s">
        <v>5</v>
      </c>
      <c r="D1268" s="2" t="s">
        <v>6</v>
      </c>
      <c r="E1268" s="2" t="s">
        <v>7</v>
      </c>
      <c r="F1268" s="3" t="s">
        <v>8</v>
      </c>
      <c r="G1268" s="2" t="s">
        <v>9</v>
      </c>
      <c r="H1268" s="4"/>
      <c r="I1268" s="1" t="s">
        <v>120</v>
      </c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.75" customHeight="1" x14ac:dyDescent="0.75">
      <c r="A1269" s="5">
        <v>1</v>
      </c>
      <c r="B1269" s="21" t="s">
        <v>89</v>
      </c>
      <c r="C1269" s="7" t="s">
        <v>232</v>
      </c>
      <c r="D1269" s="6" t="s">
        <v>12</v>
      </c>
      <c r="E1269" s="6">
        <v>1.7</v>
      </c>
      <c r="F1269" s="8">
        <v>293000</v>
      </c>
      <c r="G1269" s="9">
        <f t="shared" ref="G1269:G1271" si="79">IFERROR(E1269*F1269,0)</f>
        <v>498100</v>
      </c>
      <c r="H1269" s="10"/>
      <c r="I1269" s="1" t="s">
        <v>120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.75" customHeight="1" x14ac:dyDescent="0.75">
      <c r="A1270" s="5">
        <v>2</v>
      </c>
      <c r="B1270" s="16" t="s">
        <v>113</v>
      </c>
      <c r="C1270" s="17" t="s">
        <v>233</v>
      </c>
      <c r="D1270" s="16" t="s">
        <v>14</v>
      </c>
      <c r="E1270" s="16">
        <v>1.69</v>
      </c>
      <c r="F1270" s="11">
        <v>435000</v>
      </c>
      <c r="G1270" s="9">
        <f t="shared" si="79"/>
        <v>735150</v>
      </c>
      <c r="H1270" s="10"/>
      <c r="I1270" s="1" t="s">
        <v>120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.75" customHeight="1" x14ac:dyDescent="0.75">
      <c r="A1271" s="5">
        <v>3</v>
      </c>
      <c r="B1271" s="12" t="s">
        <v>15</v>
      </c>
      <c r="C1271" s="10"/>
      <c r="D1271" s="10"/>
      <c r="E1271" s="10"/>
      <c r="F1271" s="10"/>
      <c r="G1271" s="13">
        <f t="shared" si="79"/>
        <v>0</v>
      </c>
      <c r="H1271" s="10"/>
      <c r="I1271" s="1" t="s">
        <v>120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.75" customHeight="1" x14ac:dyDescent="0.75">
      <c r="A1272" s="39" t="s">
        <v>16</v>
      </c>
      <c r="B1272" s="40"/>
      <c r="C1272" s="40"/>
      <c r="D1272" s="40"/>
      <c r="E1272" s="40"/>
      <c r="F1272" s="40"/>
      <c r="G1272" s="41"/>
      <c r="H1272" s="14">
        <f>SUM(G1269:G1271)</f>
        <v>1233250</v>
      </c>
      <c r="I1272" s="1" t="s">
        <v>120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.75" customHeight="1" x14ac:dyDescent="0.75">
      <c r="A1273" s="39" t="s">
        <v>17</v>
      </c>
      <c r="B1273" s="40"/>
      <c r="C1273" s="40"/>
      <c r="D1273" s="40"/>
      <c r="E1273" s="40"/>
      <c r="F1273" s="40"/>
      <c r="G1273" s="41"/>
      <c r="H1273" s="14">
        <f>MAX(0,H1272-648000)</f>
        <v>585250</v>
      </c>
      <c r="I1273" s="1" t="s">
        <v>120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.75" customHeight="1" x14ac:dyDescent="0.75">
      <c r="A1274" s="42" t="s">
        <v>18</v>
      </c>
      <c r="B1274" s="40"/>
      <c r="C1274" s="40"/>
      <c r="D1274" s="40"/>
      <c r="E1274" s="40"/>
      <c r="F1274" s="40"/>
      <c r="G1274" s="41"/>
      <c r="H1274" s="15">
        <v>649000</v>
      </c>
      <c r="I1274" s="1" t="s">
        <v>120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.75" customHeight="1" x14ac:dyDescent="0.75">
      <c r="A1275" s="43" t="s">
        <v>19</v>
      </c>
      <c r="B1275" s="40"/>
      <c r="C1275" s="40"/>
      <c r="D1275" s="40"/>
      <c r="E1275" s="40"/>
      <c r="F1275" s="40"/>
      <c r="G1275" s="40"/>
      <c r="H1275" s="41"/>
      <c r="I1275" s="1" t="s">
        <v>120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.75" customHeight="1" x14ac:dyDescent="0.45"/>
    <row r="1277" spans="1:26" ht="15.75" customHeight="1" x14ac:dyDescent="0.45"/>
    <row r="1278" spans="1:26" ht="15.75" customHeight="1" x14ac:dyDescent="0.45"/>
    <row r="1279" spans="1:26" ht="15.75" customHeight="1" x14ac:dyDescent="0.45"/>
    <row r="1280" spans="1:26" ht="15.75" customHeight="1" x14ac:dyDescent="0.45"/>
    <row r="1281" spans="1:26" ht="15.75" customHeight="1" x14ac:dyDescent="0.45"/>
    <row r="1282" spans="1:26" ht="15.75" customHeight="1" x14ac:dyDescent="0.45"/>
    <row r="1283" spans="1:26" ht="15.75" customHeight="1" x14ac:dyDescent="0.45"/>
    <row r="1284" spans="1:26" ht="15.75" customHeight="1" x14ac:dyDescent="0.45"/>
    <row r="1285" spans="1:26" ht="15.75" customHeight="1" x14ac:dyDescent="0.45"/>
    <row r="1286" spans="1:26" ht="15.75" customHeight="1" x14ac:dyDescent="0.45"/>
    <row r="1287" spans="1:26" ht="15.75" customHeight="1" x14ac:dyDescent="0.75">
      <c r="A1287" s="43" t="s">
        <v>0</v>
      </c>
      <c r="B1287" s="40"/>
      <c r="C1287" s="40"/>
      <c r="D1287" s="40"/>
      <c r="E1287" s="40"/>
      <c r="F1287" s="40"/>
      <c r="G1287" s="40"/>
      <c r="H1287" s="41"/>
      <c r="I1287" s="1" t="s">
        <v>120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.75" customHeight="1" x14ac:dyDescent="0.75">
      <c r="A1288" s="43" t="s">
        <v>234</v>
      </c>
      <c r="B1288" s="40"/>
      <c r="C1288" s="40"/>
      <c r="D1288" s="40"/>
      <c r="E1288" s="40"/>
      <c r="F1288" s="40"/>
      <c r="G1288" s="40"/>
      <c r="H1288" s="41"/>
      <c r="I1288" s="1" t="s">
        <v>120</v>
      </c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.75" customHeight="1" x14ac:dyDescent="0.55000000000000004">
      <c r="A1289" s="2" t="s">
        <v>3</v>
      </c>
      <c r="B1289" s="2" t="s">
        <v>4</v>
      </c>
      <c r="C1289" s="2" t="s">
        <v>5</v>
      </c>
      <c r="D1289" s="2" t="s">
        <v>6</v>
      </c>
      <c r="E1289" s="2" t="s">
        <v>7</v>
      </c>
      <c r="F1289" s="3" t="s">
        <v>8</v>
      </c>
      <c r="G1289" s="2" t="s">
        <v>9</v>
      </c>
      <c r="H1289" s="4"/>
      <c r="I1289" s="1" t="s">
        <v>120</v>
      </c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.75" customHeight="1" x14ac:dyDescent="0.75">
      <c r="A1290" s="5">
        <v>1</v>
      </c>
      <c r="B1290" s="21" t="s">
        <v>235</v>
      </c>
      <c r="C1290" s="7">
        <v>1096</v>
      </c>
      <c r="D1290" s="6" t="s">
        <v>12</v>
      </c>
      <c r="E1290" s="6">
        <v>2.2999999999999998</v>
      </c>
      <c r="F1290" s="8">
        <v>293000</v>
      </c>
      <c r="G1290" s="9">
        <f t="shared" ref="G1290:G1292" si="80">IFERROR(E1290*F1290,0)</f>
        <v>673900</v>
      </c>
      <c r="H1290" s="10"/>
      <c r="I1290" s="1" t="s">
        <v>120</v>
      </c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.75" customHeight="1" x14ac:dyDescent="0.75">
      <c r="A1291" s="5">
        <v>2</v>
      </c>
      <c r="B1291" s="16" t="s">
        <v>35</v>
      </c>
      <c r="C1291" s="17">
        <v>1935</v>
      </c>
      <c r="D1291" s="16" t="s">
        <v>14</v>
      </c>
      <c r="E1291" s="16">
        <v>1.3</v>
      </c>
      <c r="F1291" s="11">
        <v>435000</v>
      </c>
      <c r="G1291" s="9">
        <f t="shared" si="80"/>
        <v>565500</v>
      </c>
      <c r="H1291" s="10"/>
      <c r="I1291" s="1" t="s">
        <v>120</v>
      </c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.75" customHeight="1" x14ac:dyDescent="0.75">
      <c r="A1292" s="5">
        <v>3</v>
      </c>
      <c r="B1292" s="12" t="s">
        <v>15</v>
      </c>
      <c r="C1292" s="10"/>
      <c r="D1292" s="10"/>
      <c r="E1292" s="10"/>
      <c r="F1292" s="10"/>
      <c r="G1292" s="13">
        <f t="shared" si="80"/>
        <v>0</v>
      </c>
      <c r="H1292" s="10"/>
      <c r="I1292" s="1" t="s">
        <v>120</v>
      </c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.75" customHeight="1" x14ac:dyDescent="0.75">
      <c r="A1293" s="39" t="s">
        <v>16</v>
      </c>
      <c r="B1293" s="40"/>
      <c r="C1293" s="40"/>
      <c r="D1293" s="40"/>
      <c r="E1293" s="40"/>
      <c r="F1293" s="40"/>
      <c r="G1293" s="41"/>
      <c r="H1293" s="14">
        <f>SUM(G1290:G1292)</f>
        <v>1239400</v>
      </c>
      <c r="I1293" s="1" t="s">
        <v>120</v>
      </c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.75" customHeight="1" x14ac:dyDescent="0.75">
      <c r="A1294" s="39" t="s">
        <v>17</v>
      </c>
      <c r="B1294" s="40"/>
      <c r="C1294" s="40"/>
      <c r="D1294" s="40"/>
      <c r="E1294" s="40"/>
      <c r="F1294" s="40"/>
      <c r="G1294" s="41"/>
      <c r="H1294" s="14">
        <f>MAX(0,H1293-648000)</f>
        <v>591400</v>
      </c>
      <c r="I1294" s="1" t="s">
        <v>120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.75" customHeight="1" x14ac:dyDescent="0.75">
      <c r="A1295" s="42" t="s">
        <v>18</v>
      </c>
      <c r="B1295" s="40"/>
      <c r="C1295" s="40"/>
      <c r="D1295" s="40"/>
      <c r="E1295" s="40"/>
      <c r="F1295" s="40"/>
      <c r="G1295" s="41"/>
      <c r="H1295" s="15">
        <v>649000</v>
      </c>
      <c r="I1295" s="1" t="s">
        <v>120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.75" customHeight="1" x14ac:dyDescent="0.75">
      <c r="A1296" s="43" t="s">
        <v>19</v>
      </c>
      <c r="B1296" s="40"/>
      <c r="C1296" s="40"/>
      <c r="D1296" s="40"/>
      <c r="E1296" s="40"/>
      <c r="F1296" s="40"/>
      <c r="G1296" s="40"/>
      <c r="H1296" s="41"/>
      <c r="I1296" s="1" t="s">
        <v>120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.75" customHeight="1" x14ac:dyDescent="0.45"/>
    <row r="1298" spans="1:26" ht="15.75" customHeight="1" x14ac:dyDescent="0.45"/>
    <row r="1299" spans="1:26" ht="15.75" customHeight="1" x14ac:dyDescent="0.45"/>
    <row r="1300" spans="1:26" ht="15.75" customHeight="1" x14ac:dyDescent="0.45"/>
    <row r="1301" spans="1:26" ht="15.75" customHeight="1" x14ac:dyDescent="0.45"/>
    <row r="1302" spans="1:26" ht="15.75" customHeight="1" x14ac:dyDescent="0.45"/>
    <row r="1303" spans="1:26" ht="15.75" customHeight="1" x14ac:dyDescent="0.45"/>
    <row r="1304" spans="1:26" ht="15.75" customHeight="1" x14ac:dyDescent="0.45"/>
    <row r="1305" spans="1:26" ht="15.75" customHeight="1" x14ac:dyDescent="0.75">
      <c r="A1305" s="43" t="s">
        <v>0</v>
      </c>
      <c r="B1305" s="40"/>
      <c r="C1305" s="40"/>
      <c r="D1305" s="40"/>
      <c r="E1305" s="40"/>
      <c r="F1305" s="40"/>
      <c r="G1305" s="40"/>
      <c r="H1305" s="41"/>
      <c r="I1305" s="1" t="s">
        <v>120</v>
      </c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.75" customHeight="1" x14ac:dyDescent="0.75">
      <c r="A1306" s="43" t="s">
        <v>236</v>
      </c>
      <c r="B1306" s="40"/>
      <c r="C1306" s="40"/>
      <c r="D1306" s="40"/>
      <c r="E1306" s="40"/>
      <c r="F1306" s="40"/>
      <c r="G1306" s="40"/>
      <c r="H1306" s="41"/>
      <c r="I1306" s="1" t="s">
        <v>120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.75" customHeight="1" x14ac:dyDescent="0.55000000000000004">
      <c r="A1307" s="2" t="s">
        <v>3</v>
      </c>
      <c r="B1307" s="2" t="s">
        <v>4</v>
      </c>
      <c r="C1307" s="2" t="s">
        <v>5</v>
      </c>
      <c r="D1307" s="2" t="s">
        <v>6</v>
      </c>
      <c r="E1307" s="2" t="s">
        <v>7</v>
      </c>
      <c r="F1307" s="3" t="s">
        <v>8</v>
      </c>
      <c r="G1307" s="2" t="s">
        <v>9</v>
      </c>
      <c r="H1307" s="4"/>
      <c r="I1307" s="1" t="s">
        <v>120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.75" customHeight="1" x14ac:dyDescent="0.75">
      <c r="A1308" s="5">
        <v>1</v>
      </c>
      <c r="B1308" s="21" t="s">
        <v>237</v>
      </c>
      <c r="C1308" s="7">
        <v>5587</v>
      </c>
      <c r="D1308" s="6" t="s">
        <v>12</v>
      </c>
      <c r="E1308" s="6">
        <v>2.42</v>
      </c>
      <c r="F1308" s="8">
        <v>293000</v>
      </c>
      <c r="G1308" s="9">
        <f t="shared" ref="G1308:G1310" si="81">IFERROR(E1308*F1308,0)</f>
        <v>709060</v>
      </c>
      <c r="H1308" s="10"/>
      <c r="I1308" s="1" t="s">
        <v>120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.75" customHeight="1" x14ac:dyDescent="0.75">
      <c r="A1309" s="5">
        <v>2</v>
      </c>
      <c r="B1309" s="16" t="s">
        <v>98</v>
      </c>
      <c r="C1309" s="17">
        <v>5596</v>
      </c>
      <c r="D1309" s="16" t="s">
        <v>14</v>
      </c>
      <c r="E1309" s="16">
        <v>1</v>
      </c>
      <c r="F1309" s="11">
        <v>435000</v>
      </c>
      <c r="G1309" s="9">
        <f t="shared" si="81"/>
        <v>435000</v>
      </c>
      <c r="H1309" s="10"/>
      <c r="I1309" s="1" t="s">
        <v>120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.75" customHeight="1" x14ac:dyDescent="0.75">
      <c r="A1310" s="5">
        <v>3</v>
      </c>
      <c r="B1310" s="12" t="s">
        <v>15</v>
      </c>
      <c r="C1310" s="10"/>
      <c r="D1310" s="10"/>
      <c r="E1310" s="10"/>
      <c r="F1310" s="10"/>
      <c r="G1310" s="13">
        <f t="shared" si="81"/>
        <v>0</v>
      </c>
      <c r="H1310" s="10"/>
      <c r="I1310" s="1" t="s">
        <v>120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.75" customHeight="1" x14ac:dyDescent="0.75">
      <c r="A1311" s="39" t="s">
        <v>16</v>
      </c>
      <c r="B1311" s="40"/>
      <c r="C1311" s="40"/>
      <c r="D1311" s="40"/>
      <c r="E1311" s="40"/>
      <c r="F1311" s="40"/>
      <c r="G1311" s="41"/>
      <c r="H1311" s="14">
        <f>SUM(G1308:G1310)</f>
        <v>1144060</v>
      </c>
      <c r="I1311" s="1" t="s">
        <v>120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.75" customHeight="1" x14ac:dyDescent="0.75">
      <c r="A1312" s="39" t="s">
        <v>17</v>
      </c>
      <c r="B1312" s="40"/>
      <c r="C1312" s="40"/>
      <c r="D1312" s="40"/>
      <c r="E1312" s="40"/>
      <c r="F1312" s="40"/>
      <c r="G1312" s="41"/>
      <c r="H1312" s="14">
        <f>MAX(0,H1311-648000)</f>
        <v>496060</v>
      </c>
      <c r="I1312" s="1" t="s">
        <v>120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.75" customHeight="1" x14ac:dyDescent="0.75">
      <c r="A1313" s="42" t="s">
        <v>18</v>
      </c>
      <c r="B1313" s="40"/>
      <c r="C1313" s="40"/>
      <c r="D1313" s="40"/>
      <c r="E1313" s="40"/>
      <c r="F1313" s="40"/>
      <c r="G1313" s="41"/>
      <c r="H1313" s="15">
        <v>649000</v>
      </c>
      <c r="I1313" s="1" t="s">
        <v>120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.75" customHeight="1" x14ac:dyDescent="0.75">
      <c r="A1314" s="43" t="s">
        <v>19</v>
      </c>
      <c r="B1314" s="40"/>
      <c r="C1314" s="40"/>
      <c r="D1314" s="40"/>
      <c r="E1314" s="40"/>
      <c r="F1314" s="40"/>
      <c r="G1314" s="40"/>
      <c r="H1314" s="41"/>
      <c r="I1314" s="1" t="s">
        <v>120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.75" customHeight="1" x14ac:dyDescent="0.45"/>
    <row r="1316" spans="1:26" ht="15.75" customHeight="1" x14ac:dyDescent="0.45"/>
    <row r="1317" spans="1:26" ht="15.75" customHeight="1" x14ac:dyDescent="0.45"/>
    <row r="1318" spans="1:26" ht="15.75" customHeight="1" x14ac:dyDescent="0.45"/>
    <row r="1319" spans="1:26" ht="15.75" customHeight="1" x14ac:dyDescent="0.75">
      <c r="A1319" s="43" t="s">
        <v>0</v>
      </c>
      <c r="B1319" s="40"/>
      <c r="C1319" s="40"/>
      <c r="D1319" s="40"/>
      <c r="E1319" s="40"/>
      <c r="F1319" s="40"/>
      <c r="G1319" s="40"/>
      <c r="H1319" s="41"/>
      <c r="I1319" s="1" t="s">
        <v>120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.75" customHeight="1" x14ac:dyDescent="0.75">
      <c r="A1320" s="43" t="s">
        <v>238</v>
      </c>
      <c r="B1320" s="40"/>
      <c r="C1320" s="40"/>
      <c r="D1320" s="40"/>
      <c r="E1320" s="40"/>
      <c r="F1320" s="40"/>
      <c r="G1320" s="40"/>
      <c r="H1320" s="41"/>
      <c r="I1320" s="1" t="s">
        <v>120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.75" customHeight="1" x14ac:dyDescent="0.55000000000000004">
      <c r="A1321" s="2" t="s">
        <v>3</v>
      </c>
      <c r="B1321" s="2" t="s">
        <v>4</v>
      </c>
      <c r="C1321" s="2" t="s">
        <v>5</v>
      </c>
      <c r="D1321" s="2" t="s">
        <v>6</v>
      </c>
      <c r="E1321" s="2" t="s">
        <v>7</v>
      </c>
      <c r="F1321" s="3" t="s">
        <v>8</v>
      </c>
      <c r="G1321" s="2" t="s">
        <v>9</v>
      </c>
      <c r="H1321" s="4"/>
      <c r="I1321" s="1" t="s">
        <v>120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.75" customHeight="1" x14ac:dyDescent="0.75">
      <c r="A1322" s="5">
        <v>1</v>
      </c>
      <c r="B1322" s="21" t="s">
        <v>35</v>
      </c>
      <c r="C1322" s="7">
        <v>1285</v>
      </c>
      <c r="D1322" s="6" t="s">
        <v>12</v>
      </c>
      <c r="E1322" s="6">
        <v>2</v>
      </c>
      <c r="F1322" s="8">
        <v>293000</v>
      </c>
      <c r="G1322" s="9">
        <f t="shared" ref="G1322:G1324" si="82">IFERROR(E1322*F1322,0)</f>
        <v>586000</v>
      </c>
      <c r="H1322" s="10"/>
      <c r="I1322" s="1" t="s">
        <v>120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.75" customHeight="1" x14ac:dyDescent="0.75">
      <c r="A1323" s="5">
        <v>2</v>
      </c>
      <c r="B1323" s="16" t="s">
        <v>147</v>
      </c>
      <c r="C1323" s="17">
        <v>1159</v>
      </c>
      <c r="D1323" s="16" t="s">
        <v>14</v>
      </c>
      <c r="E1323" s="16">
        <v>1.47</v>
      </c>
      <c r="F1323" s="11">
        <v>435000</v>
      </c>
      <c r="G1323" s="9">
        <f t="shared" si="82"/>
        <v>639450</v>
      </c>
      <c r="H1323" s="10"/>
      <c r="I1323" s="1" t="s">
        <v>120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.75" customHeight="1" x14ac:dyDescent="0.75">
      <c r="A1324" s="5">
        <v>3</v>
      </c>
      <c r="B1324" s="12" t="s">
        <v>15</v>
      </c>
      <c r="C1324" s="10"/>
      <c r="D1324" s="10"/>
      <c r="E1324" s="10"/>
      <c r="F1324" s="10"/>
      <c r="G1324" s="13">
        <f t="shared" si="82"/>
        <v>0</v>
      </c>
      <c r="H1324" s="10"/>
      <c r="I1324" s="1" t="s">
        <v>120</v>
      </c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.75" customHeight="1" x14ac:dyDescent="0.75">
      <c r="A1325" s="39" t="s">
        <v>16</v>
      </c>
      <c r="B1325" s="40"/>
      <c r="C1325" s="40"/>
      <c r="D1325" s="40"/>
      <c r="E1325" s="40"/>
      <c r="F1325" s="40"/>
      <c r="G1325" s="41"/>
      <c r="H1325" s="14">
        <f>SUM(G1322:G1324)</f>
        <v>1225450</v>
      </c>
      <c r="I1325" s="1" t="s">
        <v>120</v>
      </c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.75" customHeight="1" x14ac:dyDescent="0.75">
      <c r="A1326" s="39" t="s">
        <v>17</v>
      </c>
      <c r="B1326" s="40"/>
      <c r="C1326" s="40"/>
      <c r="D1326" s="40"/>
      <c r="E1326" s="40"/>
      <c r="F1326" s="40"/>
      <c r="G1326" s="41"/>
      <c r="H1326" s="14">
        <f>MAX(0,H1325-648000)</f>
        <v>577450</v>
      </c>
      <c r="I1326" s="1" t="s">
        <v>120</v>
      </c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.75" customHeight="1" x14ac:dyDescent="0.75">
      <c r="A1327" s="42" t="s">
        <v>18</v>
      </c>
      <c r="B1327" s="40"/>
      <c r="C1327" s="40"/>
      <c r="D1327" s="40"/>
      <c r="E1327" s="40"/>
      <c r="F1327" s="40"/>
      <c r="G1327" s="41"/>
      <c r="H1327" s="15">
        <v>649000</v>
      </c>
      <c r="I1327" s="1" t="s">
        <v>120</v>
      </c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.75" customHeight="1" x14ac:dyDescent="0.75">
      <c r="A1328" s="43" t="s">
        <v>19</v>
      </c>
      <c r="B1328" s="40"/>
      <c r="C1328" s="40"/>
      <c r="D1328" s="40"/>
      <c r="E1328" s="40"/>
      <c r="F1328" s="40"/>
      <c r="G1328" s="40"/>
      <c r="H1328" s="41"/>
      <c r="I1328" s="1" t="s">
        <v>120</v>
      </c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.75" customHeight="1" x14ac:dyDescent="0.45"/>
    <row r="1330" spans="1:26" ht="15.75" customHeight="1" x14ac:dyDescent="0.45"/>
    <row r="1331" spans="1:26" ht="15.75" customHeight="1" x14ac:dyDescent="0.45"/>
    <row r="1332" spans="1:26" ht="15.75" customHeight="1" x14ac:dyDescent="0.45"/>
    <row r="1333" spans="1:26" ht="15.75" customHeight="1" x14ac:dyDescent="0.45"/>
    <row r="1334" spans="1:26" ht="15.75" customHeight="1" x14ac:dyDescent="0.45"/>
    <row r="1335" spans="1:26" ht="15.75" customHeight="1" x14ac:dyDescent="0.45"/>
    <row r="1336" spans="1:26" ht="15.75" customHeight="1" x14ac:dyDescent="0.45"/>
    <row r="1337" spans="1:26" ht="15.75" customHeight="1" x14ac:dyDescent="0.75">
      <c r="A1337" s="43" t="s">
        <v>0</v>
      </c>
      <c r="B1337" s="40"/>
      <c r="C1337" s="40"/>
      <c r="D1337" s="40"/>
      <c r="E1337" s="40"/>
      <c r="F1337" s="40"/>
      <c r="G1337" s="40"/>
      <c r="H1337" s="41"/>
      <c r="I1337" s="1" t="s">
        <v>120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.75" customHeight="1" x14ac:dyDescent="0.75">
      <c r="A1338" s="43" t="s">
        <v>239</v>
      </c>
      <c r="B1338" s="40"/>
      <c r="C1338" s="40"/>
      <c r="D1338" s="40"/>
      <c r="E1338" s="40"/>
      <c r="F1338" s="40"/>
      <c r="G1338" s="40"/>
      <c r="H1338" s="41"/>
      <c r="I1338" s="1" t="s">
        <v>120</v>
      </c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.75" customHeight="1" x14ac:dyDescent="0.55000000000000004">
      <c r="A1339" s="2" t="s">
        <v>3</v>
      </c>
      <c r="B1339" s="2" t="s">
        <v>4</v>
      </c>
      <c r="C1339" s="2" t="s">
        <v>5</v>
      </c>
      <c r="D1339" s="2" t="s">
        <v>6</v>
      </c>
      <c r="E1339" s="2" t="s">
        <v>7</v>
      </c>
      <c r="F1339" s="3" t="s">
        <v>8</v>
      </c>
      <c r="G1339" s="2" t="s">
        <v>9</v>
      </c>
      <c r="H1339" s="4"/>
      <c r="I1339" s="1" t="s">
        <v>120</v>
      </c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.75" customHeight="1" x14ac:dyDescent="0.75">
      <c r="A1340" s="5">
        <v>1</v>
      </c>
      <c r="B1340" s="21" t="s">
        <v>240</v>
      </c>
      <c r="C1340" s="7">
        <v>1288</v>
      </c>
      <c r="D1340" s="6" t="s">
        <v>12</v>
      </c>
      <c r="E1340" s="6">
        <v>2</v>
      </c>
      <c r="F1340" s="8">
        <v>293000</v>
      </c>
      <c r="G1340" s="9">
        <f t="shared" ref="G1340:G1342" si="83">IFERROR(E1340*F1340,0)</f>
        <v>586000</v>
      </c>
      <c r="H1340" s="10"/>
      <c r="I1340" s="1" t="s">
        <v>120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5.75" customHeight="1" x14ac:dyDescent="0.75">
      <c r="A1341" s="5">
        <v>2</v>
      </c>
      <c r="B1341" s="16" t="s">
        <v>180</v>
      </c>
      <c r="C1341" s="17">
        <v>2600</v>
      </c>
      <c r="D1341" s="16" t="s">
        <v>14</v>
      </c>
      <c r="E1341" s="16">
        <v>1.46</v>
      </c>
      <c r="F1341" s="11">
        <v>435000</v>
      </c>
      <c r="G1341" s="9">
        <f t="shared" si="83"/>
        <v>635100</v>
      </c>
      <c r="H1341" s="10"/>
      <c r="I1341" s="1" t="s">
        <v>120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5.75" customHeight="1" x14ac:dyDescent="0.75">
      <c r="A1342" s="5">
        <v>3</v>
      </c>
      <c r="B1342" s="12" t="s">
        <v>15</v>
      </c>
      <c r="C1342" s="10"/>
      <c r="D1342" s="10"/>
      <c r="E1342" s="10"/>
      <c r="F1342" s="10"/>
      <c r="G1342" s="13">
        <f t="shared" si="83"/>
        <v>0</v>
      </c>
      <c r="H1342" s="10"/>
      <c r="I1342" s="1" t="s">
        <v>120</v>
      </c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5.75" customHeight="1" x14ac:dyDescent="0.75">
      <c r="A1343" s="39" t="s">
        <v>16</v>
      </c>
      <c r="B1343" s="40"/>
      <c r="C1343" s="40"/>
      <c r="D1343" s="40"/>
      <c r="E1343" s="40"/>
      <c r="F1343" s="40"/>
      <c r="G1343" s="41"/>
      <c r="H1343" s="14">
        <f>SUM(G1340:G1342)</f>
        <v>1221100</v>
      </c>
      <c r="I1343" s="1" t="s">
        <v>120</v>
      </c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5.75" customHeight="1" x14ac:dyDescent="0.75">
      <c r="A1344" s="39" t="s">
        <v>17</v>
      </c>
      <c r="B1344" s="40"/>
      <c r="C1344" s="40"/>
      <c r="D1344" s="40"/>
      <c r="E1344" s="40"/>
      <c r="F1344" s="40"/>
      <c r="G1344" s="41"/>
      <c r="H1344" s="14">
        <f>MAX(0,H1343-648000)</f>
        <v>573100</v>
      </c>
      <c r="I1344" s="1" t="s">
        <v>120</v>
      </c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5.75" customHeight="1" x14ac:dyDescent="0.75">
      <c r="A1345" s="42" t="s">
        <v>18</v>
      </c>
      <c r="B1345" s="40"/>
      <c r="C1345" s="40"/>
      <c r="D1345" s="40"/>
      <c r="E1345" s="40"/>
      <c r="F1345" s="40"/>
      <c r="G1345" s="41"/>
      <c r="H1345" s="15">
        <v>649000</v>
      </c>
      <c r="I1345" s="1" t="s">
        <v>120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5.75" customHeight="1" x14ac:dyDescent="0.75">
      <c r="A1346" s="43" t="s">
        <v>19</v>
      </c>
      <c r="B1346" s="40"/>
      <c r="C1346" s="40"/>
      <c r="D1346" s="40"/>
      <c r="E1346" s="40"/>
      <c r="F1346" s="40"/>
      <c r="G1346" s="40"/>
      <c r="H1346" s="41"/>
      <c r="I1346" s="1" t="s">
        <v>120</v>
      </c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5.75" customHeight="1" x14ac:dyDescent="0.45"/>
    <row r="1348" spans="1:26" ht="15.75" customHeight="1" x14ac:dyDescent="0.45"/>
    <row r="1349" spans="1:26" ht="15.75" customHeight="1" x14ac:dyDescent="0.45"/>
    <row r="1350" spans="1:26" ht="15.75" customHeight="1" x14ac:dyDescent="0.45"/>
    <row r="1351" spans="1:26" ht="15.75" customHeight="1" x14ac:dyDescent="0.45"/>
    <row r="1352" spans="1:26" ht="15.75" customHeight="1" x14ac:dyDescent="0.45"/>
    <row r="1353" spans="1:26" ht="15.75" customHeight="1" x14ac:dyDescent="0.75">
      <c r="A1353" s="43" t="s">
        <v>0</v>
      </c>
      <c r="B1353" s="40"/>
      <c r="C1353" s="40"/>
      <c r="D1353" s="40"/>
      <c r="E1353" s="40"/>
      <c r="F1353" s="40"/>
      <c r="G1353" s="40"/>
      <c r="H1353" s="41"/>
      <c r="I1353" s="1" t="s">
        <v>120</v>
      </c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5.75" customHeight="1" x14ac:dyDescent="0.75">
      <c r="A1354" s="43" t="s">
        <v>241</v>
      </c>
      <c r="B1354" s="40"/>
      <c r="C1354" s="40"/>
      <c r="D1354" s="40"/>
      <c r="E1354" s="40"/>
      <c r="F1354" s="40"/>
      <c r="G1354" s="40"/>
      <c r="H1354" s="41"/>
      <c r="I1354" s="1" t="s">
        <v>120</v>
      </c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5.75" customHeight="1" x14ac:dyDescent="0.55000000000000004">
      <c r="A1355" s="2" t="s">
        <v>3</v>
      </c>
      <c r="B1355" s="2" t="s">
        <v>4</v>
      </c>
      <c r="C1355" s="2" t="s">
        <v>5</v>
      </c>
      <c r="D1355" s="2" t="s">
        <v>6</v>
      </c>
      <c r="E1355" s="2" t="s">
        <v>7</v>
      </c>
      <c r="F1355" s="3" t="s">
        <v>8</v>
      </c>
      <c r="G1355" s="2" t="s">
        <v>9</v>
      </c>
      <c r="H1355" s="4"/>
      <c r="I1355" s="1" t="s">
        <v>120</v>
      </c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5.75" customHeight="1" x14ac:dyDescent="0.75">
      <c r="A1356" s="5">
        <v>1</v>
      </c>
      <c r="B1356" s="21" t="s">
        <v>235</v>
      </c>
      <c r="C1356" s="7">
        <v>732</v>
      </c>
      <c r="D1356" s="6" t="s">
        <v>12</v>
      </c>
      <c r="E1356" s="6">
        <v>1.8</v>
      </c>
      <c r="F1356" s="8">
        <v>293000</v>
      </c>
      <c r="G1356" s="9">
        <f t="shared" ref="G1356:G1358" si="84">IFERROR(E1356*F1356,0)</f>
        <v>527400</v>
      </c>
      <c r="H1356" s="10"/>
      <c r="I1356" s="1" t="s">
        <v>120</v>
      </c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5.75" customHeight="1" x14ac:dyDescent="0.75">
      <c r="A1357" s="5">
        <v>2</v>
      </c>
      <c r="B1357" s="16" t="s">
        <v>13</v>
      </c>
      <c r="C1357" s="17">
        <v>1820</v>
      </c>
      <c r="D1357" s="16" t="s">
        <v>14</v>
      </c>
      <c r="E1357" s="16">
        <v>1.5</v>
      </c>
      <c r="F1357" s="11">
        <v>435000</v>
      </c>
      <c r="G1357" s="9">
        <f t="shared" si="84"/>
        <v>652500</v>
      </c>
      <c r="H1357" s="10"/>
      <c r="I1357" s="1" t="s">
        <v>120</v>
      </c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5.75" customHeight="1" x14ac:dyDescent="0.75">
      <c r="A1358" s="5">
        <v>3</v>
      </c>
      <c r="B1358" s="12" t="s">
        <v>15</v>
      </c>
      <c r="C1358" s="10"/>
      <c r="D1358" s="10"/>
      <c r="E1358" s="10"/>
      <c r="F1358" s="10"/>
      <c r="G1358" s="13">
        <f t="shared" si="84"/>
        <v>0</v>
      </c>
      <c r="H1358" s="10"/>
      <c r="I1358" s="1" t="s">
        <v>120</v>
      </c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5.75" customHeight="1" x14ac:dyDescent="0.75">
      <c r="A1359" s="39" t="s">
        <v>16</v>
      </c>
      <c r="B1359" s="40"/>
      <c r="C1359" s="40"/>
      <c r="D1359" s="40"/>
      <c r="E1359" s="40"/>
      <c r="F1359" s="40"/>
      <c r="G1359" s="41"/>
      <c r="H1359" s="14">
        <f>SUM(G1356:G1358)</f>
        <v>1179900</v>
      </c>
      <c r="I1359" s="1" t="s">
        <v>120</v>
      </c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5.75" customHeight="1" x14ac:dyDescent="0.75">
      <c r="A1360" s="39" t="s">
        <v>17</v>
      </c>
      <c r="B1360" s="40"/>
      <c r="C1360" s="40"/>
      <c r="D1360" s="40"/>
      <c r="E1360" s="40"/>
      <c r="F1360" s="40"/>
      <c r="G1360" s="41"/>
      <c r="H1360" s="14">
        <f>MAX(0,H1359-648000)</f>
        <v>531900</v>
      </c>
      <c r="I1360" s="1" t="s">
        <v>120</v>
      </c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5.75" customHeight="1" x14ac:dyDescent="0.75">
      <c r="A1361" s="42" t="s">
        <v>18</v>
      </c>
      <c r="B1361" s="40"/>
      <c r="C1361" s="40"/>
      <c r="D1361" s="40"/>
      <c r="E1361" s="40"/>
      <c r="F1361" s="40"/>
      <c r="G1361" s="41"/>
      <c r="H1361" s="15">
        <v>649000</v>
      </c>
      <c r="I1361" s="1" t="s">
        <v>120</v>
      </c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5.75" customHeight="1" x14ac:dyDescent="0.75">
      <c r="A1362" s="43" t="s">
        <v>19</v>
      </c>
      <c r="B1362" s="40"/>
      <c r="C1362" s="40"/>
      <c r="D1362" s="40"/>
      <c r="E1362" s="40"/>
      <c r="F1362" s="40"/>
      <c r="G1362" s="40"/>
      <c r="H1362" s="41"/>
      <c r="I1362" s="1" t="s">
        <v>120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5.75" customHeight="1" x14ac:dyDescent="0.45"/>
    <row r="1364" spans="1:26" ht="15.75" customHeight="1" x14ac:dyDescent="0.45"/>
    <row r="1365" spans="1:26" ht="15.75" customHeight="1" x14ac:dyDescent="0.45"/>
    <row r="1366" spans="1:26" ht="15.75" customHeight="1" x14ac:dyDescent="0.45"/>
    <row r="1367" spans="1:26" ht="15.75" customHeight="1" x14ac:dyDescent="0.45"/>
    <row r="1368" spans="1:26" ht="15.75" customHeight="1" x14ac:dyDescent="0.75">
      <c r="A1368" s="43" t="s">
        <v>0</v>
      </c>
      <c r="B1368" s="40"/>
      <c r="C1368" s="40"/>
      <c r="D1368" s="40"/>
      <c r="E1368" s="40"/>
      <c r="F1368" s="40"/>
      <c r="G1368" s="40"/>
      <c r="H1368" s="41"/>
      <c r="I1368" s="1" t="s">
        <v>120</v>
      </c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5.75" customHeight="1" x14ac:dyDescent="0.75">
      <c r="A1369" s="43" t="s">
        <v>242</v>
      </c>
      <c r="B1369" s="40"/>
      <c r="C1369" s="40"/>
      <c r="D1369" s="40"/>
      <c r="E1369" s="40"/>
      <c r="F1369" s="40"/>
      <c r="G1369" s="40"/>
      <c r="H1369" s="41"/>
      <c r="I1369" s="1" t="s">
        <v>120</v>
      </c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5.75" customHeight="1" x14ac:dyDescent="0.55000000000000004">
      <c r="A1370" s="2" t="s">
        <v>3</v>
      </c>
      <c r="B1370" s="2" t="s">
        <v>4</v>
      </c>
      <c r="C1370" s="2" t="s">
        <v>5</v>
      </c>
      <c r="D1370" s="2" t="s">
        <v>6</v>
      </c>
      <c r="E1370" s="2" t="s">
        <v>7</v>
      </c>
      <c r="F1370" s="3" t="s">
        <v>8</v>
      </c>
      <c r="G1370" s="2" t="s">
        <v>9</v>
      </c>
      <c r="H1370" s="4"/>
      <c r="I1370" s="1" t="s">
        <v>120</v>
      </c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5.75" customHeight="1" x14ac:dyDescent="0.75">
      <c r="A1371" s="5">
        <v>1</v>
      </c>
      <c r="B1371" s="21" t="s">
        <v>243</v>
      </c>
      <c r="C1371" s="7">
        <v>2163</v>
      </c>
      <c r="D1371" s="6" t="s">
        <v>12</v>
      </c>
      <c r="E1371" s="6">
        <v>2.5</v>
      </c>
      <c r="F1371" s="8">
        <v>293000</v>
      </c>
      <c r="G1371" s="9">
        <f t="shared" ref="G1371:G1373" si="85">IFERROR(E1371*F1371,0)</f>
        <v>732500</v>
      </c>
      <c r="H1371" s="10"/>
      <c r="I1371" s="1" t="s">
        <v>120</v>
      </c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5.75" customHeight="1" x14ac:dyDescent="0.75">
      <c r="A1372" s="5">
        <v>2</v>
      </c>
      <c r="B1372" s="16" t="s">
        <v>244</v>
      </c>
      <c r="C1372" s="17">
        <v>2219</v>
      </c>
      <c r="D1372" s="16" t="s">
        <v>14</v>
      </c>
      <c r="E1372" s="16">
        <v>1</v>
      </c>
      <c r="F1372" s="11">
        <v>435000</v>
      </c>
      <c r="G1372" s="9">
        <f t="shared" si="85"/>
        <v>435000</v>
      </c>
      <c r="H1372" s="10"/>
      <c r="I1372" s="1" t="s">
        <v>120</v>
      </c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5.75" customHeight="1" x14ac:dyDescent="0.75">
      <c r="A1373" s="5">
        <v>3</v>
      </c>
      <c r="B1373" s="12" t="s">
        <v>15</v>
      </c>
      <c r="C1373" s="10"/>
      <c r="D1373" s="10"/>
      <c r="E1373" s="10"/>
      <c r="F1373" s="10"/>
      <c r="G1373" s="13">
        <f t="shared" si="85"/>
        <v>0</v>
      </c>
      <c r="H1373" s="10"/>
      <c r="I1373" s="1" t="s">
        <v>120</v>
      </c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5.75" customHeight="1" x14ac:dyDescent="0.75">
      <c r="A1374" s="39" t="s">
        <v>16</v>
      </c>
      <c r="B1374" s="40"/>
      <c r="C1374" s="40"/>
      <c r="D1374" s="40"/>
      <c r="E1374" s="40"/>
      <c r="F1374" s="40"/>
      <c r="G1374" s="41"/>
      <c r="H1374" s="14">
        <f>SUM(G1371:G1373)</f>
        <v>1167500</v>
      </c>
      <c r="I1374" s="1" t="s">
        <v>120</v>
      </c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5.75" customHeight="1" x14ac:dyDescent="0.75">
      <c r="A1375" s="39" t="s">
        <v>17</v>
      </c>
      <c r="B1375" s="40"/>
      <c r="C1375" s="40"/>
      <c r="D1375" s="40"/>
      <c r="E1375" s="40"/>
      <c r="F1375" s="40"/>
      <c r="G1375" s="41"/>
      <c r="H1375" s="14">
        <f>MAX(0,H1374-648000)</f>
        <v>519500</v>
      </c>
      <c r="I1375" s="1" t="s">
        <v>120</v>
      </c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5.75" customHeight="1" x14ac:dyDescent="0.75">
      <c r="A1376" s="42" t="s">
        <v>18</v>
      </c>
      <c r="B1376" s="40"/>
      <c r="C1376" s="40"/>
      <c r="D1376" s="40"/>
      <c r="E1376" s="40"/>
      <c r="F1376" s="40"/>
      <c r="G1376" s="41"/>
      <c r="H1376" s="15">
        <v>649000</v>
      </c>
      <c r="I1376" s="1" t="s">
        <v>120</v>
      </c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5.75" customHeight="1" x14ac:dyDescent="0.75">
      <c r="A1377" s="43" t="s">
        <v>19</v>
      </c>
      <c r="B1377" s="40"/>
      <c r="C1377" s="40"/>
      <c r="D1377" s="40"/>
      <c r="E1377" s="40"/>
      <c r="F1377" s="40"/>
      <c r="G1377" s="40"/>
      <c r="H1377" s="41"/>
      <c r="I1377" s="1" t="s">
        <v>120</v>
      </c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5.75" customHeight="1" x14ac:dyDescent="0.45"/>
    <row r="1379" spans="1:26" ht="15.75" customHeight="1" x14ac:dyDescent="0.45"/>
    <row r="1380" spans="1:26" ht="15.75" customHeight="1" x14ac:dyDescent="0.45"/>
    <row r="1381" spans="1:26" ht="15.75" customHeight="1" x14ac:dyDescent="0.45"/>
    <row r="1382" spans="1:26" ht="15.75" customHeight="1" x14ac:dyDescent="0.45"/>
    <row r="1383" spans="1:26" ht="15.75" customHeight="1" x14ac:dyDescent="0.45"/>
    <row r="1384" spans="1:26" ht="15.75" customHeight="1" x14ac:dyDescent="0.45"/>
    <row r="1385" spans="1:26" ht="15.75" customHeight="1" x14ac:dyDescent="0.75">
      <c r="A1385" s="43" t="s">
        <v>0</v>
      </c>
      <c r="B1385" s="40"/>
      <c r="C1385" s="40"/>
      <c r="D1385" s="40"/>
      <c r="E1385" s="40"/>
      <c r="F1385" s="40"/>
      <c r="G1385" s="40"/>
      <c r="H1385" s="41"/>
      <c r="I1385" s="1" t="s">
        <v>120</v>
      </c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5.75" customHeight="1" x14ac:dyDescent="0.75">
      <c r="A1386" s="43" t="s">
        <v>245</v>
      </c>
      <c r="B1386" s="40"/>
      <c r="C1386" s="40"/>
      <c r="D1386" s="40"/>
      <c r="E1386" s="40"/>
      <c r="F1386" s="40"/>
      <c r="G1386" s="40"/>
      <c r="H1386" s="41"/>
      <c r="I1386" s="1" t="s">
        <v>120</v>
      </c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5.75" customHeight="1" x14ac:dyDescent="0.55000000000000004">
      <c r="A1387" s="2" t="s">
        <v>3</v>
      </c>
      <c r="B1387" s="2" t="s">
        <v>4</v>
      </c>
      <c r="C1387" s="2" t="s">
        <v>5</v>
      </c>
      <c r="D1387" s="2" t="s">
        <v>6</v>
      </c>
      <c r="E1387" s="2" t="s">
        <v>7</v>
      </c>
      <c r="F1387" s="3" t="s">
        <v>8</v>
      </c>
      <c r="G1387" s="2" t="s">
        <v>9</v>
      </c>
      <c r="H1387" s="4"/>
      <c r="I1387" s="1" t="s">
        <v>120</v>
      </c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5.75" customHeight="1" x14ac:dyDescent="0.75">
      <c r="A1388" s="5">
        <v>1</v>
      </c>
      <c r="B1388" s="21" t="s">
        <v>246</v>
      </c>
      <c r="C1388" s="7">
        <v>1256</v>
      </c>
      <c r="D1388" s="6" t="s">
        <v>12</v>
      </c>
      <c r="E1388" s="6">
        <v>2.11</v>
      </c>
      <c r="F1388" s="8">
        <v>293000</v>
      </c>
      <c r="G1388" s="9">
        <f t="shared" ref="G1388:G1390" si="86">IFERROR(E1388*F1388,0)</f>
        <v>618230</v>
      </c>
      <c r="H1388" s="10"/>
      <c r="I1388" s="1" t="s">
        <v>120</v>
      </c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5.75" customHeight="1" x14ac:dyDescent="0.75">
      <c r="A1389" s="5">
        <v>2</v>
      </c>
      <c r="B1389" s="16" t="s">
        <v>247</v>
      </c>
      <c r="C1389" s="17" t="s">
        <v>248</v>
      </c>
      <c r="D1389" s="16" t="s">
        <v>14</v>
      </c>
      <c r="E1389" s="16">
        <v>1.42</v>
      </c>
      <c r="F1389" s="11">
        <v>435000</v>
      </c>
      <c r="G1389" s="9">
        <f t="shared" si="86"/>
        <v>617700</v>
      </c>
      <c r="H1389" s="10"/>
      <c r="I1389" s="1" t="s">
        <v>120</v>
      </c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5.75" customHeight="1" x14ac:dyDescent="0.75">
      <c r="A1390" s="5">
        <v>3</v>
      </c>
      <c r="B1390" s="12" t="s">
        <v>15</v>
      </c>
      <c r="C1390" s="10"/>
      <c r="D1390" s="10"/>
      <c r="E1390" s="10"/>
      <c r="F1390" s="10"/>
      <c r="G1390" s="13">
        <f t="shared" si="86"/>
        <v>0</v>
      </c>
      <c r="H1390" s="10"/>
      <c r="I1390" s="1" t="s">
        <v>120</v>
      </c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5.75" customHeight="1" x14ac:dyDescent="0.75">
      <c r="A1391" s="39" t="s">
        <v>16</v>
      </c>
      <c r="B1391" s="40"/>
      <c r="C1391" s="40"/>
      <c r="D1391" s="40"/>
      <c r="E1391" s="40"/>
      <c r="F1391" s="40"/>
      <c r="G1391" s="41"/>
      <c r="H1391" s="14">
        <f>SUM(G1388:G1390)</f>
        <v>1235930</v>
      </c>
      <c r="I1391" s="1" t="s">
        <v>120</v>
      </c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5.75" customHeight="1" x14ac:dyDescent="0.75">
      <c r="A1392" s="39" t="s">
        <v>17</v>
      </c>
      <c r="B1392" s="40"/>
      <c r="C1392" s="40"/>
      <c r="D1392" s="40"/>
      <c r="E1392" s="40"/>
      <c r="F1392" s="40"/>
      <c r="G1392" s="41"/>
      <c r="H1392" s="14">
        <f>MAX(0,H1391-648000)</f>
        <v>587930</v>
      </c>
      <c r="I1392" s="1" t="s">
        <v>120</v>
      </c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5.75" customHeight="1" x14ac:dyDescent="0.75">
      <c r="A1393" s="42" t="s">
        <v>18</v>
      </c>
      <c r="B1393" s="40"/>
      <c r="C1393" s="40"/>
      <c r="D1393" s="40"/>
      <c r="E1393" s="40"/>
      <c r="F1393" s="40"/>
      <c r="G1393" s="41"/>
      <c r="H1393" s="15">
        <v>649000</v>
      </c>
      <c r="I1393" s="1" t="s">
        <v>120</v>
      </c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5.75" customHeight="1" x14ac:dyDescent="0.75">
      <c r="A1394" s="43" t="s">
        <v>19</v>
      </c>
      <c r="B1394" s="40"/>
      <c r="C1394" s="40"/>
      <c r="D1394" s="40"/>
      <c r="E1394" s="40"/>
      <c r="F1394" s="40"/>
      <c r="G1394" s="40"/>
      <c r="H1394" s="41"/>
      <c r="I1394" s="1" t="s">
        <v>120</v>
      </c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5.75" customHeight="1" x14ac:dyDescent="0.45"/>
    <row r="1396" spans="1:26" ht="15.75" customHeight="1" x14ac:dyDescent="0.45"/>
    <row r="1397" spans="1:26" ht="15.75" customHeight="1" x14ac:dyDescent="0.45"/>
    <row r="1398" spans="1:26" ht="15.75" customHeight="1" x14ac:dyDescent="0.45"/>
    <row r="1399" spans="1:26" ht="15.75" customHeight="1" x14ac:dyDescent="0.45"/>
    <row r="1400" spans="1:26" ht="15.75" customHeight="1" x14ac:dyDescent="0.45"/>
    <row r="1401" spans="1:26" ht="15.75" customHeight="1" x14ac:dyDescent="0.45"/>
    <row r="1402" spans="1:26" ht="15.75" customHeight="1" x14ac:dyDescent="0.45"/>
    <row r="1403" spans="1:26" ht="15.75" customHeight="1" x14ac:dyDescent="0.75">
      <c r="A1403" s="43" t="s">
        <v>0</v>
      </c>
      <c r="B1403" s="40"/>
      <c r="C1403" s="40"/>
      <c r="D1403" s="40"/>
      <c r="E1403" s="40"/>
      <c r="F1403" s="40"/>
      <c r="G1403" s="40"/>
      <c r="H1403" s="41"/>
      <c r="I1403" s="1" t="s">
        <v>120</v>
      </c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5.75" customHeight="1" x14ac:dyDescent="0.75">
      <c r="A1404" s="43" t="s">
        <v>249</v>
      </c>
      <c r="B1404" s="40"/>
      <c r="C1404" s="40"/>
      <c r="D1404" s="40"/>
      <c r="E1404" s="40"/>
      <c r="F1404" s="40"/>
      <c r="G1404" s="40"/>
      <c r="H1404" s="41"/>
      <c r="I1404" s="1" t="s">
        <v>120</v>
      </c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5.75" customHeight="1" x14ac:dyDescent="0.55000000000000004">
      <c r="A1405" s="2" t="s">
        <v>3</v>
      </c>
      <c r="B1405" s="2" t="s">
        <v>4</v>
      </c>
      <c r="C1405" s="2" t="s">
        <v>5</v>
      </c>
      <c r="D1405" s="2" t="s">
        <v>6</v>
      </c>
      <c r="E1405" s="2" t="s">
        <v>7</v>
      </c>
      <c r="F1405" s="3" t="s">
        <v>8</v>
      </c>
      <c r="G1405" s="2" t="s">
        <v>9</v>
      </c>
      <c r="H1405" s="4"/>
      <c r="I1405" s="1" t="s">
        <v>120</v>
      </c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5.75" customHeight="1" x14ac:dyDescent="0.75">
      <c r="A1406" s="5">
        <v>1</v>
      </c>
      <c r="B1406" s="21" t="s">
        <v>250</v>
      </c>
      <c r="C1406" s="7">
        <v>1258</v>
      </c>
      <c r="D1406" s="6" t="s">
        <v>12</v>
      </c>
      <c r="E1406" s="6">
        <v>2</v>
      </c>
      <c r="F1406" s="8">
        <v>293000</v>
      </c>
      <c r="G1406" s="9">
        <f t="shared" ref="G1406:G1408" si="87">IFERROR(E1406*F1406,0)</f>
        <v>586000</v>
      </c>
      <c r="H1406" s="10"/>
      <c r="I1406" s="1" t="s">
        <v>120</v>
      </c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5.75" customHeight="1" x14ac:dyDescent="0.75">
      <c r="A1407" s="5">
        <v>2</v>
      </c>
      <c r="B1407" s="16" t="s">
        <v>251</v>
      </c>
      <c r="C1407" s="17">
        <v>8564</v>
      </c>
      <c r="D1407" s="16" t="s">
        <v>14</v>
      </c>
      <c r="E1407" s="16">
        <v>1.47</v>
      </c>
      <c r="F1407" s="11">
        <v>435000</v>
      </c>
      <c r="G1407" s="9">
        <f t="shared" si="87"/>
        <v>639450</v>
      </c>
      <c r="H1407" s="10"/>
      <c r="I1407" s="1" t="s">
        <v>120</v>
      </c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5.75" customHeight="1" x14ac:dyDescent="0.75">
      <c r="A1408" s="5">
        <v>3</v>
      </c>
      <c r="B1408" s="12" t="s">
        <v>15</v>
      </c>
      <c r="C1408" s="10"/>
      <c r="D1408" s="10"/>
      <c r="E1408" s="10"/>
      <c r="F1408" s="10"/>
      <c r="G1408" s="13">
        <f t="shared" si="87"/>
        <v>0</v>
      </c>
      <c r="H1408" s="10"/>
      <c r="I1408" s="1" t="s">
        <v>120</v>
      </c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5.75" customHeight="1" x14ac:dyDescent="0.75">
      <c r="A1409" s="39" t="s">
        <v>16</v>
      </c>
      <c r="B1409" s="40"/>
      <c r="C1409" s="40"/>
      <c r="D1409" s="40"/>
      <c r="E1409" s="40"/>
      <c r="F1409" s="40"/>
      <c r="G1409" s="41"/>
      <c r="H1409" s="14">
        <f>SUM(G1406:G1408)</f>
        <v>1225450</v>
      </c>
      <c r="I1409" s="1" t="s">
        <v>120</v>
      </c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5.75" customHeight="1" x14ac:dyDescent="0.75">
      <c r="A1410" s="39" t="s">
        <v>17</v>
      </c>
      <c r="B1410" s="40"/>
      <c r="C1410" s="40"/>
      <c r="D1410" s="40"/>
      <c r="E1410" s="40"/>
      <c r="F1410" s="40"/>
      <c r="G1410" s="41"/>
      <c r="H1410" s="14">
        <f>MAX(0,H1409-648000)</f>
        <v>577450</v>
      </c>
      <c r="I1410" s="1" t="s">
        <v>120</v>
      </c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5.75" customHeight="1" x14ac:dyDescent="0.75">
      <c r="A1411" s="42" t="s">
        <v>18</v>
      </c>
      <c r="B1411" s="40"/>
      <c r="C1411" s="40"/>
      <c r="D1411" s="40"/>
      <c r="E1411" s="40"/>
      <c r="F1411" s="40"/>
      <c r="G1411" s="41"/>
      <c r="H1411" s="15">
        <v>649000</v>
      </c>
      <c r="I1411" s="1" t="s">
        <v>120</v>
      </c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5.75" customHeight="1" x14ac:dyDescent="0.75">
      <c r="A1412" s="43" t="s">
        <v>19</v>
      </c>
      <c r="B1412" s="40"/>
      <c r="C1412" s="40"/>
      <c r="D1412" s="40"/>
      <c r="E1412" s="40"/>
      <c r="F1412" s="40"/>
      <c r="G1412" s="40"/>
      <c r="H1412" s="41"/>
      <c r="I1412" s="1" t="s">
        <v>120</v>
      </c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5.75" customHeight="1" x14ac:dyDescent="0.45"/>
    <row r="1414" spans="1:26" ht="15.75" customHeight="1" x14ac:dyDescent="0.45"/>
    <row r="1415" spans="1:26" ht="15.75" customHeight="1" x14ac:dyDescent="0.45"/>
    <row r="1416" spans="1:26" ht="15.75" customHeight="1" x14ac:dyDescent="0.45"/>
    <row r="1417" spans="1:26" ht="15.75" customHeight="1" x14ac:dyDescent="0.45"/>
    <row r="1418" spans="1:26" ht="15.75" customHeight="1" x14ac:dyDescent="0.75">
      <c r="A1418" s="43" t="s">
        <v>0</v>
      </c>
      <c r="B1418" s="40"/>
      <c r="C1418" s="40"/>
      <c r="D1418" s="40"/>
      <c r="E1418" s="40"/>
      <c r="F1418" s="40"/>
      <c r="G1418" s="40"/>
      <c r="H1418" s="41"/>
      <c r="I1418" s="1" t="s">
        <v>120</v>
      </c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5.75" customHeight="1" x14ac:dyDescent="0.75">
      <c r="A1419" s="43" t="s">
        <v>252</v>
      </c>
      <c r="B1419" s="40"/>
      <c r="C1419" s="40"/>
      <c r="D1419" s="40"/>
      <c r="E1419" s="40"/>
      <c r="F1419" s="40"/>
      <c r="G1419" s="40"/>
      <c r="H1419" s="41"/>
      <c r="I1419" s="1" t="s">
        <v>120</v>
      </c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5.75" customHeight="1" x14ac:dyDescent="0.55000000000000004">
      <c r="A1420" s="2" t="s">
        <v>3</v>
      </c>
      <c r="B1420" s="2" t="s">
        <v>4</v>
      </c>
      <c r="C1420" s="2" t="s">
        <v>5</v>
      </c>
      <c r="D1420" s="2" t="s">
        <v>6</v>
      </c>
      <c r="E1420" s="2" t="s">
        <v>7</v>
      </c>
      <c r="F1420" s="3" t="s">
        <v>8</v>
      </c>
      <c r="G1420" s="2" t="s">
        <v>9</v>
      </c>
      <c r="H1420" s="4"/>
      <c r="I1420" s="1" t="s">
        <v>120</v>
      </c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5.75" customHeight="1" x14ac:dyDescent="0.75">
      <c r="A1421" s="5">
        <v>1</v>
      </c>
      <c r="B1421" s="21" t="s">
        <v>253</v>
      </c>
      <c r="C1421" s="7">
        <v>1003</v>
      </c>
      <c r="D1421" s="6" t="s">
        <v>12</v>
      </c>
      <c r="E1421" s="6">
        <v>2</v>
      </c>
      <c r="F1421" s="8">
        <v>293000</v>
      </c>
      <c r="G1421" s="9">
        <f t="shared" ref="G1421:G1423" si="88">IFERROR(E1421*F1421,0)</f>
        <v>586000</v>
      </c>
      <c r="H1421" s="10"/>
      <c r="I1421" s="1" t="s">
        <v>120</v>
      </c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5.75" customHeight="1" x14ac:dyDescent="0.75">
      <c r="A1422" s="5">
        <v>2</v>
      </c>
      <c r="B1422" s="16" t="s">
        <v>35</v>
      </c>
      <c r="C1422" s="17">
        <v>1935</v>
      </c>
      <c r="D1422" s="16" t="s">
        <v>14</v>
      </c>
      <c r="E1422" s="16">
        <v>1.5</v>
      </c>
      <c r="F1422" s="11">
        <v>435000</v>
      </c>
      <c r="G1422" s="9">
        <f t="shared" si="88"/>
        <v>652500</v>
      </c>
      <c r="H1422" s="10"/>
      <c r="I1422" s="1" t="s">
        <v>120</v>
      </c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5.75" customHeight="1" x14ac:dyDescent="0.75">
      <c r="A1423" s="5">
        <v>3</v>
      </c>
      <c r="B1423" s="12" t="s">
        <v>15</v>
      </c>
      <c r="C1423" s="10"/>
      <c r="D1423" s="10"/>
      <c r="E1423" s="10"/>
      <c r="F1423" s="10"/>
      <c r="G1423" s="13">
        <f t="shared" si="88"/>
        <v>0</v>
      </c>
      <c r="H1423" s="10"/>
      <c r="I1423" s="1" t="s">
        <v>120</v>
      </c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5.75" customHeight="1" x14ac:dyDescent="0.75">
      <c r="A1424" s="39" t="s">
        <v>16</v>
      </c>
      <c r="B1424" s="40"/>
      <c r="C1424" s="40"/>
      <c r="D1424" s="40"/>
      <c r="E1424" s="40"/>
      <c r="F1424" s="40"/>
      <c r="G1424" s="41"/>
      <c r="H1424" s="14">
        <f>SUM(G1421:G1423)</f>
        <v>1238500</v>
      </c>
      <c r="I1424" s="1" t="s">
        <v>120</v>
      </c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5.75" customHeight="1" x14ac:dyDescent="0.75">
      <c r="A1425" s="39" t="s">
        <v>17</v>
      </c>
      <c r="B1425" s="40"/>
      <c r="C1425" s="40"/>
      <c r="D1425" s="40"/>
      <c r="E1425" s="40"/>
      <c r="F1425" s="40"/>
      <c r="G1425" s="41"/>
      <c r="H1425" s="14">
        <f>MAX(0,H1424-648000)</f>
        <v>590500</v>
      </c>
      <c r="I1425" s="1" t="s">
        <v>120</v>
      </c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5.75" customHeight="1" x14ac:dyDescent="0.75">
      <c r="A1426" s="42" t="s">
        <v>18</v>
      </c>
      <c r="B1426" s="40"/>
      <c r="C1426" s="40"/>
      <c r="D1426" s="40"/>
      <c r="E1426" s="40"/>
      <c r="F1426" s="40"/>
      <c r="G1426" s="41"/>
      <c r="H1426" s="15">
        <v>649000</v>
      </c>
      <c r="I1426" s="1" t="s">
        <v>120</v>
      </c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5.75" customHeight="1" x14ac:dyDescent="0.75">
      <c r="A1427" s="43" t="s">
        <v>19</v>
      </c>
      <c r="B1427" s="40"/>
      <c r="C1427" s="40"/>
      <c r="D1427" s="40"/>
      <c r="E1427" s="40"/>
      <c r="F1427" s="40"/>
      <c r="G1427" s="40"/>
      <c r="H1427" s="41"/>
      <c r="I1427" s="1" t="s">
        <v>120</v>
      </c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5.75" customHeight="1" x14ac:dyDescent="0.45"/>
    <row r="1429" spans="1:26" ht="15.75" customHeight="1" x14ac:dyDescent="0.45"/>
    <row r="1430" spans="1:26" ht="15.75" customHeight="1" x14ac:dyDescent="0.45"/>
    <row r="1431" spans="1:26" ht="15.75" customHeight="1" x14ac:dyDescent="0.45"/>
    <row r="1432" spans="1:26" ht="15.75" customHeight="1" x14ac:dyDescent="0.45"/>
    <row r="1433" spans="1:26" ht="15.75" customHeight="1" x14ac:dyDescent="0.45"/>
    <row r="1434" spans="1:26" ht="15.75" customHeight="1" x14ac:dyDescent="0.45"/>
    <row r="1435" spans="1:26" ht="15.75" customHeight="1" x14ac:dyDescent="0.45"/>
    <row r="1436" spans="1:26" ht="15.75" customHeight="1" x14ac:dyDescent="0.45"/>
    <row r="1437" spans="1:26" ht="15.75" customHeight="1" x14ac:dyDescent="0.45"/>
    <row r="1438" spans="1:26" ht="15.75" customHeight="1" x14ac:dyDescent="0.75">
      <c r="A1438" s="43" t="s">
        <v>0</v>
      </c>
      <c r="B1438" s="40"/>
      <c r="C1438" s="40"/>
      <c r="D1438" s="40"/>
      <c r="E1438" s="40"/>
      <c r="F1438" s="40"/>
      <c r="G1438" s="40"/>
      <c r="H1438" s="41"/>
      <c r="I1438" s="1" t="s">
        <v>120</v>
      </c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5.75" customHeight="1" x14ac:dyDescent="0.75">
      <c r="A1439" s="43" t="s">
        <v>254</v>
      </c>
      <c r="B1439" s="40"/>
      <c r="C1439" s="40"/>
      <c r="D1439" s="40"/>
      <c r="E1439" s="40"/>
      <c r="F1439" s="40"/>
      <c r="G1439" s="40"/>
      <c r="H1439" s="41"/>
      <c r="I1439" s="1" t="s">
        <v>120</v>
      </c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5.75" customHeight="1" x14ac:dyDescent="0.55000000000000004">
      <c r="A1440" s="2" t="s">
        <v>3</v>
      </c>
      <c r="B1440" s="2" t="s">
        <v>4</v>
      </c>
      <c r="C1440" s="2" t="s">
        <v>5</v>
      </c>
      <c r="D1440" s="2" t="s">
        <v>6</v>
      </c>
      <c r="E1440" s="2" t="s">
        <v>7</v>
      </c>
      <c r="F1440" s="3" t="s">
        <v>8</v>
      </c>
      <c r="G1440" s="2" t="s">
        <v>9</v>
      </c>
      <c r="H1440" s="4"/>
      <c r="I1440" s="1" t="s">
        <v>120</v>
      </c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5.75" customHeight="1" x14ac:dyDescent="0.75">
      <c r="A1441" s="5">
        <v>1</v>
      </c>
      <c r="B1441" s="21" t="s">
        <v>255</v>
      </c>
      <c r="C1441" s="7">
        <v>7957</v>
      </c>
      <c r="D1441" s="6" t="s">
        <v>12</v>
      </c>
      <c r="E1441" s="6">
        <v>1.9</v>
      </c>
      <c r="F1441" s="8">
        <v>293000</v>
      </c>
      <c r="G1441" s="9">
        <f t="shared" ref="G1441:G1443" si="89">IFERROR(E1441*F1441,0)</f>
        <v>556700</v>
      </c>
      <c r="H1441" s="10"/>
      <c r="I1441" s="1" t="s">
        <v>120</v>
      </c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5.75" customHeight="1" x14ac:dyDescent="0.75">
      <c r="A1442" s="5">
        <v>2</v>
      </c>
      <c r="B1442" s="16" t="s">
        <v>47</v>
      </c>
      <c r="C1442" s="17" t="s">
        <v>256</v>
      </c>
      <c r="D1442" s="16" t="s">
        <v>14</v>
      </c>
      <c r="E1442" s="16">
        <v>1.45</v>
      </c>
      <c r="F1442" s="11">
        <v>435000</v>
      </c>
      <c r="G1442" s="9">
        <f t="shared" si="89"/>
        <v>630750</v>
      </c>
      <c r="H1442" s="10"/>
      <c r="I1442" s="1" t="s">
        <v>120</v>
      </c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5.75" customHeight="1" x14ac:dyDescent="0.75">
      <c r="A1443" s="5">
        <v>3</v>
      </c>
      <c r="B1443" s="12" t="s">
        <v>15</v>
      </c>
      <c r="C1443" s="10"/>
      <c r="D1443" s="10"/>
      <c r="E1443" s="10"/>
      <c r="F1443" s="10"/>
      <c r="G1443" s="13">
        <f t="shared" si="89"/>
        <v>0</v>
      </c>
      <c r="H1443" s="10"/>
      <c r="I1443" s="1" t="s">
        <v>120</v>
      </c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5.75" customHeight="1" x14ac:dyDescent="0.75">
      <c r="A1444" s="39" t="s">
        <v>16</v>
      </c>
      <c r="B1444" s="40"/>
      <c r="C1444" s="40"/>
      <c r="D1444" s="40"/>
      <c r="E1444" s="40"/>
      <c r="F1444" s="40"/>
      <c r="G1444" s="41"/>
      <c r="H1444" s="14">
        <f>SUM(G1441:G1443)</f>
        <v>1187450</v>
      </c>
      <c r="I1444" s="1" t="s">
        <v>120</v>
      </c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5.75" customHeight="1" x14ac:dyDescent="0.75">
      <c r="A1445" s="39" t="s">
        <v>17</v>
      </c>
      <c r="B1445" s="40"/>
      <c r="C1445" s="40"/>
      <c r="D1445" s="40"/>
      <c r="E1445" s="40"/>
      <c r="F1445" s="40"/>
      <c r="G1445" s="41"/>
      <c r="H1445" s="14">
        <f>MAX(0,H1444-648000)</f>
        <v>539450</v>
      </c>
      <c r="I1445" s="1" t="s">
        <v>120</v>
      </c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5.75" customHeight="1" x14ac:dyDescent="0.75">
      <c r="A1446" s="42" t="s">
        <v>18</v>
      </c>
      <c r="B1446" s="40"/>
      <c r="C1446" s="40"/>
      <c r="D1446" s="40"/>
      <c r="E1446" s="40"/>
      <c r="F1446" s="40"/>
      <c r="G1446" s="41"/>
      <c r="H1446" s="15">
        <v>649000</v>
      </c>
      <c r="I1446" s="1" t="s">
        <v>120</v>
      </c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5.75" customHeight="1" x14ac:dyDescent="0.75">
      <c r="A1447" s="43" t="s">
        <v>19</v>
      </c>
      <c r="B1447" s="40"/>
      <c r="C1447" s="40"/>
      <c r="D1447" s="40"/>
      <c r="E1447" s="40"/>
      <c r="F1447" s="40"/>
      <c r="G1447" s="40"/>
      <c r="H1447" s="41"/>
      <c r="I1447" s="1" t="s">
        <v>120</v>
      </c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5.75" customHeight="1" x14ac:dyDescent="0.45"/>
    <row r="1449" spans="1:26" ht="15.75" customHeight="1" x14ac:dyDescent="0.45"/>
    <row r="1450" spans="1:26" ht="15.75" customHeight="1" x14ac:dyDescent="0.45"/>
    <row r="1451" spans="1:26" ht="15.75" customHeight="1" x14ac:dyDescent="0.45"/>
    <row r="1452" spans="1:26" ht="15.75" customHeight="1" x14ac:dyDescent="0.45"/>
    <row r="1453" spans="1:26" ht="15.75" customHeight="1" x14ac:dyDescent="0.45"/>
    <row r="1454" spans="1:26" ht="15.75" customHeight="1" x14ac:dyDescent="0.75">
      <c r="A1454" s="43" t="s">
        <v>0</v>
      </c>
      <c r="B1454" s="40"/>
      <c r="C1454" s="40"/>
      <c r="D1454" s="40"/>
      <c r="E1454" s="40"/>
      <c r="F1454" s="40"/>
      <c r="G1454" s="40"/>
      <c r="H1454" s="41"/>
      <c r="I1454" s="1" t="s">
        <v>120</v>
      </c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5.75" customHeight="1" x14ac:dyDescent="0.75">
      <c r="A1455" s="43" t="s">
        <v>257</v>
      </c>
      <c r="B1455" s="40"/>
      <c r="C1455" s="40"/>
      <c r="D1455" s="40"/>
      <c r="E1455" s="40"/>
      <c r="F1455" s="40"/>
      <c r="G1455" s="40"/>
      <c r="H1455" s="41"/>
      <c r="I1455" s="1" t="s">
        <v>120</v>
      </c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5.75" customHeight="1" x14ac:dyDescent="0.55000000000000004">
      <c r="A1456" s="2" t="s">
        <v>3</v>
      </c>
      <c r="B1456" s="2" t="s">
        <v>4</v>
      </c>
      <c r="C1456" s="2" t="s">
        <v>5</v>
      </c>
      <c r="D1456" s="2" t="s">
        <v>6</v>
      </c>
      <c r="E1456" s="2" t="s">
        <v>7</v>
      </c>
      <c r="F1456" s="3" t="s">
        <v>8</v>
      </c>
      <c r="G1456" s="2" t="s">
        <v>9</v>
      </c>
      <c r="H1456" s="4"/>
      <c r="I1456" s="1" t="s">
        <v>120</v>
      </c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5.75" customHeight="1" x14ac:dyDescent="0.75">
      <c r="A1457" s="5">
        <v>1</v>
      </c>
      <c r="B1457" s="21" t="s">
        <v>215</v>
      </c>
      <c r="C1457" s="7">
        <v>8845</v>
      </c>
      <c r="D1457" s="6" t="s">
        <v>12</v>
      </c>
      <c r="E1457" s="6">
        <v>2</v>
      </c>
      <c r="F1457" s="8">
        <v>293000</v>
      </c>
      <c r="G1457" s="9">
        <f t="shared" ref="G1457:G1459" si="90">IFERROR(E1457*F1457,0)</f>
        <v>586000</v>
      </c>
      <c r="H1457" s="10"/>
      <c r="I1457" s="1" t="s">
        <v>120</v>
      </c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5.75" customHeight="1" x14ac:dyDescent="0.75">
      <c r="A1458" s="5">
        <v>2</v>
      </c>
      <c r="B1458" s="16" t="s">
        <v>35</v>
      </c>
      <c r="C1458" s="17">
        <v>1311</v>
      </c>
      <c r="D1458" s="16" t="s">
        <v>14</v>
      </c>
      <c r="E1458" s="16">
        <v>1.39</v>
      </c>
      <c r="F1458" s="11">
        <v>435000</v>
      </c>
      <c r="G1458" s="9">
        <f t="shared" si="90"/>
        <v>604650</v>
      </c>
      <c r="H1458" s="10"/>
      <c r="I1458" s="1" t="s">
        <v>120</v>
      </c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5.75" customHeight="1" x14ac:dyDescent="0.75">
      <c r="A1459" s="5">
        <v>3</v>
      </c>
      <c r="B1459" s="12" t="s">
        <v>15</v>
      </c>
      <c r="C1459" s="10"/>
      <c r="D1459" s="10"/>
      <c r="E1459" s="10"/>
      <c r="F1459" s="10"/>
      <c r="G1459" s="13">
        <f t="shared" si="90"/>
        <v>0</v>
      </c>
      <c r="H1459" s="10"/>
      <c r="I1459" s="1" t="s">
        <v>120</v>
      </c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5.75" customHeight="1" x14ac:dyDescent="0.75">
      <c r="A1460" s="39" t="s">
        <v>16</v>
      </c>
      <c r="B1460" s="40"/>
      <c r="C1460" s="40"/>
      <c r="D1460" s="40"/>
      <c r="E1460" s="40"/>
      <c r="F1460" s="40"/>
      <c r="G1460" s="41"/>
      <c r="H1460" s="14">
        <f>SUM(G1457:G1459)</f>
        <v>1190650</v>
      </c>
      <c r="I1460" s="1" t="s">
        <v>120</v>
      </c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5.75" customHeight="1" x14ac:dyDescent="0.75">
      <c r="A1461" s="39" t="s">
        <v>17</v>
      </c>
      <c r="B1461" s="40"/>
      <c r="C1461" s="40"/>
      <c r="D1461" s="40"/>
      <c r="E1461" s="40"/>
      <c r="F1461" s="40"/>
      <c r="G1461" s="41"/>
      <c r="H1461" s="14">
        <f>MAX(0,H1460-648000)</f>
        <v>542650</v>
      </c>
      <c r="I1461" s="1" t="s">
        <v>120</v>
      </c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5.75" customHeight="1" x14ac:dyDescent="0.75">
      <c r="A1462" s="42" t="s">
        <v>18</v>
      </c>
      <c r="B1462" s="40"/>
      <c r="C1462" s="40"/>
      <c r="D1462" s="40"/>
      <c r="E1462" s="40"/>
      <c r="F1462" s="40"/>
      <c r="G1462" s="41"/>
      <c r="H1462" s="15">
        <v>649000</v>
      </c>
      <c r="I1462" s="1" t="s">
        <v>120</v>
      </c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5.75" customHeight="1" x14ac:dyDescent="0.75">
      <c r="A1463" s="43" t="s">
        <v>19</v>
      </c>
      <c r="B1463" s="40"/>
      <c r="C1463" s="40"/>
      <c r="D1463" s="40"/>
      <c r="E1463" s="40"/>
      <c r="F1463" s="40"/>
      <c r="G1463" s="40"/>
      <c r="H1463" s="41"/>
      <c r="I1463" s="1" t="s">
        <v>120</v>
      </c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5.75" customHeight="1" x14ac:dyDescent="0.45"/>
    <row r="1465" spans="1:26" ht="15.75" customHeight="1" x14ac:dyDescent="0.45"/>
    <row r="1466" spans="1:26" ht="15.75" customHeight="1" x14ac:dyDescent="0.45"/>
    <row r="1467" spans="1:26" ht="15.75" customHeight="1" x14ac:dyDescent="0.45"/>
    <row r="1468" spans="1:26" ht="15.75" customHeight="1" x14ac:dyDescent="0.45"/>
    <row r="1469" spans="1:26" ht="15.75" customHeight="1" x14ac:dyDescent="0.45"/>
    <row r="1470" spans="1:26" ht="15.75" customHeight="1" x14ac:dyDescent="0.45"/>
    <row r="1471" spans="1:26" ht="15.75" customHeight="1" x14ac:dyDescent="0.45"/>
    <row r="1472" spans="1:26" ht="15.75" customHeight="1" x14ac:dyDescent="0.45"/>
    <row r="1473" spans="1:26" ht="15.75" customHeight="1" x14ac:dyDescent="0.75">
      <c r="A1473" s="43" t="s">
        <v>0</v>
      </c>
      <c r="B1473" s="40"/>
      <c r="C1473" s="40"/>
      <c r="D1473" s="40"/>
      <c r="E1473" s="40"/>
      <c r="F1473" s="40"/>
      <c r="G1473" s="40"/>
      <c r="H1473" s="41"/>
      <c r="I1473" s="1" t="s">
        <v>120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5.75" customHeight="1" x14ac:dyDescent="0.75">
      <c r="A1474" s="43" t="s">
        <v>258</v>
      </c>
      <c r="B1474" s="40"/>
      <c r="C1474" s="40"/>
      <c r="D1474" s="40"/>
      <c r="E1474" s="40"/>
      <c r="F1474" s="40"/>
      <c r="G1474" s="40"/>
      <c r="H1474" s="41"/>
      <c r="I1474" s="1" t="s">
        <v>120</v>
      </c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5.75" customHeight="1" x14ac:dyDescent="0.55000000000000004">
      <c r="A1475" s="2" t="s">
        <v>3</v>
      </c>
      <c r="B1475" s="2" t="s">
        <v>4</v>
      </c>
      <c r="C1475" s="2" t="s">
        <v>5</v>
      </c>
      <c r="D1475" s="2" t="s">
        <v>6</v>
      </c>
      <c r="E1475" s="2" t="s">
        <v>7</v>
      </c>
      <c r="F1475" s="3" t="s">
        <v>8</v>
      </c>
      <c r="G1475" s="2" t="s">
        <v>9</v>
      </c>
      <c r="H1475" s="4"/>
      <c r="I1475" s="1" t="s">
        <v>120</v>
      </c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5.75" customHeight="1" x14ac:dyDescent="0.75">
      <c r="A1476" s="5">
        <v>1</v>
      </c>
      <c r="B1476" s="21" t="s">
        <v>70</v>
      </c>
      <c r="C1476" s="7">
        <v>2945</v>
      </c>
      <c r="D1476" s="6" t="s">
        <v>12</v>
      </c>
      <c r="E1476" s="6">
        <v>2.06</v>
      </c>
      <c r="F1476" s="8">
        <v>293000</v>
      </c>
      <c r="G1476" s="9">
        <f t="shared" ref="G1476:G1478" si="91">IFERROR(E1476*F1476,0)</f>
        <v>603580</v>
      </c>
      <c r="H1476" s="10"/>
      <c r="I1476" s="1" t="s">
        <v>120</v>
      </c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5.75" customHeight="1" x14ac:dyDescent="0.75">
      <c r="A1477" s="5">
        <v>2</v>
      </c>
      <c r="B1477" s="16" t="s">
        <v>259</v>
      </c>
      <c r="C1477" s="17" t="s">
        <v>260</v>
      </c>
      <c r="D1477" s="16" t="s">
        <v>14</v>
      </c>
      <c r="E1477" s="16">
        <v>1.46</v>
      </c>
      <c r="F1477" s="11">
        <v>435000</v>
      </c>
      <c r="G1477" s="9">
        <f t="shared" si="91"/>
        <v>635100</v>
      </c>
      <c r="H1477" s="10"/>
      <c r="I1477" s="1" t="s">
        <v>120</v>
      </c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5.75" customHeight="1" x14ac:dyDescent="0.75">
      <c r="A1478" s="5">
        <v>3</v>
      </c>
      <c r="B1478" s="12" t="s">
        <v>15</v>
      </c>
      <c r="C1478" s="10"/>
      <c r="D1478" s="10"/>
      <c r="E1478" s="10"/>
      <c r="F1478" s="10"/>
      <c r="G1478" s="13">
        <f t="shared" si="91"/>
        <v>0</v>
      </c>
      <c r="H1478" s="10"/>
      <c r="I1478" s="1" t="s">
        <v>120</v>
      </c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5.75" customHeight="1" x14ac:dyDescent="0.75">
      <c r="A1479" s="39" t="s">
        <v>16</v>
      </c>
      <c r="B1479" s="40"/>
      <c r="C1479" s="40"/>
      <c r="D1479" s="40"/>
      <c r="E1479" s="40"/>
      <c r="F1479" s="40"/>
      <c r="G1479" s="41"/>
      <c r="H1479" s="14">
        <f>SUM(G1476:G1478)</f>
        <v>1238680</v>
      </c>
      <c r="I1479" s="1" t="s">
        <v>120</v>
      </c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5.75" customHeight="1" x14ac:dyDescent="0.75">
      <c r="A1480" s="39" t="s">
        <v>17</v>
      </c>
      <c r="B1480" s="40"/>
      <c r="C1480" s="40"/>
      <c r="D1480" s="40"/>
      <c r="E1480" s="40"/>
      <c r="F1480" s="40"/>
      <c r="G1480" s="41"/>
      <c r="H1480" s="14">
        <f>MAX(0,H1479-648000)</f>
        <v>590680</v>
      </c>
      <c r="I1480" s="1" t="s">
        <v>120</v>
      </c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5.75" customHeight="1" x14ac:dyDescent="0.75">
      <c r="A1481" s="42" t="s">
        <v>18</v>
      </c>
      <c r="B1481" s="40"/>
      <c r="C1481" s="40"/>
      <c r="D1481" s="40"/>
      <c r="E1481" s="40"/>
      <c r="F1481" s="40"/>
      <c r="G1481" s="41"/>
      <c r="H1481" s="15">
        <v>649000</v>
      </c>
      <c r="I1481" s="1" t="s">
        <v>120</v>
      </c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5.75" customHeight="1" x14ac:dyDescent="0.75">
      <c r="A1482" s="43" t="s">
        <v>19</v>
      </c>
      <c r="B1482" s="40"/>
      <c r="C1482" s="40"/>
      <c r="D1482" s="40"/>
      <c r="E1482" s="40"/>
      <c r="F1482" s="40"/>
      <c r="G1482" s="40"/>
      <c r="H1482" s="41"/>
      <c r="I1482" s="1" t="s">
        <v>120</v>
      </c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5.75" customHeight="1" x14ac:dyDescent="0.45"/>
    <row r="1484" spans="1:26" ht="15.75" customHeight="1" x14ac:dyDescent="0.45"/>
    <row r="1485" spans="1:26" ht="15.75" customHeight="1" x14ac:dyDescent="0.45"/>
    <row r="1486" spans="1:26" ht="15.75" customHeight="1" x14ac:dyDescent="0.45"/>
    <row r="1487" spans="1:26" ht="15.75" customHeight="1" x14ac:dyDescent="0.45"/>
    <row r="1488" spans="1:26" ht="15.75" customHeight="1" x14ac:dyDescent="0.45"/>
    <row r="1489" spans="1:26" ht="15.75" customHeight="1" x14ac:dyDescent="0.75">
      <c r="A1489" s="43" t="s">
        <v>0</v>
      </c>
      <c r="B1489" s="40"/>
      <c r="C1489" s="40"/>
      <c r="D1489" s="40"/>
      <c r="E1489" s="40"/>
      <c r="F1489" s="40"/>
      <c r="G1489" s="40"/>
      <c r="H1489" s="41"/>
      <c r="I1489" s="1" t="s">
        <v>120</v>
      </c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5.75" customHeight="1" x14ac:dyDescent="0.75">
      <c r="A1490" s="43" t="s">
        <v>261</v>
      </c>
      <c r="B1490" s="40"/>
      <c r="C1490" s="40"/>
      <c r="D1490" s="40"/>
      <c r="E1490" s="40"/>
      <c r="F1490" s="40"/>
      <c r="G1490" s="40"/>
      <c r="H1490" s="41"/>
      <c r="I1490" s="1" t="s">
        <v>120</v>
      </c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5.75" customHeight="1" x14ac:dyDescent="0.55000000000000004">
      <c r="A1491" s="2" t="s">
        <v>3</v>
      </c>
      <c r="B1491" s="2" t="s">
        <v>4</v>
      </c>
      <c r="C1491" s="2" t="s">
        <v>5</v>
      </c>
      <c r="D1491" s="2" t="s">
        <v>6</v>
      </c>
      <c r="E1491" s="2" t="s">
        <v>7</v>
      </c>
      <c r="F1491" s="3" t="s">
        <v>8</v>
      </c>
      <c r="G1491" s="2" t="s">
        <v>9</v>
      </c>
      <c r="H1491" s="4"/>
      <c r="I1491" s="1" t="s">
        <v>120</v>
      </c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5.75" customHeight="1" x14ac:dyDescent="0.75">
      <c r="A1492" s="5">
        <v>1</v>
      </c>
      <c r="B1492" s="21" t="s">
        <v>64</v>
      </c>
      <c r="C1492" s="7">
        <v>5559</v>
      </c>
      <c r="D1492" s="6" t="s">
        <v>12</v>
      </c>
      <c r="E1492" s="6">
        <v>2.0499999999999998</v>
      </c>
      <c r="F1492" s="8">
        <v>293000</v>
      </c>
      <c r="G1492" s="9">
        <f t="shared" ref="G1492:G1494" si="92">IFERROR(E1492*F1492,0)</f>
        <v>600650</v>
      </c>
      <c r="H1492" s="10"/>
      <c r="I1492" s="1" t="s">
        <v>120</v>
      </c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5.75" customHeight="1" x14ac:dyDescent="0.75">
      <c r="A1493" s="5">
        <v>2</v>
      </c>
      <c r="B1493" s="16" t="s">
        <v>262</v>
      </c>
      <c r="C1493" s="17">
        <v>1306</v>
      </c>
      <c r="D1493" s="16" t="s">
        <v>14</v>
      </c>
      <c r="E1493" s="16">
        <v>1.5</v>
      </c>
      <c r="F1493" s="11">
        <v>435000</v>
      </c>
      <c r="G1493" s="9">
        <f t="shared" si="92"/>
        <v>652500</v>
      </c>
      <c r="H1493" s="10"/>
      <c r="I1493" s="1" t="s">
        <v>120</v>
      </c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5.75" customHeight="1" x14ac:dyDescent="0.75">
      <c r="A1494" s="5">
        <v>3</v>
      </c>
      <c r="B1494" s="12" t="s">
        <v>15</v>
      </c>
      <c r="C1494" s="10"/>
      <c r="D1494" s="10"/>
      <c r="E1494" s="10"/>
      <c r="F1494" s="10"/>
      <c r="G1494" s="13">
        <f t="shared" si="92"/>
        <v>0</v>
      </c>
      <c r="H1494" s="10"/>
      <c r="I1494" s="1" t="s">
        <v>120</v>
      </c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5.75" customHeight="1" x14ac:dyDescent="0.75">
      <c r="A1495" s="39" t="s">
        <v>16</v>
      </c>
      <c r="B1495" s="40"/>
      <c r="C1495" s="40"/>
      <c r="D1495" s="40"/>
      <c r="E1495" s="40"/>
      <c r="F1495" s="40"/>
      <c r="G1495" s="41"/>
      <c r="H1495" s="14">
        <f>SUM(G1492:G1494)</f>
        <v>1253150</v>
      </c>
      <c r="I1495" s="1" t="s">
        <v>120</v>
      </c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5.75" customHeight="1" x14ac:dyDescent="0.75">
      <c r="A1496" s="39" t="s">
        <v>17</v>
      </c>
      <c r="B1496" s="40"/>
      <c r="C1496" s="40"/>
      <c r="D1496" s="40"/>
      <c r="E1496" s="40"/>
      <c r="F1496" s="40"/>
      <c r="G1496" s="41"/>
      <c r="H1496" s="14">
        <f>MAX(0,H1495-648000)</f>
        <v>605150</v>
      </c>
      <c r="I1496" s="1" t="s">
        <v>120</v>
      </c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5.75" customHeight="1" x14ac:dyDescent="0.75">
      <c r="A1497" s="42" t="s">
        <v>18</v>
      </c>
      <c r="B1497" s="40"/>
      <c r="C1497" s="40"/>
      <c r="D1497" s="40"/>
      <c r="E1497" s="40"/>
      <c r="F1497" s="40"/>
      <c r="G1497" s="41"/>
      <c r="H1497" s="15">
        <v>649000</v>
      </c>
      <c r="I1497" s="1" t="s">
        <v>120</v>
      </c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5.75" customHeight="1" x14ac:dyDescent="0.75">
      <c r="A1498" s="43" t="s">
        <v>19</v>
      </c>
      <c r="B1498" s="40"/>
      <c r="C1498" s="40"/>
      <c r="D1498" s="40"/>
      <c r="E1498" s="40"/>
      <c r="F1498" s="40"/>
      <c r="G1498" s="40"/>
      <c r="H1498" s="41"/>
      <c r="I1498" s="1" t="s">
        <v>120</v>
      </c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5.75" customHeight="1" x14ac:dyDescent="0.45"/>
    <row r="1500" spans="1:26" ht="15.75" customHeight="1" x14ac:dyDescent="0.45"/>
    <row r="1501" spans="1:26" ht="15.75" customHeight="1" x14ac:dyDescent="0.45"/>
    <row r="1502" spans="1:26" ht="15.75" customHeight="1" x14ac:dyDescent="0.45"/>
    <row r="1503" spans="1:26" ht="15.75" customHeight="1" x14ac:dyDescent="0.45"/>
    <row r="1504" spans="1:26" ht="15.75" customHeight="1" x14ac:dyDescent="0.45"/>
    <row r="1505" spans="1:26" ht="15.75" customHeight="1" x14ac:dyDescent="0.45"/>
    <row r="1506" spans="1:26" ht="15.75" customHeight="1" x14ac:dyDescent="0.75">
      <c r="A1506" s="43" t="s">
        <v>0</v>
      </c>
      <c r="B1506" s="40"/>
      <c r="C1506" s="40"/>
      <c r="D1506" s="40"/>
      <c r="E1506" s="40"/>
      <c r="F1506" s="40"/>
      <c r="G1506" s="40"/>
      <c r="H1506" s="41"/>
      <c r="I1506" s="1" t="s">
        <v>120</v>
      </c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5.75" customHeight="1" x14ac:dyDescent="0.75">
      <c r="A1507" s="43" t="s">
        <v>263</v>
      </c>
      <c r="B1507" s="40"/>
      <c r="C1507" s="40"/>
      <c r="D1507" s="40"/>
      <c r="E1507" s="40"/>
      <c r="F1507" s="40"/>
      <c r="G1507" s="40"/>
      <c r="H1507" s="41"/>
      <c r="I1507" s="1" t="s">
        <v>120</v>
      </c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5.75" customHeight="1" x14ac:dyDescent="0.55000000000000004">
      <c r="A1508" s="2" t="s">
        <v>3</v>
      </c>
      <c r="B1508" s="2" t="s">
        <v>4</v>
      </c>
      <c r="C1508" s="2" t="s">
        <v>5</v>
      </c>
      <c r="D1508" s="2" t="s">
        <v>6</v>
      </c>
      <c r="E1508" s="2" t="s">
        <v>7</v>
      </c>
      <c r="F1508" s="3" t="s">
        <v>8</v>
      </c>
      <c r="G1508" s="2" t="s">
        <v>9</v>
      </c>
      <c r="H1508" s="4"/>
      <c r="I1508" s="1" t="s">
        <v>120</v>
      </c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5.75" customHeight="1" x14ac:dyDescent="0.75">
      <c r="A1509" s="5">
        <v>1</v>
      </c>
      <c r="B1509" s="21" t="s">
        <v>64</v>
      </c>
      <c r="C1509" s="7">
        <v>4445</v>
      </c>
      <c r="D1509" s="6" t="s">
        <v>12</v>
      </c>
      <c r="E1509" s="6">
        <v>2</v>
      </c>
      <c r="F1509" s="8">
        <v>293000</v>
      </c>
      <c r="G1509" s="9">
        <f t="shared" ref="G1509:G1511" si="93">IFERROR(E1509*F1509,0)</f>
        <v>586000</v>
      </c>
      <c r="H1509" s="10"/>
      <c r="I1509" s="1" t="s">
        <v>120</v>
      </c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5.75" customHeight="1" x14ac:dyDescent="0.75">
      <c r="A1510" s="5">
        <v>2</v>
      </c>
      <c r="B1510" s="16" t="s">
        <v>150</v>
      </c>
      <c r="C1510" s="17">
        <v>8430</v>
      </c>
      <c r="D1510" s="16" t="s">
        <v>14</v>
      </c>
      <c r="E1510" s="16">
        <v>1.43</v>
      </c>
      <c r="F1510" s="11">
        <v>435000</v>
      </c>
      <c r="G1510" s="9">
        <f t="shared" si="93"/>
        <v>622050</v>
      </c>
      <c r="H1510" s="10"/>
      <c r="I1510" s="1" t="s">
        <v>120</v>
      </c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5.75" customHeight="1" x14ac:dyDescent="0.75">
      <c r="A1511" s="5">
        <v>3</v>
      </c>
      <c r="B1511" s="12" t="s">
        <v>15</v>
      </c>
      <c r="C1511" s="10"/>
      <c r="D1511" s="10"/>
      <c r="E1511" s="10"/>
      <c r="F1511" s="10"/>
      <c r="G1511" s="13">
        <f t="shared" si="93"/>
        <v>0</v>
      </c>
      <c r="H1511" s="10"/>
      <c r="I1511" s="1" t="s">
        <v>120</v>
      </c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5.75" customHeight="1" x14ac:dyDescent="0.75">
      <c r="A1512" s="39" t="s">
        <v>16</v>
      </c>
      <c r="B1512" s="40"/>
      <c r="C1512" s="40"/>
      <c r="D1512" s="40"/>
      <c r="E1512" s="40"/>
      <c r="F1512" s="40"/>
      <c r="G1512" s="41"/>
      <c r="H1512" s="14">
        <f>SUM(G1509:G1511)</f>
        <v>1208050</v>
      </c>
      <c r="I1512" s="1" t="s">
        <v>120</v>
      </c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5.75" customHeight="1" x14ac:dyDescent="0.75">
      <c r="A1513" s="39" t="s">
        <v>17</v>
      </c>
      <c r="B1513" s="40"/>
      <c r="C1513" s="40"/>
      <c r="D1513" s="40"/>
      <c r="E1513" s="40"/>
      <c r="F1513" s="40"/>
      <c r="G1513" s="41"/>
      <c r="H1513" s="14">
        <f>MAX(0,H1512-648000)</f>
        <v>560050</v>
      </c>
      <c r="I1513" s="1" t="s">
        <v>120</v>
      </c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5.75" customHeight="1" x14ac:dyDescent="0.75">
      <c r="A1514" s="42" t="s">
        <v>18</v>
      </c>
      <c r="B1514" s="40"/>
      <c r="C1514" s="40"/>
      <c r="D1514" s="40"/>
      <c r="E1514" s="40"/>
      <c r="F1514" s="40"/>
      <c r="G1514" s="41"/>
      <c r="H1514" s="15">
        <v>649000</v>
      </c>
      <c r="I1514" s="1" t="s">
        <v>120</v>
      </c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5.75" customHeight="1" x14ac:dyDescent="0.75">
      <c r="A1515" s="43" t="s">
        <v>19</v>
      </c>
      <c r="B1515" s="40"/>
      <c r="C1515" s="40"/>
      <c r="D1515" s="40"/>
      <c r="E1515" s="40"/>
      <c r="F1515" s="40"/>
      <c r="G1515" s="40"/>
      <c r="H1515" s="41"/>
      <c r="I1515" s="1" t="s">
        <v>120</v>
      </c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5.75" customHeight="1" x14ac:dyDescent="0.45"/>
    <row r="1517" spans="1:26" ht="15.75" customHeight="1" x14ac:dyDescent="0.45"/>
    <row r="1518" spans="1:26" ht="15.75" customHeight="1" x14ac:dyDescent="0.45"/>
    <row r="1519" spans="1:26" ht="15.75" customHeight="1" x14ac:dyDescent="0.45"/>
    <row r="1520" spans="1:26" ht="15.75" customHeight="1" x14ac:dyDescent="0.45"/>
    <row r="1521" spans="1:26" ht="15.75" customHeight="1" x14ac:dyDescent="0.45"/>
    <row r="1522" spans="1:26" ht="15.75" customHeight="1" x14ac:dyDescent="0.45"/>
    <row r="1523" spans="1:26" ht="15.75" customHeight="1" x14ac:dyDescent="0.45"/>
    <row r="1524" spans="1:26" ht="15.75" customHeight="1" x14ac:dyDescent="0.75">
      <c r="A1524" s="43" t="s">
        <v>0</v>
      </c>
      <c r="B1524" s="40"/>
      <c r="C1524" s="40"/>
      <c r="D1524" s="40"/>
      <c r="E1524" s="40"/>
      <c r="F1524" s="40"/>
      <c r="G1524" s="40"/>
      <c r="H1524" s="41"/>
      <c r="I1524" s="1" t="s">
        <v>120</v>
      </c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5.75" customHeight="1" x14ac:dyDescent="0.75">
      <c r="A1525" s="43" t="s">
        <v>264</v>
      </c>
      <c r="B1525" s="40"/>
      <c r="C1525" s="40"/>
      <c r="D1525" s="40"/>
      <c r="E1525" s="40"/>
      <c r="F1525" s="40"/>
      <c r="G1525" s="40"/>
      <c r="H1525" s="41"/>
      <c r="I1525" s="1" t="s">
        <v>120</v>
      </c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5.75" customHeight="1" x14ac:dyDescent="0.55000000000000004">
      <c r="A1526" s="2" t="s">
        <v>3</v>
      </c>
      <c r="B1526" s="2" t="s">
        <v>4</v>
      </c>
      <c r="C1526" s="2" t="s">
        <v>5</v>
      </c>
      <c r="D1526" s="2" t="s">
        <v>6</v>
      </c>
      <c r="E1526" s="2" t="s">
        <v>7</v>
      </c>
      <c r="F1526" s="3" t="s">
        <v>8</v>
      </c>
      <c r="G1526" s="2" t="s">
        <v>9</v>
      </c>
      <c r="H1526" s="4"/>
      <c r="I1526" s="1" t="s">
        <v>120</v>
      </c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5.75" customHeight="1" x14ac:dyDescent="0.75">
      <c r="A1527" s="5">
        <v>1</v>
      </c>
      <c r="B1527" s="21" t="s">
        <v>21</v>
      </c>
      <c r="C1527" s="7">
        <v>8410</v>
      </c>
      <c r="D1527" s="6" t="s">
        <v>12</v>
      </c>
      <c r="E1527" s="6">
        <v>1.76</v>
      </c>
      <c r="F1527" s="8">
        <v>293000</v>
      </c>
      <c r="G1527" s="9">
        <f t="shared" ref="G1527:G1529" si="94">IFERROR(E1527*F1527,0)</f>
        <v>515680</v>
      </c>
      <c r="H1527" s="10"/>
      <c r="I1527" s="1" t="s">
        <v>120</v>
      </c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5.75" customHeight="1" x14ac:dyDescent="0.75">
      <c r="A1528" s="5">
        <v>2</v>
      </c>
      <c r="B1528" s="16" t="s">
        <v>265</v>
      </c>
      <c r="C1528" s="17">
        <v>2284</v>
      </c>
      <c r="D1528" s="16" t="s">
        <v>14</v>
      </c>
      <c r="E1528" s="16">
        <v>1.7</v>
      </c>
      <c r="F1528" s="11">
        <v>435000</v>
      </c>
      <c r="G1528" s="9">
        <f t="shared" si="94"/>
        <v>739500</v>
      </c>
      <c r="H1528" s="10"/>
      <c r="I1528" s="1" t="s">
        <v>120</v>
      </c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5.75" customHeight="1" x14ac:dyDescent="0.75">
      <c r="A1529" s="5">
        <v>3</v>
      </c>
      <c r="B1529" s="12" t="s">
        <v>15</v>
      </c>
      <c r="C1529" s="10"/>
      <c r="D1529" s="10"/>
      <c r="E1529" s="10"/>
      <c r="F1529" s="10"/>
      <c r="G1529" s="13">
        <f t="shared" si="94"/>
        <v>0</v>
      </c>
      <c r="H1529" s="10"/>
      <c r="I1529" s="1" t="s">
        <v>120</v>
      </c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5.75" customHeight="1" x14ac:dyDescent="0.75">
      <c r="A1530" s="39" t="s">
        <v>16</v>
      </c>
      <c r="B1530" s="40"/>
      <c r="C1530" s="40"/>
      <c r="D1530" s="40"/>
      <c r="E1530" s="40"/>
      <c r="F1530" s="40"/>
      <c r="G1530" s="41"/>
      <c r="H1530" s="14">
        <f>SUM(G1527:G1529)</f>
        <v>1255180</v>
      </c>
      <c r="I1530" s="1" t="s">
        <v>120</v>
      </c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5.75" customHeight="1" x14ac:dyDescent="0.75">
      <c r="A1531" s="39" t="s">
        <v>17</v>
      </c>
      <c r="B1531" s="40"/>
      <c r="C1531" s="40"/>
      <c r="D1531" s="40"/>
      <c r="E1531" s="40"/>
      <c r="F1531" s="40"/>
      <c r="G1531" s="41"/>
      <c r="H1531" s="14">
        <f>MAX(0,H1530-648000)</f>
        <v>607180</v>
      </c>
      <c r="I1531" s="1" t="s">
        <v>120</v>
      </c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5.75" customHeight="1" x14ac:dyDescent="0.75">
      <c r="A1532" s="42" t="s">
        <v>18</v>
      </c>
      <c r="B1532" s="40"/>
      <c r="C1532" s="40"/>
      <c r="D1532" s="40"/>
      <c r="E1532" s="40"/>
      <c r="F1532" s="40"/>
      <c r="G1532" s="41"/>
      <c r="H1532" s="15">
        <v>649000</v>
      </c>
      <c r="I1532" s="1" t="s">
        <v>120</v>
      </c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5.75" customHeight="1" x14ac:dyDescent="0.75">
      <c r="A1533" s="43" t="s">
        <v>19</v>
      </c>
      <c r="B1533" s="40"/>
      <c r="C1533" s="40"/>
      <c r="D1533" s="40"/>
      <c r="E1533" s="40"/>
      <c r="F1533" s="40"/>
      <c r="G1533" s="40"/>
      <c r="H1533" s="41"/>
      <c r="I1533" s="1" t="s">
        <v>120</v>
      </c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5.75" customHeight="1" x14ac:dyDescent="0.45"/>
    <row r="1535" spans="1:26" ht="15.75" customHeight="1" x14ac:dyDescent="0.45"/>
    <row r="1536" spans="1:26" ht="15.75" customHeight="1" x14ac:dyDescent="0.45"/>
    <row r="1537" spans="1:26" ht="15.75" customHeight="1" x14ac:dyDescent="0.45"/>
    <row r="1538" spans="1:26" ht="15.75" customHeight="1" x14ac:dyDescent="0.45"/>
    <row r="1539" spans="1:26" ht="15.75" customHeight="1" x14ac:dyDescent="0.45"/>
    <row r="1540" spans="1:26" ht="15.75" customHeight="1" x14ac:dyDescent="0.45"/>
    <row r="1541" spans="1:26" ht="15.75" customHeight="1" x14ac:dyDescent="0.45"/>
    <row r="1542" spans="1:26" ht="15.75" customHeight="1" x14ac:dyDescent="0.45"/>
    <row r="1543" spans="1:26" ht="15.75" customHeight="1" x14ac:dyDescent="0.45"/>
    <row r="1544" spans="1:26" ht="15.75" customHeight="1" x14ac:dyDescent="0.75">
      <c r="A1544" s="43" t="s">
        <v>0</v>
      </c>
      <c r="B1544" s="40"/>
      <c r="C1544" s="40"/>
      <c r="D1544" s="40"/>
      <c r="E1544" s="40"/>
      <c r="F1544" s="40"/>
      <c r="G1544" s="40"/>
      <c r="H1544" s="41"/>
      <c r="I1544" s="1" t="s">
        <v>120</v>
      </c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5.75" customHeight="1" x14ac:dyDescent="0.75">
      <c r="A1545" s="43" t="s">
        <v>266</v>
      </c>
      <c r="B1545" s="40"/>
      <c r="C1545" s="40"/>
      <c r="D1545" s="40"/>
      <c r="E1545" s="40"/>
      <c r="F1545" s="40"/>
      <c r="G1545" s="40"/>
      <c r="H1545" s="41"/>
      <c r="I1545" s="1" t="s">
        <v>120</v>
      </c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5.75" customHeight="1" x14ac:dyDescent="0.55000000000000004">
      <c r="A1546" s="2" t="s">
        <v>3</v>
      </c>
      <c r="B1546" s="2" t="s">
        <v>4</v>
      </c>
      <c r="C1546" s="2" t="s">
        <v>5</v>
      </c>
      <c r="D1546" s="2" t="s">
        <v>6</v>
      </c>
      <c r="E1546" s="2" t="s">
        <v>7</v>
      </c>
      <c r="F1546" s="3" t="s">
        <v>8</v>
      </c>
      <c r="G1546" s="2" t="s">
        <v>9</v>
      </c>
      <c r="H1546" s="4"/>
      <c r="I1546" s="1" t="s">
        <v>120</v>
      </c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5.75" customHeight="1" x14ac:dyDescent="0.75">
      <c r="A1547" s="5">
        <v>1</v>
      </c>
      <c r="B1547" s="16" t="s">
        <v>265</v>
      </c>
      <c r="C1547" s="7">
        <v>2486</v>
      </c>
      <c r="D1547" s="6" t="s">
        <v>12</v>
      </c>
      <c r="E1547" s="6">
        <v>2</v>
      </c>
      <c r="F1547" s="8">
        <v>293000</v>
      </c>
      <c r="G1547" s="9">
        <f t="shared" ref="G1547:G1549" si="95">IFERROR(E1547*F1547,0)</f>
        <v>586000</v>
      </c>
      <c r="H1547" s="10"/>
      <c r="I1547" s="1" t="s">
        <v>120</v>
      </c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5.75" customHeight="1" x14ac:dyDescent="0.75">
      <c r="A1548" s="5">
        <v>2</v>
      </c>
      <c r="B1548" s="16" t="s">
        <v>267</v>
      </c>
      <c r="C1548" s="17">
        <v>1149</v>
      </c>
      <c r="D1548" s="16" t="s">
        <v>14</v>
      </c>
      <c r="E1548" s="16">
        <v>1.45</v>
      </c>
      <c r="F1548" s="11">
        <v>435000</v>
      </c>
      <c r="G1548" s="9">
        <f t="shared" si="95"/>
        <v>630750</v>
      </c>
      <c r="H1548" s="10"/>
      <c r="I1548" s="1" t="s">
        <v>120</v>
      </c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5.75" customHeight="1" x14ac:dyDescent="0.75">
      <c r="A1549" s="5">
        <v>3</v>
      </c>
      <c r="B1549" s="12" t="s">
        <v>15</v>
      </c>
      <c r="C1549" s="10"/>
      <c r="D1549" s="10"/>
      <c r="E1549" s="10"/>
      <c r="F1549" s="10"/>
      <c r="G1549" s="13">
        <f t="shared" si="95"/>
        <v>0</v>
      </c>
      <c r="H1549" s="10"/>
      <c r="I1549" s="1" t="s">
        <v>120</v>
      </c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5.75" customHeight="1" x14ac:dyDescent="0.75">
      <c r="A1550" s="39" t="s">
        <v>16</v>
      </c>
      <c r="B1550" s="40"/>
      <c r="C1550" s="40"/>
      <c r="D1550" s="40"/>
      <c r="E1550" s="40"/>
      <c r="F1550" s="40"/>
      <c r="G1550" s="41"/>
      <c r="H1550" s="14">
        <f>SUM(G1547:G1549)</f>
        <v>1216750</v>
      </c>
      <c r="I1550" s="1" t="s">
        <v>120</v>
      </c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5.75" customHeight="1" x14ac:dyDescent="0.75">
      <c r="A1551" s="39" t="s">
        <v>17</v>
      </c>
      <c r="B1551" s="40"/>
      <c r="C1551" s="40"/>
      <c r="D1551" s="40"/>
      <c r="E1551" s="40"/>
      <c r="F1551" s="40"/>
      <c r="G1551" s="41"/>
      <c r="H1551" s="14">
        <f>MAX(0,H1550-648000)</f>
        <v>568750</v>
      </c>
      <c r="I1551" s="1" t="s">
        <v>120</v>
      </c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5.75" customHeight="1" x14ac:dyDescent="0.75">
      <c r="A1552" s="42" t="s">
        <v>18</v>
      </c>
      <c r="B1552" s="40"/>
      <c r="C1552" s="40"/>
      <c r="D1552" s="40"/>
      <c r="E1552" s="40"/>
      <c r="F1552" s="40"/>
      <c r="G1552" s="41"/>
      <c r="H1552" s="15">
        <v>649000</v>
      </c>
      <c r="I1552" s="1" t="s">
        <v>120</v>
      </c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5.75" customHeight="1" x14ac:dyDescent="0.75">
      <c r="A1553" s="43" t="s">
        <v>19</v>
      </c>
      <c r="B1553" s="40"/>
      <c r="C1553" s="40"/>
      <c r="D1553" s="40"/>
      <c r="E1553" s="40"/>
      <c r="F1553" s="40"/>
      <c r="G1553" s="40"/>
      <c r="H1553" s="41"/>
      <c r="I1553" s="1" t="s">
        <v>120</v>
      </c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5.75" customHeight="1" x14ac:dyDescent="0.45"/>
    <row r="1555" spans="1:26" ht="15.75" customHeight="1" x14ac:dyDescent="0.45"/>
    <row r="1556" spans="1:26" ht="15.75" customHeight="1" x14ac:dyDescent="0.45"/>
    <row r="1557" spans="1:26" ht="15.75" customHeight="1" x14ac:dyDescent="0.45"/>
    <row r="1558" spans="1:26" ht="15.75" customHeight="1" x14ac:dyDescent="0.45"/>
    <row r="1559" spans="1:26" ht="15.75" customHeight="1" x14ac:dyDescent="0.45"/>
    <row r="1560" spans="1:26" ht="15.75" customHeight="1" x14ac:dyDescent="0.45"/>
    <row r="1561" spans="1:26" ht="15.75" customHeight="1" x14ac:dyDescent="0.45"/>
    <row r="1562" spans="1:26" ht="15.75" customHeight="1" x14ac:dyDescent="0.75">
      <c r="A1562" s="43" t="s">
        <v>0</v>
      </c>
      <c r="B1562" s="40"/>
      <c r="C1562" s="40"/>
      <c r="D1562" s="40"/>
      <c r="E1562" s="40"/>
      <c r="F1562" s="40"/>
      <c r="G1562" s="40"/>
      <c r="H1562" s="41"/>
      <c r="I1562" s="1" t="s">
        <v>120</v>
      </c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5.75" customHeight="1" x14ac:dyDescent="0.75">
      <c r="A1563" s="43" t="s">
        <v>268</v>
      </c>
      <c r="B1563" s="40"/>
      <c r="C1563" s="40"/>
      <c r="D1563" s="40"/>
      <c r="E1563" s="40"/>
      <c r="F1563" s="40"/>
      <c r="G1563" s="40"/>
      <c r="H1563" s="41"/>
      <c r="I1563" s="1" t="s">
        <v>120</v>
      </c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5.75" customHeight="1" x14ac:dyDescent="0.55000000000000004">
      <c r="A1564" s="2" t="s">
        <v>3</v>
      </c>
      <c r="B1564" s="2" t="s">
        <v>4</v>
      </c>
      <c r="C1564" s="2" t="s">
        <v>5</v>
      </c>
      <c r="D1564" s="2" t="s">
        <v>6</v>
      </c>
      <c r="E1564" s="2" t="s">
        <v>7</v>
      </c>
      <c r="F1564" s="3" t="s">
        <v>8</v>
      </c>
      <c r="G1564" s="2" t="s">
        <v>9</v>
      </c>
      <c r="H1564" s="4"/>
      <c r="I1564" s="1" t="s">
        <v>120</v>
      </c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5.75" customHeight="1" x14ac:dyDescent="0.75">
      <c r="A1565" s="5">
        <v>1</v>
      </c>
      <c r="B1565" s="21" t="s">
        <v>56</v>
      </c>
      <c r="C1565" s="7">
        <v>1523</v>
      </c>
      <c r="D1565" s="6" t="s">
        <v>12</v>
      </c>
      <c r="E1565" s="6">
        <v>2</v>
      </c>
      <c r="F1565" s="8">
        <v>293000</v>
      </c>
      <c r="G1565" s="9">
        <f t="shared" ref="G1565:G1567" si="96">IFERROR(E1565*F1565,0)</f>
        <v>586000</v>
      </c>
      <c r="H1565" s="10"/>
      <c r="I1565" s="1" t="s">
        <v>120</v>
      </c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5.75" customHeight="1" x14ac:dyDescent="0.75">
      <c r="A1566" s="5">
        <v>2</v>
      </c>
      <c r="B1566" s="16" t="s">
        <v>68</v>
      </c>
      <c r="C1566" s="17">
        <v>2281</v>
      </c>
      <c r="D1566" s="16" t="s">
        <v>14</v>
      </c>
      <c r="E1566" s="16">
        <v>1.4</v>
      </c>
      <c r="F1566" s="11">
        <v>435000</v>
      </c>
      <c r="G1566" s="9">
        <f t="shared" si="96"/>
        <v>609000</v>
      </c>
      <c r="H1566" s="10"/>
      <c r="I1566" s="1" t="s">
        <v>120</v>
      </c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5.75" customHeight="1" x14ac:dyDescent="0.75">
      <c r="A1567" s="5">
        <v>3</v>
      </c>
      <c r="B1567" s="12" t="s">
        <v>15</v>
      </c>
      <c r="C1567" s="10"/>
      <c r="D1567" s="10"/>
      <c r="E1567" s="10"/>
      <c r="F1567" s="10"/>
      <c r="G1567" s="13">
        <f t="shared" si="96"/>
        <v>0</v>
      </c>
      <c r="H1567" s="10"/>
      <c r="I1567" s="1" t="s">
        <v>120</v>
      </c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5.75" customHeight="1" x14ac:dyDescent="0.75">
      <c r="A1568" s="39" t="s">
        <v>16</v>
      </c>
      <c r="B1568" s="40"/>
      <c r="C1568" s="40"/>
      <c r="D1568" s="40"/>
      <c r="E1568" s="40"/>
      <c r="F1568" s="40"/>
      <c r="G1568" s="41"/>
      <c r="H1568" s="14">
        <f>SUM(G1565:G1567)</f>
        <v>1195000</v>
      </c>
      <c r="I1568" s="1" t="s">
        <v>120</v>
      </c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5.75" customHeight="1" x14ac:dyDescent="0.75">
      <c r="A1569" s="39" t="s">
        <v>17</v>
      </c>
      <c r="B1569" s="40"/>
      <c r="C1569" s="40"/>
      <c r="D1569" s="40"/>
      <c r="E1569" s="40"/>
      <c r="F1569" s="40"/>
      <c r="G1569" s="41"/>
      <c r="H1569" s="14">
        <f>MAX(0,H1568-648000)</f>
        <v>547000</v>
      </c>
      <c r="I1569" s="1" t="s">
        <v>120</v>
      </c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5.75" customHeight="1" x14ac:dyDescent="0.75">
      <c r="A1570" s="42" t="s">
        <v>18</v>
      </c>
      <c r="B1570" s="40"/>
      <c r="C1570" s="40"/>
      <c r="D1570" s="40"/>
      <c r="E1570" s="40"/>
      <c r="F1570" s="40"/>
      <c r="G1570" s="41"/>
      <c r="H1570" s="15">
        <v>649000</v>
      </c>
      <c r="I1570" s="1" t="s">
        <v>120</v>
      </c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5.75" customHeight="1" x14ac:dyDescent="0.75">
      <c r="A1571" s="43" t="s">
        <v>19</v>
      </c>
      <c r="B1571" s="40"/>
      <c r="C1571" s="40"/>
      <c r="D1571" s="40"/>
      <c r="E1571" s="40"/>
      <c r="F1571" s="40"/>
      <c r="G1571" s="40"/>
      <c r="H1571" s="41"/>
      <c r="I1571" s="1" t="s">
        <v>120</v>
      </c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5.75" customHeight="1" x14ac:dyDescent="0.45"/>
    <row r="1573" spans="1:26" ht="15.75" customHeight="1" x14ac:dyDescent="0.45"/>
    <row r="1574" spans="1:26" ht="15.75" customHeight="1" x14ac:dyDescent="0.45"/>
    <row r="1575" spans="1:26" ht="15.75" customHeight="1" x14ac:dyDescent="0.45"/>
    <row r="1576" spans="1:26" ht="15.75" customHeight="1" x14ac:dyDescent="0.45"/>
    <row r="1577" spans="1:26" ht="15.75" customHeight="1" x14ac:dyDescent="0.45"/>
    <row r="1578" spans="1:26" ht="15.75" customHeight="1" x14ac:dyDescent="0.75">
      <c r="A1578" s="43" t="s">
        <v>0</v>
      </c>
      <c r="B1578" s="40"/>
      <c r="C1578" s="40"/>
      <c r="D1578" s="40"/>
      <c r="E1578" s="40"/>
      <c r="F1578" s="40"/>
      <c r="G1578" s="40"/>
      <c r="H1578" s="41"/>
      <c r="I1578" s="1" t="s">
        <v>120</v>
      </c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5.75" customHeight="1" x14ac:dyDescent="0.75">
      <c r="A1579" s="43" t="s">
        <v>269</v>
      </c>
      <c r="B1579" s="40"/>
      <c r="C1579" s="40"/>
      <c r="D1579" s="40"/>
      <c r="E1579" s="40"/>
      <c r="F1579" s="40"/>
      <c r="G1579" s="40"/>
      <c r="H1579" s="41"/>
      <c r="I1579" s="1" t="s">
        <v>120</v>
      </c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5.75" customHeight="1" x14ac:dyDescent="0.55000000000000004">
      <c r="A1580" s="2" t="s">
        <v>3</v>
      </c>
      <c r="B1580" s="2" t="s">
        <v>4</v>
      </c>
      <c r="C1580" s="2" t="s">
        <v>5</v>
      </c>
      <c r="D1580" s="2" t="s">
        <v>6</v>
      </c>
      <c r="E1580" s="2" t="s">
        <v>7</v>
      </c>
      <c r="F1580" s="3" t="s">
        <v>8</v>
      </c>
      <c r="G1580" s="2" t="s">
        <v>9</v>
      </c>
      <c r="H1580" s="4"/>
      <c r="I1580" s="1" t="s">
        <v>120</v>
      </c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5.75" customHeight="1" x14ac:dyDescent="0.75">
      <c r="A1581" s="5">
        <v>1</v>
      </c>
      <c r="B1581" s="21" t="s">
        <v>150</v>
      </c>
      <c r="C1581" s="7">
        <v>2311</v>
      </c>
      <c r="D1581" s="6" t="s">
        <v>12</v>
      </c>
      <c r="E1581" s="6">
        <v>1.7</v>
      </c>
      <c r="F1581" s="8">
        <v>293000</v>
      </c>
      <c r="G1581" s="9">
        <f t="shared" ref="G1581:G1583" si="97">IFERROR(E1581*F1581,0)</f>
        <v>498100</v>
      </c>
      <c r="H1581" s="10"/>
      <c r="I1581" s="1" t="s">
        <v>120</v>
      </c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5.75" customHeight="1" x14ac:dyDescent="0.75">
      <c r="A1582" s="5">
        <v>2</v>
      </c>
      <c r="B1582" s="16" t="s">
        <v>21</v>
      </c>
      <c r="C1582" s="17">
        <v>1140</v>
      </c>
      <c r="D1582" s="16" t="s">
        <v>14</v>
      </c>
      <c r="E1582" s="16">
        <v>1.81</v>
      </c>
      <c r="F1582" s="11">
        <v>435000</v>
      </c>
      <c r="G1582" s="9">
        <f t="shared" si="97"/>
        <v>787350</v>
      </c>
      <c r="H1582" s="10"/>
      <c r="I1582" s="1" t="s">
        <v>120</v>
      </c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5.75" customHeight="1" x14ac:dyDescent="0.75">
      <c r="A1583" s="5">
        <v>3</v>
      </c>
      <c r="B1583" s="12" t="s">
        <v>15</v>
      </c>
      <c r="C1583" s="10"/>
      <c r="D1583" s="10"/>
      <c r="E1583" s="10"/>
      <c r="F1583" s="10"/>
      <c r="G1583" s="13">
        <f t="shared" si="97"/>
        <v>0</v>
      </c>
      <c r="H1583" s="10"/>
      <c r="I1583" s="1" t="s">
        <v>120</v>
      </c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5.75" customHeight="1" x14ac:dyDescent="0.75">
      <c r="A1584" s="39" t="s">
        <v>16</v>
      </c>
      <c r="B1584" s="40"/>
      <c r="C1584" s="40"/>
      <c r="D1584" s="40"/>
      <c r="E1584" s="40"/>
      <c r="F1584" s="40"/>
      <c r="G1584" s="41"/>
      <c r="H1584" s="14">
        <f>SUM(G1581:G1583)</f>
        <v>1285450</v>
      </c>
      <c r="I1584" s="1" t="s">
        <v>120</v>
      </c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5.75" customHeight="1" x14ac:dyDescent="0.75">
      <c r="A1585" s="39" t="s">
        <v>17</v>
      </c>
      <c r="B1585" s="40"/>
      <c r="C1585" s="40"/>
      <c r="D1585" s="40"/>
      <c r="E1585" s="40"/>
      <c r="F1585" s="40"/>
      <c r="G1585" s="41"/>
      <c r="H1585" s="14">
        <f>MAX(0,H1584-648000)</f>
        <v>637450</v>
      </c>
      <c r="I1585" s="1" t="s">
        <v>120</v>
      </c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5.75" customHeight="1" x14ac:dyDescent="0.75">
      <c r="A1586" s="42" t="s">
        <v>18</v>
      </c>
      <c r="B1586" s="40"/>
      <c r="C1586" s="40"/>
      <c r="D1586" s="40"/>
      <c r="E1586" s="40"/>
      <c r="F1586" s="40"/>
      <c r="G1586" s="41"/>
      <c r="H1586" s="15">
        <v>649000</v>
      </c>
      <c r="I1586" s="1" t="s">
        <v>120</v>
      </c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5.75" customHeight="1" x14ac:dyDescent="0.75">
      <c r="A1587" s="43" t="s">
        <v>19</v>
      </c>
      <c r="B1587" s="40"/>
      <c r="C1587" s="40"/>
      <c r="D1587" s="40"/>
      <c r="E1587" s="40"/>
      <c r="F1587" s="40"/>
      <c r="G1587" s="40"/>
      <c r="H1587" s="41"/>
      <c r="I1587" s="1" t="s">
        <v>120</v>
      </c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5.75" customHeight="1" x14ac:dyDescent="0.45"/>
    <row r="1589" spans="1:26" ht="15.75" customHeight="1" x14ac:dyDescent="0.45"/>
    <row r="1590" spans="1:26" ht="15.75" customHeight="1" x14ac:dyDescent="0.45"/>
    <row r="1591" spans="1:26" ht="15.75" customHeight="1" x14ac:dyDescent="0.45"/>
    <row r="1592" spans="1:26" ht="15.75" customHeight="1" x14ac:dyDescent="0.45"/>
    <row r="1593" spans="1:26" ht="15.75" customHeight="1" x14ac:dyDescent="0.45"/>
    <row r="1594" spans="1:26" ht="15.75" customHeight="1" x14ac:dyDescent="0.45"/>
    <row r="1595" spans="1:26" ht="15.75" customHeight="1" x14ac:dyDescent="0.75">
      <c r="A1595" s="43" t="s">
        <v>0</v>
      </c>
      <c r="B1595" s="40"/>
      <c r="C1595" s="40"/>
      <c r="D1595" s="40"/>
      <c r="E1595" s="40"/>
      <c r="F1595" s="40"/>
      <c r="G1595" s="40"/>
      <c r="H1595" s="41"/>
      <c r="I1595" s="1" t="s">
        <v>120</v>
      </c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5.75" customHeight="1" x14ac:dyDescent="0.75">
      <c r="A1596" s="43" t="s">
        <v>270</v>
      </c>
      <c r="B1596" s="40"/>
      <c r="C1596" s="40"/>
      <c r="D1596" s="40"/>
      <c r="E1596" s="40"/>
      <c r="F1596" s="40"/>
      <c r="G1596" s="40"/>
      <c r="H1596" s="41"/>
      <c r="I1596" s="1" t="s">
        <v>120</v>
      </c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5.75" customHeight="1" x14ac:dyDescent="0.55000000000000004">
      <c r="A1597" s="2" t="s">
        <v>3</v>
      </c>
      <c r="B1597" s="2" t="s">
        <v>4</v>
      </c>
      <c r="C1597" s="2" t="s">
        <v>5</v>
      </c>
      <c r="D1597" s="2" t="s">
        <v>6</v>
      </c>
      <c r="E1597" s="2" t="s">
        <v>7</v>
      </c>
      <c r="F1597" s="3" t="s">
        <v>8</v>
      </c>
      <c r="G1597" s="2" t="s">
        <v>9</v>
      </c>
      <c r="H1597" s="4"/>
      <c r="I1597" s="1" t="s">
        <v>120</v>
      </c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5.75" customHeight="1" x14ac:dyDescent="0.75">
      <c r="A1598" s="5">
        <v>1</v>
      </c>
      <c r="B1598" s="21" t="s">
        <v>110</v>
      </c>
      <c r="C1598" s="7" t="s">
        <v>271</v>
      </c>
      <c r="D1598" s="6" t="s">
        <v>12</v>
      </c>
      <c r="E1598" s="6">
        <v>0.75</v>
      </c>
      <c r="F1598" s="8">
        <v>293000</v>
      </c>
      <c r="G1598" s="9">
        <f t="shared" ref="G1598:G1600" si="98">IFERROR(E1598*F1598,0)</f>
        <v>219750</v>
      </c>
      <c r="H1598" s="10"/>
      <c r="I1598" s="1" t="s">
        <v>120</v>
      </c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5.75" customHeight="1" x14ac:dyDescent="0.75">
      <c r="A1599" s="5">
        <v>2</v>
      </c>
      <c r="B1599" s="16" t="s">
        <v>272</v>
      </c>
      <c r="C1599" s="17">
        <v>1161</v>
      </c>
      <c r="D1599" s="16" t="s">
        <v>14</v>
      </c>
      <c r="E1599" s="16">
        <v>2.85</v>
      </c>
      <c r="F1599" s="11">
        <v>435000</v>
      </c>
      <c r="G1599" s="9">
        <f t="shared" si="98"/>
        <v>1239750</v>
      </c>
      <c r="H1599" s="10"/>
      <c r="I1599" s="1" t="s">
        <v>120</v>
      </c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5.75" customHeight="1" x14ac:dyDescent="0.75">
      <c r="A1600" s="5">
        <v>3</v>
      </c>
      <c r="B1600" s="12" t="s">
        <v>15</v>
      </c>
      <c r="C1600" s="10"/>
      <c r="D1600" s="10"/>
      <c r="E1600" s="10"/>
      <c r="F1600" s="10"/>
      <c r="G1600" s="13">
        <f t="shared" si="98"/>
        <v>0</v>
      </c>
      <c r="H1600" s="10"/>
      <c r="I1600" s="1" t="s">
        <v>120</v>
      </c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5.75" customHeight="1" x14ac:dyDescent="0.75">
      <c r="A1601" s="39" t="s">
        <v>16</v>
      </c>
      <c r="B1601" s="40"/>
      <c r="C1601" s="40"/>
      <c r="D1601" s="40"/>
      <c r="E1601" s="40"/>
      <c r="F1601" s="40"/>
      <c r="G1601" s="41"/>
      <c r="H1601" s="14">
        <f>SUM(G1598:G1600)</f>
        <v>1459500</v>
      </c>
      <c r="I1601" s="1" t="s">
        <v>120</v>
      </c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5.75" customHeight="1" x14ac:dyDescent="0.75">
      <c r="A1602" s="39" t="s">
        <v>17</v>
      </c>
      <c r="B1602" s="40"/>
      <c r="C1602" s="40"/>
      <c r="D1602" s="40"/>
      <c r="E1602" s="40"/>
      <c r="F1602" s="40"/>
      <c r="G1602" s="41"/>
      <c r="H1602" s="14">
        <f>MAX(0,H1601-648000)</f>
        <v>811500</v>
      </c>
      <c r="I1602" s="1" t="s">
        <v>120</v>
      </c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5.75" customHeight="1" x14ac:dyDescent="0.75">
      <c r="A1603" s="42" t="s">
        <v>18</v>
      </c>
      <c r="B1603" s="40"/>
      <c r="C1603" s="40"/>
      <c r="D1603" s="40"/>
      <c r="E1603" s="40"/>
      <c r="F1603" s="40"/>
      <c r="G1603" s="41"/>
      <c r="H1603" s="15">
        <v>649000</v>
      </c>
      <c r="I1603" s="1" t="s">
        <v>120</v>
      </c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5.75" customHeight="1" x14ac:dyDescent="0.75">
      <c r="A1604" s="43" t="s">
        <v>19</v>
      </c>
      <c r="B1604" s="40"/>
      <c r="C1604" s="40"/>
      <c r="D1604" s="40"/>
      <c r="E1604" s="40"/>
      <c r="F1604" s="40"/>
      <c r="G1604" s="40"/>
      <c r="H1604" s="41"/>
      <c r="I1604" s="1" t="s">
        <v>120</v>
      </c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5.75" customHeight="1" x14ac:dyDescent="0.45"/>
    <row r="1606" spans="1:26" ht="15.75" customHeight="1" x14ac:dyDescent="0.45"/>
    <row r="1607" spans="1:26" ht="15.75" customHeight="1" x14ac:dyDescent="0.45"/>
    <row r="1608" spans="1:26" ht="15.75" customHeight="1" x14ac:dyDescent="0.45"/>
    <row r="1609" spans="1:26" ht="15.75" customHeight="1" x14ac:dyDescent="0.45"/>
    <row r="1610" spans="1:26" ht="15.75" customHeight="1" x14ac:dyDescent="0.45"/>
    <row r="1611" spans="1:26" ht="15.75" customHeight="1" x14ac:dyDescent="0.45"/>
    <row r="1612" spans="1:26" ht="15.75" customHeight="1" x14ac:dyDescent="0.45"/>
    <row r="1613" spans="1:26" ht="15.75" customHeight="1" x14ac:dyDescent="0.45"/>
    <row r="1614" spans="1:26" ht="15.75" customHeight="1" x14ac:dyDescent="0.45"/>
    <row r="1615" spans="1:26" ht="15.75" customHeight="1" x14ac:dyDescent="0.75">
      <c r="A1615" s="43" t="s">
        <v>0</v>
      </c>
      <c r="B1615" s="40"/>
      <c r="C1615" s="40"/>
      <c r="D1615" s="40"/>
      <c r="E1615" s="40"/>
      <c r="F1615" s="40"/>
      <c r="G1615" s="40"/>
      <c r="H1615" s="41"/>
      <c r="I1615" s="1" t="s">
        <v>120</v>
      </c>
      <c r="J1615" s="19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5.75" customHeight="1" x14ac:dyDescent="0.75">
      <c r="A1616" s="43" t="s">
        <v>273</v>
      </c>
      <c r="B1616" s="40"/>
      <c r="C1616" s="40"/>
      <c r="D1616" s="40"/>
      <c r="E1616" s="40"/>
      <c r="F1616" s="40"/>
      <c r="G1616" s="40"/>
      <c r="H1616" s="41"/>
      <c r="I1616" s="1" t="s">
        <v>120</v>
      </c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5.75" customHeight="1" x14ac:dyDescent="0.55000000000000004">
      <c r="A1617" s="2" t="s">
        <v>3</v>
      </c>
      <c r="B1617" s="2" t="s">
        <v>4</v>
      </c>
      <c r="C1617" s="2" t="s">
        <v>5</v>
      </c>
      <c r="D1617" s="2" t="s">
        <v>6</v>
      </c>
      <c r="E1617" s="2" t="s">
        <v>7</v>
      </c>
      <c r="F1617" s="3" t="s">
        <v>8</v>
      </c>
      <c r="G1617" s="2" t="s">
        <v>9</v>
      </c>
      <c r="H1617" s="4"/>
      <c r="I1617" s="1" t="s">
        <v>120</v>
      </c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5.75" customHeight="1" x14ac:dyDescent="0.75">
      <c r="A1618" s="5">
        <v>1</v>
      </c>
      <c r="B1618" s="21" t="s">
        <v>274</v>
      </c>
      <c r="C1618" s="7">
        <v>4312</v>
      </c>
      <c r="D1618" s="6" t="s">
        <v>12</v>
      </c>
      <c r="E1618" s="6">
        <v>1.5</v>
      </c>
      <c r="F1618" s="8">
        <v>293000</v>
      </c>
      <c r="G1618" s="9">
        <f t="shared" ref="G1618:G1620" si="99">IFERROR(E1618*F1618,0)</f>
        <v>439500</v>
      </c>
      <c r="H1618" s="10"/>
      <c r="I1618" s="1" t="s">
        <v>120</v>
      </c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5.75" customHeight="1" x14ac:dyDescent="0.75">
      <c r="A1619" s="5">
        <v>2</v>
      </c>
      <c r="B1619" s="16" t="s">
        <v>82</v>
      </c>
      <c r="C1619" s="17">
        <v>4357</v>
      </c>
      <c r="D1619" s="16" t="s">
        <v>14</v>
      </c>
      <c r="E1619" s="16">
        <v>1.94</v>
      </c>
      <c r="F1619" s="11">
        <v>435000</v>
      </c>
      <c r="G1619" s="9">
        <f t="shared" si="99"/>
        <v>843900</v>
      </c>
      <c r="H1619" s="10"/>
      <c r="I1619" s="1" t="s">
        <v>120</v>
      </c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5.75" customHeight="1" x14ac:dyDescent="0.75">
      <c r="A1620" s="5">
        <v>3</v>
      </c>
      <c r="B1620" s="12" t="s">
        <v>15</v>
      </c>
      <c r="C1620" s="10"/>
      <c r="D1620" s="10"/>
      <c r="E1620" s="10"/>
      <c r="F1620" s="10"/>
      <c r="G1620" s="13">
        <f t="shared" si="99"/>
        <v>0</v>
      </c>
      <c r="H1620" s="10"/>
      <c r="I1620" s="1" t="s">
        <v>120</v>
      </c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5.75" customHeight="1" x14ac:dyDescent="0.75">
      <c r="A1621" s="39" t="s">
        <v>16</v>
      </c>
      <c r="B1621" s="40"/>
      <c r="C1621" s="40"/>
      <c r="D1621" s="40"/>
      <c r="E1621" s="40"/>
      <c r="F1621" s="40"/>
      <c r="G1621" s="41"/>
      <c r="H1621" s="14">
        <f>SUM(G1618:G1620)</f>
        <v>1283400</v>
      </c>
      <c r="I1621" s="1" t="s">
        <v>120</v>
      </c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5.75" customHeight="1" x14ac:dyDescent="0.75">
      <c r="A1622" s="39" t="s">
        <v>17</v>
      </c>
      <c r="B1622" s="40"/>
      <c r="C1622" s="40"/>
      <c r="D1622" s="40"/>
      <c r="E1622" s="40"/>
      <c r="F1622" s="40"/>
      <c r="G1622" s="41"/>
      <c r="H1622" s="14">
        <f>MAX(0,H1621-648000)</f>
        <v>635400</v>
      </c>
      <c r="I1622" s="1" t="s">
        <v>120</v>
      </c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5.75" customHeight="1" x14ac:dyDescent="0.75">
      <c r="A1623" s="42" t="s">
        <v>18</v>
      </c>
      <c r="B1623" s="40"/>
      <c r="C1623" s="40"/>
      <c r="D1623" s="40"/>
      <c r="E1623" s="40"/>
      <c r="F1623" s="40"/>
      <c r="G1623" s="41"/>
      <c r="H1623" s="15">
        <v>649000</v>
      </c>
      <c r="I1623" s="1" t="s">
        <v>120</v>
      </c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5.75" customHeight="1" x14ac:dyDescent="0.75">
      <c r="A1624" s="43" t="s">
        <v>19</v>
      </c>
      <c r="B1624" s="40"/>
      <c r="C1624" s="40"/>
      <c r="D1624" s="40"/>
      <c r="E1624" s="40"/>
      <c r="F1624" s="40"/>
      <c r="G1624" s="40"/>
      <c r="H1624" s="41"/>
      <c r="I1624" s="1" t="s">
        <v>120</v>
      </c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5.75" customHeight="1" x14ac:dyDescent="0.45"/>
    <row r="1626" spans="1:26" ht="15.75" customHeight="1" x14ac:dyDescent="0.45"/>
    <row r="1627" spans="1:26" ht="15.75" customHeight="1" x14ac:dyDescent="0.45"/>
    <row r="1628" spans="1:26" ht="15.75" customHeight="1" x14ac:dyDescent="0.45"/>
    <row r="1629" spans="1:26" ht="15.75" customHeight="1" x14ac:dyDescent="0.45"/>
    <row r="1630" spans="1:26" ht="15.75" customHeight="1" x14ac:dyDescent="0.45"/>
    <row r="1631" spans="1:26" ht="15.75" customHeight="1" x14ac:dyDescent="0.45"/>
    <row r="1632" spans="1:26" ht="15.75" customHeight="1" x14ac:dyDescent="0.45"/>
    <row r="1633" spans="1:26" ht="15.75" customHeight="1" x14ac:dyDescent="0.75">
      <c r="A1633" s="43" t="s">
        <v>0</v>
      </c>
      <c r="B1633" s="40"/>
      <c r="C1633" s="40"/>
      <c r="D1633" s="40"/>
      <c r="E1633" s="40"/>
      <c r="F1633" s="40"/>
      <c r="G1633" s="40"/>
      <c r="H1633" s="41"/>
      <c r="I1633" s="1" t="s">
        <v>120</v>
      </c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5.75" customHeight="1" x14ac:dyDescent="0.75">
      <c r="A1634" s="43" t="s">
        <v>275</v>
      </c>
      <c r="B1634" s="40"/>
      <c r="C1634" s="40"/>
      <c r="D1634" s="40"/>
      <c r="E1634" s="40"/>
      <c r="F1634" s="40"/>
      <c r="G1634" s="40"/>
      <c r="H1634" s="41"/>
      <c r="I1634" s="1" t="s">
        <v>120</v>
      </c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5.75" customHeight="1" x14ac:dyDescent="0.55000000000000004">
      <c r="A1635" s="2" t="s">
        <v>3</v>
      </c>
      <c r="B1635" s="2" t="s">
        <v>4</v>
      </c>
      <c r="C1635" s="2" t="s">
        <v>5</v>
      </c>
      <c r="D1635" s="2" t="s">
        <v>6</v>
      </c>
      <c r="E1635" s="2" t="s">
        <v>7</v>
      </c>
      <c r="F1635" s="3" t="s">
        <v>8</v>
      </c>
      <c r="G1635" s="2" t="s">
        <v>9</v>
      </c>
      <c r="H1635" s="4"/>
      <c r="I1635" s="1" t="s">
        <v>120</v>
      </c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5.75" customHeight="1" x14ac:dyDescent="0.75">
      <c r="A1636" s="5">
        <v>1</v>
      </c>
      <c r="B1636" s="21" t="s">
        <v>21</v>
      </c>
      <c r="C1636" s="7">
        <v>3633</v>
      </c>
      <c r="D1636" s="6" t="s">
        <v>12</v>
      </c>
      <c r="E1636" s="6">
        <v>1.45</v>
      </c>
      <c r="F1636" s="8">
        <v>293000</v>
      </c>
      <c r="G1636" s="9">
        <f t="shared" ref="G1636:G1638" si="100">IFERROR(E1636*F1636,0)</f>
        <v>424850</v>
      </c>
      <c r="H1636" s="10"/>
      <c r="I1636" s="1" t="s">
        <v>120</v>
      </c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5.75" customHeight="1" x14ac:dyDescent="0.75">
      <c r="A1637" s="5">
        <v>2</v>
      </c>
      <c r="B1637" s="16" t="s">
        <v>276</v>
      </c>
      <c r="C1637" s="17">
        <v>4361</v>
      </c>
      <c r="D1637" s="16" t="s">
        <v>14</v>
      </c>
      <c r="E1637" s="16">
        <v>2</v>
      </c>
      <c r="F1637" s="11">
        <v>435000</v>
      </c>
      <c r="G1637" s="9">
        <f t="shared" si="100"/>
        <v>870000</v>
      </c>
      <c r="H1637" s="10"/>
      <c r="I1637" s="1" t="s">
        <v>120</v>
      </c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5.75" customHeight="1" x14ac:dyDescent="0.75">
      <c r="A1638" s="5">
        <v>3</v>
      </c>
      <c r="B1638" s="12" t="s">
        <v>15</v>
      </c>
      <c r="C1638" s="10"/>
      <c r="D1638" s="10"/>
      <c r="E1638" s="10"/>
      <c r="F1638" s="10"/>
      <c r="G1638" s="13">
        <f t="shared" si="100"/>
        <v>0</v>
      </c>
      <c r="H1638" s="10"/>
      <c r="I1638" s="1" t="s">
        <v>120</v>
      </c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5.75" customHeight="1" x14ac:dyDescent="0.75">
      <c r="A1639" s="39" t="s">
        <v>16</v>
      </c>
      <c r="B1639" s="40"/>
      <c r="C1639" s="40"/>
      <c r="D1639" s="40"/>
      <c r="E1639" s="40"/>
      <c r="F1639" s="40"/>
      <c r="G1639" s="41"/>
      <c r="H1639" s="14">
        <f>SUM(G1636:G1638)</f>
        <v>1294850</v>
      </c>
      <c r="I1639" s="1" t="s">
        <v>120</v>
      </c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5.75" customHeight="1" x14ac:dyDescent="0.75">
      <c r="A1640" s="39" t="s">
        <v>17</v>
      </c>
      <c r="B1640" s="40"/>
      <c r="C1640" s="40"/>
      <c r="D1640" s="40"/>
      <c r="E1640" s="40"/>
      <c r="F1640" s="40"/>
      <c r="G1640" s="41"/>
      <c r="H1640" s="14">
        <f>MAX(0,H1639-648000)</f>
        <v>646850</v>
      </c>
      <c r="I1640" s="1" t="s">
        <v>120</v>
      </c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5.75" customHeight="1" x14ac:dyDescent="0.75">
      <c r="A1641" s="42" t="s">
        <v>18</v>
      </c>
      <c r="B1641" s="40"/>
      <c r="C1641" s="40"/>
      <c r="D1641" s="40"/>
      <c r="E1641" s="40"/>
      <c r="F1641" s="40"/>
      <c r="G1641" s="41"/>
      <c r="H1641" s="15">
        <v>649000</v>
      </c>
      <c r="I1641" s="1" t="s">
        <v>120</v>
      </c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5.75" customHeight="1" x14ac:dyDescent="0.75">
      <c r="A1642" s="43" t="s">
        <v>19</v>
      </c>
      <c r="B1642" s="40"/>
      <c r="C1642" s="40"/>
      <c r="D1642" s="40"/>
      <c r="E1642" s="40"/>
      <c r="F1642" s="40"/>
      <c r="G1642" s="40"/>
      <c r="H1642" s="41"/>
      <c r="I1642" s="1" t="s">
        <v>120</v>
      </c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5.75" customHeight="1" x14ac:dyDescent="0.45"/>
    <row r="1644" spans="1:26" ht="15.75" customHeight="1" x14ac:dyDescent="0.45"/>
    <row r="1645" spans="1:26" ht="15.75" customHeight="1" x14ac:dyDescent="0.45"/>
    <row r="1646" spans="1:26" ht="15.75" customHeight="1" x14ac:dyDescent="0.45"/>
    <row r="1647" spans="1:26" ht="15.75" customHeight="1" x14ac:dyDescent="0.45"/>
    <row r="1648" spans="1:26" ht="15.75" customHeight="1" x14ac:dyDescent="0.45"/>
    <row r="1649" spans="1:26" ht="15.75" customHeight="1" x14ac:dyDescent="0.45"/>
    <row r="1650" spans="1:26" ht="15.75" customHeight="1" x14ac:dyDescent="0.45"/>
    <row r="1651" spans="1:26" ht="15.75" customHeight="1" x14ac:dyDescent="0.45"/>
    <row r="1652" spans="1:26" ht="15.75" customHeight="1" x14ac:dyDescent="0.45"/>
    <row r="1653" spans="1:26" ht="15.75" customHeight="1" x14ac:dyDescent="0.45"/>
    <row r="1654" spans="1:26" ht="15.75" customHeight="1" x14ac:dyDescent="0.45"/>
    <row r="1655" spans="1:26" ht="15.75" customHeight="1" x14ac:dyDescent="0.45"/>
    <row r="1656" spans="1:26" ht="15.75" customHeight="1" x14ac:dyDescent="0.75">
      <c r="A1656" s="43" t="s">
        <v>0</v>
      </c>
      <c r="B1656" s="40"/>
      <c r="C1656" s="40"/>
      <c r="D1656" s="40"/>
      <c r="E1656" s="40"/>
      <c r="F1656" s="40"/>
      <c r="G1656" s="40"/>
      <c r="H1656" s="41"/>
      <c r="I1656" s="1" t="s">
        <v>120</v>
      </c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5.75" customHeight="1" x14ac:dyDescent="0.75">
      <c r="A1657" s="43" t="s">
        <v>277</v>
      </c>
      <c r="B1657" s="40"/>
      <c r="C1657" s="40"/>
      <c r="D1657" s="40"/>
      <c r="E1657" s="40"/>
      <c r="F1657" s="40"/>
      <c r="G1657" s="40"/>
      <c r="H1657" s="41"/>
      <c r="I1657" s="1" t="s">
        <v>120</v>
      </c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5.75" customHeight="1" x14ac:dyDescent="0.55000000000000004">
      <c r="A1658" s="2" t="s">
        <v>3</v>
      </c>
      <c r="B1658" s="2" t="s">
        <v>4</v>
      </c>
      <c r="C1658" s="2" t="s">
        <v>5</v>
      </c>
      <c r="D1658" s="2" t="s">
        <v>6</v>
      </c>
      <c r="E1658" s="2" t="s">
        <v>7</v>
      </c>
      <c r="F1658" s="3" t="s">
        <v>8</v>
      </c>
      <c r="G1658" s="2" t="s">
        <v>9</v>
      </c>
      <c r="H1658" s="4"/>
      <c r="I1658" s="1" t="s">
        <v>120</v>
      </c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5.75" customHeight="1" x14ac:dyDescent="0.75">
      <c r="A1659" s="5">
        <v>1</v>
      </c>
      <c r="B1659" s="21" t="s">
        <v>87</v>
      </c>
      <c r="C1659" s="7">
        <v>4587</v>
      </c>
      <c r="D1659" s="6" t="s">
        <v>12</v>
      </c>
      <c r="E1659" s="6">
        <v>2</v>
      </c>
      <c r="F1659" s="8">
        <v>293000</v>
      </c>
      <c r="G1659" s="9">
        <f t="shared" ref="G1659:G1661" si="101">IFERROR(E1659*F1659,0)</f>
        <v>586000</v>
      </c>
      <c r="H1659" s="10"/>
      <c r="I1659" s="1" t="s">
        <v>120</v>
      </c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5.75" customHeight="1" x14ac:dyDescent="0.75">
      <c r="A1660" s="5">
        <v>2</v>
      </c>
      <c r="B1660" s="16" t="s">
        <v>158</v>
      </c>
      <c r="C1660" s="17">
        <v>2947</v>
      </c>
      <c r="D1660" s="16" t="s">
        <v>14</v>
      </c>
      <c r="E1660" s="16">
        <v>1.52</v>
      </c>
      <c r="F1660" s="11">
        <v>435000</v>
      </c>
      <c r="G1660" s="9">
        <f t="shared" si="101"/>
        <v>661200</v>
      </c>
      <c r="H1660" s="10"/>
      <c r="I1660" s="1" t="s">
        <v>120</v>
      </c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5.75" customHeight="1" x14ac:dyDescent="0.75">
      <c r="A1661" s="5">
        <v>3</v>
      </c>
      <c r="B1661" s="12" t="s">
        <v>15</v>
      </c>
      <c r="C1661" s="10"/>
      <c r="D1661" s="10"/>
      <c r="E1661" s="10"/>
      <c r="F1661" s="10"/>
      <c r="G1661" s="13">
        <f t="shared" si="101"/>
        <v>0</v>
      </c>
      <c r="H1661" s="10"/>
      <c r="I1661" s="1" t="s">
        <v>120</v>
      </c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5.75" customHeight="1" x14ac:dyDescent="0.75">
      <c r="A1662" s="39" t="s">
        <v>16</v>
      </c>
      <c r="B1662" s="40"/>
      <c r="C1662" s="40"/>
      <c r="D1662" s="40"/>
      <c r="E1662" s="40"/>
      <c r="F1662" s="40"/>
      <c r="G1662" s="41"/>
      <c r="H1662" s="14">
        <f>SUM(G1659:G1661)</f>
        <v>1247200</v>
      </c>
      <c r="I1662" s="1" t="s">
        <v>120</v>
      </c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5.75" customHeight="1" x14ac:dyDescent="0.75">
      <c r="A1663" s="39" t="s">
        <v>17</v>
      </c>
      <c r="B1663" s="40"/>
      <c r="C1663" s="40"/>
      <c r="D1663" s="40"/>
      <c r="E1663" s="40"/>
      <c r="F1663" s="40"/>
      <c r="G1663" s="41"/>
      <c r="H1663" s="14">
        <f>MAX(0,H1662-648000)</f>
        <v>599200</v>
      </c>
      <c r="I1663" s="1" t="s">
        <v>120</v>
      </c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5.75" customHeight="1" x14ac:dyDescent="0.75">
      <c r="A1664" s="42" t="s">
        <v>18</v>
      </c>
      <c r="B1664" s="40"/>
      <c r="C1664" s="40"/>
      <c r="D1664" s="40"/>
      <c r="E1664" s="40"/>
      <c r="F1664" s="40"/>
      <c r="G1664" s="41"/>
      <c r="H1664" s="15">
        <v>649000</v>
      </c>
      <c r="I1664" s="1" t="s">
        <v>120</v>
      </c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5.75" customHeight="1" x14ac:dyDescent="0.75">
      <c r="A1665" s="43" t="s">
        <v>19</v>
      </c>
      <c r="B1665" s="40"/>
      <c r="C1665" s="40"/>
      <c r="D1665" s="40"/>
      <c r="E1665" s="40"/>
      <c r="F1665" s="40"/>
      <c r="G1665" s="40"/>
      <c r="H1665" s="41"/>
      <c r="I1665" s="1" t="s">
        <v>120</v>
      </c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5.75" customHeight="1" x14ac:dyDescent="0.45"/>
    <row r="1667" spans="1:26" ht="15.75" customHeight="1" x14ac:dyDescent="0.45"/>
    <row r="1668" spans="1:26" ht="15.75" customHeight="1" x14ac:dyDescent="0.45"/>
    <row r="1669" spans="1:26" ht="15.75" customHeight="1" x14ac:dyDescent="0.45"/>
    <row r="1670" spans="1:26" ht="15.75" customHeight="1" x14ac:dyDescent="0.45"/>
    <row r="1671" spans="1:26" ht="15.75" customHeight="1" x14ac:dyDescent="0.45"/>
    <row r="1672" spans="1:26" ht="15.75" customHeight="1" x14ac:dyDescent="0.45"/>
    <row r="1673" spans="1:26" ht="15.75" customHeight="1" x14ac:dyDescent="0.45"/>
    <row r="1674" spans="1:26" ht="15.75" customHeight="1" x14ac:dyDescent="0.45"/>
    <row r="1675" spans="1:26" ht="15.75" customHeight="1" x14ac:dyDescent="0.75">
      <c r="A1675" s="43" t="s">
        <v>0</v>
      </c>
      <c r="B1675" s="40"/>
      <c r="C1675" s="40"/>
      <c r="D1675" s="40"/>
      <c r="E1675" s="40"/>
      <c r="F1675" s="40"/>
      <c r="G1675" s="40"/>
      <c r="H1675" s="41"/>
      <c r="I1675" s="1" t="s">
        <v>120</v>
      </c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5.75" customHeight="1" x14ac:dyDescent="0.75">
      <c r="A1676" s="43" t="s">
        <v>278</v>
      </c>
      <c r="B1676" s="40"/>
      <c r="C1676" s="40"/>
      <c r="D1676" s="40"/>
      <c r="E1676" s="40"/>
      <c r="F1676" s="40"/>
      <c r="G1676" s="40"/>
      <c r="H1676" s="41"/>
      <c r="I1676" s="1" t="s">
        <v>120</v>
      </c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5.75" customHeight="1" x14ac:dyDescent="0.55000000000000004">
      <c r="A1677" s="2" t="s">
        <v>3</v>
      </c>
      <c r="B1677" s="2" t="s">
        <v>4</v>
      </c>
      <c r="C1677" s="2" t="s">
        <v>5</v>
      </c>
      <c r="D1677" s="2" t="s">
        <v>6</v>
      </c>
      <c r="E1677" s="2" t="s">
        <v>7</v>
      </c>
      <c r="F1677" s="3" t="s">
        <v>8</v>
      </c>
      <c r="G1677" s="2" t="s">
        <v>9</v>
      </c>
      <c r="H1677" s="4"/>
      <c r="I1677" s="1" t="s">
        <v>120</v>
      </c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5.75" customHeight="1" x14ac:dyDescent="0.75">
      <c r="A1678" s="5">
        <v>1</v>
      </c>
      <c r="B1678" s="21" t="s">
        <v>87</v>
      </c>
      <c r="C1678" s="7">
        <v>4554</v>
      </c>
      <c r="D1678" s="6" t="s">
        <v>12</v>
      </c>
      <c r="E1678" s="6">
        <v>2.1</v>
      </c>
      <c r="F1678" s="8">
        <v>293000</v>
      </c>
      <c r="G1678" s="9">
        <f t="shared" ref="G1678:G1680" si="102">IFERROR(E1678*F1678,0)</f>
        <v>615300</v>
      </c>
      <c r="H1678" s="10"/>
      <c r="I1678" s="1" t="s">
        <v>120</v>
      </c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5.75" customHeight="1" x14ac:dyDescent="0.75">
      <c r="A1679" s="5">
        <v>2</v>
      </c>
      <c r="B1679" s="16" t="s">
        <v>35</v>
      </c>
      <c r="C1679" s="17">
        <v>5594</v>
      </c>
      <c r="D1679" s="16" t="s">
        <v>14</v>
      </c>
      <c r="E1679" s="16">
        <v>1.5</v>
      </c>
      <c r="F1679" s="11">
        <v>435000</v>
      </c>
      <c r="G1679" s="9">
        <f t="shared" si="102"/>
        <v>652500</v>
      </c>
      <c r="H1679" s="10"/>
      <c r="I1679" s="1" t="s">
        <v>120</v>
      </c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5.75" customHeight="1" x14ac:dyDescent="0.75">
      <c r="A1680" s="5">
        <v>3</v>
      </c>
      <c r="B1680" s="12" t="s">
        <v>15</v>
      </c>
      <c r="C1680" s="10"/>
      <c r="D1680" s="10"/>
      <c r="E1680" s="10"/>
      <c r="F1680" s="10"/>
      <c r="G1680" s="13">
        <f t="shared" si="102"/>
        <v>0</v>
      </c>
      <c r="H1680" s="10"/>
      <c r="I1680" s="1" t="s">
        <v>120</v>
      </c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5.75" customHeight="1" x14ac:dyDescent="0.75">
      <c r="A1681" s="39" t="s">
        <v>16</v>
      </c>
      <c r="B1681" s="40"/>
      <c r="C1681" s="40"/>
      <c r="D1681" s="40"/>
      <c r="E1681" s="40"/>
      <c r="F1681" s="40"/>
      <c r="G1681" s="41"/>
      <c r="H1681" s="14">
        <f>SUM(G1678:G1680)</f>
        <v>1267800</v>
      </c>
      <c r="I1681" s="1" t="s">
        <v>120</v>
      </c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5.75" customHeight="1" x14ac:dyDescent="0.75">
      <c r="A1682" s="39" t="s">
        <v>17</v>
      </c>
      <c r="B1682" s="40"/>
      <c r="C1682" s="40"/>
      <c r="D1682" s="40"/>
      <c r="E1682" s="40"/>
      <c r="F1682" s="40"/>
      <c r="G1682" s="41"/>
      <c r="H1682" s="14">
        <f>MAX(0,H1681-648000)</f>
        <v>619800</v>
      </c>
      <c r="I1682" s="1" t="s">
        <v>120</v>
      </c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5.75" customHeight="1" x14ac:dyDescent="0.75">
      <c r="A1683" s="42" t="s">
        <v>18</v>
      </c>
      <c r="B1683" s="40"/>
      <c r="C1683" s="40"/>
      <c r="D1683" s="40"/>
      <c r="E1683" s="40"/>
      <c r="F1683" s="40"/>
      <c r="G1683" s="41"/>
      <c r="H1683" s="15">
        <v>649000</v>
      </c>
      <c r="I1683" s="1" t="s">
        <v>120</v>
      </c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5.75" customHeight="1" x14ac:dyDescent="0.75">
      <c r="A1684" s="43" t="s">
        <v>19</v>
      </c>
      <c r="B1684" s="40"/>
      <c r="C1684" s="40"/>
      <c r="D1684" s="40"/>
      <c r="E1684" s="40"/>
      <c r="F1684" s="40"/>
      <c r="G1684" s="40"/>
      <c r="H1684" s="41"/>
      <c r="I1684" s="1" t="s">
        <v>120</v>
      </c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5.75" customHeight="1" x14ac:dyDescent="0.45"/>
    <row r="1686" spans="1:26" ht="15.75" customHeight="1" x14ac:dyDescent="0.45"/>
    <row r="1687" spans="1:26" ht="15.75" customHeight="1" x14ac:dyDescent="0.45"/>
    <row r="1688" spans="1:26" ht="15.75" customHeight="1" x14ac:dyDescent="0.45"/>
    <row r="1689" spans="1:26" ht="15.75" customHeight="1" x14ac:dyDescent="0.75">
      <c r="A1689" s="43" t="s">
        <v>0</v>
      </c>
      <c r="B1689" s="40"/>
      <c r="C1689" s="40"/>
      <c r="D1689" s="40"/>
      <c r="E1689" s="40"/>
      <c r="F1689" s="40"/>
      <c r="G1689" s="40"/>
      <c r="H1689" s="41"/>
      <c r="I1689" s="1" t="s">
        <v>120</v>
      </c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5.75" customHeight="1" x14ac:dyDescent="0.75">
      <c r="A1690" s="43" t="s">
        <v>279</v>
      </c>
      <c r="B1690" s="40"/>
      <c r="C1690" s="40"/>
      <c r="D1690" s="40"/>
      <c r="E1690" s="40"/>
      <c r="F1690" s="40"/>
      <c r="G1690" s="40"/>
      <c r="H1690" s="41"/>
      <c r="I1690" s="1" t="s">
        <v>120</v>
      </c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5.75" customHeight="1" x14ac:dyDescent="0.55000000000000004">
      <c r="A1691" s="2" t="s">
        <v>3</v>
      </c>
      <c r="B1691" s="2" t="s">
        <v>4</v>
      </c>
      <c r="C1691" s="2" t="s">
        <v>5</v>
      </c>
      <c r="D1691" s="2" t="s">
        <v>6</v>
      </c>
      <c r="E1691" s="2" t="s">
        <v>7</v>
      </c>
      <c r="F1691" s="3" t="s">
        <v>8</v>
      </c>
      <c r="G1691" s="2" t="s">
        <v>9</v>
      </c>
      <c r="H1691" s="4"/>
      <c r="I1691" s="1" t="s">
        <v>120</v>
      </c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5.75" customHeight="1" x14ac:dyDescent="0.75">
      <c r="A1692" s="5">
        <v>1</v>
      </c>
      <c r="B1692" s="21" t="s">
        <v>280</v>
      </c>
      <c r="C1692" s="7">
        <v>1258</v>
      </c>
      <c r="D1692" s="6" t="s">
        <v>12</v>
      </c>
      <c r="E1692" s="6">
        <v>1.53</v>
      </c>
      <c r="F1692" s="8">
        <v>293000</v>
      </c>
      <c r="G1692" s="9">
        <f t="shared" ref="G1692:G1694" si="103">IFERROR(E1692*F1692,0)</f>
        <v>448290</v>
      </c>
      <c r="H1692" s="10"/>
      <c r="I1692" s="1" t="s">
        <v>120</v>
      </c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5.75" customHeight="1" x14ac:dyDescent="0.75">
      <c r="A1693" s="5">
        <v>2</v>
      </c>
      <c r="B1693" s="16" t="s">
        <v>281</v>
      </c>
      <c r="C1693" s="17">
        <v>5599</v>
      </c>
      <c r="D1693" s="16" t="s">
        <v>14</v>
      </c>
      <c r="E1693" s="16">
        <v>2</v>
      </c>
      <c r="F1693" s="11">
        <v>435000</v>
      </c>
      <c r="G1693" s="9">
        <f t="shared" si="103"/>
        <v>870000</v>
      </c>
      <c r="H1693" s="10"/>
      <c r="I1693" s="1" t="s">
        <v>120</v>
      </c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5.75" customHeight="1" x14ac:dyDescent="0.75">
      <c r="A1694" s="5">
        <v>3</v>
      </c>
      <c r="B1694" s="12" t="s">
        <v>15</v>
      </c>
      <c r="C1694" s="10"/>
      <c r="D1694" s="10"/>
      <c r="E1694" s="10"/>
      <c r="F1694" s="10"/>
      <c r="G1694" s="13">
        <f t="shared" si="103"/>
        <v>0</v>
      </c>
      <c r="H1694" s="10"/>
      <c r="I1694" s="1" t="s">
        <v>120</v>
      </c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5.75" customHeight="1" x14ac:dyDescent="0.75">
      <c r="A1695" s="39" t="s">
        <v>16</v>
      </c>
      <c r="B1695" s="40"/>
      <c r="C1695" s="40"/>
      <c r="D1695" s="40"/>
      <c r="E1695" s="40"/>
      <c r="F1695" s="40"/>
      <c r="G1695" s="41"/>
      <c r="H1695" s="14">
        <f>SUM(G1692:G1694)</f>
        <v>1318290</v>
      </c>
      <c r="I1695" s="1" t="s">
        <v>120</v>
      </c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5.75" customHeight="1" x14ac:dyDescent="0.75">
      <c r="A1696" s="39" t="s">
        <v>17</v>
      </c>
      <c r="B1696" s="40"/>
      <c r="C1696" s="40"/>
      <c r="D1696" s="40"/>
      <c r="E1696" s="40"/>
      <c r="F1696" s="40"/>
      <c r="G1696" s="41"/>
      <c r="H1696" s="14">
        <f>MAX(0,H1695-648000)</f>
        <v>670290</v>
      </c>
      <c r="I1696" s="1" t="s">
        <v>120</v>
      </c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5.75" customHeight="1" x14ac:dyDescent="0.75">
      <c r="A1697" s="42" t="s">
        <v>18</v>
      </c>
      <c r="B1697" s="40"/>
      <c r="C1697" s="40"/>
      <c r="D1697" s="40"/>
      <c r="E1697" s="40"/>
      <c r="F1697" s="40"/>
      <c r="G1697" s="41"/>
      <c r="H1697" s="15">
        <v>649000</v>
      </c>
      <c r="I1697" s="1" t="s">
        <v>120</v>
      </c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5.75" customHeight="1" x14ac:dyDescent="0.75">
      <c r="A1698" s="43" t="s">
        <v>19</v>
      </c>
      <c r="B1698" s="40"/>
      <c r="C1698" s="40"/>
      <c r="D1698" s="40"/>
      <c r="E1698" s="40"/>
      <c r="F1698" s="40"/>
      <c r="G1698" s="40"/>
      <c r="H1698" s="41"/>
      <c r="I1698" s="1" t="s">
        <v>120</v>
      </c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5.75" customHeight="1" x14ac:dyDescent="0.45"/>
    <row r="1700" spans="1:26" ht="15.75" customHeight="1" x14ac:dyDescent="0.45"/>
    <row r="1701" spans="1:26" ht="15.75" customHeight="1" x14ac:dyDescent="0.45"/>
    <row r="1702" spans="1:26" ht="15.75" customHeight="1" x14ac:dyDescent="0.45"/>
    <row r="1703" spans="1:26" ht="15.75" customHeight="1" x14ac:dyDescent="0.45"/>
    <row r="1704" spans="1:26" ht="15.75" customHeight="1" x14ac:dyDescent="0.75">
      <c r="A1704" s="43" t="s">
        <v>0</v>
      </c>
      <c r="B1704" s="40"/>
      <c r="C1704" s="40"/>
      <c r="D1704" s="40"/>
      <c r="E1704" s="40"/>
      <c r="F1704" s="40"/>
      <c r="G1704" s="40"/>
      <c r="H1704" s="41"/>
      <c r="I1704" s="1" t="s">
        <v>120</v>
      </c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5.75" customHeight="1" x14ac:dyDescent="0.75">
      <c r="A1705" s="43" t="s">
        <v>282</v>
      </c>
      <c r="B1705" s="40"/>
      <c r="C1705" s="40"/>
      <c r="D1705" s="40"/>
      <c r="E1705" s="40"/>
      <c r="F1705" s="40"/>
      <c r="G1705" s="40"/>
      <c r="H1705" s="41"/>
      <c r="I1705" s="1" t="s">
        <v>120</v>
      </c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5.75" customHeight="1" x14ac:dyDescent="0.55000000000000004">
      <c r="A1706" s="2" t="s">
        <v>3</v>
      </c>
      <c r="B1706" s="2" t="s">
        <v>4</v>
      </c>
      <c r="C1706" s="2" t="s">
        <v>5</v>
      </c>
      <c r="D1706" s="2" t="s">
        <v>6</v>
      </c>
      <c r="E1706" s="2" t="s">
        <v>7</v>
      </c>
      <c r="F1706" s="3" t="s">
        <v>8</v>
      </c>
      <c r="G1706" s="2" t="s">
        <v>9</v>
      </c>
      <c r="H1706" s="4"/>
      <c r="I1706" s="1" t="s">
        <v>120</v>
      </c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5.75" customHeight="1" x14ac:dyDescent="0.75">
      <c r="A1707" s="5">
        <v>1</v>
      </c>
      <c r="B1707" s="21" t="s">
        <v>203</v>
      </c>
      <c r="C1707" s="7">
        <v>1834</v>
      </c>
      <c r="D1707" s="6" t="s">
        <v>12</v>
      </c>
      <c r="E1707" s="6">
        <v>0.45</v>
      </c>
      <c r="F1707" s="8">
        <v>293000</v>
      </c>
      <c r="G1707" s="9">
        <f t="shared" ref="G1707:G1709" si="104">IFERROR(E1707*F1707,0)</f>
        <v>131850</v>
      </c>
      <c r="H1707" s="10"/>
      <c r="I1707" s="1" t="s">
        <v>120</v>
      </c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5.75" customHeight="1" x14ac:dyDescent="0.75">
      <c r="A1708" s="5">
        <v>2</v>
      </c>
      <c r="B1708" s="16" t="s">
        <v>149</v>
      </c>
      <c r="C1708" s="17">
        <v>1246</v>
      </c>
      <c r="D1708" s="16" t="s">
        <v>14</v>
      </c>
      <c r="E1708" s="16">
        <v>2.96</v>
      </c>
      <c r="F1708" s="11">
        <v>435000</v>
      </c>
      <c r="G1708" s="9">
        <f t="shared" si="104"/>
        <v>1287600</v>
      </c>
      <c r="H1708" s="10"/>
      <c r="I1708" s="1" t="s">
        <v>120</v>
      </c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5.75" customHeight="1" x14ac:dyDescent="0.75">
      <c r="A1709" s="5">
        <v>3</v>
      </c>
      <c r="B1709" s="12" t="s">
        <v>15</v>
      </c>
      <c r="C1709" s="10"/>
      <c r="D1709" s="10"/>
      <c r="E1709" s="10"/>
      <c r="F1709" s="10"/>
      <c r="G1709" s="13">
        <f t="shared" si="104"/>
        <v>0</v>
      </c>
      <c r="H1709" s="10"/>
      <c r="I1709" s="1" t="s">
        <v>120</v>
      </c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5.75" customHeight="1" x14ac:dyDescent="0.75">
      <c r="A1710" s="39" t="s">
        <v>16</v>
      </c>
      <c r="B1710" s="40"/>
      <c r="C1710" s="40"/>
      <c r="D1710" s="40"/>
      <c r="E1710" s="40"/>
      <c r="F1710" s="40"/>
      <c r="G1710" s="41"/>
      <c r="H1710" s="14">
        <f>SUM(G1707:G1709)</f>
        <v>1419450</v>
      </c>
      <c r="I1710" s="1" t="s">
        <v>120</v>
      </c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5.75" customHeight="1" x14ac:dyDescent="0.75">
      <c r="A1711" s="39" t="s">
        <v>17</v>
      </c>
      <c r="B1711" s="40"/>
      <c r="C1711" s="40"/>
      <c r="D1711" s="40"/>
      <c r="E1711" s="40"/>
      <c r="F1711" s="40"/>
      <c r="G1711" s="41"/>
      <c r="H1711" s="14">
        <f>MAX(0,H1710-648000)</f>
        <v>771450</v>
      </c>
      <c r="I1711" s="1" t="s">
        <v>120</v>
      </c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5.75" customHeight="1" x14ac:dyDescent="0.75">
      <c r="A1712" s="42" t="s">
        <v>18</v>
      </c>
      <c r="B1712" s="40"/>
      <c r="C1712" s="40"/>
      <c r="D1712" s="40"/>
      <c r="E1712" s="40"/>
      <c r="F1712" s="40"/>
      <c r="G1712" s="41"/>
      <c r="H1712" s="15">
        <v>649000</v>
      </c>
      <c r="I1712" s="1" t="s">
        <v>120</v>
      </c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5.75" customHeight="1" x14ac:dyDescent="0.75">
      <c r="A1713" s="43" t="s">
        <v>19</v>
      </c>
      <c r="B1713" s="40"/>
      <c r="C1713" s="40"/>
      <c r="D1713" s="40"/>
      <c r="E1713" s="40"/>
      <c r="F1713" s="40"/>
      <c r="G1713" s="40"/>
      <c r="H1713" s="41"/>
      <c r="I1713" s="1" t="s">
        <v>120</v>
      </c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5.75" customHeight="1" x14ac:dyDescent="0.45"/>
    <row r="1715" spans="1:26" ht="15.75" customHeight="1" x14ac:dyDescent="0.45"/>
    <row r="1716" spans="1:26" ht="15.75" customHeight="1" x14ac:dyDescent="0.45"/>
    <row r="1717" spans="1:26" ht="15.75" customHeight="1" x14ac:dyDescent="0.45"/>
    <row r="1718" spans="1:26" ht="15.75" customHeight="1" x14ac:dyDescent="0.45"/>
    <row r="1719" spans="1:26" ht="15.75" customHeight="1" x14ac:dyDescent="0.45"/>
    <row r="1720" spans="1:26" ht="15.75" customHeight="1" x14ac:dyDescent="0.75">
      <c r="A1720" s="43" t="s">
        <v>0</v>
      </c>
      <c r="B1720" s="40"/>
      <c r="C1720" s="40"/>
      <c r="D1720" s="40"/>
      <c r="E1720" s="40"/>
      <c r="F1720" s="40"/>
      <c r="G1720" s="40"/>
      <c r="H1720" s="41"/>
      <c r="I1720" s="1" t="s">
        <v>120</v>
      </c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5.75" customHeight="1" x14ac:dyDescent="0.75">
      <c r="A1721" s="43" t="s">
        <v>283</v>
      </c>
      <c r="B1721" s="40"/>
      <c r="C1721" s="40"/>
      <c r="D1721" s="40"/>
      <c r="E1721" s="40"/>
      <c r="F1721" s="40"/>
      <c r="G1721" s="40"/>
      <c r="H1721" s="41"/>
      <c r="I1721" s="1" t="s">
        <v>120</v>
      </c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5.75" customHeight="1" x14ac:dyDescent="0.55000000000000004">
      <c r="A1722" s="2" t="s">
        <v>3</v>
      </c>
      <c r="B1722" s="2" t="s">
        <v>4</v>
      </c>
      <c r="C1722" s="2" t="s">
        <v>5</v>
      </c>
      <c r="D1722" s="2" t="s">
        <v>6</v>
      </c>
      <c r="E1722" s="2" t="s">
        <v>7</v>
      </c>
      <c r="F1722" s="3" t="s">
        <v>8</v>
      </c>
      <c r="G1722" s="2" t="s">
        <v>9</v>
      </c>
      <c r="H1722" s="4"/>
      <c r="I1722" s="1" t="s">
        <v>120</v>
      </c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5.75" customHeight="1" x14ac:dyDescent="0.75">
      <c r="A1723" s="5">
        <v>1</v>
      </c>
      <c r="B1723" s="21" t="s">
        <v>284</v>
      </c>
      <c r="C1723" s="7">
        <v>1089</v>
      </c>
      <c r="D1723" s="6" t="s">
        <v>12</v>
      </c>
      <c r="E1723" s="6">
        <v>2.88</v>
      </c>
      <c r="F1723" s="8">
        <v>293000</v>
      </c>
      <c r="G1723" s="9">
        <f t="shared" ref="G1723:G1725" si="105">IFERROR(E1723*F1723,0)</f>
        <v>843840</v>
      </c>
      <c r="H1723" s="10"/>
      <c r="I1723" s="1" t="s">
        <v>120</v>
      </c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5.75" customHeight="1" x14ac:dyDescent="0.75">
      <c r="A1724" s="5">
        <v>2</v>
      </c>
      <c r="B1724" s="16" t="s">
        <v>281</v>
      </c>
      <c r="C1724" s="17" t="s">
        <v>285</v>
      </c>
      <c r="D1724" s="16" t="s">
        <v>14</v>
      </c>
      <c r="E1724" s="16">
        <v>0.67</v>
      </c>
      <c r="F1724" s="11">
        <v>435000</v>
      </c>
      <c r="G1724" s="9">
        <f t="shared" si="105"/>
        <v>291450</v>
      </c>
      <c r="H1724" s="10"/>
      <c r="I1724" s="1" t="s">
        <v>120</v>
      </c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5.75" customHeight="1" x14ac:dyDescent="0.75">
      <c r="A1725" s="5">
        <v>3</v>
      </c>
      <c r="B1725" s="12" t="s">
        <v>15</v>
      </c>
      <c r="C1725" s="10"/>
      <c r="D1725" s="10"/>
      <c r="E1725" s="10"/>
      <c r="F1725" s="10"/>
      <c r="G1725" s="13">
        <f t="shared" si="105"/>
        <v>0</v>
      </c>
      <c r="H1725" s="10"/>
      <c r="I1725" s="1" t="s">
        <v>120</v>
      </c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5.75" customHeight="1" x14ac:dyDescent="0.75">
      <c r="A1726" s="39" t="s">
        <v>16</v>
      </c>
      <c r="B1726" s="40"/>
      <c r="C1726" s="40"/>
      <c r="D1726" s="40"/>
      <c r="E1726" s="40"/>
      <c r="F1726" s="40"/>
      <c r="G1726" s="41"/>
      <c r="H1726" s="14">
        <f>SUM(G1723:G1725)</f>
        <v>1135290</v>
      </c>
      <c r="I1726" s="1" t="s">
        <v>120</v>
      </c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5.75" customHeight="1" x14ac:dyDescent="0.75">
      <c r="A1727" s="39" t="s">
        <v>17</v>
      </c>
      <c r="B1727" s="40"/>
      <c r="C1727" s="40"/>
      <c r="D1727" s="40"/>
      <c r="E1727" s="40"/>
      <c r="F1727" s="40"/>
      <c r="G1727" s="41"/>
      <c r="H1727" s="14">
        <f>MAX(0,H1726-648000)</f>
        <v>487290</v>
      </c>
      <c r="I1727" s="1" t="s">
        <v>120</v>
      </c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5.75" customHeight="1" x14ac:dyDescent="0.75">
      <c r="A1728" s="42" t="s">
        <v>18</v>
      </c>
      <c r="B1728" s="40"/>
      <c r="C1728" s="40"/>
      <c r="D1728" s="40"/>
      <c r="E1728" s="40"/>
      <c r="F1728" s="40"/>
      <c r="G1728" s="41"/>
      <c r="H1728" s="15">
        <v>649000</v>
      </c>
      <c r="I1728" s="1" t="s">
        <v>120</v>
      </c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5.75" customHeight="1" x14ac:dyDescent="0.75">
      <c r="A1729" s="43" t="s">
        <v>19</v>
      </c>
      <c r="B1729" s="40"/>
      <c r="C1729" s="40"/>
      <c r="D1729" s="40"/>
      <c r="E1729" s="40"/>
      <c r="F1729" s="40"/>
      <c r="G1729" s="40"/>
      <c r="H1729" s="41"/>
      <c r="I1729" s="1" t="s">
        <v>120</v>
      </c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5.75" customHeight="1" x14ac:dyDescent="0.45"/>
    <row r="1731" spans="1:26" ht="15.75" customHeight="1" x14ac:dyDescent="0.45"/>
    <row r="1732" spans="1:26" ht="15.75" customHeight="1" x14ac:dyDescent="0.45"/>
    <row r="1733" spans="1:26" ht="15.75" customHeight="1" x14ac:dyDescent="0.45"/>
    <row r="1734" spans="1:26" ht="15.75" customHeight="1" x14ac:dyDescent="0.75">
      <c r="A1734" s="43" t="s">
        <v>0</v>
      </c>
      <c r="B1734" s="40"/>
      <c r="C1734" s="40"/>
      <c r="D1734" s="40"/>
      <c r="E1734" s="40"/>
      <c r="F1734" s="40"/>
      <c r="G1734" s="40"/>
      <c r="H1734" s="41"/>
      <c r="I1734" s="1" t="s">
        <v>120</v>
      </c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5.75" customHeight="1" x14ac:dyDescent="0.75">
      <c r="A1735" s="43" t="s">
        <v>286</v>
      </c>
      <c r="B1735" s="40"/>
      <c r="C1735" s="40"/>
      <c r="D1735" s="40"/>
      <c r="E1735" s="40"/>
      <c r="F1735" s="40"/>
      <c r="G1735" s="40"/>
      <c r="H1735" s="41"/>
      <c r="I1735" s="1" t="s">
        <v>120</v>
      </c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5.75" customHeight="1" x14ac:dyDescent="0.55000000000000004">
      <c r="A1736" s="2" t="s">
        <v>3</v>
      </c>
      <c r="B1736" s="2" t="s">
        <v>4</v>
      </c>
      <c r="C1736" s="2" t="s">
        <v>5</v>
      </c>
      <c r="D1736" s="2" t="s">
        <v>6</v>
      </c>
      <c r="E1736" s="2" t="s">
        <v>7</v>
      </c>
      <c r="F1736" s="3" t="s">
        <v>8</v>
      </c>
      <c r="G1736" s="2" t="s">
        <v>9</v>
      </c>
      <c r="H1736" s="4"/>
      <c r="I1736" s="1" t="s">
        <v>120</v>
      </c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5.75" customHeight="1" x14ac:dyDescent="0.75">
      <c r="A1737" s="5">
        <v>1</v>
      </c>
      <c r="B1737" s="21" t="s">
        <v>287</v>
      </c>
      <c r="C1737" s="7">
        <v>1112</v>
      </c>
      <c r="D1737" s="6" t="s">
        <v>12</v>
      </c>
      <c r="E1737" s="6">
        <v>2.98</v>
      </c>
      <c r="F1737" s="8">
        <v>293000</v>
      </c>
      <c r="G1737" s="9">
        <f t="shared" ref="G1737:G1739" si="106">IFERROR(E1737*F1737,0)</f>
        <v>873140</v>
      </c>
      <c r="H1737" s="10"/>
      <c r="I1737" s="1" t="s">
        <v>120</v>
      </c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5.75" customHeight="1" x14ac:dyDescent="0.75">
      <c r="A1738" s="5">
        <v>2</v>
      </c>
      <c r="B1738" s="16" t="s">
        <v>288</v>
      </c>
      <c r="C1738" s="17">
        <v>1895</v>
      </c>
      <c r="D1738" s="16" t="s">
        <v>14</v>
      </c>
      <c r="E1738" s="16">
        <v>0.86</v>
      </c>
      <c r="F1738" s="11">
        <v>435000</v>
      </c>
      <c r="G1738" s="9">
        <f t="shared" si="106"/>
        <v>374100</v>
      </c>
      <c r="H1738" s="10"/>
      <c r="I1738" s="1" t="s">
        <v>120</v>
      </c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5.75" customHeight="1" x14ac:dyDescent="0.75">
      <c r="A1739" s="5">
        <v>3</v>
      </c>
      <c r="B1739" s="12" t="s">
        <v>15</v>
      </c>
      <c r="C1739" s="10"/>
      <c r="D1739" s="10"/>
      <c r="E1739" s="10"/>
      <c r="F1739" s="10"/>
      <c r="G1739" s="13">
        <f t="shared" si="106"/>
        <v>0</v>
      </c>
      <c r="H1739" s="10"/>
      <c r="I1739" s="1" t="s">
        <v>120</v>
      </c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5.75" customHeight="1" x14ac:dyDescent="0.75">
      <c r="A1740" s="39" t="s">
        <v>16</v>
      </c>
      <c r="B1740" s="40"/>
      <c r="C1740" s="40"/>
      <c r="D1740" s="40"/>
      <c r="E1740" s="40"/>
      <c r="F1740" s="40"/>
      <c r="G1740" s="41"/>
      <c r="H1740" s="14">
        <f>SUM(G1737:G1739)</f>
        <v>1247240</v>
      </c>
      <c r="I1740" s="1" t="s">
        <v>120</v>
      </c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5.75" customHeight="1" x14ac:dyDescent="0.75">
      <c r="A1741" s="39" t="s">
        <v>17</v>
      </c>
      <c r="B1741" s="40"/>
      <c r="C1741" s="40"/>
      <c r="D1741" s="40"/>
      <c r="E1741" s="40"/>
      <c r="F1741" s="40"/>
      <c r="G1741" s="41"/>
      <c r="H1741" s="14">
        <f>MAX(0,H1740-648000)</f>
        <v>599240</v>
      </c>
      <c r="I1741" s="1" t="s">
        <v>120</v>
      </c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5.75" customHeight="1" x14ac:dyDescent="0.75">
      <c r="A1742" s="42" t="s">
        <v>18</v>
      </c>
      <c r="B1742" s="40"/>
      <c r="C1742" s="40"/>
      <c r="D1742" s="40"/>
      <c r="E1742" s="40"/>
      <c r="F1742" s="40"/>
      <c r="G1742" s="41"/>
      <c r="H1742" s="15">
        <v>649000</v>
      </c>
      <c r="I1742" s="1" t="s">
        <v>120</v>
      </c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5.75" customHeight="1" x14ac:dyDescent="0.75">
      <c r="A1743" s="43" t="s">
        <v>19</v>
      </c>
      <c r="B1743" s="40"/>
      <c r="C1743" s="40"/>
      <c r="D1743" s="40"/>
      <c r="E1743" s="40"/>
      <c r="F1743" s="40"/>
      <c r="G1743" s="40"/>
      <c r="H1743" s="41"/>
      <c r="I1743" s="1" t="s">
        <v>120</v>
      </c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5.75" customHeight="1" x14ac:dyDescent="0.45"/>
    <row r="1745" spans="1:26" ht="15.75" customHeight="1" x14ac:dyDescent="0.45"/>
    <row r="1746" spans="1:26" ht="15.75" customHeight="1" x14ac:dyDescent="0.45"/>
    <row r="1747" spans="1:26" ht="15.75" customHeight="1" x14ac:dyDescent="0.45"/>
    <row r="1748" spans="1:26" ht="15.75" customHeight="1" x14ac:dyDescent="0.45"/>
    <row r="1749" spans="1:26" ht="15.75" customHeight="1" x14ac:dyDescent="0.75">
      <c r="A1749" s="43" t="s">
        <v>0</v>
      </c>
      <c r="B1749" s="40"/>
      <c r="C1749" s="40"/>
      <c r="D1749" s="40"/>
      <c r="E1749" s="40"/>
      <c r="F1749" s="40"/>
      <c r="G1749" s="40"/>
      <c r="H1749" s="41"/>
      <c r="I1749" s="1" t="s">
        <v>120</v>
      </c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5.75" customHeight="1" x14ac:dyDescent="0.75">
      <c r="A1750" s="43" t="s">
        <v>289</v>
      </c>
      <c r="B1750" s="40"/>
      <c r="C1750" s="40"/>
      <c r="D1750" s="40"/>
      <c r="E1750" s="40"/>
      <c r="F1750" s="40"/>
      <c r="G1750" s="40"/>
      <c r="H1750" s="41"/>
      <c r="I1750" s="1" t="s">
        <v>120</v>
      </c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5.75" customHeight="1" x14ac:dyDescent="0.55000000000000004">
      <c r="A1751" s="2" t="s">
        <v>3</v>
      </c>
      <c r="B1751" s="2" t="s">
        <v>4</v>
      </c>
      <c r="C1751" s="2" t="s">
        <v>5</v>
      </c>
      <c r="D1751" s="2" t="s">
        <v>6</v>
      </c>
      <c r="E1751" s="2" t="s">
        <v>7</v>
      </c>
      <c r="F1751" s="3" t="s">
        <v>8</v>
      </c>
      <c r="G1751" s="2" t="s">
        <v>9</v>
      </c>
      <c r="H1751" s="4"/>
      <c r="I1751" s="1" t="s">
        <v>120</v>
      </c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5.75" customHeight="1" x14ac:dyDescent="0.75">
      <c r="A1752" s="5">
        <v>1</v>
      </c>
      <c r="B1752" s="21" t="s">
        <v>70</v>
      </c>
      <c r="C1752" s="7">
        <v>2289</v>
      </c>
      <c r="D1752" s="6" t="s">
        <v>12</v>
      </c>
      <c r="E1752" s="6">
        <v>2</v>
      </c>
      <c r="F1752" s="8">
        <v>293000</v>
      </c>
      <c r="G1752" s="9">
        <f t="shared" ref="G1752:G1754" si="107">IFERROR(E1752*F1752,0)</f>
        <v>586000</v>
      </c>
      <c r="H1752" s="10"/>
      <c r="I1752" s="1" t="s">
        <v>120</v>
      </c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5.75" customHeight="1" x14ac:dyDescent="0.75">
      <c r="A1753" s="5">
        <v>2</v>
      </c>
      <c r="B1753" s="16" t="s">
        <v>103</v>
      </c>
      <c r="C1753" s="17" t="s">
        <v>260</v>
      </c>
      <c r="D1753" s="16" t="s">
        <v>14</v>
      </c>
      <c r="E1753" s="16">
        <v>1.45</v>
      </c>
      <c r="F1753" s="11">
        <v>435000</v>
      </c>
      <c r="G1753" s="9">
        <f t="shared" si="107"/>
        <v>630750</v>
      </c>
      <c r="H1753" s="10"/>
      <c r="I1753" s="1" t="s">
        <v>120</v>
      </c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5.75" customHeight="1" x14ac:dyDescent="0.75">
      <c r="A1754" s="5">
        <v>3</v>
      </c>
      <c r="B1754" s="12" t="s">
        <v>15</v>
      </c>
      <c r="C1754" s="10"/>
      <c r="D1754" s="10"/>
      <c r="E1754" s="10"/>
      <c r="F1754" s="10"/>
      <c r="G1754" s="13">
        <f t="shared" si="107"/>
        <v>0</v>
      </c>
      <c r="H1754" s="10"/>
      <c r="I1754" s="1" t="s">
        <v>120</v>
      </c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5.75" customHeight="1" x14ac:dyDescent="0.75">
      <c r="A1755" s="39" t="s">
        <v>16</v>
      </c>
      <c r="B1755" s="40"/>
      <c r="C1755" s="40"/>
      <c r="D1755" s="40"/>
      <c r="E1755" s="40"/>
      <c r="F1755" s="40"/>
      <c r="G1755" s="41"/>
      <c r="H1755" s="14">
        <f>SUM(G1752:G1754)</f>
        <v>1216750</v>
      </c>
      <c r="I1755" s="1" t="s">
        <v>120</v>
      </c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5.75" customHeight="1" x14ac:dyDescent="0.75">
      <c r="A1756" s="39" t="s">
        <v>17</v>
      </c>
      <c r="B1756" s="40"/>
      <c r="C1756" s="40"/>
      <c r="D1756" s="40"/>
      <c r="E1756" s="40"/>
      <c r="F1756" s="40"/>
      <c r="G1756" s="41"/>
      <c r="H1756" s="14">
        <f>MAX(0,H1755-648000)</f>
        <v>568750</v>
      </c>
      <c r="I1756" s="1" t="s">
        <v>120</v>
      </c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5.75" customHeight="1" x14ac:dyDescent="0.75">
      <c r="A1757" s="42" t="s">
        <v>18</v>
      </c>
      <c r="B1757" s="40"/>
      <c r="C1757" s="40"/>
      <c r="D1757" s="40"/>
      <c r="E1757" s="40"/>
      <c r="F1757" s="40"/>
      <c r="G1757" s="41"/>
      <c r="H1757" s="15">
        <v>649000</v>
      </c>
      <c r="I1757" s="1" t="s">
        <v>120</v>
      </c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5.75" customHeight="1" x14ac:dyDescent="0.75">
      <c r="A1758" s="43" t="s">
        <v>19</v>
      </c>
      <c r="B1758" s="40"/>
      <c r="C1758" s="40"/>
      <c r="D1758" s="40"/>
      <c r="E1758" s="40"/>
      <c r="F1758" s="40"/>
      <c r="G1758" s="40"/>
      <c r="H1758" s="41"/>
      <c r="I1758" s="1" t="s">
        <v>120</v>
      </c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5.75" customHeight="1" x14ac:dyDescent="0.45"/>
    <row r="1760" spans="1:26" ht="15.75" customHeight="1" x14ac:dyDescent="0.45"/>
    <row r="1761" spans="1:26" ht="15.75" customHeight="1" x14ac:dyDescent="0.45"/>
    <row r="1762" spans="1:26" ht="15.75" customHeight="1" x14ac:dyDescent="0.45"/>
    <row r="1763" spans="1:26" ht="15.75" customHeight="1" x14ac:dyDescent="0.45"/>
    <row r="1764" spans="1:26" ht="15.75" customHeight="1" x14ac:dyDescent="0.45"/>
    <row r="1765" spans="1:26" ht="15.75" customHeight="1" x14ac:dyDescent="0.45"/>
    <row r="1766" spans="1:26" ht="15.75" customHeight="1" x14ac:dyDescent="0.75">
      <c r="A1766" s="43" t="s">
        <v>0</v>
      </c>
      <c r="B1766" s="40"/>
      <c r="C1766" s="40"/>
      <c r="D1766" s="40"/>
      <c r="E1766" s="40"/>
      <c r="F1766" s="40"/>
      <c r="G1766" s="40"/>
      <c r="H1766" s="41"/>
      <c r="I1766" s="1" t="s">
        <v>120</v>
      </c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5.75" customHeight="1" x14ac:dyDescent="0.75">
      <c r="A1767" s="43" t="s">
        <v>290</v>
      </c>
      <c r="B1767" s="40"/>
      <c r="C1767" s="40"/>
      <c r="D1767" s="40"/>
      <c r="E1767" s="40"/>
      <c r="F1767" s="40"/>
      <c r="G1767" s="40"/>
      <c r="H1767" s="41"/>
      <c r="I1767" s="1" t="s">
        <v>120</v>
      </c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5.75" customHeight="1" x14ac:dyDescent="0.55000000000000004">
      <c r="A1768" s="2" t="s">
        <v>3</v>
      </c>
      <c r="B1768" s="2" t="s">
        <v>4</v>
      </c>
      <c r="C1768" s="2" t="s">
        <v>5</v>
      </c>
      <c r="D1768" s="2" t="s">
        <v>6</v>
      </c>
      <c r="E1768" s="2" t="s">
        <v>7</v>
      </c>
      <c r="F1768" s="3" t="s">
        <v>8</v>
      </c>
      <c r="G1768" s="2" t="s">
        <v>9</v>
      </c>
      <c r="H1768" s="4"/>
      <c r="I1768" s="1" t="s">
        <v>120</v>
      </c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5.75" customHeight="1" x14ac:dyDescent="0.75">
      <c r="A1769" s="5">
        <v>1</v>
      </c>
      <c r="B1769" s="21" t="s">
        <v>265</v>
      </c>
      <c r="C1769" s="7">
        <v>2291</v>
      </c>
      <c r="D1769" s="6" t="s">
        <v>12</v>
      </c>
      <c r="E1769" s="6">
        <v>2</v>
      </c>
      <c r="F1769" s="8">
        <v>293000</v>
      </c>
      <c r="G1769" s="9">
        <f t="shared" ref="G1769:G1771" si="108">IFERROR(E1769*F1769,0)</f>
        <v>586000</v>
      </c>
      <c r="H1769" s="10"/>
      <c r="I1769" s="1" t="s">
        <v>120</v>
      </c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5.75" customHeight="1" x14ac:dyDescent="0.75">
      <c r="A1770" s="5">
        <v>2</v>
      </c>
      <c r="B1770" s="16" t="s">
        <v>103</v>
      </c>
      <c r="C1770" s="17" t="s">
        <v>260</v>
      </c>
      <c r="D1770" s="16" t="s">
        <v>14</v>
      </c>
      <c r="E1770" s="16">
        <v>1.54</v>
      </c>
      <c r="F1770" s="11">
        <v>435000</v>
      </c>
      <c r="G1770" s="9">
        <f t="shared" si="108"/>
        <v>669900</v>
      </c>
      <c r="H1770" s="10"/>
      <c r="I1770" s="1" t="s">
        <v>120</v>
      </c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5.75" customHeight="1" x14ac:dyDescent="0.75">
      <c r="A1771" s="5">
        <v>3</v>
      </c>
      <c r="B1771" s="12" t="s">
        <v>15</v>
      </c>
      <c r="C1771" s="10"/>
      <c r="D1771" s="10"/>
      <c r="E1771" s="10"/>
      <c r="F1771" s="10"/>
      <c r="G1771" s="13">
        <f t="shared" si="108"/>
        <v>0</v>
      </c>
      <c r="H1771" s="10"/>
      <c r="I1771" s="1" t="s">
        <v>120</v>
      </c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5.75" customHeight="1" x14ac:dyDescent="0.75">
      <c r="A1772" s="39" t="s">
        <v>16</v>
      </c>
      <c r="B1772" s="40"/>
      <c r="C1772" s="40"/>
      <c r="D1772" s="40"/>
      <c r="E1772" s="40"/>
      <c r="F1772" s="40"/>
      <c r="G1772" s="41"/>
      <c r="H1772" s="14">
        <f>SUM(G1769:G1771)</f>
        <v>1255900</v>
      </c>
      <c r="I1772" s="1" t="s">
        <v>120</v>
      </c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5.75" customHeight="1" x14ac:dyDescent="0.75">
      <c r="A1773" s="39" t="s">
        <v>17</v>
      </c>
      <c r="B1773" s="40"/>
      <c r="C1773" s="40"/>
      <c r="D1773" s="40"/>
      <c r="E1773" s="40"/>
      <c r="F1773" s="40"/>
      <c r="G1773" s="41"/>
      <c r="H1773" s="14">
        <f>MAX(0,H1772-648000)</f>
        <v>607900</v>
      </c>
      <c r="I1773" s="1" t="s">
        <v>120</v>
      </c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5.75" customHeight="1" x14ac:dyDescent="0.75">
      <c r="A1774" s="42" t="s">
        <v>18</v>
      </c>
      <c r="B1774" s="40"/>
      <c r="C1774" s="40"/>
      <c r="D1774" s="40"/>
      <c r="E1774" s="40"/>
      <c r="F1774" s="40"/>
      <c r="G1774" s="41"/>
      <c r="H1774" s="15">
        <v>649000</v>
      </c>
      <c r="I1774" s="1" t="s">
        <v>120</v>
      </c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5.75" customHeight="1" x14ac:dyDescent="0.75">
      <c r="A1775" s="43" t="s">
        <v>19</v>
      </c>
      <c r="B1775" s="40"/>
      <c r="C1775" s="40"/>
      <c r="D1775" s="40"/>
      <c r="E1775" s="40"/>
      <c r="F1775" s="40"/>
      <c r="G1775" s="40"/>
      <c r="H1775" s="41"/>
      <c r="I1775" s="1" t="s">
        <v>120</v>
      </c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5.75" customHeight="1" x14ac:dyDescent="0.45"/>
    <row r="1777" spans="1:26" ht="15.75" customHeight="1" x14ac:dyDescent="0.45"/>
    <row r="1778" spans="1:26" ht="15.75" customHeight="1" x14ac:dyDescent="0.45"/>
    <row r="1779" spans="1:26" ht="15.75" customHeight="1" x14ac:dyDescent="0.45"/>
    <row r="1780" spans="1:26" ht="15.75" customHeight="1" x14ac:dyDescent="0.45"/>
    <row r="1781" spans="1:26" ht="15.75" customHeight="1" x14ac:dyDescent="0.45"/>
    <row r="1782" spans="1:26" ht="15.75" customHeight="1" x14ac:dyDescent="0.45"/>
    <row r="1783" spans="1:26" ht="15.75" customHeight="1" x14ac:dyDescent="0.75">
      <c r="A1783" s="43" t="s">
        <v>0</v>
      </c>
      <c r="B1783" s="40"/>
      <c r="C1783" s="40"/>
      <c r="D1783" s="40"/>
      <c r="E1783" s="40"/>
      <c r="F1783" s="40"/>
      <c r="G1783" s="40"/>
      <c r="H1783" s="41"/>
      <c r="I1783" s="1" t="s">
        <v>120</v>
      </c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5.75" customHeight="1" x14ac:dyDescent="0.75">
      <c r="A1784" s="43" t="s">
        <v>291</v>
      </c>
      <c r="B1784" s="40"/>
      <c r="C1784" s="40"/>
      <c r="D1784" s="40"/>
      <c r="E1784" s="40"/>
      <c r="F1784" s="40"/>
      <c r="G1784" s="40"/>
      <c r="H1784" s="41"/>
      <c r="I1784" s="1" t="s">
        <v>120</v>
      </c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5.75" customHeight="1" x14ac:dyDescent="0.55000000000000004">
      <c r="A1785" s="2" t="s">
        <v>3</v>
      </c>
      <c r="B1785" s="2" t="s">
        <v>4</v>
      </c>
      <c r="C1785" s="2" t="s">
        <v>5</v>
      </c>
      <c r="D1785" s="2" t="s">
        <v>6</v>
      </c>
      <c r="E1785" s="2" t="s">
        <v>7</v>
      </c>
      <c r="F1785" s="3" t="s">
        <v>8</v>
      </c>
      <c r="G1785" s="2" t="s">
        <v>9</v>
      </c>
      <c r="H1785" s="4"/>
      <c r="I1785" s="1" t="s">
        <v>120</v>
      </c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5.75" customHeight="1" x14ac:dyDescent="0.75">
      <c r="A1786" s="5">
        <v>1</v>
      </c>
      <c r="B1786" s="21" t="s">
        <v>292</v>
      </c>
      <c r="C1786" s="7">
        <v>8428</v>
      </c>
      <c r="D1786" s="6" t="s">
        <v>12</v>
      </c>
      <c r="E1786" s="6">
        <v>1.8</v>
      </c>
      <c r="F1786" s="8">
        <v>293000</v>
      </c>
      <c r="G1786" s="9">
        <f t="shared" ref="G1786:G1788" si="109">IFERROR(E1786*F1786,0)</f>
        <v>527400</v>
      </c>
      <c r="H1786" s="10"/>
      <c r="I1786" s="1" t="s">
        <v>120</v>
      </c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5.75" customHeight="1" x14ac:dyDescent="0.75">
      <c r="A1787" s="5">
        <v>2</v>
      </c>
      <c r="B1787" s="16" t="s">
        <v>70</v>
      </c>
      <c r="C1787" s="17">
        <v>3096</v>
      </c>
      <c r="D1787" s="16" t="s">
        <v>14</v>
      </c>
      <c r="E1787" s="16">
        <v>1.7</v>
      </c>
      <c r="F1787" s="11">
        <v>435000</v>
      </c>
      <c r="G1787" s="9">
        <f t="shared" si="109"/>
        <v>739500</v>
      </c>
      <c r="H1787" s="10"/>
      <c r="I1787" s="1" t="s">
        <v>120</v>
      </c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5.75" customHeight="1" x14ac:dyDescent="0.75">
      <c r="A1788" s="5">
        <v>3</v>
      </c>
      <c r="B1788" s="12" t="s">
        <v>15</v>
      </c>
      <c r="C1788" s="10"/>
      <c r="D1788" s="10"/>
      <c r="E1788" s="10"/>
      <c r="F1788" s="10"/>
      <c r="G1788" s="13">
        <f t="shared" si="109"/>
        <v>0</v>
      </c>
      <c r="H1788" s="10"/>
      <c r="I1788" s="1" t="s">
        <v>120</v>
      </c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5.75" customHeight="1" x14ac:dyDescent="0.75">
      <c r="A1789" s="39" t="s">
        <v>16</v>
      </c>
      <c r="B1789" s="40"/>
      <c r="C1789" s="40"/>
      <c r="D1789" s="40"/>
      <c r="E1789" s="40"/>
      <c r="F1789" s="40"/>
      <c r="G1789" s="41"/>
      <c r="H1789" s="14">
        <f>SUM(G1786:G1788)</f>
        <v>1266900</v>
      </c>
      <c r="I1789" s="1" t="s">
        <v>120</v>
      </c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5.75" customHeight="1" x14ac:dyDescent="0.75">
      <c r="A1790" s="39" t="s">
        <v>17</v>
      </c>
      <c r="B1790" s="40"/>
      <c r="C1790" s="40"/>
      <c r="D1790" s="40"/>
      <c r="E1790" s="40"/>
      <c r="F1790" s="40"/>
      <c r="G1790" s="41"/>
      <c r="H1790" s="14">
        <f>MAX(0,H1789-648000)</f>
        <v>618900</v>
      </c>
      <c r="I1790" s="1" t="s">
        <v>120</v>
      </c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5.75" customHeight="1" x14ac:dyDescent="0.75">
      <c r="A1791" s="42" t="s">
        <v>18</v>
      </c>
      <c r="B1791" s="40"/>
      <c r="C1791" s="40"/>
      <c r="D1791" s="40"/>
      <c r="E1791" s="40"/>
      <c r="F1791" s="40"/>
      <c r="G1791" s="41"/>
      <c r="H1791" s="15">
        <v>649000</v>
      </c>
      <c r="I1791" s="1" t="s">
        <v>120</v>
      </c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5.75" customHeight="1" x14ac:dyDescent="0.75">
      <c r="A1792" s="43" t="s">
        <v>19</v>
      </c>
      <c r="B1792" s="40"/>
      <c r="C1792" s="40"/>
      <c r="D1792" s="40"/>
      <c r="E1792" s="40"/>
      <c r="F1792" s="40"/>
      <c r="G1792" s="40"/>
      <c r="H1792" s="41"/>
      <c r="I1792" s="1" t="s">
        <v>120</v>
      </c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5.75" customHeight="1" x14ac:dyDescent="0.45"/>
    <row r="1794" spans="1:26" ht="15.75" customHeight="1" x14ac:dyDescent="0.45"/>
    <row r="1795" spans="1:26" ht="15.75" customHeight="1" x14ac:dyDescent="0.45"/>
    <row r="1796" spans="1:26" ht="15.75" customHeight="1" x14ac:dyDescent="0.45"/>
    <row r="1797" spans="1:26" ht="15.75" customHeight="1" x14ac:dyDescent="0.45"/>
    <row r="1798" spans="1:26" ht="15.75" customHeight="1" x14ac:dyDescent="0.45"/>
    <row r="1799" spans="1:26" ht="15.75" customHeight="1" x14ac:dyDescent="0.45"/>
    <row r="1800" spans="1:26" ht="15.75" customHeight="1" x14ac:dyDescent="0.75">
      <c r="A1800" s="43" t="s">
        <v>0</v>
      </c>
      <c r="B1800" s="40"/>
      <c r="C1800" s="40"/>
      <c r="D1800" s="40"/>
      <c r="E1800" s="40"/>
      <c r="F1800" s="40"/>
      <c r="G1800" s="40"/>
      <c r="H1800" s="41"/>
      <c r="I1800" s="1" t="s">
        <v>120</v>
      </c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5.75" customHeight="1" x14ac:dyDescent="0.75">
      <c r="A1801" s="43" t="s">
        <v>293</v>
      </c>
      <c r="B1801" s="40"/>
      <c r="C1801" s="40"/>
      <c r="D1801" s="40"/>
      <c r="E1801" s="40"/>
      <c r="F1801" s="40"/>
      <c r="G1801" s="40"/>
      <c r="H1801" s="41"/>
      <c r="I1801" s="1" t="s">
        <v>120</v>
      </c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5.75" customHeight="1" x14ac:dyDescent="0.55000000000000004">
      <c r="A1802" s="2" t="s">
        <v>3</v>
      </c>
      <c r="B1802" s="2" t="s">
        <v>4</v>
      </c>
      <c r="C1802" s="2" t="s">
        <v>5</v>
      </c>
      <c r="D1802" s="2" t="s">
        <v>6</v>
      </c>
      <c r="E1802" s="2" t="s">
        <v>7</v>
      </c>
      <c r="F1802" s="3" t="s">
        <v>8</v>
      </c>
      <c r="G1802" s="2" t="s">
        <v>9</v>
      </c>
      <c r="H1802" s="4"/>
      <c r="I1802" s="1" t="s">
        <v>120</v>
      </c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5.75" customHeight="1" x14ac:dyDescent="0.75">
      <c r="A1803" s="5">
        <v>1</v>
      </c>
      <c r="B1803" s="21" t="s">
        <v>294</v>
      </c>
      <c r="C1803" s="7">
        <v>7461</v>
      </c>
      <c r="D1803" s="6" t="s">
        <v>12</v>
      </c>
      <c r="E1803" s="6">
        <v>2.1</v>
      </c>
      <c r="F1803" s="8">
        <v>293000</v>
      </c>
      <c r="G1803" s="9">
        <f t="shared" ref="G1803:G1805" si="110">IFERROR(E1803*F1803,0)</f>
        <v>615300</v>
      </c>
      <c r="H1803" s="10"/>
      <c r="I1803" s="1" t="s">
        <v>120</v>
      </c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5.75" customHeight="1" x14ac:dyDescent="0.75">
      <c r="A1804" s="5">
        <v>2</v>
      </c>
      <c r="B1804" s="16" t="s">
        <v>295</v>
      </c>
      <c r="C1804" s="17">
        <v>1785</v>
      </c>
      <c r="D1804" s="16" t="s">
        <v>14</v>
      </c>
      <c r="E1804" s="16">
        <v>1.5</v>
      </c>
      <c r="F1804" s="11">
        <v>435000</v>
      </c>
      <c r="G1804" s="9">
        <f t="shared" si="110"/>
        <v>652500</v>
      </c>
      <c r="H1804" s="10"/>
      <c r="I1804" s="1" t="s">
        <v>120</v>
      </c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5.75" customHeight="1" x14ac:dyDescent="0.75">
      <c r="A1805" s="5">
        <v>3</v>
      </c>
      <c r="B1805" s="12" t="s">
        <v>15</v>
      </c>
      <c r="C1805" s="10"/>
      <c r="D1805" s="10"/>
      <c r="E1805" s="10"/>
      <c r="F1805" s="10"/>
      <c r="G1805" s="13">
        <f t="shared" si="110"/>
        <v>0</v>
      </c>
      <c r="H1805" s="10"/>
      <c r="I1805" s="1" t="s">
        <v>120</v>
      </c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5.75" customHeight="1" x14ac:dyDescent="0.75">
      <c r="A1806" s="39" t="s">
        <v>16</v>
      </c>
      <c r="B1806" s="40"/>
      <c r="C1806" s="40"/>
      <c r="D1806" s="40"/>
      <c r="E1806" s="40"/>
      <c r="F1806" s="40"/>
      <c r="G1806" s="41"/>
      <c r="H1806" s="14">
        <f>SUM(G1803:G1805)</f>
        <v>1267800</v>
      </c>
      <c r="I1806" s="1" t="s">
        <v>120</v>
      </c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5.75" customHeight="1" x14ac:dyDescent="0.75">
      <c r="A1807" s="39" t="s">
        <v>17</v>
      </c>
      <c r="B1807" s="40"/>
      <c r="C1807" s="40"/>
      <c r="D1807" s="40"/>
      <c r="E1807" s="40"/>
      <c r="F1807" s="40"/>
      <c r="G1807" s="41"/>
      <c r="H1807" s="14">
        <f>MAX(0,H1806-648000)</f>
        <v>619800</v>
      </c>
      <c r="I1807" s="1" t="s">
        <v>120</v>
      </c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5.75" customHeight="1" x14ac:dyDescent="0.75">
      <c r="A1808" s="42" t="s">
        <v>18</v>
      </c>
      <c r="B1808" s="40"/>
      <c r="C1808" s="40"/>
      <c r="D1808" s="40"/>
      <c r="E1808" s="40"/>
      <c r="F1808" s="40"/>
      <c r="G1808" s="41"/>
      <c r="H1808" s="15">
        <v>649000</v>
      </c>
      <c r="I1808" s="1" t="s">
        <v>120</v>
      </c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5.75" customHeight="1" x14ac:dyDescent="0.75">
      <c r="A1809" s="43" t="s">
        <v>19</v>
      </c>
      <c r="B1809" s="40"/>
      <c r="C1809" s="40"/>
      <c r="D1809" s="40"/>
      <c r="E1809" s="40"/>
      <c r="F1809" s="40"/>
      <c r="G1809" s="40"/>
      <c r="H1809" s="41"/>
      <c r="I1809" s="1" t="s">
        <v>120</v>
      </c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5.75" customHeight="1" x14ac:dyDescent="0.45"/>
    <row r="1811" spans="1:26" ht="15.75" customHeight="1" x14ac:dyDescent="0.45"/>
    <row r="1812" spans="1:26" ht="15.75" customHeight="1" x14ac:dyDescent="0.45"/>
    <row r="1813" spans="1:26" ht="15.75" customHeight="1" x14ac:dyDescent="0.45"/>
    <row r="1814" spans="1:26" ht="15.75" customHeight="1" x14ac:dyDescent="0.45"/>
    <row r="1815" spans="1:26" ht="15.75" customHeight="1" x14ac:dyDescent="0.45"/>
    <row r="1816" spans="1:26" ht="15.75" customHeight="1" x14ac:dyDescent="0.75">
      <c r="A1816" s="43" t="s">
        <v>0</v>
      </c>
      <c r="B1816" s="40"/>
      <c r="C1816" s="40"/>
      <c r="D1816" s="40"/>
      <c r="E1816" s="40"/>
      <c r="F1816" s="40"/>
      <c r="G1816" s="40"/>
      <c r="H1816" s="41"/>
      <c r="I1816" s="1" t="s">
        <v>120</v>
      </c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5.75" customHeight="1" x14ac:dyDescent="0.75">
      <c r="A1817" s="43" t="s">
        <v>296</v>
      </c>
      <c r="B1817" s="40"/>
      <c r="C1817" s="40"/>
      <c r="D1817" s="40"/>
      <c r="E1817" s="40"/>
      <c r="F1817" s="40"/>
      <c r="G1817" s="40"/>
      <c r="H1817" s="41"/>
      <c r="I1817" s="1" t="s">
        <v>120</v>
      </c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5.75" customHeight="1" x14ac:dyDescent="0.55000000000000004">
      <c r="A1818" s="2" t="s">
        <v>3</v>
      </c>
      <c r="B1818" s="2" t="s">
        <v>4</v>
      </c>
      <c r="C1818" s="2" t="s">
        <v>5</v>
      </c>
      <c r="D1818" s="2" t="s">
        <v>6</v>
      </c>
      <c r="E1818" s="2" t="s">
        <v>7</v>
      </c>
      <c r="F1818" s="3" t="s">
        <v>8</v>
      </c>
      <c r="G1818" s="2" t="s">
        <v>9</v>
      </c>
      <c r="H1818" s="4"/>
      <c r="I1818" s="1" t="s">
        <v>120</v>
      </c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5.75" customHeight="1" x14ac:dyDescent="0.75">
      <c r="A1819" s="5">
        <v>1</v>
      </c>
      <c r="B1819" s="21" t="s">
        <v>56</v>
      </c>
      <c r="C1819" s="7">
        <v>2223</v>
      </c>
      <c r="D1819" s="6" t="s">
        <v>12</v>
      </c>
      <c r="E1819" s="6">
        <v>2</v>
      </c>
      <c r="F1819" s="8">
        <v>293000</v>
      </c>
      <c r="G1819" s="9">
        <f t="shared" ref="G1819:G1821" si="111">IFERROR(E1819*F1819,0)</f>
        <v>586000</v>
      </c>
      <c r="H1819" s="10"/>
      <c r="I1819" s="1" t="s">
        <v>120</v>
      </c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5.75" customHeight="1" x14ac:dyDescent="0.75">
      <c r="A1820" s="5">
        <v>2</v>
      </c>
      <c r="B1820" s="16" t="s">
        <v>70</v>
      </c>
      <c r="C1820" s="17">
        <v>7497</v>
      </c>
      <c r="D1820" s="16" t="s">
        <v>14</v>
      </c>
      <c r="E1820" s="16">
        <v>1.45</v>
      </c>
      <c r="F1820" s="11">
        <v>435000</v>
      </c>
      <c r="G1820" s="9">
        <f t="shared" si="111"/>
        <v>630750</v>
      </c>
      <c r="H1820" s="10"/>
      <c r="I1820" s="1" t="s">
        <v>120</v>
      </c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5.75" customHeight="1" x14ac:dyDescent="0.75">
      <c r="A1821" s="5">
        <v>3</v>
      </c>
      <c r="B1821" s="12" t="s">
        <v>15</v>
      </c>
      <c r="C1821" s="10"/>
      <c r="D1821" s="10"/>
      <c r="E1821" s="10"/>
      <c r="F1821" s="10"/>
      <c r="G1821" s="13">
        <f t="shared" si="111"/>
        <v>0</v>
      </c>
      <c r="H1821" s="10"/>
      <c r="I1821" s="1" t="s">
        <v>120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5.75" customHeight="1" x14ac:dyDescent="0.75">
      <c r="A1822" s="39" t="s">
        <v>16</v>
      </c>
      <c r="B1822" s="40"/>
      <c r="C1822" s="40"/>
      <c r="D1822" s="40"/>
      <c r="E1822" s="40"/>
      <c r="F1822" s="40"/>
      <c r="G1822" s="41"/>
      <c r="H1822" s="14">
        <f>SUM(G1819:G1821)</f>
        <v>1216750</v>
      </c>
      <c r="I1822" s="1" t="s">
        <v>120</v>
      </c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5.75" customHeight="1" x14ac:dyDescent="0.75">
      <c r="A1823" s="39" t="s">
        <v>17</v>
      </c>
      <c r="B1823" s="40"/>
      <c r="C1823" s="40"/>
      <c r="D1823" s="40"/>
      <c r="E1823" s="40"/>
      <c r="F1823" s="40"/>
      <c r="G1823" s="41"/>
      <c r="H1823" s="14">
        <f>MAX(0,H1822-648000)</f>
        <v>568750</v>
      </c>
      <c r="I1823" s="1" t="s">
        <v>120</v>
      </c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5.75" customHeight="1" x14ac:dyDescent="0.75">
      <c r="A1824" s="42" t="s">
        <v>18</v>
      </c>
      <c r="B1824" s="40"/>
      <c r="C1824" s="40"/>
      <c r="D1824" s="40"/>
      <c r="E1824" s="40"/>
      <c r="F1824" s="40"/>
      <c r="G1824" s="41"/>
      <c r="H1824" s="15">
        <v>649000</v>
      </c>
      <c r="I1824" s="1" t="s">
        <v>120</v>
      </c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5.75" customHeight="1" x14ac:dyDescent="0.75">
      <c r="A1825" s="43" t="s">
        <v>19</v>
      </c>
      <c r="B1825" s="40"/>
      <c r="C1825" s="40"/>
      <c r="D1825" s="40"/>
      <c r="E1825" s="40"/>
      <c r="F1825" s="40"/>
      <c r="G1825" s="40"/>
      <c r="H1825" s="41"/>
      <c r="I1825" s="1" t="s">
        <v>120</v>
      </c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5.75" customHeight="1" x14ac:dyDescent="0.45"/>
    <row r="1827" spans="1:26" ht="15.75" customHeight="1" x14ac:dyDescent="0.45"/>
    <row r="1828" spans="1:26" ht="15.75" customHeight="1" x14ac:dyDescent="0.45"/>
    <row r="1829" spans="1:26" ht="15.75" customHeight="1" x14ac:dyDescent="0.45"/>
    <row r="1830" spans="1:26" ht="15.75" customHeight="1" x14ac:dyDescent="0.45"/>
    <row r="1831" spans="1:26" ht="15.75" customHeight="1" x14ac:dyDescent="0.75">
      <c r="A1831" s="43" t="s">
        <v>0</v>
      </c>
      <c r="B1831" s="40"/>
      <c r="C1831" s="40"/>
      <c r="D1831" s="40"/>
      <c r="E1831" s="40"/>
      <c r="F1831" s="40"/>
      <c r="G1831" s="40"/>
      <c r="H1831" s="41"/>
      <c r="I1831" s="1" t="s">
        <v>120</v>
      </c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5.75" customHeight="1" x14ac:dyDescent="0.75">
      <c r="A1832" s="43" t="s">
        <v>297</v>
      </c>
      <c r="B1832" s="40"/>
      <c r="C1832" s="40"/>
      <c r="D1832" s="40"/>
      <c r="E1832" s="40"/>
      <c r="F1832" s="40"/>
      <c r="G1832" s="40"/>
      <c r="H1832" s="41"/>
      <c r="I1832" s="1" t="s">
        <v>120</v>
      </c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5.75" customHeight="1" x14ac:dyDescent="0.55000000000000004">
      <c r="A1833" s="2" t="s">
        <v>3</v>
      </c>
      <c r="B1833" s="2" t="s">
        <v>4</v>
      </c>
      <c r="C1833" s="2" t="s">
        <v>5</v>
      </c>
      <c r="D1833" s="2" t="s">
        <v>6</v>
      </c>
      <c r="E1833" s="2" t="s">
        <v>7</v>
      </c>
      <c r="F1833" s="3" t="s">
        <v>8</v>
      </c>
      <c r="G1833" s="2" t="s">
        <v>9</v>
      </c>
      <c r="H1833" s="4"/>
      <c r="I1833" s="1" t="s">
        <v>120</v>
      </c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5.75" customHeight="1" x14ac:dyDescent="0.75">
      <c r="A1834" s="5">
        <v>1</v>
      </c>
      <c r="B1834" s="21" t="s">
        <v>262</v>
      </c>
      <c r="C1834" s="7">
        <v>1003</v>
      </c>
      <c r="D1834" s="6" t="s">
        <v>12</v>
      </c>
      <c r="E1834" s="6">
        <v>2</v>
      </c>
      <c r="F1834" s="8">
        <v>293000</v>
      </c>
      <c r="G1834" s="9">
        <f t="shared" ref="G1834:G1836" si="112">IFERROR(E1834*F1834,0)</f>
        <v>586000</v>
      </c>
      <c r="H1834" s="10"/>
      <c r="I1834" s="1" t="s">
        <v>120</v>
      </c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5.75" customHeight="1" x14ac:dyDescent="0.75">
      <c r="A1835" s="5">
        <v>2</v>
      </c>
      <c r="B1835" s="16" t="s">
        <v>298</v>
      </c>
      <c r="C1835" s="17">
        <v>1146</v>
      </c>
      <c r="D1835" s="16" t="s">
        <v>14</v>
      </c>
      <c r="E1835" s="16">
        <v>1.48</v>
      </c>
      <c r="F1835" s="11">
        <v>435000</v>
      </c>
      <c r="G1835" s="9">
        <f t="shared" si="112"/>
        <v>643800</v>
      </c>
      <c r="H1835" s="10"/>
      <c r="I1835" s="1" t="s">
        <v>120</v>
      </c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5.75" customHeight="1" x14ac:dyDescent="0.75">
      <c r="A1836" s="5">
        <v>3</v>
      </c>
      <c r="B1836" s="12" t="s">
        <v>15</v>
      </c>
      <c r="C1836" s="10"/>
      <c r="D1836" s="10"/>
      <c r="E1836" s="10"/>
      <c r="F1836" s="10"/>
      <c r="G1836" s="13">
        <f t="shared" si="112"/>
        <v>0</v>
      </c>
      <c r="H1836" s="10"/>
      <c r="I1836" s="1" t="s">
        <v>120</v>
      </c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5.75" customHeight="1" x14ac:dyDescent="0.75">
      <c r="A1837" s="39" t="s">
        <v>16</v>
      </c>
      <c r="B1837" s="40"/>
      <c r="C1837" s="40"/>
      <c r="D1837" s="40"/>
      <c r="E1837" s="40"/>
      <c r="F1837" s="40"/>
      <c r="G1837" s="41"/>
      <c r="H1837" s="14">
        <f>SUM(G1834:G1836)</f>
        <v>1229800</v>
      </c>
      <c r="I1837" s="1" t="s">
        <v>120</v>
      </c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5.75" customHeight="1" x14ac:dyDescent="0.75">
      <c r="A1838" s="39" t="s">
        <v>17</v>
      </c>
      <c r="B1838" s="40"/>
      <c r="C1838" s="40"/>
      <c r="D1838" s="40"/>
      <c r="E1838" s="40"/>
      <c r="F1838" s="40"/>
      <c r="G1838" s="41"/>
      <c r="H1838" s="14">
        <f>MAX(0,H1837-648000)</f>
        <v>581800</v>
      </c>
      <c r="I1838" s="1" t="s">
        <v>120</v>
      </c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5.75" customHeight="1" x14ac:dyDescent="0.75">
      <c r="A1839" s="42" t="s">
        <v>18</v>
      </c>
      <c r="B1839" s="40"/>
      <c r="C1839" s="40"/>
      <c r="D1839" s="40"/>
      <c r="E1839" s="40"/>
      <c r="F1839" s="40"/>
      <c r="G1839" s="41"/>
      <c r="H1839" s="15">
        <v>649000</v>
      </c>
      <c r="I1839" s="1" t="s">
        <v>120</v>
      </c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5.75" customHeight="1" x14ac:dyDescent="0.75">
      <c r="A1840" s="43" t="s">
        <v>19</v>
      </c>
      <c r="B1840" s="40"/>
      <c r="C1840" s="40"/>
      <c r="D1840" s="40"/>
      <c r="E1840" s="40"/>
      <c r="F1840" s="40"/>
      <c r="G1840" s="40"/>
      <c r="H1840" s="41"/>
      <c r="I1840" s="1" t="s">
        <v>120</v>
      </c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5.75" customHeight="1" x14ac:dyDescent="0.45"/>
    <row r="1842" spans="1:26" ht="15.75" customHeight="1" x14ac:dyDescent="0.45"/>
    <row r="1843" spans="1:26" ht="15.75" customHeight="1" x14ac:dyDescent="0.45"/>
    <row r="1844" spans="1:26" ht="15.75" customHeight="1" x14ac:dyDescent="0.45"/>
    <row r="1845" spans="1:26" ht="15.75" customHeight="1" x14ac:dyDescent="0.45"/>
    <row r="1846" spans="1:26" ht="15.75" customHeight="1" x14ac:dyDescent="0.75">
      <c r="A1846" s="43" t="s">
        <v>0</v>
      </c>
      <c r="B1846" s="40"/>
      <c r="C1846" s="40"/>
      <c r="D1846" s="40"/>
      <c r="E1846" s="40"/>
      <c r="F1846" s="40"/>
      <c r="G1846" s="40"/>
      <c r="H1846" s="41"/>
      <c r="I1846" s="1" t="s">
        <v>120</v>
      </c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5.75" customHeight="1" x14ac:dyDescent="0.75">
      <c r="A1847" s="43" t="s">
        <v>299</v>
      </c>
      <c r="B1847" s="40"/>
      <c r="C1847" s="40"/>
      <c r="D1847" s="40"/>
      <c r="E1847" s="40"/>
      <c r="F1847" s="40"/>
      <c r="G1847" s="40"/>
      <c r="H1847" s="41"/>
      <c r="I1847" s="1" t="s">
        <v>120</v>
      </c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5.75" customHeight="1" x14ac:dyDescent="0.55000000000000004">
      <c r="A1848" s="2" t="s">
        <v>3</v>
      </c>
      <c r="B1848" s="2" t="s">
        <v>4</v>
      </c>
      <c r="C1848" s="2" t="s">
        <v>5</v>
      </c>
      <c r="D1848" s="2" t="s">
        <v>6</v>
      </c>
      <c r="E1848" s="2" t="s">
        <v>7</v>
      </c>
      <c r="F1848" s="3" t="s">
        <v>8</v>
      </c>
      <c r="G1848" s="2" t="s">
        <v>9</v>
      </c>
      <c r="H1848" s="4"/>
      <c r="I1848" s="1" t="s">
        <v>120</v>
      </c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5.75" customHeight="1" x14ac:dyDescent="0.75">
      <c r="A1849" s="5">
        <v>1</v>
      </c>
      <c r="B1849" s="21" t="s">
        <v>300</v>
      </c>
      <c r="C1849" s="7">
        <v>1118</v>
      </c>
      <c r="D1849" s="6" t="s">
        <v>12</v>
      </c>
      <c r="E1849" s="6">
        <v>2</v>
      </c>
      <c r="F1849" s="8">
        <v>293000</v>
      </c>
      <c r="G1849" s="9">
        <f t="shared" ref="G1849:G1851" si="113">IFERROR(E1849*F1849,0)</f>
        <v>586000</v>
      </c>
      <c r="H1849" s="10"/>
      <c r="I1849" s="1" t="s">
        <v>120</v>
      </c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5.75" customHeight="1" x14ac:dyDescent="0.75">
      <c r="A1850" s="5">
        <v>2</v>
      </c>
      <c r="B1850" s="16" t="s">
        <v>35</v>
      </c>
      <c r="C1850" s="17">
        <v>3669</v>
      </c>
      <c r="D1850" s="16" t="s">
        <v>14</v>
      </c>
      <c r="E1850" s="16">
        <v>1.49</v>
      </c>
      <c r="F1850" s="11">
        <v>435000</v>
      </c>
      <c r="G1850" s="9">
        <f t="shared" si="113"/>
        <v>648150</v>
      </c>
      <c r="H1850" s="10"/>
      <c r="I1850" s="1" t="s">
        <v>120</v>
      </c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5.75" customHeight="1" x14ac:dyDescent="0.75">
      <c r="A1851" s="5">
        <v>3</v>
      </c>
      <c r="B1851" s="12" t="s">
        <v>15</v>
      </c>
      <c r="C1851" s="10"/>
      <c r="D1851" s="10"/>
      <c r="E1851" s="10"/>
      <c r="F1851" s="10"/>
      <c r="G1851" s="13">
        <f t="shared" si="113"/>
        <v>0</v>
      </c>
      <c r="H1851" s="10"/>
      <c r="I1851" s="1" t="s">
        <v>120</v>
      </c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5.75" customHeight="1" x14ac:dyDescent="0.75">
      <c r="A1852" s="39" t="s">
        <v>16</v>
      </c>
      <c r="B1852" s="40"/>
      <c r="C1852" s="40"/>
      <c r="D1852" s="40"/>
      <c r="E1852" s="40"/>
      <c r="F1852" s="40"/>
      <c r="G1852" s="41"/>
      <c r="H1852" s="14">
        <f>SUM(G1849:G1851)</f>
        <v>1234150</v>
      </c>
      <c r="I1852" s="1" t="s">
        <v>120</v>
      </c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5.75" customHeight="1" x14ac:dyDescent="0.75">
      <c r="A1853" s="39" t="s">
        <v>17</v>
      </c>
      <c r="B1853" s="40"/>
      <c r="C1853" s="40"/>
      <c r="D1853" s="40"/>
      <c r="E1853" s="40"/>
      <c r="F1853" s="40"/>
      <c r="G1853" s="41"/>
      <c r="H1853" s="14">
        <f>MAX(0,H1852-648000)</f>
        <v>586150</v>
      </c>
      <c r="I1853" s="1" t="s">
        <v>120</v>
      </c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5.75" customHeight="1" x14ac:dyDescent="0.75">
      <c r="A1854" s="42" t="s">
        <v>18</v>
      </c>
      <c r="B1854" s="40"/>
      <c r="C1854" s="40"/>
      <c r="D1854" s="40"/>
      <c r="E1854" s="40"/>
      <c r="F1854" s="40"/>
      <c r="G1854" s="41"/>
      <c r="H1854" s="15">
        <v>649000</v>
      </c>
      <c r="I1854" s="1" t="s">
        <v>120</v>
      </c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5.75" customHeight="1" x14ac:dyDescent="0.75">
      <c r="A1855" s="43" t="s">
        <v>19</v>
      </c>
      <c r="B1855" s="40"/>
      <c r="C1855" s="40"/>
      <c r="D1855" s="40"/>
      <c r="E1855" s="40"/>
      <c r="F1855" s="40"/>
      <c r="G1855" s="40"/>
      <c r="H1855" s="41"/>
      <c r="I1855" s="1" t="s">
        <v>120</v>
      </c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5.75" customHeight="1" x14ac:dyDescent="0.45"/>
    <row r="1857" spans="1:26" ht="15.75" customHeight="1" x14ac:dyDescent="0.45"/>
    <row r="1858" spans="1:26" ht="15.75" customHeight="1" x14ac:dyDescent="0.45"/>
    <row r="1859" spans="1:26" ht="15.75" customHeight="1" x14ac:dyDescent="0.45"/>
    <row r="1860" spans="1:26" ht="15.75" customHeight="1" x14ac:dyDescent="0.45"/>
    <row r="1861" spans="1:26" ht="15.75" customHeight="1" x14ac:dyDescent="0.45"/>
    <row r="1862" spans="1:26" ht="15.75" customHeight="1" x14ac:dyDescent="0.75">
      <c r="A1862" s="43" t="s">
        <v>0</v>
      </c>
      <c r="B1862" s="40"/>
      <c r="C1862" s="40"/>
      <c r="D1862" s="40"/>
      <c r="E1862" s="40"/>
      <c r="F1862" s="40"/>
      <c r="G1862" s="40"/>
      <c r="H1862" s="41"/>
      <c r="I1862" s="1" t="s">
        <v>120</v>
      </c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5.75" customHeight="1" x14ac:dyDescent="0.75">
      <c r="A1863" s="43" t="s">
        <v>301</v>
      </c>
      <c r="B1863" s="40"/>
      <c r="C1863" s="40"/>
      <c r="D1863" s="40"/>
      <c r="E1863" s="40"/>
      <c r="F1863" s="40"/>
      <c r="G1863" s="40"/>
      <c r="H1863" s="41"/>
      <c r="I1863" s="1" t="s">
        <v>120</v>
      </c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5.75" customHeight="1" x14ac:dyDescent="0.55000000000000004">
      <c r="A1864" s="2" t="s">
        <v>3</v>
      </c>
      <c r="B1864" s="2" t="s">
        <v>4</v>
      </c>
      <c r="C1864" s="2" t="s">
        <v>5</v>
      </c>
      <c r="D1864" s="2" t="s">
        <v>6</v>
      </c>
      <c r="E1864" s="2" t="s">
        <v>7</v>
      </c>
      <c r="F1864" s="3" t="s">
        <v>8</v>
      </c>
      <c r="G1864" s="2" t="s">
        <v>9</v>
      </c>
      <c r="H1864" s="4"/>
      <c r="I1864" s="1" t="s">
        <v>120</v>
      </c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5.75" customHeight="1" x14ac:dyDescent="0.75">
      <c r="A1865" s="5">
        <v>1</v>
      </c>
      <c r="B1865" s="21" t="s">
        <v>82</v>
      </c>
      <c r="C1865" s="7">
        <v>1802</v>
      </c>
      <c r="D1865" s="6" t="s">
        <v>12</v>
      </c>
      <c r="E1865" s="6">
        <v>2</v>
      </c>
      <c r="F1865" s="8">
        <v>293000</v>
      </c>
      <c r="G1865" s="9">
        <f t="shared" ref="G1865:G1867" si="114">IFERROR(E1865*F1865,0)</f>
        <v>586000</v>
      </c>
      <c r="H1865" s="10"/>
      <c r="I1865" s="1" t="s">
        <v>120</v>
      </c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5.75" customHeight="1" x14ac:dyDescent="0.75">
      <c r="A1866" s="5">
        <v>2</v>
      </c>
      <c r="B1866" s="16" t="s">
        <v>35</v>
      </c>
      <c r="C1866" s="17">
        <v>58966</v>
      </c>
      <c r="D1866" s="16" t="s">
        <v>14</v>
      </c>
      <c r="E1866" s="16">
        <v>1.45</v>
      </c>
      <c r="F1866" s="11">
        <v>435000</v>
      </c>
      <c r="G1866" s="9">
        <f t="shared" si="114"/>
        <v>630750</v>
      </c>
      <c r="H1866" s="10"/>
      <c r="I1866" s="1" t="s">
        <v>120</v>
      </c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5.75" customHeight="1" x14ac:dyDescent="0.75">
      <c r="A1867" s="5">
        <v>3</v>
      </c>
      <c r="B1867" s="12" t="s">
        <v>15</v>
      </c>
      <c r="C1867" s="10"/>
      <c r="D1867" s="10"/>
      <c r="E1867" s="10"/>
      <c r="F1867" s="10"/>
      <c r="G1867" s="13">
        <f t="shared" si="114"/>
        <v>0</v>
      </c>
      <c r="H1867" s="10"/>
      <c r="I1867" s="1" t="s">
        <v>120</v>
      </c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5.75" customHeight="1" x14ac:dyDescent="0.75">
      <c r="A1868" s="39" t="s">
        <v>16</v>
      </c>
      <c r="B1868" s="40"/>
      <c r="C1868" s="40"/>
      <c r="D1868" s="40"/>
      <c r="E1868" s="40"/>
      <c r="F1868" s="40"/>
      <c r="G1868" s="41"/>
      <c r="H1868" s="14">
        <f>SUM(G1865:G1867)</f>
        <v>1216750</v>
      </c>
      <c r="I1868" s="1" t="s">
        <v>120</v>
      </c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5.75" customHeight="1" x14ac:dyDescent="0.75">
      <c r="A1869" s="39" t="s">
        <v>17</v>
      </c>
      <c r="B1869" s="40"/>
      <c r="C1869" s="40"/>
      <c r="D1869" s="40"/>
      <c r="E1869" s="40"/>
      <c r="F1869" s="40"/>
      <c r="G1869" s="41"/>
      <c r="H1869" s="14">
        <f>MAX(0,H1868-648000)</f>
        <v>568750</v>
      </c>
      <c r="I1869" s="1" t="s">
        <v>120</v>
      </c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5.75" customHeight="1" x14ac:dyDescent="0.75">
      <c r="A1870" s="42" t="s">
        <v>18</v>
      </c>
      <c r="B1870" s="40"/>
      <c r="C1870" s="40"/>
      <c r="D1870" s="40"/>
      <c r="E1870" s="40"/>
      <c r="F1870" s="40"/>
      <c r="G1870" s="41"/>
      <c r="H1870" s="15">
        <v>649000</v>
      </c>
      <c r="I1870" s="1" t="s">
        <v>120</v>
      </c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5.75" customHeight="1" x14ac:dyDescent="0.75">
      <c r="A1871" s="43" t="s">
        <v>19</v>
      </c>
      <c r="B1871" s="40"/>
      <c r="C1871" s="40"/>
      <c r="D1871" s="40"/>
      <c r="E1871" s="40"/>
      <c r="F1871" s="40"/>
      <c r="G1871" s="40"/>
      <c r="H1871" s="41"/>
      <c r="I1871" s="1" t="s">
        <v>120</v>
      </c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5.75" customHeight="1" x14ac:dyDescent="0.45"/>
    <row r="1873" spans="1:26" ht="15.75" customHeight="1" x14ac:dyDescent="0.45"/>
    <row r="1874" spans="1:26" ht="15.75" customHeight="1" x14ac:dyDescent="0.45"/>
    <row r="1875" spans="1:26" ht="15.75" customHeight="1" x14ac:dyDescent="0.45"/>
    <row r="1876" spans="1:26" ht="15.75" customHeight="1" x14ac:dyDescent="0.45"/>
    <row r="1877" spans="1:26" ht="15.75" customHeight="1" x14ac:dyDescent="0.75">
      <c r="A1877" s="43" t="s">
        <v>0</v>
      </c>
      <c r="B1877" s="40"/>
      <c r="C1877" s="40"/>
      <c r="D1877" s="40"/>
      <c r="E1877" s="40"/>
      <c r="F1877" s="40"/>
      <c r="G1877" s="40"/>
      <c r="H1877" s="41"/>
      <c r="I1877" s="1" t="s">
        <v>120</v>
      </c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5.75" customHeight="1" x14ac:dyDescent="0.75">
      <c r="A1878" s="43" t="s">
        <v>302</v>
      </c>
      <c r="B1878" s="40"/>
      <c r="C1878" s="40"/>
      <c r="D1878" s="40"/>
      <c r="E1878" s="40"/>
      <c r="F1878" s="40"/>
      <c r="G1878" s="40"/>
      <c r="H1878" s="41"/>
      <c r="I1878" s="1" t="s">
        <v>120</v>
      </c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5.75" customHeight="1" x14ac:dyDescent="0.55000000000000004">
      <c r="A1879" s="2" t="s">
        <v>3</v>
      </c>
      <c r="B1879" s="2" t="s">
        <v>4</v>
      </c>
      <c r="C1879" s="2" t="s">
        <v>5</v>
      </c>
      <c r="D1879" s="2" t="s">
        <v>6</v>
      </c>
      <c r="E1879" s="2" t="s">
        <v>7</v>
      </c>
      <c r="F1879" s="3" t="s">
        <v>8</v>
      </c>
      <c r="G1879" s="2" t="s">
        <v>9</v>
      </c>
      <c r="H1879" s="4"/>
      <c r="I1879" s="1" t="s">
        <v>120</v>
      </c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5.75" customHeight="1" x14ac:dyDescent="0.75">
      <c r="A1880" s="5">
        <v>1</v>
      </c>
      <c r="B1880" s="21" t="s">
        <v>303</v>
      </c>
      <c r="C1880" s="7">
        <v>1291</v>
      </c>
      <c r="D1880" s="6" t="s">
        <v>12</v>
      </c>
      <c r="E1880" s="6">
        <v>2.04</v>
      </c>
      <c r="F1880" s="8">
        <v>293000</v>
      </c>
      <c r="G1880" s="9">
        <f t="shared" ref="G1880:G1882" si="115">IFERROR(E1880*F1880,0)</f>
        <v>597720</v>
      </c>
      <c r="H1880" s="10"/>
      <c r="I1880" s="1" t="s">
        <v>120</v>
      </c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5.75" customHeight="1" x14ac:dyDescent="0.75">
      <c r="A1881" s="5">
        <v>2</v>
      </c>
      <c r="B1881" s="16" t="s">
        <v>304</v>
      </c>
      <c r="C1881" s="17">
        <v>1934</v>
      </c>
      <c r="D1881" s="16" t="s">
        <v>14</v>
      </c>
      <c r="E1881" s="16">
        <v>1.5</v>
      </c>
      <c r="F1881" s="11">
        <v>435000</v>
      </c>
      <c r="G1881" s="9">
        <f t="shared" si="115"/>
        <v>652500</v>
      </c>
      <c r="H1881" s="10"/>
      <c r="I1881" s="1" t="s">
        <v>120</v>
      </c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5.75" customHeight="1" x14ac:dyDescent="0.75">
      <c r="A1882" s="5">
        <v>3</v>
      </c>
      <c r="B1882" s="12" t="s">
        <v>15</v>
      </c>
      <c r="C1882" s="10"/>
      <c r="D1882" s="10"/>
      <c r="E1882" s="10"/>
      <c r="F1882" s="10"/>
      <c r="G1882" s="13">
        <f t="shared" si="115"/>
        <v>0</v>
      </c>
      <c r="H1882" s="10"/>
      <c r="I1882" s="1" t="s">
        <v>120</v>
      </c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5.75" customHeight="1" x14ac:dyDescent="0.75">
      <c r="A1883" s="39" t="s">
        <v>16</v>
      </c>
      <c r="B1883" s="40"/>
      <c r="C1883" s="40"/>
      <c r="D1883" s="40"/>
      <c r="E1883" s="40"/>
      <c r="F1883" s="40"/>
      <c r="G1883" s="41"/>
      <c r="H1883" s="14">
        <f>SUM(G1880:G1882)</f>
        <v>1250220</v>
      </c>
      <c r="I1883" s="1" t="s">
        <v>120</v>
      </c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5.75" customHeight="1" x14ac:dyDescent="0.75">
      <c r="A1884" s="39" t="s">
        <v>17</v>
      </c>
      <c r="B1884" s="40"/>
      <c r="C1884" s="40"/>
      <c r="D1884" s="40"/>
      <c r="E1884" s="40"/>
      <c r="F1884" s="40"/>
      <c r="G1884" s="41"/>
      <c r="H1884" s="14">
        <f>MAX(0,H1883-648000)</f>
        <v>602220</v>
      </c>
      <c r="I1884" s="1" t="s">
        <v>120</v>
      </c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5.75" customHeight="1" x14ac:dyDescent="0.75">
      <c r="A1885" s="42" t="s">
        <v>18</v>
      </c>
      <c r="B1885" s="40"/>
      <c r="C1885" s="40"/>
      <c r="D1885" s="40"/>
      <c r="E1885" s="40"/>
      <c r="F1885" s="40"/>
      <c r="G1885" s="41"/>
      <c r="H1885" s="15">
        <v>649000</v>
      </c>
      <c r="I1885" s="1" t="s">
        <v>120</v>
      </c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5.75" customHeight="1" x14ac:dyDescent="0.75">
      <c r="A1886" s="43" t="s">
        <v>19</v>
      </c>
      <c r="B1886" s="40"/>
      <c r="C1886" s="40"/>
      <c r="D1886" s="40"/>
      <c r="E1886" s="40"/>
      <c r="F1886" s="40"/>
      <c r="G1886" s="40"/>
      <c r="H1886" s="41"/>
      <c r="I1886" s="1" t="s">
        <v>120</v>
      </c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5.75" customHeight="1" x14ac:dyDescent="0.45"/>
    <row r="1888" spans="1:26" ht="15.75" customHeight="1" x14ac:dyDescent="0.45"/>
    <row r="1889" spans="1:26" ht="15.75" customHeight="1" x14ac:dyDescent="0.45"/>
    <row r="1890" spans="1:26" ht="15.75" customHeight="1" x14ac:dyDescent="0.45"/>
    <row r="1891" spans="1:26" ht="15.75" customHeight="1" x14ac:dyDescent="0.45"/>
    <row r="1892" spans="1:26" ht="15.75" customHeight="1" x14ac:dyDescent="0.45"/>
    <row r="1893" spans="1:26" ht="15.75" customHeight="1" x14ac:dyDescent="0.75">
      <c r="A1893" s="43" t="s">
        <v>0</v>
      </c>
      <c r="B1893" s="40"/>
      <c r="C1893" s="40"/>
      <c r="D1893" s="40"/>
      <c r="E1893" s="40"/>
      <c r="F1893" s="40"/>
      <c r="G1893" s="40"/>
      <c r="H1893" s="41"/>
      <c r="I1893" s="1" t="s">
        <v>120</v>
      </c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5.75" customHeight="1" x14ac:dyDescent="0.75">
      <c r="A1894" s="43" t="s">
        <v>305</v>
      </c>
      <c r="B1894" s="40"/>
      <c r="C1894" s="40"/>
      <c r="D1894" s="40"/>
      <c r="E1894" s="40"/>
      <c r="F1894" s="40"/>
      <c r="G1894" s="40"/>
      <c r="H1894" s="41"/>
      <c r="I1894" s="1" t="s">
        <v>120</v>
      </c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5.75" customHeight="1" x14ac:dyDescent="0.55000000000000004">
      <c r="A1895" s="2" t="s">
        <v>3</v>
      </c>
      <c r="B1895" s="2" t="s">
        <v>4</v>
      </c>
      <c r="C1895" s="2" t="s">
        <v>5</v>
      </c>
      <c r="D1895" s="2" t="s">
        <v>6</v>
      </c>
      <c r="E1895" s="2" t="s">
        <v>7</v>
      </c>
      <c r="F1895" s="3" t="s">
        <v>8</v>
      </c>
      <c r="G1895" s="2" t="s">
        <v>9</v>
      </c>
      <c r="H1895" s="4"/>
      <c r="I1895" s="1" t="s">
        <v>120</v>
      </c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5.75" customHeight="1" x14ac:dyDescent="0.75">
      <c r="A1896" s="5">
        <v>1</v>
      </c>
      <c r="B1896" s="21" t="s">
        <v>306</v>
      </c>
      <c r="C1896" s="7">
        <v>2256</v>
      </c>
      <c r="D1896" s="6" t="s">
        <v>12</v>
      </c>
      <c r="E1896" s="6">
        <v>1.97</v>
      </c>
      <c r="F1896" s="8">
        <v>293000</v>
      </c>
      <c r="G1896" s="9">
        <f t="shared" ref="G1896:G1898" si="116">IFERROR(E1896*F1896,0)</f>
        <v>577210</v>
      </c>
      <c r="H1896" s="10"/>
      <c r="I1896" s="1" t="s">
        <v>120</v>
      </c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5.75" customHeight="1" x14ac:dyDescent="0.75">
      <c r="A1897" s="5">
        <v>2</v>
      </c>
      <c r="B1897" s="16" t="s">
        <v>227</v>
      </c>
      <c r="C1897" s="17">
        <v>5589</v>
      </c>
      <c r="D1897" s="16" t="s">
        <v>14</v>
      </c>
      <c r="E1897" s="16">
        <v>1.5</v>
      </c>
      <c r="F1897" s="11">
        <v>435000</v>
      </c>
      <c r="G1897" s="9">
        <f t="shared" si="116"/>
        <v>652500</v>
      </c>
      <c r="H1897" s="10"/>
      <c r="I1897" s="1" t="s">
        <v>120</v>
      </c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5.75" customHeight="1" x14ac:dyDescent="0.75">
      <c r="A1898" s="5">
        <v>3</v>
      </c>
      <c r="B1898" s="12" t="s">
        <v>15</v>
      </c>
      <c r="C1898" s="10"/>
      <c r="D1898" s="10"/>
      <c r="E1898" s="10"/>
      <c r="F1898" s="10"/>
      <c r="G1898" s="13">
        <f t="shared" si="116"/>
        <v>0</v>
      </c>
      <c r="H1898" s="10"/>
      <c r="I1898" s="1" t="s">
        <v>120</v>
      </c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5.75" customHeight="1" x14ac:dyDescent="0.75">
      <c r="A1899" s="39" t="s">
        <v>16</v>
      </c>
      <c r="B1899" s="40"/>
      <c r="C1899" s="40"/>
      <c r="D1899" s="40"/>
      <c r="E1899" s="40"/>
      <c r="F1899" s="40"/>
      <c r="G1899" s="41"/>
      <c r="H1899" s="14">
        <f>SUM(G1896:G1898)</f>
        <v>1229710</v>
      </c>
      <c r="I1899" s="1" t="s">
        <v>120</v>
      </c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5.75" customHeight="1" x14ac:dyDescent="0.75">
      <c r="A1900" s="39" t="s">
        <v>17</v>
      </c>
      <c r="B1900" s="40"/>
      <c r="C1900" s="40"/>
      <c r="D1900" s="40"/>
      <c r="E1900" s="40"/>
      <c r="F1900" s="40"/>
      <c r="G1900" s="41"/>
      <c r="H1900" s="14">
        <f>MAX(0,H1899-648000)</f>
        <v>581710</v>
      </c>
      <c r="I1900" s="1" t="s">
        <v>120</v>
      </c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5.75" customHeight="1" x14ac:dyDescent="0.75">
      <c r="A1901" s="42" t="s">
        <v>18</v>
      </c>
      <c r="B1901" s="40"/>
      <c r="C1901" s="40"/>
      <c r="D1901" s="40"/>
      <c r="E1901" s="40"/>
      <c r="F1901" s="40"/>
      <c r="G1901" s="41"/>
      <c r="H1901" s="15">
        <v>649000</v>
      </c>
      <c r="I1901" s="1" t="s">
        <v>120</v>
      </c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5.75" customHeight="1" x14ac:dyDescent="0.75">
      <c r="A1902" s="43" t="s">
        <v>19</v>
      </c>
      <c r="B1902" s="40"/>
      <c r="C1902" s="40"/>
      <c r="D1902" s="40"/>
      <c r="E1902" s="40"/>
      <c r="F1902" s="40"/>
      <c r="G1902" s="40"/>
      <c r="H1902" s="41"/>
      <c r="I1902" s="1" t="s">
        <v>120</v>
      </c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5.75" customHeight="1" x14ac:dyDescent="0.45"/>
    <row r="1904" spans="1:26" ht="15.75" customHeight="1" x14ac:dyDescent="0.45"/>
    <row r="1905" spans="1:26" ht="15.75" customHeight="1" x14ac:dyDescent="0.45"/>
    <row r="1906" spans="1:26" ht="15.75" customHeight="1" x14ac:dyDescent="0.45"/>
    <row r="1907" spans="1:26" ht="15.75" customHeight="1" x14ac:dyDescent="0.45"/>
    <row r="1908" spans="1:26" ht="15.75" customHeight="1" x14ac:dyDescent="0.45"/>
    <row r="1909" spans="1:26" ht="15.75" customHeight="1" x14ac:dyDescent="0.75">
      <c r="A1909" s="43" t="s">
        <v>0</v>
      </c>
      <c r="B1909" s="40"/>
      <c r="C1909" s="40"/>
      <c r="D1909" s="40"/>
      <c r="E1909" s="40"/>
      <c r="F1909" s="40"/>
      <c r="G1909" s="40"/>
      <c r="H1909" s="41"/>
      <c r="I1909" s="1" t="s">
        <v>120</v>
      </c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5.75" customHeight="1" x14ac:dyDescent="0.75">
      <c r="A1910" s="43" t="s">
        <v>307</v>
      </c>
      <c r="B1910" s="40"/>
      <c r="C1910" s="40"/>
      <c r="D1910" s="40"/>
      <c r="E1910" s="40"/>
      <c r="F1910" s="40"/>
      <c r="G1910" s="40"/>
      <c r="H1910" s="41"/>
      <c r="I1910" s="1" t="s">
        <v>120</v>
      </c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5.75" customHeight="1" x14ac:dyDescent="0.55000000000000004">
      <c r="A1911" s="2" t="s">
        <v>3</v>
      </c>
      <c r="B1911" s="2" t="s">
        <v>4</v>
      </c>
      <c r="C1911" s="2" t="s">
        <v>5</v>
      </c>
      <c r="D1911" s="2" t="s">
        <v>6</v>
      </c>
      <c r="E1911" s="2" t="s">
        <v>7</v>
      </c>
      <c r="F1911" s="3" t="s">
        <v>8</v>
      </c>
      <c r="G1911" s="2" t="s">
        <v>9</v>
      </c>
      <c r="H1911" s="4"/>
      <c r="I1911" s="1" t="s">
        <v>120</v>
      </c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5.75" customHeight="1" x14ac:dyDescent="0.75">
      <c r="A1912" s="5">
        <v>1</v>
      </c>
      <c r="B1912" s="21" t="s">
        <v>300</v>
      </c>
      <c r="C1912" s="7">
        <v>4316</v>
      </c>
      <c r="D1912" s="6" t="s">
        <v>12</v>
      </c>
      <c r="E1912" s="6">
        <v>0.53</v>
      </c>
      <c r="F1912" s="8">
        <v>293000</v>
      </c>
      <c r="G1912" s="9">
        <f t="shared" ref="G1912:G1914" si="117">IFERROR(E1912*F1912,0)</f>
        <v>155290</v>
      </c>
      <c r="H1912" s="10"/>
      <c r="I1912" s="1" t="s">
        <v>120</v>
      </c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5.75" customHeight="1" x14ac:dyDescent="0.75">
      <c r="A1913" s="5">
        <v>2</v>
      </c>
      <c r="B1913" s="16" t="s">
        <v>152</v>
      </c>
      <c r="C1913" s="17">
        <v>1756</v>
      </c>
      <c r="D1913" s="16" t="s">
        <v>14</v>
      </c>
      <c r="E1913" s="16">
        <v>3</v>
      </c>
      <c r="F1913" s="11">
        <v>435000</v>
      </c>
      <c r="G1913" s="9">
        <f t="shared" si="117"/>
        <v>1305000</v>
      </c>
      <c r="H1913" s="10"/>
      <c r="I1913" s="1" t="s">
        <v>120</v>
      </c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5.75" customHeight="1" x14ac:dyDescent="0.75">
      <c r="A1914" s="5">
        <v>3</v>
      </c>
      <c r="B1914" s="12" t="s">
        <v>15</v>
      </c>
      <c r="C1914" s="10"/>
      <c r="D1914" s="10"/>
      <c r="E1914" s="10"/>
      <c r="F1914" s="10"/>
      <c r="G1914" s="13">
        <f t="shared" si="117"/>
        <v>0</v>
      </c>
      <c r="H1914" s="10"/>
      <c r="I1914" s="1" t="s">
        <v>120</v>
      </c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5.75" customHeight="1" x14ac:dyDescent="0.75">
      <c r="A1915" s="39" t="s">
        <v>16</v>
      </c>
      <c r="B1915" s="40"/>
      <c r="C1915" s="40"/>
      <c r="D1915" s="40"/>
      <c r="E1915" s="40"/>
      <c r="F1915" s="40"/>
      <c r="G1915" s="41"/>
      <c r="H1915" s="14">
        <f>SUM(G1912:G1914)</f>
        <v>1460290</v>
      </c>
      <c r="I1915" s="1" t="s">
        <v>120</v>
      </c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5.75" customHeight="1" x14ac:dyDescent="0.75">
      <c r="A1916" s="39" t="s">
        <v>17</v>
      </c>
      <c r="B1916" s="40"/>
      <c r="C1916" s="40"/>
      <c r="D1916" s="40"/>
      <c r="E1916" s="40"/>
      <c r="F1916" s="40"/>
      <c r="G1916" s="41"/>
      <c r="H1916" s="14">
        <f>MAX(0,H1915-648000)</f>
        <v>812290</v>
      </c>
      <c r="I1916" s="1" t="s">
        <v>120</v>
      </c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5.75" customHeight="1" x14ac:dyDescent="0.75">
      <c r="A1917" s="42" t="s">
        <v>18</v>
      </c>
      <c r="B1917" s="40"/>
      <c r="C1917" s="40"/>
      <c r="D1917" s="40"/>
      <c r="E1917" s="40"/>
      <c r="F1917" s="40"/>
      <c r="G1917" s="41"/>
      <c r="H1917" s="15">
        <v>649000</v>
      </c>
      <c r="I1917" s="1" t="s">
        <v>120</v>
      </c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5.75" customHeight="1" x14ac:dyDescent="0.75">
      <c r="A1918" s="43" t="s">
        <v>19</v>
      </c>
      <c r="B1918" s="40"/>
      <c r="C1918" s="40"/>
      <c r="D1918" s="40"/>
      <c r="E1918" s="40"/>
      <c r="F1918" s="40"/>
      <c r="G1918" s="40"/>
      <c r="H1918" s="41"/>
      <c r="I1918" s="1" t="s">
        <v>120</v>
      </c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5.75" customHeight="1" x14ac:dyDescent="0.45"/>
    <row r="1920" spans="1:26" ht="15.75" customHeight="1" x14ac:dyDescent="0.45"/>
    <row r="1921" spans="1:26" ht="15.75" customHeight="1" x14ac:dyDescent="0.45"/>
    <row r="1922" spans="1:26" ht="15.75" customHeight="1" x14ac:dyDescent="0.45"/>
    <row r="1923" spans="1:26" ht="15.75" customHeight="1" x14ac:dyDescent="0.45"/>
    <row r="1924" spans="1:26" ht="15.75" customHeight="1" x14ac:dyDescent="0.45"/>
    <row r="1925" spans="1:26" ht="15.75" customHeight="1" x14ac:dyDescent="0.45"/>
    <row r="1926" spans="1:26" ht="15.75" customHeight="1" x14ac:dyDescent="0.45"/>
    <row r="1927" spans="1:26" ht="15.75" customHeight="1" x14ac:dyDescent="0.45"/>
    <row r="1928" spans="1:26" ht="15.75" customHeight="1" x14ac:dyDescent="0.45"/>
    <row r="1929" spans="1:26" ht="15.75" customHeight="1" x14ac:dyDescent="0.75">
      <c r="A1929" s="43" t="s">
        <v>0</v>
      </c>
      <c r="B1929" s="40"/>
      <c r="C1929" s="40"/>
      <c r="D1929" s="40"/>
      <c r="E1929" s="40"/>
      <c r="F1929" s="40"/>
      <c r="G1929" s="40"/>
      <c r="H1929" s="41"/>
      <c r="I1929" s="1" t="s">
        <v>120</v>
      </c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5.75" customHeight="1" x14ac:dyDescent="0.75">
      <c r="A1930" s="43" t="s">
        <v>308</v>
      </c>
      <c r="B1930" s="40"/>
      <c r="C1930" s="40"/>
      <c r="D1930" s="40"/>
      <c r="E1930" s="40"/>
      <c r="F1930" s="40"/>
      <c r="G1930" s="40"/>
      <c r="H1930" s="41"/>
      <c r="I1930" s="1" t="s">
        <v>120</v>
      </c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5.75" customHeight="1" x14ac:dyDescent="0.55000000000000004">
      <c r="A1931" s="2" t="s">
        <v>3</v>
      </c>
      <c r="B1931" s="2" t="s">
        <v>4</v>
      </c>
      <c r="C1931" s="2" t="s">
        <v>5</v>
      </c>
      <c r="D1931" s="2" t="s">
        <v>6</v>
      </c>
      <c r="E1931" s="2" t="s">
        <v>7</v>
      </c>
      <c r="F1931" s="3" t="s">
        <v>8</v>
      </c>
      <c r="G1931" s="2" t="s">
        <v>9</v>
      </c>
      <c r="H1931" s="4"/>
      <c r="I1931" s="1" t="s">
        <v>120</v>
      </c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5.75" customHeight="1" x14ac:dyDescent="0.75">
      <c r="A1932" s="5">
        <v>1</v>
      </c>
      <c r="B1932" s="21" t="s">
        <v>56</v>
      </c>
      <c r="C1932" s="7">
        <v>1228</v>
      </c>
      <c r="D1932" s="6" t="s">
        <v>12</v>
      </c>
      <c r="E1932" s="6">
        <v>2</v>
      </c>
      <c r="F1932" s="8">
        <v>293000</v>
      </c>
      <c r="G1932" s="9">
        <f t="shared" ref="G1932:G1934" si="118">IFERROR(E1932*F1932,0)</f>
        <v>586000</v>
      </c>
      <c r="H1932" s="10"/>
      <c r="I1932" s="1" t="s">
        <v>120</v>
      </c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5.75" customHeight="1" x14ac:dyDescent="0.75">
      <c r="A1933" s="5">
        <v>2</v>
      </c>
      <c r="B1933" s="16" t="s">
        <v>309</v>
      </c>
      <c r="C1933" s="17">
        <v>2962</v>
      </c>
      <c r="D1933" s="16" t="s">
        <v>14</v>
      </c>
      <c r="E1933" s="16">
        <v>1.49</v>
      </c>
      <c r="F1933" s="11">
        <v>435000</v>
      </c>
      <c r="G1933" s="9">
        <f t="shared" si="118"/>
        <v>648150</v>
      </c>
      <c r="H1933" s="10"/>
      <c r="I1933" s="1" t="s">
        <v>120</v>
      </c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5.75" customHeight="1" x14ac:dyDescent="0.75">
      <c r="A1934" s="5">
        <v>3</v>
      </c>
      <c r="B1934" s="12" t="s">
        <v>15</v>
      </c>
      <c r="C1934" s="10"/>
      <c r="D1934" s="10"/>
      <c r="E1934" s="10"/>
      <c r="F1934" s="10"/>
      <c r="G1934" s="13">
        <f t="shared" si="118"/>
        <v>0</v>
      </c>
      <c r="H1934" s="10"/>
      <c r="I1934" s="1" t="s">
        <v>120</v>
      </c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5.75" customHeight="1" x14ac:dyDescent="0.75">
      <c r="A1935" s="39" t="s">
        <v>16</v>
      </c>
      <c r="B1935" s="40"/>
      <c r="C1935" s="40"/>
      <c r="D1935" s="40"/>
      <c r="E1935" s="40"/>
      <c r="F1935" s="40"/>
      <c r="G1935" s="41"/>
      <c r="H1935" s="14">
        <f>SUM(G1932:G1934)</f>
        <v>1234150</v>
      </c>
      <c r="I1935" s="1" t="s">
        <v>120</v>
      </c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5.75" customHeight="1" x14ac:dyDescent="0.75">
      <c r="A1936" s="39" t="s">
        <v>17</v>
      </c>
      <c r="B1936" s="40"/>
      <c r="C1936" s="40"/>
      <c r="D1936" s="40"/>
      <c r="E1936" s="40"/>
      <c r="F1936" s="40"/>
      <c r="G1936" s="41"/>
      <c r="H1936" s="14">
        <f>MAX(0,H1935-648000)</f>
        <v>586150</v>
      </c>
      <c r="I1936" s="1" t="s">
        <v>120</v>
      </c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5.75" customHeight="1" x14ac:dyDescent="0.75">
      <c r="A1937" s="42" t="s">
        <v>18</v>
      </c>
      <c r="B1937" s="40"/>
      <c r="C1937" s="40"/>
      <c r="D1937" s="40"/>
      <c r="E1937" s="40"/>
      <c r="F1937" s="40"/>
      <c r="G1937" s="41"/>
      <c r="H1937" s="15">
        <v>649000</v>
      </c>
      <c r="I1937" s="1" t="s">
        <v>120</v>
      </c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5.75" customHeight="1" x14ac:dyDescent="0.75">
      <c r="A1938" s="43" t="s">
        <v>19</v>
      </c>
      <c r="B1938" s="40"/>
      <c r="C1938" s="40"/>
      <c r="D1938" s="40"/>
      <c r="E1938" s="40"/>
      <c r="F1938" s="40"/>
      <c r="G1938" s="40"/>
      <c r="H1938" s="41"/>
      <c r="I1938" s="1" t="s">
        <v>120</v>
      </c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5.75" customHeight="1" x14ac:dyDescent="0.45"/>
    <row r="1940" spans="1:26" ht="15.75" customHeight="1" x14ac:dyDescent="0.45"/>
    <row r="1941" spans="1:26" ht="15.75" customHeight="1" x14ac:dyDescent="0.45"/>
    <row r="1942" spans="1:26" ht="15.75" customHeight="1" x14ac:dyDescent="0.45"/>
    <row r="1943" spans="1:26" ht="15.75" customHeight="1" x14ac:dyDescent="0.75">
      <c r="A1943" s="43" t="s">
        <v>0</v>
      </c>
      <c r="B1943" s="40"/>
      <c r="C1943" s="40"/>
      <c r="D1943" s="40"/>
      <c r="E1943" s="40"/>
      <c r="F1943" s="40"/>
      <c r="G1943" s="40"/>
      <c r="H1943" s="41"/>
      <c r="I1943" s="1" t="s">
        <v>120</v>
      </c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5.75" customHeight="1" x14ac:dyDescent="0.75">
      <c r="A1944" s="43" t="s">
        <v>310</v>
      </c>
      <c r="B1944" s="40"/>
      <c r="C1944" s="40"/>
      <c r="D1944" s="40"/>
      <c r="E1944" s="40"/>
      <c r="F1944" s="40"/>
      <c r="G1944" s="40"/>
      <c r="H1944" s="41"/>
      <c r="I1944" s="1" t="s">
        <v>120</v>
      </c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5.75" customHeight="1" x14ac:dyDescent="0.55000000000000004">
      <c r="A1945" s="2" t="s">
        <v>3</v>
      </c>
      <c r="B1945" s="2" t="s">
        <v>4</v>
      </c>
      <c r="C1945" s="2" t="s">
        <v>5</v>
      </c>
      <c r="D1945" s="2" t="s">
        <v>6</v>
      </c>
      <c r="E1945" s="2" t="s">
        <v>7</v>
      </c>
      <c r="F1945" s="3" t="s">
        <v>8</v>
      </c>
      <c r="G1945" s="2" t="s">
        <v>9</v>
      </c>
      <c r="H1945" s="4"/>
      <c r="I1945" s="1" t="s">
        <v>120</v>
      </c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5.75" customHeight="1" x14ac:dyDescent="0.75">
      <c r="A1946" s="5">
        <v>1</v>
      </c>
      <c r="B1946" s="21" t="s">
        <v>21</v>
      </c>
      <c r="C1946" s="7">
        <v>7662</v>
      </c>
      <c r="D1946" s="6" t="s">
        <v>12</v>
      </c>
      <c r="E1946" s="6">
        <v>0.83</v>
      </c>
      <c r="F1946" s="8">
        <v>293000</v>
      </c>
      <c r="G1946" s="9">
        <f t="shared" ref="G1946:G1948" si="119">IFERROR(E1946*F1946,0)</f>
        <v>243190</v>
      </c>
      <c r="H1946" s="10"/>
      <c r="I1946" s="1" t="s">
        <v>120</v>
      </c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5.75" customHeight="1" x14ac:dyDescent="0.75">
      <c r="A1947" s="5">
        <v>2</v>
      </c>
      <c r="B1947" s="16" t="s">
        <v>311</v>
      </c>
      <c r="C1947" s="17">
        <v>531</v>
      </c>
      <c r="D1947" s="16" t="s">
        <v>14</v>
      </c>
      <c r="E1947" s="16">
        <v>2.9</v>
      </c>
      <c r="F1947" s="11">
        <v>435000</v>
      </c>
      <c r="G1947" s="9">
        <f t="shared" si="119"/>
        <v>1261500</v>
      </c>
      <c r="H1947" s="10"/>
      <c r="I1947" s="1" t="s">
        <v>120</v>
      </c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5.75" customHeight="1" x14ac:dyDescent="0.75">
      <c r="A1948" s="5">
        <v>3</v>
      </c>
      <c r="B1948" s="12" t="s">
        <v>15</v>
      </c>
      <c r="C1948" s="10"/>
      <c r="D1948" s="10"/>
      <c r="E1948" s="10"/>
      <c r="F1948" s="10"/>
      <c r="G1948" s="13">
        <f t="shared" si="119"/>
        <v>0</v>
      </c>
      <c r="H1948" s="10"/>
      <c r="I1948" s="1" t="s">
        <v>120</v>
      </c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5.75" customHeight="1" x14ac:dyDescent="0.75">
      <c r="A1949" s="39" t="s">
        <v>16</v>
      </c>
      <c r="B1949" s="40"/>
      <c r="C1949" s="40"/>
      <c r="D1949" s="40"/>
      <c r="E1949" s="40"/>
      <c r="F1949" s="40"/>
      <c r="G1949" s="41"/>
      <c r="H1949" s="14">
        <f>SUM(G1946:G1948)</f>
        <v>1504690</v>
      </c>
      <c r="I1949" s="1" t="s">
        <v>120</v>
      </c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5.75" customHeight="1" x14ac:dyDescent="0.75">
      <c r="A1950" s="39" t="s">
        <v>17</v>
      </c>
      <c r="B1950" s="40"/>
      <c r="C1950" s="40"/>
      <c r="D1950" s="40"/>
      <c r="E1950" s="40"/>
      <c r="F1950" s="40"/>
      <c r="G1950" s="41"/>
      <c r="H1950" s="14">
        <f>MAX(0,H1949-648000)</f>
        <v>856690</v>
      </c>
      <c r="I1950" s="1" t="s">
        <v>120</v>
      </c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5.75" customHeight="1" x14ac:dyDescent="0.75">
      <c r="A1951" s="42" t="s">
        <v>18</v>
      </c>
      <c r="B1951" s="40"/>
      <c r="C1951" s="40"/>
      <c r="D1951" s="40"/>
      <c r="E1951" s="40"/>
      <c r="F1951" s="40"/>
      <c r="G1951" s="41"/>
      <c r="H1951" s="15">
        <v>649000</v>
      </c>
      <c r="I1951" s="1" t="s">
        <v>120</v>
      </c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5.75" customHeight="1" x14ac:dyDescent="0.75">
      <c r="A1952" s="43" t="s">
        <v>19</v>
      </c>
      <c r="B1952" s="40"/>
      <c r="C1952" s="40"/>
      <c r="D1952" s="40"/>
      <c r="E1952" s="40"/>
      <c r="F1952" s="40"/>
      <c r="G1952" s="40"/>
      <c r="H1952" s="41"/>
      <c r="I1952" s="1" t="s">
        <v>120</v>
      </c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5.75" customHeight="1" x14ac:dyDescent="0.45"/>
    <row r="1954" spans="1:26" ht="15.75" customHeight="1" x14ac:dyDescent="0.45"/>
    <row r="1955" spans="1:26" ht="15.75" customHeight="1" x14ac:dyDescent="0.45"/>
    <row r="1956" spans="1:26" ht="15.75" customHeight="1" x14ac:dyDescent="0.45"/>
    <row r="1957" spans="1:26" ht="15.75" customHeight="1" x14ac:dyDescent="0.75">
      <c r="A1957" s="43" t="s">
        <v>0</v>
      </c>
      <c r="B1957" s="40"/>
      <c r="C1957" s="40"/>
      <c r="D1957" s="40"/>
      <c r="E1957" s="40"/>
      <c r="F1957" s="40"/>
      <c r="G1957" s="40"/>
      <c r="H1957" s="41"/>
      <c r="I1957" s="1" t="s">
        <v>120</v>
      </c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5.75" customHeight="1" x14ac:dyDescent="0.75">
      <c r="A1958" s="43" t="s">
        <v>312</v>
      </c>
      <c r="B1958" s="40"/>
      <c r="C1958" s="40"/>
      <c r="D1958" s="40"/>
      <c r="E1958" s="40"/>
      <c r="F1958" s="40"/>
      <c r="G1958" s="40"/>
      <c r="H1958" s="41"/>
      <c r="I1958" s="1" t="s">
        <v>120</v>
      </c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5.75" customHeight="1" x14ac:dyDescent="0.55000000000000004">
      <c r="A1959" s="2" t="s">
        <v>3</v>
      </c>
      <c r="B1959" s="2" t="s">
        <v>4</v>
      </c>
      <c r="C1959" s="2" t="s">
        <v>5</v>
      </c>
      <c r="D1959" s="2" t="s">
        <v>6</v>
      </c>
      <c r="E1959" s="2" t="s">
        <v>7</v>
      </c>
      <c r="F1959" s="3" t="s">
        <v>8</v>
      </c>
      <c r="G1959" s="2" t="s">
        <v>9</v>
      </c>
      <c r="H1959" s="4"/>
      <c r="I1959" s="1" t="s">
        <v>120</v>
      </c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5.75" customHeight="1" x14ac:dyDescent="0.75">
      <c r="A1960" s="5">
        <v>1</v>
      </c>
      <c r="B1960" s="21" t="s">
        <v>138</v>
      </c>
      <c r="C1960" s="7">
        <v>2553</v>
      </c>
      <c r="D1960" s="6" t="s">
        <v>12</v>
      </c>
      <c r="E1960" s="6">
        <v>1</v>
      </c>
      <c r="F1960" s="8">
        <v>293000</v>
      </c>
      <c r="G1960" s="9">
        <f t="shared" ref="G1960:G1962" si="120">IFERROR(E1960*F1960,0)</f>
        <v>293000</v>
      </c>
      <c r="H1960" s="10"/>
      <c r="I1960" s="1" t="s">
        <v>120</v>
      </c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5.75" customHeight="1" x14ac:dyDescent="0.75">
      <c r="A1961" s="5">
        <v>2</v>
      </c>
      <c r="B1961" s="16" t="s">
        <v>313</v>
      </c>
      <c r="C1961" s="17">
        <v>1653</v>
      </c>
      <c r="D1961" s="16" t="s">
        <v>14</v>
      </c>
      <c r="E1961" s="16">
        <v>2.65</v>
      </c>
      <c r="F1961" s="11">
        <v>435000</v>
      </c>
      <c r="G1961" s="9">
        <f t="shared" si="120"/>
        <v>1152750</v>
      </c>
      <c r="H1961" s="10"/>
      <c r="I1961" s="1" t="s">
        <v>120</v>
      </c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5.75" customHeight="1" x14ac:dyDescent="0.75">
      <c r="A1962" s="5">
        <v>3</v>
      </c>
      <c r="B1962" s="12" t="s">
        <v>15</v>
      </c>
      <c r="C1962" s="10"/>
      <c r="D1962" s="10"/>
      <c r="E1962" s="10"/>
      <c r="F1962" s="10"/>
      <c r="G1962" s="13">
        <f t="shared" si="120"/>
        <v>0</v>
      </c>
      <c r="H1962" s="10"/>
      <c r="I1962" s="1" t="s">
        <v>120</v>
      </c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5.75" customHeight="1" x14ac:dyDescent="0.75">
      <c r="A1963" s="39" t="s">
        <v>16</v>
      </c>
      <c r="B1963" s="40"/>
      <c r="C1963" s="40"/>
      <c r="D1963" s="40"/>
      <c r="E1963" s="40"/>
      <c r="F1963" s="40"/>
      <c r="G1963" s="41"/>
      <c r="H1963" s="14">
        <f>SUM(G1960:G1962)</f>
        <v>1445750</v>
      </c>
      <c r="I1963" s="1" t="s">
        <v>120</v>
      </c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5.75" customHeight="1" x14ac:dyDescent="0.75">
      <c r="A1964" s="39" t="s">
        <v>17</v>
      </c>
      <c r="B1964" s="40"/>
      <c r="C1964" s="40"/>
      <c r="D1964" s="40"/>
      <c r="E1964" s="40"/>
      <c r="F1964" s="40"/>
      <c r="G1964" s="41"/>
      <c r="H1964" s="14">
        <f>MAX(0,H1963-648000)</f>
        <v>797750</v>
      </c>
      <c r="I1964" s="1" t="s">
        <v>120</v>
      </c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5.75" customHeight="1" x14ac:dyDescent="0.75">
      <c r="A1965" s="42" t="s">
        <v>18</v>
      </c>
      <c r="B1965" s="40"/>
      <c r="C1965" s="40"/>
      <c r="D1965" s="40"/>
      <c r="E1965" s="40"/>
      <c r="F1965" s="40"/>
      <c r="G1965" s="41"/>
      <c r="H1965" s="15">
        <v>649000</v>
      </c>
      <c r="I1965" s="1" t="s">
        <v>120</v>
      </c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5.75" customHeight="1" x14ac:dyDescent="0.75">
      <c r="A1966" s="43" t="s">
        <v>19</v>
      </c>
      <c r="B1966" s="40"/>
      <c r="C1966" s="40"/>
      <c r="D1966" s="40"/>
      <c r="E1966" s="40"/>
      <c r="F1966" s="40"/>
      <c r="G1966" s="40"/>
      <c r="H1966" s="41"/>
      <c r="I1966" s="1" t="s">
        <v>120</v>
      </c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5.75" customHeight="1" x14ac:dyDescent="0.45"/>
    <row r="1968" spans="1:26" ht="15.75" customHeight="1" x14ac:dyDescent="0.45"/>
    <row r="1969" spans="1:26" ht="15.75" customHeight="1" x14ac:dyDescent="0.45"/>
    <row r="1970" spans="1:26" ht="15.75" customHeight="1" x14ac:dyDescent="0.45"/>
    <row r="1971" spans="1:26" ht="15.75" customHeight="1" x14ac:dyDescent="0.75">
      <c r="A1971" s="43" t="s">
        <v>0</v>
      </c>
      <c r="B1971" s="40"/>
      <c r="C1971" s="40"/>
      <c r="D1971" s="40"/>
      <c r="E1971" s="40"/>
      <c r="F1971" s="40"/>
      <c r="G1971" s="40"/>
      <c r="H1971" s="41"/>
      <c r="I1971" s="1" t="s">
        <v>120</v>
      </c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5.75" customHeight="1" x14ac:dyDescent="0.75">
      <c r="A1972" s="43" t="s">
        <v>314</v>
      </c>
      <c r="B1972" s="40"/>
      <c r="C1972" s="40"/>
      <c r="D1972" s="40"/>
      <c r="E1972" s="40"/>
      <c r="F1972" s="40"/>
      <c r="G1972" s="40"/>
      <c r="H1972" s="41"/>
      <c r="I1972" s="1" t="s">
        <v>120</v>
      </c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5.75" customHeight="1" x14ac:dyDescent="0.55000000000000004">
      <c r="A1973" s="2" t="s">
        <v>3</v>
      </c>
      <c r="B1973" s="2" t="s">
        <v>4</v>
      </c>
      <c r="C1973" s="2" t="s">
        <v>5</v>
      </c>
      <c r="D1973" s="2" t="s">
        <v>6</v>
      </c>
      <c r="E1973" s="2" t="s">
        <v>7</v>
      </c>
      <c r="F1973" s="3" t="s">
        <v>8</v>
      </c>
      <c r="G1973" s="2" t="s">
        <v>9</v>
      </c>
      <c r="H1973" s="4"/>
      <c r="I1973" s="1" t="s">
        <v>120</v>
      </c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5.75" customHeight="1" x14ac:dyDescent="0.75">
      <c r="A1974" s="5">
        <v>1</v>
      </c>
      <c r="B1974" s="21" t="s">
        <v>315</v>
      </c>
      <c r="C1974" s="7">
        <v>1871</v>
      </c>
      <c r="D1974" s="6" t="s">
        <v>12</v>
      </c>
      <c r="E1974" s="6">
        <v>1.5</v>
      </c>
      <c r="F1974" s="8">
        <v>293000</v>
      </c>
      <c r="G1974" s="9">
        <f t="shared" ref="G1974:G1976" si="121">IFERROR(E1974*F1974,0)</f>
        <v>439500</v>
      </c>
      <c r="H1974" s="10"/>
      <c r="I1974" s="1" t="s">
        <v>120</v>
      </c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5.75" customHeight="1" x14ac:dyDescent="0.75">
      <c r="A1975" s="5">
        <v>2</v>
      </c>
      <c r="B1975" s="16" t="s">
        <v>21</v>
      </c>
      <c r="C1975" s="17">
        <v>7458</v>
      </c>
      <c r="D1975" s="16" t="s">
        <v>14</v>
      </c>
      <c r="E1975" s="16">
        <v>2</v>
      </c>
      <c r="F1975" s="11">
        <v>435000</v>
      </c>
      <c r="G1975" s="9">
        <f t="shared" si="121"/>
        <v>870000</v>
      </c>
      <c r="H1975" s="10"/>
      <c r="I1975" s="1" t="s">
        <v>120</v>
      </c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5.75" customHeight="1" x14ac:dyDescent="0.75">
      <c r="A1976" s="5">
        <v>3</v>
      </c>
      <c r="B1976" s="12" t="s">
        <v>15</v>
      </c>
      <c r="C1976" s="10"/>
      <c r="D1976" s="10"/>
      <c r="E1976" s="10"/>
      <c r="F1976" s="10"/>
      <c r="G1976" s="13">
        <f t="shared" si="121"/>
        <v>0</v>
      </c>
      <c r="H1976" s="10"/>
      <c r="I1976" s="1" t="s">
        <v>120</v>
      </c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5.75" customHeight="1" x14ac:dyDescent="0.75">
      <c r="A1977" s="39" t="s">
        <v>16</v>
      </c>
      <c r="B1977" s="40"/>
      <c r="C1977" s="40"/>
      <c r="D1977" s="40"/>
      <c r="E1977" s="40"/>
      <c r="F1977" s="40"/>
      <c r="G1977" s="41"/>
      <c r="H1977" s="14">
        <f>SUM(G1974:G1976)</f>
        <v>1309500</v>
      </c>
      <c r="I1977" s="1" t="s">
        <v>120</v>
      </c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5.75" customHeight="1" x14ac:dyDescent="0.75">
      <c r="A1978" s="39" t="s">
        <v>17</v>
      </c>
      <c r="B1978" s="40"/>
      <c r="C1978" s="40"/>
      <c r="D1978" s="40"/>
      <c r="E1978" s="40"/>
      <c r="F1978" s="40"/>
      <c r="G1978" s="41"/>
      <c r="H1978" s="14">
        <f>MAX(0,H1977-648000)</f>
        <v>661500</v>
      </c>
      <c r="I1978" s="1" t="s">
        <v>120</v>
      </c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5.75" customHeight="1" x14ac:dyDescent="0.75">
      <c r="A1979" s="42" t="s">
        <v>18</v>
      </c>
      <c r="B1979" s="40"/>
      <c r="C1979" s="40"/>
      <c r="D1979" s="40"/>
      <c r="E1979" s="40"/>
      <c r="F1979" s="40"/>
      <c r="G1979" s="41"/>
      <c r="H1979" s="15">
        <v>649000</v>
      </c>
      <c r="I1979" s="1" t="s">
        <v>120</v>
      </c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5.75" customHeight="1" x14ac:dyDescent="0.75">
      <c r="A1980" s="43" t="s">
        <v>19</v>
      </c>
      <c r="B1980" s="40"/>
      <c r="C1980" s="40"/>
      <c r="D1980" s="40"/>
      <c r="E1980" s="40"/>
      <c r="F1980" s="40"/>
      <c r="G1980" s="40"/>
      <c r="H1980" s="41"/>
      <c r="I1980" s="1" t="s">
        <v>120</v>
      </c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5.75" customHeight="1" x14ac:dyDescent="0.45"/>
    <row r="1982" spans="1:26" ht="15.75" customHeight="1" x14ac:dyDescent="0.45"/>
    <row r="1983" spans="1:26" ht="15.75" customHeight="1" x14ac:dyDescent="0.45"/>
    <row r="1984" spans="1:26" ht="15.75" customHeight="1" x14ac:dyDescent="0.45"/>
    <row r="1985" spans="1:26" ht="15.75" customHeight="1" x14ac:dyDescent="0.75">
      <c r="A1985" s="43" t="s">
        <v>0</v>
      </c>
      <c r="B1985" s="40"/>
      <c r="C1985" s="40"/>
      <c r="D1985" s="40"/>
      <c r="E1985" s="40"/>
      <c r="F1985" s="40"/>
      <c r="G1985" s="40"/>
      <c r="H1985" s="41"/>
      <c r="I1985" s="1" t="s">
        <v>120</v>
      </c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5.75" customHeight="1" x14ac:dyDescent="0.75">
      <c r="A1986" s="43" t="s">
        <v>316</v>
      </c>
      <c r="B1986" s="40"/>
      <c r="C1986" s="40"/>
      <c r="D1986" s="40"/>
      <c r="E1986" s="40"/>
      <c r="F1986" s="40"/>
      <c r="G1986" s="40"/>
      <c r="H1986" s="41"/>
      <c r="I1986" s="1" t="s">
        <v>120</v>
      </c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5.75" customHeight="1" x14ac:dyDescent="0.55000000000000004">
      <c r="A1987" s="2" t="s">
        <v>3</v>
      </c>
      <c r="B1987" s="2" t="s">
        <v>4</v>
      </c>
      <c r="C1987" s="2" t="s">
        <v>5</v>
      </c>
      <c r="D1987" s="2" t="s">
        <v>6</v>
      </c>
      <c r="E1987" s="2" t="s">
        <v>7</v>
      </c>
      <c r="F1987" s="3" t="s">
        <v>8</v>
      </c>
      <c r="G1987" s="2" t="s">
        <v>9</v>
      </c>
      <c r="H1987" s="4"/>
      <c r="I1987" s="1" t="s">
        <v>120</v>
      </c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5.75" customHeight="1" x14ac:dyDescent="0.75">
      <c r="A1988" s="5">
        <v>1</v>
      </c>
      <c r="B1988" s="21" t="s">
        <v>317</v>
      </c>
      <c r="C1988" s="7">
        <v>8419</v>
      </c>
      <c r="D1988" s="6" t="s">
        <v>12</v>
      </c>
      <c r="E1988" s="6">
        <v>1.5</v>
      </c>
      <c r="F1988" s="8">
        <v>293000</v>
      </c>
      <c r="G1988" s="9">
        <f t="shared" ref="G1988:G1990" si="122">IFERROR(E1988*F1988,0)</f>
        <v>439500</v>
      </c>
      <c r="H1988" s="10"/>
      <c r="I1988" s="1" t="s">
        <v>120</v>
      </c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5.75" customHeight="1" x14ac:dyDescent="0.75">
      <c r="A1989" s="5">
        <v>2</v>
      </c>
      <c r="B1989" s="16" t="s">
        <v>87</v>
      </c>
      <c r="C1989" s="17">
        <v>1653</v>
      </c>
      <c r="D1989" s="16" t="s">
        <v>14</v>
      </c>
      <c r="E1989" s="16">
        <v>2.17</v>
      </c>
      <c r="F1989" s="11">
        <v>435000</v>
      </c>
      <c r="G1989" s="9">
        <f t="shared" si="122"/>
        <v>943950</v>
      </c>
      <c r="H1989" s="10"/>
      <c r="I1989" s="1" t="s">
        <v>120</v>
      </c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5.75" customHeight="1" x14ac:dyDescent="0.75">
      <c r="A1990" s="5">
        <v>3</v>
      </c>
      <c r="B1990" s="12" t="s">
        <v>15</v>
      </c>
      <c r="C1990" s="10"/>
      <c r="D1990" s="10"/>
      <c r="E1990" s="10"/>
      <c r="F1990" s="10"/>
      <c r="G1990" s="13">
        <f t="shared" si="122"/>
        <v>0</v>
      </c>
      <c r="H1990" s="10"/>
      <c r="I1990" s="1" t="s">
        <v>120</v>
      </c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5.75" customHeight="1" x14ac:dyDescent="0.75">
      <c r="A1991" s="39" t="s">
        <v>16</v>
      </c>
      <c r="B1991" s="40"/>
      <c r="C1991" s="40"/>
      <c r="D1991" s="40"/>
      <c r="E1991" s="40"/>
      <c r="F1991" s="40"/>
      <c r="G1991" s="41"/>
      <c r="H1991" s="14">
        <f>SUM(G1988:G1990)</f>
        <v>1383450</v>
      </c>
      <c r="I1991" s="1" t="s">
        <v>120</v>
      </c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5.75" customHeight="1" x14ac:dyDescent="0.75">
      <c r="A1992" s="39" t="s">
        <v>17</v>
      </c>
      <c r="B1992" s="40"/>
      <c r="C1992" s="40"/>
      <c r="D1992" s="40"/>
      <c r="E1992" s="40"/>
      <c r="F1992" s="40"/>
      <c r="G1992" s="41"/>
      <c r="H1992" s="14">
        <f>MAX(0,H1991-648000)</f>
        <v>735450</v>
      </c>
      <c r="I1992" s="1" t="s">
        <v>120</v>
      </c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5.75" customHeight="1" x14ac:dyDescent="0.75">
      <c r="A1993" s="42" t="s">
        <v>18</v>
      </c>
      <c r="B1993" s="40"/>
      <c r="C1993" s="40"/>
      <c r="D1993" s="40"/>
      <c r="E1993" s="40"/>
      <c r="F1993" s="40"/>
      <c r="G1993" s="41"/>
      <c r="H1993" s="15">
        <v>649000</v>
      </c>
      <c r="I1993" s="1" t="s">
        <v>120</v>
      </c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5.75" customHeight="1" x14ac:dyDescent="0.75">
      <c r="A1994" s="43" t="s">
        <v>19</v>
      </c>
      <c r="B1994" s="40"/>
      <c r="C1994" s="40"/>
      <c r="D1994" s="40"/>
      <c r="E1994" s="40"/>
      <c r="F1994" s="40"/>
      <c r="G1994" s="40"/>
      <c r="H1994" s="41"/>
      <c r="I1994" s="1" t="s">
        <v>120</v>
      </c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5.75" customHeight="1" x14ac:dyDescent="0.45"/>
    <row r="1996" spans="1:26" ht="15.75" customHeight="1" x14ac:dyDescent="0.45"/>
    <row r="1997" spans="1:26" ht="15.75" customHeight="1" x14ac:dyDescent="0.45"/>
    <row r="1998" spans="1:26" ht="15.75" customHeight="1" x14ac:dyDescent="0.45"/>
    <row r="1999" spans="1:26" ht="15.75" customHeight="1" x14ac:dyDescent="0.45"/>
    <row r="2000" spans="1:26" ht="15.75" customHeight="1" x14ac:dyDescent="0.75">
      <c r="A2000" s="43" t="s">
        <v>0</v>
      </c>
      <c r="B2000" s="40"/>
      <c r="C2000" s="40"/>
      <c r="D2000" s="40"/>
      <c r="E2000" s="40"/>
      <c r="F2000" s="40"/>
      <c r="G2000" s="40"/>
      <c r="H2000" s="41"/>
      <c r="I2000" s="1" t="s">
        <v>120</v>
      </c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5.75" customHeight="1" x14ac:dyDescent="0.75">
      <c r="A2001" s="43" t="s">
        <v>318</v>
      </c>
      <c r="B2001" s="40"/>
      <c r="C2001" s="40"/>
      <c r="D2001" s="40"/>
      <c r="E2001" s="40"/>
      <c r="F2001" s="40"/>
      <c r="G2001" s="40"/>
      <c r="H2001" s="41"/>
      <c r="I2001" s="1" t="s">
        <v>120</v>
      </c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5.75" customHeight="1" x14ac:dyDescent="0.55000000000000004">
      <c r="A2002" s="2" t="s">
        <v>3</v>
      </c>
      <c r="B2002" s="2" t="s">
        <v>4</v>
      </c>
      <c r="C2002" s="2" t="s">
        <v>5</v>
      </c>
      <c r="D2002" s="2" t="s">
        <v>6</v>
      </c>
      <c r="E2002" s="2" t="s">
        <v>7</v>
      </c>
      <c r="F2002" s="3" t="s">
        <v>8</v>
      </c>
      <c r="G2002" s="2" t="s">
        <v>9</v>
      </c>
      <c r="H2002" s="4"/>
      <c r="I2002" s="1" t="s">
        <v>120</v>
      </c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5.75" customHeight="1" x14ac:dyDescent="0.75">
      <c r="A2003" s="5">
        <v>1</v>
      </c>
      <c r="B2003" s="21" t="s">
        <v>303</v>
      </c>
      <c r="C2003" s="7">
        <v>7290</v>
      </c>
      <c r="D2003" s="6" t="s">
        <v>12</v>
      </c>
      <c r="E2003" s="6">
        <v>1.65</v>
      </c>
      <c r="F2003" s="8">
        <v>293000</v>
      </c>
      <c r="G2003" s="9">
        <f t="shared" ref="G2003:G2005" si="123">IFERROR(E2003*F2003,0)</f>
        <v>483450</v>
      </c>
      <c r="H2003" s="10"/>
      <c r="I2003" s="1" t="s">
        <v>120</v>
      </c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5.75" customHeight="1" x14ac:dyDescent="0.75">
      <c r="A2004" s="5">
        <v>2</v>
      </c>
      <c r="B2004" s="16" t="s">
        <v>103</v>
      </c>
      <c r="C2004" s="17" t="s">
        <v>319</v>
      </c>
      <c r="D2004" s="16" t="s">
        <v>14</v>
      </c>
      <c r="E2004" s="16">
        <v>1.82</v>
      </c>
      <c r="F2004" s="11">
        <v>435000</v>
      </c>
      <c r="G2004" s="9">
        <f t="shared" si="123"/>
        <v>791700</v>
      </c>
      <c r="H2004" s="10"/>
      <c r="I2004" s="1" t="s">
        <v>120</v>
      </c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5.75" customHeight="1" x14ac:dyDescent="0.75">
      <c r="A2005" s="5">
        <v>3</v>
      </c>
      <c r="B2005" s="12" t="s">
        <v>15</v>
      </c>
      <c r="C2005" s="10"/>
      <c r="D2005" s="10"/>
      <c r="E2005" s="10"/>
      <c r="F2005" s="10"/>
      <c r="G2005" s="13">
        <f t="shared" si="123"/>
        <v>0</v>
      </c>
      <c r="H2005" s="10"/>
      <c r="I2005" s="1" t="s">
        <v>120</v>
      </c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5.75" customHeight="1" x14ac:dyDescent="0.75">
      <c r="A2006" s="39" t="s">
        <v>16</v>
      </c>
      <c r="B2006" s="40"/>
      <c r="C2006" s="40"/>
      <c r="D2006" s="40"/>
      <c r="E2006" s="40"/>
      <c r="F2006" s="40"/>
      <c r="G2006" s="41"/>
      <c r="H2006" s="14">
        <f>SUM(G2003:G2005)</f>
        <v>1275150</v>
      </c>
      <c r="I2006" s="1" t="s">
        <v>120</v>
      </c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5.75" customHeight="1" x14ac:dyDescent="0.75">
      <c r="A2007" s="39" t="s">
        <v>17</v>
      </c>
      <c r="B2007" s="40"/>
      <c r="C2007" s="40"/>
      <c r="D2007" s="40"/>
      <c r="E2007" s="40"/>
      <c r="F2007" s="40"/>
      <c r="G2007" s="41"/>
      <c r="H2007" s="14">
        <f>MAX(0,H2006-648000)</f>
        <v>627150</v>
      </c>
      <c r="I2007" s="1" t="s">
        <v>120</v>
      </c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5.75" customHeight="1" x14ac:dyDescent="0.75">
      <c r="A2008" s="42" t="s">
        <v>18</v>
      </c>
      <c r="B2008" s="40"/>
      <c r="C2008" s="40"/>
      <c r="D2008" s="40"/>
      <c r="E2008" s="40"/>
      <c r="F2008" s="40"/>
      <c r="G2008" s="41"/>
      <c r="H2008" s="15">
        <v>649000</v>
      </c>
      <c r="I2008" s="1" t="s">
        <v>120</v>
      </c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5.75" customHeight="1" x14ac:dyDescent="0.75">
      <c r="A2009" s="43" t="s">
        <v>19</v>
      </c>
      <c r="B2009" s="40"/>
      <c r="C2009" s="40"/>
      <c r="D2009" s="40"/>
      <c r="E2009" s="40"/>
      <c r="F2009" s="40"/>
      <c r="G2009" s="40"/>
      <c r="H2009" s="41"/>
      <c r="I2009" s="1" t="s">
        <v>120</v>
      </c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5.75" customHeight="1" x14ac:dyDescent="0.45"/>
    <row r="2011" spans="1:26" ht="15.75" customHeight="1" x14ac:dyDescent="0.45"/>
    <row r="2012" spans="1:26" ht="15.75" customHeight="1" x14ac:dyDescent="0.45"/>
    <row r="2013" spans="1:26" ht="15.75" customHeight="1" x14ac:dyDescent="0.45"/>
    <row r="2014" spans="1:26" ht="15.75" customHeight="1" x14ac:dyDescent="0.45"/>
    <row r="2015" spans="1:26" ht="15.75" customHeight="1" x14ac:dyDescent="0.75">
      <c r="A2015" s="43" t="s">
        <v>0</v>
      </c>
      <c r="B2015" s="40"/>
      <c r="C2015" s="40"/>
      <c r="D2015" s="40"/>
      <c r="E2015" s="40"/>
      <c r="F2015" s="40"/>
      <c r="G2015" s="40"/>
      <c r="H2015" s="41"/>
      <c r="I2015" s="19" t="s">
        <v>120</v>
      </c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5.75" customHeight="1" x14ac:dyDescent="0.75">
      <c r="A2016" s="43" t="s">
        <v>320</v>
      </c>
      <c r="B2016" s="40"/>
      <c r="C2016" s="40"/>
      <c r="D2016" s="40"/>
      <c r="E2016" s="40"/>
      <c r="F2016" s="40"/>
      <c r="G2016" s="40"/>
      <c r="H2016" s="41"/>
      <c r="I2016" s="1" t="s">
        <v>120</v>
      </c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5.75" customHeight="1" x14ac:dyDescent="0.55000000000000004">
      <c r="A2017" s="2" t="s">
        <v>3</v>
      </c>
      <c r="B2017" s="2" t="s">
        <v>4</v>
      </c>
      <c r="C2017" s="2" t="s">
        <v>5</v>
      </c>
      <c r="D2017" s="2" t="s">
        <v>6</v>
      </c>
      <c r="E2017" s="2" t="s">
        <v>7</v>
      </c>
      <c r="F2017" s="3" t="s">
        <v>8</v>
      </c>
      <c r="G2017" s="2" t="s">
        <v>9</v>
      </c>
      <c r="H2017" s="4"/>
      <c r="I2017" s="1" t="s">
        <v>120</v>
      </c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5.75" customHeight="1" x14ac:dyDescent="0.75">
      <c r="A2018" s="5">
        <v>1</v>
      </c>
      <c r="B2018" s="21" t="s">
        <v>321</v>
      </c>
      <c r="C2018" s="7" t="s">
        <v>322</v>
      </c>
      <c r="D2018" s="6" t="s">
        <v>12</v>
      </c>
      <c r="E2018" s="6">
        <v>2</v>
      </c>
      <c r="F2018" s="8">
        <v>293000</v>
      </c>
      <c r="G2018" s="9">
        <f t="shared" ref="G2018:G2020" si="124">IFERROR(E2018*F2018,0)</f>
        <v>586000</v>
      </c>
      <c r="H2018" s="10"/>
      <c r="I2018" s="1" t="s">
        <v>120</v>
      </c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5.75" customHeight="1" x14ac:dyDescent="0.75">
      <c r="A2019" s="5">
        <v>2</v>
      </c>
      <c r="B2019" s="16" t="s">
        <v>13</v>
      </c>
      <c r="C2019" s="17">
        <v>1820</v>
      </c>
      <c r="D2019" s="16" t="s">
        <v>14</v>
      </c>
      <c r="E2019" s="16">
        <v>1.5</v>
      </c>
      <c r="F2019" s="11">
        <v>435000</v>
      </c>
      <c r="G2019" s="9">
        <f t="shared" si="124"/>
        <v>652500</v>
      </c>
      <c r="H2019" s="10"/>
      <c r="I2019" s="1" t="s">
        <v>120</v>
      </c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5.75" customHeight="1" x14ac:dyDescent="0.75">
      <c r="A2020" s="5">
        <v>3</v>
      </c>
      <c r="B2020" s="12" t="s">
        <v>15</v>
      </c>
      <c r="C2020" s="10"/>
      <c r="D2020" s="10"/>
      <c r="E2020" s="10"/>
      <c r="F2020" s="10"/>
      <c r="G2020" s="13">
        <f t="shared" si="124"/>
        <v>0</v>
      </c>
      <c r="H2020" s="10"/>
      <c r="I2020" s="1" t="s">
        <v>120</v>
      </c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5.75" customHeight="1" x14ac:dyDescent="0.75">
      <c r="A2021" s="39" t="s">
        <v>16</v>
      </c>
      <c r="B2021" s="40"/>
      <c r="C2021" s="40"/>
      <c r="D2021" s="40"/>
      <c r="E2021" s="40"/>
      <c r="F2021" s="40"/>
      <c r="G2021" s="41"/>
      <c r="H2021" s="14">
        <f>SUM(G2018:G2020)</f>
        <v>1238500</v>
      </c>
      <c r="I2021" s="1" t="s">
        <v>120</v>
      </c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5.75" customHeight="1" x14ac:dyDescent="0.75">
      <c r="A2022" s="39" t="s">
        <v>17</v>
      </c>
      <c r="B2022" s="40"/>
      <c r="C2022" s="40"/>
      <c r="D2022" s="40"/>
      <c r="E2022" s="40"/>
      <c r="F2022" s="40"/>
      <c r="G2022" s="41"/>
      <c r="H2022" s="14">
        <f>MAX(0,H2021-648000)</f>
        <v>590500</v>
      </c>
      <c r="I2022" s="1" t="s">
        <v>120</v>
      </c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5.75" customHeight="1" x14ac:dyDescent="0.75">
      <c r="A2023" s="42" t="s">
        <v>18</v>
      </c>
      <c r="B2023" s="40"/>
      <c r="C2023" s="40"/>
      <c r="D2023" s="40"/>
      <c r="E2023" s="40"/>
      <c r="F2023" s="40"/>
      <c r="G2023" s="41"/>
      <c r="H2023" s="15">
        <v>649000</v>
      </c>
      <c r="I2023" s="1" t="s">
        <v>120</v>
      </c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5.75" customHeight="1" x14ac:dyDescent="0.75">
      <c r="A2024" s="43" t="s">
        <v>19</v>
      </c>
      <c r="B2024" s="40"/>
      <c r="C2024" s="40"/>
      <c r="D2024" s="40"/>
      <c r="E2024" s="40"/>
      <c r="F2024" s="40"/>
      <c r="G2024" s="40"/>
      <c r="H2024" s="41"/>
      <c r="I2024" s="1" t="s">
        <v>120</v>
      </c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5.75" customHeight="1" x14ac:dyDescent="0.45"/>
    <row r="2026" spans="1:26" ht="15.75" customHeight="1" x14ac:dyDescent="0.45"/>
    <row r="2027" spans="1:26" ht="15.75" customHeight="1" x14ac:dyDescent="0.45"/>
    <row r="2028" spans="1:26" ht="15.75" customHeight="1" x14ac:dyDescent="0.45"/>
    <row r="2029" spans="1:26" ht="15.75" customHeight="1" x14ac:dyDescent="0.45"/>
    <row r="2030" spans="1:26" ht="15.75" customHeight="1" x14ac:dyDescent="0.75">
      <c r="A2030" s="43" t="s">
        <v>0</v>
      </c>
      <c r="B2030" s="40"/>
      <c r="C2030" s="40"/>
      <c r="D2030" s="40"/>
      <c r="E2030" s="40"/>
      <c r="F2030" s="40"/>
      <c r="G2030" s="40"/>
      <c r="H2030" s="41"/>
      <c r="I2030" s="1" t="s">
        <v>120</v>
      </c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5.75" customHeight="1" x14ac:dyDescent="0.75">
      <c r="A2031" s="43" t="s">
        <v>323</v>
      </c>
      <c r="B2031" s="40"/>
      <c r="C2031" s="40"/>
      <c r="D2031" s="40"/>
      <c r="E2031" s="40"/>
      <c r="F2031" s="40"/>
      <c r="G2031" s="40"/>
      <c r="H2031" s="41"/>
      <c r="I2031" s="1" t="s">
        <v>120</v>
      </c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5.75" customHeight="1" x14ac:dyDescent="0.55000000000000004">
      <c r="A2032" s="2" t="s">
        <v>3</v>
      </c>
      <c r="B2032" s="2" t="s">
        <v>4</v>
      </c>
      <c r="C2032" s="2" t="s">
        <v>5</v>
      </c>
      <c r="D2032" s="2" t="s">
        <v>6</v>
      </c>
      <c r="E2032" s="2" t="s">
        <v>7</v>
      </c>
      <c r="F2032" s="3" t="s">
        <v>8</v>
      </c>
      <c r="G2032" s="2" t="s">
        <v>9</v>
      </c>
      <c r="H2032" s="4"/>
      <c r="I2032" s="1" t="s">
        <v>120</v>
      </c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5.75" customHeight="1" x14ac:dyDescent="0.75">
      <c r="A2033" s="5">
        <v>1</v>
      </c>
      <c r="B2033" s="21" t="s">
        <v>57</v>
      </c>
      <c r="C2033" s="7" t="s">
        <v>324</v>
      </c>
      <c r="D2033" s="6" t="s">
        <v>12</v>
      </c>
      <c r="E2033" s="6">
        <v>1.93</v>
      </c>
      <c r="F2033" s="8">
        <v>293000</v>
      </c>
      <c r="G2033" s="9">
        <f t="shared" ref="G2033:G2035" si="125">IFERROR(E2033*F2033,0)</f>
        <v>565490</v>
      </c>
      <c r="H2033" s="10"/>
      <c r="I2033" s="1" t="s">
        <v>120</v>
      </c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5.75" customHeight="1" x14ac:dyDescent="0.75">
      <c r="A2034" s="5">
        <v>2</v>
      </c>
      <c r="B2034" s="16" t="s">
        <v>325</v>
      </c>
      <c r="C2034" s="17">
        <v>8038</v>
      </c>
      <c r="D2034" s="16" t="s">
        <v>14</v>
      </c>
      <c r="E2034" s="16">
        <v>1.57</v>
      </c>
      <c r="F2034" s="11">
        <v>435000</v>
      </c>
      <c r="G2034" s="9">
        <f t="shared" si="125"/>
        <v>682950</v>
      </c>
      <c r="H2034" s="10"/>
      <c r="I2034" s="1" t="s">
        <v>120</v>
      </c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5.75" customHeight="1" x14ac:dyDescent="0.75">
      <c r="A2035" s="5">
        <v>3</v>
      </c>
      <c r="B2035" s="12" t="s">
        <v>15</v>
      </c>
      <c r="C2035" s="10"/>
      <c r="D2035" s="10"/>
      <c r="E2035" s="10"/>
      <c r="F2035" s="10"/>
      <c r="G2035" s="13">
        <f t="shared" si="125"/>
        <v>0</v>
      </c>
      <c r="H2035" s="10"/>
      <c r="I2035" s="1" t="s">
        <v>120</v>
      </c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5.75" customHeight="1" x14ac:dyDescent="0.75">
      <c r="A2036" s="39" t="s">
        <v>16</v>
      </c>
      <c r="B2036" s="40"/>
      <c r="C2036" s="40"/>
      <c r="D2036" s="40"/>
      <c r="E2036" s="40"/>
      <c r="F2036" s="40"/>
      <c r="G2036" s="41"/>
      <c r="H2036" s="14">
        <f>SUM(G2033:G2035)</f>
        <v>1248440</v>
      </c>
      <c r="I2036" s="1" t="s">
        <v>120</v>
      </c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5.75" customHeight="1" x14ac:dyDescent="0.75">
      <c r="A2037" s="39" t="s">
        <v>17</v>
      </c>
      <c r="B2037" s="40"/>
      <c r="C2037" s="40"/>
      <c r="D2037" s="40"/>
      <c r="E2037" s="40"/>
      <c r="F2037" s="40"/>
      <c r="G2037" s="41"/>
      <c r="H2037" s="14">
        <f>MAX(0,H2036-648000)</f>
        <v>600440</v>
      </c>
      <c r="I2037" s="1" t="s">
        <v>120</v>
      </c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5.75" customHeight="1" x14ac:dyDescent="0.75">
      <c r="A2038" s="42" t="s">
        <v>18</v>
      </c>
      <c r="B2038" s="40"/>
      <c r="C2038" s="40"/>
      <c r="D2038" s="40"/>
      <c r="E2038" s="40"/>
      <c r="F2038" s="40"/>
      <c r="G2038" s="41"/>
      <c r="H2038" s="15">
        <v>649000</v>
      </c>
      <c r="I2038" s="1" t="s">
        <v>120</v>
      </c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5.75" customHeight="1" x14ac:dyDescent="0.75">
      <c r="A2039" s="43" t="s">
        <v>19</v>
      </c>
      <c r="B2039" s="40"/>
      <c r="C2039" s="40"/>
      <c r="D2039" s="40"/>
      <c r="E2039" s="40"/>
      <c r="F2039" s="40"/>
      <c r="G2039" s="40"/>
      <c r="H2039" s="41"/>
      <c r="I2039" s="1" t="s">
        <v>120</v>
      </c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5.75" customHeight="1" x14ac:dyDescent="0.45"/>
    <row r="2041" spans="1:26" ht="15.75" customHeight="1" x14ac:dyDescent="0.45"/>
    <row r="2042" spans="1:26" ht="15.75" customHeight="1" x14ac:dyDescent="0.45"/>
    <row r="2043" spans="1:26" ht="15.75" customHeight="1" x14ac:dyDescent="0.45"/>
    <row r="2044" spans="1:26" ht="15.75" customHeight="1" x14ac:dyDescent="0.75">
      <c r="A2044" s="43" t="s">
        <v>0</v>
      </c>
      <c r="B2044" s="40"/>
      <c r="C2044" s="40"/>
      <c r="D2044" s="40"/>
      <c r="E2044" s="40"/>
      <c r="F2044" s="40"/>
      <c r="G2044" s="40"/>
      <c r="H2044" s="41"/>
      <c r="I2044" s="1" t="s">
        <v>120</v>
      </c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5.75" customHeight="1" x14ac:dyDescent="0.75">
      <c r="A2045" s="43" t="s">
        <v>326</v>
      </c>
      <c r="B2045" s="40"/>
      <c r="C2045" s="40"/>
      <c r="D2045" s="40"/>
      <c r="E2045" s="40"/>
      <c r="F2045" s="40"/>
      <c r="G2045" s="40"/>
      <c r="H2045" s="41"/>
      <c r="I2045" s="1" t="s">
        <v>120</v>
      </c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5.75" customHeight="1" x14ac:dyDescent="0.55000000000000004">
      <c r="A2046" s="2" t="s">
        <v>3</v>
      </c>
      <c r="B2046" s="2" t="s">
        <v>4</v>
      </c>
      <c r="C2046" s="2" t="s">
        <v>5</v>
      </c>
      <c r="D2046" s="2" t="s">
        <v>6</v>
      </c>
      <c r="E2046" s="2" t="s">
        <v>7</v>
      </c>
      <c r="F2046" s="3" t="s">
        <v>8</v>
      </c>
      <c r="G2046" s="2" t="s">
        <v>9</v>
      </c>
      <c r="H2046" s="4"/>
      <c r="I2046" s="1" t="s">
        <v>120</v>
      </c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5.75" customHeight="1" x14ac:dyDescent="0.75">
      <c r="A2047" s="5">
        <v>1</v>
      </c>
      <c r="B2047" s="21" t="s">
        <v>146</v>
      </c>
      <c r="C2047" s="7">
        <v>6157</v>
      </c>
      <c r="D2047" s="6" t="s">
        <v>12</v>
      </c>
      <c r="E2047" s="6">
        <v>3</v>
      </c>
      <c r="F2047" s="8">
        <v>293000</v>
      </c>
      <c r="G2047" s="9">
        <f t="shared" ref="G2047:G2049" si="126">IFERROR(E2047*F2047,0)</f>
        <v>879000</v>
      </c>
      <c r="H2047" s="10"/>
      <c r="I2047" s="1" t="s">
        <v>120</v>
      </c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5.75" customHeight="1" x14ac:dyDescent="0.75">
      <c r="A2048" s="5">
        <v>2</v>
      </c>
      <c r="B2048" s="16" t="s">
        <v>247</v>
      </c>
      <c r="C2048" s="17">
        <v>3697</v>
      </c>
      <c r="D2048" s="16" t="s">
        <v>14</v>
      </c>
      <c r="E2048" s="16">
        <v>0.62</v>
      </c>
      <c r="F2048" s="11">
        <v>435000</v>
      </c>
      <c r="G2048" s="9">
        <f t="shared" si="126"/>
        <v>269700</v>
      </c>
      <c r="H2048" s="10"/>
      <c r="I2048" s="1" t="s">
        <v>120</v>
      </c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5.75" customHeight="1" x14ac:dyDescent="0.75">
      <c r="A2049" s="5">
        <v>3</v>
      </c>
      <c r="B2049" s="12" t="s">
        <v>15</v>
      </c>
      <c r="C2049" s="10"/>
      <c r="D2049" s="10"/>
      <c r="E2049" s="10"/>
      <c r="F2049" s="10"/>
      <c r="G2049" s="13">
        <f t="shared" si="126"/>
        <v>0</v>
      </c>
      <c r="H2049" s="10"/>
      <c r="I2049" s="1" t="s">
        <v>120</v>
      </c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5.75" customHeight="1" x14ac:dyDescent="0.75">
      <c r="A2050" s="39" t="s">
        <v>16</v>
      </c>
      <c r="B2050" s="40"/>
      <c r="C2050" s="40"/>
      <c r="D2050" s="40"/>
      <c r="E2050" s="40"/>
      <c r="F2050" s="40"/>
      <c r="G2050" s="41"/>
      <c r="H2050" s="14">
        <f>SUM(G2047:G2049)</f>
        <v>1148700</v>
      </c>
      <c r="I2050" s="1" t="s">
        <v>120</v>
      </c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5.75" customHeight="1" x14ac:dyDescent="0.75">
      <c r="A2051" s="39" t="s">
        <v>17</v>
      </c>
      <c r="B2051" s="40"/>
      <c r="C2051" s="40"/>
      <c r="D2051" s="40"/>
      <c r="E2051" s="40"/>
      <c r="F2051" s="40"/>
      <c r="G2051" s="41"/>
      <c r="H2051" s="14">
        <f>MAX(0,H2050-648000)</f>
        <v>500700</v>
      </c>
      <c r="I2051" s="1" t="s">
        <v>120</v>
      </c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5.75" customHeight="1" x14ac:dyDescent="0.75">
      <c r="A2052" s="42" t="s">
        <v>18</v>
      </c>
      <c r="B2052" s="40"/>
      <c r="C2052" s="40"/>
      <c r="D2052" s="40"/>
      <c r="E2052" s="40"/>
      <c r="F2052" s="40"/>
      <c r="G2052" s="41"/>
      <c r="H2052" s="15">
        <v>649000</v>
      </c>
      <c r="I2052" s="1" t="s">
        <v>120</v>
      </c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5.75" customHeight="1" x14ac:dyDescent="0.75">
      <c r="A2053" s="43" t="s">
        <v>19</v>
      </c>
      <c r="B2053" s="40"/>
      <c r="C2053" s="40"/>
      <c r="D2053" s="40"/>
      <c r="E2053" s="40"/>
      <c r="F2053" s="40"/>
      <c r="G2053" s="40"/>
      <c r="H2053" s="41"/>
      <c r="I2053" s="1" t="s">
        <v>120</v>
      </c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5.75" customHeight="1" x14ac:dyDescent="0.45"/>
    <row r="2055" spans="1:26" ht="15.75" customHeight="1" x14ac:dyDescent="0.45"/>
    <row r="2056" spans="1:26" ht="15.75" customHeight="1" x14ac:dyDescent="0.45"/>
    <row r="2057" spans="1:26" ht="15.75" customHeight="1" x14ac:dyDescent="0.75">
      <c r="A2057" s="43" t="s">
        <v>0</v>
      </c>
      <c r="B2057" s="40"/>
      <c r="C2057" s="40"/>
      <c r="D2057" s="40"/>
      <c r="E2057" s="40"/>
      <c r="F2057" s="40"/>
      <c r="G2057" s="40"/>
      <c r="H2057" s="41"/>
      <c r="I2057" s="1" t="s">
        <v>120</v>
      </c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5.75" customHeight="1" x14ac:dyDescent="0.75">
      <c r="A2058" s="43" t="s">
        <v>327</v>
      </c>
      <c r="B2058" s="40"/>
      <c r="C2058" s="40"/>
      <c r="D2058" s="40"/>
      <c r="E2058" s="40"/>
      <c r="F2058" s="40"/>
      <c r="G2058" s="40"/>
      <c r="H2058" s="41"/>
      <c r="I2058" s="1" t="s">
        <v>120</v>
      </c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5.75" customHeight="1" x14ac:dyDescent="0.55000000000000004">
      <c r="A2059" s="2" t="s">
        <v>3</v>
      </c>
      <c r="B2059" s="2" t="s">
        <v>4</v>
      </c>
      <c r="C2059" s="2" t="s">
        <v>5</v>
      </c>
      <c r="D2059" s="2" t="s">
        <v>6</v>
      </c>
      <c r="E2059" s="2" t="s">
        <v>7</v>
      </c>
      <c r="F2059" s="3" t="s">
        <v>8</v>
      </c>
      <c r="G2059" s="2" t="s">
        <v>9</v>
      </c>
      <c r="H2059" s="4"/>
      <c r="I2059" s="1" t="s">
        <v>120</v>
      </c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5.75" customHeight="1" x14ac:dyDescent="0.75">
      <c r="A2060" s="5">
        <v>1</v>
      </c>
      <c r="B2060" s="21" t="s">
        <v>328</v>
      </c>
      <c r="C2060" s="7">
        <v>8858</v>
      </c>
      <c r="D2060" s="6" t="s">
        <v>12</v>
      </c>
      <c r="E2060" s="6">
        <v>2.9</v>
      </c>
      <c r="F2060" s="8">
        <v>293000</v>
      </c>
      <c r="G2060" s="9">
        <f t="shared" ref="G2060:G2062" si="127">IFERROR(E2060*F2060,0)</f>
        <v>849700</v>
      </c>
      <c r="H2060" s="10"/>
      <c r="I2060" s="1" t="s">
        <v>120</v>
      </c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5.75" customHeight="1" x14ac:dyDescent="0.75">
      <c r="A2061" s="5">
        <v>2</v>
      </c>
      <c r="B2061" s="16" t="s">
        <v>311</v>
      </c>
      <c r="C2061" s="17">
        <v>2504</v>
      </c>
      <c r="D2061" s="16" t="s">
        <v>14</v>
      </c>
      <c r="E2061" s="16">
        <v>0.86</v>
      </c>
      <c r="F2061" s="11">
        <v>435000</v>
      </c>
      <c r="G2061" s="9">
        <f t="shared" si="127"/>
        <v>374100</v>
      </c>
      <c r="H2061" s="10"/>
      <c r="I2061" s="1" t="s">
        <v>120</v>
      </c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5.75" customHeight="1" x14ac:dyDescent="0.75">
      <c r="A2062" s="5">
        <v>3</v>
      </c>
      <c r="B2062" s="12" t="s">
        <v>15</v>
      </c>
      <c r="C2062" s="10"/>
      <c r="D2062" s="10"/>
      <c r="E2062" s="10"/>
      <c r="F2062" s="10"/>
      <c r="G2062" s="13">
        <f t="shared" si="127"/>
        <v>0</v>
      </c>
      <c r="H2062" s="10"/>
      <c r="I2062" s="1" t="s">
        <v>120</v>
      </c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5.75" customHeight="1" x14ac:dyDescent="0.75">
      <c r="A2063" s="39" t="s">
        <v>16</v>
      </c>
      <c r="B2063" s="40"/>
      <c r="C2063" s="40"/>
      <c r="D2063" s="40"/>
      <c r="E2063" s="40"/>
      <c r="F2063" s="40"/>
      <c r="G2063" s="41"/>
      <c r="H2063" s="14">
        <f>SUM(G2060:G2062)</f>
        <v>1223800</v>
      </c>
      <c r="I2063" s="1" t="s">
        <v>120</v>
      </c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5.75" customHeight="1" x14ac:dyDescent="0.75">
      <c r="A2064" s="39" t="s">
        <v>17</v>
      </c>
      <c r="B2064" s="40"/>
      <c r="C2064" s="40"/>
      <c r="D2064" s="40"/>
      <c r="E2064" s="40"/>
      <c r="F2064" s="40"/>
      <c r="G2064" s="41"/>
      <c r="H2064" s="14">
        <f>MAX(0,H2063-648000)</f>
        <v>575800</v>
      </c>
      <c r="I2064" s="1" t="s">
        <v>120</v>
      </c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5.75" customHeight="1" x14ac:dyDescent="0.75">
      <c r="A2065" s="42" t="s">
        <v>18</v>
      </c>
      <c r="B2065" s="40"/>
      <c r="C2065" s="40"/>
      <c r="D2065" s="40"/>
      <c r="E2065" s="40"/>
      <c r="F2065" s="40"/>
      <c r="G2065" s="41"/>
      <c r="H2065" s="15">
        <v>649000</v>
      </c>
      <c r="I2065" s="1" t="s">
        <v>120</v>
      </c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5.75" customHeight="1" x14ac:dyDescent="0.75">
      <c r="A2066" s="43" t="s">
        <v>19</v>
      </c>
      <c r="B2066" s="40"/>
      <c r="C2066" s="40"/>
      <c r="D2066" s="40"/>
      <c r="E2066" s="40"/>
      <c r="F2066" s="40"/>
      <c r="G2066" s="40"/>
      <c r="H2066" s="41"/>
      <c r="I2066" s="1" t="s">
        <v>120</v>
      </c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5.75" customHeight="1" x14ac:dyDescent="0.45"/>
    <row r="2068" spans="1:26" ht="15.75" customHeight="1" x14ac:dyDescent="0.45"/>
    <row r="2069" spans="1:26" ht="15.75" customHeight="1" x14ac:dyDescent="0.45"/>
    <row r="2070" spans="1:26" ht="15.75" customHeight="1" x14ac:dyDescent="0.45"/>
    <row r="2071" spans="1:26" ht="15.75" customHeight="1" x14ac:dyDescent="0.45"/>
    <row r="2072" spans="1:26" ht="15.75" customHeight="1" x14ac:dyDescent="0.45"/>
    <row r="2073" spans="1:26" ht="15.75" customHeight="1" x14ac:dyDescent="0.75">
      <c r="A2073" s="43" t="s">
        <v>0</v>
      </c>
      <c r="B2073" s="40"/>
      <c r="C2073" s="40"/>
      <c r="D2073" s="40"/>
      <c r="E2073" s="40"/>
      <c r="F2073" s="40"/>
      <c r="G2073" s="40"/>
      <c r="H2073" s="41"/>
      <c r="I2073" s="1" t="s">
        <v>120</v>
      </c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5.75" customHeight="1" x14ac:dyDescent="0.75">
      <c r="A2074" s="43" t="s">
        <v>329</v>
      </c>
      <c r="B2074" s="40"/>
      <c r="C2074" s="40"/>
      <c r="D2074" s="40"/>
      <c r="E2074" s="40"/>
      <c r="F2074" s="40"/>
      <c r="G2074" s="40"/>
      <c r="H2074" s="41"/>
      <c r="I2074" s="1" t="s">
        <v>120</v>
      </c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5.75" customHeight="1" x14ac:dyDescent="0.55000000000000004">
      <c r="A2075" s="2" t="s">
        <v>3</v>
      </c>
      <c r="B2075" s="2" t="s">
        <v>4</v>
      </c>
      <c r="C2075" s="2" t="s">
        <v>5</v>
      </c>
      <c r="D2075" s="2" t="s">
        <v>6</v>
      </c>
      <c r="E2075" s="2" t="s">
        <v>7</v>
      </c>
      <c r="F2075" s="3" t="s">
        <v>8</v>
      </c>
      <c r="G2075" s="2" t="s">
        <v>9</v>
      </c>
      <c r="H2075" s="4"/>
      <c r="I2075" s="1" t="s">
        <v>120</v>
      </c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5.75" customHeight="1" x14ac:dyDescent="0.75">
      <c r="A2076" s="5">
        <v>1</v>
      </c>
      <c r="B2076" s="21" t="s">
        <v>64</v>
      </c>
      <c r="C2076" s="7">
        <v>6695</v>
      </c>
      <c r="D2076" s="6" t="s">
        <v>12</v>
      </c>
      <c r="E2076" s="6">
        <v>2</v>
      </c>
      <c r="F2076" s="8">
        <v>293000</v>
      </c>
      <c r="G2076" s="9">
        <f t="shared" ref="G2076:G2078" si="128">IFERROR(E2076*F2076,0)</f>
        <v>586000</v>
      </c>
      <c r="H2076" s="10"/>
      <c r="I2076" s="1" t="s">
        <v>120</v>
      </c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5.75" customHeight="1" x14ac:dyDescent="0.75">
      <c r="A2077" s="5">
        <v>2</v>
      </c>
      <c r="B2077" s="16" t="s">
        <v>70</v>
      </c>
      <c r="C2077" s="17">
        <v>8421</v>
      </c>
      <c r="D2077" s="16" t="s">
        <v>14</v>
      </c>
      <c r="E2077" s="16">
        <v>1.66</v>
      </c>
      <c r="F2077" s="11">
        <v>435000</v>
      </c>
      <c r="G2077" s="9">
        <f t="shared" si="128"/>
        <v>722100</v>
      </c>
      <c r="H2077" s="10"/>
      <c r="I2077" s="1" t="s">
        <v>120</v>
      </c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5.75" customHeight="1" x14ac:dyDescent="0.75">
      <c r="A2078" s="5">
        <v>3</v>
      </c>
      <c r="B2078" s="12" t="s">
        <v>15</v>
      </c>
      <c r="C2078" s="10"/>
      <c r="D2078" s="10"/>
      <c r="E2078" s="10"/>
      <c r="F2078" s="10"/>
      <c r="G2078" s="13">
        <f t="shared" si="128"/>
        <v>0</v>
      </c>
      <c r="H2078" s="10"/>
      <c r="I2078" s="1" t="s">
        <v>120</v>
      </c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5.75" customHeight="1" x14ac:dyDescent="0.75">
      <c r="A2079" s="39" t="s">
        <v>16</v>
      </c>
      <c r="B2079" s="40"/>
      <c r="C2079" s="40"/>
      <c r="D2079" s="40"/>
      <c r="E2079" s="40"/>
      <c r="F2079" s="40"/>
      <c r="G2079" s="41"/>
      <c r="H2079" s="14">
        <f>SUM(G2076:G2078)</f>
        <v>1308100</v>
      </c>
      <c r="I2079" s="1" t="s">
        <v>120</v>
      </c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5.75" customHeight="1" x14ac:dyDescent="0.75">
      <c r="A2080" s="39" t="s">
        <v>17</v>
      </c>
      <c r="B2080" s="40"/>
      <c r="C2080" s="40"/>
      <c r="D2080" s="40"/>
      <c r="E2080" s="40"/>
      <c r="F2080" s="40"/>
      <c r="G2080" s="41"/>
      <c r="H2080" s="14">
        <f>MAX(0,H2079-648000)</f>
        <v>660100</v>
      </c>
      <c r="I2080" s="1" t="s">
        <v>120</v>
      </c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5.75" customHeight="1" x14ac:dyDescent="0.75">
      <c r="A2081" s="42" t="s">
        <v>18</v>
      </c>
      <c r="B2081" s="40"/>
      <c r="C2081" s="40"/>
      <c r="D2081" s="40"/>
      <c r="E2081" s="40"/>
      <c r="F2081" s="40"/>
      <c r="G2081" s="41"/>
      <c r="H2081" s="15">
        <v>649000</v>
      </c>
      <c r="I2081" s="1" t="s">
        <v>120</v>
      </c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5.75" customHeight="1" x14ac:dyDescent="0.75">
      <c r="A2082" s="43" t="s">
        <v>19</v>
      </c>
      <c r="B2082" s="40"/>
      <c r="C2082" s="40"/>
      <c r="D2082" s="40"/>
      <c r="E2082" s="40"/>
      <c r="F2082" s="40"/>
      <c r="G2082" s="40"/>
      <c r="H2082" s="41"/>
      <c r="I2082" s="1" t="s">
        <v>120</v>
      </c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5.75" customHeight="1" x14ac:dyDescent="0.45"/>
    <row r="2084" spans="1:26" ht="15.75" customHeight="1" x14ac:dyDescent="0.45"/>
    <row r="2085" spans="1:26" ht="15.75" customHeight="1" x14ac:dyDescent="0.45"/>
    <row r="2086" spans="1:26" ht="15.75" customHeight="1" x14ac:dyDescent="0.45"/>
    <row r="2087" spans="1:26" ht="15.75" customHeight="1" x14ac:dyDescent="0.45"/>
    <row r="2088" spans="1:26" ht="15.75" customHeight="1" x14ac:dyDescent="0.45"/>
    <row r="2089" spans="1:26" ht="15.75" customHeight="1" x14ac:dyDescent="0.75">
      <c r="A2089" s="43" t="s">
        <v>0</v>
      </c>
      <c r="B2089" s="40"/>
      <c r="C2089" s="40"/>
      <c r="D2089" s="40"/>
      <c r="E2089" s="40"/>
      <c r="F2089" s="40"/>
      <c r="G2089" s="40"/>
      <c r="H2089" s="41"/>
      <c r="I2089" s="1" t="s">
        <v>120</v>
      </c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5.75" customHeight="1" x14ac:dyDescent="0.75">
      <c r="A2090" s="43" t="s">
        <v>330</v>
      </c>
      <c r="B2090" s="40"/>
      <c r="C2090" s="40"/>
      <c r="D2090" s="40"/>
      <c r="E2090" s="40"/>
      <c r="F2090" s="40"/>
      <c r="G2090" s="40"/>
      <c r="H2090" s="41"/>
      <c r="I2090" s="1" t="s">
        <v>120</v>
      </c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5.75" customHeight="1" x14ac:dyDescent="0.55000000000000004">
      <c r="A2091" s="2" t="s">
        <v>3</v>
      </c>
      <c r="B2091" s="2" t="s">
        <v>4</v>
      </c>
      <c r="C2091" s="2" t="s">
        <v>5</v>
      </c>
      <c r="D2091" s="2" t="s">
        <v>6</v>
      </c>
      <c r="E2091" s="2" t="s">
        <v>7</v>
      </c>
      <c r="F2091" s="3" t="s">
        <v>8</v>
      </c>
      <c r="G2091" s="2" t="s">
        <v>9</v>
      </c>
      <c r="H2091" s="4"/>
      <c r="I2091" s="1" t="s">
        <v>120</v>
      </c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5.75" customHeight="1" x14ac:dyDescent="0.75">
      <c r="A2092" s="5">
        <v>1</v>
      </c>
      <c r="B2092" s="21" t="s">
        <v>331</v>
      </c>
      <c r="C2092" s="7" t="s">
        <v>332</v>
      </c>
      <c r="D2092" s="6" t="s">
        <v>12</v>
      </c>
      <c r="E2092" s="6">
        <v>1.9</v>
      </c>
      <c r="F2092" s="8">
        <v>293000</v>
      </c>
      <c r="G2092" s="9">
        <f t="shared" ref="G2092:G2094" si="129">IFERROR(E2092*F2092,0)</f>
        <v>556700</v>
      </c>
      <c r="H2092" s="10"/>
      <c r="I2092" s="1" t="s">
        <v>120</v>
      </c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5.75" customHeight="1" x14ac:dyDescent="0.75">
      <c r="A2093" s="5">
        <v>2</v>
      </c>
      <c r="B2093" s="16" t="s">
        <v>35</v>
      </c>
      <c r="C2093" s="17" t="s">
        <v>333</v>
      </c>
      <c r="D2093" s="16" t="s">
        <v>14</v>
      </c>
      <c r="E2093" s="16">
        <v>1.7</v>
      </c>
      <c r="F2093" s="11">
        <v>435000</v>
      </c>
      <c r="G2093" s="9">
        <f t="shared" si="129"/>
        <v>739500</v>
      </c>
      <c r="H2093" s="10"/>
      <c r="I2093" s="1" t="s">
        <v>120</v>
      </c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5.75" customHeight="1" x14ac:dyDescent="0.75">
      <c r="A2094" s="5">
        <v>3</v>
      </c>
      <c r="B2094" s="12" t="s">
        <v>15</v>
      </c>
      <c r="C2094" s="10"/>
      <c r="D2094" s="10"/>
      <c r="E2094" s="10"/>
      <c r="F2094" s="10"/>
      <c r="G2094" s="13">
        <f t="shared" si="129"/>
        <v>0</v>
      </c>
      <c r="H2094" s="10"/>
      <c r="I2094" s="1" t="s">
        <v>120</v>
      </c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5.75" customHeight="1" x14ac:dyDescent="0.75">
      <c r="A2095" s="39" t="s">
        <v>16</v>
      </c>
      <c r="B2095" s="40"/>
      <c r="C2095" s="40"/>
      <c r="D2095" s="40"/>
      <c r="E2095" s="40"/>
      <c r="F2095" s="40"/>
      <c r="G2095" s="41"/>
      <c r="H2095" s="14">
        <f>SUM(G2092:G2094)</f>
        <v>1296200</v>
      </c>
      <c r="I2095" s="1" t="s">
        <v>120</v>
      </c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5.75" customHeight="1" x14ac:dyDescent="0.75">
      <c r="A2096" s="39" t="s">
        <v>17</v>
      </c>
      <c r="B2096" s="40"/>
      <c r="C2096" s="40"/>
      <c r="D2096" s="40"/>
      <c r="E2096" s="40"/>
      <c r="F2096" s="40"/>
      <c r="G2096" s="41"/>
      <c r="H2096" s="14">
        <f>MAX(0,H2095-648000)</f>
        <v>648200</v>
      </c>
      <c r="I2096" s="1" t="s">
        <v>120</v>
      </c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5.75" customHeight="1" x14ac:dyDescent="0.75">
      <c r="A2097" s="42" t="s">
        <v>18</v>
      </c>
      <c r="B2097" s="40"/>
      <c r="C2097" s="40"/>
      <c r="D2097" s="40"/>
      <c r="E2097" s="40"/>
      <c r="F2097" s="40"/>
      <c r="G2097" s="41"/>
      <c r="H2097" s="15">
        <v>649000</v>
      </c>
      <c r="I2097" s="1" t="s">
        <v>120</v>
      </c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5.75" customHeight="1" x14ac:dyDescent="0.75">
      <c r="A2098" s="43" t="s">
        <v>19</v>
      </c>
      <c r="B2098" s="40"/>
      <c r="C2098" s="40"/>
      <c r="D2098" s="40"/>
      <c r="E2098" s="40"/>
      <c r="F2098" s="40"/>
      <c r="G2098" s="40"/>
      <c r="H2098" s="41"/>
      <c r="I2098" s="1" t="s">
        <v>120</v>
      </c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5.75" customHeight="1" x14ac:dyDescent="0.45"/>
    <row r="2100" spans="1:26" ht="15.75" customHeight="1" x14ac:dyDescent="0.45"/>
    <row r="2101" spans="1:26" ht="15.75" customHeight="1" x14ac:dyDescent="0.45"/>
    <row r="2102" spans="1:26" ht="15.75" customHeight="1" x14ac:dyDescent="0.45"/>
    <row r="2103" spans="1:26" ht="15.75" customHeight="1" x14ac:dyDescent="0.45"/>
    <row r="2104" spans="1:26" ht="15.75" customHeight="1" x14ac:dyDescent="0.45"/>
    <row r="2105" spans="1:26" ht="15.75" customHeight="1" x14ac:dyDescent="0.45"/>
    <row r="2106" spans="1:26" ht="15.75" customHeight="1" x14ac:dyDescent="0.45"/>
    <row r="2107" spans="1:26" ht="15.75" customHeight="1" x14ac:dyDescent="0.45"/>
    <row r="2108" spans="1:26" ht="15.75" customHeight="1" x14ac:dyDescent="0.75">
      <c r="A2108" s="43" t="s">
        <v>0</v>
      </c>
      <c r="B2108" s="40"/>
      <c r="C2108" s="40"/>
      <c r="D2108" s="40"/>
      <c r="E2108" s="40"/>
      <c r="F2108" s="40"/>
      <c r="G2108" s="40"/>
      <c r="H2108" s="41"/>
      <c r="I2108" s="1" t="s">
        <v>120</v>
      </c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5.75" customHeight="1" x14ac:dyDescent="0.75">
      <c r="A2109" s="43" t="s">
        <v>334</v>
      </c>
      <c r="B2109" s="40"/>
      <c r="C2109" s="40"/>
      <c r="D2109" s="40"/>
      <c r="E2109" s="40"/>
      <c r="F2109" s="40"/>
      <c r="G2109" s="40"/>
      <c r="H2109" s="41"/>
      <c r="I2109" s="1" t="s">
        <v>120</v>
      </c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5.75" customHeight="1" x14ac:dyDescent="0.55000000000000004">
      <c r="A2110" s="2" t="s">
        <v>3</v>
      </c>
      <c r="B2110" s="2" t="s">
        <v>4</v>
      </c>
      <c r="C2110" s="2" t="s">
        <v>5</v>
      </c>
      <c r="D2110" s="2" t="s">
        <v>6</v>
      </c>
      <c r="E2110" s="2" t="s">
        <v>7</v>
      </c>
      <c r="F2110" s="3" t="s">
        <v>8</v>
      </c>
      <c r="G2110" s="2" t="s">
        <v>9</v>
      </c>
      <c r="H2110" s="4"/>
      <c r="I2110" s="1" t="s">
        <v>120</v>
      </c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5.75" customHeight="1" x14ac:dyDescent="0.75">
      <c r="A2111" s="5">
        <v>1</v>
      </c>
      <c r="B2111" s="21" t="s">
        <v>170</v>
      </c>
      <c r="C2111" s="7">
        <v>5469</v>
      </c>
      <c r="D2111" s="6" t="s">
        <v>12</v>
      </c>
      <c r="E2111" s="6">
        <v>2.27</v>
      </c>
      <c r="F2111" s="8">
        <v>293000</v>
      </c>
      <c r="G2111" s="9">
        <f t="shared" ref="G2111:G2113" si="130">IFERROR(E2111*F2111,0)</f>
        <v>665110</v>
      </c>
      <c r="H2111" s="10"/>
      <c r="I2111" s="1" t="s">
        <v>120</v>
      </c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5.75" customHeight="1" x14ac:dyDescent="0.75">
      <c r="A2112" s="5">
        <v>2</v>
      </c>
      <c r="B2112" s="16" t="s">
        <v>335</v>
      </c>
      <c r="C2112" s="17" t="s">
        <v>336</v>
      </c>
      <c r="D2112" s="16" t="s">
        <v>14</v>
      </c>
      <c r="E2112" s="16">
        <v>1.1100000000000001</v>
      </c>
      <c r="F2112" s="11">
        <v>435000</v>
      </c>
      <c r="G2112" s="9">
        <f t="shared" si="130"/>
        <v>482850.00000000006</v>
      </c>
      <c r="H2112" s="10"/>
      <c r="I2112" s="1" t="s">
        <v>120</v>
      </c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5.75" customHeight="1" x14ac:dyDescent="0.75">
      <c r="A2113" s="5">
        <v>3</v>
      </c>
      <c r="B2113" s="12" t="s">
        <v>15</v>
      </c>
      <c r="C2113" s="10"/>
      <c r="D2113" s="10"/>
      <c r="E2113" s="10"/>
      <c r="F2113" s="10"/>
      <c r="G2113" s="13">
        <f t="shared" si="130"/>
        <v>0</v>
      </c>
      <c r="H2113" s="10"/>
      <c r="I2113" s="1" t="s">
        <v>120</v>
      </c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5.75" customHeight="1" x14ac:dyDescent="0.75">
      <c r="A2114" s="39" t="s">
        <v>16</v>
      </c>
      <c r="B2114" s="40"/>
      <c r="C2114" s="40"/>
      <c r="D2114" s="40"/>
      <c r="E2114" s="40"/>
      <c r="F2114" s="40"/>
      <c r="G2114" s="41"/>
      <c r="H2114" s="14">
        <f>SUM(G2111:G2113)</f>
        <v>1147960</v>
      </c>
      <c r="I2114" s="1" t="s">
        <v>120</v>
      </c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5.75" customHeight="1" x14ac:dyDescent="0.75">
      <c r="A2115" s="39" t="s">
        <v>17</v>
      </c>
      <c r="B2115" s="40"/>
      <c r="C2115" s="40"/>
      <c r="D2115" s="40"/>
      <c r="E2115" s="40"/>
      <c r="F2115" s="40"/>
      <c r="G2115" s="41"/>
      <c r="H2115" s="14">
        <f>MAX(0,H2114-648000)</f>
        <v>499960</v>
      </c>
      <c r="I2115" s="1" t="s">
        <v>120</v>
      </c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5.75" customHeight="1" x14ac:dyDescent="0.75">
      <c r="A2116" s="42" t="s">
        <v>18</v>
      </c>
      <c r="B2116" s="40"/>
      <c r="C2116" s="40"/>
      <c r="D2116" s="40"/>
      <c r="E2116" s="40"/>
      <c r="F2116" s="40"/>
      <c r="G2116" s="41"/>
      <c r="H2116" s="15">
        <v>649000</v>
      </c>
      <c r="I2116" s="1" t="s">
        <v>120</v>
      </c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5.75" customHeight="1" x14ac:dyDescent="0.75">
      <c r="A2117" s="43" t="s">
        <v>19</v>
      </c>
      <c r="B2117" s="40"/>
      <c r="C2117" s="40"/>
      <c r="D2117" s="40"/>
      <c r="E2117" s="40"/>
      <c r="F2117" s="40"/>
      <c r="G2117" s="40"/>
      <c r="H2117" s="41"/>
      <c r="I2117" s="1" t="s">
        <v>120</v>
      </c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5.75" customHeight="1" x14ac:dyDescent="0.45"/>
    <row r="2119" spans="1:26" ht="15.75" customHeight="1" x14ac:dyDescent="0.45"/>
    <row r="2120" spans="1:26" ht="15.75" customHeight="1" x14ac:dyDescent="0.45"/>
    <row r="2121" spans="1:26" ht="15.75" customHeight="1" x14ac:dyDescent="0.45"/>
    <row r="2122" spans="1:26" ht="15.75" customHeight="1" x14ac:dyDescent="0.45"/>
    <row r="2123" spans="1:26" ht="15.75" customHeight="1" x14ac:dyDescent="0.75">
      <c r="A2123" s="43" t="s">
        <v>0</v>
      </c>
      <c r="B2123" s="40"/>
      <c r="C2123" s="40"/>
      <c r="D2123" s="40"/>
      <c r="E2123" s="40"/>
      <c r="F2123" s="40"/>
      <c r="G2123" s="40"/>
      <c r="H2123" s="41"/>
      <c r="I2123" s="1" t="s">
        <v>120</v>
      </c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5.75" customHeight="1" x14ac:dyDescent="0.75">
      <c r="A2124" s="43" t="s">
        <v>337</v>
      </c>
      <c r="B2124" s="40"/>
      <c r="C2124" s="40"/>
      <c r="D2124" s="40"/>
      <c r="E2124" s="40"/>
      <c r="F2124" s="40"/>
      <c r="G2124" s="40"/>
      <c r="H2124" s="41"/>
      <c r="I2124" s="1" t="s">
        <v>120</v>
      </c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5.75" customHeight="1" x14ac:dyDescent="0.55000000000000004">
      <c r="A2125" s="2" t="s">
        <v>3</v>
      </c>
      <c r="B2125" s="2" t="s">
        <v>4</v>
      </c>
      <c r="C2125" s="2" t="s">
        <v>5</v>
      </c>
      <c r="D2125" s="2" t="s">
        <v>6</v>
      </c>
      <c r="E2125" s="2" t="s">
        <v>7</v>
      </c>
      <c r="F2125" s="3" t="s">
        <v>8</v>
      </c>
      <c r="G2125" s="2" t="s">
        <v>9</v>
      </c>
      <c r="H2125" s="4"/>
      <c r="I2125" s="1" t="s">
        <v>120</v>
      </c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5.75" customHeight="1" x14ac:dyDescent="0.75">
      <c r="A2126" s="5">
        <v>1</v>
      </c>
      <c r="B2126" s="21" t="s">
        <v>149</v>
      </c>
      <c r="C2126" s="7">
        <v>2578</v>
      </c>
      <c r="D2126" s="6" t="s">
        <v>12</v>
      </c>
      <c r="E2126" s="6">
        <v>2.48</v>
      </c>
      <c r="F2126" s="8">
        <v>293000</v>
      </c>
      <c r="G2126" s="9">
        <f t="shared" ref="G2126:G2128" si="131">IFERROR(E2126*F2126,0)</f>
        <v>726640</v>
      </c>
      <c r="H2126" s="10"/>
      <c r="I2126" s="1" t="s">
        <v>120</v>
      </c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5.75" customHeight="1" x14ac:dyDescent="0.75">
      <c r="A2127" s="5">
        <v>2</v>
      </c>
      <c r="B2127" s="16" t="s">
        <v>21</v>
      </c>
      <c r="C2127" s="17">
        <v>1135</v>
      </c>
      <c r="D2127" s="16" t="s">
        <v>14</v>
      </c>
      <c r="E2127" s="16">
        <v>0.97</v>
      </c>
      <c r="F2127" s="11">
        <v>435000</v>
      </c>
      <c r="G2127" s="9">
        <f t="shared" si="131"/>
        <v>421950</v>
      </c>
      <c r="H2127" s="10"/>
      <c r="I2127" s="1" t="s">
        <v>120</v>
      </c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5.75" customHeight="1" x14ac:dyDescent="0.75">
      <c r="A2128" s="5">
        <v>3</v>
      </c>
      <c r="B2128" s="12" t="s">
        <v>15</v>
      </c>
      <c r="C2128" s="10"/>
      <c r="D2128" s="10"/>
      <c r="E2128" s="10"/>
      <c r="F2128" s="10"/>
      <c r="G2128" s="13">
        <f t="shared" si="131"/>
        <v>0</v>
      </c>
      <c r="H2128" s="10"/>
      <c r="I2128" s="1" t="s">
        <v>120</v>
      </c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5.75" customHeight="1" x14ac:dyDescent="0.75">
      <c r="A2129" s="39" t="s">
        <v>16</v>
      </c>
      <c r="B2129" s="40"/>
      <c r="C2129" s="40"/>
      <c r="D2129" s="40"/>
      <c r="E2129" s="40"/>
      <c r="F2129" s="40"/>
      <c r="G2129" s="41"/>
      <c r="H2129" s="14">
        <f>SUM(G2126:G2128)</f>
        <v>1148590</v>
      </c>
      <c r="I2129" s="1" t="s">
        <v>120</v>
      </c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5.75" customHeight="1" x14ac:dyDescent="0.75">
      <c r="A2130" s="39" t="s">
        <v>17</v>
      </c>
      <c r="B2130" s="40"/>
      <c r="C2130" s="40"/>
      <c r="D2130" s="40"/>
      <c r="E2130" s="40"/>
      <c r="F2130" s="40"/>
      <c r="G2130" s="41"/>
      <c r="H2130" s="14">
        <f>MAX(0,H2129-648000)</f>
        <v>500590</v>
      </c>
      <c r="I2130" s="1" t="s">
        <v>120</v>
      </c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5.75" customHeight="1" x14ac:dyDescent="0.75">
      <c r="A2131" s="42" t="s">
        <v>18</v>
      </c>
      <c r="B2131" s="40"/>
      <c r="C2131" s="40"/>
      <c r="D2131" s="40"/>
      <c r="E2131" s="40"/>
      <c r="F2131" s="40"/>
      <c r="G2131" s="41"/>
      <c r="H2131" s="15">
        <v>649000</v>
      </c>
      <c r="I2131" s="1" t="s">
        <v>120</v>
      </c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5.75" customHeight="1" x14ac:dyDescent="0.75">
      <c r="A2132" s="43" t="s">
        <v>19</v>
      </c>
      <c r="B2132" s="40"/>
      <c r="C2132" s="40"/>
      <c r="D2132" s="40"/>
      <c r="E2132" s="40"/>
      <c r="F2132" s="40"/>
      <c r="G2132" s="40"/>
      <c r="H2132" s="41"/>
      <c r="I2132" s="1" t="s">
        <v>120</v>
      </c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5.75" customHeight="1" x14ac:dyDescent="0.45"/>
    <row r="2134" spans="1:26" ht="15.75" customHeight="1" x14ac:dyDescent="0.45"/>
    <row r="2135" spans="1:26" ht="15.75" customHeight="1" x14ac:dyDescent="0.45"/>
    <row r="2136" spans="1:26" ht="15.75" customHeight="1" x14ac:dyDescent="0.45"/>
    <row r="2137" spans="1:26" ht="15.75" customHeight="1" x14ac:dyDescent="0.45"/>
    <row r="2138" spans="1:26" ht="15.75" customHeight="1" x14ac:dyDescent="0.45"/>
    <row r="2139" spans="1:26" ht="15.75" customHeight="1" x14ac:dyDescent="0.45"/>
    <row r="2140" spans="1:26" ht="15.75" customHeight="1" x14ac:dyDescent="0.75">
      <c r="A2140" s="43" t="s">
        <v>0</v>
      </c>
      <c r="B2140" s="40"/>
      <c r="C2140" s="40"/>
      <c r="D2140" s="40"/>
      <c r="E2140" s="40"/>
      <c r="F2140" s="40"/>
      <c r="G2140" s="40"/>
      <c r="H2140" s="41"/>
      <c r="I2140" s="1" t="s">
        <v>120</v>
      </c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5.75" customHeight="1" x14ac:dyDescent="0.75">
      <c r="A2141" s="43" t="s">
        <v>338</v>
      </c>
      <c r="B2141" s="40"/>
      <c r="C2141" s="40"/>
      <c r="D2141" s="40"/>
      <c r="E2141" s="40"/>
      <c r="F2141" s="40"/>
      <c r="G2141" s="40"/>
      <c r="H2141" s="41"/>
      <c r="I2141" s="1" t="s">
        <v>120</v>
      </c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5.75" customHeight="1" x14ac:dyDescent="0.55000000000000004">
      <c r="A2142" s="2" t="s">
        <v>3</v>
      </c>
      <c r="B2142" s="2" t="s">
        <v>4</v>
      </c>
      <c r="C2142" s="2" t="s">
        <v>5</v>
      </c>
      <c r="D2142" s="2" t="s">
        <v>6</v>
      </c>
      <c r="E2142" s="2" t="s">
        <v>7</v>
      </c>
      <c r="F2142" s="3" t="s">
        <v>8</v>
      </c>
      <c r="G2142" s="2" t="s">
        <v>9</v>
      </c>
      <c r="H2142" s="4"/>
      <c r="I2142" s="1" t="s">
        <v>120</v>
      </c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5.75" customHeight="1" x14ac:dyDescent="0.75">
      <c r="A2143" s="5">
        <v>1</v>
      </c>
      <c r="B2143" s="21" t="s">
        <v>170</v>
      </c>
      <c r="C2143" s="7">
        <v>2023</v>
      </c>
      <c r="D2143" s="6" t="s">
        <v>12</v>
      </c>
      <c r="E2143" s="6">
        <v>2</v>
      </c>
      <c r="F2143" s="8">
        <v>293000</v>
      </c>
      <c r="G2143" s="9">
        <f t="shared" ref="G2143:G2145" si="132">IFERROR(E2143*F2143,0)</f>
        <v>586000</v>
      </c>
      <c r="H2143" s="10"/>
      <c r="I2143" s="1" t="s">
        <v>120</v>
      </c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5.75" customHeight="1" x14ac:dyDescent="0.75">
      <c r="A2144" s="5">
        <v>2</v>
      </c>
      <c r="B2144" s="16" t="s">
        <v>339</v>
      </c>
      <c r="C2144" s="17" t="s">
        <v>340</v>
      </c>
      <c r="D2144" s="16" t="s">
        <v>14</v>
      </c>
      <c r="E2144" s="16">
        <v>1.5</v>
      </c>
      <c r="F2144" s="11">
        <v>435000</v>
      </c>
      <c r="G2144" s="9">
        <f t="shared" si="132"/>
        <v>652500</v>
      </c>
      <c r="H2144" s="10"/>
      <c r="I2144" s="1" t="s">
        <v>120</v>
      </c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5.75" customHeight="1" x14ac:dyDescent="0.75">
      <c r="A2145" s="5">
        <v>3</v>
      </c>
      <c r="B2145" s="12" t="s">
        <v>15</v>
      </c>
      <c r="C2145" s="10"/>
      <c r="D2145" s="10"/>
      <c r="E2145" s="10"/>
      <c r="F2145" s="10"/>
      <c r="G2145" s="13">
        <f t="shared" si="132"/>
        <v>0</v>
      </c>
      <c r="H2145" s="10"/>
      <c r="I2145" s="1" t="s">
        <v>120</v>
      </c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5.75" customHeight="1" x14ac:dyDescent="0.75">
      <c r="A2146" s="39" t="s">
        <v>16</v>
      </c>
      <c r="B2146" s="40"/>
      <c r="C2146" s="40"/>
      <c r="D2146" s="40"/>
      <c r="E2146" s="40"/>
      <c r="F2146" s="40"/>
      <c r="G2146" s="41"/>
      <c r="H2146" s="14">
        <f>SUM(G2143:G2145)</f>
        <v>1238500</v>
      </c>
      <c r="I2146" s="1" t="s">
        <v>120</v>
      </c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5.75" customHeight="1" x14ac:dyDescent="0.75">
      <c r="A2147" s="39" t="s">
        <v>17</v>
      </c>
      <c r="B2147" s="40"/>
      <c r="C2147" s="40"/>
      <c r="D2147" s="40"/>
      <c r="E2147" s="40"/>
      <c r="F2147" s="40"/>
      <c r="G2147" s="41"/>
      <c r="H2147" s="14">
        <f>MAX(0,H2146-648000)</f>
        <v>590500</v>
      </c>
      <c r="I2147" s="1" t="s">
        <v>120</v>
      </c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5.75" customHeight="1" x14ac:dyDescent="0.75">
      <c r="A2148" s="42" t="s">
        <v>18</v>
      </c>
      <c r="B2148" s="40"/>
      <c r="C2148" s="40"/>
      <c r="D2148" s="40"/>
      <c r="E2148" s="40"/>
      <c r="F2148" s="40"/>
      <c r="G2148" s="41"/>
      <c r="H2148" s="15">
        <v>649000</v>
      </c>
      <c r="I2148" s="1" t="s">
        <v>120</v>
      </c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5.75" customHeight="1" x14ac:dyDescent="0.75">
      <c r="A2149" s="43" t="s">
        <v>19</v>
      </c>
      <c r="B2149" s="40"/>
      <c r="C2149" s="40"/>
      <c r="D2149" s="40"/>
      <c r="E2149" s="40"/>
      <c r="F2149" s="40"/>
      <c r="G2149" s="40"/>
      <c r="H2149" s="41"/>
      <c r="I2149" s="1" t="s">
        <v>120</v>
      </c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5.75" customHeight="1" x14ac:dyDescent="0.45"/>
    <row r="2151" spans="1:26" ht="15.75" customHeight="1" x14ac:dyDescent="0.45"/>
    <row r="2152" spans="1:26" ht="15.75" customHeight="1" x14ac:dyDescent="0.45"/>
    <row r="2153" spans="1:26" ht="15.75" customHeight="1" x14ac:dyDescent="0.45"/>
    <row r="2154" spans="1:26" ht="15.75" customHeight="1" x14ac:dyDescent="0.45"/>
    <row r="2155" spans="1:26" ht="15.75" customHeight="1" x14ac:dyDescent="0.45"/>
    <row r="2156" spans="1:26" ht="15.75" customHeight="1" x14ac:dyDescent="0.45"/>
    <row r="2157" spans="1:26" ht="15.75" customHeight="1" x14ac:dyDescent="0.75">
      <c r="A2157" s="43" t="s">
        <v>0</v>
      </c>
      <c r="B2157" s="40"/>
      <c r="C2157" s="40"/>
      <c r="D2157" s="40"/>
      <c r="E2157" s="40"/>
      <c r="F2157" s="40"/>
      <c r="G2157" s="40"/>
      <c r="H2157" s="41"/>
      <c r="I2157" s="1" t="s">
        <v>120</v>
      </c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5.75" customHeight="1" x14ac:dyDescent="0.75">
      <c r="A2158" s="43" t="s">
        <v>341</v>
      </c>
      <c r="B2158" s="40"/>
      <c r="C2158" s="40"/>
      <c r="D2158" s="40"/>
      <c r="E2158" s="40"/>
      <c r="F2158" s="40"/>
      <c r="G2158" s="40"/>
      <c r="H2158" s="41"/>
      <c r="I2158" s="1" t="s">
        <v>120</v>
      </c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5.75" customHeight="1" x14ac:dyDescent="0.55000000000000004">
      <c r="A2159" s="2" t="s">
        <v>3</v>
      </c>
      <c r="B2159" s="2" t="s">
        <v>4</v>
      </c>
      <c r="C2159" s="2" t="s">
        <v>5</v>
      </c>
      <c r="D2159" s="2" t="s">
        <v>6</v>
      </c>
      <c r="E2159" s="2" t="s">
        <v>7</v>
      </c>
      <c r="F2159" s="3" t="s">
        <v>8</v>
      </c>
      <c r="G2159" s="2" t="s">
        <v>9</v>
      </c>
      <c r="H2159" s="4"/>
      <c r="I2159" s="1" t="s">
        <v>120</v>
      </c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5.75" customHeight="1" x14ac:dyDescent="0.75">
      <c r="A2160" s="5">
        <v>1</v>
      </c>
      <c r="B2160" s="21" t="s">
        <v>342</v>
      </c>
      <c r="C2160" s="7" t="s">
        <v>343</v>
      </c>
      <c r="D2160" s="6" t="s">
        <v>12</v>
      </c>
      <c r="E2160" s="6">
        <v>2.88</v>
      </c>
      <c r="F2160" s="8">
        <v>293000</v>
      </c>
      <c r="G2160" s="9">
        <f t="shared" ref="G2160:G2162" si="133">IFERROR(E2160*F2160,0)</f>
        <v>843840</v>
      </c>
      <c r="H2160" s="10"/>
      <c r="I2160" s="1" t="s">
        <v>120</v>
      </c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5.75" customHeight="1" x14ac:dyDescent="0.75">
      <c r="A2161" s="5">
        <v>2</v>
      </c>
      <c r="B2161" s="16" t="s">
        <v>21</v>
      </c>
      <c r="C2161" s="17">
        <v>3645</v>
      </c>
      <c r="D2161" s="16" t="s">
        <v>14</v>
      </c>
      <c r="E2161" s="16">
        <v>0.7</v>
      </c>
      <c r="F2161" s="11">
        <v>435000</v>
      </c>
      <c r="G2161" s="9">
        <f t="shared" si="133"/>
        <v>304500</v>
      </c>
      <c r="H2161" s="10"/>
      <c r="I2161" s="1" t="s">
        <v>120</v>
      </c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5.75" customHeight="1" x14ac:dyDescent="0.75">
      <c r="A2162" s="5">
        <v>3</v>
      </c>
      <c r="B2162" s="12" t="s">
        <v>15</v>
      </c>
      <c r="C2162" s="10"/>
      <c r="D2162" s="10"/>
      <c r="E2162" s="10"/>
      <c r="F2162" s="10"/>
      <c r="G2162" s="13">
        <f t="shared" si="133"/>
        <v>0</v>
      </c>
      <c r="H2162" s="10"/>
      <c r="I2162" s="1" t="s">
        <v>120</v>
      </c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5.75" customHeight="1" x14ac:dyDescent="0.75">
      <c r="A2163" s="39" t="s">
        <v>16</v>
      </c>
      <c r="B2163" s="40"/>
      <c r="C2163" s="40"/>
      <c r="D2163" s="40"/>
      <c r="E2163" s="40"/>
      <c r="F2163" s="40"/>
      <c r="G2163" s="41"/>
      <c r="H2163" s="14">
        <f>SUM(G2160:G2162)</f>
        <v>1148340</v>
      </c>
      <c r="I2163" s="1" t="s">
        <v>120</v>
      </c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5.75" customHeight="1" x14ac:dyDescent="0.75">
      <c r="A2164" s="39" t="s">
        <v>17</v>
      </c>
      <c r="B2164" s="40"/>
      <c r="C2164" s="40"/>
      <c r="D2164" s="40"/>
      <c r="E2164" s="40"/>
      <c r="F2164" s="40"/>
      <c r="G2164" s="41"/>
      <c r="H2164" s="14">
        <f>MAX(0,H2163-648000)</f>
        <v>500340</v>
      </c>
      <c r="I2164" s="1" t="s">
        <v>120</v>
      </c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5.75" customHeight="1" x14ac:dyDescent="0.75">
      <c r="A2165" s="42" t="s">
        <v>18</v>
      </c>
      <c r="B2165" s="40"/>
      <c r="C2165" s="40"/>
      <c r="D2165" s="40"/>
      <c r="E2165" s="40"/>
      <c r="F2165" s="40"/>
      <c r="G2165" s="41"/>
      <c r="H2165" s="15">
        <v>649000</v>
      </c>
      <c r="I2165" s="1" t="s">
        <v>120</v>
      </c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5.75" customHeight="1" x14ac:dyDescent="0.75">
      <c r="A2166" s="43" t="s">
        <v>19</v>
      </c>
      <c r="B2166" s="40"/>
      <c r="C2166" s="40"/>
      <c r="D2166" s="40"/>
      <c r="E2166" s="40"/>
      <c r="F2166" s="40"/>
      <c r="G2166" s="40"/>
      <c r="H2166" s="41"/>
      <c r="I2166" s="1" t="s">
        <v>120</v>
      </c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5.75" customHeight="1" x14ac:dyDescent="0.45"/>
    <row r="2168" spans="1:26" ht="15.75" customHeight="1" x14ac:dyDescent="0.45"/>
    <row r="2169" spans="1:26" ht="15.75" customHeight="1" x14ac:dyDescent="0.45"/>
    <row r="2170" spans="1:26" ht="15.75" customHeight="1" x14ac:dyDescent="0.75">
      <c r="A2170" s="43" t="s">
        <v>0</v>
      </c>
      <c r="B2170" s="40"/>
      <c r="C2170" s="40"/>
      <c r="D2170" s="40"/>
      <c r="E2170" s="40"/>
      <c r="F2170" s="40"/>
      <c r="G2170" s="40"/>
      <c r="H2170" s="41"/>
      <c r="I2170" s="1" t="s">
        <v>120</v>
      </c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5.75" customHeight="1" x14ac:dyDescent="0.75">
      <c r="A2171" s="43" t="s">
        <v>344</v>
      </c>
      <c r="B2171" s="40"/>
      <c r="C2171" s="40"/>
      <c r="D2171" s="40"/>
      <c r="E2171" s="40"/>
      <c r="F2171" s="40"/>
      <c r="G2171" s="40"/>
      <c r="H2171" s="41"/>
      <c r="I2171" s="1" t="s">
        <v>120</v>
      </c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5.75" customHeight="1" x14ac:dyDescent="0.55000000000000004">
      <c r="A2172" s="2" t="s">
        <v>3</v>
      </c>
      <c r="B2172" s="2" t="s">
        <v>4</v>
      </c>
      <c r="C2172" s="2" t="s">
        <v>5</v>
      </c>
      <c r="D2172" s="2" t="s">
        <v>6</v>
      </c>
      <c r="E2172" s="2" t="s">
        <v>7</v>
      </c>
      <c r="F2172" s="3" t="s">
        <v>8</v>
      </c>
      <c r="G2172" s="2" t="s">
        <v>9</v>
      </c>
      <c r="H2172" s="4"/>
      <c r="I2172" s="1" t="s">
        <v>120</v>
      </c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5.75" customHeight="1" x14ac:dyDescent="0.75">
      <c r="A2173" s="5">
        <v>1</v>
      </c>
      <c r="B2173" s="21" t="s">
        <v>170</v>
      </c>
      <c r="C2173" s="7">
        <v>5888</v>
      </c>
      <c r="D2173" s="6" t="s">
        <v>12</v>
      </c>
      <c r="E2173" s="6">
        <v>2</v>
      </c>
      <c r="F2173" s="8">
        <v>293000</v>
      </c>
      <c r="G2173" s="9">
        <f t="shared" ref="G2173:G2175" si="134">IFERROR(E2173*F2173,0)</f>
        <v>586000</v>
      </c>
      <c r="H2173" s="10"/>
      <c r="I2173" s="1" t="s">
        <v>120</v>
      </c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5.75" customHeight="1" x14ac:dyDescent="0.75">
      <c r="A2174" s="5">
        <v>2</v>
      </c>
      <c r="B2174" s="16" t="s">
        <v>167</v>
      </c>
      <c r="C2174" s="17">
        <v>3694</v>
      </c>
      <c r="D2174" s="16" t="s">
        <v>14</v>
      </c>
      <c r="E2174" s="16">
        <v>1.45</v>
      </c>
      <c r="F2174" s="11">
        <v>435000</v>
      </c>
      <c r="G2174" s="9">
        <f t="shared" si="134"/>
        <v>630750</v>
      </c>
      <c r="H2174" s="10"/>
      <c r="I2174" s="1" t="s">
        <v>120</v>
      </c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5.75" customHeight="1" x14ac:dyDescent="0.75">
      <c r="A2175" s="5">
        <v>3</v>
      </c>
      <c r="B2175" s="12" t="s">
        <v>15</v>
      </c>
      <c r="C2175" s="10"/>
      <c r="D2175" s="10"/>
      <c r="E2175" s="10"/>
      <c r="F2175" s="10"/>
      <c r="G2175" s="13">
        <f t="shared" si="134"/>
        <v>0</v>
      </c>
      <c r="H2175" s="10"/>
      <c r="I2175" s="1" t="s">
        <v>120</v>
      </c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5.75" customHeight="1" x14ac:dyDescent="0.75">
      <c r="A2176" s="39" t="s">
        <v>16</v>
      </c>
      <c r="B2176" s="40"/>
      <c r="C2176" s="40"/>
      <c r="D2176" s="40"/>
      <c r="E2176" s="40"/>
      <c r="F2176" s="40"/>
      <c r="G2176" s="41"/>
      <c r="H2176" s="14">
        <f>SUM(G2173:G2175)</f>
        <v>1216750</v>
      </c>
      <c r="I2176" s="1" t="s">
        <v>120</v>
      </c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5.75" customHeight="1" x14ac:dyDescent="0.75">
      <c r="A2177" s="39" t="s">
        <v>17</v>
      </c>
      <c r="B2177" s="40"/>
      <c r="C2177" s="40"/>
      <c r="D2177" s="40"/>
      <c r="E2177" s="40"/>
      <c r="F2177" s="40"/>
      <c r="G2177" s="41"/>
      <c r="H2177" s="14">
        <f>MAX(0,H2176-648000)</f>
        <v>568750</v>
      </c>
      <c r="I2177" s="1" t="s">
        <v>120</v>
      </c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5.75" customHeight="1" x14ac:dyDescent="0.75">
      <c r="A2178" s="42" t="s">
        <v>18</v>
      </c>
      <c r="B2178" s="40"/>
      <c r="C2178" s="40"/>
      <c r="D2178" s="40"/>
      <c r="E2178" s="40"/>
      <c r="F2178" s="40"/>
      <c r="G2178" s="41"/>
      <c r="H2178" s="15">
        <v>649000</v>
      </c>
      <c r="I2178" s="1" t="s">
        <v>120</v>
      </c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5.75" customHeight="1" x14ac:dyDescent="0.75">
      <c r="A2179" s="43" t="s">
        <v>19</v>
      </c>
      <c r="B2179" s="40"/>
      <c r="C2179" s="40"/>
      <c r="D2179" s="40"/>
      <c r="E2179" s="40"/>
      <c r="F2179" s="40"/>
      <c r="G2179" s="40"/>
      <c r="H2179" s="41"/>
      <c r="I2179" s="1" t="s">
        <v>120</v>
      </c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5.75" customHeight="1" x14ac:dyDescent="0.45"/>
    <row r="2181" spans="1:26" ht="15.75" customHeight="1" x14ac:dyDescent="0.45"/>
    <row r="2182" spans="1:26" ht="15.75" customHeight="1" x14ac:dyDescent="0.45"/>
    <row r="2183" spans="1:26" ht="15.75" customHeight="1" x14ac:dyDescent="0.45"/>
    <row r="2184" spans="1:26" ht="15.75" customHeight="1" x14ac:dyDescent="0.45"/>
    <row r="2185" spans="1:26" ht="15.75" customHeight="1" x14ac:dyDescent="0.45"/>
    <row r="2186" spans="1:26" ht="15.75" customHeight="1" x14ac:dyDescent="0.45"/>
    <row r="2187" spans="1:26" ht="15.75" customHeight="1" x14ac:dyDescent="0.45"/>
    <row r="2188" spans="1:26" ht="15.75" customHeight="1" x14ac:dyDescent="0.75">
      <c r="A2188" s="43" t="s">
        <v>0</v>
      </c>
      <c r="B2188" s="40"/>
      <c r="C2188" s="40"/>
      <c r="D2188" s="40"/>
      <c r="E2188" s="40"/>
      <c r="F2188" s="40"/>
      <c r="G2188" s="40"/>
      <c r="H2188" s="41"/>
      <c r="I2188" s="1" t="s">
        <v>120</v>
      </c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5.75" customHeight="1" x14ac:dyDescent="0.75">
      <c r="A2189" s="43" t="s">
        <v>345</v>
      </c>
      <c r="B2189" s="40"/>
      <c r="C2189" s="40"/>
      <c r="D2189" s="40"/>
      <c r="E2189" s="40"/>
      <c r="F2189" s="40"/>
      <c r="G2189" s="40"/>
      <c r="H2189" s="41"/>
      <c r="I2189" s="1" t="s">
        <v>120</v>
      </c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5.75" customHeight="1" x14ac:dyDescent="0.55000000000000004">
      <c r="A2190" s="2" t="s">
        <v>3</v>
      </c>
      <c r="B2190" s="2" t="s">
        <v>4</v>
      </c>
      <c r="C2190" s="2" t="s">
        <v>5</v>
      </c>
      <c r="D2190" s="2" t="s">
        <v>6</v>
      </c>
      <c r="E2190" s="2" t="s">
        <v>7</v>
      </c>
      <c r="F2190" s="3" t="s">
        <v>8</v>
      </c>
      <c r="G2190" s="2" t="s">
        <v>9</v>
      </c>
      <c r="H2190" s="4"/>
      <c r="I2190" s="1" t="s">
        <v>120</v>
      </c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5.75" customHeight="1" x14ac:dyDescent="0.75">
      <c r="A2191" s="5">
        <v>1</v>
      </c>
      <c r="B2191" s="21" t="s">
        <v>346</v>
      </c>
      <c r="C2191" s="7">
        <v>2741</v>
      </c>
      <c r="D2191" s="6" t="s">
        <v>12</v>
      </c>
      <c r="E2191" s="6">
        <v>2.7</v>
      </c>
      <c r="F2191" s="8">
        <v>293000</v>
      </c>
      <c r="G2191" s="9">
        <f t="shared" ref="G2191:G2193" si="135">IFERROR(E2191*F2191,0)</f>
        <v>791100</v>
      </c>
      <c r="H2191" s="10"/>
      <c r="I2191" s="1" t="s">
        <v>120</v>
      </c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5.75" customHeight="1" x14ac:dyDescent="0.75">
      <c r="A2192" s="5">
        <v>2</v>
      </c>
      <c r="B2192" s="16" t="s">
        <v>347</v>
      </c>
      <c r="C2192" s="17" t="s">
        <v>348</v>
      </c>
      <c r="D2192" s="16" t="s">
        <v>14</v>
      </c>
      <c r="E2192" s="16">
        <v>0.69</v>
      </c>
      <c r="F2192" s="11">
        <v>435000</v>
      </c>
      <c r="G2192" s="9">
        <f t="shared" si="135"/>
        <v>300150</v>
      </c>
      <c r="H2192" s="10"/>
      <c r="I2192" s="1" t="s">
        <v>120</v>
      </c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5.75" customHeight="1" x14ac:dyDescent="0.75">
      <c r="A2193" s="5">
        <v>3</v>
      </c>
      <c r="B2193" s="12" t="s">
        <v>15</v>
      </c>
      <c r="C2193" s="10"/>
      <c r="D2193" s="10"/>
      <c r="E2193" s="10"/>
      <c r="F2193" s="10"/>
      <c r="G2193" s="13">
        <f t="shared" si="135"/>
        <v>0</v>
      </c>
      <c r="H2193" s="10"/>
      <c r="I2193" s="1" t="s">
        <v>120</v>
      </c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5.75" customHeight="1" x14ac:dyDescent="0.75">
      <c r="A2194" s="39" t="s">
        <v>16</v>
      </c>
      <c r="B2194" s="40"/>
      <c r="C2194" s="40"/>
      <c r="D2194" s="40"/>
      <c r="E2194" s="40"/>
      <c r="F2194" s="40"/>
      <c r="G2194" s="41"/>
      <c r="H2194" s="14">
        <f>SUM(G2191:G2193)</f>
        <v>1091250</v>
      </c>
      <c r="I2194" s="1" t="s">
        <v>120</v>
      </c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5.75" customHeight="1" x14ac:dyDescent="0.75">
      <c r="A2195" s="39" t="s">
        <v>17</v>
      </c>
      <c r="B2195" s="40"/>
      <c r="C2195" s="40"/>
      <c r="D2195" s="40"/>
      <c r="E2195" s="40"/>
      <c r="F2195" s="40"/>
      <c r="G2195" s="41"/>
      <c r="H2195" s="14">
        <f>MAX(0,H2194-648000)</f>
        <v>443250</v>
      </c>
      <c r="I2195" s="1" t="s">
        <v>120</v>
      </c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5.75" customHeight="1" x14ac:dyDescent="0.75">
      <c r="A2196" s="42" t="s">
        <v>18</v>
      </c>
      <c r="B2196" s="40"/>
      <c r="C2196" s="40"/>
      <c r="D2196" s="40"/>
      <c r="E2196" s="40"/>
      <c r="F2196" s="40"/>
      <c r="G2196" s="41"/>
      <c r="H2196" s="15">
        <v>649000</v>
      </c>
      <c r="I2196" s="1" t="s">
        <v>120</v>
      </c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5.75" customHeight="1" x14ac:dyDescent="0.75">
      <c r="A2197" s="43" t="s">
        <v>19</v>
      </c>
      <c r="B2197" s="40"/>
      <c r="C2197" s="40"/>
      <c r="D2197" s="40"/>
      <c r="E2197" s="40"/>
      <c r="F2197" s="40"/>
      <c r="G2197" s="40"/>
      <c r="H2197" s="41"/>
      <c r="I2197" s="1" t="s">
        <v>120</v>
      </c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5.75" customHeight="1" x14ac:dyDescent="0.45"/>
    <row r="2199" spans="1:26" ht="15.75" customHeight="1" x14ac:dyDescent="0.45"/>
    <row r="2200" spans="1:26" ht="15.75" customHeight="1" x14ac:dyDescent="0.45"/>
    <row r="2201" spans="1:26" ht="15.75" customHeight="1" x14ac:dyDescent="0.45"/>
    <row r="2202" spans="1:26" ht="15.75" customHeight="1" x14ac:dyDescent="0.45"/>
    <row r="2203" spans="1:26" ht="15.75" customHeight="1" x14ac:dyDescent="0.45"/>
    <row r="2204" spans="1:26" ht="15.75" customHeight="1" x14ac:dyDescent="0.45"/>
    <row r="2205" spans="1:26" ht="15.75" customHeight="1" x14ac:dyDescent="0.45"/>
    <row r="2206" spans="1:26" ht="15.75" customHeight="1" x14ac:dyDescent="0.45"/>
    <row r="2207" spans="1:26" ht="15.75" customHeight="1" x14ac:dyDescent="0.45"/>
    <row r="2208" spans="1:26" ht="15.75" customHeight="1" x14ac:dyDescent="0.75">
      <c r="A2208" s="43" t="s">
        <v>0</v>
      </c>
      <c r="B2208" s="40"/>
      <c r="C2208" s="40"/>
      <c r="D2208" s="40"/>
      <c r="E2208" s="40"/>
      <c r="F2208" s="40"/>
      <c r="G2208" s="40"/>
      <c r="H2208" s="41"/>
      <c r="I2208" s="1" t="s">
        <v>120</v>
      </c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5.75" customHeight="1" x14ac:dyDescent="0.75">
      <c r="A2209" s="43" t="s">
        <v>349</v>
      </c>
      <c r="B2209" s="40"/>
      <c r="C2209" s="40"/>
      <c r="D2209" s="40"/>
      <c r="E2209" s="40"/>
      <c r="F2209" s="40"/>
      <c r="G2209" s="40"/>
      <c r="H2209" s="41"/>
      <c r="I2209" s="1" t="s">
        <v>120</v>
      </c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5.75" customHeight="1" x14ac:dyDescent="0.55000000000000004">
      <c r="A2210" s="2" t="s">
        <v>3</v>
      </c>
      <c r="B2210" s="2" t="s">
        <v>4</v>
      </c>
      <c r="C2210" s="2" t="s">
        <v>5</v>
      </c>
      <c r="D2210" s="2" t="s">
        <v>6</v>
      </c>
      <c r="E2210" s="2" t="s">
        <v>7</v>
      </c>
      <c r="F2210" s="3" t="s">
        <v>8</v>
      </c>
      <c r="G2210" s="2" t="s">
        <v>9</v>
      </c>
      <c r="H2210" s="4"/>
      <c r="I2210" s="1" t="s">
        <v>120</v>
      </c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5.75" customHeight="1" x14ac:dyDescent="0.75">
      <c r="A2211" s="5">
        <v>1</v>
      </c>
      <c r="B2211" s="21" t="s">
        <v>56</v>
      </c>
      <c r="C2211" s="7">
        <v>7620</v>
      </c>
      <c r="D2211" s="6" t="s">
        <v>12</v>
      </c>
      <c r="E2211" s="6">
        <v>1</v>
      </c>
      <c r="F2211" s="8">
        <v>293000</v>
      </c>
      <c r="G2211" s="9">
        <f t="shared" ref="G2211:G2213" si="136">IFERROR(E2211*F2211,0)</f>
        <v>293000</v>
      </c>
      <c r="H2211" s="10"/>
      <c r="I2211" s="1" t="s">
        <v>120</v>
      </c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5.75" customHeight="1" x14ac:dyDescent="0.75">
      <c r="A2212" s="5">
        <v>2</v>
      </c>
      <c r="B2212" s="16" t="s">
        <v>21</v>
      </c>
      <c r="C2212" s="17">
        <v>7434</v>
      </c>
      <c r="D2212" s="16" t="s">
        <v>14</v>
      </c>
      <c r="E2212" s="16">
        <v>2.4</v>
      </c>
      <c r="F2212" s="11">
        <v>435000</v>
      </c>
      <c r="G2212" s="9">
        <f t="shared" si="136"/>
        <v>1044000</v>
      </c>
      <c r="H2212" s="10"/>
      <c r="I2212" s="1" t="s">
        <v>120</v>
      </c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5.75" customHeight="1" x14ac:dyDescent="0.75">
      <c r="A2213" s="5">
        <v>3</v>
      </c>
      <c r="B2213" s="12" t="s">
        <v>15</v>
      </c>
      <c r="C2213" s="10"/>
      <c r="D2213" s="10"/>
      <c r="E2213" s="10"/>
      <c r="F2213" s="10"/>
      <c r="G2213" s="13">
        <f t="shared" si="136"/>
        <v>0</v>
      </c>
      <c r="H2213" s="10"/>
      <c r="I2213" s="1" t="s">
        <v>120</v>
      </c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5.75" customHeight="1" x14ac:dyDescent="0.75">
      <c r="A2214" s="39" t="s">
        <v>16</v>
      </c>
      <c r="B2214" s="40"/>
      <c r="C2214" s="40"/>
      <c r="D2214" s="40"/>
      <c r="E2214" s="40"/>
      <c r="F2214" s="40"/>
      <c r="G2214" s="41"/>
      <c r="H2214" s="14">
        <f>SUM(G2211:G2213)</f>
        <v>1337000</v>
      </c>
      <c r="I2214" s="1" t="s">
        <v>120</v>
      </c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5.75" customHeight="1" x14ac:dyDescent="0.75">
      <c r="A2215" s="39" t="s">
        <v>17</v>
      </c>
      <c r="B2215" s="40"/>
      <c r="C2215" s="40"/>
      <c r="D2215" s="40"/>
      <c r="E2215" s="40"/>
      <c r="F2215" s="40"/>
      <c r="G2215" s="41"/>
      <c r="H2215" s="14">
        <f>MAX(0,H2214-648000)</f>
        <v>689000</v>
      </c>
      <c r="I2215" s="1" t="s">
        <v>120</v>
      </c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5.75" customHeight="1" x14ac:dyDescent="0.75">
      <c r="A2216" s="42" t="s">
        <v>18</v>
      </c>
      <c r="B2216" s="40"/>
      <c r="C2216" s="40"/>
      <c r="D2216" s="40"/>
      <c r="E2216" s="40"/>
      <c r="F2216" s="40"/>
      <c r="G2216" s="41"/>
      <c r="H2216" s="15">
        <v>649000</v>
      </c>
      <c r="I2216" s="1" t="s">
        <v>120</v>
      </c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5.75" customHeight="1" x14ac:dyDescent="0.75">
      <c r="A2217" s="43" t="s">
        <v>19</v>
      </c>
      <c r="B2217" s="40"/>
      <c r="C2217" s="40"/>
      <c r="D2217" s="40"/>
      <c r="E2217" s="40"/>
      <c r="F2217" s="40"/>
      <c r="G2217" s="40"/>
      <c r="H2217" s="41"/>
      <c r="I2217" s="1" t="s">
        <v>120</v>
      </c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5.75" customHeight="1" x14ac:dyDescent="0.45"/>
    <row r="2219" spans="1:26" ht="15.75" customHeight="1" x14ac:dyDescent="0.45"/>
    <row r="2220" spans="1:26" ht="15.75" customHeight="1" x14ac:dyDescent="0.45"/>
    <row r="2221" spans="1:26" ht="15.75" customHeight="1" x14ac:dyDescent="0.45"/>
    <row r="2222" spans="1:26" ht="15.75" customHeight="1" x14ac:dyDescent="0.45"/>
    <row r="2223" spans="1:26" ht="15.75" customHeight="1" x14ac:dyDescent="0.45"/>
    <row r="2224" spans="1:26" ht="15.75" customHeight="1" x14ac:dyDescent="0.45"/>
    <row r="2225" spans="1:26" ht="15.75" customHeight="1" x14ac:dyDescent="0.45"/>
    <row r="2226" spans="1:26" ht="15.75" customHeight="1" x14ac:dyDescent="0.45"/>
    <row r="2227" spans="1:26" ht="15.75" customHeight="1" x14ac:dyDescent="0.75">
      <c r="A2227" s="43" t="s">
        <v>0</v>
      </c>
      <c r="B2227" s="40"/>
      <c r="C2227" s="40"/>
      <c r="D2227" s="40"/>
      <c r="E2227" s="40"/>
      <c r="F2227" s="40"/>
      <c r="G2227" s="40"/>
      <c r="H2227" s="41"/>
      <c r="I2227" s="1" t="s">
        <v>120</v>
      </c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5.75" customHeight="1" x14ac:dyDescent="0.75">
      <c r="A2228" s="43" t="s">
        <v>350</v>
      </c>
      <c r="B2228" s="40"/>
      <c r="C2228" s="40"/>
      <c r="D2228" s="40"/>
      <c r="E2228" s="40"/>
      <c r="F2228" s="40"/>
      <c r="G2228" s="40"/>
      <c r="H2228" s="41"/>
      <c r="I2228" s="1" t="s">
        <v>120</v>
      </c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5.75" customHeight="1" x14ac:dyDescent="0.55000000000000004">
      <c r="A2229" s="2" t="s">
        <v>3</v>
      </c>
      <c r="B2229" s="2" t="s">
        <v>4</v>
      </c>
      <c r="C2229" s="2" t="s">
        <v>5</v>
      </c>
      <c r="D2229" s="2" t="s">
        <v>6</v>
      </c>
      <c r="E2229" s="2" t="s">
        <v>7</v>
      </c>
      <c r="F2229" s="3" t="s">
        <v>8</v>
      </c>
      <c r="G2229" s="2" t="s">
        <v>9</v>
      </c>
      <c r="H2229" s="4"/>
      <c r="I2229" s="1" t="s">
        <v>120</v>
      </c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5.75" customHeight="1" x14ac:dyDescent="0.75">
      <c r="A2230" s="5">
        <v>1</v>
      </c>
      <c r="B2230" s="21" t="s">
        <v>351</v>
      </c>
      <c r="C2230" s="7">
        <v>1851</v>
      </c>
      <c r="D2230" s="6" t="s">
        <v>12</v>
      </c>
      <c r="E2230" s="6">
        <v>3</v>
      </c>
      <c r="F2230" s="8">
        <v>293000</v>
      </c>
      <c r="G2230" s="9">
        <f t="shared" ref="G2230:G2232" si="137">IFERROR(E2230*F2230,0)</f>
        <v>879000</v>
      </c>
      <c r="H2230" s="10"/>
      <c r="I2230" s="1" t="s">
        <v>120</v>
      </c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5.75" customHeight="1" x14ac:dyDescent="0.75">
      <c r="A2231" s="5">
        <v>2</v>
      </c>
      <c r="B2231" s="16" t="s">
        <v>352</v>
      </c>
      <c r="C2231" s="17">
        <v>7457</v>
      </c>
      <c r="D2231" s="16" t="s">
        <v>14</v>
      </c>
      <c r="E2231" s="16">
        <v>0.87</v>
      </c>
      <c r="F2231" s="11">
        <v>435000</v>
      </c>
      <c r="G2231" s="9">
        <f t="shared" si="137"/>
        <v>378450</v>
      </c>
      <c r="H2231" s="10"/>
      <c r="I2231" s="1" t="s">
        <v>120</v>
      </c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5.75" customHeight="1" x14ac:dyDescent="0.75">
      <c r="A2232" s="5">
        <v>3</v>
      </c>
      <c r="B2232" s="12" t="s">
        <v>15</v>
      </c>
      <c r="C2232" s="10"/>
      <c r="D2232" s="10"/>
      <c r="E2232" s="10"/>
      <c r="F2232" s="10"/>
      <c r="G2232" s="13">
        <f t="shared" si="137"/>
        <v>0</v>
      </c>
      <c r="H2232" s="10"/>
      <c r="I2232" s="1" t="s">
        <v>120</v>
      </c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5.75" customHeight="1" x14ac:dyDescent="0.75">
      <c r="A2233" s="39" t="s">
        <v>16</v>
      </c>
      <c r="B2233" s="40"/>
      <c r="C2233" s="40"/>
      <c r="D2233" s="40"/>
      <c r="E2233" s="40"/>
      <c r="F2233" s="40"/>
      <c r="G2233" s="41"/>
      <c r="H2233" s="14">
        <f>SUM(G2230:G2232)</f>
        <v>1257450</v>
      </c>
      <c r="I2233" s="1" t="s">
        <v>120</v>
      </c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5.75" customHeight="1" x14ac:dyDescent="0.75">
      <c r="A2234" s="39" t="s">
        <v>17</v>
      </c>
      <c r="B2234" s="40"/>
      <c r="C2234" s="40"/>
      <c r="D2234" s="40"/>
      <c r="E2234" s="40"/>
      <c r="F2234" s="40"/>
      <c r="G2234" s="41"/>
      <c r="H2234" s="14">
        <f>MAX(0,H2233-648000)</f>
        <v>609450</v>
      </c>
      <c r="I2234" s="1" t="s">
        <v>120</v>
      </c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5.75" customHeight="1" x14ac:dyDescent="0.75">
      <c r="A2235" s="42" t="s">
        <v>18</v>
      </c>
      <c r="B2235" s="40"/>
      <c r="C2235" s="40"/>
      <c r="D2235" s="40"/>
      <c r="E2235" s="40"/>
      <c r="F2235" s="40"/>
      <c r="G2235" s="41"/>
      <c r="H2235" s="15">
        <v>649000</v>
      </c>
      <c r="I2235" s="1" t="s">
        <v>120</v>
      </c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5.75" customHeight="1" x14ac:dyDescent="0.75">
      <c r="A2236" s="43" t="s">
        <v>19</v>
      </c>
      <c r="B2236" s="40"/>
      <c r="C2236" s="40"/>
      <c r="D2236" s="40"/>
      <c r="E2236" s="40"/>
      <c r="F2236" s="40"/>
      <c r="G2236" s="40"/>
      <c r="H2236" s="41"/>
      <c r="I2236" s="1" t="s">
        <v>120</v>
      </c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5.75" customHeight="1" x14ac:dyDescent="0.45"/>
    <row r="2238" spans="1:26" ht="15.75" customHeight="1" x14ac:dyDescent="0.45"/>
    <row r="2239" spans="1:26" ht="15.75" customHeight="1" x14ac:dyDescent="0.45"/>
    <row r="2240" spans="1:26" ht="15.75" customHeight="1" x14ac:dyDescent="0.45"/>
    <row r="2241" spans="1:26" ht="15.75" customHeight="1" x14ac:dyDescent="0.45"/>
    <row r="2242" spans="1:26" ht="15.75" customHeight="1" x14ac:dyDescent="0.45"/>
    <row r="2243" spans="1:26" ht="15.75" customHeight="1" x14ac:dyDescent="0.75">
      <c r="A2243" s="43" t="s">
        <v>0</v>
      </c>
      <c r="B2243" s="40"/>
      <c r="C2243" s="40"/>
      <c r="D2243" s="40"/>
      <c r="E2243" s="40"/>
      <c r="F2243" s="40"/>
      <c r="G2243" s="40"/>
      <c r="H2243" s="41"/>
      <c r="I2243" s="1" t="s">
        <v>120</v>
      </c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5.75" customHeight="1" x14ac:dyDescent="0.75">
      <c r="A2244" s="43" t="s">
        <v>353</v>
      </c>
      <c r="B2244" s="40"/>
      <c r="C2244" s="40"/>
      <c r="D2244" s="40"/>
      <c r="E2244" s="40"/>
      <c r="F2244" s="40"/>
      <c r="G2244" s="40"/>
      <c r="H2244" s="41"/>
      <c r="I2244" s="1" t="s">
        <v>120</v>
      </c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5.75" customHeight="1" x14ac:dyDescent="0.55000000000000004">
      <c r="A2245" s="2" t="s">
        <v>3</v>
      </c>
      <c r="B2245" s="2" t="s">
        <v>4</v>
      </c>
      <c r="C2245" s="2" t="s">
        <v>5</v>
      </c>
      <c r="D2245" s="2" t="s">
        <v>6</v>
      </c>
      <c r="E2245" s="2" t="s">
        <v>7</v>
      </c>
      <c r="F2245" s="3" t="s">
        <v>8</v>
      </c>
      <c r="G2245" s="2" t="s">
        <v>9</v>
      </c>
      <c r="H2245" s="4"/>
      <c r="I2245" s="1" t="s">
        <v>120</v>
      </c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5.75" customHeight="1" x14ac:dyDescent="0.75">
      <c r="A2246" s="5">
        <v>1</v>
      </c>
      <c r="B2246" s="21" t="s">
        <v>150</v>
      </c>
      <c r="C2246" s="7">
        <v>2678</v>
      </c>
      <c r="D2246" s="6" t="s">
        <v>12</v>
      </c>
      <c r="E2246" s="6">
        <v>2.5</v>
      </c>
      <c r="F2246" s="8">
        <v>293000</v>
      </c>
      <c r="G2246" s="9">
        <f t="shared" ref="G2246:G2248" si="138">IFERROR(E2246*F2246,0)</f>
        <v>732500</v>
      </c>
      <c r="H2246" s="10"/>
      <c r="I2246" s="1" t="s">
        <v>120</v>
      </c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5.75" customHeight="1" x14ac:dyDescent="0.75">
      <c r="A2247" s="5">
        <v>2</v>
      </c>
      <c r="B2247" s="16" t="s">
        <v>354</v>
      </c>
      <c r="C2247" s="17">
        <v>1569</v>
      </c>
      <c r="D2247" s="16" t="s">
        <v>14</v>
      </c>
      <c r="E2247" s="16">
        <v>1</v>
      </c>
      <c r="F2247" s="11">
        <v>435000</v>
      </c>
      <c r="G2247" s="9">
        <f t="shared" si="138"/>
        <v>435000</v>
      </c>
      <c r="H2247" s="10"/>
      <c r="I2247" s="1" t="s">
        <v>120</v>
      </c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5.75" customHeight="1" x14ac:dyDescent="0.75">
      <c r="A2248" s="5">
        <v>3</v>
      </c>
      <c r="B2248" s="12" t="s">
        <v>15</v>
      </c>
      <c r="C2248" s="10"/>
      <c r="D2248" s="10"/>
      <c r="E2248" s="10"/>
      <c r="F2248" s="10"/>
      <c r="G2248" s="13">
        <f t="shared" si="138"/>
        <v>0</v>
      </c>
      <c r="H2248" s="10"/>
      <c r="I2248" s="1" t="s">
        <v>120</v>
      </c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5.75" customHeight="1" x14ac:dyDescent="0.75">
      <c r="A2249" s="39" t="s">
        <v>16</v>
      </c>
      <c r="B2249" s="40"/>
      <c r="C2249" s="40"/>
      <c r="D2249" s="40"/>
      <c r="E2249" s="40"/>
      <c r="F2249" s="40"/>
      <c r="G2249" s="41"/>
      <c r="H2249" s="14">
        <f>SUM(G2246:G2248)</f>
        <v>1167500</v>
      </c>
      <c r="I2249" s="1" t="s">
        <v>120</v>
      </c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5.75" customHeight="1" x14ac:dyDescent="0.75">
      <c r="A2250" s="39" t="s">
        <v>17</v>
      </c>
      <c r="B2250" s="40"/>
      <c r="C2250" s="40"/>
      <c r="D2250" s="40"/>
      <c r="E2250" s="40"/>
      <c r="F2250" s="40"/>
      <c r="G2250" s="41"/>
      <c r="H2250" s="14">
        <f>MAX(0,H2249-648000)</f>
        <v>519500</v>
      </c>
      <c r="I2250" s="1" t="s">
        <v>120</v>
      </c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5.75" customHeight="1" x14ac:dyDescent="0.75">
      <c r="A2251" s="42" t="s">
        <v>18</v>
      </c>
      <c r="B2251" s="40"/>
      <c r="C2251" s="40"/>
      <c r="D2251" s="40"/>
      <c r="E2251" s="40"/>
      <c r="F2251" s="40"/>
      <c r="G2251" s="41"/>
      <c r="H2251" s="15">
        <v>649000</v>
      </c>
      <c r="I2251" s="1" t="s">
        <v>120</v>
      </c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5.75" customHeight="1" x14ac:dyDescent="0.75">
      <c r="A2252" s="43" t="s">
        <v>19</v>
      </c>
      <c r="B2252" s="40"/>
      <c r="C2252" s="40"/>
      <c r="D2252" s="40"/>
      <c r="E2252" s="40"/>
      <c r="F2252" s="40"/>
      <c r="G2252" s="40"/>
      <c r="H2252" s="41"/>
      <c r="I2252" s="1" t="s">
        <v>120</v>
      </c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5.75" customHeight="1" x14ac:dyDescent="0.45"/>
    <row r="2254" spans="1:26" ht="15.75" customHeight="1" x14ac:dyDescent="0.45"/>
    <row r="2255" spans="1:26" ht="15.75" customHeight="1" x14ac:dyDescent="0.45"/>
    <row r="2256" spans="1:26" ht="15.75" customHeight="1" x14ac:dyDescent="0.45"/>
    <row r="2257" spans="1:26" ht="15.75" customHeight="1" x14ac:dyDescent="0.45"/>
    <row r="2258" spans="1:26" ht="15.75" customHeight="1" x14ac:dyDescent="0.45"/>
    <row r="2259" spans="1:26" ht="15.75" customHeight="1" x14ac:dyDescent="0.75">
      <c r="A2259" s="43" t="s">
        <v>0</v>
      </c>
      <c r="B2259" s="40"/>
      <c r="C2259" s="40"/>
      <c r="D2259" s="40"/>
      <c r="E2259" s="40"/>
      <c r="F2259" s="40"/>
      <c r="G2259" s="40"/>
      <c r="H2259" s="41"/>
      <c r="I2259" s="1" t="s">
        <v>120</v>
      </c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5.75" customHeight="1" x14ac:dyDescent="0.75">
      <c r="A2260" s="43" t="s">
        <v>355</v>
      </c>
      <c r="B2260" s="40"/>
      <c r="C2260" s="40"/>
      <c r="D2260" s="40"/>
      <c r="E2260" s="40"/>
      <c r="F2260" s="40"/>
      <c r="G2260" s="40"/>
      <c r="H2260" s="41"/>
      <c r="I2260" s="1" t="s">
        <v>120</v>
      </c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5.75" customHeight="1" x14ac:dyDescent="0.55000000000000004">
      <c r="A2261" s="2" t="s">
        <v>3</v>
      </c>
      <c r="B2261" s="2" t="s">
        <v>4</v>
      </c>
      <c r="C2261" s="2" t="s">
        <v>5</v>
      </c>
      <c r="D2261" s="2" t="s">
        <v>6</v>
      </c>
      <c r="E2261" s="2" t="s">
        <v>7</v>
      </c>
      <c r="F2261" s="3" t="s">
        <v>8</v>
      </c>
      <c r="G2261" s="2" t="s">
        <v>9</v>
      </c>
      <c r="H2261" s="4"/>
      <c r="I2261" s="1" t="s">
        <v>120</v>
      </c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5.75" customHeight="1" x14ac:dyDescent="0.75">
      <c r="A2262" s="5">
        <v>1</v>
      </c>
      <c r="B2262" s="21" t="s">
        <v>356</v>
      </c>
      <c r="C2262" s="7">
        <v>1015</v>
      </c>
      <c r="D2262" s="6" t="s">
        <v>12</v>
      </c>
      <c r="E2262" s="6">
        <v>1.43</v>
      </c>
      <c r="F2262" s="8">
        <v>293000</v>
      </c>
      <c r="G2262" s="9">
        <f t="shared" ref="G2262:G2264" si="139">IFERROR(E2262*F2262,0)</f>
        <v>418990</v>
      </c>
      <c r="H2262" s="10"/>
      <c r="I2262" s="1" t="s">
        <v>120</v>
      </c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5.75" customHeight="1" x14ac:dyDescent="0.75">
      <c r="A2263" s="5">
        <v>2</v>
      </c>
      <c r="B2263" s="16" t="s">
        <v>49</v>
      </c>
      <c r="C2263" s="17"/>
      <c r="D2263" s="16">
        <v>7498</v>
      </c>
      <c r="E2263" s="16">
        <v>2</v>
      </c>
      <c r="F2263" s="11">
        <v>435000</v>
      </c>
      <c r="G2263" s="9">
        <f t="shared" si="139"/>
        <v>870000</v>
      </c>
      <c r="H2263" s="10"/>
      <c r="I2263" s="1" t="s">
        <v>120</v>
      </c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5.75" customHeight="1" x14ac:dyDescent="0.75">
      <c r="A2264" s="5">
        <v>3</v>
      </c>
      <c r="B2264" s="12" t="s">
        <v>15</v>
      </c>
      <c r="C2264" s="10"/>
      <c r="D2264" s="10"/>
      <c r="E2264" s="10"/>
      <c r="F2264" s="10"/>
      <c r="G2264" s="13">
        <f t="shared" si="139"/>
        <v>0</v>
      </c>
      <c r="H2264" s="10"/>
      <c r="I2264" s="1" t="s">
        <v>120</v>
      </c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5.75" customHeight="1" x14ac:dyDescent="0.75">
      <c r="A2265" s="39" t="s">
        <v>16</v>
      </c>
      <c r="B2265" s="40"/>
      <c r="C2265" s="40"/>
      <c r="D2265" s="40"/>
      <c r="E2265" s="40"/>
      <c r="F2265" s="40"/>
      <c r="G2265" s="41"/>
      <c r="H2265" s="14">
        <f>SUM(G2262:G2264)</f>
        <v>1288990</v>
      </c>
      <c r="I2265" s="1" t="s">
        <v>120</v>
      </c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5.75" customHeight="1" x14ac:dyDescent="0.75">
      <c r="A2266" s="39" t="s">
        <v>17</v>
      </c>
      <c r="B2266" s="40"/>
      <c r="C2266" s="40"/>
      <c r="D2266" s="40"/>
      <c r="E2266" s="40"/>
      <c r="F2266" s="40"/>
      <c r="G2266" s="41"/>
      <c r="H2266" s="14">
        <f>MAX(0,H2265-648000)</f>
        <v>640990</v>
      </c>
      <c r="I2266" s="1" t="s">
        <v>120</v>
      </c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5.75" customHeight="1" x14ac:dyDescent="0.75">
      <c r="A2267" s="42" t="s">
        <v>18</v>
      </c>
      <c r="B2267" s="40"/>
      <c r="C2267" s="40"/>
      <c r="D2267" s="40"/>
      <c r="E2267" s="40"/>
      <c r="F2267" s="40"/>
      <c r="G2267" s="41"/>
      <c r="H2267" s="15">
        <v>649000</v>
      </c>
      <c r="I2267" s="1" t="s">
        <v>120</v>
      </c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5.75" customHeight="1" x14ac:dyDescent="0.75">
      <c r="A2268" s="43" t="s">
        <v>19</v>
      </c>
      <c r="B2268" s="40"/>
      <c r="C2268" s="40"/>
      <c r="D2268" s="40"/>
      <c r="E2268" s="40"/>
      <c r="F2268" s="40"/>
      <c r="G2268" s="40"/>
      <c r="H2268" s="41"/>
      <c r="I2268" s="1" t="s">
        <v>120</v>
      </c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5.75" customHeight="1" x14ac:dyDescent="0.45"/>
    <row r="2270" spans="1:26" ht="15.75" customHeight="1" x14ac:dyDescent="0.45"/>
    <row r="2271" spans="1:26" ht="15.75" customHeight="1" x14ac:dyDescent="0.45"/>
    <row r="2272" spans="1:26" ht="15.75" customHeight="1" x14ac:dyDescent="0.45"/>
    <row r="2273" spans="1:26" ht="15.75" customHeight="1" x14ac:dyDescent="0.45"/>
    <row r="2274" spans="1:26" ht="15.75" customHeight="1" x14ac:dyDescent="0.45"/>
    <row r="2275" spans="1:26" ht="15.75" customHeight="1" x14ac:dyDescent="0.75">
      <c r="A2275" s="43" t="s">
        <v>0</v>
      </c>
      <c r="B2275" s="40"/>
      <c r="C2275" s="40"/>
      <c r="D2275" s="40"/>
      <c r="E2275" s="40"/>
      <c r="F2275" s="40"/>
      <c r="G2275" s="40"/>
      <c r="H2275" s="41"/>
      <c r="I2275" s="1" t="s">
        <v>120</v>
      </c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5.75" customHeight="1" x14ac:dyDescent="0.75">
      <c r="A2276" s="43" t="s">
        <v>357</v>
      </c>
      <c r="B2276" s="40"/>
      <c r="C2276" s="40"/>
      <c r="D2276" s="40"/>
      <c r="E2276" s="40"/>
      <c r="F2276" s="40"/>
      <c r="G2276" s="40"/>
      <c r="H2276" s="41"/>
      <c r="I2276" s="1" t="s">
        <v>120</v>
      </c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5.75" customHeight="1" x14ac:dyDescent="0.55000000000000004">
      <c r="A2277" s="2" t="s">
        <v>3</v>
      </c>
      <c r="B2277" s="2" t="s">
        <v>4</v>
      </c>
      <c r="C2277" s="2" t="s">
        <v>5</v>
      </c>
      <c r="D2277" s="2" t="s">
        <v>6</v>
      </c>
      <c r="E2277" s="2" t="s">
        <v>7</v>
      </c>
      <c r="F2277" s="3" t="s">
        <v>8</v>
      </c>
      <c r="G2277" s="2" t="s">
        <v>9</v>
      </c>
      <c r="H2277" s="4"/>
      <c r="I2277" s="1" t="s">
        <v>120</v>
      </c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5.75" customHeight="1" x14ac:dyDescent="0.75">
      <c r="A2278" s="5">
        <v>1</v>
      </c>
      <c r="B2278" s="21" t="s">
        <v>87</v>
      </c>
      <c r="C2278" s="7">
        <v>2683</v>
      </c>
      <c r="D2278" s="6" t="s">
        <v>12</v>
      </c>
      <c r="E2278" s="6">
        <v>1.8</v>
      </c>
      <c r="F2278" s="8">
        <v>293000</v>
      </c>
      <c r="G2278" s="9">
        <f t="shared" ref="G2278:G2280" si="140">IFERROR(E2278*F2278,0)</f>
        <v>527400</v>
      </c>
      <c r="H2278" s="10"/>
      <c r="I2278" s="1" t="s">
        <v>120</v>
      </c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5.75" customHeight="1" x14ac:dyDescent="0.75">
      <c r="A2279" s="5">
        <v>2</v>
      </c>
      <c r="B2279" s="16" t="s">
        <v>51</v>
      </c>
      <c r="C2279" s="17">
        <v>2674</v>
      </c>
      <c r="D2279" s="16" t="s">
        <v>14</v>
      </c>
      <c r="E2279" s="16">
        <v>1.8</v>
      </c>
      <c r="F2279" s="11">
        <v>435000</v>
      </c>
      <c r="G2279" s="9">
        <f t="shared" si="140"/>
        <v>783000</v>
      </c>
      <c r="H2279" s="10"/>
      <c r="I2279" s="1" t="s">
        <v>120</v>
      </c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5.75" customHeight="1" x14ac:dyDescent="0.75">
      <c r="A2280" s="5">
        <v>3</v>
      </c>
      <c r="B2280" s="12" t="s">
        <v>15</v>
      </c>
      <c r="C2280" s="10"/>
      <c r="D2280" s="10"/>
      <c r="E2280" s="10"/>
      <c r="F2280" s="10"/>
      <c r="G2280" s="13">
        <f t="shared" si="140"/>
        <v>0</v>
      </c>
      <c r="H2280" s="10"/>
      <c r="I2280" s="1" t="s">
        <v>120</v>
      </c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5.75" customHeight="1" x14ac:dyDescent="0.75">
      <c r="A2281" s="39" t="s">
        <v>16</v>
      </c>
      <c r="B2281" s="40"/>
      <c r="C2281" s="40"/>
      <c r="D2281" s="40"/>
      <c r="E2281" s="40"/>
      <c r="F2281" s="40"/>
      <c r="G2281" s="41"/>
      <c r="H2281" s="14">
        <f>SUM(G2278:G2280)</f>
        <v>1310400</v>
      </c>
      <c r="I2281" s="1" t="s">
        <v>120</v>
      </c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5.75" customHeight="1" x14ac:dyDescent="0.75">
      <c r="A2282" s="39" t="s">
        <v>17</v>
      </c>
      <c r="B2282" s="40"/>
      <c r="C2282" s="40"/>
      <c r="D2282" s="40"/>
      <c r="E2282" s="40"/>
      <c r="F2282" s="40"/>
      <c r="G2282" s="41"/>
      <c r="H2282" s="14">
        <f>MAX(0,H2281-648000)</f>
        <v>662400</v>
      </c>
      <c r="I2282" s="1" t="s">
        <v>120</v>
      </c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5.75" customHeight="1" x14ac:dyDescent="0.75">
      <c r="A2283" s="42" t="s">
        <v>18</v>
      </c>
      <c r="B2283" s="40"/>
      <c r="C2283" s="40"/>
      <c r="D2283" s="40"/>
      <c r="E2283" s="40"/>
      <c r="F2283" s="40"/>
      <c r="G2283" s="41"/>
      <c r="H2283" s="15">
        <v>649000</v>
      </c>
      <c r="I2283" s="1" t="s">
        <v>120</v>
      </c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5.75" customHeight="1" x14ac:dyDescent="0.75">
      <c r="A2284" s="43" t="s">
        <v>19</v>
      </c>
      <c r="B2284" s="40"/>
      <c r="C2284" s="40"/>
      <c r="D2284" s="40"/>
      <c r="E2284" s="40"/>
      <c r="F2284" s="40"/>
      <c r="G2284" s="40"/>
      <c r="H2284" s="41"/>
      <c r="I2284" s="1" t="s">
        <v>120</v>
      </c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5.75" customHeight="1" x14ac:dyDescent="0.45"/>
    <row r="2286" spans="1:26" ht="15.75" customHeight="1" x14ac:dyDescent="0.45"/>
    <row r="2287" spans="1:26" ht="15.75" customHeight="1" x14ac:dyDescent="0.45"/>
    <row r="2288" spans="1:26" ht="15.75" customHeight="1" x14ac:dyDescent="0.45"/>
    <row r="2289" spans="1:26" ht="15.75" customHeight="1" x14ac:dyDescent="0.45"/>
    <row r="2290" spans="1:26" ht="15.75" customHeight="1" x14ac:dyDescent="0.45"/>
    <row r="2291" spans="1:26" ht="15.75" customHeight="1" x14ac:dyDescent="0.45"/>
    <row r="2292" spans="1:26" ht="15.75" customHeight="1" x14ac:dyDescent="0.45"/>
    <row r="2293" spans="1:26" ht="15.75" customHeight="1" x14ac:dyDescent="0.75">
      <c r="A2293" s="43" t="s">
        <v>0</v>
      </c>
      <c r="B2293" s="40"/>
      <c r="C2293" s="40"/>
      <c r="D2293" s="40"/>
      <c r="E2293" s="40"/>
      <c r="F2293" s="40"/>
      <c r="G2293" s="40"/>
      <c r="H2293" s="41"/>
      <c r="I2293" s="1" t="s">
        <v>120</v>
      </c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5.75" customHeight="1" x14ac:dyDescent="0.75">
      <c r="A2294" s="43" t="s">
        <v>358</v>
      </c>
      <c r="B2294" s="40"/>
      <c r="C2294" s="40"/>
      <c r="D2294" s="40"/>
      <c r="E2294" s="40"/>
      <c r="F2294" s="40"/>
      <c r="G2294" s="40"/>
      <c r="H2294" s="41"/>
      <c r="I2294" s="1" t="s">
        <v>120</v>
      </c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5.75" customHeight="1" x14ac:dyDescent="0.55000000000000004">
      <c r="A2295" s="2" t="s">
        <v>3</v>
      </c>
      <c r="B2295" s="2" t="s">
        <v>4</v>
      </c>
      <c r="C2295" s="2" t="s">
        <v>5</v>
      </c>
      <c r="D2295" s="2" t="s">
        <v>6</v>
      </c>
      <c r="E2295" s="2" t="s">
        <v>7</v>
      </c>
      <c r="F2295" s="3" t="s">
        <v>8</v>
      </c>
      <c r="G2295" s="2" t="s">
        <v>9</v>
      </c>
      <c r="H2295" s="4"/>
      <c r="I2295" s="1" t="s">
        <v>120</v>
      </c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5.75" customHeight="1" x14ac:dyDescent="0.75">
      <c r="A2296" s="5">
        <v>1</v>
      </c>
      <c r="B2296" s="21" t="s">
        <v>359</v>
      </c>
      <c r="C2296" s="7">
        <v>3087</v>
      </c>
      <c r="D2296" s="6" t="s">
        <v>12</v>
      </c>
      <c r="E2296" s="6">
        <v>2.5</v>
      </c>
      <c r="F2296" s="8">
        <v>293000</v>
      </c>
      <c r="G2296" s="9">
        <f t="shared" ref="G2296:G2298" si="141">IFERROR(E2296*F2296,0)</f>
        <v>732500</v>
      </c>
      <c r="H2296" s="10"/>
      <c r="I2296" s="1" t="s">
        <v>120</v>
      </c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5.75" customHeight="1" x14ac:dyDescent="0.75">
      <c r="A2297" s="5">
        <v>2</v>
      </c>
      <c r="B2297" s="16" t="s">
        <v>24</v>
      </c>
      <c r="C2297" s="17">
        <v>2772</v>
      </c>
      <c r="D2297" s="16" t="s">
        <v>14</v>
      </c>
      <c r="E2297" s="16">
        <v>0.9</v>
      </c>
      <c r="F2297" s="11">
        <v>435000</v>
      </c>
      <c r="G2297" s="9">
        <f t="shared" si="141"/>
        <v>391500</v>
      </c>
      <c r="H2297" s="10"/>
      <c r="I2297" s="1" t="s">
        <v>120</v>
      </c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5.75" customHeight="1" x14ac:dyDescent="0.75">
      <c r="A2298" s="5">
        <v>3</v>
      </c>
      <c r="B2298" s="12" t="s">
        <v>15</v>
      </c>
      <c r="C2298" s="10"/>
      <c r="D2298" s="10"/>
      <c r="E2298" s="10"/>
      <c r="F2298" s="10"/>
      <c r="G2298" s="13">
        <f t="shared" si="141"/>
        <v>0</v>
      </c>
      <c r="H2298" s="10"/>
      <c r="I2298" s="1" t="s">
        <v>120</v>
      </c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5.75" customHeight="1" x14ac:dyDescent="0.75">
      <c r="A2299" s="39" t="s">
        <v>16</v>
      </c>
      <c r="B2299" s="40"/>
      <c r="C2299" s="40"/>
      <c r="D2299" s="40"/>
      <c r="E2299" s="40"/>
      <c r="F2299" s="40"/>
      <c r="G2299" s="41"/>
      <c r="H2299" s="14">
        <f>SUM(G2296:G2298)</f>
        <v>1124000</v>
      </c>
      <c r="I2299" s="1" t="s">
        <v>120</v>
      </c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5.75" customHeight="1" x14ac:dyDescent="0.75">
      <c r="A2300" s="39" t="s">
        <v>17</v>
      </c>
      <c r="B2300" s="40"/>
      <c r="C2300" s="40"/>
      <c r="D2300" s="40"/>
      <c r="E2300" s="40"/>
      <c r="F2300" s="40"/>
      <c r="G2300" s="41"/>
      <c r="H2300" s="14">
        <f>MAX(0,H2299-648000)</f>
        <v>476000</v>
      </c>
      <c r="I2300" s="1" t="s">
        <v>120</v>
      </c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5.75" customHeight="1" x14ac:dyDescent="0.75">
      <c r="A2301" s="42" t="s">
        <v>18</v>
      </c>
      <c r="B2301" s="40"/>
      <c r="C2301" s="40"/>
      <c r="D2301" s="40"/>
      <c r="E2301" s="40"/>
      <c r="F2301" s="40"/>
      <c r="G2301" s="41"/>
      <c r="H2301" s="15">
        <v>649000</v>
      </c>
      <c r="I2301" s="1" t="s">
        <v>120</v>
      </c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5.75" customHeight="1" x14ac:dyDescent="0.75">
      <c r="A2302" s="43" t="s">
        <v>19</v>
      </c>
      <c r="B2302" s="40"/>
      <c r="C2302" s="40"/>
      <c r="D2302" s="40"/>
      <c r="E2302" s="40"/>
      <c r="F2302" s="40"/>
      <c r="G2302" s="40"/>
      <c r="H2302" s="41"/>
      <c r="I2302" s="1" t="s">
        <v>120</v>
      </c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5.75" customHeight="1" x14ac:dyDescent="0.45"/>
    <row r="2304" spans="1:26" ht="15.75" customHeight="1" x14ac:dyDescent="0.45"/>
    <row r="2305" spans="1:26" ht="15.75" customHeight="1" x14ac:dyDescent="0.45"/>
    <row r="2306" spans="1:26" ht="15.75" customHeight="1" x14ac:dyDescent="0.45"/>
    <row r="2307" spans="1:26" ht="15.75" customHeight="1" x14ac:dyDescent="0.45"/>
    <row r="2308" spans="1:26" ht="15.75" customHeight="1" x14ac:dyDescent="0.75">
      <c r="A2308" s="43" t="s">
        <v>0</v>
      </c>
      <c r="B2308" s="40"/>
      <c r="C2308" s="40"/>
      <c r="D2308" s="40"/>
      <c r="E2308" s="40"/>
      <c r="F2308" s="40"/>
      <c r="G2308" s="40"/>
      <c r="H2308" s="41"/>
      <c r="I2308" s="1" t="s">
        <v>120</v>
      </c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5.75" customHeight="1" x14ac:dyDescent="0.75">
      <c r="A2309" s="43" t="s">
        <v>360</v>
      </c>
      <c r="B2309" s="40"/>
      <c r="C2309" s="40"/>
      <c r="D2309" s="40"/>
      <c r="E2309" s="40"/>
      <c r="F2309" s="40"/>
      <c r="G2309" s="40"/>
      <c r="H2309" s="41"/>
      <c r="I2309" s="1" t="s">
        <v>120</v>
      </c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5.75" customHeight="1" x14ac:dyDescent="0.55000000000000004">
      <c r="A2310" s="2" t="s">
        <v>3</v>
      </c>
      <c r="B2310" s="2" t="s">
        <v>4</v>
      </c>
      <c r="C2310" s="2" t="s">
        <v>5</v>
      </c>
      <c r="D2310" s="2" t="s">
        <v>6</v>
      </c>
      <c r="E2310" s="2" t="s">
        <v>7</v>
      </c>
      <c r="F2310" s="3" t="s">
        <v>8</v>
      </c>
      <c r="G2310" s="2" t="s">
        <v>9</v>
      </c>
      <c r="H2310" s="4"/>
      <c r="I2310" s="1" t="s">
        <v>120</v>
      </c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5.75" customHeight="1" x14ac:dyDescent="0.75">
      <c r="A2311" s="5">
        <v>1</v>
      </c>
      <c r="B2311" s="21" t="s">
        <v>361</v>
      </c>
      <c r="C2311" s="7">
        <v>2137</v>
      </c>
      <c r="D2311" s="6" t="s">
        <v>12</v>
      </c>
      <c r="E2311" s="6">
        <v>2</v>
      </c>
      <c r="F2311" s="8">
        <v>293000</v>
      </c>
      <c r="G2311" s="9">
        <f t="shared" ref="G2311:G2313" si="142">IFERROR(E2311*F2311,0)</f>
        <v>586000</v>
      </c>
      <c r="H2311" s="10"/>
      <c r="I2311" s="1" t="s">
        <v>120</v>
      </c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5.75" customHeight="1" x14ac:dyDescent="0.75">
      <c r="A2312" s="5">
        <v>2</v>
      </c>
      <c r="B2312" s="16" t="s">
        <v>362</v>
      </c>
      <c r="C2312" s="17">
        <v>2670</v>
      </c>
      <c r="D2312" s="16" t="s">
        <v>14</v>
      </c>
      <c r="E2312" s="16">
        <v>1.5</v>
      </c>
      <c r="F2312" s="11">
        <v>435000</v>
      </c>
      <c r="G2312" s="9">
        <f t="shared" si="142"/>
        <v>652500</v>
      </c>
      <c r="H2312" s="10"/>
      <c r="I2312" s="1" t="s">
        <v>120</v>
      </c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5.75" customHeight="1" x14ac:dyDescent="0.75">
      <c r="A2313" s="5">
        <v>3</v>
      </c>
      <c r="B2313" s="12" t="s">
        <v>15</v>
      </c>
      <c r="C2313" s="10"/>
      <c r="D2313" s="10"/>
      <c r="E2313" s="10"/>
      <c r="F2313" s="10"/>
      <c r="G2313" s="13">
        <f t="shared" si="142"/>
        <v>0</v>
      </c>
      <c r="H2313" s="10"/>
      <c r="I2313" s="1" t="s">
        <v>120</v>
      </c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5.75" customHeight="1" x14ac:dyDescent="0.75">
      <c r="A2314" s="39" t="s">
        <v>16</v>
      </c>
      <c r="B2314" s="40"/>
      <c r="C2314" s="40"/>
      <c r="D2314" s="40"/>
      <c r="E2314" s="40"/>
      <c r="F2314" s="40"/>
      <c r="G2314" s="41"/>
      <c r="H2314" s="14">
        <f>SUM(G2311:G2313)</f>
        <v>1238500</v>
      </c>
      <c r="I2314" s="1" t="s">
        <v>120</v>
      </c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5.75" customHeight="1" x14ac:dyDescent="0.75">
      <c r="A2315" s="39" t="s">
        <v>17</v>
      </c>
      <c r="B2315" s="40"/>
      <c r="C2315" s="40"/>
      <c r="D2315" s="40"/>
      <c r="E2315" s="40"/>
      <c r="F2315" s="40"/>
      <c r="G2315" s="41"/>
      <c r="H2315" s="14">
        <f>MAX(0,H2314-648000)</f>
        <v>590500</v>
      </c>
      <c r="I2315" s="1" t="s">
        <v>120</v>
      </c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5.75" customHeight="1" x14ac:dyDescent="0.75">
      <c r="A2316" s="42" t="s">
        <v>18</v>
      </c>
      <c r="B2316" s="40"/>
      <c r="C2316" s="40"/>
      <c r="D2316" s="40"/>
      <c r="E2316" s="40"/>
      <c r="F2316" s="40"/>
      <c r="G2316" s="41"/>
      <c r="H2316" s="15">
        <v>649000</v>
      </c>
      <c r="I2316" s="1" t="s">
        <v>120</v>
      </c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5.75" customHeight="1" x14ac:dyDescent="0.75">
      <c r="A2317" s="43" t="s">
        <v>19</v>
      </c>
      <c r="B2317" s="40"/>
      <c r="C2317" s="40"/>
      <c r="D2317" s="40"/>
      <c r="E2317" s="40"/>
      <c r="F2317" s="40"/>
      <c r="G2317" s="40"/>
      <c r="H2317" s="41"/>
      <c r="I2317" s="1" t="s">
        <v>120</v>
      </c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5.75" customHeight="1" x14ac:dyDescent="0.45"/>
    <row r="2319" spans="1:26" ht="22.5" customHeight="1" x14ac:dyDescent="0.45"/>
    <row r="2320" spans="1:26" ht="22.5" customHeight="1" x14ac:dyDescent="0.45"/>
    <row r="2321" spans="1:26" ht="15.75" customHeight="1" x14ac:dyDescent="0.75">
      <c r="A2321" s="43" t="s">
        <v>0</v>
      </c>
      <c r="B2321" s="40"/>
      <c r="C2321" s="40"/>
      <c r="D2321" s="40"/>
      <c r="E2321" s="40"/>
      <c r="F2321" s="40"/>
      <c r="G2321" s="40"/>
      <c r="H2321" s="41"/>
      <c r="I2321" s="1" t="s">
        <v>120</v>
      </c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5.75" customHeight="1" x14ac:dyDescent="0.75">
      <c r="A2322" s="43" t="s">
        <v>363</v>
      </c>
      <c r="B2322" s="40"/>
      <c r="C2322" s="40"/>
      <c r="D2322" s="40"/>
      <c r="E2322" s="40"/>
      <c r="F2322" s="40"/>
      <c r="G2322" s="40"/>
      <c r="H2322" s="41"/>
      <c r="I2322" s="1" t="s">
        <v>120</v>
      </c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5.75" customHeight="1" x14ac:dyDescent="0.55000000000000004">
      <c r="A2323" s="2" t="s">
        <v>3</v>
      </c>
      <c r="B2323" s="2" t="s">
        <v>4</v>
      </c>
      <c r="C2323" s="2" t="s">
        <v>5</v>
      </c>
      <c r="D2323" s="2" t="s">
        <v>6</v>
      </c>
      <c r="E2323" s="2" t="s">
        <v>7</v>
      </c>
      <c r="F2323" s="3" t="s">
        <v>8</v>
      </c>
      <c r="G2323" s="2" t="s">
        <v>9</v>
      </c>
      <c r="H2323" s="4"/>
      <c r="I2323" s="1" t="s">
        <v>120</v>
      </c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5.75" customHeight="1" x14ac:dyDescent="0.75">
      <c r="A2324" s="5">
        <v>1</v>
      </c>
      <c r="B2324" s="21" t="s">
        <v>119</v>
      </c>
      <c r="C2324" s="7">
        <v>7521</v>
      </c>
      <c r="D2324" s="6" t="s">
        <v>12</v>
      </c>
      <c r="E2324" s="6">
        <v>2.74</v>
      </c>
      <c r="F2324" s="8">
        <v>293000</v>
      </c>
      <c r="G2324" s="9">
        <f t="shared" ref="G2324:G2326" si="143">IFERROR(E2324*F2324,0)</f>
        <v>802820.00000000012</v>
      </c>
      <c r="H2324" s="10"/>
      <c r="I2324" s="1" t="s">
        <v>120</v>
      </c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5.75" customHeight="1" x14ac:dyDescent="0.75">
      <c r="A2325" s="5">
        <v>2</v>
      </c>
      <c r="B2325" s="16" t="s">
        <v>35</v>
      </c>
      <c r="C2325" s="17">
        <v>3007</v>
      </c>
      <c r="D2325" s="16" t="s">
        <v>14</v>
      </c>
      <c r="E2325" s="16">
        <v>0.7</v>
      </c>
      <c r="F2325" s="11">
        <v>435000</v>
      </c>
      <c r="G2325" s="9">
        <f t="shared" si="143"/>
        <v>304500</v>
      </c>
      <c r="H2325" s="10"/>
      <c r="I2325" s="1" t="s">
        <v>120</v>
      </c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5.75" customHeight="1" x14ac:dyDescent="0.75">
      <c r="A2326" s="5">
        <v>3</v>
      </c>
      <c r="B2326" s="12" t="s">
        <v>15</v>
      </c>
      <c r="C2326" s="10"/>
      <c r="D2326" s="10"/>
      <c r="E2326" s="10"/>
      <c r="F2326" s="10"/>
      <c r="G2326" s="13">
        <f t="shared" si="143"/>
        <v>0</v>
      </c>
      <c r="H2326" s="10"/>
      <c r="I2326" s="1" t="s">
        <v>120</v>
      </c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5.75" customHeight="1" x14ac:dyDescent="0.75">
      <c r="A2327" s="39" t="s">
        <v>16</v>
      </c>
      <c r="B2327" s="40"/>
      <c r="C2327" s="40"/>
      <c r="D2327" s="40"/>
      <c r="E2327" s="40"/>
      <c r="F2327" s="40"/>
      <c r="G2327" s="41"/>
      <c r="H2327" s="14">
        <f>SUM(G2324:G2326)</f>
        <v>1107320</v>
      </c>
      <c r="I2327" s="1" t="s">
        <v>120</v>
      </c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5.75" customHeight="1" x14ac:dyDescent="0.75">
      <c r="A2328" s="39" t="s">
        <v>17</v>
      </c>
      <c r="B2328" s="40"/>
      <c r="C2328" s="40"/>
      <c r="D2328" s="40"/>
      <c r="E2328" s="40"/>
      <c r="F2328" s="40"/>
      <c r="G2328" s="41"/>
      <c r="H2328" s="14">
        <f>MAX(0,H2327-648000)</f>
        <v>459320</v>
      </c>
      <c r="I2328" s="1" t="s">
        <v>120</v>
      </c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5.75" customHeight="1" x14ac:dyDescent="0.75">
      <c r="A2329" s="42" t="s">
        <v>18</v>
      </c>
      <c r="B2329" s="40"/>
      <c r="C2329" s="40"/>
      <c r="D2329" s="40"/>
      <c r="E2329" s="40"/>
      <c r="F2329" s="40"/>
      <c r="G2329" s="41"/>
      <c r="H2329" s="15">
        <v>649000</v>
      </c>
      <c r="I2329" s="1" t="s">
        <v>120</v>
      </c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5.75" customHeight="1" x14ac:dyDescent="0.75">
      <c r="A2330" s="43" t="s">
        <v>19</v>
      </c>
      <c r="B2330" s="40"/>
      <c r="C2330" s="40"/>
      <c r="D2330" s="40"/>
      <c r="E2330" s="40"/>
      <c r="F2330" s="40"/>
      <c r="G2330" s="40"/>
      <c r="H2330" s="41"/>
      <c r="I2330" s="1" t="s">
        <v>120</v>
      </c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5.75" customHeight="1" x14ac:dyDescent="0.45"/>
    <row r="2332" spans="1:26" ht="15.75" customHeight="1" x14ac:dyDescent="0.45"/>
    <row r="2333" spans="1:26" ht="15.75" customHeight="1" x14ac:dyDescent="0.45"/>
    <row r="2334" spans="1:26" ht="15.75" customHeight="1" x14ac:dyDescent="0.45"/>
    <row r="2335" spans="1:26" ht="15.75" customHeight="1" x14ac:dyDescent="0.45"/>
    <row r="2336" spans="1:26" ht="15.75" customHeight="1" x14ac:dyDescent="0.45"/>
    <row r="2337" spans="1:26" ht="15.75" customHeight="1" x14ac:dyDescent="0.45"/>
    <row r="2338" spans="1:26" ht="15.75" customHeight="1" x14ac:dyDescent="0.45"/>
    <row r="2339" spans="1:26" ht="15.75" customHeight="1" x14ac:dyDescent="0.45"/>
    <row r="2340" spans="1:26" ht="15.75" customHeight="1" x14ac:dyDescent="0.45"/>
    <row r="2341" spans="1:26" ht="15.75" customHeight="1" x14ac:dyDescent="0.45"/>
    <row r="2342" spans="1:26" ht="15.75" customHeight="1" x14ac:dyDescent="0.45"/>
    <row r="2343" spans="1:26" ht="15.75" customHeight="1" x14ac:dyDescent="0.75">
      <c r="A2343" s="43" t="s">
        <v>0</v>
      </c>
      <c r="B2343" s="40"/>
      <c r="C2343" s="40"/>
      <c r="D2343" s="40"/>
      <c r="E2343" s="40"/>
      <c r="F2343" s="40"/>
      <c r="G2343" s="40"/>
      <c r="H2343" s="41"/>
      <c r="I2343" s="1" t="s">
        <v>120</v>
      </c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5.75" customHeight="1" x14ac:dyDescent="0.75">
      <c r="A2344" s="43" t="s">
        <v>364</v>
      </c>
      <c r="B2344" s="40"/>
      <c r="C2344" s="40"/>
      <c r="D2344" s="40"/>
      <c r="E2344" s="40"/>
      <c r="F2344" s="40"/>
      <c r="G2344" s="40"/>
      <c r="H2344" s="41"/>
      <c r="I2344" s="1" t="s">
        <v>120</v>
      </c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5.75" customHeight="1" x14ac:dyDescent="0.55000000000000004">
      <c r="A2345" s="2" t="s">
        <v>3</v>
      </c>
      <c r="B2345" s="2" t="s">
        <v>4</v>
      </c>
      <c r="C2345" s="2" t="s">
        <v>5</v>
      </c>
      <c r="D2345" s="2" t="s">
        <v>6</v>
      </c>
      <c r="E2345" s="2" t="s">
        <v>7</v>
      </c>
      <c r="F2345" s="3" t="s">
        <v>8</v>
      </c>
      <c r="G2345" s="2" t="s">
        <v>9</v>
      </c>
      <c r="H2345" s="4"/>
      <c r="I2345" s="1" t="s">
        <v>120</v>
      </c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5.75" customHeight="1" x14ac:dyDescent="0.75">
      <c r="A2346" s="5">
        <v>1</v>
      </c>
      <c r="B2346" s="21" t="s">
        <v>365</v>
      </c>
      <c r="C2346" s="7">
        <v>5707</v>
      </c>
      <c r="D2346" s="6" t="s">
        <v>12</v>
      </c>
      <c r="E2346" s="6">
        <v>2.12</v>
      </c>
      <c r="F2346" s="8">
        <v>293000</v>
      </c>
      <c r="G2346" s="9">
        <f t="shared" ref="G2346:G2348" si="144">IFERROR(E2346*F2346,0)</f>
        <v>621160</v>
      </c>
      <c r="H2346" s="10"/>
      <c r="I2346" s="1" t="s">
        <v>120</v>
      </c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5.75" customHeight="1" x14ac:dyDescent="0.75">
      <c r="A2347" s="5">
        <v>2</v>
      </c>
      <c r="B2347" s="16" t="s">
        <v>366</v>
      </c>
      <c r="C2347" s="17">
        <v>1167</v>
      </c>
      <c r="D2347" s="16" t="s">
        <v>14</v>
      </c>
      <c r="E2347" s="16">
        <v>1.44</v>
      </c>
      <c r="F2347" s="11">
        <v>435000</v>
      </c>
      <c r="G2347" s="9">
        <f t="shared" si="144"/>
        <v>626400</v>
      </c>
      <c r="H2347" s="10"/>
      <c r="I2347" s="1" t="s">
        <v>120</v>
      </c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5.75" customHeight="1" x14ac:dyDescent="0.75">
      <c r="A2348" s="5">
        <v>3</v>
      </c>
      <c r="B2348" s="12" t="s">
        <v>15</v>
      </c>
      <c r="C2348" s="10"/>
      <c r="D2348" s="10"/>
      <c r="E2348" s="10"/>
      <c r="F2348" s="10"/>
      <c r="G2348" s="13">
        <f t="shared" si="144"/>
        <v>0</v>
      </c>
      <c r="H2348" s="10"/>
      <c r="I2348" s="1" t="s">
        <v>120</v>
      </c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5.75" customHeight="1" x14ac:dyDescent="0.75">
      <c r="A2349" s="39" t="s">
        <v>16</v>
      </c>
      <c r="B2349" s="40"/>
      <c r="C2349" s="40"/>
      <c r="D2349" s="40"/>
      <c r="E2349" s="40"/>
      <c r="F2349" s="40"/>
      <c r="G2349" s="41"/>
      <c r="H2349" s="14">
        <f>SUM(G2346:G2348)</f>
        <v>1247560</v>
      </c>
      <c r="I2349" s="1" t="s">
        <v>120</v>
      </c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5.75" customHeight="1" x14ac:dyDescent="0.75">
      <c r="A2350" s="39" t="s">
        <v>17</v>
      </c>
      <c r="B2350" s="40"/>
      <c r="C2350" s="40"/>
      <c r="D2350" s="40"/>
      <c r="E2350" s="40"/>
      <c r="F2350" s="40"/>
      <c r="G2350" s="41"/>
      <c r="H2350" s="14">
        <f>MAX(0,H2349-648000)</f>
        <v>599560</v>
      </c>
      <c r="I2350" s="1" t="s">
        <v>120</v>
      </c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5.75" customHeight="1" x14ac:dyDescent="0.75">
      <c r="A2351" s="42" t="s">
        <v>18</v>
      </c>
      <c r="B2351" s="40"/>
      <c r="C2351" s="40"/>
      <c r="D2351" s="40"/>
      <c r="E2351" s="40"/>
      <c r="F2351" s="40"/>
      <c r="G2351" s="41"/>
      <c r="H2351" s="15">
        <v>649000</v>
      </c>
      <c r="I2351" s="1" t="s">
        <v>120</v>
      </c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5.75" customHeight="1" x14ac:dyDescent="0.75">
      <c r="A2352" s="43" t="s">
        <v>19</v>
      </c>
      <c r="B2352" s="40"/>
      <c r="C2352" s="40"/>
      <c r="D2352" s="40"/>
      <c r="E2352" s="40"/>
      <c r="F2352" s="40"/>
      <c r="G2352" s="40"/>
      <c r="H2352" s="41"/>
      <c r="I2352" s="1" t="s">
        <v>120</v>
      </c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5.75" customHeight="1" x14ac:dyDescent="0.45"/>
    <row r="2354" spans="1:26" ht="15.75" customHeight="1" x14ac:dyDescent="0.45"/>
    <row r="2355" spans="1:26" ht="15.75" customHeight="1" x14ac:dyDescent="0.45"/>
    <row r="2356" spans="1:26" ht="15.75" customHeight="1" x14ac:dyDescent="0.45"/>
    <row r="2357" spans="1:26" ht="15.75" customHeight="1" x14ac:dyDescent="0.45"/>
    <row r="2358" spans="1:26" ht="15.75" customHeight="1" x14ac:dyDescent="0.45"/>
    <row r="2359" spans="1:26" ht="15.75" customHeight="1" x14ac:dyDescent="0.45"/>
    <row r="2360" spans="1:26" ht="15.75" customHeight="1" x14ac:dyDescent="0.45"/>
    <row r="2361" spans="1:26" ht="15.75" customHeight="1" x14ac:dyDescent="0.45"/>
    <row r="2362" spans="1:26" ht="15.75" customHeight="1" x14ac:dyDescent="0.45"/>
    <row r="2363" spans="1:26" ht="15.75" customHeight="1" x14ac:dyDescent="0.75">
      <c r="A2363" s="43" t="s">
        <v>0</v>
      </c>
      <c r="B2363" s="40"/>
      <c r="C2363" s="40"/>
      <c r="D2363" s="40"/>
      <c r="E2363" s="40"/>
      <c r="F2363" s="40"/>
      <c r="G2363" s="40"/>
      <c r="H2363" s="41"/>
      <c r="I2363" s="1" t="s">
        <v>120</v>
      </c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5.75" customHeight="1" x14ac:dyDescent="0.75">
      <c r="A2364" s="43" t="s">
        <v>367</v>
      </c>
      <c r="B2364" s="40"/>
      <c r="C2364" s="40"/>
      <c r="D2364" s="40"/>
      <c r="E2364" s="40"/>
      <c r="F2364" s="40"/>
      <c r="G2364" s="40"/>
      <c r="H2364" s="41"/>
      <c r="I2364" s="1" t="s">
        <v>120</v>
      </c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5.75" customHeight="1" x14ac:dyDescent="0.55000000000000004">
      <c r="A2365" s="2" t="s">
        <v>3</v>
      </c>
      <c r="B2365" s="2" t="s">
        <v>4</v>
      </c>
      <c r="C2365" s="2" t="s">
        <v>5</v>
      </c>
      <c r="D2365" s="2" t="s">
        <v>6</v>
      </c>
      <c r="E2365" s="2" t="s">
        <v>7</v>
      </c>
      <c r="F2365" s="3" t="s">
        <v>8</v>
      </c>
      <c r="G2365" s="2" t="s">
        <v>9</v>
      </c>
      <c r="H2365" s="4"/>
      <c r="I2365" s="1" t="s">
        <v>120</v>
      </c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5.75" customHeight="1" x14ac:dyDescent="0.75">
      <c r="A2366" s="5">
        <v>1</v>
      </c>
      <c r="B2366" s="21" t="s">
        <v>127</v>
      </c>
      <c r="C2366" s="7">
        <v>7283</v>
      </c>
      <c r="D2366" s="6" t="s">
        <v>12</v>
      </c>
      <c r="E2366" s="6">
        <v>2</v>
      </c>
      <c r="F2366" s="8">
        <v>293000</v>
      </c>
      <c r="G2366" s="9">
        <f t="shared" ref="G2366:G2368" si="145">IFERROR(E2366*F2366,0)</f>
        <v>586000</v>
      </c>
      <c r="H2366" s="10"/>
      <c r="I2366" s="1" t="s">
        <v>120</v>
      </c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5.75" customHeight="1" x14ac:dyDescent="0.75">
      <c r="A2367" s="5">
        <v>2</v>
      </c>
      <c r="B2367" s="16" t="s">
        <v>158</v>
      </c>
      <c r="C2367" s="17">
        <v>1526</v>
      </c>
      <c r="D2367" s="16" t="s">
        <v>14</v>
      </c>
      <c r="E2367" s="16">
        <v>1.45</v>
      </c>
      <c r="F2367" s="11">
        <v>435000</v>
      </c>
      <c r="G2367" s="9">
        <f t="shared" si="145"/>
        <v>630750</v>
      </c>
      <c r="H2367" s="10"/>
      <c r="I2367" s="1" t="s">
        <v>120</v>
      </c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5.75" customHeight="1" x14ac:dyDescent="0.75">
      <c r="A2368" s="5">
        <v>3</v>
      </c>
      <c r="B2368" s="12" t="s">
        <v>15</v>
      </c>
      <c r="C2368" s="10"/>
      <c r="D2368" s="10"/>
      <c r="E2368" s="10"/>
      <c r="F2368" s="10"/>
      <c r="G2368" s="13">
        <f t="shared" si="145"/>
        <v>0</v>
      </c>
      <c r="H2368" s="10"/>
      <c r="I2368" s="1" t="s">
        <v>120</v>
      </c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5.75" customHeight="1" x14ac:dyDescent="0.75">
      <c r="A2369" s="39" t="s">
        <v>16</v>
      </c>
      <c r="B2369" s="40"/>
      <c r="C2369" s="40"/>
      <c r="D2369" s="40"/>
      <c r="E2369" s="40"/>
      <c r="F2369" s="40"/>
      <c r="G2369" s="41"/>
      <c r="H2369" s="14">
        <f>SUM(G2366:G2368)</f>
        <v>1216750</v>
      </c>
      <c r="I2369" s="1" t="s">
        <v>120</v>
      </c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5.75" customHeight="1" x14ac:dyDescent="0.75">
      <c r="A2370" s="39" t="s">
        <v>17</v>
      </c>
      <c r="B2370" s="40"/>
      <c r="C2370" s="40"/>
      <c r="D2370" s="40"/>
      <c r="E2370" s="40"/>
      <c r="F2370" s="40"/>
      <c r="G2370" s="41"/>
      <c r="H2370" s="14">
        <f>MAX(0,H2369-648000)</f>
        <v>568750</v>
      </c>
      <c r="I2370" s="1" t="s">
        <v>120</v>
      </c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5.75" customHeight="1" x14ac:dyDescent="0.75">
      <c r="A2371" s="42" t="s">
        <v>18</v>
      </c>
      <c r="B2371" s="40"/>
      <c r="C2371" s="40"/>
      <c r="D2371" s="40"/>
      <c r="E2371" s="40"/>
      <c r="F2371" s="40"/>
      <c r="G2371" s="41"/>
      <c r="H2371" s="15">
        <v>649000</v>
      </c>
      <c r="I2371" s="1" t="s">
        <v>120</v>
      </c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5.75" customHeight="1" x14ac:dyDescent="0.75">
      <c r="A2372" s="43" t="s">
        <v>19</v>
      </c>
      <c r="B2372" s="40"/>
      <c r="C2372" s="40"/>
      <c r="D2372" s="40"/>
      <c r="E2372" s="40"/>
      <c r="F2372" s="40"/>
      <c r="G2372" s="40"/>
      <c r="H2372" s="41"/>
      <c r="I2372" s="1" t="s">
        <v>120</v>
      </c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5.75" customHeight="1" x14ac:dyDescent="0.45"/>
    <row r="2374" spans="1:26" ht="15.75" customHeight="1" x14ac:dyDescent="0.45"/>
    <row r="2375" spans="1:26" ht="15.75" customHeight="1" x14ac:dyDescent="0.45"/>
    <row r="2376" spans="1:26" ht="15.75" customHeight="1" x14ac:dyDescent="0.45"/>
    <row r="2377" spans="1:26" ht="15.75" customHeight="1" x14ac:dyDescent="0.45"/>
    <row r="2378" spans="1:26" ht="15.75" customHeight="1" x14ac:dyDescent="0.45"/>
    <row r="2379" spans="1:26" ht="15.75" customHeight="1" x14ac:dyDescent="0.75">
      <c r="A2379" s="43" t="s">
        <v>0</v>
      </c>
      <c r="B2379" s="40"/>
      <c r="C2379" s="40"/>
      <c r="D2379" s="40"/>
      <c r="E2379" s="40"/>
      <c r="F2379" s="40"/>
      <c r="G2379" s="40"/>
      <c r="H2379" s="41"/>
      <c r="I2379" s="1" t="s">
        <v>120</v>
      </c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5.75" customHeight="1" x14ac:dyDescent="0.75">
      <c r="A2380" s="43" t="s">
        <v>368</v>
      </c>
      <c r="B2380" s="40"/>
      <c r="C2380" s="40"/>
      <c r="D2380" s="40"/>
      <c r="E2380" s="40"/>
      <c r="F2380" s="40"/>
      <c r="G2380" s="40"/>
      <c r="H2380" s="41"/>
      <c r="I2380" s="1" t="s">
        <v>120</v>
      </c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5.75" customHeight="1" x14ac:dyDescent="0.55000000000000004">
      <c r="A2381" s="2" t="s">
        <v>3</v>
      </c>
      <c r="B2381" s="2" t="s">
        <v>4</v>
      </c>
      <c r="C2381" s="2" t="s">
        <v>5</v>
      </c>
      <c r="D2381" s="2" t="s">
        <v>6</v>
      </c>
      <c r="E2381" s="2" t="s">
        <v>7</v>
      </c>
      <c r="F2381" s="3" t="s">
        <v>8</v>
      </c>
      <c r="G2381" s="2" t="s">
        <v>9</v>
      </c>
      <c r="H2381" s="4"/>
      <c r="I2381" s="1" t="s">
        <v>120</v>
      </c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5.75" customHeight="1" x14ac:dyDescent="0.75">
      <c r="A2382" s="5">
        <v>1</v>
      </c>
      <c r="B2382" s="21" t="s">
        <v>369</v>
      </c>
      <c r="C2382" s="7">
        <v>1013</v>
      </c>
      <c r="D2382" s="6" t="s">
        <v>12</v>
      </c>
      <c r="E2382" s="6">
        <v>2.2999999999999998</v>
      </c>
      <c r="F2382" s="8">
        <v>293000</v>
      </c>
      <c r="G2382" s="9">
        <f t="shared" ref="G2382:G2384" si="146">IFERROR(E2382*F2382,0)</f>
        <v>673900</v>
      </c>
      <c r="H2382" s="10"/>
      <c r="I2382" s="1" t="s">
        <v>120</v>
      </c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5.75" customHeight="1" x14ac:dyDescent="0.75">
      <c r="A2383" s="5">
        <v>2</v>
      </c>
      <c r="B2383" s="16" t="s">
        <v>35</v>
      </c>
      <c r="C2383" s="17" t="s">
        <v>370</v>
      </c>
      <c r="D2383" s="16" t="s">
        <v>14</v>
      </c>
      <c r="E2383" s="16">
        <v>1.2</v>
      </c>
      <c r="F2383" s="11">
        <v>435000</v>
      </c>
      <c r="G2383" s="9">
        <f t="shared" si="146"/>
        <v>522000</v>
      </c>
      <c r="H2383" s="10"/>
      <c r="I2383" s="1" t="s">
        <v>120</v>
      </c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5.75" customHeight="1" x14ac:dyDescent="0.75">
      <c r="A2384" s="5">
        <v>3</v>
      </c>
      <c r="B2384" s="12" t="s">
        <v>15</v>
      </c>
      <c r="C2384" s="10"/>
      <c r="D2384" s="10"/>
      <c r="E2384" s="10"/>
      <c r="F2384" s="10"/>
      <c r="G2384" s="13">
        <f t="shared" si="146"/>
        <v>0</v>
      </c>
      <c r="H2384" s="10"/>
      <c r="I2384" s="1" t="s">
        <v>120</v>
      </c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5.75" customHeight="1" x14ac:dyDescent="0.75">
      <c r="A2385" s="39" t="s">
        <v>16</v>
      </c>
      <c r="B2385" s="40"/>
      <c r="C2385" s="40"/>
      <c r="D2385" s="40"/>
      <c r="E2385" s="40"/>
      <c r="F2385" s="40"/>
      <c r="G2385" s="41"/>
      <c r="H2385" s="14">
        <f>SUM(G2382:G2384)</f>
        <v>1195900</v>
      </c>
      <c r="I2385" s="1" t="s">
        <v>120</v>
      </c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5.75" customHeight="1" x14ac:dyDescent="0.75">
      <c r="A2386" s="39" t="s">
        <v>17</v>
      </c>
      <c r="B2386" s="40"/>
      <c r="C2386" s="40"/>
      <c r="D2386" s="40"/>
      <c r="E2386" s="40"/>
      <c r="F2386" s="40"/>
      <c r="G2386" s="41"/>
      <c r="H2386" s="14">
        <f>MAX(0,H2385-648000)</f>
        <v>547900</v>
      </c>
      <c r="I2386" s="1" t="s">
        <v>120</v>
      </c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5.75" customHeight="1" x14ac:dyDescent="0.75">
      <c r="A2387" s="42" t="s">
        <v>18</v>
      </c>
      <c r="B2387" s="40"/>
      <c r="C2387" s="40"/>
      <c r="D2387" s="40"/>
      <c r="E2387" s="40"/>
      <c r="F2387" s="40"/>
      <c r="G2387" s="41"/>
      <c r="H2387" s="15">
        <v>649000</v>
      </c>
      <c r="I2387" s="1" t="s">
        <v>120</v>
      </c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5.75" customHeight="1" x14ac:dyDescent="0.75">
      <c r="A2388" s="43" t="s">
        <v>19</v>
      </c>
      <c r="B2388" s="40"/>
      <c r="C2388" s="40"/>
      <c r="D2388" s="40"/>
      <c r="E2388" s="40"/>
      <c r="F2388" s="40"/>
      <c r="G2388" s="40"/>
      <c r="H2388" s="41"/>
      <c r="I2388" s="1" t="s">
        <v>120</v>
      </c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5.75" customHeight="1" x14ac:dyDescent="0.45"/>
    <row r="2390" spans="1:26" ht="15.75" customHeight="1" x14ac:dyDescent="0.45"/>
    <row r="2391" spans="1:26" ht="15.75" customHeight="1" x14ac:dyDescent="0.45"/>
    <row r="2392" spans="1:26" ht="15.75" customHeight="1" x14ac:dyDescent="0.45"/>
    <row r="2393" spans="1:26" ht="15.75" customHeight="1" x14ac:dyDescent="0.45"/>
    <row r="2394" spans="1:26" ht="15.75" customHeight="1" x14ac:dyDescent="0.45"/>
    <row r="2395" spans="1:26" ht="15.75" customHeight="1" x14ac:dyDescent="0.45"/>
    <row r="2396" spans="1:26" ht="15.75" customHeight="1" x14ac:dyDescent="0.45"/>
    <row r="2397" spans="1:26" ht="15.75" customHeight="1" x14ac:dyDescent="0.45"/>
    <row r="2398" spans="1:26" ht="15.75" customHeight="1" x14ac:dyDescent="0.45"/>
    <row r="2399" spans="1:26" ht="15.75" customHeight="1" x14ac:dyDescent="0.75">
      <c r="A2399" s="43" t="s">
        <v>0</v>
      </c>
      <c r="B2399" s="40"/>
      <c r="C2399" s="40"/>
      <c r="D2399" s="40"/>
      <c r="E2399" s="40"/>
      <c r="F2399" s="40"/>
      <c r="G2399" s="40"/>
      <c r="H2399" s="41"/>
      <c r="I2399" s="1" t="s">
        <v>120</v>
      </c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5.75" customHeight="1" x14ac:dyDescent="0.75">
      <c r="A2400" s="43" t="s">
        <v>371</v>
      </c>
      <c r="B2400" s="40"/>
      <c r="C2400" s="40"/>
      <c r="D2400" s="40"/>
      <c r="E2400" s="40"/>
      <c r="F2400" s="40"/>
      <c r="G2400" s="40"/>
      <c r="H2400" s="41"/>
      <c r="I2400" s="1" t="s">
        <v>120</v>
      </c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5.75" customHeight="1" x14ac:dyDescent="0.55000000000000004">
      <c r="A2401" s="2" t="s">
        <v>3</v>
      </c>
      <c r="B2401" s="2" t="s">
        <v>4</v>
      </c>
      <c r="C2401" s="2" t="s">
        <v>5</v>
      </c>
      <c r="D2401" s="2" t="s">
        <v>6</v>
      </c>
      <c r="E2401" s="2" t="s">
        <v>7</v>
      </c>
      <c r="F2401" s="3" t="s">
        <v>8</v>
      </c>
      <c r="G2401" s="2" t="s">
        <v>9</v>
      </c>
      <c r="H2401" s="4"/>
      <c r="I2401" s="1" t="s">
        <v>120</v>
      </c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5.75" customHeight="1" x14ac:dyDescent="0.75">
      <c r="A2402" s="5">
        <v>1</v>
      </c>
      <c r="B2402" s="21" t="s">
        <v>162</v>
      </c>
      <c r="C2402" s="7">
        <v>8894</v>
      </c>
      <c r="D2402" s="6" t="s">
        <v>12</v>
      </c>
      <c r="E2402" s="6">
        <v>2.2999999999999998</v>
      </c>
      <c r="F2402" s="8">
        <v>293000</v>
      </c>
      <c r="G2402" s="9">
        <f t="shared" ref="G2402:G2404" si="147">IFERROR(E2402*F2402,0)</f>
        <v>673900</v>
      </c>
      <c r="H2402" s="10"/>
      <c r="I2402" s="1" t="s">
        <v>120</v>
      </c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5.75" customHeight="1" x14ac:dyDescent="0.75">
      <c r="A2403" s="5">
        <v>2</v>
      </c>
      <c r="B2403" s="16" t="s">
        <v>21</v>
      </c>
      <c r="C2403" s="17" t="s">
        <v>372</v>
      </c>
      <c r="D2403" s="16" t="s">
        <v>14</v>
      </c>
      <c r="E2403" s="16">
        <v>1.1499999999999999</v>
      </c>
      <c r="F2403" s="11">
        <v>435000</v>
      </c>
      <c r="G2403" s="9">
        <f t="shared" si="147"/>
        <v>500249.99999999994</v>
      </c>
      <c r="H2403" s="10"/>
      <c r="I2403" s="1" t="s">
        <v>120</v>
      </c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5.75" customHeight="1" x14ac:dyDescent="0.75">
      <c r="A2404" s="5">
        <v>3</v>
      </c>
      <c r="B2404" s="12" t="s">
        <v>15</v>
      </c>
      <c r="C2404" s="10"/>
      <c r="D2404" s="10"/>
      <c r="E2404" s="10"/>
      <c r="F2404" s="10"/>
      <c r="G2404" s="13">
        <f t="shared" si="147"/>
        <v>0</v>
      </c>
      <c r="H2404" s="10"/>
      <c r="I2404" s="1" t="s">
        <v>120</v>
      </c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5.75" customHeight="1" x14ac:dyDescent="0.75">
      <c r="A2405" s="39" t="s">
        <v>16</v>
      </c>
      <c r="B2405" s="40"/>
      <c r="C2405" s="40"/>
      <c r="D2405" s="40"/>
      <c r="E2405" s="40"/>
      <c r="F2405" s="40"/>
      <c r="G2405" s="41"/>
      <c r="H2405" s="14">
        <f>SUM(G2402:G2404)</f>
        <v>1174150</v>
      </c>
      <c r="I2405" s="1" t="s">
        <v>120</v>
      </c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5.75" customHeight="1" x14ac:dyDescent="0.75">
      <c r="A2406" s="39" t="s">
        <v>17</v>
      </c>
      <c r="B2406" s="40"/>
      <c r="C2406" s="40"/>
      <c r="D2406" s="40"/>
      <c r="E2406" s="40"/>
      <c r="F2406" s="40"/>
      <c r="G2406" s="41"/>
      <c r="H2406" s="14">
        <f>MAX(0,H2405-648000)</f>
        <v>526150</v>
      </c>
      <c r="I2406" s="1" t="s">
        <v>120</v>
      </c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5.75" customHeight="1" x14ac:dyDescent="0.75">
      <c r="A2407" s="42" t="s">
        <v>18</v>
      </c>
      <c r="B2407" s="40"/>
      <c r="C2407" s="40"/>
      <c r="D2407" s="40"/>
      <c r="E2407" s="40"/>
      <c r="F2407" s="40"/>
      <c r="G2407" s="41"/>
      <c r="H2407" s="15">
        <v>649000</v>
      </c>
      <c r="I2407" s="1" t="s">
        <v>120</v>
      </c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5.75" customHeight="1" x14ac:dyDescent="0.75">
      <c r="A2408" s="43" t="s">
        <v>19</v>
      </c>
      <c r="B2408" s="40"/>
      <c r="C2408" s="40"/>
      <c r="D2408" s="40"/>
      <c r="E2408" s="40"/>
      <c r="F2408" s="40"/>
      <c r="G2408" s="40"/>
      <c r="H2408" s="41"/>
      <c r="I2408" s="1" t="s">
        <v>120</v>
      </c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5.75" customHeight="1" x14ac:dyDescent="0.45"/>
    <row r="2410" spans="1:26" ht="15.75" customHeight="1" x14ac:dyDescent="0.45"/>
    <row r="2411" spans="1:26" ht="15.75" customHeight="1" x14ac:dyDescent="0.45"/>
    <row r="2412" spans="1:26" ht="15.75" customHeight="1" x14ac:dyDescent="0.45"/>
    <row r="2413" spans="1:26" ht="15.75" customHeight="1" x14ac:dyDescent="0.45"/>
    <row r="2414" spans="1:26" ht="15.75" customHeight="1" x14ac:dyDescent="0.45"/>
    <row r="2415" spans="1:26" ht="15.75" customHeight="1" x14ac:dyDescent="0.45"/>
    <row r="2416" spans="1:26" ht="15.75" customHeight="1" x14ac:dyDescent="0.45"/>
    <row r="2417" spans="1:26" ht="15.75" customHeight="1" x14ac:dyDescent="0.45"/>
    <row r="2418" spans="1:26" ht="15.75" customHeight="1" x14ac:dyDescent="0.45"/>
    <row r="2419" spans="1:26" ht="15.75" customHeight="1" x14ac:dyDescent="0.45"/>
    <row r="2420" spans="1:26" ht="15.75" customHeight="1" x14ac:dyDescent="0.45"/>
    <row r="2421" spans="1:26" ht="15.75" customHeight="1" x14ac:dyDescent="0.45"/>
    <row r="2422" spans="1:26" ht="15.75" customHeight="1" x14ac:dyDescent="0.45"/>
    <row r="2423" spans="1:26" ht="15.75" customHeight="1" x14ac:dyDescent="0.45"/>
    <row r="2424" spans="1:26" ht="15.75" customHeight="1" x14ac:dyDescent="0.45"/>
    <row r="2425" spans="1:26" ht="15.75" customHeight="1" x14ac:dyDescent="0.45"/>
    <row r="2426" spans="1:26" ht="15.75" customHeight="1" x14ac:dyDescent="0.75">
      <c r="A2426" s="43" t="s">
        <v>0</v>
      </c>
      <c r="B2426" s="40"/>
      <c r="C2426" s="40"/>
      <c r="D2426" s="40"/>
      <c r="E2426" s="40"/>
      <c r="F2426" s="40"/>
      <c r="G2426" s="40"/>
      <c r="H2426" s="41"/>
      <c r="I2426" s="1" t="s">
        <v>120</v>
      </c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5.75" customHeight="1" x14ac:dyDescent="0.75">
      <c r="A2427" s="43" t="s">
        <v>373</v>
      </c>
      <c r="B2427" s="40"/>
      <c r="C2427" s="40"/>
      <c r="D2427" s="40"/>
      <c r="E2427" s="40"/>
      <c r="F2427" s="40"/>
      <c r="G2427" s="40"/>
      <c r="H2427" s="41"/>
      <c r="I2427" s="1" t="s">
        <v>120</v>
      </c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5.75" customHeight="1" x14ac:dyDescent="0.55000000000000004">
      <c r="A2428" s="2" t="s">
        <v>3</v>
      </c>
      <c r="B2428" s="2" t="s">
        <v>4</v>
      </c>
      <c r="C2428" s="2" t="s">
        <v>5</v>
      </c>
      <c r="D2428" s="2" t="s">
        <v>6</v>
      </c>
      <c r="E2428" s="2" t="s">
        <v>7</v>
      </c>
      <c r="F2428" s="3" t="s">
        <v>8</v>
      </c>
      <c r="G2428" s="2" t="s">
        <v>9</v>
      </c>
      <c r="H2428" s="4"/>
      <c r="I2428" s="1" t="s">
        <v>120</v>
      </c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5.75" customHeight="1" x14ac:dyDescent="0.75">
      <c r="A2429" s="5">
        <v>1</v>
      </c>
      <c r="B2429" s="21" t="s">
        <v>374</v>
      </c>
      <c r="C2429" s="7">
        <v>4078</v>
      </c>
      <c r="D2429" s="6" t="s">
        <v>12</v>
      </c>
      <c r="E2429" s="6">
        <v>1.33</v>
      </c>
      <c r="F2429" s="8">
        <v>293000</v>
      </c>
      <c r="G2429" s="9">
        <f t="shared" ref="G2429:G2431" si="148">IFERROR(E2429*F2429,0)</f>
        <v>389690</v>
      </c>
      <c r="H2429" s="10"/>
      <c r="I2429" s="1" t="s">
        <v>120</v>
      </c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5.75" customHeight="1" x14ac:dyDescent="0.75">
      <c r="A2430" s="5">
        <v>2</v>
      </c>
      <c r="B2430" s="16" t="s">
        <v>375</v>
      </c>
      <c r="C2430" s="17">
        <v>1154</v>
      </c>
      <c r="D2430" s="16" t="s">
        <v>14</v>
      </c>
      <c r="E2430" s="16">
        <v>2.75</v>
      </c>
      <c r="F2430" s="11">
        <v>435000</v>
      </c>
      <c r="G2430" s="9">
        <f t="shared" si="148"/>
        <v>1196250</v>
      </c>
      <c r="H2430" s="10"/>
      <c r="I2430" s="1" t="s">
        <v>120</v>
      </c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5.75" customHeight="1" x14ac:dyDescent="0.75">
      <c r="A2431" s="5">
        <v>3</v>
      </c>
      <c r="B2431" s="12" t="s">
        <v>15</v>
      </c>
      <c r="C2431" s="10"/>
      <c r="D2431" s="10"/>
      <c r="E2431" s="10"/>
      <c r="F2431" s="10"/>
      <c r="G2431" s="13">
        <f t="shared" si="148"/>
        <v>0</v>
      </c>
      <c r="H2431" s="10"/>
      <c r="I2431" s="1" t="s">
        <v>120</v>
      </c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5.75" customHeight="1" x14ac:dyDescent="0.75">
      <c r="A2432" s="39" t="s">
        <v>16</v>
      </c>
      <c r="B2432" s="40"/>
      <c r="C2432" s="40"/>
      <c r="D2432" s="40"/>
      <c r="E2432" s="40"/>
      <c r="F2432" s="40"/>
      <c r="G2432" s="41"/>
      <c r="H2432" s="14">
        <f>SUM(G2429:G2431)</f>
        <v>1585940</v>
      </c>
      <c r="I2432" s="1" t="s">
        <v>120</v>
      </c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5.75" customHeight="1" x14ac:dyDescent="0.75">
      <c r="A2433" s="39" t="s">
        <v>17</v>
      </c>
      <c r="B2433" s="40"/>
      <c r="C2433" s="40"/>
      <c r="D2433" s="40"/>
      <c r="E2433" s="40"/>
      <c r="F2433" s="40"/>
      <c r="G2433" s="41"/>
      <c r="H2433" s="14">
        <f>MAX(0,H2432-648000)</f>
        <v>937940</v>
      </c>
      <c r="I2433" s="1" t="s">
        <v>120</v>
      </c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5.75" customHeight="1" x14ac:dyDescent="0.75">
      <c r="A2434" s="42" t="s">
        <v>18</v>
      </c>
      <c r="B2434" s="40"/>
      <c r="C2434" s="40"/>
      <c r="D2434" s="40"/>
      <c r="E2434" s="40"/>
      <c r="F2434" s="40"/>
      <c r="G2434" s="41"/>
      <c r="H2434" s="15">
        <v>649000</v>
      </c>
      <c r="I2434" s="1" t="s">
        <v>120</v>
      </c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5.75" customHeight="1" x14ac:dyDescent="0.75">
      <c r="A2435" s="43" t="s">
        <v>19</v>
      </c>
      <c r="B2435" s="40"/>
      <c r="C2435" s="40"/>
      <c r="D2435" s="40"/>
      <c r="E2435" s="40"/>
      <c r="F2435" s="40"/>
      <c r="G2435" s="40"/>
      <c r="H2435" s="41"/>
      <c r="I2435" s="1" t="s">
        <v>120</v>
      </c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5.75" customHeight="1" x14ac:dyDescent="0.45"/>
    <row r="2437" spans="1:26" ht="15.75" customHeight="1" x14ac:dyDescent="0.45"/>
    <row r="2438" spans="1:26" ht="15.75" customHeight="1" x14ac:dyDescent="0.45"/>
    <row r="2439" spans="1:26" ht="15.75" customHeight="1" x14ac:dyDescent="0.45"/>
    <row r="2440" spans="1:26" ht="15.75" customHeight="1" x14ac:dyDescent="0.45"/>
    <row r="2441" spans="1:26" ht="15.75" customHeight="1" x14ac:dyDescent="0.75">
      <c r="A2441" s="43" t="s">
        <v>0</v>
      </c>
      <c r="B2441" s="40"/>
      <c r="C2441" s="40"/>
      <c r="D2441" s="40"/>
      <c r="E2441" s="40"/>
      <c r="F2441" s="40"/>
      <c r="G2441" s="40"/>
      <c r="H2441" s="41"/>
      <c r="I2441" s="1" t="s">
        <v>120</v>
      </c>
      <c r="J2441" s="19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5.75" customHeight="1" x14ac:dyDescent="0.75">
      <c r="A2442" s="43" t="s">
        <v>376</v>
      </c>
      <c r="B2442" s="40"/>
      <c r="C2442" s="40"/>
      <c r="D2442" s="40"/>
      <c r="E2442" s="40"/>
      <c r="F2442" s="40"/>
      <c r="G2442" s="40"/>
      <c r="H2442" s="41"/>
      <c r="I2442" s="1" t="s">
        <v>120</v>
      </c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5.75" customHeight="1" x14ac:dyDescent="0.55000000000000004">
      <c r="A2443" s="2" t="s">
        <v>3</v>
      </c>
      <c r="B2443" s="2" t="s">
        <v>4</v>
      </c>
      <c r="C2443" s="2" t="s">
        <v>5</v>
      </c>
      <c r="D2443" s="2" t="s">
        <v>6</v>
      </c>
      <c r="E2443" s="2" t="s">
        <v>7</v>
      </c>
      <c r="F2443" s="3" t="s">
        <v>8</v>
      </c>
      <c r="G2443" s="2" t="s">
        <v>9</v>
      </c>
      <c r="H2443" s="4"/>
      <c r="I2443" s="1" t="s">
        <v>120</v>
      </c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5.75" customHeight="1" x14ac:dyDescent="0.75">
      <c r="A2444" s="5">
        <v>1</v>
      </c>
      <c r="B2444" s="21" t="s">
        <v>62</v>
      </c>
      <c r="C2444" s="7">
        <v>2310</v>
      </c>
      <c r="D2444" s="6" t="s">
        <v>12</v>
      </c>
      <c r="E2444" s="6">
        <v>0.55000000000000004</v>
      </c>
      <c r="F2444" s="8">
        <v>293000</v>
      </c>
      <c r="G2444" s="9">
        <f t="shared" ref="G2444:G2446" si="149">IFERROR(E2444*F2444,0)</f>
        <v>161150</v>
      </c>
      <c r="H2444" s="10"/>
      <c r="I2444" s="1" t="s">
        <v>120</v>
      </c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5.75" customHeight="1" x14ac:dyDescent="0.75">
      <c r="A2445" s="5">
        <v>2</v>
      </c>
      <c r="B2445" s="16" t="s">
        <v>162</v>
      </c>
      <c r="C2445" s="17">
        <v>2681</v>
      </c>
      <c r="D2445" s="16" t="s">
        <v>14</v>
      </c>
      <c r="E2445" s="16">
        <v>2.96</v>
      </c>
      <c r="F2445" s="11">
        <v>435000</v>
      </c>
      <c r="G2445" s="9">
        <f t="shared" si="149"/>
        <v>1287600</v>
      </c>
      <c r="H2445" s="10"/>
      <c r="I2445" s="1" t="s">
        <v>120</v>
      </c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5.75" customHeight="1" x14ac:dyDescent="0.75">
      <c r="A2446" s="5">
        <v>3</v>
      </c>
      <c r="B2446" s="12" t="s">
        <v>15</v>
      </c>
      <c r="C2446" s="10"/>
      <c r="D2446" s="10"/>
      <c r="E2446" s="10"/>
      <c r="F2446" s="10"/>
      <c r="G2446" s="13">
        <f t="shared" si="149"/>
        <v>0</v>
      </c>
      <c r="H2446" s="10"/>
      <c r="I2446" s="1" t="s">
        <v>120</v>
      </c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5.75" customHeight="1" x14ac:dyDescent="0.75">
      <c r="A2447" s="39" t="s">
        <v>16</v>
      </c>
      <c r="B2447" s="40"/>
      <c r="C2447" s="40"/>
      <c r="D2447" s="40"/>
      <c r="E2447" s="40"/>
      <c r="F2447" s="40"/>
      <c r="G2447" s="41"/>
      <c r="H2447" s="14">
        <f>SUM(G2444:G2446)</f>
        <v>1448750</v>
      </c>
      <c r="I2447" s="1" t="s">
        <v>120</v>
      </c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5.75" customHeight="1" x14ac:dyDescent="0.75">
      <c r="A2448" s="39" t="s">
        <v>17</v>
      </c>
      <c r="B2448" s="40"/>
      <c r="C2448" s="40"/>
      <c r="D2448" s="40"/>
      <c r="E2448" s="40"/>
      <c r="F2448" s="40"/>
      <c r="G2448" s="41"/>
      <c r="H2448" s="14">
        <f>MAX(0,H2447-648000)</f>
        <v>800750</v>
      </c>
      <c r="I2448" s="1" t="s">
        <v>120</v>
      </c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5.75" customHeight="1" x14ac:dyDescent="0.75">
      <c r="A2449" s="42" t="s">
        <v>18</v>
      </c>
      <c r="B2449" s="40"/>
      <c r="C2449" s="40"/>
      <c r="D2449" s="40"/>
      <c r="E2449" s="40"/>
      <c r="F2449" s="40"/>
      <c r="G2449" s="41"/>
      <c r="H2449" s="15">
        <v>649000</v>
      </c>
      <c r="I2449" s="1" t="s">
        <v>120</v>
      </c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5.75" customHeight="1" x14ac:dyDescent="0.75">
      <c r="A2450" s="43" t="s">
        <v>19</v>
      </c>
      <c r="B2450" s="40"/>
      <c r="C2450" s="40"/>
      <c r="D2450" s="40"/>
      <c r="E2450" s="40"/>
      <c r="F2450" s="40"/>
      <c r="G2450" s="40"/>
      <c r="H2450" s="41"/>
      <c r="I2450" s="1" t="s">
        <v>120</v>
      </c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5.75" customHeight="1" x14ac:dyDescent="0.45"/>
    <row r="2452" spans="1:26" ht="15.75" customHeight="1" x14ac:dyDescent="0.45"/>
    <row r="2453" spans="1:26" ht="15.75" customHeight="1" x14ac:dyDescent="0.45"/>
    <row r="2454" spans="1:26" ht="15.75" customHeight="1" x14ac:dyDescent="0.45"/>
    <row r="2455" spans="1:26" ht="15.75" customHeight="1" x14ac:dyDescent="0.45"/>
    <row r="2456" spans="1:26" ht="15.75" customHeight="1" x14ac:dyDescent="0.45"/>
    <row r="2457" spans="1:26" ht="15.75" customHeight="1" x14ac:dyDescent="0.45"/>
    <row r="2458" spans="1:26" ht="15.75" customHeight="1" x14ac:dyDescent="0.75">
      <c r="A2458" s="43" t="s">
        <v>0</v>
      </c>
      <c r="B2458" s="40"/>
      <c r="C2458" s="40"/>
      <c r="D2458" s="40"/>
      <c r="E2458" s="40"/>
      <c r="F2458" s="40"/>
      <c r="G2458" s="40"/>
      <c r="H2458" s="41"/>
      <c r="I2458" s="1" t="s">
        <v>120</v>
      </c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5.75" customHeight="1" x14ac:dyDescent="0.75">
      <c r="A2459" s="43" t="s">
        <v>377</v>
      </c>
      <c r="B2459" s="40"/>
      <c r="C2459" s="40"/>
      <c r="D2459" s="40"/>
      <c r="E2459" s="40"/>
      <c r="F2459" s="40"/>
      <c r="G2459" s="40"/>
      <c r="H2459" s="41"/>
      <c r="I2459" s="1" t="s">
        <v>120</v>
      </c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5.75" customHeight="1" x14ac:dyDescent="0.55000000000000004">
      <c r="A2460" s="2" t="s">
        <v>3</v>
      </c>
      <c r="B2460" s="2" t="s">
        <v>4</v>
      </c>
      <c r="C2460" s="2" t="s">
        <v>5</v>
      </c>
      <c r="D2460" s="2" t="s">
        <v>6</v>
      </c>
      <c r="E2460" s="2" t="s">
        <v>7</v>
      </c>
      <c r="F2460" s="3" t="s">
        <v>8</v>
      </c>
      <c r="G2460" s="2" t="s">
        <v>9</v>
      </c>
      <c r="H2460" s="4"/>
      <c r="I2460" s="1" t="s">
        <v>120</v>
      </c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5.75" customHeight="1" x14ac:dyDescent="0.75">
      <c r="A2461" s="5">
        <v>1</v>
      </c>
      <c r="B2461" s="21" t="s">
        <v>378</v>
      </c>
      <c r="C2461" s="7">
        <v>3757</v>
      </c>
      <c r="D2461" s="6" t="s">
        <v>12</v>
      </c>
      <c r="E2461" s="6">
        <v>1.78</v>
      </c>
      <c r="F2461" s="8">
        <v>293000</v>
      </c>
      <c r="G2461" s="9">
        <f t="shared" ref="G2461:G2463" si="150">IFERROR(E2461*F2461,0)</f>
        <v>521540</v>
      </c>
      <c r="H2461" s="10"/>
      <c r="I2461" s="1" t="s">
        <v>120</v>
      </c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5.75" customHeight="1" x14ac:dyDescent="0.75">
      <c r="A2462" s="5">
        <v>2</v>
      </c>
      <c r="B2462" s="16" t="s">
        <v>24</v>
      </c>
      <c r="C2462" s="17">
        <v>5595</v>
      </c>
      <c r="D2462" s="16" t="s">
        <v>14</v>
      </c>
      <c r="E2462" s="16">
        <v>1.85</v>
      </c>
      <c r="F2462" s="11">
        <v>435000</v>
      </c>
      <c r="G2462" s="9">
        <f t="shared" si="150"/>
        <v>804750</v>
      </c>
      <c r="H2462" s="10"/>
      <c r="I2462" s="1" t="s">
        <v>120</v>
      </c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5.75" customHeight="1" x14ac:dyDescent="0.75">
      <c r="A2463" s="5">
        <v>3</v>
      </c>
      <c r="B2463" s="12" t="s">
        <v>15</v>
      </c>
      <c r="C2463" s="10"/>
      <c r="D2463" s="10"/>
      <c r="E2463" s="10"/>
      <c r="F2463" s="10"/>
      <c r="G2463" s="13">
        <f t="shared" si="150"/>
        <v>0</v>
      </c>
      <c r="H2463" s="10"/>
      <c r="I2463" s="1" t="s">
        <v>120</v>
      </c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5.75" customHeight="1" x14ac:dyDescent="0.75">
      <c r="A2464" s="39" t="s">
        <v>16</v>
      </c>
      <c r="B2464" s="40"/>
      <c r="C2464" s="40"/>
      <c r="D2464" s="40"/>
      <c r="E2464" s="40"/>
      <c r="F2464" s="40"/>
      <c r="G2464" s="41"/>
      <c r="H2464" s="14">
        <f>SUM(G2461:G2463)</f>
        <v>1326290</v>
      </c>
      <c r="I2464" s="1" t="s">
        <v>120</v>
      </c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5.75" customHeight="1" x14ac:dyDescent="0.75">
      <c r="A2465" s="39" t="s">
        <v>17</v>
      </c>
      <c r="B2465" s="40"/>
      <c r="C2465" s="40"/>
      <c r="D2465" s="40"/>
      <c r="E2465" s="40"/>
      <c r="F2465" s="40"/>
      <c r="G2465" s="41"/>
      <c r="H2465" s="14">
        <f>MAX(0,H2464-648000)</f>
        <v>678290</v>
      </c>
      <c r="I2465" s="1" t="s">
        <v>120</v>
      </c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5.75" customHeight="1" x14ac:dyDescent="0.75">
      <c r="A2466" s="42" t="s">
        <v>18</v>
      </c>
      <c r="B2466" s="40"/>
      <c r="C2466" s="40"/>
      <c r="D2466" s="40"/>
      <c r="E2466" s="40"/>
      <c r="F2466" s="40"/>
      <c r="G2466" s="41"/>
      <c r="H2466" s="15">
        <v>649000</v>
      </c>
      <c r="I2466" s="1" t="s">
        <v>120</v>
      </c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5.75" customHeight="1" x14ac:dyDescent="0.75">
      <c r="A2467" s="43" t="s">
        <v>19</v>
      </c>
      <c r="B2467" s="40"/>
      <c r="C2467" s="40"/>
      <c r="D2467" s="40"/>
      <c r="E2467" s="40"/>
      <c r="F2467" s="40"/>
      <c r="G2467" s="40"/>
      <c r="H2467" s="41"/>
      <c r="I2467" s="1" t="s">
        <v>120</v>
      </c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5.75" customHeight="1" x14ac:dyDescent="0.45"/>
    <row r="2469" spans="1:26" ht="15.75" customHeight="1" x14ac:dyDescent="0.45"/>
    <row r="2470" spans="1:26" ht="15.75" customHeight="1" x14ac:dyDescent="0.45"/>
    <row r="2471" spans="1:26" ht="15.75" customHeight="1" x14ac:dyDescent="0.45"/>
    <row r="2472" spans="1:26" ht="15.75" customHeight="1" x14ac:dyDescent="0.45"/>
    <row r="2473" spans="1:26" ht="15.75" customHeight="1" x14ac:dyDescent="0.75">
      <c r="A2473" s="43" t="s">
        <v>0</v>
      </c>
      <c r="B2473" s="40"/>
      <c r="C2473" s="40"/>
      <c r="D2473" s="40"/>
      <c r="E2473" s="40"/>
      <c r="F2473" s="40"/>
      <c r="G2473" s="40"/>
      <c r="H2473" s="41"/>
      <c r="I2473" s="1" t="s">
        <v>120</v>
      </c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5.75" customHeight="1" x14ac:dyDescent="0.75">
      <c r="A2474" s="43" t="s">
        <v>379</v>
      </c>
      <c r="B2474" s="40"/>
      <c r="C2474" s="40"/>
      <c r="D2474" s="40"/>
      <c r="E2474" s="40"/>
      <c r="F2474" s="40"/>
      <c r="G2474" s="40"/>
      <c r="H2474" s="41"/>
      <c r="I2474" s="1" t="s">
        <v>120</v>
      </c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5.75" customHeight="1" x14ac:dyDescent="0.55000000000000004">
      <c r="A2475" s="2" t="s">
        <v>3</v>
      </c>
      <c r="B2475" s="2" t="s">
        <v>4</v>
      </c>
      <c r="C2475" s="2" t="s">
        <v>5</v>
      </c>
      <c r="D2475" s="2" t="s">
        <v>6</v>
      </c>
      <c r="E2475" s="2" t="s">
        <v>7</v>
      </c>
      <c r="F2475" s="3" t="s">
        <v>8</v>
      </c>
      <c r="G2475" s="2" t="s">
        <v>9</v>
      </c>
      <c r="H2475" s="4"/>
      <c r="I2475" s="1" t="s">
        <v>120</v>
      </c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5.75" customHeight="1" x14ac:dyDescent="0.75">
      <c r="A2476" s="5">
        <v>1</v>
      </c>
      <c r="B2476" s="21" t="s">
        <v>98</v>
      </c>
      <c r="C2476" s="7">
        <v>5687</v>
      </c>
      <c r="D2476" s="6" t="s">
        <v>12</v>
      </c>
      <c r="E2476" s="6">
        <v>2</v>
      </c>
      <c r="F2476" s="8">
        <v>293000</v>
      </c>
      <c r="G2476" s="9">
        <f t="shared" ref="G2476:G2478" si="151">IFERROR(E2476*F2476,0)</f>
        <v>586000</v>
      </c>
      <c r="H2476" s="10"/>
      <c r="I2476" s="1" t="s">
        <v>120</v>
      </c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5.75" customHeight="1" x14ac:dyDescent="0.75">
      <c r="A2477" s="5">
        <v>2</v>
      </c>
      <c r="B2477" s="16" t="s">
        <v>380</v>
      </c>
      <c r="C2477" s="17">
        <v>2687</v>
      </c>
      <c r="D2477" s="16" t="s">
        <v>14</v>
      </c>
      <c r="E2477" s="16">
        <v>1.58</v>
      </c>
      <c r="F2477" s="11">
        <v>435000</v>
      </c>
      <c r="G2477" s="9">
        <f t="shared" si="151"/>
        <v>687300</v>
      </c>
      <c r="H2477" s="10"/>
      <c r="I2477" s="1" t="s">
        <v>120</v>
      </c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5.75" customHeight="1" x14ac:dyDescent="0.75">
      <c r="A2478" s="5">
        <v>3</v>
      </c>
      <c r="B2478" s="12" t="s">
        <v>15</v>
      </c>
      <c r="C2478" s="10"/>
      <c r="D2478" s="10"/>
      <c r="E2478" s="10"/>
      <c r="F2478" s="10"/>
      <c r="G2478" s="13">
        <f t="shared" si="151"/>
        <v>0</v>
      </c>
      <c r="H2478" s="10"/>
      <c r="I2478" s="1" t="s">
        <v>120</v>
      </c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5.75" customHeight="1" x14ac:dyDescent="0.75">
      <c r="A2479" s="39" t="s">
        <v>16</v>
      </c>
      <c r="B2479" s="40"/>
      <c r="C2479" s="40"/>
      <c r="D2479" s="40"/>
      <c r="E2479" s="40"/>
      <c r="F2479" s="40"/>
      <c r="G2479" s="41"/>
      <c r="H2479" s="14">
        <f>SUM(G2476:G2478)</f>
        <v>1273300</v>
      </c>
      <c r="I2479" s="1" t="s">
        <v>120</v>
      </c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5.75" customHeight="1" x14ac:dyDescent="0.75">
      <c r="A2480" s="39" t="s">
        <v>17</v>
      </c>
      <c r="B2480" s="40"/>
      <c r="C2480" s="40"/>
      <c r="D2480" s="40"/>
      <c r="E2480" s="40"/>
      <c r="F2480" s="40"/>
      <c r="G2480" s="41"/>
      <c r="H2480" s="14">
        <f>MAX(0,H2479-648000)</f>
        <v>625300</v>
      </c>
      <c r="I2480" s="1" t="s">
        <v>120</v>
      </c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5.75" customHeight="1" x14ac:dyDescent="0.75">
      <c r="A2481" s="42" t="s">
        <v>18</v>
      </c>
      <c r="B2481" s="40"/>
      <c r="C2481" s="40"/>
      <c r="D2481" s="40"/>
      <c r="E2481" s="40"/>
      <c r="F2481" s="40"/>
      <c r="G2481" s="41"/>
      <c r="H2481" s="15">
        <v>649000</v>
      </c>
      <c r="I2481" s="1" t="s">
        <v>120</v>
      </c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5.75" customHeight="1" x14ac:dyDescent="0.75">
      <c r="A2482" s="43" t="s">
        <v>19</v>
      </c>
      <c r="B2482" s="40"/>
      <c r="C2482" s="40"/>
      <c r="D2482" s="40"/>
      <c r="E2482" s="40"/>
      <c r="F2482" s="40"/>
      <c r="G2482" s="40"/>
      <c r="H2482" s="41"/>
      <c r="I2482" s="1" t="s">
        <v>120</v>
      </c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5.75" customHeight="1" x14ac:dyDescent="0.45"/>
    <row r="2484" spans="1:26" ht="15.75" customHeight="1" x14ac:dyDescent="0.45"/>
    <row r="2485" spans="1:26" ht="15.75" customHeight="1" x14ac:dyDescent="0.45"/>
    <row r="2486" spans="1:26" ht="15.75" customHeight="1" x14ac:dyDescent="0.45"/>
    <row r="2487" spans="1:26" ht="15.75" customHeight="1" x14ac:dyDescent="0.45"/>
    <row r="2488" spans="1:26" ht="15.75" customHeight="1" x14ac:dyDescent="0.45"/>
    <row r="2489" spans="1:26" ht="15.75" customHeight="1" x14ac:dyDescent="0.45"/>
    <row r="2490" spans="1:26" ht="15.75" customHeight="1" x14ac:dyDescent="0.45"/>
    <row r="2491" spans="1:26" ht="15.75" customHeight="1" x14ac:dyDescent="0.45"/>
    <row r="2492" spans="1:26" ht="15.75" customHeight="1" x14ac:dyDescent="0.45"/>
    <row r="2493" spans="1:26" ht="15.75" customHeight="1" x14ac:dyDescent="0.45"/>
    <row r="2494" spans="1:26" ht="15.75" customHeight="1" x14ac:dyDescent="0.45"/>
    <row r="2495" spans="1:26" ht="15.75" customHeight="1" x14ac:dyDescent="0.75">
      <c r="A2495" s="43" t="s">
        <v>0</v>
      </c>
      <c r="B2495" s="40"/>
      <c r="C2495" s="40"/>
      <c r="D2495" s="40"/>
      <c r="E2495" s="40"/>
      <c r="F2495" s="40"/>
      <c r="G2495" s="40"/>
      <c r="H2495" s="41"/>
      <c r="I2495" s="1" t="s">
        <v>120</v>
      </c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5.75" customHeight="1" x14ac:dyDescent="0.75">
      <c r="A2496" s="43" t="s">
        <v>381</v>
      </c>
      <c r="B2496" s="40"/>
      <c r="C2496" s="40"/>
      <c r="D2496" s="40"/>
      <c r="E2496" s="40"/>
      <c r="F2496" s="40"/>
      <c r="G2496" s="40"/>
      <c r="H2496" s="41"/>
      <c r="I2496" s="1" t="s">
        <v>120</v>
      </c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5.75" customHeight="1" x14ac:dyDescent="0.55000000000000004">
      <c r="A2497" s="2" t="s">
        <v>3</v>
      </c>
      <c r="B2497" s="2" t="s">
        <v>4</v>
      </c>
      <c r="C2497" s="2" t="s">
        <v>5</v>
      </c>
      <c r="D2497" s="2" t="s">
        <v>6</v>
      </c>
      <c r="E2497" s="2" t="s">
        <v>7</v>
      </c>
      <c r="F2497" s="3" t="s">
        <v>8</v>
      </c>
      <c r="G2497" s="2" t="s">
        <v>9</v>
      </c>
      <c r="H2497" s="4"/>
      <c r="I2497" s="1" t="s">
        <v>120</v>
      </c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5.75" customHeight="1" x14ac:dyDescent="0.75">
      <c r="A2498" s="5">
        <v>1</v>
      </c>
      <c r="B2498" s="21" t="s">
        <v>382</v>
      </c>
      <c r="C2498" s="7">
        <v>8105</v>
      </c>
      <c r="D2498" s="6" t="s">
        <v>12</v>
      </c>
      <c r="E2498" s="6">
        <v>1.55</v>
      </c>
      <c r="F2498" s="8">
        <v>293000</v>
      </c>
      <c r="G2498" s="9">
        <f t="shared" ref="G2498:G2500" si="152">IFERROR(E2498*F2498,0)</f>
        <v>454150</v>
      </c>
      <c r="H2498" s="10"/>
      <c r="I2498" s="1" t="s">
        <v>120</v>
      </c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5.75" customHeight="1" x14ac:dyDescent="0.75">
      <c r="A2499" s="5">
        <v>2</v>
      </c>
      <c r="B2499" s="16" t="s">
        <v>295</v>
      </c>
      <c r="C2499" s="17">
        <v>1785</v>
      </c>
      <c r="D2499" s="16" t="s">
        <v>14</v>
      </c>
      <c r="E2499" s="16">
        <v>1.8</v>
      </c>
      <c r="F2499" s="11">
        <v>435000</v>
      </c>
      <c r="G2499" s="9">
        <f t="shared" si="152"/>
        <v>783000</v>
      </c>
      <c r="H2499" s="10"/>
      <c r="I2499" s="1" t="s">
        <v>120</v>
      </c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5.75" customHeight="1" x14ac:dyDescent="0.75">
      <c r="A2500" s="5">
        <v>3</v>
      </c>
      <c r="B2500" s="12" t="s">
        <v>15</v>
      </c>
      <c r="C2500" s="10"/>
      <c r="D2500" s="10"/>
      <c r="E2500" s="10"/>
      <c r="F2500" s="10"/>
      <c r="G2500" s="13">
        <f t="shared" si="152"/>
        <v>0</v>
      </c>
      <c r="H2500" s="10"/>
      <c r="I2500" s="1" t="s">
        <v>120</v>
      </c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5.75" customHeight="1" x14ac:dyDescent="0.75">
      <c r="A2501" s="39" t="s">
        <v>16</v>
      </c>
      <c r="B2501" s="40"/>
      <c r="C2501" s="40"/>
      <c r="D2501" s="40"/>
      <c r="E2501" s="40"/>
      <c r="F2501" s="40"/>
      <c r="G2501" s="41"/>
      <c r="H2501" s="14">
        <f>SUM(G2498:G2500)</f>
        <v>1237150</v>
      </c>
      <c r="I2501" s="1" t="s">
        <v>120</v>
      </c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5.75" customHeight="1" x14ac:dyDescent="0.75">
      <c r="A2502" s="39" t="s">
        <v>17</v>
      </c>
      <c r="B2502" s="40"/>
      <c r="C2502" s="40"/>
      <c r="D2502" s="40"/>
      <c r="E2502" s="40"/>
      <c r="F2502" s="40"/>
      <c r="G2502" s="41"/>
      <c r="H2502" s="14">
        <f>MAX(0,H2501-648000)</f>
        <v>589150</v>
      </c>
      <c r="I2502" s="1" t="s">
        <v>120</v>
      </c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5.75" customHeight="1" x14ac:dyDescent="0.75">
      <c r="A2503" s="42" t="s">
        <v>18</v>
      </c>
      <c r="B2503" s="40"/>
      <c r="C2503" s="40"/>
      <c r="D2503" s="40"/>
      <c r="E2503" s="40"/>
      <c r="F2503" s="40"/>
      <c r="G2503" s="41"/>
      <c r="H2503" s="15">
        <v>649000</v>
      </c>
      <c r="I2503" s="1" t="s">
        <v>120</v>
      </c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5.75" customHeight="1" x14ac:dyDescent="0.75">
      <c r="A2504" s="43" t="s">
        <v>19</v>
      </c>
      <c r="B2504" s="40"/>
      <c r="C2504" s="40"/>
      <c r="D2504" s="40"/>
      <c r="E2504" s="40"/>
      <c r="F2504" s="40"/>
      <c r="G2504" s="40"/>
      <c r="H2504" s="41"/>
      <c r="I2504" s="1" t="s">
        <v>120</v>
      </c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5.75" customHeight="1" x14ac:dyDescent="0.45"/>
    <row r="2506" spans="1:26" ht="15.75" customHeight="1" x14ac:dyDescent="0.45"/>
    <row r="2507" spans="1:26" ht="15.75" customHeight="1" x14ac:dyDescent="0.45"/>
    <row r="2508" spans="1:26" ht="15.75" customHeight="1" x14ac:dyDescent="0.45"/>
    <row r="2509" spans="1:26" ht="15.75" customHeight="1" x14ac:dyDescent="0.45"/>
    <row r="2510" spans="1:26" ht="15.75" customHeight="1" x14ac:dyDescent="0.45"/>
    <row r="2511" spans="1:26" ht="15.75" customHeight="1" x14ac:dyDescent="0.75">
      <c r="A2511" s="43" t="s">
        <v>0</v>
      </c>
      <c r="B2511" s="40"/>
      <c r="C2511" s="40"/>
      <c r="D2511" s="40"/>
      <c r="E2511" s="40"/>
      <c r="F2511" s="40"/>
      <c r="G2511" s="40"/>
      <c r="H2511" s="41"/>
      <c r="I2511" s="1" t="s">
        <v>120</v>
      </c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5.75" customHeight="1" x14ac:dyDescent="0.75">
      <c r="A2512" s="43" t="s">
        <v>383</v>
      </c>
      <c r="B2512" s="40"/>
      <c r="C2512" s="40"/>
      <c r="D2512" s="40"/>
      <c r="E2512" s="40"/>
      <c r="F2512" s="40"/>
      <c r="G2512" s="40"/>
      <c r="H2512" s="41"/>
      <c r="I2512" s="1" t="s">
        <v>120</v>
      </c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5.75" customHeight="1" x14ac:dyDescent="0.55000000000000004">
      <c r="A2513" s="2" t="s">
        <v>3</v>
      </c>
      <c r="B2513" s="2" t="s">
        <v>4</v>
      </c>
      <c r="C2513" s="2" t="s">
        <v>5</v>
      </c>
      <c r="D2513" s="2" t="s">
        <v>6</v>
      </c>
      <c r="E2513" s="2" t="s">
        <v>7</v>
      </c>
      <c r="F2513" s="3" t="s">
        <v>8</v>
      </c>
      <c r="G2513" s="2" t="s">
        <v>9</v>
      </c>
      <c r="H2513" s="4"/>
      <c r="I2513" s="1" t="s">
        <v>120</v>
      </c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5.75" customHeight="1" x14ac:dyDescent="0.75">
      <c r="A2514" s="5">
        <v>1</v>
      </c>
      <c r="B2514" s="21" t="s">
        <v>237</v>
      </c>
      <c r="C2514" s="7">
        <v>4345</v>
      </c>
      <c r="D2514" s="6" t="s">
        <v>12</v>
      </c>
      <c r="E2514" s="6">
        <v>1.45</v>
      </c>
      <c r="F2514" s="8">
        <v>293000</v>
      </c>
      <c r="G2514" s="9">
        <f t="shared" ref="G2514:G2516" si="153">IFERROR(E2514*F2514,0)</f>
        <v>424850</v>
      </c>
      <c r="H2514" s="10"/>
      <c r="I2514" s="1" t="s">
        <v>120</v>
      </c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5.75" customHeight="1" x14ac:dyDescent="0.75">
      <c r="A2515" s="5">
        <v>2</v>
      </c>
      <c r="B2515" s="16" t="s">
        <v>276</v>
      </c>
      <c r="C2515" s="17">
        <v>4361</v>
      </c>
      <c r="D2515" s="16" t="s">
        <v>14</v>
      </c>
      <c r="E2515" s="16">
        <v>1.85</v>
      </c>
      <c r="F2515" s="11">
        <v>435000</v>
      </c>
      <c r="G2515" s="9">
        <f t="shared" si="153"/>
        <v>804750</v>
      </c>
      <c r="H2515" s="10"/>
      <c r="I2515" s="1" t="s">
        <v>120</v>
      </c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5.75" customHeight="1" x14ac:dyDescent="0.75">
      <c r="A2516" s="5">
        <v>3</v>
      </c>
      <c r="B2516" s="12" t="s">
        <v>15</v>
      </c>
      <c r="C2516" s="10"/>
      <c r="D2516" s="10"/>
      <c r="E2516" s="10"/>
      <c r="F2516" s="10"/>
      <c r="G2516" s="13">
        <f t="shared" si="153"/>
        <v>0</v>
      </c>
      <c r="H2516" s="10"/>
      <c r="I2516" s="1" t="s">
        <v>120</v>
      </c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5.75" customHeight="1" x14ac:dyDescent="0.75">
      <c r="A2517" s="39" t="s">
        <v>16</v>
      </c>
      <c r="B2517" s="40"/>
      <c r="C2517" s="40"/>
      <c r="D2517" s="40"/>
      <c r="E2517" s="40"/>
      <c r="F2517" s="40"/>
      <c r="G2517" s="41"/>
      <c r="H2517" s="14">
        <f>SUM(G2514:G2516)</f>
        <v>1229600</v>
      </c>
      <c r="I2517" s="1" t="s">
        <v>120</v>
      </c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5.75" customHeight="1" x14ac:dyDescent="0.75">
      <c r="A2518" s="39" t="s">
        <v>17</v>
      </c>
      <c r="B2518" s="40"/>
      <c r="C2518" s="40"/>
      <c r="D2518" s="40"/>
      <c r="E2518" s="40"/>
      <c r="F2518" s="40"/>
      <c r="G2518" s="41"/>
      <c r="H2518" s="14">
        <f>MAX(0,H2517-648000)</f>
        <v>581600</v>
      </c>
      <c r="I2518" s="1" t="s">
        <v>120</v>
      </c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5.75" customHeight="1" x14ac:dyDescent="0.75">
      <c r="A2519" s="42" t="s">
        <v>18</v>
      </c>
      <c r="B2519" s="40"/>
      <c r="C2519" s="40"/>
      <c r="D2519" s="40"/>
      <c r="E2519" s="40"/>
      <c r="F2519" s="40"/>
      <c r="G2519" s="41"/>
      <c r="H2519" s="15">
        <v>649000</v>
      </c>
      <c r="I2519" s="1" t="s">
        <v>120</v>
      </c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5.75" customHeight="1" x14ac:dyDescent="0.75">
      <c r="A2520" s="43" t="s">
        <v>19</v>
      </c>
      <c r="B2520" s="40"/>
      <c r="C2520" s="40"/>
      <c r="D2520" s="40"/>
      <c r="E2520" s="40"/>
      <c r="F2520" s="40"/>
      <c r="G2520" s="40"/>
      <c r="H2520" s="41"/>
      <c r="I2520" s="1" t="s">
        <v>120</v>
      </c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5.75" customHeight="1" x14ac:dyDescent="0.45"/>
    <row r="2522" spans="1:26" ht="15.75" customHeight="1" x14ac:dyDescent="0.45"/>
    <row r="2523" spans="1:26" ht="15.75" customHeight="1" x14ac:dyDescent="0.45"/>
    <row r="2524" spans="1:26" ht="15.75" customHeight="1" x14ac:dyDescent="0.45"/>
    <row r="2525" spans="1:26" ht="15.75" customHeight="1" x14ac:dyDescent="0.45"/>
    <row r="2526" spans="1:26" ht="15.75" customHeight="1" x14ac:dyDescent="0.45"/>
    <row r="2527" spans="1:26" ht="15.75" customHeight="1" x14ac:dyDescent="0.75">
      <c r="A2527" s="43" t="s">
        <v>0</v>
      </c>
      <c r="B2527" s="40"/>
      <c r="C2527" s="40"/>
      <c r="D2527" s="40"/>
      <c r="E2527" s="40"/>
      <c r="F2527" s="40"/>
      <c r="G2527" s="40"/>
      <c r="H2527" s="41"/>
      <c r="I2527" s="1" t="s">
        <v>120</v>
      </c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5.75" customHeight="1" x14ac:dyDescent="0.75">
      <c r="A2528" s="43" t="s">
        <v>384</v>
      </c>
      <c r="B2528" s="40"/>
      <c r="C2528" s="40"/>
      <c r="D2528" s="40"/>
      <c r="E2528" s="40"/>
      <c r="F2528" s="40"/>
      <c r="G2528" s="40"/>
      <c r="H2528" s="41"/>
      <c r="I2528" s="1" t="s">
        <v>120</v>
      </c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5.75" customHeight="1" x14ac:dyDescent="0.55000000000000004">
      <c r="A2529" s="2" t="s">
        <v>3</v>
      </c>
      <c r="B2529" s="2" t="s">
        <v>4</v>
      </c>
      <c r="C2529" s="2" t="s">
        <v>5</v>
      </c>
      <c r="D2529" s="2" t="s">
        <v>6</v>
      </c>
      <c r="E2529" s="2" t="s">
        <v>7</v>
      </c>
      <c r="F2529" s="3" t="s">
        <v>8</v>
      </c>
      <c r="G2529" s="2" t="s">
        <v>9</v>
      </c>
      <c r="H2529" s="4"/>
      <c r="I2529" s="1" t="s">
        <v>120</v>
      </c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5.75" customHeight="1" x14ac:dyDescent="0.75">
      <c r="A2530" s="5">
        <v>1</v>
      </c>
      <c r="B2530" s="21" t="s">
        <v>161</v>
      </c>
      <c r="C2530" s="7">
        <v>1979</v>
      </c>
      <c r="D2530" s="6" t="s">
        <v>12</v>
      </c>
      <c r="E2530" s="6">
        <v>1.5</v>
      </c>
      <c r="F2530" s="8">
        <v>293000</v>
      </c>
      <c r="G2530" s="9">
        <f t="shared" ref="G2530:G2532" si="154">IFERROR(E2530*F2530,0)</f>
        <v>439500</v>
      </c>
      <c r="H2530" s="10"/>
      <c r="I2530" s="1" t="s">
        <v>120</v>
      </c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5.75" customHeight="1" x14ac:dyDescent="0.75">
      <c r="A2531" s="5">
        <v>2</v>
      </c>
      <c r="B2531" s="16" t="s">
        <v>385</v>
      </c>
      <c r="C2531" s="17">
        <v>4361</v>
      </c>
      <c r="D2531" s="16" t="s">
        <v>14</v>
      </c>
      <c r="E2531" s="16">
        <v>2</v>
      </c>
      <c r="F2531" s="11">
        <v>435000</v>
      </c>
      <c r="G2531" s="9">
        <f t="shared" si="154"/>
        <v>870000</v>
      </c>
      <c r="H2531" s="10"/>
      <c r="I2531" s="1" t="s">
        <v>120</v>
      </c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5.75" customHeight="1" x14ac:dyDescent="0.75">
      <c r="A2532" s="5">
        <v>3</v>
      </c>
      <c r="B2532" s="12" t="s">
        <v>15</v>
      </c>
      <c r="C2532" s="10"/>
      <c r="D2532" s="10"/>
      <c r="E2532" s="10"/>
      <c r="F2532" s="10"/>
      <c r="G2532" s="13">
        <f t="shared" si="154"/>
        <v>0</v>
      </c>
      <c r="H2532" s="10"/>
      <c r="I2532" s="1" t="s">
        <v>120</v>
      </c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5.75" customHeight="1" x14ac:dyDescent="0.75">
      <c r="A2533" s="39" t="s">
        <v>16</v>
      </c>
      <c r="B2533" s="40"/>
      <c r="C2533" s="40"/>
      <c r="D2533" s="40"/>
      <c r="E2533" s="40"/>
      <c r="F2533" s="40"/>
      <c r="G2533" s="41"/>
      <c r="H2533" s="14">
        <f>SUM(G2530:G2532)</f>
        <v>1309500</v>
      </c>
      <c r="I2533" s="1" t="s">
        <v>120</v>
      </c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5.75" customHeight="1" x14ac:dyDescent="0.75">
      <c r="A2534" s="39" t="s">
        <v>17</v>
      </c>
      <c r="B2534" s="40"/>
      <c r="C2534" s="40"/>
      <c r="D2534" s="40"/>
      <c r="E2534" s="40"/>
      <c r="F2534" s="40"/>
      <c r="G2534" s="41"/>
      <c r="H2534" s="14">
        <f>MAX(0,H2533-648000)</f>
        <v>661500</v>
      </c>
      <c r="I2534" s="1" t="s">
        <v>120</v>
      </c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5.75" customHeight="1" x14ac:dyDescent="0.75">
      <c r="A2535" s="42" t="s">
        <v>18</v>
      </c>
      <c r="B2535" s="40"/>
      <c r="C2535" s="40"/>
      <c r="D2535" s="40"/>
      <c r="E2535" s="40"/>
      <c r="F2535" s="40"/>
      <c r="G2535" s="41"/>
      <c r="H2535" s="15">
        <v>649000</v>
      </c>
      <c r="I2535" s="1" t="s">
        <v>120</v>
      </c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5.75" customHeight="1" x14ac:dyDescent="0.75">
      <c r="A2536" s="43" t="s">
        <v>19</v>
      </c>
      <c r="B2536" s="40"/>
      <c r="C2536" s="40"/>
      <c r="D2536" s="40"/>
      <c r="E2536" s="40"/>
      <c r="F2536" s="40"/>
      <c r="G2536" s="40"/>
      <c r="H2536" s="41"/>
      <c r="I2536" s="1" t="s">
        <v>120</v>
      </c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5.75" customHeight="1" x14ac:dyDescent="0.45"/>
    <row r="2538" spans="1:26" ht="15.75" customHeight="1" x14ac:dyDescent="0.45"/>
    <row r="2539" spans="1:26" ht="15.75" customHeight="1" x14ac:dyDescent="0.45"/>
    <row r="2540" spans="1:26" ht="15.75" customHeight="1" x14ac:dyDescent="0.45"/>
    <row r="2541" spans="1:26" ht="15.75" customHeight="1" x14ac:dyDescent="0.75">
      <c r="A2541" s="43" t="s">
        <v>0</v>
      </c>
      <c r="B2541" s="40"/>
      <c r="C2541" s="40"/>
      <c r="D2541" s="40"/>
      <c r="E2541" s="40"/>
      <c r="F2541" s="40"/>
      <c r="G2541" s="40"/>
      <c r="H2541" s="41"/>
      <c r="I2541" s="1" t="s">
        <v>120</v>
      </c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5.75" customHeight="1" x14ac:dyDescent="0.75">
      <c r="A2542" s="43" t="s">
        <v>386</v>
      </c>
      <c r="B2542" s="40"/>
      <c r="C2542" s="40"/>
      <c r="D2542" s="40"/>
      <c r="E2542" s="40"/>
      <c r="F2542" s="40"/>
      <c r="G2542" s="40"/>
      <c r="H2542" s="41"/>
      <c r="I2542" s="1" t="s">
        <v>120</v>
      </c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5.75" customHeight="1" x14ac:dyDescent="0.55000000000000004">
      <c r="A2543" s="2" t="s">
        <v>3</v>
      </c>
      <c r="B2543" s="2" t="s">
        <v>4</v>
      </c>
      <c r="C2543" s="2" t="s">
        <v>5</v>
      </c>
      <c r="D2543" s="2" t="s">
        <v>6</v>
      </c>
      <c r="E2543" s="2" t="s">
        <v>7</v>
      </c>
      <c r="F2543" s="3" t="s">
        <v>8</v>
      </c>
      <c r="G2543" s="2" t="s">
        <v>9</v>
      </c>
      <c r="H2543" s="4"/>
      <c r="I2543" s="1" t="s">
        <v>120</v>
      </c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5.75" customHeight="1" x14ac:dyDescent="0.75">
      <c r="A2544" s="5">
        <v>1</v>
      </c>
      <c r="B2544" s="21" t="s">
        <v>387</v>
      </c>
      <c r="C2544" s="7">
        <v>8435</v>
      </c>
      <c r="D2544" s="6" t="s">
        <v>12</v>
      </c>
      <c r="E2544" s="6">
        <v>1.55</v>
      </c>
      <c r="F2544" s="8">
        <v>293000</v>
      </c>
      <c r="G2544" s="9">
        <f t="shared" ref="G2544:G2546" si="155">IFERROR(E2544*F2544,0)</f>
        <v>454150</v>
      </c>
      <c r="H2544" s="10"/>
      <c r="I2544" s="1" t="s">
        <v>120</v>
      </c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5.75" customHeight="1" x14ac:dyDescent="0.75">
      <c r="A2545" s="5">
        <v>2</v>
      </c>
      <c r="B2545" s="16" t="s">
        <v>388</v>
      </c>
      <c r="C2545" s="17">
        <v>4361</v>
      </c>
      <c r="D2545" s="16" t="s">
        <v>14</v>
      </c>
      <c r="E2545" s="16">
        <v>2</v>
      </c>
      <c r="F2545" s="11">
        <v>435000</v>
      </c>
      <c r="G2545" s="9">
        <f t="shared" si="155"/>
        <v>870000</v>
      </c>
      <c r="H2545" s="10"/>
      <c r="I2545" s="1" t="s">
        <v>120</v>
      </c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5.75" customHeight="1" x14ac:dyDescent="0.75">
      <c r="A2546" s="5">
        <v>3</v>
      </c>
      <c r="B2546" s="12" t="s">
        <v>15</v>
      </c>
      <c r="C2546" s="10"/>
      <c r="D2546" s="10"/>
      <c r="E2546" s="10"/>
      <c r="F2546" s="10"/>
      <c r="G2546" s="13">
        <f t="shared" si="155"/>
        <v>0</v>
      </c>
      <c r="H2546" s="10"/>
      <c r="I2546" s="1" t="s">
        <v>120</v>
      </c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5.75" customHeight="1" x14ac:dyDescent="0.75">
      <c r="A2547" s="39" t="s">
        <v>16</v>
      </c>
      <c r="B2547" s="40"/>
      <c r="C2547" s="40"/>
      <c r="D2547" s="40"/>
      <c r="E2547" s="40"/>
      <c r="F2547" s="40"/>
      <c r="G2547" s="41"/>
      <c r="H2547" s="14">
        <f>SUM(G2544:G2546)</f>
        <v>1324150</v>
      </c>
      <c r="I2547" s="1" t="s">
        <v>120</v>
      </c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5.75" customHeight="1" x14ac:dyDescent="0.75">
      <c r="A2548" s="39" t="s">
        <v>17</v>
      </c>
      <c r="B2548" s="40"/>
      <c r="C2548" s="40"/>
      <c r="D2548" s="40"/>
      <c r="E2548" s="40"/>
      <c r="F2548" s="40"/>
      <c r="G2548" s="41"/>
      <c r="H2548" s="14">
        <f>MAX(0,H2547-648000)</f>
        <v>676150</v>
      </c>
      <c r="I2548" s="1" t="s">
        <v>120</v>
      </c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5.75" customHeight="1" x14ac:dyDescent="0.75">
      <c r="A2549" s="42" t="s">
        <v>18</v>
      </c>
      <c r="B2549" s="40"/>
      <c r="C2549" s="40"/>
      <c r="D2549" s="40"/>
      <c r="E2549" s="40"/>
      <c r="F2549" s="40"/>
      <c r="G2549" s="41"/>
      <c r="H2549" s="15">
        <v>649000</v>
      </c>
      <c r="I2549" s="1" t="s">
        <v>120</v>
      </c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5.75" customHeight="1" x14ac:dyDescent="0.75">
      <c r="A2550" s="43" t="s">
        <v>19</v>
      </c>
      <c r="B2550" s="40"/>
      <c r="C2550" s="40"/>
      <c r="D2550" s="40"/>
      <c r="E2550" s="40"/>
      <c r="F2550" s="40"/>
      <c r="G2550" s="40"/>
      <c r="H2550" s="41"/>
      <c r="I2550" s="1" t="s">
        <v>120</v>
      </c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5.75" customHeight="1" x14ac:dyDescent="0.45"/>
    <row r="2552" spans="1:26" ht="15.75" customHeight="1" x14ac:dyDescent="0.45"/>
    <row r="2553" spans="1:26" ht="15.75" customHeight="1" x14ac:dyDescent="0.45"/>
    <row r="2554" spans="1:26" ht="15.75" customHeight="1" x14ac:dyDescent="0.45"/>
    <row r="2555" spans="1:26" ht="15.75" customHeight="1" x14ac:dyDescent="0.75">
      <c r="A2555" s="43" t="s">
        <v>0</v>
      </c>
      <c r="B2555" s="40"/>
      <c r="C2555" s="40"/>
      <c r="D2555" s="40"/>
      <c r="E2555" s="40"/>
      <c r="F2555" s="40"/>
      <c r="G2555" s="40"/>
      <c r="H2555" s="41"/>
      <c r="I2555" s="1" t="s">
        <v>120</v>
      </c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5.75" customHeight="1" x14ac:dyDescent="0.75">
      <c r="A2556" s="43" t="s">
        <v>389</v>
      </c>
      <c r="B2556" s="40"/>
      <c r="C2556" s="40"/>
      <c r="D2556" s="40"/>
      <c r="E2556" s="40"/>
      <c r="F2556" s="40"/>
      <c r="G2556" s="40"/>
      <c r="H2556" s="41"/>
      <c r="I2556" s="1" t="s">
        <v>120</v>
      </c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5.75" customHeight="1" x14ac:dyDescent="0.55000000000000004">
      <c r="A2557" s="2" t="s">
        <v>3</v>
      </c>
      <c r="B2557" s="2" t="s">
        <v>4</v>
      </c>
      <c r="C2557" s="2" t="s">
        <v>5</v>
      </c>
      <c r="D2557" s="2" t="s">
        <v>6</v>
      </c>
      <c r="E2557" s="2" t="s">
        <v>7</v>
      </c>
      <c r="F2557" s="3" t="s">
        <v>8</v>
      </c>
      <c r="G2557" s="2" t="s">
        <v>9</v>
      </c>
      <c r="H2557" s="4"/>
      <c r="I2557" s="1" t="s">
        <v>120</v>
      </c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5.75" customHeight="1" x14ac:dyDescent="0.75">
      <c r="A2558" s="5">
        <v>1</v>
      </c>
      <c r="B2558" s="21" t="s">
        <v>80</v>
      </c>
      <c r="C2558" s="7">
        <v>3032</v>
      </c>
      <c r="D2558" s="6" t="s">
        <v>12</v>
      </c>
      <c r="E2558" s="6">
        <v>1.54</v>
      </c>
      <c r="F2558" s="8">
        <v>293000</v>
      </c>
      <c r="G2558" s="9">
        <f t="shared" ref="G2558:G2560" si="156">IFERROR(E2558*F2558,0)</f>
        <v>451220</v>
      </c>
      <c r="H2558" s="10"/>
      <c r="I2558" s="1" t="s">
        <v>120</v>
      </c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5.75" customHeight="1" x14ac:dyDescent="0.75">
      <c r="A2559" s="5">
        <v>2</v>
      </c>
      <c r="B2559" s="16" t="s">
        <v>13</v>
      </c>
      <c r="C2559" s="17">
        <v>2669</v>
      </c>
      <c r="D2559" s="16" t="s">
        <v>14</v>
      </c>
      <c r="E2559" s="16">
        <v>2.2999999999999998</v>
      </c>
      <c r="F2559" s="11">
        <v>435000</v>
      </c>
      <c r="G2559" s="9">
        <f t="shared" si="156"/>
        <v>1000499.9999999999</v>
      </c>
      <c r="H2559" s="10"/>
      <c r="I2559" s="1" t="s">
        <v>120</v>
      </c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5.75" customHeight="1" x14ac:dyDescent="0.75">
      <c r="A2560" s="5">
        <v>3</v>
      </c>
      <c r="B2560" s="12" t="s">
        <v>15</v>
      </c>
      <c r="C2560" s="10"/>
      <c r="D2560" s="10"/>
      <c r="E2560" s="10"/>
      <c r="F2560" s="10"/>
      <c r="G2560" s="13">
        <f t="shared" si="156"/>
        <v>0</v>
      </c>
      <c r="H2560" s="10"/>
      <c r="I2560" s="1" t="s">
        <v>120</v>
      </c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5.75" customHeight="1" x14ac:dyDescent="0.75">
      <c r="A2561" s="39" t="s">
        <v>16</v>
      </c>
      <c r="B2561" s="40"/>
      <c r="C2561" s="40"/>
      <c r="D2561" s="40"/>
      <c r="E2561" s="40"/>
      <c r="F2561" s="40"/>
      <c r="G2561" s="41"/>
      <c r="H2561" s="14">
        <f>SUM(G2558:G2560)</f>
        <v>1451720</v>
      </c>
      <c r="I2561" s="1" t="s">
        <v>120</v>
      </c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5.75" customHeight="1" x14ac:dyDescent="0.75">
      <c r="A2562" s="39" t="s">
        <v>17</v>
      </c>
      <c r="B2562" s="40"/>
      <c r="C2562" s="40"/>
      <c r="D2562" s="40"/>
      <c r="E2562" s="40"/>
      <c r="F2562" s="40"/>
      <c r="G2562" s="41"/>
      <c r="H2562" s="14">
        <f>MAX(0,H2561-648000)</f>
        <v>803720</v>
      </c>
      <c r="I2562" s="1" t="s">
        <v>120</v>
      </c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5.75" customHeight="1" x14ac:dyDescent="0.75">
      <c r="A2563" s="42" t="s">
        <v>18</v>
      </c>
      <c r="B2563" s="40"/>
      <c r="C2563" s="40"/>
      <c r="D2563" s="40"/>
      <c r="E2563" s="40"/>
      <c r="F2563" s="40"/>
      <c r="G2563" s="41"/>
      <c r="H2563" s="15">
        <v>649000</v>
      </c>
      <c r="I2563" s="1" t="s">
        <v>120</v>
      </c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5.75" customHeight="1" x14ac:dyDescent="0.75">
      <c r="A2564" s="43" t="s">
        <v>19</v>
      </c>
      <c r="B2564" s="40"/>
      <c r="C2564" s="40"/>
      <c r="D2564" s="40"/>
      <c r="E2564" s="40"/>
      <c r="F2564" s="40"/>
      <c r="G2564" s="40"/>
      <c r="H2564" s="41"/>
      <c r="I2564" s="1" t="s">
        <v>120</v>
      </c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5.75" customHeight="1" x14ac:dyDescent="0.45"/>
    <row r="2566" spans="1:26" ht="15.75" customHeight="1" x14ac:dyDescent="0.45"/>
    <row r="2567" spans="1:26" ht="15.75" customHeight="1" x14ac:dyDescent="0.45"/>
    <row r="2568" spans="1:26" ht="15.75" customHeight="1" x14ac:dyDescent="0.75">
      <c r="A2568" s="43" t="s">
        <v>0</v>
      </c>
      <c r="B2568" s="40"/>
      <c r="C2568" s="40"/>
      <c r="D2568" s="40"/>
      <c r="E2568" s="40"/>
      <c r="F2568" s="40"/>
      <c r="G2568" s="40"/>
      <c r="H2568" s="41"/>
      <c r="I2568" s="1" t="s">
        <v>120</v>
      </c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5.75" customHeight="1" x14ac:dyDescent="0.75">
      <c r="A2569" s="43" t="s">
        <v>390</v>
      </c>
      <c r="B2569" s="40"/>
      <c r="C2569" s="40"/>
      <c r="D2569" s="40"/>
      <c r="E2569" s="40"/>
      <c r="F2569" s="40"/>
      <c r="G2569" s="40"/>
      <c r="H2569" s="41"/>
      <c r="I2569" s="1" t="s">
        <v>120</v>
      </c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5.75" customHeight="1" x14ac:dyDescent="0.55000000000000004">
      <c r="A2570" s="2" t="s">
        <v>3</v>
      </c>
      <c r="B2570" s="2" t="s">
        <v>4</v>
      </c>
      <c r="C2570" s="2" t="s">
        <v>5</v>
      </c>
      <c r="D2570" s="2" t="s">
        <v>6</v>
      </c>
      <c r="E2570" s="2" t="s">
        <v>7</v>
      </c>
      <c r="F2570" s="3" t="s">
        <v>8</v>
      </c>
      <c r="G2570" s="2" t="s">
        <v>9</v>
      </c>
      <c r="H2570" s="4"/>
      <c r="I2570" s="1" t="s">
        <v>120</v>
      </c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5.75" customHeight="1" x14ac:dyDescent="0.75">
      <c r="A2571" s="5">
        <v>1</v>
      </c>
      <c r="B2571" s="21" t="s">
        <v>47</v>
      </c>
      <c r="C2571" s="7">
        <v>1856</v>
      </c>
      <c r="D2571" s="6" t="s">
        <v>12</v>
      </c>
      <c r="E2571" s="6">
        <v>1.7</v>
      </c>
      <c r="F2571" s="8">
        <v>293000</v>
      </c>
      <c r="G2571" s="9">
        <f t="shared" ref="G2571:G2573" si="157">IFERROR(E2571*F2571,0)</f>
        <v>498100</v>
      </c>
      <c r="H2571" s="10"/>
      <c r="I2571" s="1" t="s">
        <v>120</v>
      </c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5.75" customHeight="1" x14ac:dyDescent="0.75">
      <c r="A2572" s="5">
        <v>2</v>
      </c>
      <c r="B2572" s="16" t="s">
        <v>158</v>
      </c>
      <c r="C2572" s="17">
        <v>2947</v>
      </c>
      <c r="D2572" s="16" t="s">
        <v>14</v>
      </c>
      <c r="E2572" s="16">
        <v>1.75</v>
      </c>
      <c r="F2572" s="11">
        <v>435000</v>
      </c>
      <c r="G2572" s="9">
        <f t="shared" si="157"/>
        <v>761250</v>
      </c>
      <c r="H2572" s="10"/>
      <c r="I2572" s="1" t="s">
        <v>120</v>
      </c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5.75" customHeight="1" x14ac:dyDescent="0.75">
      <c r="A2573" s="5">
        <v>3</v>
      </c>
      <c r="B2573" s="12" t="s">
        <v>15</v>
      </c>
      <c r="C2573" s="10"/>
      <c r="D2573" s="10"/>
      <c r="E2573" s="10"/>
      <c r="F2573" s="10"/>
      <c r="G2573" s="13">
        <f t="shared" si="157"/>
        <v>0</v>
      </c>
      <c r="H2573" s="10"/>
      <c r="I2573" s="1" t="s">
        <v>120</v>
      </c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5.75" customHeight="1" x14ac:dyDescent="0.75">
      <c r="A2574" s="39" t="s">
        <v>16</v>
      </c>
      <c r="B2574" s="40"/>
      <c r="C2574" s="40"/>
      <c r="D2574" s="40"/>
      <c r="E2574" s="40"/>
      <c r="F2574" s="40"/>
      <c r="G2574" s="41"/>
      <c r="H2574" s="14">
        <f>SUM(G2571:G2573)</f>
        <v>1259350</v>
      </c>
      <c r="I2574" s="1" t="s">
        <v>120</v>
      </c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5.75" customHeight="1" x14ac:dyDescent="0.75">
      <c r="A2575" s="39" t="s">
        <v>17</v>
      </c>
      <c r="B2575" s="40"/>
      <c r="C2575" s="40"/>
      <c r="D2575" s="40"/>
      <c r="E2575" s="40"/>
      <c r="F2575" s="40"/>
      <c r="G2575" s="41"/>
      <c r="H2575" s="14">
        <f>MAX(0,H2574-648000)</f>
        <v>611350</v>
      </c>
      <c r="I2575" s="1" t="s">
        <v>120</v>
      </c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5.75" customHeight="1" x14ac:dyDescent="0.75">
      <c r="A2576" s="42" t="s">
        <v>18</v>
      </c>
      <c r="B2576" s="40"/>
      <c r="C2576" s="40"/>
      <c r="D2576" s="40"/>
      <c r="E2576" s="40"/>
      <c r="F2576" s="40"/>
      <c r="G2576" s="41"/>
      <c r="H2576" s="15">
        <v>649000</v>
      </c>
      <c r="I2576" s="1" t="s">
        <v>120</v>
      </c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5.75" customHeight="1" x14ac:dyDescent="0.75">
      <c r="A2577" s="43" t="s">
        <v>19</v>
      </c>
      <c r="B2577" s="40"/>
      <c r="C2577" s="40"/>
      <c r="D2577" s="40"/>
      <c r="E2577" s="40"/>
      <c r="F2577" s="40"/>
      <c r="G2577" s="40"/>
      <c r="H2577" s="41"/>
      <c r="I2577" s="1" t="s">
        <v>120</v>
      </c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5.75" customHeight="1" x14ac:dyDescent="0.45"/>
    <row r="2579" spans="1:26" ht="15.75" customHeight="1" x14ac:dyDescent="0.45"/>
    <row r="2580" spans="1:26" ht="15.75" customHeight="1" x14ac:dyDescent="0.45"/>
    <row r="2581" spans="1:26" ht="15.75" customHeight="1" x14ac:dyDescent="0.45"/>
    <row r="2582" spans="1:26" ht="15.75" customHeight="1" x14ac:dyDescent="0.45"/>
    <row r="2583" spans="1:26" ht="15.75" customHeight="1" x14ac:dyDescent="0.75">
      <c r="A2583" s="43" t="s">
        <v>0</v>
      </c>
      <c r="B2583" s="40"/>
      <c r="C2583" s="40"/>
      <c r="D2583" s="40"/>
      <c r="E2583" s="40"/>
      <c r="F2583" s="40"/>
      <c r="G2583" s="40"/>
      <c r="H2583" s="41"/>
      <c r="I2583" s="1" t="s">
        <v>120</v>
      </c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5.75" customHeight="1" x14ac:dyDescent="0.75">
      <c r="A2584" s="43" t="s">
        <v>391</v>
      </c>
      <c r="B2584" s="40"/>
      <c r="C2584" s="40"/>
      <c r="D2584" s="40"/>
      <c r="E2584" s="40"/>
      <c r="F2584" s="40"/>
      <c r="G2584" s="40"/>
      <c r="H2584" s="41"/>
      <c r="I2584" s="1" t="s">
        <v>120</v>
      </c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5.75" customHeight="1" x14ac:dyDescent="0.55000000000000004">
      <c r="A2585" s="2" t="s">
        <v>3</v>
      </c>
      <c r="B2585" s="2" t="s">
        <v>4</v>
      </c>
      <c r="C2585" s="2" t="s">
        <v>5</v>
      </c>
      <c r="D2585" s="2" t="s">
        <v>6</v>
      </c>
      <c r="E2585" s="2" t="s">
        <v>7</v>
      </c>
      <c r="F2585" s="3" t="s">
        <v>8</v>
      </c>
      <c r="G2585" s="2" t="s">
        <v>9</v>
      </c>
      <c r="H2585" s="4"/>
      <c r="I2585" s="1" t="s">
        <v>120</v>
      </c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5.75" customHeight="1" x14ac:dyDescent="0.75">
      <c r="A2586" s="5">
        <v>1</v>
      </c>
      <c r="B2586" s="21" t="s">
        <v>300</v>
      </c>
      <c r="C2586" s="7">
        <v>2891</v>
      </c>
      <c r="D2586" s="6" t="s">
        <v>12</v>
      </c>
      <c r="E2586" s="6">
        <v>1.5</v>
      </c>
      <c r="F2586" s="8">
        <v>293000</v>
      </c>
      <c r="G2586" s="9">
        <f t="shared" ref="G2586:G2588" si="158">IFERROR(E2586*F2586,0)</f>
        <v>439500</v>
      </c>
      <c r="H2586" s="10"/>
      <c r="I2586" s="1" t="s">
        <v>120</v>
      </c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5.75" customHeight="1" x14ac:dyDescent="0.75">
      <c r="A2587" s="5">
        <v>2</v>
      </c>
      <c r="B2587" s="16" t="s">
        <v>35</v>
      </c>
      <c r="C2587" s="17">
        <v>7489</v>
      </c>
      <c r="D2587" s="16" t="s">
        <v>14</v>
      </c>
      <c r="E2587" s="16">
        <v>2</v>
      </c>
      <c r="F2587" s="11">
        <v>435000</v>
      </c>
      <c r="G2587" s="9">
        <f t="shared" si="158"/>
        <v>870000</v>
      </c>
      <c r="H2587" s="10"/>
      <c r="I2587" s="1" t="s">
        <v>120</v>
      </c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5.75" customHeight="1" x14ac:dyDescent="0.75">
      <c r="A2588" s="5">
        <v>3</v>
      </c>
      <c r="B2588" s="12" t="s">
        <v>15</v>
      </c>
      <c r="C2588" s="10"/>
      <c r="D2588" s="10"/>
      <c r="E2588" s="10"/>
      <c r="F2588" s="10"/>
      <c r="G2588" s="13">
        <f t="shared" si="158"/>
        <v>0</v>
      </c>
      <c r="H2588" s="10"/>
      <c r="I2588" s="1" t="s">
        <v>120</v>
      </c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5.75" customHeight="1" x14ac:dyDescent="0.75">
      <c r="A2589" s="39" t="s">
        <v>16</v>
      </c>
      <c r="B2589" s="40"/>
      <c r="C2589" s="40"/>
      <c r="D2589" s="40"/>
      <c r="E2589" s="40"/>
      <c r="F2589" s="40"/>
      <c r="G2589" s="41"/>
      <c r="H2589" s="14">
        <f>SUM(G2586:G2588)</f>
        <v>1309500</v>
      </c>
      <c r="I2589" s="1" t="s">
        <v>120</v>
      </c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5.75" customHeight="1" x14ac:dyDescent="0.75">
      <c r="A2590" s="39" t="s">
        <v>17</v>
      </c>
      <c r="B2590" s="40"/>
      <c r="C2590" s="40"/>
      <c r="D2590" s="40"/>
      <c r="E2590" s="40"/>
      <c r="F2590" s="40"/>
      <c r="G2590" s="41"/>
      <c r="H2590" s="14">
        <f>MAX(0,H2589-648000)</f>
        <v>661500</v>
      </c>
      <c r="I2590" s="1" t="s">
        <v>120</v>
      </c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5.75" customHeight="1" x14ac:dyDescent="0.75">
      <c r="A2591" s="42" t="s">
        <v>18</v>
      </c>
      <c r="B2591" s="40"/>
      <c r="C2591" s="40"/>
      <c r="D2591" s="40"/>
      <c r="E2591" s="40"/>
      <c r="F2591" s="40"/>
      <c r="G2591" s="41"/>
      <c r="H2591" s="15">
        <v>649000</v>
      </c>
      <c r="I2591" s="1" t="s">
        <v>120</v>
      </c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5.75" customHeight="1" x14ac:dyDescent="0.75">
      <c r="A2592" s="43" t="s">
        <v>19</v>
      </c>
      <c r="B2592" s="40"/>
      <c r="C2592" s="40"/>
      <c r="D2592" s="40"/>
      <c r="E2592" s="40"/>
      <c r="F2592" s="40"/>
      <c r="G2592" s="40"/>
      <c r="H2592" s="41"/>
      <c r="I2592" s="1" t="s">
        <v>120</v>
      </c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5.75" customHeight="1" x14ac:dyDescent="0.45"/>
    <row r="2594" spans="1:26" ht="15.75" customHeight="1" x14ac:dyDescent="0.45"/>
    <row r="2595" spans="1:26" ht="15.75" customHeight="1" x14ac:dyDescent="0.45"/>
    <row r="2596" spans="1:26" ht="15.75" customHeight="1" x14ac:dyDescent="0.45"/>
    <row r="2597" spans="1:26" ht="15.75" customHeight="1" x14ac:dyDescent="0.45"/>
    <row r="2598" spans="1:26" ht="15.75" customHeight="1" x14ac:dyDescent="0.45"/>
    <row r="2599" spans="1:26" ht="15.75" customHeight="1" x14ac:dyDescent="0.75">
      <c r="A2599" s="43" t="s">
        <v>0</v>
      </c>
      <c r="B2599" s="40"/>
      <c r="C2599" s="40"/>
      <c r="D2599" s="40"/>
      <c r="E2599" s="40"/>
      <c r="F2599" s="40"/>
      <c r="G2599" s="40"/>
      <c r="H2599" s="41"/>
      <c r="I2599" s="1" t="s">
        <v>120</v>
      </c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5.75" customHeight="1" x14ac:dyDescent="0.75">
      <c r="A2600" s="43" t="s">
        <v>392</v>
      </c>
      <c r="B2600" s="40"/>
      <c r="C2600" s="40"/>
      <c r="D2600" s="40"/>
      <c r="E2600" s="40"/>
      <c r="F2600" s="40"/>
      <c r="G2600" s="40"/>
      <c r="H2600" s="41"/>
      <c r="I2600" s="1" t="s">
        <v>120</v>
      </c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5.75" customHeight="1" x14ac:dyDescent="0.55000000000000004">
      <c r="A2601" s="2" t="s">
        <v>3</v>
      </c>
      <c r="B2601" s="2" t="s">
        <v>4</v>
      </c>
      <c r="C2601" s="2" t="s">
        <v>5</v>
      </c>
      <c r="D2601" s="2" t="s">
        <v>6</v>
      </c>
      <c r="E2601" s="2" t="s">
        <v>7</v>
      </c>
      <c r="F2601" s="3" t="s">
        <v>8</v>
      </c>
      <c r="G2601" s="2" t="s">
        <v>9</v>
      </c>
      <c r="H2601" s="4"/>
      <c r="I2601" s="1" t="s">
        <v>120</v>
      </c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5.75" customHeight="1" x14ac:dyDescent="0.75">
      <c r="A2602" s="5">
        <v>1</v>
      </c>
      <c r="B2602" s="21" t="s">
        <v>98</v>
      </c>
      <c r="C2602" s="7">
        <v>3531</v>
      </c>
      <c r="D2602" s="6" t="s">
        <v>12</v>
      </c>
      <c r="E2602" s="6">
        <v>1.5</v>
      </c>
      <c r="F2602" s="8">
        <v>293000</v>
      </c>
      <c r="G2602" s="9">
        <f t="shared" ref="G2602:G2604" si="159">IFERROR(E2602*F2602,0)</f>
        <v>439500</v>
      </c>
      <c r="H2602" s="10"/>
      <c r="I2602" s="1" t="s">
        <v>120</v>
      </c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5.75" customHeight="1" x14ac:dyDescent="0.75">
      <c r="A2603" s="5">
        <v>2</v>
      </c>
      <c r="B2603" s="16" t="s">
        <v>77</v>
      </c>
      <c r="C2603" s="17">
        <v>5637</v>
      </c>
      <c r="D2603" s="16" t="s">
        <v>14</v>
      </c>
      <c r="E2603" s="16">
        <v>2</v>
      </c>
      <c r="F2603" s="11">
        <v>435000</v>
      </c>
      <c r="G2603" s="9">
        <f t="shared" si="159"/>
        <v>870000</v>
      </c>
      <c r="H2603" s="10"/>
      <c r="I2603" s="1" t="s">
        <v>120</v>
      </c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5.75" customHeight="1" x14ac:dyDescent="0.75">
      <c r="A2604" s="5">
        <v>3</v>
      </c>
      <c r="B2604" s="12" t="s">
        <v>15</v>
      </c>
      <c r="C2604" s="10"/>
      <c r="D2604" s="10"/>
      <c r="E2604" s="10"/>
      <c r="F2604" s="10"/>
      <c r="G2604" s="13">
        <f t="shared" si="159"/>
        <v>0</v>
      </c>
      <c r="H2604" s="10"/>
      <c r="I2604" s="1" t="s">
        <v>120</v>
      </c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5.75" customHeight="1" x14ac:dyDescent="0.75">
      <c r="A2605" s="39" t="s">
        <v>16</v>
      </c>
      <c r="B2605" s="40"/>
      <c r="C2605" s="40"/>
      <c r="D2605" s="40"/>
      <c r="E2605" s="40"/>
      <c r="F2605" s="40"/>
      <c r="G2605" s="41"/>
      <c r="H2605" s="14">
        <f>SUM(G2602:G2604)</f>
        <v>1309500</v>
      </c>
      <c r="I2605" s="1" t="s">
        <v>120</v>
      </c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5.75" customHeight="1" x14ac:dyDescent="0.75">
      <c r="A2606" s="39" t="s">
        <v>17</v>
      </c>
      <c r="B2606" s="40"/>
      <c r="C2606" s="40"/>
      <c r="D2606" s="40"/>
      <c r="E2606" s="40"/>
      <c r="F2606" s="40"/>
      <c r="G2606" s="41"/>
      <c r="H2606" s="14">
        <f>MAX(0,H2605-648000)</f>
        <v>661500</v>
      </c>
      <c r="I2606" s="1" t="s">
        <v>120</v>
      </c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5.75" customHeight="1" x14ac:dyDescent="0.75">
      <c r="A2607" s="42" t="s">
        <v>18</v>
      </c>
      <c r="B2607" s="40"/>
      <c r="C2607" s="40"/>
      <c r="D2607" s="40"/>
      <c r="E2607" s="40"/>
      <c r="F2607" s="40"/>
      <c r="G2607" s="41"/>
      <c r="H2607" s="15">
        <v>649000</v>
      </c>
      <c r="I2607" s="1" t="s">
        <v>120</v>
      </c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5.75" customHeight="1" x14ac:dyDescent="0.75">
      <c r="A2608" s="43" t="s">
        <v>19</v>
      </c>
      <c r="B2608" s="40"/>
      <c r="C2608" s="40"/>
      <c r="D2608" s="40"/>
      <c r="E2608" s="40"/>
      <c r="F2608" s="40"/>
      <c r="G2608" s="40"/>
      <c r="H2608" s="41"/>
      <c r="I2608" s="1" t="s">
        <v>120</v>
      </c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5.75" customHeight="1" x14ac:dyDescent="0.45"/>
    <row r="2610" spans="1:26" ht="15.75" customHeight="1" x14ac:dyDescent="0.45"/>
    <row r="2611" spans="1:26" ht="15.75" customHeight="1" x14ac:dyDescent="0.45"/>
    <row r="2612" spans="1:26" ht="15.75" customHeight="1" x14ac:dyDescent="0.45"/>
    <row r="2613" spans="1:26" ht="15.75" customHeight="1" x14ac:dyDescent="0.45"/>
    <row r="2614" spans="1:26" ht="15.75" customHeight="1" x14ac:dyDescent="0.75">
      <c r="A2614" s="43" t="s">
        <v>0</v>
      </c>
      <c r="B2614" s="40"/>
      <c r="C2614" s="40"/>
      <c r="D2614" s="40"/>
      <c r="E2614" s="40"/>
      <c r="F2614" s="40"/>
      <c r="G2614" s="40"/>
      <c r="H2614" s="41"/>
      <c r="I2614" s="1" t="s">
        <v>120</v>
      </c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5.75" customHeight="1" x14ac:dyDescent="0.75">
      <c r="A2615" s="43" t="s">
        <v>393</v>
      </c>
      <c r="B2615" s="40"/>
      <c r="C2615" s="40"/>
      <c r="D2615" s="40"/>
      <c r="E2615" s="40"/>
      <c r="F2615" s="40"/>
      <c r="G2615" s="40"/>
      <c r="H2615" s="41"/>
      <c r="I2615" s="1" t="s">
        <v>120</v>
      </c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5.75" customHeight="1" x14ac:dyDescent="0.55000000000000004">
      <c r="A2616" s="2" t="s">
        <v>3</v>
      </c>
      <c r="B2616" s="2" t="s">
        <v>4</v>
      </c>
      <c r="C2616" s="2" t="s">
        <v>5</v>
      </c>
      <c r="D2616" s="2" t="s">
        <v>6</v>
      </c>
      <c r="E2616" s="2" t="s">
        <v>7</v>
      </c>
      <c r="F2616" s="3" t="s">
        <v>8</v>
      </c>
      <c r="G2616" s="2" t="s">
        <v>9</v>
      </c>
      <c r="H2616" s="4"/>
      <c r="I2616" s="1" t="s">
        <v>120</v>
      </c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5.75" customHeight="1" x14ac:dyDescent="0.75">
      <c r="A2617" s="5">
        <v>1</v>
      </c>
      <c r="B2617" s="21" t="s">
        <v>27</v>
      </c>
      <c r="C2617" s="7">
        <v>1870</v>
      </c>
      <c r="D2617" s="6" t="s">
        <v>12</v>
      </c>
      <c r="E2617" s="6">
        <v>1.5</v>
      </c>
      <c r="F2617" s="8">
        <v>293000</v>
      </c>
      <c r="G2617" s="9">
        <f t="shared" ref="G2617:G2619" si="160">IFERROR(E2617*F2617,0)</f>
        <v>439500</v>
      </c>
      <c r="H2617" s="10"/>
      <c r="I2617" s="1" t="s">
        <v>120</v>
      </c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5.75" customHeight="1" x14ac:dyDescent="0.75">
      <c r="A2618" s="5">
        <v>2</v>
      </c>
      <c r="B2618" s="16" t="s">
        <v>77</v>
      </c>
      <c r="C2618" s="17">
        <v>5223</v>
      </c>
      <c r="D2618" s="16" t="s">
        <v>14</v>
      </c>
      <c r="E2618" s="16">
        <v>2</v>
      </c>
      <c r="F2618" s="11">
        <v>435000</v>
      </c>
      <c r="G2618" s="9">
        <f t="shared" si="160"/>
        <v>870000</v>
      </c>
      <c r="H2618" s="10"/>
      <c r="I2618" s="1" t="s">
        <v>120</v>
      </c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5.75" customHeight="1" x14ac:dyDescent="0.75">
      <c r="A2619" s="5">
        <v>3</v>
      </c>
      <c r="B2619" s="12" t="s">
        <v>15</v>
      </c>
      <c r="C2619" s="10"/>
      <c r="D2619" s="10"/>
      <c r="E2619" s="10"/>
      <c r="F2619" s="10"/>
      <c r="G2619" s="13">
        <f t="shared" si="160"/>
        <v>0</v>
      </c>
      <c r="H2619" s="10"/>
      <c r="I2619" s="1" t="s">
        <v>120</v>
      </c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5.75" customHeight="1" x14ac:dyDescent="0.75">
      <c r="A2620" s="39" t="s">
        <v>16</v>
      </c>
      <c r="B2620" s="40"/>
      <c r="C2620" s="40"/>
      <c r="D2620" s="40"/>
      <c r="E2620" s="40"/>
      <c r="F2620" s="40"/>
      <c r="G2620" s="41"/>
      <c r="H2620" s="14">
        <f>SUM(G2617:G2619)</f>
        <v>1309500</v>
      </c>
      <c r="I2620" s="1" t="s">
        <v>120</v>
      </c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5.75" customHeight="1" x14ac:dyDescent="0.75">
      <c r="A2621" s="39" t="s">
        <v>17</v>
      </c>
      <c r="B2621" s="40"/>
      <c r="C2621" s="40"/>
      <c r="D2621" s="40"/>
      <c r="E2621" s="40"/>
      <c r="F2621" s="40"/>
      <c r="G2621" s="41"/>
      <c r="H2621" s="14">
        <f>MAX(0,H2620-648000)</f>
        <v>661500</v>
      </c>
      <c r="I2621" s="1" t="s">
        <v>120</v>
      </c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5.75" customHeight="1" x14ac:dyDescent="0.75">
      <c r="A2622" s="42" t="s">
        <v>18</v>
      </c>
      <c r="B2622" s="40"/>
      <c r="C2622" s="40"/>
      <c r="D2622" s="40"/>
      <c r="E2622" s="40"/>
      <c r="F2622" s="40"/>
      <c r="G2622" s="41"/>
      <c r="H2622" s="15">
        <v>649000</v>
      </c>
      <c r="I2622" s="1" t="s">
        <v>120</v>
      </c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5.75" customHeight="1" x14ac:dyDescent="0.75">
      <c r="A2623" s="43" t="s">
        <v>19</v>
      </c>
      <c r="B2623" s="40"/>
      <c r="C2623" s="40"/>
      <c r="D2623" s="40"/>
      <c r="E2623" s="40"/>
      <c r="F2623" s="40"/>
      <c r="G2623" s="40"/>
      <c r="H2623" s="41"/>
      <c r="I2623" s="1" t="s">
        <v>120</v>
      </c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5.75" customHeight="1" x14ac:dyDescent="0.45"/>
    <row r="2625" spans="1:26" ht="15.75" customHeight="1" x14ac:dyDescent="0.45"/>
    <row r="2626" spans="1:26" ht="15.75" customHeight="1" x14ac:dyDescent="0.45"/>
    <row r="2627" spans="1:26" ht="15.75" customHeight="1" x14ac:dyDescent="0.45"/>
    <row r="2628" spans="1:26" ht="15.75" customHeight="1" x14ac:dyDescent="0.75">
      <c r="A2628" s="43" t="s">
        <v>0</v>
      </c>
      <c r="B2628" s="40"/>
      <c r="C2628" s="40"/>
      <c r="D2628" s="40"/>
      <c r="E2628" s="40"/>
      <c r="F2628" s="40"/>
      <c r="G2628" s="40"/>
      <c r="H2628" s="41"/>
      <c r="I2628" s="1" t="s">
        <v>120</v>
      </c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5.75" customHeight="1" x14ac:dyDescent="0.75">
      <c r="A2629" s="43" t="s">
        <v>394</v>
      </c>
      <c r="B2629" s="40"/>
      <c r="C2629" s="40"/>
      <c r="D2629" s="40"/>
      <c r="E2629" s="40"/>
      <c r="F2629" s="40"/>
      <c r="G2629" s="40"/>
      <c r="H2629" s="41"/>
      <c r="I2629" s="1" t="s">
        <v>120</v>
      </c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5.75" customHeight="1" x14ac:dyDescent="0.55000000000000004">
      <c r="A2630" s="2" t="s">
        <v>3</v>
      </c>
      <c r="B2630" s="2" t="s">
        <v>4</v>
      </c>
      <c r="C2630" s="2" t="s">
        <v>5</v>
      </c>
      <c r="D2630" s="2" t="s">
        <v>6</v>
      </c>
      <c r="E2630" s="2" t="s">
        <v>7</v>
      </c>
      <c r="F2630" s="3" t="s">
        <v>8</v>
      </c>
      <c r="G2630" s="2" t="s">
        <v>9</v>
      </c>
      <c r="H2630" s="4"/>
      <c r="I2630" s="1" t="s">
        <v>120</v>
      </c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5.75" customHeight="1" x14ac:dyDescent="0.75">
      <c r="A2631" s="5">
        <v>1</v>
      </c>
      <c r="B2631" s="21" t="s">
        <v>395</v>
      </c>
      <c r="C2631" s="7">
        <v>7483</v>
      </c>
      <c r="D2631" s="6" t="s">
        <v>12</v>
      </c>
      <c r="E2631" s="6">
        <v>1.46</v>
      </c>
      <c r="F2631" s="8">
        <v>293000</v>
      </c>
      <c r="G2631" s="9">
        <f t="shared" ref="G2631:G2633" si="161">IFERROR(E2631*F2631,0)</f>
        <v>427780</v>
      </c>
      <c r="H2631" s="10"/>
      <c r="I2631" s="1" t="s">
        <v>120</v>
      </c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5.75" customHeight="1" x14ac:dyDescent="0.75">
      <c r="A2632" s="5">
        <v>2</v>
      </c>
      <c r="B2632" s="16" t="s">
        <v>77</v>
      </c>
      <c r="C2632" s="17">
        <v>6597</v>
      </c>
      <c r="D2632" s="16" t="s">
        <v>14</v>
      </c>
      <c r="E2632" s="16">
        <v>2</v>
      </c>
      <c r="F2632" s="11">
        <v>435000</v>
      </c>
      <c r="G2632" s="9">
        <f t="shared" si="161"/>
        <v>870000</v>
      </c>
      <c r="H2632" s="10"/>
      <c r="I2632" s="1" t="s">
        <v>120</v>
      </c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5.75" customHeight="1" x14ac:dyDescent="0.75">
      <c r="A2633" s="5">
        <v>3</v>
      </c>
      <c r="B2633" s="12" t="s">
        <v>15</v>
      </c>
      <c r="C2633" s="10"/>
      <c r="D2633" s="10"/>
      <c r="E2633" s="10"/>
      <c r="F2633" s="10"/>
      <c r="G2633" s="13">
        <f t="shared" si="161"/>
        <v>0</v>
      </c>
      <c r="H2633" s="10"/>
      <c r="I2633" s="1" t="s">
        <v>120</v>
      </c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5.75" customHeight="1" x14ac:dyDescent="0.75">
      <c r="A2634" s="39" t="s">
        <v>16</v>
      </c>
      <c r="B2634" s="40"/>
      <c r="C2634" s="40"/>
      <c r="D2634" s="40"/>
      <c r="E2634" s="40"/>
      <c r="F2634" s="40"/>
      <c r="G2634" s="41"/>
      <c r="H2634" s="14">
        <f>SUM(G2631:G2633)</f>
        <v>1297780</v>
      </c>
      <c r="I2634" s="1" t="s">
        <v>120</v>
      </c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5.75" customHeight="1" x14ac:dyDescent="0.75">
      <c r="A2635" s="39" t="s">
        <v>17</v>
      </c>
      <c r="B2635" s="40"/>
      <c r="C2635" s="40"/>
      <c r="D2635" s="40"/>
      <c r="E2635" s="40"/>
      <c r="F2635" s="40"/>
      <c r="G2635" s="41"/>
      <c r="H2635" s="14">
        <f>MAX(0,H2634-648000)</f>
        <v>649780</v>
      </c>
      <c r="I2635" s="1" t="s">
        <v>120</v>
      </c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5.75" customHeight="1" x14ac:dyDescent="0.75">
      <c r="A2636" s="42" t="s">
        <v>18</v>
      </c>
      <c r="B2636" s="40"/>
      <c r="C2636" s="40"/>
      <c r="D2636" s="40"/>
      <c r="E2636" s="40"/>
      <c r="F2636" s="40"/>
      <c r="G2636" s="41"/>
      <c r="H2636" s="15">
        <v>649000</v>
      </c>
      <c r="I2636" s="1" t="s">
        <v>120</v>
      </c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5.75" customHeight="1" x14ac:dyDescent="0.75">
      <c r="A2637" s="43" t="s">
        <v>19</v>
      </c>
      <c r="B2637" s="40"/>
      <c r="C2637" s="40"/>
      <c r="D2637" s="40"/>
      <c r="E2637" s="40"/>
      <c r="F2637" s="40"/>
      <c r="G2637" s="40"/>
      <c r="H2637" s="41"/>
      <c r="I2637" s="1" t="s">
        <v>120</v>
      </c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5.75" customHeight="1" x14ac:dyDescent="0.45"/>
    <row r="2639" spans="1:26" ht="15.75" customHeight="1" x14ac:dyDescent="0.45"/>
    <row r="2640" spans="1:26" ht="15.75" customHeight="1" x14ac:dyDescent="0.45"/>
    <row r="2641" spans="1:26" ht="15.75" customHeight="1" x14ac:dyDescent="0.45"/>
    <row r="2642" spans="1:26" ht="15.75" customHeight="1" x14ac:dyDescent="0.45"/>
    <row r="2643" spans="1:26" ht="15.75" customHeight="1" x14ac:dyDescent="0.75">
      <c r="A2643" s="43" t="s">
        <v>0</v>
      </c>
      <c r="B2643" s="40"/>
      <c r="C2643" s="40"/>
      <c r="D2643" s="40"/>
      <c r="E2643" s="40"/>
      <c r="F2643" s="40"/>
      <c r="G2643" s="40"/>
      <c r="H2643" s="41"/>
      <c r="I2643" s="1" t="s">
        <v>120</v>
      </c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5.75" customHeight="1" x14ac:dyDescent="0.75">
      <c r="A2644" s="43" t="s">
        <v>396</v>
      </c>
      <c r="B2644" s="40"/>
      <c r="C2644" s="40"/>
      <c r="D2644" s="40"/>
      <c r="E2644" s="40"/>
      <c r="F2644" s="40"/>
      <c r="G2644" s="40"/>
      <c r="H2644" s="41"/>
      <c r="I2644" s="1" t="s">
        <v>120</v>
      </c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5.75" customHeight="1" x14ac:dyDescent="0.55000000000000004">
      <c r="A2645" s="2" t="s">
        <v>3</v>
      </c>
      <c r="B2645" s="2" t="s">
        <v>4</v>
      </c>
      <c r="C2645" s="2" t="s">
        <v>5</v>
      </c>
      <c r="D2645" s="2" t="s">
        <v>6</v>
      </c>
      <c r="E2645" s="2" t="s">
        <v>7</v>
      </c>
      <c r="F2645" s="3" t="s">
        <v>8</v>
      </c>
      <c r="G2645" s="2" t="s">
        <v>9</v>
      </c>
      <c r="H2645" s="4"/>
      <c r="I2645" s="1" t="s">
        <v>120</v>
      </c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5.75" customHeight="1" x14ac:dyDescent="0.75">
      <c r="A2646" s="5">
        <v>1</v>
      </c>
      <c r="B2646" s="21" t="s">
        <v>397</v>
      </c>
      <c r="C2646" s="7">
        <v>1857</v>
      </c>
      <c r="D2646" s="6" t="s">
        <v>12</v>
      </c>
      <c r="E2646" s="6">
        <v>1.5</v>
      </c>
      <c r="F2646" s="8">
        <v>293000</v>
      </c>
      <c r="G2646" s="9">
        <f t="shared" ref="G2646:G2648" si="162">IFERROR(E2646*F2646,0)</f>
        <v>439500</v>
      </c>
      <c r="H2646" s="10"/>
      <c r="I2646" s="1" t="s">
        <v>120</v>
      </c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5.75" customHeight="1" x14ac:dyDescent="0.75">
      <c r="A2647" s="5">
        <v>2</v>
      </c>
      <c r="B2647" s="16" t="s">
        <v>77</v>
      </c>
      <c r="C2647" s="17">
        <v>5879</v>
      </c>
      <c r="D2647" s="16" t="s">
        <v>14</v>
      </c>
      <c r="E2647" s="16">
        <v>2</v>
      </c>
      <c r="F2647" s="11">
        <v>435000</v>
      </c>
      <c r="G2647" s="9">
        <f t="shared" si="162"/>
        <v>870000</v>
      </c>
      <c r="H2647" s="10"/>
      <c r="I2647" s="1" t="s">
        <v>120</v>
      </c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5.75" customHeight="1" x14ac:dyDescent="0.75">
      <c r="A2648" s="5">
        <v>3</v>
      </c>
      <c r="B2648" s="12" t="s">
        <v>15</v>
      </c>
      <c r="C2648" s="10"/>
      <c r="D2648" s="10"/>
      <c r="E2648" s="10"/>
      <c r="F2648" s="10"/>
      <c r="G2648" s="13">
        <f t="shared" si="162"/>
        <v>0</v>
      </c>
      <c r="H2648" s="10"/>
      <c r="I2648" s="1" t="s">
        <v>120</v>
      </c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5.75" customHeight="1" x14ac:dyDescent="0.75">
      <c r="A2649" s="39" t="s">
        <v>16</v>
      </c>
      <c r="B2649" s="40"/>
      <c r="C2649" s="40"/>
      <c r="D2649" s="40"/>
      <c r="E2649" s="40"/>
      <c r="F2649" s="40"/>
      <c r="G2649" s="41"/>
      <c r="H2649" s="14">
        <f>SUM(G2646:G2648)</f>
        <v>1309500</v>
      </c>
      <c r="I2649" s="1" t="s">
        <v>120</v>
      </c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5.75" customHeight="1" x14ac:dyDescent="0.75">
      <c r="A2650" s="39" t="s">
        <v>17</v>
      </c>
      <c r="B2650" s="40"/>
      <c r="C2650" s="40"/>
      <c r="D2650" s="40"/>
      <c r="E2650" s="40"/>
      <c r="F2650" s="40"/>
      <c r="G2650" s="41"/>
      <c r="H2650" s="14">
        <f>MAX(0,H2649-648000)</f>
        <v>661500</v>
      </c>
      <c r="I2650" s="1" t="s">
        <v>120</v>
      </c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5.75" customHeight="1" x14ac:dyDescent="0.75">
      <c r="A2651" s="42" t="s">
        <v>18</v>
      </c>
      <c r="B2651" s="40"/>
      <c r="C2651" s="40"/>
      <c r="D2651" s="40"/>
      <c r="E2651" s="40"/>
      <c r="F2651" s="40"/>
      <c r="G2651" s="41"/>
      <c r="H2651" s="15">
        <v>649000</v>
      </c>
      <c r="I2651" s="1" t="s">
        <v>120</v>
      </c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5.75" customHeight="1" x14ac:dyDescent="0.75">
      <c r="A2652" s="43" t="s">
        <v>19</v>
      </c>
      <c r="B2652" s="40"/>
      <c r="C2652" s="40"/>
      <c r="D2652" s="40"/>
      <c r="E2652" s="40"/>
      <c r="F2652" s="40"/>
      <c r="G2652" s="40"/>
      <c r="H2652" s="41"/>
      <c r="I2652" s="1" t="s">
        <v>120</v>
      </c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5.75" customHeight="1" x14ac:dyDescent="0.45"/>
    <row r="2654" spans="1:26" ht="15.75" customHeight="1" x14ac:dyDescent="0.45"/>
    <row r="2655" spans="1:26" ht="15.75" customHeight="1" x14ac:dyDescent="0.45"/>
    <row r="2656" spans="1:26" ht="15.75" customHeight="1" x14ac:dyDescent="0.45"/>
    <row r="2657" spans="1:26" ht="15.75" customHeight="1" x14ac:dyDescent="0.45"/>
    <row r="2658" spans="1:26" ht="15.75" customHeight="1" x14ac:dyDescent="0.45"/>
    <row r="2659" spans="1:26" ht="15.75" customHeight="1" x14ac:dyDescent="0.45"/>
    <row r="2660" spans="1:26" ht="15.75" customHeight="1" x14ac:dyDescent="0.75">
      <c r="A2660" s="43" t="s">
        <v>0</v>
      </c>
      <c r="B2660" s="40"/>
      <c r="C2660" s="40"/>
      <c r="D2660" s="40"/>
      <c r="E2660" s="40"/>
      <c r="F2660" s="40"/>
      <c r="G2660" s="40"/>
      <c r="H2660" s="41"/>
      <c r="I2660" s="1" t="s">
        <v>120</v>
      </c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5.75" customHeight="1" x14ac:dyDescent="0.75">
      <c r="A2661" s="43" t="s">
        <v>398</v>
      </c>
      <c r="B2661" s="40"/>
      <c r="C2661" s="40"/>
      <c r="D2661" s="40"/>
      <c r="E2661" s="40"/>
      <c r="F2661" s="40"/>
      <c r="G2661" s="40"/>
      <c r="H2661" s="41"/>
      <c r="I2661" s="1" t="s">
        <v>120</v>
      </c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5.75" customHeight="1" x14ac:dyDescent="0.55000000000000004">
      <c r="A2662" s="2" t="s">
        <v>3</v>
      </c>
      <c r="B2662" s="2" t="s">
        <v>4</v>
      </c>
      <c r="C2662" s="2" t="s">
        <v>5</v>
      </c>
      <c r="D2662" s="2" t="s">
        <v>6</v>
      </c>
      <c r="E2662" s="2" t="s">
        <v>7</v>
      </c>
      <c r="F2662" s="3" t="s">
        <v>8</v>
      </c>
      <c r="G2662" s="2" t="s">
        <v>9</v>
      </c>
      <c r="H2662" s="4"/>
      <c r="I2662" s="1" t="s">
        <v>120</v>
      </c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5.75" customHeight="1" x14ac:dyDescent="0.75">
      <c r="A2663" s="5">
        <v>1</v>
      </c>
      <c r="B2663" s="21" t="s">
        <v>265</v>
      </c>
      <c r="C2663" s="7">
        <v>2486</v>
      </c>
      <c r="D2663" s="6" t="s">
        <v>12</v>
      </c>
      <c r="E2663" s="6">
        <v>2</v>
      </c>
      <c r="F2663" s="8">
        <v>293000</v>
      </c>
      <c r="G2663" s="9">
        <f t="shared" ref="G2663:G2665" si="163">IFERROR(E2663*F2663,0)</f>
        <v>586000</v>
      </c>
      <c r="H2663" s="10"/>
      <c r="I2663" s="1" t="s">
        <v>120</v>
      </c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5.75" customHeight="1" x14ac:dyDescent="0.75">
      <c r="A2664" s="5">
        <v>2</v>
      </c>
      <c r="B2664" s="16" t="s">
        <v>24</v>
      </c>
      <c r="C2664" s="17">
        <v>2595</v>
      </c>
      <c r="D2664" s="16" t="s">
        <v>14</v>
      </c>
      <c r="E2664" s="16">
        <v>1.49</v>
      </c>
      <c r="F2664" s="11">
        <v>435000</v>
      </c>
      <c r="G2664" s="9">
        <f t="shared" si="163"/>
        <v>648150</v>
      </c>
      <c r="H2664" s="10"/>
      <c r="I2664" s="1" t="s">
        <v>120</v>
      </c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5.75" customHeight="1" x14ac:dyDescent="0.75">
      <c r="A2665" s="5">
        <v>3</v>
      </c>
      <c r="B2665" s="12" t="s">
        <v>15</v>
      </c>
      <c r="C2665" s="10"/>
      <c r="D2665" s="10"/>
      <c r="E2665" s="10"/>
      <c r="F2665" s="10"/>
      <c r="G2665" s="13">
        <f t="shared" si="163"/>
        <v>0</v>
      </c>
      <c r="H2665" s="10"/>
      <c r="I2665" s="1" t="s">
        <v>120</v>
      </c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5.75" customHeight="1" x14ac:dyDescent="0.75">
      <c r="A2666" s="39" t="s">
        <v>16</v>
      </c>
      <c r="B2666" s="40"/>
      <c r="C2666" s="40"/>
      <c r="D2666" s="40"/>
      <c r="E2666" s="40"/>
      <c r="F2666" s="40"/>
      <c r="G2666" s="41"/>
      <c r="H2666" s="14">
        <f>SUM(G2663:G2665)</f>
        <v>1234150</v>
      </c>
      <c r="I2666" s="1" t="s">
        <v>120</v>
      </c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5.75" customHeight="1" x14ac:dyDescent="0.75">
      <c r="A2667" s="39" t="s">
        <v>17</v>
      </c>
      <c r="B2667" s="40"/>
      <c r="C2667" s="40"/>
      <c r="D2667" s="40"/>
      <c r="E2667" s="40"/>
      <c r="F2667" s="40"/>
      <c r="G2667" s="41"/>
      <c r="H2667" s="14">
        <f>MAX(0,H2666-648000)</f>
        <v>586150</v>
      </c>
      <c r="I2667" s="1" t="s">
        <v>120</v>
      </c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5.75" customHeight="1" x14ac:dyDescent="0.75">
      <c r="A2668" s="42" t="s">
        <v>18</v>
      </c>
      <c r="B2668" s="40"/>
      <c r="C2668" s="40"/>
      <c r="D2668" s="40"/>
      <c r="E2668" s="40"/>
      <c r="F2668" s="40"/>
      <c r="G2668" s="41"/>
      <c r="H2668" s="15">
        <v>649000</v>
      </c>
      <c r="I2668" s="1" t="s">
        <v>120</v>
      </c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5.75" customHeight="1" x14ac:dyDescent="0.75">
      <c r="A2669" s="43" t="s">
        <v>19</v>
      </c>
      <c r="B2669" s="40"/>
      <c r="C2669" s="40"/>
      <c r="D2669" s="40"/>
      <c r="E2669" s="40"/>
      <c r="F2669" s="40"/>
      <c r="G2669" s="40"/>
      <c r="H2669" s="41"/>
      <c r="I2669" s="1" t="s">
        <v>120</v>
      </c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5.75" customHeight="1" x14ac:dyDescent="0.45"/>
    <row r="2671" spans="1:26" ht="15.75" customHeight="1" x14ac:dyDescent="0.45"/>
    <row r="2672" spans="1:26" ht="15.75" customHeight="1" x14ac:dyDescent="0.45"/>
    <row r="2673" spans="1:26" ht="15.75" customHeight="1" x14ac:dyDescent="0.45"/>
    <row r="2674" spans="1:26" ht="15.75" customHeight="1" x14ac:dyDescent="0.45"/>
    <row r="2675" spans="1:26" ht="15.75" customHeight="1" x14ac:dyDescent="0.45"/>
    <row r="2676" spans="1:26" ht="15.75" customHeight="1" x14ac:dyDescent="0.45"/>
    <row r="2677" spans="1:26" ht="15.75" customHeight="1" x14ac:dyDescent="0.45"/>
    <row r="2678" spans="1:26" ht="15.75" customHeight="1" x14ac:dyDescent="0.75">
      <c r="A2678" s="43" t="s">
        <v>0</v>
      </c>
      <c r="B2678" s="40"/>
      <c r="C2678" s="40"/>
      <c r="D2678" s="40"/>
      <c r="E2678" s="40"/>
      <c r="F2678" s="40"/>
      <c r="G2678" s="40"/>
      <c r="H2678" s="41"/>
      <c r="I2678" s="1" t="s">
        <v>120</v>
      </c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5.75" customHeight="1" x14ac:dyDescent="0.75">
      <c r="A2679" s="43" t="s">
        <v>399</v>
      </c>
      <c r="B2679" s="40"/>
      <c r="C2679" s="40"/>
      <c r="D2679" s="40"/>
      <c r="E2679" s="40"/>
      <c r="F2679" s="40"/>
      <c r="G2679" s="40"/>
      <c r="H2679" s="41"/>
      <c r="I2679" s="1" t="s">
        <v>120</v>
      </c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5.75" customHeight="1" x14ac:dyDescent="0.55000000000000004">
      <c r="A2680" s="2" t="s">
        <v>3</v>
      </c>
      <c r="B2680" s="2" t="s">
        <v>4</v>
      </c>
      <c r="C2680" s="2" t="s">
        <v>5</v>
      </c>
      <c r="D2680" s="2" t="s">
        <v>6</v>
      </c>
      <c r="E2680" s="2" t="s">
        <v>7</v>
      </c>
      <c r="F2680" s="3" t="s">
        <v>8</v>
      </c>
      <c r="G2680" s="2" t="s">
        <v>9</v>
      </c>
      <c r="H2680" s="4"/>
      <c r="I2680" s="1" t="s">
        <v>120</v>
      </c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5.75" customHeight="1" x14ac:dyDescent="0.75">
      <c r="A2681" s="5">
        <v>1</v>
      </c>
      <c r="B2681" s="21" t="s">
        <v>70</v>
      </c>
      <c r="C2681" s="7">
        <v>2945</v>
      </c>
      <c r="D2681" s="6" t="s">
        <v>12</v>
      </c>
      <c r="E2681" s="6">
        <v>2.02</v>
      </c>
      <c r="F2681" s="8">
        <v>293000</v>
      </c>
      <c r="G2681" s="9">
        <f t="shared" ref="G2681:G2683" si="164">IFERROR(E2681*F2681,0)</f>
        <v>591860</v>
      </c>
      <c r="H2681" s="10"/>
      <c r="I2681" s="1" t="s">
        <v>120</v>
      </c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5.75" customHeight="1" x14ac:dyDescent="0.75">
      <c r="A2682" s="5">
        <v>2</v>
      </c>
      <c r="B2682" s="16" t="s">
        <v>21</v>
      </c>
      <c r="C2682" s="17">
        <v>5589</v>
      </c>
      <c r="D2682" s="16" t="s">
        <v>14</v>
      </c>
      <c r="E2682" s="16">
        <v>1.5</v>
      </c>
      <c r="F2682" s="11">
        <v>435000</v>
      </c>
      <c r="G2682" s="9">
        <f t="shared" si="164"/>
        <v>652500</v>
      </c>
      <c r="H2682" s="10"/>
      <c r="I2682" s="1" t="s">
        <v>120</v>
      </c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5.75" customHeight="1" x14ac:dyDescent="0.75">
      <c r="A2683" s="5">
        <v>3</v>
      </c>
      <c r="B2683" s="12" t="s">
        <v>15</v>
      </c>
      <c r="C2683" s="10"/>
      <c r="D2683" s="10"/>
      <c r="E2683" s="10"/>
      <c r="F2683" s="10"/>
      <c r="G2683" s="13">
        <f t="shared" si="164"/>
        <v>0</v>
      </c>
      <c r="H2683" s="10"/>
      <c r="I2683" s="1" t="s">
        <v>120</v>
      </c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5.75" customHeight="1" x14ac:dyDescent="0.75">
      <c r="A2684" s="39" t="s">
        <v>16</v>
      </c>
      <c r="B2684" s="40"/>
      <c r="C2684" s="40"/>
      <c r="D2684" s="40"/>
      <c r="E2684" s="40"/>
      <c r="F2684" s="40"/>
      <c r="G2684" s="41"/>
      <c r="H2684" s="14">
        <f>SUM(G2681:G2683)</f>
        <v>1244360</v>
      </c>
      <c r="I2684" s="1" t="s">
        <v>120</v>
      </c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5.75" customHeight="1" x14ac:dyDescent="0.75">
      <c r="A2685" s="39" t="s">
        <v>17</v>
      </c>
      <c r="B2685" s="40"/>
      <c r="C2685" s="40"/>
      <c r="D2685" s="40"/>
      <c r="E2685" s="40"/>
      <c r="F2685" s="40"/>
      <c r="G2685" s="41"/>
      <c r="H2685" s="14">
        <f>MAX(0,H2684-648000)</f>
        <v>596360</v>
      </c>
      <c r="I2685" s="1" t="s">
        <v>120</v>
      </c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5.75" customHeight="1" x14ac:dyDescent="0.75">
      <c r="A2686" s="42" t="s">
        <v>18</v>
      </c>
      <c r="B2686" s="40"/>
      <c r="C2686" s="40"/>
      <c r="D2686" s="40"/>
      <c r="E2686" s="40"/>
      <c r="F2686" s="40"/>
      <c r="G2686" s="41"/>
      <c r="H2686" s="15">
        <v>649000</v>
      </c>
      <c r="I2686" s="1" t="s">
        <v>120</v>
      </c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5.75" customHeight="1" x14ac:dyDescent="0.75">
      <c r="A2687" s="43" t="s">
        <v>19</v>
      </c>
      <c r="B2687" s="40"/>
      <c r="C2687" s="40"/>
      <c r="D2687" s="40"/>
      <c r="E2687" s="40"/>
      <c r="F2687" s="40"/>
      <c r="G2687" s="40"/>
      <c r="H2687" s="41"/>
      <c r="I2687" s="1" t="s">
        <v>120</v>
      </c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5.75" customHeight="1" x14ac:dyDescent="0.45"/>
    <row r="2689" spans="1:26" ht="15.75" customHeight="1" x14ac:dyDescent="0.45"/>
    <row r="2690" spans="1:26" ht="15.75" customHeight="1" x14ac:dyDescent="0.45"/>
    <row r="2691" spans="1:26" ht="15.75" customHeight="1" x14ac:dyDescent="0.45"/>
    <row r="2692" spans="1:26" ht="15.75" customHeight="1" x14ac:dyDescent="0.75">
      <c r="A2692" s="43" t="s">
        <v>0</v>
      </c>
      <c r="B2692" s="40"/>
      <c r="C2692" s="40"/>
      <c r="D2692" s="40"/>
      <c r="E2692" s="40"/>
      <c r="F2692" s="40"/>
      <c r="G2692" s="40"/>
      <c r="H2692" s="41"/>
      <c r="I2692" s="1" t="s">
        <v>120</v>
      </c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5.75" customHeight="1" x14ac:dyDescent="0.75">
      <c r="A2693" s="43" t="s">
        <v>400</v>
      </c>
      <c r="B2693" s="40"/>
      <c r="C2693" s="40"/>
      <c r="D2693" s="40"/>
      <c r="E2693" s="40"/>
      <c r="F2693" s="40"/>
      <c r="G2693" s="40"/>
      <c r="H2693" s="41"/>
      <c r="I2693" s="1" t="s">
        <v>120</v>
      </c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5.75" customHeight="1" x14ac:dyDescent="0.55000000000000004">
      <c r="A2694" s="2" t="s">
        <v>3</v>
      </c>
      <c r="B2694" s="2" t="s">
        <v>4</v>
      </c>
      <c r="C2694" s="2" t="s">
        <v>5</v>
      </c>
      <c r="D2694" s="2" t="s">
        <v>6</v>
      </c>
      <c r="E2694" s="2" t="s">
        <v>7</v>
      </c>
      <c r="F2694" s="3" t="s">
        <v>8</v>
      </c>
      <c r="G2694" s="2" t="s">
        <v>9</v>
      </c>
      <c r="H2694" s="4"/>
      <c r="I2694" s="1" t="s">
        <v>120</v>
      </c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5.75" customHeight="1" x14ac:dyDescent="0.75">
      <c r="A2695" s="5">
        <v>1</v>
      </c>
      <c r="B2695" s="21" t="s">
        <v>265</v>
      </c>
      <c r="C2695" s="7">
        <v>8422</v>
      </c>
      <c r="D2695" s="6" t="s">
        <v>12</v>
      </c>
      <c r="E2695" s="6">
        <v>2</v>
      </c>
      <c r="F2695" s="8">
        <v>293000</v>
      </c>
      <c r="G2695" s="9">
        <f t="shared" ref="G2695:G2697" si="165">IFERROR(E2695*F2695,0)</f>
        <v>586000</v>
      </c>
      <c r="H2695" s="10"/>
      <c r="I2695" s="1" t="s">
        <v>120</v>
      </c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5.75" customHeight="1" x14ac:dyDescent="0.75">
      <c r="A2696" s="5">
        <v>2</v>
      </c>
      <c r="B2696" s="16" t="s">
        <v>47</v>
      </c>
      <c r="C2696" s="17">
        <v>7465</v>
      </c>
      <c r="D2696" s="16" t="s">
        <v>14</v>
      </c>
      <c r="E2696" s="16">
        <v>1.5</v>
      </c>
      <c r="F2696" s="11">
        <v>435000</v>
      </c>
      <c r="G2696" s="9">
        <f t="shared" si="165"/>
        <v>652500</v>
      </c>
      <c r="H2696" s="10"/>
      <c r="I2696" s="1" t="s">
        <v>120</v>
      </c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5.75" customHeight="1" x14ac:dyDescent="0.75">
      <c r="A2697" s="5">
        <v>3</v>
      </c>
      <c r="B2697" s="12" t="s">
        <v>15</v>
      </c>
      <c r="C2697" s="10"/>
      <c r="D2697" s="10"/>
      <c r="E2697" s="10"/>
      <c r="F2697" s="10"/>
      <c r="G2697" s="13">
        <f t="shared" si="165"/>
        <v>0</v>
      </c>
      <c r="H2697" s="10"/>
      <c r="I2697" s="1" t="s">
        <v>120</v>
      </c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5.75" customHeight="1" x14ac:dyDescent="0.75">
      <c r="A2698" s="39" t="s">
        <v>16</v>
      </c>
      <c r="B2698" s="40"/>
      <c r="C2698" s="40"/>
      <c r="D2698" s="40"/>
      <c r="E2698" s="40"/>
      <c r="F2698" s="40"/>
      <c r="G2698" s="41"/>
      <c r="H2698" s="14">
        <f>SUM(G2695:G2697)</f>
        <v>1238500</v>
      </c>
      <c r="I2698" s="1" t="s">
        <v>120</v>
      </c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5.75" customHeight="1" x14ac:dyDescent="0.75">
      <c r="A2699" s="39" t="s">
        <v>17</v>
      </c>
      <c r="B2699" s="40"/>
      <c r="C2699" s="40"/>
      <c r="D2699" s="40"/>
      <c r="E2699" s="40"/>
      <c r="F2699" s="40"/>
      <c r="G2699" s="41"/>
      <c r="H2699" s="14">
        <f>MAX(0,H2698-648000)</f>
        <v>590500</v>
      </c>
      <c r="I2699" s="1" t="s">
        <v>120</v>
      </c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5.75" customHeight="1" x14ac:dyDescent="0.75">
      <c r="A2700" s="42" t="s">
        <v>18</v>
      </c>
      <c r="B2700" s="40"/>
      <c r="C2700" s="40"/>
      <c r="D2700" s="40"/>
      <c r="E2700" s="40"/>
      <c r="F2700" s="40"/>
      <c r="G2700" s="41"/>
      <c r="H2700" s="15">
        <v>649000</v>
      </c>
      <c r="I2700" s="1" t="s">
        <v>120</v>
      </c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5.75" customHeight="1" x14ac:dyDescent="0.75">
      <c r="A2701" s="43" t="s">
        <v>19</v>
      </c>
      <c r="B2701" s="40"/>
      <c r="C2701" s="40"/>
      <c r="D2701" s="40"/>
      <c r="E2701" s="40"/>
      <c r="F2701" s="40"/>
      <c r="G2701" s="40"/>
      <c r="H2701" s="41"/>
      <c r="I2701" s="1" t="s">
        <v>120</v>
      </c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5.75" customHeight="1" x14ac:dyDescent="0.45"/>
    <row r="2703" spans="1:26" ht="15.75" customHeight="1" x14ac:dyDescent="0.45"/>
    <row r="2704" spans="1:26" ht="15.75" customHeight="1" x14ac:dyDescent="0.45"/>
    <row r="2705" spans="1:26" ht="15.75" customHeight="1" x14ac:dyDescent="0.45"/>
    <row r="2706" spans="1:26" ht="15.75" customHeight="1" x14ac:dyDescent="0.45"/>
    <row r="2707" spans="1:26" ht="15.75" customHeight="1" x14ac:dyDescent="0.75">
      <c r="A2707" s="43" t="s">
        <v>0</v>
      </c>
      <c r="B2707" s="40"/>
      <c r="C2707" s="40"/>
      <c r="D2707" s="40"/>
      <c r="E2707" s="40"/>
      <c r="F2707" s="40"/>
      <c r="G2707" s="40"/>
      <c r="H2707" s="41"/>
      <c r="I2707" s="1" t="s">
        <v>120</v>
      </c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5.75" customHeight="1" x14ac:dyDescent="0.75">
      <c r="A2708" s="43" t="s">
        <v>401</v>
      </c>
      <c r="B2708" s="40"/>
      <c r="C2708" s="40"/>
      <c r="D2708" s="40"/>
      <c r="E2708" s="40"/>
      <c r="F2708" s="40"/>
      <c r="G2708" s="40"/>
      <c r="H2708" s="41"/>
      <c r="I2708" s="1" t="s">
        <v>120</v>
      </c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5.75" customHeight="1" x14ac:dyDescent="0.55000000000000004">
      <c r="A2709" s="2" t="s">
        <v>3</v>
      </c>
      <c r="B2709" s="2" t="s">
        <v>4</v>
      </c>
      <c r="C2709" s="2" t="s">
        <v>5</v>
      </c>
      <c r="D2709" s="2" t="s">
        <v>6</v>
      </c>
      <c r="E2709" s="2" t="s">
        <v>7</v>
      </c>
      <c r="F2709" s="3" t="s">
        <v>8</v>
      </c>
      <c r="G2709" s="2" t="s">
        <v>9</v>
      </c>
      <c r="H2709" s="4"/>
      <c r="I2709" s="1" t="s">
        <v>120</v>
      </c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5.75" customHeight="1" x14ac:dyDescent="0.75">
      <c r="A2710" s="5">
        <v>1</v>
      </c>
      <c r="B2710" s="21" t="s">
        <v>402</v>
      </c>
      <c r="C2710" s="7">
        <v>1803</v>
      </c>
      <c r="D2710" s="6" t="s">
        <v>12</v>
      </c>
      <c r="E2710" s="6">
        <v>2</v>
      </c>
      <c r="F2710" s="8">
        <v>293000</v>
      </c>
      <c r="G2710" s="9">
        <f t="shared" ref="G2710:G2712" si="166">IFERROR(E2710*F2710,0)</f>
        <v>586000</v>
      </c>
      <c r="H2710" s="10"/>
      <c r="I2710" s="1" t="s">
        <v>120</v>
      </c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5.75" customHeight="1" x14ac:dyDescent="0.75">
      <c r="A2711" s="5">
        <v>2</v>
      </c>
      <c r="B2711" s="16" t="s">
        <v>403</v>
      </c>
      <c r="C2711" s="17">
        <v>2922</v>
      </c>
      <c r="D2711" s="16" t="s">
        <v>14</v>
      </c>
      <c r="E2711" s="16">
        <v>1.4</v>
      </c>
      <c r="F2711" s="11">
        <v>435000</v>
      </c>
      <c r="G2711" s="9">
        <f t="shared" si="166"/>
        <v>609000</v>
      </c>
      <c r="H2711" s="10"/>
      <c r="I2711" s="1" t="s">
        <v>120</v>
      </c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5.75" customHeight="1" x14ac:dyDescent="0.75">
      <c r="A2712" s="5">
        <v>3</v>
      </c>
      <c r="B2712" s="12" t="s">
        <v>15</v>
      </c>
      <c r="C2712" s="10"/>
      <c r="D2712" s="10"/>
      <c r="E2712" s="10"/>
      <c r="F2712" s="10"/>
      <c r="G2712" s="13">
        <f t="shared" si="166"/>
        <v>0</v>
      </c>
      <c r="H2712" s="10"/>
      <c r="I2712" s="1" t="s">
        <v>120</v>
      </c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5.75" customHeight="1" x14ac:dyDescent="0.75">
      <c r="A2713" s="39" t="s">
        <v>16</v>
      </c>
      <c r="B2713" s="40"/>
      <c r="C2713" s="40"/>
      <c r="D2713" s="40"/>
      <c r="E2713" s="40"/>
      <c r="F2713" s="40"/>
      <c r="G2713" s="41"/>
      <c r="H2713" s="14">
        <f>SUM(G2710:G2712)</f>
        <v>1195000</v>
      </c>
      <c r="I2713" s="1" t="s">
        <v>120</v>
      </c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5.75" customHeight="1" x14ac:dyDescent="0.75">
      <c r="A2714" s="39" t="s">
        <v>17</v>
      </c>
      <c r="B2714" s="40"/>
      <c r="C2714" s="40"/>
      <c r="D2714" s="40"/>
      <c r="E2714" s="40"/>
      <c r="F2714" s="40"/>
      <c r="G2714" s="41"/>
      <c r="H2714" s="14">
        <f>MAX(0,H2713-648000)</f>
        <v>547000</v>
      </c>
      <c r="I2714" s="1" t="s">
        <v>120</v>
      </c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5.75" customHeight="1" x14ac:dyDescent="0.75">
      <c r="A2715" s="42" t="s">
        <v>18</v>
      </c>
      <c r="B2715" s="40"/>
      <c r="C2715" s="40"/>
      <c r="D2715" s="40"/>
      <c r="E2715" s="40"/>
      <c r="F2715" s="40"/>
      <c r="G2715" s="41"/>
      <c r="H2715" s="15">
        <v>649000</v>
      </c>
      <c r="I2715" s="1" t="s">
        <v>120</v>
      </c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5.75" customHeight="1" x14ac:dyDescent="0.75">
      <c r="A2716" s="43" t="s">
        <v>19</v>
      </c>
      <c r="B2716" s="40"/>
      <c r="C2716" s="40"/>
      <c r="D2716" s="40"/>
      <c r="E2716" s="40"/>
      <c r="F2716" s="40"/>
      <c r="G2716" s="40"/>
      <c r="H2716" s="41"/>
      <c r="I2716" s="1" t="s">
        <v>120</v>
      </c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5.75" customHeight="1" x14ac:dyDescent="0.45"/>
    <row r="2718" spans="1:26" ht="15.75" customHeight="1" x14ac:dyDescent="0.45"/>
    <row r="2719" spans="1:26" ht="15.75" customHeight="1" x14ac:dyDescent="0.45"/>
    <row r="2720" spans="1:26" ht="15.75" customHeight="1" x14ac:dyDescent="0.45"/>
    <row r="2721" spans="1:26" ht="15.75" customHeight="1" x14ac:dyDescent="0.45"/>
    <row r="2722" spans="1:26" ht="15.75" customHeight="1" x14ac:dyDescent="0.75">
      <c r="A2722" s="43" t="s">
        <v>0</v>
      </c>
      <c r="B2722" s="40"/>
      <c r="C2722" s="40"/>
      <c r="D2722" s="40"/>
      <c r="E2722" s="40"/>
      <c r="F2722" s="40"/>
      <c r="G2722" s="40"/>
      <c r="H2722" s="41"/>
      <c r="I2722" s="1" t="s">
        <v>120</v>
      </c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5.75" customHeight="1" x14ac:dyDescent="0.75">
      <c r="A2723" s="43" t="s">
        <v>404</v>
      </c>
      <c r="B2723" s="40"/>
      <c r="C2723" s="40"/>
      <c r="D2723" s="40"/>
      <c r="E2723" s="40"/>
      <c r="F2723" s="40"/>
      <c r="G2723" s="40"/>
      <c r="H2723" s="41"/>
      <c r="I2723" s="1" t="s">
        <v>120</v>
      </c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5.75" customHeight="1" x14ac:dyDescent="0.55000000000000004">
      <c r="A2724" s="2" t="s">
        <v>3</v>
      </c>
      <c r="B2724" s="2" t="s">
        <v>4</v>
      </c>
      <c r="C2724" s="2" t="s">
        <v>5</v>
      </c>
      <c r="D2724" s="2" t="s">
        <v>6</v>
      </c>
      <c r="E2724" s="2" t="s">
        <v>7</v>
      </c>
      <c r="F2724" s="3" t="s">
        <v>8</v>
      </c>
      <c r="G2724" s="2" t="s">
        <v>9</v>
      </c>
      <c r="H2724" s="4"/>
      <c r="I2724" s="1" t="s">
        <v>120</v>
      </c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5.75" customHeight="1" x14ac:dyDescent="0.75">
      <c r="A2725" s="5">
        <v>1</v>
      </c>
      <c r="B2725" s="21" t="s">
        <v>405</v>
      </c>
      <c r="C2725" s="7">
        <v>8434</v>
      </c>
      <c r="D2725" s="6" t="s">
        <v>12</v>
      </c>
      <c r="E2725" s="6">
        <v>2.5</v>
      </c>
      <c r="F2725" s="8">
        <v>293000</v>
      </c>
      <c r="G2725" s="9">
        <f t="shared" ref="G2725:G2727" si="167">IFERROR(E2725*F2725,0)</f>
        <v>732500</v>
      </c>
      <c r="H2725" s="10"/>
      <c r="I2725" s="1" t="s">
        <v>120</v>
      </c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5.75" customHeight="1" x14ac:dyDescent="0.75">
      <c r="A2726" s="5">
        <v>2</v>
      </c>
      <c r="B2726" s="16" t="s">
        <v>406</v>
      </c>
      <c r="C2726" s="17">
        <v>2503</v>
      </c>
      <c r="D2726" s="16" t="s">
        <v>14</v>
      </c>
      <c r="E2726" s="16">
        <v>1</v>
      </c>
      <c r="F2726" s="11">
        <v>435000</v>
      </c>
      <c r="G2726" s="9">
        <f t="shared" si="167"/>
        <v>435000</v>
      </c>
      <c r="H2726" s="10"/>
      <c r="I2726" s="1" t="s">
        <v>120</v>
      </c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5.75" customHeight="1" x14ac:dyDescent="0.75">
      <c r="A2727" s="5">
        <v>3</v>
      </c>
      <c r="B2727" s="12" t="s">
        <v>15</v>
      </c>
      <c r="C2727" s="10"/>
      <c r="D2727" s="10"/>
      <c r="E2727" s="10"/>
      <c r="F2727" s="10"/>
      <c r="G2727" s="13">
        <f t="shared" si="167"/>
        <v>0</v>
      </c>
      <c r="H2727" s="10"/>
      <c r="I2727" s="1" t="s">
        <v>120</v>
      </c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5.75" customHeight="1" x14ac:dyDescent="0.75">
      <c r="A2728" s="39" t="s">
        <v>16</v>
      </c>
      <c r="B2728" s="40"/>
      <c r="C2728" s="40"/>
      <c r="D2728" s="40"/>
      <c r="E2728" s="40"/>
      <c r="F2728" s="40"/>
      <c r="G2728" s="41"/>
      <c r="H2728" s="14">
        <f>SUM(G2725:G2727)</f>
        <v>1167500</v>
      </c>
      <c r="I2728" s="1" t="s">
        <v>120</v>
      </c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5.75" customHeight="1" x14ac:dyDescent="0.75">
      <c r="A2729" s="39" t="s">
        <v>17</v>
      </c>
      <c r="B2729" s="40"/>
      <c r="C2729" s="40"/>
      <c r="D2729" s="40"/>
      <c r="E2729" s="40"/>
      <c r="F2729" s="40"/>
      <c r="G2729" s="41"/>
      <c r="H2729" s="14">
        <f>MAX(0,H2728-648000)</f>
        <v>519500</v>
      </c>
      <c r="I2729" s="1" t="s">
        <v>120</v>
      </c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5.75" customHeight="1" x14ac:dyDescent="0.75">
      <c r="A2730" s="42" t="s">
        <v>18</v>
      </c>
      <c r="B2730" s="40"/>
      <c r="C2730" s="40"/>
      <c r="D2730" s="40"/>
      <c r="E2730" s="40"/>
      <c r="F2730" s="40"/>
      <c r="G2730" s="41"/>
      <c r="H2730" s="15">
        <v>649000</v>
      </c>
      <c r="I2730" s="1" t="s">
        <v>120</v>
      </c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5.75" customHeight="1" x14ac:dyDescent="0.75">
      <c r="A2731" s="43" t="s">
        <v>19</v>
      </c>
      <c r="B2731" s="40"/>
      <c r="C2731" s="40"/>
      <c r="D2731" s="40"/>
      <c r="E2731" s="40"/>
      <c r="F2731" s="40"/>
      <c r="G2731" s="40"/>
      <c r="H2731" s="41"/>
      <c r="I2731" s="1" t="s">
        <v>120</v>
      </c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5.75" customHeight="1" x14ac:dyDescent="0.45"/>
    <row r="2733" spans="1:26" ht="15.75" customHeight="1" x14ac:dyDescent="0.45"/>
    <row r="2734" spans="1:26" ht="15.75" customHeight="1" x14ac:dyDescent="0.45"/>
    <row r="2735" spans="1:26" ht="15.75" customHeight="1" x14ac:dyDescent="0.45"/>
    <row r="2736" spans="1:26" ht="15.75" customHeight="1" x14ac:dyDescent="0.45"/>
    <row r="2737" spans="1:26" ht="15.75" customHeight="1" x14ac:dyDescent="0.45"/>
    <row r="2738" spans="1:26" ht="15.75" customHeight="1" x14ac:dyDescent="0.75">
      <c r="A2738" s="43" t="s">
        <v>0</v>
      </c>
      <c r="B2738" s="40"/>
      <c r="C2738" s="40"/>
      <c r="D2738" s="40"/>
      <c r="E2738" s="40"/>
      <c r="F2738" s="40"/>
      <c r="G2738" s="40"/>
      <c r="H2738" s="41"/>
      <c r="I2738" s="1" t="s">
        <v>120</v>
      </c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5.75" customHeight="1" x14ac:dyDescent="0.75">
      <c r="A2739" s="43" t="s">
        <v>407</v>
      </c>
      <c r="B2739" s="40"/>
      <c r="C2739" s="40"/>
      <c r="D2739" s="40"/>
      <c r="E2739" s="40"/>
      <c r="F2739" s="40"/>
      <c r="G2739" s="40"/>
      <c r="H2739" s="41"/>
      <c r="I2739" s="1" t="s">
        <v>120</v>
      </c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5.75" customHeight="1" x14ac:dyDescent="0.55000000000000004">
      <c r="A2740" s="2" t="s">
        <v>3</v>
      </c>
      <c r="B2740" s="2" t="s">
        <v>4</v>
      </c>
      <c r="C2740" s="2" t="s">
        <v>5</v>
      </c>
      <c r="D2740" s="2" t="s">
        <v>6</v>
      </c>
      <c r="E2740" s="2" t="s">
        <v>7</v>
      </c>
      <c r="F2740" s="3" t="s">
        <v>8</v>
      </c>
      <c r="G2740" s="2" t="s">
        <v>9</v>
      </c>
      <c r="H2740" s="4"/>
      <c r="I2740" s="1" t="s">
        <v>120</v>
      </c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5.75" customHeight="1" x14ac:dyDescent="0.75">
      <c r="A2741" s="5">
        <v>1</v>
      </c>
      <c r="B2741" s="21" t="s">
        <v>47</v>
      </c>
      <c r="C2741" s="7">
        <v>8431</v>
      </c>
      <c r="D2741" s="6" t="s">
        <v>12</v>
      </c>
      <c r="E2741" s="6">
        <v>1.96</v>
      </c>
      <c r="F2741" s="8">
        <v>293000</v>
      </c>
      <c r="G2741" s="9">
        <f t="shared" ref="G2741:G2743" si="168">IFERROR(E2741*F2741,0)</f>
        <v>574280</v>
      </c>
      <c r="H2741" s="10"/>
      <c r="I2741" s="1" t="s">
        <v>120</v>
      </c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5.75" customHeight="1" x14ac:dyDescent="0.75">
      <c r="A2742" s="5">
        <v>2</v>
      </c>
      <c r="B2742" s="16" t="s">
        <v>103</v>
      </c>
      <c r="C2742" s="17">
        <v>3060</v>
      </c>
      <c r="D2742" s="16" t="s">
        <v>14</v>
      </c>
      <c r="E2742" s="16">
        <v>1.47</v>
      </c>
      <c r="F2742" s="11">
        <v>435000</v>
      </c>
      <c r="G2742" s="9">
        <f t="shared" si="168"/>
        <v>639450</v>
      </c>
      <c r="H2742" s="10"/>
      <c r="I2742" s="1" t="s">
        <v>120</v>
      </c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5.75" customHeight="1" x14ac:dyDescent="0.75">
      <c r="A2743" s="5">
        <v>3</v>
      </c>
      <c r="B2743" s="12" t="s">
        <v>15</v>
      </c>
      <c r="C2743" s="10"/>
      <c r="D2743" s="10"/>
      <c r="E2743" s="10"/>
      <c r="F2743" s="10"/>
      <c r="G2743" s="13">
        <f t="shared" si="168"/>
        <v>0</v>
      </c>
      <c r="H2743" s="10"/>
      <c r="I2743" s="1" t="s">
        <v>120</v>
      </c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5.75" customHeight="1" x14ac:dyDescent="0.75">
      <c r="A2744" s="39" t="s">
        <v>16</v>
      </c>
      <c r="B2744" s="40"/>
      <c r="C2744" s="40"/>
      <c r="D2744" s="40"/>
      <c r="E2744" s="40"/>
      <c r="F2744" s="40"/>
      <c r="G2744" s="41"/>
      <c r="H2744" s="14">
        <f>SUM(G2741:G2743)</f>
        <v>1213730</v>
      </c>
      <c r="I2744" s="1" t="s">
        <v>120</v>
      </c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5.75" customHeight="1" x14ac:dyDescent="0.75">
      <c r="A2745" s="39" t="s">
        <v>17</v>
      </c>
      <c r="B2745" s="40"/>
      <c r="C2745" s="40"/>
      <c r="D2745" s="40"/>
      <c r="E2745" s="40"/>
      <c r="F2745" s="40"/>
      <c r="G2745" s="41"/>
      <c r="H2745" s="14">
        <f>MAX(0,H2744-648000)</f>
        <v>565730</v>
      </c>
      <c r="I2745" s="1" t="s">
        <v>120</v>
      </c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5.75" customHeight="1" x14ac:dyDescent="0.75">
      <c r="A2746" s="42" t="s">
        <v>18</v>
      </c>
      <c r="B2746" s="40"/>
      <c r="C2746" s="40"/>
      <c r="D2746" s="40"/>
      <c r="E2746" s="40"/>
      <c r="F2746" s="40"/>
      <c r="G2746" s="41"/>
      <c r="H2746" s="15">
        <v>649000</v>
      </c>
      <c r="I2746" s="1" t="s">
        <v>120</v>
      </c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5.75" customHeight="1" x14ac:dyDescent="0.75">
      <c r="A2747" s="43" t="s">
        <v>19</v>
      </c>
      <c r="B2747" s="40"/>
      <c r="C2747" s="40"/>
      <c r="D2747" s="40"/>
      <c r="E2747" s="40"/>
      <c r="F2747" s="40"/>
      <c r="G2747" s="40"/>
      <c r="H2747" s="41"/>
      <c r="I2747" s="1" t="s">
        <v>120</v>
      </c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5.75" customHeight="1" x14ac:dyDescent="0.45"/>
    <row r="2749" spans="1:26" ht="15.75" customHeight="1" x14ac:dyDescent="0.45"/>
    <row r="2750" spans="1:26" ht="15.75" customHeight="1" x14ac:dyDescent="0.45"/>
    <row r="2751" spans="1:26" ht="15.75" customHeight="1" x14ac:dyDescent="0.45"/>
    <row r="2752" spans="1:26" ht="15.75" customHeight="1" x14ac:dyDescent="0.45"/>
    <row r="2753" spans="1:26" ht="15.75" customHeight="1" x14ac:dyDescent="0.45"/>
    <row r="2754" spans="1:26" ht="15.75" customHeight="1" x14ac:dyDescent="0.75">
      <c r="A2754" s="43" t="s">
        <v>0</v>
      </c>
      <c r="B2754" s="40"/>
      <c r="C2754" s="40"/>
      <c r="D2754" s="40"/>
      <c r="E2754" s="40"/>
      <c r="F2754" s="40"/>
      <c r="G2754" s="40"/>
      <c r="H2754" s="41"/>
      <c r="I2754" s="1" t="s">
        <v>120</v>
      </c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5.75" customHeight="1" x14ac:dyDescent="0.75">
      <c r="A2755" s="43" t="s">
        <v>408</v>
      </c>
      <c r="B2755" s="40"/>
      <c r="C2755" s="40"/>
      <c r="D2755" s="40"/>
      <c r="E2755" s="40"/>
      <c r="F2755" s="40"/>
      <c r="G2755" s="40"/>
      <c r="H2755" s="41"/>
      <c r="I2755" s="1" t="s">
        <v>120</v>
      </c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5.75" customHeight="1" x14ac:dyDescent="0.55000000000000004">
      <c r="A2756" s="2" t="s">
        <v>3</v>
      </c>
      <c r="B2756" s="2" t="s">
        <v>4</v>
      </c>
      <c r="C2756" s="2" t="s">
        <v>5</v>
      </c>
      <c r="D2756" s="2" t="s">
        <v>6</v>
      </c>
      <c r="E2756" s="2" t="s">
        <v>7</v>
      </c>
      <c r="F2756" s="3" t="s">
        <v>8</v>
      </c>
      <c r="G2756" s="2" t="s">
        <v>9</v>
      </c>
      <c r="H2756" s="4"/>
      <c r="I2756" s="1" t="s">
        <v>120</v>
      </c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5.75" customHeight="1" x14ac:dyDescent="0.75">
      <c r="A2757" s="5">
        <v>1</v>
      </c>
      <c r="B2757" s="21" t="s">
        <v>24</v>
      </c>
      <c r="C2757" s="7">
        <v>2299</v>
      </c>
      <c r="D2757" s="6" t="s">
        <v>12</v>
      </c>
      <c r="E2757" s="6">
        <v>2</v>
      </c>
      <c r="F2757" s="8">
        <v>293000</v>
      </c>
      <c r="G2757" s="9">
        <f t="shared" ref="G2757:G2759" si="169">IFERROR(E2757*F2757,0)</f>
        <v>586000</v>
      </c>
      <c r="H2757" s="10"/>
      <c r="I2757" s="1" t="s">
        <v>120</v>
      </c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5.75" customHeight="1" x14ac:dyDescent="0.75">
      <c r="A2758" s="5">
        <v>2</v>
      </c>
      <c r="B2758" s="16" t="s">
        <v>138</v>
      </c>
      <c r="C2758" s="17">
        <v>7459</v>
      </c>
      <c r="D2758" s="16" t="s">
        <v>14</v>
      </c>
      <c r="E2758" s="16">
        <v>1.35</v>
      </c>
      <c r="F2758" s="11">
        <v>435000</v>
      </c>
      <c r="G2758" s="9">
        <f t="shared" si="169"/>
        <v>587250</v>
      </c>
      <c r="H2758" s="10"/>
      <c r="I2758" s="1" t="s">
        <v>120</v>
      </c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5.75" customHeight="1" x14ac:dyDescent="0.75">
      <c r="A2759" s="5">
        <v>3</v>
      </c>
      <c r="B2759" s="12" t="s">
        <v>15</v>
      </c>
      <c r="C2759" s="10"/>
      <c r="D2759" s="10"/>
      <c r="E2759" s="10"/>
      <c r="F2759" s="10"/>
      <c r="G2759" s="13">
        <f t="shared" si="169"/>
        <v>0</v>
      </c>
      <c r="H2759" s="10"/>
      <c r="I2759" s="1" t="s">
        <v>120</v>
      </c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5.75" customHeight="1" x14ac:dyDescent="0.75">
      <c r="A2760" s="39" t="s">
        <v>16</v>
      </c>
      <c r="B2760" s="40"/>
      <c r="C2760" s="40"/>
      <c r="D2760" s="40"/>
      <c r="E2760" s="40"/>
      <c r="F2760" s="40"/>
      <c r="G2760" s="41"/>
      <c r="H2760" s="14">
        <f>SUM(G2757:G2759)</f>
        <v>1173250</v>
      </c>
      <c r="I2760" s="1" t="s">
        <v>120</v>
      </c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5.75" customHeight="1" x14ac:dyDescent="0.75">
      <c r="A2761" s="39" t="s">
        <v>17</v>
      </c>
      <c r="B2761" s="40"/>
      <c r="C2761" s="40"/>
      <c r="D2761" s="40"/>
      <c r="E2761" s="40"/>
      <c r="F2761" s="40"/>
      <c r="G2761" s="41"/>
      <c r="H2761" s="14">
        <f>MAX(0,H2760-648000)</f>
        <v>525250</v>
      </c>
      <c r="I2761" s="1" t="s">
        <v>120</v>
      </c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5.75" customHeight="1" x14ac:dyDescent="0.75">
      <c r="A2762" s="42" t="s">
        <v>18</v>
      </c>
      <c r="B2762" s="40"/>
      <c r="C2762" s="40"/>
      <c r="D2762" s="40"/>
      <c r="E2762" s="40"/>
      <c r="F2762" s="40"/>
      <c r="G2762" s="41"/>
      <c r="H2762" s="15">
        <v>649000</v>
      </c>
      <c r="I2762" s="1" t="s">
        <v>120</v>
      </c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5.75" customHeight="1" x14ac:dyDescent="0.75">
      <c r="A2763" s="43" t="s">
        <v>19</v>
      </c>
      <c r="B2763" s="40"/>
      <c r="C2763" s="40"/>
      <c r="D2763" s="40"/>
      <c r="E2763" s="40"/>
      <c r="F2763" s="40"/>
      <c r="G2763" s="40"/>
      <c r="H2763" s="41"/>
      <c r="I2763" s="1" t="s">
        <v>120</v>
      </c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5.75" customHeight="1" x14ac:dyDescent="0.45"/>
    <row r="2765" spans="1:26" ht="15.75" customHeight="1" x14ac:dyDescent="0.45"/>
    <row r="2766" spans="1:26" ht="15.75" customHeight="1" x14ac:dyDescent="0.45"/>
    <row r="2767" spans="1:26" ht="15.75" customHeight="1" x14ac:dyDescent="0.45"/>
    <row r="2768" spans="1:26" ht="15.75" customHeight="1" x14ac:dyDescent="0.75">
      <c r="A2768" s="43" t="s">
        <v>0</v>
      </c>
      <c r="B2768" s="40"/>
      <c r="C2768" s="40"/>
      <c r="D2768" s="40"/>
      <c r="E2768" s="40"/>
      <c r="F2768" s="40"/>
      <c r="G2768" s="40"/>
      <c r="H2768" s="41"/>
      <c r="I2768" s="1" t="s">
        <v>120</v>
      </c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5.75" customHeight="1" x14ac:dyDescent="0.75">
      <c r="A2769" s="43" t="s">
        <v>409</v>
      </c>
      <c r="B2769" s="40"/>
      <c r="C2769" s="40"/>
      <c r="D2769" s="40"/>
      <c r="E2769" s="40"/>
      <c r="F2769" s="40"/>
      <c r="G2769" s="40"/>
      <c r="H2769" s="41"/>
      <c r="I2769" s="1" t="s">
        <v>120</v>
      </c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5.75" customHeight="1" x14ac:dyDescent="0.55000000000000004">
      <c r="A2770" s="2" t="s">
        <v>3</v>
      </c>
      <c r="B2770" s="2" t="s">
        <v>4</v>
      </c>
      <c r="C2770" s="2" t="s">
        <v>5</v>
      </c>
      <c r="D2770" s="2" t="s">
        <v>6</v>
      </c>
      <c r="E2770" s="2" t="s">
        <v>7</v>
      </c>
      <c r="F2770" s="3" t="s">
        <v>8</v>
      </c>
      <c r="G2770" s="2" t="s">
        <v>9</v>
      </c>
      <c r="H2770" s="4"/>
      <c r="I2770" s="1" t="s">
        <v>120</v>
      </c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5.75" customHeight="1" x14ac:dyDescent="0.75">
      <c r="A2771" s="5">
        <v>1</v>
      </c>
      <c r="B2771" s="21" t="s">
        <v>161</v>
      </c>
      <c r="C2771" s="7">
        <v>3554</v>
      </c>
      <c r="D2771" s="6" t="s">
        <v>12</v>
      </c>
      <c r="E2771" s="6">
        <v>2.5</v>
      </c>
      <c r="F2771" s="8">
        <v>293000</v>
      </c>
      <c r="G2771" s="9">
        <f t="shared" ref="G2771:G2773" si="170">IFERROR(E2771*F2771,0)</f>
        <v>732500</v>
      </c>
      <c r="H2771" s="10"/>
      <c r="I2771" s="1" t="s">
        <v>120</v>
      </c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5.75" customHeight="1" x14ac:dyDescent="0.75">
      <c r="A2772" s="5">
        <v>2</v>
      </c>
      <c r="B2772" s="16" t="s">
        <v>70</v>
      </c>
      <c r="C2772" s="17">
        <v>1819</v>
      </c>
      <c r="D2772" s="16" t="s">
        <v>14</v>
      </c>
      <c r="E2772" s="16">
        <v>1.1000000000000001</v>
      </c>
      <c r="F2772" s="11">
        <v>435000</v>
      </c>
      <c r="G2772" s="9">
        <f t="shared" si="170"/>
        <v>478500.00000000006</v>
      </c>
      <c r="H2772" s="10"/>
      <c r="I2772" s="1" t="s">
        <v>120</v>
      </c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5.75" customHeight="1" x14ac:dyDescent="0.75">
      <c r="A2773" s="5">
        <v>3</v>
      </c>
      <c r="B2773" s="12" t="s">
        <v>15</v>
      </c>
      <c r="C2773" s="10"/>
      <c r="D2773" s="10"/>
      <c r="E2773" s="10"/>
      <c r="F2773" s="10"/>
      <c r="G2773" s="13">
        <f t="shared" si="170"/>
        <v>0</v>
      </c>
      <c r="H2773" s="10"/>
      <c r="I2773" s="1" t="s">
        <v>120</v>
      </c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5.75" customHeight="1" x14ac:dyDescent="0.75">
      <c r="A2774" s="39" t="s">
        <v>16</v>
      </c>
      <c r="B2774" s="40"/>
      <c r="C2774" s="40"/>
      <c r="D2774" s="40"/>
      <c r="E2774" s="40"/>
      <c r="F2774" s="40"/>
      <c r="G2774" s="41"/>
      <c r="H2774" s="14">
        <f>SUM(G2771:G2773)</f>
        <v>1211000</v>
      </c>
      <c r="I2774" s="1" t="s">
        <v>120</v>
      </c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5.75" customHeight="1" x14ac:dyDescent="0.75">
      <c r="A2775" s="39" t="s">
        <v>17</v>
      </c>
      <c r="B2775" s="40"/>
      <c r="C2775" s="40"/>
      <c r="D2775" s="40"/>
      <c r="E2775" s="40"/>
      <c r="F2775" s="40"/>
      <c r="G2775" s="41"/>
      <c r="H2775" s="14">
        <f>MAX(0,H2774-648000)</f>
        <v>563000</v>
      </c>
      <c r="I2775" s="1" t="s">
        <v>120</v>
      </c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5.75" customHeight="1" x14ac:dyDescent="0.75">
      <c r="A2776" s="42" t="s">
        <v>18</v>
      </c>
      <c r="B2776" s="40"/>
      <c r="C2776" s="40"/>
      <c r="D2776" s="40"/>
      <c r="E2776" s="40"/>
      <c r="F2776" s="40"/>
      <c r="G2776" s="41"/>
      <c r="H2776" s="15">
        <v>649000</v>
      </c>
      <c r="I2776" s="1" t="s">
        <v>120</v>
      </c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5.75" customHeight="1" x14ac:dyDescent="0.75">
      <c r="A2777" s="43" t="s">
        <v>19</v>
      </c>
      <c r="B2777" s="40"/>
      <c r="C2777" s="40"/>
      <c r="D2777" s="40"/>
      <c r="E2777" s="40"/>
      <c r="F2777" s="40"/>
      <c r="G2777" s="40"/>
      <c r="H2777" s="41"/>
      <c r="I2777" s="1" t="s">
        <v>120</v>
      </c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5.75" customHeight="1" x14ac:dyDescent="0.45"/>
    <row r="2779" spans="1:26" ht="15.75" customHeight="1" x14ac:dyDescent="0.45"/>
    <row r="2780" spans="1:26" ht="15.75" customHeight="1" x14ac:dyDescent="0.45"/>
    <row r="2781" spans="1:26" ht="15.75" customHeight="1" x14ac:dyDescent="0.45"/>
    <row r="2782" spans="1:26" ht="15.75" customHeight="1" x14ac:dyDescent="0.45"/>
    <row r="2783" spans="1:26" ht="15.75" customHeight="1" x14ac:dyDescent="0.45"/>
    <row r="2784" spans="1:26" ht="15.75" customHeight="1" x14ac:dyDescent="0.45"/>
    <row r="2785" spans="1:26" ht="15.75" customHeight="1" x14ac:dyDescent="0.75">
      <c r="A2785" s="43" t="s">
        <v>0</v>
      </c>
      <c r="B2785" s="40"/>
      <c r="C2785" s="40"/>
      <c r="D2785" s="40"/>
      <c r="E2785" s="40"/>
      <c r="F2785" s="40"/>
      <c r="G2785" s="40"/>
      <c r="H2785" s="41"/>
      <c r="I2785" s="1" t="s">
        <v>120</v>
      </c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5.75" customHeight="1" x14ac:dyDescent="0.75">
      <c r="A2786" s="43" t="s">
        <v>410</v>
      </c>
      <c r="B2786" s="40"/>
      <c r="C2786" s="40"/>
      <c r="D2786" s="40"/>
      <c r="E2786" s="40"/>
      <c r="F2786" s="40"/>
      <c r="G2786" s="40"/>
      <c r="H2786" s="41"/>
      <c r="I2786" s="1" t="s">
        <v>120</v>
      </c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5.75" customHeight="1" x14ac:dyDescent="0.55000000000000004">
      <c r="A2787" s="2" t="s">
        <v>3</v>
      </c>
      <c r="B2787" s="2" t="s">
        <v>4</v>
      </c>
      <c r="C2787" s="2" t="s">
        <v>5</v>
      </c>
      <c r="D2787" s="2" t="s">
        <v>6</v>
      </c>
      <c r="E2787" s="2" t="s">
        <v>7</v>
      </c>
      <c r="F2787" s="3" t="s">
        <v>8</v>
      </c>
      <c r="G2787" s="2" t="s">
        <v>9</v>
      </c>
      <c r="H2787" s="4"/>
      <c r="I2787" s="1" t="s">
        <v>120</v>
      </c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5.75" customHeight="1" x14ac:dyDescent="0.75">
      <c r="A2788" s="5">
        <v>1</v>
      </c>
      <c r="B2788" s="21" t="s">
        <v>27</v>
      </c>
      <c r="C2788" s="7">
        <v>8406</v>
      </c>
      <c r="D2788" s="6" t="s">
        <v>12</v>
      </c>
      <c r="E2788" s="6">
        <v>2.58</v>
      </c>
      <c r="F2788" s="8">
        <v>293000</v>
      </c>
      <c r="G2788" s="9">
        <f t="shared" ref="G2788:G2790" si="171">IFERROR(E2788*F2788,0)</f>
        <v>755940</v>
      </c>
      <c r="H2788" s="10"/>
      <c r="I2788" s="1" t="s">
        <v>120</v>
      </c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5.75" customHeight="1" x14ac:dyDescent="0.75">
      <c r="A2789" s="5">
        <v>2</v>
      </c>
      <c r="B2789" s="16" t="s">
        <v>154</v>
      </c>
      <c r="C2789" s="17">
        <v>3618</v>
      </c>
      <c r="D2789" s="16" t="s">
        <v>14</v>
      </c>
      <c r="E2789" s="16">
        <v>1.05</v>
      </c>
      <c r="F2789" s="11">
        <v>435000</v>
      </c>
      <c r="G2789" s="9">
        <f t="shared" si="171"/>
        <v>456750</v>
      </c>
      <c r="H2789" s="10"/>
      <c r="I2789" s="1" t="s">
        <v>120</v>
      </c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5.75" customHeight="1" x14ac:dyDescent="0.75">
      <c r="A2790" s="5">
        <v>3</v>
      </c>
      <c r="B2790" s="12" t="s">
        <v>15</v>
      </c>
      <c r="C2790" s="10"/>
      <c r="D2790" s="10"/>
      <c r="E2790" s="10"/>
      <c r="F2790" s="10"/>
      <c r="G2790" s="13">
        <f t="shared" si="171"/>
        <v>0</v>
      </c>
      <c r="H2790" s="10"/>
      <c r="I2790" s="1" t="s">
        <v>120</v>
      </c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5.75" customHeight="1" x14ac:dyDescent="0.75">
      <c r="A2791" s="39" t="s">
        <v>16</v>
      </c>
      <c r="B2791" s="40"/>
      <c r="C2791" s="40"/>
      <c r="D2791" s="40"/>
      <c r="E2791" s="40"/>
      <c r="F2791" s="40"/>
      <c r="G2791" s="41"/>
      <c r="H2791" s="14">
        <f>SUM(G2788:G2790)</f>
        <v>1212690</v>
      </c>
      <c r="I2791" s="1" t="s">
        <v>120</v>
      </c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5.75" customHeight="1" x14ac:dyDescent="0.75">
      <c r="A2792" s="39" t="s">
        <v>17</v>
      </c>
      <c r="B2792" s="40"/>
      <c r="C2792" s="40"/>
      <c r="D2792" s="40"/>
      <c r="E2792" s="40"/>
      <c r="F2792" s="40"/>
      <c r="G2792" s="41"/>
      <c r="H2792" s="14">
        <f>MAX(0,H2791-648000)</f>
        <v>564690</v>
      </c>
      <c r="I2792" s="1" t="s">
        <v>120</v>
      </c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5.75" customHeight="1" x14ac:dyDescent="0.75">
      <c r="A2793" s="42" t="s">
        <v>18</v>
      </c>
      <c r="B2793" s="40"/>
      <c r="C2793" s="40"/>
      <c r="D2793" s="40"/>
      <c r="E2793" s="40"/>
      <c r="F2793" s="40"/>
      <c r="G2793" s="41"/>
      <c r="H2793" s="15">
        <v>649000</v>
      </c>
      <c r="I2793" s="1" t="s">
        <v>120</v>
      </c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5.75" customHeight="1" x14ac:dyDescent="0.75">
      <c r="A2794" s="43" t="s">
        <v>19</v>
      </c>
      <c r="B2794" s="40"/>
      <c r="C2794" s="40"/>
      <c r="D2794" s="40"/>
      <c r="E2794" s="40"/>
      <c r="F2794" s="40"/>
      <c r="G2794" s="40"/>
      <c r="H2794" s="41"/>
      <c r="I2794" s="1" t="s">
        <v>120</v>
      </c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5.75" customHeight="1" x14ac:dyDescent="0.45"/>
    <row r="2796" spans="1:26" ht="15.75" customHeight="1" x14ac:dyDescent="0.45"/>
    <row r="2797" spans="1:26" ht="15.75" customHeight="1" x14ac:dyDescent="0.45"/>
    <row r="2798" spans="1:26" ht="15.75" customHeight="1" x14ac:dyDescent="0.45"/>
    <row r="2799" spans="1:26" ht="15.75" customHeight="1" x14ac:dyDescent="0.45"/>
    <row r="2800" spans="1:26" ht="15.75" customHeight="1" x14ac:dyDescent="0.75">
      <c r="A2800" s="43" t="s">
        <v>0</v>
      </c>
      <c r="B2800" s="40"/>
      <c r="C2800" s="40"/>
      <c r="D2800" s="40"/>
      <c r="E2800" s="40"/>
      <c r="F2800" s="40"/>
      <c r="G2800" s="40"/>
      <c r="H2800" s="41"/>
      <c r="I2800" s="1" t="s">
        <v>120</v>
      </c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5.75" customHeight="1" x14ac:dyDescent="0.75">
      <c r="A2801" s="43" t="s">
        <v>411</v>
      </c>
      <c r="B2801" s="40"/>
      <c r="C2801" s="40"/>
      <c r="D2801" s="40"/>
      <c r="E2801" s="40"/>
      <c r="F2801" s="40"/>
      <c r="G2801" s="40"/>
      <c r="H2801" s="41"/>
      <c r="I2801" s="1" t="s">
        <v>120</v>
      </c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5.75" customHeight="1" x14ac:dyDescent="0.55000000000000004">
      <c r="A2802" s="2" t="s">
        <v>3</v>
      </c>
      <c r="B2802" s="2" t="s">
        <v>4</v>
      </c>
      <c r="C2802" s="2" t="s">
        <v>5</v>
      </c>
      <c r="D2802" s="2" t="s">
        <v>6</v>
      </c>
      <c r="E2802" s="2" t="s">
        <v>7</v>
      </c>
      <c r="F2802" s="3" t="s">
        <v>8</v>
      </c>
      <c r="G2802" s="2" t="s">
        <v>9</v>
      </c>
      <c r="H2802" s="4"/>
      <c r="I2802" s="1" t="s">
        <v>120</v>
      </c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5.75" customHeight="1" x14ac:dyDescent="0.75">
      <c r="A2803" s="5">
        <v>1</v>
      </c>
      <c r="B2803" s="21" t="s">
        <v>412</v>
      </c>
      <c r="C2803" s="7">
        <v>8431</v>
      </c>
      <c r="D2803" s="6" t="s">
        <v>12</v>
      </c>
      <c r="E2803" s="6">
        <v>1.93</v>
      </c>
      <c r="F2803" s="8">
        <v>293000</v>
      </c>
      <c r="G2803" s="9">
        <f t="shared" ref="G2803:G2805" si="172">IFERROR(E2803*F2803,0)</f>
        <v>565490</v>
      </c>
      <c r="H2803" s="10"/>
      <c r="I2803" s="1" t="s">
        <v>120</v>
      </c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5.75" customHeight="1" x14ac:dyDescent="0.75">
      <c r="A2804" s="5">
        <v>2</v>
      </c>
      <c r="B2804" s="16" t="s">
        <v>262</v>
      </c>
      <c r="C2804" s="17">
        <v>1306</v>
      </c>
      <c r="D2804" s="16" t="s">
        <v>14</v>
      </c>
      <c r="E2804" s="16">
        <v>1.5</v>
      </c>
      <c r="F2804" s="11">
        <v>435000</v>
      </c>
      <c r="G2804" s="9">
        <f t="shared" si="172"/>
        <v>652500</v>
      </c>
      <c r="H2804" s="10"/>
      <c r="I2804" s="1" t="s">
        <v>120</v>
      </c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5.75" customHeight="1" x14ac:dyDescent="0.75">
      <c r="A2805" s="5">
        <v>3</v>
      </c>
      <c r="B2805" s="12" t="s">
        <v>15</v>
      </c>
      <c r="C2805" s="10"/>
      <c r="D2805" s="10"/>
      <c r="E2805" s="10"/>
      <c r="F2805" s="10"/>
      <c r="G2805" s="13">
        <f t="shared" si="172"/>
        <v>0</v>
      </c>
      <c r="H2805" s="10"/>
      <c r="I2805" s="1" t="s">
        <v>120</v>
      </c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5.75" customHeight="1" x14ac:dyDescent="0.75">
      <c r="A2806" s="39" t="s">
        <v>16</v>
      </c>
      <c r="B2806" s="40"/>
      <c r="C2806" s="40"/>
      <c r="D2806" s="40"/>
      <c r="E2806" s="40"/>
      <c r="F2806" s="40"/>
      <c r="G2806" s="41"/>
      <c r="H2806" s="14">
        <f>SUM(G2803:G2805)</f>
        <v>1217990</v>
      </c>
      <c r="I2806" s="1" t="s">
        <v>120</v>
      </c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5.75" customHeight="1" x14ac:dyDescent="0.75">
      <c r="A2807" s="39" t="s">
        <v>17</v>
      </c>
      <c r="B2807" s="40"/>
      <c r="C2807" s="40"/>
      <c r="D2807" s="40"/>
      <c r="E2807" s="40"/>
      <c r="F2807" s="40"/>
      <c r="G2807" s="41"/>
      <c r="H2807" s="14">
        <f>MAX(0,H2806-648000)</f>
        <v>569990</v>
      </c>
      <c r="I2807" s="1" t="s">
        <v>120</v>
      </c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5.75" customHeight="1" x14ac:dyDescent="0.75">
      <c r="A2808" s="42" t="s">
        <v>18</v>
      </c>
      <c r="B2808" s="40"/>
      <c r="C2808" s="40"/>
      <c r="D2808" s="40"/>
      <c r="E2808" s="40"/>
      <c r="F2808" s="40"/>
      <c r="G2808" s="41"/>
      <c r="H2808" s="15">
        <v>649000</v>
      </c>
      <c r="I2808" s="1" t="s">
        <v>120</v>
      </c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5.75" customHeight="1" x14ac:dyDescent="0.75">
      <c r="A2809" s="43" t="s">
        <v>19</v>
      </c>
      <c r="B2809" s="40"/>
      <c r="C2809" s="40"/>
      <c r="D2809" s="40"/>
      <c r="E2809" s="40"/>
      <c r="F2809" s="40"/>
      <c r="G2809" s="40"/>
      <c r="H2809" s="41"/>
      <c r="I2809" s="1" t="s">
        <v>120</v>
      </c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5.75" customHeight="1" x14ac:dyDescent="0.45"/>
    <row r="2811" spans="1:26" ht="15.75" customHeight="1" x14ac:dyDescent="0.45"/>
    <row r="2812" spans="1:26" ht="15.75" customHeight="1" x14ac:dyDescent="0.45"/>
    <row r="2813" spans="1:26" ht="15.75" customHeight="1" x14ac:dyDescent="0.45"/>
    <row r="2814" spans="1:26" ht="15.75" customHeight="1" x14ac:dyDescent="0.45"/>
    <row r="2815" spans="1:26" ht="15.75" customHeight="1" x14ac:dyDescent="0.45"/>
    <row r="2816" spans="1:26" ht="15.75" customHeight="1" x14ac:dyDescent="0.75">
      <c r="A2816" s="43" t="s">
        <v>0</v>
      </c>
      <c r="B2816" s="40"/>
      <c r="C2816" s="40"/>
      <c r="D2816" s="40"/>
      <c r="E2816" s="40"/>
      <c r="F2816" s="40"/>
      <c r="G2816" s="40"/>
      <c r="H2816" s="41"/>
      <c r="I2816" s="1" t="s">
        <v>120</v>
      </c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5.75" customHeight="1" x14ac:dyDescent="0.75">
      <c r="A2817" s="43" t="s">
        <v>413</v>
      </c>
      <c r="B2817" s="40"/>
      <c r="C2817" s="40"/>
      <c r="D2817" s="40"/>
      <c r="E2817" s="40"/>
      <c r="F2817" s="40"/>
      <c r="G2817" s="40"/>
      <c r="H2817" s="41"/>
      <c r="I2817" s="1" t="s">
        <v>120</v>
      </c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5.75" customHeight="1" x14ac:dyDescent="0.55000000000000004">
      <c r="A2818" s="2" t="s">
        <v>3</v>
      </c>
      <c r="B2818" s="2" t="s">
        <v>4</v>
      </c>
      <c r="C2818" s="2" t="s">
        <v>5</v>
      </c>
      <c r="D2818" s="2" t="s">
        <v>6</v>
      </c>
      <c r="E2818" s="2" t="s">
        <v>7</v>
      </c>
      <c r="F2818" s="3" t="s">
        <v>8</v>
      </c>
      <c r="G2818" s="2" t="s">
        <v>9</v>
      </c>
      <c r="H2818" s="4"/>
      <c r="I2818" s="1" t="s">
        <v>120</v>
      </c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5.75" customHeight="1" x14ac:dyDescent="0.75">
      <c r="A2819" s="5">
        <v>1</v>
      </c>
      <c r="B2819" s="21" t="s">
        <v>262</v>
      </c>
      <c r="C2819" s="7">
        <v>1003</v>
      </c>
      <c r="D2819" s="6" t="s">
        <v>12</v>
      </c>
      <c r="E2819" s="6">
        <v>2</v>
      </c>
      <c r="F2819" s="8">
        <v>293000</v>
      </c>
      <c r="G2819" s="9">
        <f t="shared" ref="G2819:G2821" si="173">IFERROR(E2819*F2819,0)</f>
        <v>586000</v>
      </c>
      <c r="H2819" s="10"/>
      <c r="I2819" s="1" t="s">
        <v>120</v>
      </c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5.75" customHeight="1" x14ac:dyDescent="0.75">
      <c r="A2820" s="5">
        <v>2</v>
      </c>
      <c r="B2820" s="16" t="s">
        <v>414</v>
      </c>
      <c r="C2820" s="17">
        <v>2850</v>
      </c>
      <c r="D2820" s="16" t="s">
        <v>14</v>
      </c>
      <c r="E2820" s="16">
        <v>1.48</v>
      </c>
      <c r="F2820" s="11">
        <v>435000</v>
      </c>
      <c r="G2820" s="9">
        <f t="shared" si="173"/>
        <v>643800</v>
      </c>
      <c r="H2820" s="10"/>
      <c r="I2820" s="1" t="s">
        <v>120</v>
      </c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5.75" customHeight="1" x14ac:dyDescent="0.75">
      <c r="A2821" s="5">
        <v>3</v>
      </c>
      <c r="B2821" s="12" t="s">
        <v>15</v>
      </c>
      <c r="C2821" s="10"/>
      <c r="D2821" s="10"/>
      <c r="E2821" s="10"/>
      <c r="F2821" s="10"/>
      <c r="G2821" s="13">
        <f t="shared" si="173"/>
        <v>0</v>
      </c>
      <c r="H2821" s="10"/>
      <c r="I2821" s="1" t="s">
        <v>120</v>
      </c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5.75" customHeight="1" x14ac:dyDescent="0.75">
      <c r="A2822" s="39" t="s">
        <v>16</v>
      </c>
      <c r="B2822" s="40"/>
      <c r="C2822" s="40"/>
      <c r="D2822" s="40"/>
      <c r="E2822" s="40"/>
      <c r="F2822" s="40"/>
      <c r="G2822" s="41"/>
      <c r="H2822" s="14">
        <f>SUM(G2819:G2821)</f>
        <v>1229800</v>
      </c>
      <c r="I2822" s="1" t="s">
        <v>120</v>
      </c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5.75" customHeight="1" x14ac:dyDescent="0.75">
      <c r="A2823" s="39" t="s">
        <v>17</v>
      </c>
      <c r="B2823" s="40"/>
      <c r="C2823" s="40"/>
      <c r="D2823" s="40"/>
      <c r="E2823" s="40"/>
      <c r="F2823" s="40"/>
      <c r="G2823" s="41"/>
      <c r="H2823" s="14">
        <f>MAX(0,H2822-648000)</f>
        <v>581800</v>
      </c>
      <c r="I2823" s="1" t="s">
        <v>120</v>
      </c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5.75" customHeight="1" x14ac:dyDescent="0.75">
      <c r="A2824" s="42" t="s">
        <v>18</v>
      </c>
      <c r="B2824" s="40"/>
      <c r="C2824" s="40"/>
      <c r="D2824" s="40"/>
      <c r="E2824" s="40"/>
      <c r="F2824" s="40"/>
      <c r="G2824" s="41"/>
      <c r="H2824" s="15">
        <v>649000</v>
      </c>
      <c r="I2824" s="1" t="s">
        <v>120</v>
      </c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5.75" customHeight="1" x14ac:dyDescent="0.75">
      <c r="A2825" s="43" t="s">
        <v>19</v>
      </c>
      <c r="B2825" s="40"/>
      <c r="C2825" s="40"/>
      <c r="D2825" s="40"/>
      <c r="E2825" s="40"/>
      <c r="F2825" s="40"/>
      <c r="G2825" s="40"/>
      <c r="H2825" s="41"/>
      <c r="I2825" s="1" t="s">
        <v>120</v>
      </c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5.75" customHeight="1" x14ac:dyDescent="0.45"/>
    <row r="2827" spans="1:26" ht="15.75" customHeight="1" x14ac:dyDescent="0.45"/>
    <row r="2828" spans="1:26" ht="15.75" customHeight="1" x14ac:dyDescent="0.45"/>
    <row r="2829" spans="1:26" ht="15.75" customHeight="1" x14ac:dyDescent="0.45"/>
    <row r="2830" spans="1:26" ht="15.75" customHeight="1" x14ac:dyDescent="0.45"/>
    <row r="2831" spans="1:26" ht="15.75" customHeight="1" x14ac:dyDescent="0.45"/>
    <row r="2832" spans="1:26" ht="15.75" customHeight="1" x14ac:dyDescent="0.75">
      <c r="A2832" s="43" t="s">
        <v>0</v>
      </c>
      <c r="B2832" s="40"/>
      <c r="C2832" s="40"/>
      <c r="D2832" s="40"/>
      <c r="E2832" s="40"/>
      <c r="F2832" s="40"/>
      <c r="G2832" s="40"/>
      <c r="H2832" s="41"/>
      <c r="I2832" s="1" t="s">
        <v>120</v>
      </c>
      <c r="J2832" s="19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5.75" customHeight="1" x14ac:dyDescent="0.75">
      <c r="A2833" s="43" t="s">
        <v>415</v>
      </c>
      <c r="B2833" s="40"/>
      <c r="C2833" s="40"/>
      <c r="D2833" s="40"/>
      <c r="E2833" s="40"/>
      <c r="F2833" s="40"/>
      <c r="G2833" s="40"/>
      <c r="H2833" s="41"/>
      <c r="I2833" s="1" t="s">
        <v>120</v>
      </c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5.75" customHeight="1" x14ac:dyDescent="0.55000000000000004">
      <c r="A2834" s="2" t="s">
        <v>3</v>
      </c>
      <c r="B2834" s="2" t="s">
        <v>4</v>
      </c>
      <c r="C2834" s="2" t="s">
        <v>5</v>
      </c>
      <c r="D2834" s="2" t="s">
        <v>6</v>
      </c>
      <c r="E2834" s="2" t="s">
        <v>7</v>
      </c>
      <c r="F2834" s="3" t="s">
        <v>8</v>
      </c>
      <c r="G2834" s="2" t="s">
        <v>9</v>
      </c>
      <c r="H2834" s="4"/>
      <c r="I2834" s="1" t="s">
        <v>120</v>
      </c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5.75" customHeight="1" x14ac:dyDescent="0.75">
      <c r="A2835" s="5">
        <v>1</v>
      </c>
      <c r="B2835" s="21" t="s">
        <v>416</v>
      </c>
      <c r="C2835" s="7">
        <v>7610</v>
      </c>
      <c r="D2835" s="6" t="s">
        <v>12</v>
      </c>
      <c r="E2835" s="6">
        <v>1</v>
      </c>
      <c r="F2835" s="8">
        <v>293000</v>
      </c>
      <c r="G2835" s="9">
        <f t="shared" ref="G2835:G2837" si="174">IFERROR(E2835*F2835,0)</f>
        <v>293000</v>
      </c>
      <c r="H2835" s="10"/>
      <c r="I2835" s="1" t="s">
        <v>120</v>
      </c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5.75" customHeight="1" x14ac:dyDescent="0.75">
      <c r="A2836" s="5">
        <v>2</v>
      </c>
      <c r="B2836" s="16" t="s">
        <v>417</v>
      </c>
      <c r="C2836" s="17">
        <v>4363</v>
      </c>
      <c r="D2836" s="16" t="s">
        <v>14</v>
      </c>
      <c r="E2836" s="16">
        <v>2.4</v>
      </c>
      <c r="F2836" s="11">
        <v>435000</v>
      </c>
      <c r="G2836" s="9">
        <f t="shared" si="174"/>
        <v>1044000</v>
      </c>
      <c r="H2836" s="10"/>
      <c r="I2836" s="1" t="s">
        <v>120</v>
      </c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5.75" customHeight="1" x14ac:dyDescent="0.75">
      <c r="A2837" s="5">
        <v>3</v>
      </c>
      <c r="B2837" s="12" t="s">
        <v>15</v>
      </c>
      <c r="C2837" s="10"/>
      <c r="D2837" s="10"/>
      <c r="E2837" s="10"/>
      <c r="F2837" s="10"/>
      <c r="G2837" s="13">
        <f t="shared" si="174"/>
        <v>0</v>
      </c>
      <c r="H2837" s="10"/>
      <c r="I2837" s="1" t="s">
        <v>120</v>
      </c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5.75" customHeight="1" x14ac:dyDescent="0.75">
      <c r="A2838" s="39" t="s">
        <v>16</v>
      </c>
      <c r="B2838" s="40"/>
      <c r="C2838" s="40"/>
      <c r="D2838" s="40"/>
      <c r="E2838" s="40"/>
      <c r="F2838" s="40"/>
      <c r="G2838" s="41"/>
      <c r="H2838" s="14">
        <f>SUM(G2835:G2837)</f>
        <v>1337000</v>
      </c>
      <c r="I2838" s="1" t="s">
        <v>120</v>
      </c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5.75" customHeight="1" x14ac:dyDescent="0.75">
      <c r="A2839" s="39" t="s">
        <v>17</v>
      </c>
      <c r="B2839" s="40"/>
      <c r="C2839" s="40"/>
      <c r="D2839" s="40"/>
      <c r="E2839" s="40"/>
      <c r="F2839" s="40"/>
      <c r="G2839" s="41"/>
      <c r="H2839" s="14">
        <f>MAX(0,H2838-648000)</f>
        <v>689000</v>
      </c>
      <c r="I2839" s="1" t="s">
        <v>120</v>
      </c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5.75" customHeight="1" x14ac:dyDescent="0.75">
      <c r="A2840" s="42" t="s">
        <v>18</v>
      </c>
      <c r="B2840" s="40"/>
      <c r="C2840" s="40"/>
      <c r="D2840" s="40"/>
      <c r="E2840" s="40"/>
      <c r="F2840" s="40"/>
      <c r="G2840" s="41"/>
      <c r="H2840" s="15">
        <v>649000</v>
      </c>
      <c r="I2840" s="1" t="s">
        <v>120</v>
      </c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5.75" customHeight="1" x14ac:dyDescent="0.75">
      <c r="A2841" s="43" t="s">
        <v>19</v>
      </c>
      <c r="B2841" s="40"/>
      <c r="C2841" s="40"/>
      <c r="D2841" s="40"/>
      <c r="E2841" s="40"/>
      <c r="F2841" s="40"/>
      <c r="G2841" s="40"/>
      <c r="H2841" s="41"/>
      <c r="I2841" s="1" t="s">
        <v>120</v>
      </c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5.75" customHeight="1" x14ac:dyDescent="0.75">
      <c r="A2842" s="22"/>
      <c r="B2842" s="22"/>
      <c r="C2842" s="22"/>
      <c r="D2842" s="22"/>
      <c r="E2842" s="22"/>
      <c r="F2842" s="22"/>
      <c r="G2842" s="22"/>
      <c r="H2842" s="22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  <c r="T2842" s="23"/>
      <c r="U2842" s="23"/>
      <c r="V2842" s="23"/>
      <c r="W2842" s="23"/>
      <c r="X2842" s="23"/>
      <c r="Y2842" s="23"/>
      <c r="Z2842" s="23"/>
    </row>
    <row r="2843" spans="1:26" ht="15.75" customHeight="1" x14ac:dyDescent="0.75">
      <c r="A2843" s="22"/>
      <c r="B2843" s="22"/>
      <c r="C2843" s="22"/>
      <c r="D2843" s="22"/>
      <c r="E2843" s="22"/>
      <c r="F2843" s="22"/>
      <c r="G2843" s="22"/>
      <c r="H2843" s="22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  <c r="T2843" s="23"/>
      <c r="U2843" s="23"/>
      <c r="V2843" s="23"/>
      <c r="W2843" s="23"/>
      <c r="X2843" s="23"/>
      <c r="Y2843" s="23"/>
      <c r="Z2843" s="23"/>
    </row>
    <row r="2844" spans="1:26" ht="15.75" customHeight="1" x14ac:dyDescent="0.75">
      <c r="A2844" s="22"/>
      <c r="B2844" s="22"/>
      <c r="C2844" s="22"/>
      <c r="D2844" s="22"/>
      <c r="E2844" s="22"/>
      <c r="F2844" s="22"/>
      <c r="G2844" s="22"/>
      <c r="H2844" s="22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  <c r="T2844" s="23"/>
      <c r="U2844" s="23"/>
      <c r="V2844" s="23"/>
      <c r="W2844" s="23"/>
      <c r="X2844" s="23"/>
      <c r="Y2844" s="23"/>
      <c r="Z2844" s="23"/>
    </row>
    <row r="2845" spans="1:26" ht="15.75" customHeight="1" x14ac:dyDescent="0.75">
      <c r="A2845" s="22"/>
      <c r="B2845" s="22"/>
      <c r="C2845" s="22"/>
      <c r="D2845" s="22"/>
      <c r="E2845" s="22"/>
      <c r="F2845" s="22"/>
      <c r="G2845" s="22"/>
      <c r="H2845" s="22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23"/>
      <c r="V2845" s="23"/>
      <c r="W2845" s="23"/>
      <c r="X2845" s="23"/>
      <c r="Y2845" s="23"/>
      <c r="Z2845" s="23"/>
    </row>
    <row r="2846" spans="1:26" ht="15.75" customHeight="1" x14ac:dyDescent="0.75">
      <c r="A2846" s="43" t="s">
        <v>0</v>
      </c>
      <c r="B2846" s="40"/>
      <c r="C2846" s="40"/>
      <c r="D2846" s="40"/>
      <c r="E2846" s="40"/>
      <c r="F2846" s="40"/>
      <c r="G2846" s="40"/>
      <c r="H2846" s="41"/>
      <c r="I2846" s="24" t="s">
        <v>418</v>
      </c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</row>
    <row r="2847" spans="1:26" ht="15.75" customHeight="1" x14ac:dyDescent="0.75">
      <c r="A2847" s="43" t="s">
        <v>419</v>
      </c>
      <c r="B2847" s="40"/>
      <c r="C2847" s="40"/>
      <c r="D2847" s="40"/>
      <c r="E2847" s="40"/>
      <c r="F2847" s="40"/>
      <c r="G2847" s="40"/>
      <c r="H2847" s="41"/>
      <c r="I2847" s="24" t="s">
        <v>418</v>
      </c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</row>
    <row r="2848" spans="1:26" ht="15.75" customHeight="1" x14ac:dyDescent="0.55000000000000004">
      <c r="A2848" s="2" t="s">
        <v>3</v>
      </c>
      <c r="B2848" s="2" t="s">
        <v>4</v>
      </c>
      <c r="C2848" s="2" t="s">
        <v>5</v>
      </c>
      <c r="D2848" s="2" t="s">
        <v>6</v>
      </c>
      <c r="E2848" s="2" t="s">
        <v>7</v>
      </c>
      <c r="F2848" s="3" t="s">
        <v>8</v>
      </c>
      <c r="G2848" s="2" t="s">
        <v>9</v>
      </c>
      <c r="H2848" s="26"/>
      <c r="I2848" s="24" t="s">
        <v>418</v>
      </c>
      <c r="J2848" s="25"/>
      <c r="K2848" s="25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</row>
    <row r="2849" spans="1:26" ht="15.75" customHeight="1" x14ac:dyDescent="0.75">
      <c r="A2849" s="5">
        <v>1</v>
      </c>
      <c r="B2849" s="27" t="s">
        <v>158</v>
      </c>
      <c r="C2849" s="28" t="s">
        <v>420</v>
      </c>
      <c r="D2849" s="27" t="s">
        <v>12</v>
      </c>
      <c r="E2849" s="27">
        <v>2</v>
      </c>
      <c r="F2849" s="8">
        <v>293000</v>
      </c>
      <c r="G2849" s="9">
        <f t="shared" ref="G2849:G2851" si="175">IFERROR(E2849*F2849,0)</f>
        <v>586000</v>
      </c>
      <c r="H2849" s="29"/>
      <c r="I2849" s="24" t="s">
        <v>418</v>
      </c>
      <c r="J2849" s="25"/>
      <c r="K2849" s="25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</row>
    <row r="2850" spans="1:26" ht="15.75" customHeight="1" x14ac:dyDescent="0.75">
      <c r="A2850" s="5">
        <v>2</v>
      </c>
      <c r="B2850" s="30" t="s">
        <v>311</v>
      </c>
      <c r="C2850" s="31" t="s">
        <v>421</v>
      </c>
      <c r="D2850" s="30" t="s">
        <v>14</v>
      </c>
      <c r="E2850" s="30">
        <v>1.5</v>
      </c>
      <c r="F2850" s="11">
        <v>435000</v>
      </c>
      <c r="G2850" s="9">
        <f t="shared" si="175"/>
        <v>652500</v>
      </c>
      <c r="H2850" s="29"/>
      <c r="I2850" s="24" t="s">
        <v>418</v>
      </c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</row>
    <row r="2851" spans="1:26" ht="15.75" customHeight="1" x14ac:dyDescent="0.75">
      <c r="A2851" s="5">
        <v>3</v>
      </c>
      <c r="B2851" s="12" t="s">
        <v>15</v>
      </c>
      <c r="C2851" s="29"/>
      <c r="D2851" s="29"/>
      <c r="E2851" s="29"/>
      <c r="F2851" s="29"/>
      <c r="G2851" s="13">
        <f t="shared" si="175"/>
        <v>0</v>
      </c>
      <c r="H2851" s="29"/>
      <c r="I2851" s="24" t="s">
        <v>418</v>
      </c>
      <c r="J2851" s="25"/>
      <c r="K2851" s="25"/>
      <c r="L2851" s="25"/>
      <c r="M2851" s="25"/>
      <c r="N2851" s="25"/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</row>
    <row r="2852" spans="1:26" ht="15.75" customHeight="1" x14ac:dyDescent="0.75">
      <c r="A2852" s="39" t="s">
        <v>16</v>
      </c>
      <c r="B2852" s="40"/>
      <c r="C2852" s="40"/>
      <c r="D2852" s="40"/>
      <c r="E2852" s="40"/>
      <c r="F2852" s="40"/>
      <c r="G2852" s="41"/>
      <c r="H2852" s="14">
        <f>SUM(G2849:G2851)</f>
        <v>1238500</v>
      </c>
      <c r="I2852" s="24" t="s">
        <v>418</v>
      </c>
      <c r="J2852" s="25"/>
      <c r="K2852" s="25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</row>
    <row r="2853" spans="1:26" ht="15.75" customHeight="1" x14ac:dyDescent="0.75">
      <c r="A2853" s="39" t="s">
        <v>17</v>
      </c>
      <c r="B2853" s="40"/>
      <c r="C2853" s="40"/>
      <c r="D2853" s="40"/>
      <c r="E2853" s="40"/>
      <c r="F2853" s="40"/>
      <c r="G2853" s="41"/>
      <c r="H2853" s="14">
        <f>MAX(0,H2852-648000)</f>
        <v>590500</v>
      </c>
      <c r="I2853" s="24" t="s">
        <v>418</v>
      </c>
      <c r="J2853" s="25"/>
      <c r="K2853" s="25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</row>
    <row r="2854" spans="1:26" ht="15.75" customHeight="1" x14ac:dyDescent="0.75">
      <c r="A2854" s="42" t="s">
        <v>18</v>
      </c>
      <c r="B2854" s="40"/>
      <c r="C2854" s="40"/>
      <c r="D2854" s="40"/>
      <c r="E2854" s="40"/>
      <c r="F2854" s="40"/>
      <c r="G2854" s="41"/>
      <c r="H2854" s="15">
        <v>649000</v>
      </c>
      <c r="I2854" s="24" t="s">
        <v>418</v>
      </c>
      <c r="J2854" s="25"/>
      <c r="K2854" s="25"/>
      <c r="L2854" s="25"/>
      <c r="M2854" s="25"/>
      <c r="N2854" s="25"/>
      <c r="O2854" s="25"/>
      <c r="P2854" s="25"/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</row>
    <row r="2855" spans="1:26" ht="15.75" customHeight="1" x14ac:dyDescent="0.75">
      <c r="A2855" s="43" t="s">
        <v>19</v>
      </c>
      <c r="B2855" s="40"/>
      <c r="C2855" s="40"/>
      <c r="D2855" s="40"/>
      <c r="E2855" s="40"/>
      <c r="F2855" s="40"/>
      <c r="G2855" s="40"/>
      <c r="H2855" s="41"/>
      <c r="I2855" s="24" t="s">
        <v>418</v>
      </c>
      <c r="J2855" s="25"/>
      <c r="K2855" s="25"/>
      <c r="L2855" s="25"/>
      <c r="M2855" s="25"/>
      <c r="N2855" s="25"/>
      <c r="O2855" s="25"/>
      <c r="P2855" s="25"/>
      <c r="Q2855" s="25"/>
      <c r="R2855" s="25"/>
      <c r="S2855" s="25"/>
      <c r="T2855" s="25"/>
      <c r="U2855" s="25"/>
      <c r="V2855" s="25"/>
      <c r="W2855" s="25"/>
      <c r="X2855" s="25"/>
      <c r="Y2855" s="25"/>
      <c r="Z2855" s="25"/>
    </row>
    <row r="2856" spans="1:26" ht="15.75" customHeight="1" x14ac:dyDescent="0.45">
      <c r="A2856" s="25"/>
      <c r="B2856" s="25"/>
      <c r="C2856" s="25"/>
      <c r="D2856" s="25"/>
      <c r="E2856" s="25"/>
      <c r="F2856" s="25"/>
      <c r="G2856" s="25"/>
      <c r="H2856" s="25"/>
      <c r="I2856" s="24" t="s">
        <v>418</v>
      </c>
      <c r="J2856" s="25"/>
      <c r="K2856" s="25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</row>
    <row r="2857" spans="1:26" ht="15.75" customHeight="1" x14ac:dyDescent="0.45">
      <c r="A2857" s="25"/>
      <c r="B2857" s="25"/>
      <c r="C2857" s="25"/>
      <c r="D2857" s="25"/>
      <c r="E2857" s="25"/>
      <c r="F2857" s="25"/>
      <c r="G2857" s="25"/>
      <c r="H2857" s="25"/>
      <c r="I2857" s="24" t="s">
        <v>418</v>
      </c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</row>
    <row r="2858" spans="1:26" ht="15.75" customHeight="1" x14ac:dyDescent="0.45">
      <c r="A2858" s="25"/>
      <c r="B2858" s="25"/>
      <c r="C2858" s="25"/>
      <c r="D2858" s="25"/>
      <c r="E2858" s="25"/>
      <c r="F2858" s="25"/>
      <c r="G2858" s="25"/>
      <c r="H2858" s="25"/>
      <c r="I2858" s="24" t="s">
        <v>418</v>
      </c>
      <c r="J2858" s="25"/>
      <c r="K2858" s="25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</row>
    <row r="2859" spans="1:26" ht="15.75" customHeight="1" x14ac:dyDescent="0.45">
      <c r="A2859" s="25"/>
      <c r="B2859" s="25"/>
      <c r="C2859" s="25"/>
      <c r="D2859" s="25"/>
      <c r="E2859" s="25"/>
      <c r="F2859" s="25"/>
      <c r="G2859" s="25"/>
      <c r="H2859" s="25"/>
      <c r="I2859" s="24" t="s">
        <v>418</v>
      </c>
      <c r="J2859" s="25"/>
      <c r="K2859" s="25"/>
      <c r="L2859" s="25"/>
      <c r="M2859" s="25"/>
      <c r="N2859" s="25"/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</row>
    <row r="2860" spans="1:26" ht="15.75" customHeight="1" x14ac:dyDescent="0.45">
      <c r="A2860" s="25"/>
      <c r="B2860" s="25"/>
      <c r="C2860" s="25"/>
      <c r="D2860" s="25"/>
      <c r="E2860" s="25"/>
      <c r="F2860" s="25"/>
      <c r="G2860" s="25"/>
      <c r="H2860" s="25"/>
      <c r="I2860" s="24" t="s">
        <v>418</v>
      </c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</row>
    <row r="2861" spans="1:26" ht="15.75" customHeight="1" x14ac:dyDescent="0.45">
      <c r="A2861" s="25"/>
      <c r="B2861" s="25"/>
      <c r="C2861" s="25"/>
      <c r="D2861" s="25"/>
      <c r="E2861" s="25"/>
      <c r="F2861" s="25"/>
      <c r="G2861" s="25"/>
      <c r="H2861" s="25"/>
      <c r="I2861" s="24" t="s">
        <v>418</v>
      </c>
      <c r="J2861" s="25"/>
      <c r="K2861" s="25"/>
      <c r="L2861" s="25"/>
      <c r="M2861" s="25"/>
      <c r="N2861" s="25"/>
      <c r="O2861" s="25"/>
      <c r="P2861" s="25"/>
      <c r="Q2861" s="25"/>
      <c r="R2861" s="25"/>
      <c r="S2861" s="25"/>
      <c r="T2861" s="25"/>
      <c r="U2861" s="25"/>
      <c r="V2861" s="25"/>
      <c r="W2861" s="25"/>
      <c r="X2861" s="25"/>
      <c r="Y2861" s="25"/>
      <c r="Z2861" s="25"/>
    </row>
    <row r="2862" spans="1:26" ht="15.75" customHeight="1" x14ac:dyDescent="0.75">
      <c r="A2862" s="43" t="s">
        <v>0</v>
      </c>
      <c r="B2862" s="40"/>
      <c r="C2862" s="40"/>
      <c r="D2862" s="40"/>
      <c r="E2862" s="40"/>
      <c r="F2862" s="40"/>
      <c r="G2862" s="40"/>
      <c r="H2862" s="41"/>
      <c r="I2862" s="24" t="s">
        <v>418</v>
      </c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</row>
    <row r="2863" spans="1:26" ht="15.75" customHeight="1" x14ac:dyDescent="0.75">
      <c r="A2863" s="43" t="s">
        <v>422</v>
      </c>
      <c r="B2863" s="40"/>
      <c r="C2863" s="40"/>
      <c r="D2863" s="40"/>
      <c r="E2863" s="40"/>
      <c r="F2863" s="40"/>
      <c r="G2863" s="40"/>
      <c r="H2863" s="41"/>
      <c r="I2863" s="24" t="s">
        <v>418</v>
      </c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</row>
    <row r="2864" spans="1:26" ht="15.75" customHeight="1" x14ac:dyDescent="0.55000000000000004">
      <c r="A2864" s="2" t="s">
        <v>3</v>
      </c>
      <c r="B2864" s="2" t="s">
        <v>4</v>
      </c>
      <c r="C2864" s="2" t="s">
        <v>5</v>
      </c>
      <c r="D2864" s="2" t="s">
        <v>6</v>
      </c>
      <c r="E2864" s="2" t="s">
        <v>7</v>
      </c>
      <c r="F2864" s="3" t="s">
        <v>8</v>
      </c>
      <c r="G2864" s="2" t="s">
        <v>9</v>
      </c>
      <c r="H2864" s="26"/>
      <c r="I2864" s="24" t="s">
        <v>418</v>
      </c>
      <c r="J2864" s="25"/>
      <c r="K2864" s="25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</row>
    <row r="2865" spans="1:26" ht="15.75" customHeight="1" x14ac:dyDescent="0.75">
      <c r="A2865" s="5">
        <v>1</v>
      </c>
      <c r="B2865" s="27" t="s">
        <v>423</v>
      </c>
      <c r="C2865" s="28" t="s">
        <v>420</v>
      </c>
      <c r="D2865" s="27" t="s">
        <v>12</v>
      </c>
      <c r="E2865" s="27">
        <v>1.96</v>
      </c>
      <c r="F2865" s="8">
        <v>293000</v>
      </c>
      <c r="G2865" s="9">
        <f t="shared" ref="G2865:G2867" si="176">IFERROR(E2865*F2865,0)</f>
        <v>574280</v>
      </c>
      <c r="H2865" s="29"/>
      <c r="I2865" s="24" t="s">
        <v>418</v>
      </c>
      <c r="J2865" s="25"/>
      <c r="K2865" s="25"/>
      <c r="L2865" s="25"/>
      <c r="M2865" s="25"/>
      <c r="N2865" s="25"/>
      <c r="O2865" s="25"/>
      <c r="P2865" s="25"/>
      <c r="Q2865" s="25"/>
      <c r="R2865" s="25"/>
      <c r="S2865" s="25"/>
      <c r="T2865" s="25"/>
      <c r="U2865" s="25"/>
      <c r="V2865" s="25"/>
      <c r="W2865" s="25"/>
      <c r="X2865" s="25"/>
      <c r="Y2865" s="25"/>
      <c r="Z2865" s="25"/>
    </row>
    <row r="2866" spans="1:26" ht="15.75" customHeight="1" x14ac:dyDescent="0.75">
      <c r="A2866" s="5">
        <v>2</v>
      </c>
      <c r="B2866" s="30" t="s">
        <v>106</v>
      </c>
      <c r="C2866" s="31" t="s">
        <v>424</v>
      </c>
      <c r="D2866" s="30" t="s">
        <v>14</v>
      </c>
      <c r="E2866" s="30">
        <v>1.46</v>
      </c>
      <c r="F2866" s="11">
        <v>435000</v>
      </c>
      <c r="G2866" s="9">
        <f t="shared" si="176"/>
        <v>635100</v>
      </c>
      <c r="H2866" s="29"/>
      <c r="I2866" s="24" t="s">
        <v>418</v>
      </c>
      <c r="J2866" s="25"/>
      <c r="K2866" s="25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</row>
    <row r="2867" spans="1:26" ht="15.75" customHeight="1" x14ac:dyDescent="0.75">
      <c r="A2867" s="5">
        <v>3</v>
      </c>
      <c r="B2867" s="12" t="s">
        <v>15</v>
      </c>
      <c r="C2867" s="29"/>
      <c r="D2867" s="29"/>
      <c r="E2867" s="29"/>
      <c r="F2867" s="29"/>
      <c r="G2867" s="13">
        <f t="shared" si="176"/>
        <v>0</v>
      </c>
      <c r="H2867" s="29"/>
      <c r="I2867" s="24" t="s">
        <v>418</v>
      </c>
      <c r="J2867" s="25"/>
      <c r="K2867" s="25"/>
      <c r="L2867" s="25"/>
      <c r="M2867" s="25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</row>
    <row r="2868" spans="1:26" ht="15.75" customHeight="1" x14ac:dyDescent="0.75">
      <c r="A2868" s="39" t="s">
        <v>16</v>
      </c>
      <c r="B2868" s="40"/>
      <c r="C2868" s="40"/>
      <c r="D2868" s="40"/>
      <c r="E2868" s="40"/>
      <c r="F2868" s="40"/>
      <c r="G2868" s="41"/>
      <c r="H2868" s="14">
        <f>SUM(G2865:G2867)</f>
        <v>1209380</v>
      </c>
      <c r="I2868" s="24" t="s">
        <v>418</v>
      </c>
      <c r="J2868" s="25"/>
      <c r="K2868" s="25"/>
      <c r="L2868" s="25"/>
      <c r="M2868" s="25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</row>
    <row r="2869" spans="1:26" ht="15.75" customHeight="1" x14ac:dyDescent="0.75">
      <c r="A2869" s="39" t="s">
        <v>17</v>
      </c>
      <c r="B2869" s="40"/>
      <c r="C2869" s="40"/>
      <c r="D2869" s="40"/>
      <c r="E2869" s="40"/>
      <c r="F2869" s="40"/>
      <c r="G2869" s="41"/>
      <c r="H2869" s="14">
        <f>MAX(0,H2868-648000)</f>
        <v>561380</v>
      </c>
      <c r="I2869" s="24" t="s">
        <v>418</v>
      </c>
      <c r="J2869" s="25"/>
      <c r="K2869" s="25"/>
      <c r="L2869" s="25"/>
      <c r="M2869" s="25"/>
      <c r="N2869" s="25"/>
      <c r="O2869" s="25"/>
      <c r="P2869" s="25"/>
      <c r="Q2869" s="25"/>
      <c r="R2869" s="25"/>
      <c r="S2869" s="25"/>
      <c r="T2869" s="25"/>
      <c r="U2869" s="25"/>
      <c r="V2869" s="25"/>
      <c r="W2869" s="25"/>
      <c r="X2869" s="25"/>
      <c r="Y2869" s="25"/>
      <c r="Z2869" s="25"/>
    </row>
    <row r="2870" spans="1:26" ht="15.75" customHeight="1" x14ac:dyDescent="0.75">
      <c r="A2870" s="42" t="s">
        <v>18</v>
      </c>
      <c r="B2870" s="40"/>
      <c r="C2870" s="40"/>
      <c r="D2870" s="40"/>
      <c r="E2870" s="40"/>
      <c r="F2870" s="40"/>
      <c r="G2870" s="41"/>
      <c r="H2870" s="15">
        <v>649000</v>
      </c>
      <c r="I2870" s="24" t="s">
        <v>418</v>
      </c>
      <c r="J2870" s="25"/>
      <c r="K2870" s="25"/>
      <c r="L2870" s="25"/>
      <c r="M2870" s="25"/>
      <c r="N2870" s="25"/>
      <c r="O2870" s="25"/>
      <c r="P2870" s="25"/>
      <c r="Q2870" s="25"/>
      <c r="R2870" s="25"/>
      <c r="S2870" s="25"/>
      <c r="T2870" s="25"/>
      <c r="U2870" s="25"/>
      <c r="V2870" s="25"/>
      <c r="W2870" s="25"/>
      <c r="X2870" s="25"/>
      <c r="Y2870" s="25"/>
      <c r="Z2870" s="25"/>
    </row>
    <row r="2871" spans="1:26" ht="15.75" customHeight="1" x14ac:dyDescent="0.75">
      <c r="A2871" s="43" t="s">
        <v>19</v>
      </c>
      <c r="B2871" s="40"/>
      <c r="C2871" s="40"/>
      <c r="D2871" s="40"/>
      <c r="E2871" s="40"/>
      <c r="F2871" s="40"/>
      <c r="G2871" s="40"/>
      <c r="H2871" s="41"/>
      <c r="I2871" s="24" t="s">
        <v>418</v>
      </c>
      <c r="J2871" s="25"/>
      <c r="K2871" s="25"/>
      <c r="L2871" s="25"/>
      <c r="M2871" s="25"/>
      <c r="N2871" s="25"/>
      <c r="O2871" s="25"/>
      <c r="P2871" s="25"/>
      <c r="Q2871" s="25"/>
      <c r="R2871" s="25"/>
      <c r="S2871" s="25"/>
      <c r="T2871" s="25"/>
      <c r="U2871" s="25"/>
      <c r="V2871" s="25"/>
      <c r="W2871" s="25"/>
      <c r="X2871" s="25"/>
      <c r="Y2871" s="25"/>
      <c r="Z2871" s="25"/>
    </row>
    <row r="2872" spans="1:26" ht="15.75" customHeight="1" x14ac:dyDescent="0.45">
      <c r="A2872" s="25"/>
      <c r="B2872" s="25"/>
      <c r="C2872" s="25"/>
      <c r="D2872" s="25"/>
      <c r="E2872" s="25"/>
      <c r="F2872" s="25"/>
      <c r="G2872" s="25"/>
      <c r="H2872" s="25"/>
      <c r="I2872" s="24" t="s">
        <v>418</v>
      </c>
      <c r="J2872" s="25"/>
      <c r="K2872" s="25"/>
      <c r="L2872" s="25"/>
      <c r="M2872" s="25"/>
      <c r="N2872" s="25"/>
      <c r="O2872" s="25"/>
      <c r="P2872" s="25"/>
      <c r="Q2872" s="25"/>
      <c r="R2872" s="25"/>
      <c r="S2872" s="25"/>
      <c r="T2872" s="25"/>
      <c r="U2872" s="25"/>
      <c r="V2872" s="25"/>
      <c r="W2872" s="25"/>
      <c r="X2872" s="25"/>
      <c r="Y2872" s="25"/>
      <c r="Z2872" s="25"/>
    </row>
    <row r="2873" spans="1:26" ht="15.75" customHeight="1" x14ac:dyDescent="0.45">
      <c r="A2873" s="25"/>
      <c r="B2873" s="25"/>
      <c r="C2873" s="25"/>
      <c r="D2873" s="25"/>
      <c r="E2873" s="25"/>
      <c r="F2873" s="25"/>
      <c r="G2873" s="25"/>
      <c r="H2873" s="25"/>
      <c r="I2873" s="24" t="s">
        <v>418</v>
      </c>
      <c r="J2873" s="25"/>
      <c r="K2873" s="25"/>
      <c r="L2873" s="25"/>
      <c r="M2873" s="25"/>
      <c r="N2873" s="25"/>
      <c r="O2873" s="25"/>
      <c r="P2873" s="25"/>
      <c r="Q2873" s="25"/>
      <c r="R2873" s="25"/>
      <c r="S2873" s="25"/>
      <c r="T2873" s="25"/>
      <c r="U2873" s="25"/>
      <c r="V2873" s="25"/>
      <c r="W2873" s="25"/>
      <c r="X2873" s="25"/>
      <c r="Y2873" s="25"/>
      <c r="Z2873" s="25"/>
    </row>
    <row r="2874" spans="1:26" ht="15.75" customHeight="1" x14ac:dyDescent="0.45">
      <c r="A2874" s="25"/>
      <c r="B2874" s="25"/>
      <c r="C2874" s="25"/>
      <c r="D2874" s="25"/>
      <c r="E2874" s="25"/>
      <c r="F2874" s="25"/>
      <c r="G2874" s="25"/>
      <c r="H2874" s="25"/>
      <c r="I2874" s="24" t="s">
        <v>418</v>
      </c>
      <c r="J2874" s="25"/>
      <c r="K2874" s="25"/>
      <c r="L2874" s="25"/>
      <c r="M2874" s="25"/>
      <c r="N2874" s="25"/>
      <c r="O2874" s="25"/>
      <c r="P2874" s="25"/>
      <c r="Q2874" s="25"/>
      <c r="R2874" s="25"/>
      <c r="S2874" s="25"/>
      <c r="T2874" s="25"/>
      <c r="U2874" s="25"/>
      <c r="V2874" s="25"/>
      <c r="W2874" s="25"/>
      <c r="X2874" s="25"/>
      <c r="Y2874" s="25"/>
      <c r="Z2874" s="25"/>
    </row>
    <row r="2875" spans="1:26" ht="15.75" customHeight="1" x14ac:dyDescent="0.45">
      <c r="A2875" s="25"/>
      <c r="B2875" s="25"/>
      <c r="C2875" s="25"/>
      <c r="D2875" s="25"/>
      <c r="E2875" s="25"/>
      <c r="F2875" s="25"/>
      <c r="G2875" s="25"/>
      <c r="H2875" s="25"/>
      <c r="I2875" s="24" t="s">
        <v>418</v>
      </c>
      <c r="J2875" s="25"/>
      <c r="K2875" s="25"/>
      <c r="L2875" s="25"/>
      <c r="M2875" s="25"/>
      <c r="N2875" s="25"/>
      <c r="O2875" s="25"/>
      <c r="P2875" s="25"/>
      <c r="Q2875" s="25"/>
      <c r="R2875" s="25"/>
      <c r="S2875" s="25"/>
      <c r="T2875" s="25"/>
      <c r="U2875" s="25"/>
      <c r="V2875" s="25"/>
      <c r="W2875" s="25"/>
      <c r="X2875" s="25"/>
      <c r="Y2875" s="25"/>
      <c r="Z2875" s="25"/>
    </row>
    <row r="2876" spans="1:26" ht="15.75" customHeight="1" x14ac:dyDescent="0.45">
      <c r="A2876" s="25"/>
      <c r="B2876" s="25"/>
      <c r="C2876" s="25"/>
      <c r="D2876" s="25"/>
      <c r="E2876" s="25"/>
      <c r="F2876" s="25"/>
      <c r="G2876" s="25"/>
      <c r="H2876" s="25"/>
      <c r="I2876" s="24" t="s">
        <v>418</v>
      </c>
      <c r="J2876" s="25"/>
      <c r="K2876" s="25"/>
      <c r="L2876" s="25"/>
      <c r="M2876" s="25"/>
      <c r="N2876" s="25"/>
      <c r="O2876" s="25"/>
      <c r="P2876" s="25"/>
      <c r="Q2876" s="25"/>
      <c r="R2876" s="25"/>
      <c r="S2876" s="25"/>
      <c r="T2876" s="25"/>
      <c r="U2876" s="25"/>
      <c r="V2876" s="25"/>
      <c r="W2876" s="25"/>
      <c r="X2876" s="25"/>
      <c r="Y2876" s="25"/>
      <c r="Z2876" s="25"/>
    </row>
    <row r="2877" spans="1:26" ht="15.75" customHeight="1" x14ac:dyDescent="0.75">
      <c r="A2877" s="43" t="s">
        <v>0</v>
      </c>
      <c r="B2877" s="40"/>
      <c r="C2877" s="40"/>
      <c r="D2877" s="40"/>
      <c r="E2877" s="40"/>
      <c r="F2877" s="40"/>
      <c r="G2877" s="40"/>
      <c r="H2877" s="41"/>
      <c r="I2877" s="24" t="s">
        <v>418</v>
      </c>
      <c r="J2877" s="25"/>
      <c r="K2877" s="25"/>
      <c r="L2877" s="25"/>
      <c r="M2877" s="25"/>
      <c r="N2877" s="25"/>
      <c r="O2877" s="25"/>
      <c r="P2877" s="25"/>
      <c r="Q2877" s="25"/>
      <c r="R2877" s="25"/>
      <c r="S2877" s="25"/>
      <c r="T2877" s="25"/>
      <c r="U2877" s="25"/>
      <c r="V2877" s="25"/>
      <c r="W2877" s="25"/>
      <c r="X2877" s="25"/>
      <c r="Y2877" s="25"/>
      <c r="Z2877" s="25"/>
    </row>
    <row r="2878" spans="1:26" ht="15.75" customHeight="1" x14ac:dyDescent="0.75">
      <c r="A2878" s="43" t="s">
        <v>425</v>
      </c>
      <c r="B2878" s="40"/>
      <c r="C2878" s="40"/>
      <c r="D2878" s="40"/>
      <c r="E2878" s="40"/>
      <c r="F2878" s="40"/>
      <c r="G2878" s="40"/>
      <c r="H2878" s="41"/>
      <c r="I2878" s="24" t="s">
        <v>418</v>
      </c>
      <c r="J2878" s="25"/>
      <c r="K2878" s="25"/>
      <c r="L2878" s="25"/>
      <c r="M2878" s="25"/>
      <c r="N2878" s="25"/>
      <c r="O2878" s="25"/>
      <c r="P2878" s="25"/>
      <c r="Q2878" s="25"/>
      <c r="R2878" s="25"/>
      <c r="S2878" s="25"/>
      <c r="T2878" s="25"/>
      <c r="U2878" s="25"/>
      <c r="V2878" s="25"/>
      <c r="W2878" s="25"/>
      <c r="X2878" s="25"/>
      <c r="Y2878" s="25"/>
      <c r="Z2878" s="25"/>
    </row>
    <row r="2879" spans="1:26" ht="15.75" customHeight="1" x14ac:dyDescent="0.55000000000000004">
      <c r="A2879" s="2" t="s">
        <v>3</v>
      </c>
      <c r="B2879" s="2" t="s">
        <v>4</v>
      </c>
      <c r="C2879" s="2" t="s">
        <v>5</v>
      </c>
      <c r="D2879" s="2" t="s">
        <v>6</v>
      </c>
      <c r="E2879" s="2" t="s">
        <v>7</v>
      </c>
      <c r="F2879" s="3" t="s">
        <v>8</v>
      </c>
      <c r="G2879" s="2" t="s">
        <v>9</v>
      </c>
      <c r="H2879" s="26"/>
      <c r="I2879" s="24" t="s">
        <v>418</v>
      </c>
      <c r="J2879" s="25"/>
      <c r="K2879" s="25"/>
      <c r="L2879" s="25"/>
      <c r="M2879" s="25"/>
      <c r="N2879" s="25"/>
      <c r="O2879" s="25"/>
      <c r="P2879" s="25"/>
      <c r="Q2879" s="25"/>
      <c r="R2879" s="25"/>
      <c r="S2879" s="25"/>
      <c r="T2879" s="25"/>
      <c r="U2879" s="25"/>
      <c r="V2879" s="25"/>
      <c r="W2879" s="25"/>
      <c r="X2879" s="25"/>
      <c r="Y2879" s="25"/>
      <c r="Z2879" s="25"/>
    </row>
    <row r="2880" spans="1:26" ht="15.75" customHeight="1" x14ac:dyDescent="0.75">
      <c r="A2880" s="5">
        <v>1</v>
      </c>
      <c r="B2880" s="27" t="s">
        <v>158</v>
      </c>
      <c r="C2880" s="28" t="s">
        <v>420</v>
      </c>
      <c r="D2880" s="27" t="s">
        <v>12</v>
      </c>
      <c r="E2880" s="27">
        <v>1.35</v>
      </c>
      <c r="F2880" s="8">
        <v>293000</v>
      </c>
      <c r="G2880" s="9">
        <f t="shared" ref="G2880:G2882" si="177">IFERROR(E2880*F2880,0)</f>
        <v>395550</v>
      </c>
      <c r="H2880" s="29"/>
      <c r="I2880" s="24" t="s">
        <v>418</v>
      </c>
      <c r="J2880" s="25"/>
      <c r="K2880" s="25"/>
      <c r="L2880" s="25"/>
      <c r="M2880" s="25"/>
      <c r="N2880" s="25"/>
      <c r="O2880" s="25"/>
      <c r="P2880" s="25"/>
      <c r="Q2880" s="25"/>
      <c r="R2880" s="25"/>
      <c r="S2880" s="25"/>
      <c r="T2880" s="25"/>
      <c r="U2880" s="25"/>
      <c r="V2880" s="25"/>
      <c r="W2880" s="25"/>
      <c r="X2880" s="25"/>
      <c r="Y2880" s="25"/>
      <c r="Z2880" s="25"/>
    </row>
    <row r="2881" spans="1:26" ht="15.75" customHeight="1" x14ac:dyDescent="0.75">
      <c r="A2881" s="5">
        <v>2</v>
      </c>
      <c r="B2881" s="30" t="s">
        <v>35</v>
      </c>
      <c r="C2881" s="31" t="s">
        <v>426</v>
      </c>
      <c r="D2881" s="30" t="s">
        <v>14</v>
      </c>
      <c r="E2881" s="30">
        <v>2.2999999999999998</v>
      </c>
      <c r="F2881" s="11">
        <v>435000</v>
      </c>
      <c r="G2881" s="9">
        <f t="shared" si="177"/>
        <v>1000499.9999999999</v>
      </c>
      <c r="H2881" s="29"/>
      <c r="I2881" s="24" t="s">
        <v>418</v>
      </c>
      <c r="J2881" s="25"/>
      <c r="K2881" s="25"/>
      <c r="L2881" s="25"/>
      <c r="M2881" s="25"/>
      <c r="N2881" s="25"/>
      <c r="O2881" s="25"/>
      <c r="P2881" s="25"/>
      <c r="Q2881" s="25"/>
      <c r="R2881" s="25"/>
      <c r="S2881" s="25"/>
      <c r="T2881" s="25"/>
      <c r="U2881" s="25"/>
      <c r="V2881" s="25"/>
      <c r="W2881" s="25"/>
      <c r="X2881" s="25"/>
      <c r="Y2881" s="25"/>
      <c r="Z2881" s="25"/>
    </row>
    <row r="2882" spans="1:26" ht="15.75" customHeight="1" x14ac:dyDescent="0.75">
      <c r="A2882" s="5">
        <v>3</v>
      </c>
      <c r="B2882" s="12" t="s">
        <v>15</v>
      </c>
      <c r="C2882" s="29"/>
      <c r="D2882" s="29"/>
      <c r="E2882" s="29"/>
      <c r="F2882" s="29"/>
      <c r="G2882" s="13">
        <f t="shared" si="177"/>
        <v>0</v>
      </c>
      <c r="H2882" s="29"/>
      <c r="I2882" s="24" t="s">
        <v>418</v>
      </c>
      <c r="J2882" s="25"/>
      <c r="K2882" s="25"/>
      <c r="L2882" s="25"/>
      <c r="M2882" s="25"/>
      <c r="N2882" s="25"/>
      <c r="O2882" s="25"/>
      <c r="P2882" s="25"/>
      <c r="Q2882" s="25"/>
      <c r="R2882" s="25"/>
      <c r="S2882" s="25"/>
      <c r="T2882" s="25"/>
      <c r="U2882" s="25"/>
      <c r="V2882" s="25"/>
      <c r="W2882" s="25"/>
      <c r="X2882" s="25"/>
      <c r="Y2882" s="25"/>
      <c r="Z2882" s="25"/>
    </row>
    <row r="2883" spans="1:26" ht="15.75" customHeight="1" x14ac:dyDescent="0.75">
      <c r="A2883" s="39" t="s">
        <v>16</v>
      </c>
      <c r="B2883" s="40"/>
      <c r="C2883" s="40"/>
      <c r="D2883" s="40"/>
      <c r="E2883" s="40"/>
      <c r="F2883" s="40"/>
      <c r="G2883" s="41"/>
      <c r="H2883" s="14">
        <f>SUM(G2880:G2882)</f>
        <v>1396050</v>
      </c>
      <c r="I2883" s="24" t="s">
        <v>418</v>
      </c>
      <c r="J2883" s="25"/>
      <c r="K2883" s="25"/>
      <c r="L2883" s="25"/>
      <c r="M2883" s="25"/>
      <c r="N2883" s="25"/>
      <c r="O2883" s="25"/>
      <c r="P2883" s="25"/>
      <c r="Q2883" s="25"/>
      <c r="R2883" s="25"/>
      <c r="S2883" s="25"/>
      <c r="T2883" s="25"/>
      <c r="U2883" s="25"/>
      <c r="V2883" s="25"/>
      <c r="W2883" s="25"/>
      <c r="X2883" s="25"/>
      <c r="Y2883" s="25"/>
      <c r="Z2883" s="25"/>
    </row>
    <row r="2884" spans="1:26" ht="15.75" customHeight="1" x14ac:dyDescent="0.75">
      <c r="A2884" s="39" t="s">
        <v>17</v>
      </c>
      <c r="B2884" s="40"/>
      <c r="C2884" s="40"/>
      <c r="D2884" s="40"/>
      <c r="E2884" s="40"/>
      <c r="F2884" s="40"/>
      <c r="G2884" s="41"/>
      <c r="H2884" s="14">
        <f>MAX(0,H2883-648000)</f>
        <v>748050</v>
      </c>
      <c r="I2884" s="24" t="s">
        <v>418</v>
      </c>
      <c r="J2884" s="25"/>
      <c r="K2884" s="25"/>
      <c r="L2884" s="25"/>
      <c r="M2884" s="25"/>
      <c r="N2884" s="25"/>
      <c r="O2884" s="25"/>
      <c r="P2884" s="25"/>
      <c r="Q2884" s="25"/>
      <c r="R2884" s="25"/>
      <c r="S2884" s="25"/>
      <c r="T2884" s="25"/>
      <c r="U2884" s="25"/>
      <c r="V2884" s="25"/>
      <c r="W2884" s="25"/>
      <c r="X2884" s="25"/>
      <c r="Y2884" s="25"/>
      <c r="Z2884" s="25"/>
    </row>
    <row r="2885" spans="1:26" ht="15.75" customHeight="1" x14ac:dyDescent="0.75">
      <c r="A2885" s="42" t="s">
        <v>18</v>
      </c>
      <c r="B2885" s="40"/>
      <c r="C2885" s="40"/>
      <c r="D2885" s="40"/>
      <c r="E2885" s="40"/>
      <c r="F2885" s="40"/>
      <c r="G2885" s="41"/>
      <c r="H2885" s="15">
        <v>649000</v>
      </c>
      <c r="I2885" s="24" t="s">
        <v>418</v>
      </c>
      <c r="J2885" s="25"/>
      <c r="K2885" s="25"/>
      <c r="L2885" s="25"/>
      <c r="M2885" s="25"/>
      <c r="N2885" s="25"/>
      <c r="O2885" s="25"/>
      <c r="P2885" s="25"/>
      <c r="Q2885" s="25"/>
      <c r="R2885" s="25"/>
      <c r="S2885" s="25"/>
      <c r="T2885" s="25"/>
      <c r="U2885" s="25"/>
      <c r="V2885" s="25"/>
      <c r="W2885" s="25"/>
      <c r="X2885" s="25"/>
      <c r="Y2885" s="25"/>
      <c r="Z2885" s="25"/>
    </row>
    <row r="2886" spans="1:26" ht="15.75" customHeight="1" x14ac:dyDescent="0.75">
      <c r="A2886" s="43" t="s">
        <v>19</v>
      </c>
      <c r="B2886" s="40"/>
      <c r="C2886" s="40"/>
      <c r="D2886" s="40"/>
      <c r="E2886" s="40"/>
      <c r="F2886" s="40"/>
      <c r="G2886" s="40"/>
      <c r="H2886" s="41"/>
      <c r="I2886" s="24" t="s">
        <v>418</v>
      </c>
      <c r="J2886" s="25"/>
      <c r="K2886" s="25"/>
      <c r="L2886" s="25"/>
      <c r="M2886" s="25"/>
      <c r="N2886" s="25"/>
      <c r="O2886" s="25"/>
      <c r="P2886" s="25"/>
      <c r="Q2886" s="25"/>
      <c r="R2886" s="25"/>
      <c r="S2886" s="25"/>
      <c r="T2886" s="25"/>
      <c r="U2886" s="25"/>
      <c r="V2886" s="25"/>
      <c r="W2886" s="25"/>
      <c r="X2886" s="25"/>
      <c r="Y2886" s="25"/>
      <c r="Z2886" s="25"/>
    </row>
    <row r="2887" spans="1:26" ht="15.75" customHeight="1" x14ac:dyDescent="0.45">
      <c r="A2887" s="25"/>
      <c r="B2887" s="25"/>
      <c r="C2887" s="25"/>
      <c r="D2887" s="25"/>
      <c r="E2887" s="25"/>
      <c r="F2887" s="25"/>
      <c r="G2887" s="25"/>
      <c r="H2887" s="25"/>
      <c r="I2887" s="24" t="s">
        <v>418</v>
      </c>
      <c r="J2887" s="25"/>
      <c r="K2887" s="25"/>
      <c r="L2887" s="25"/>
      <c r="M2887" s="25"/>
      <c r="N2887" s="25"/>
      <c r="O2887" s="25"/>
      <c r="P2887" s="25"/>
      <c r="Q2887" s="25"/>
      <c r="R2887" s="25"/>
      <c r="S2887" s="25"/>
      <c r="T2887" s="25"/>
      <c r="U2887" s="25"/>
      <c r="V2887" s="25"/>
      <c r="W2887" s="25"/>
      <c r="X2887" s="25"/>
      <c r="Y2887" s="25"/>
      <c r="Z2887" s="25"/>
    </row>
    <row r="2888" spans="1:26" ht="15.75" customHeight="1" x14ac:dyDescent="0.45">
      <c r="A2888" s="25"/>
      <c r="B2888" s="25"/>
      <c r="C2888" s="25"/>
      <c r="D2888" s="25"/>
      <c r="E2888" s="25"/>
      <c r="F2888" s="25"/>
      <c r="G2888" s="25"/>
      <c r="H2888" s="25"/>
      <c r="I2888" s="24" t="s">
        <v>418</v>
      </c>
      <c r="J2888" s="25"/>
      <c r="K2888" s="25"/>
      <c r="L2888" s="25"/>
      <c r="M2888" s="25"/>
      <c r="N2888" s="25"/>
      <c r="O2888" s="25"/>
      <c r="P2888" s="25"/>
      <c r="Q2888" s="25"/>
      <c r="R2888" s="25"/>
      <c r="S2888" s="25"/>
      <c r="T2888" s="25"/>
      <c r="U2888" s="25"/>
      <c r="V2888" s="25"/>
      <c r="W2888" s="25"/>
      <c r="X2888" s="25"/>
      <c r="Y2888" s="25"/>
      <c r="Z2888" s="25"/>
    </row>
    <row r="2889" spans="1:26" ht="15.75" customHeight="1" x14ac:dyDescent="0.45">
      <c r="A2889" s="25"/>
      <c r="B2889" s="25"/>
      <c r="C2889" s="25"/>
      <c r="D2889" s="25"/>
      <c r="E2889" s="25"/>
      <c r="F2889" s="25"/>
      <c r="G2889" s="25"/>
      <c r="H2889" s="25"/>
      <c r="I2889" s="24" t="s">
        <v>418</v>
      </c>
      <c r="J2889" s="25"/>
      <c r="K2889" s="25"/>
      <c r="L2889" s="25"/>
      <c r="M2889" s="25"/>
      <c r="N2889" s="25"/>
      <c r="O2889" s="25"/>
      <c r="P2889" s="25"/>
      <c r="Q2889" s="25"/>
      <c r="R2889" s="25"/>
      <c r="S2889" s="25"/>
      <c r="T2889" s="25"/>
      <c r="U2889" s="25"/>
      <c r="V2889" s="25"/>
      <c r="W2889" s="25"/>
      <c r="X2889" s="25"/>
      <c r="Y2889" s="25"/>
      <c r="Z2889" s="25"/>
    </row>
    <row r="2890" spans="1:26" ht="15.75" customHeight="1" x14ac:dyDescent="0.45">
      <c r="A2890" s="25"/>
      <c r="B2890" s="25"/>
      <c r="C2890" s="25"/>
      <c r="D2890" s="25"/>
      <c r="E2890" s="25"/>
      <c r="F2890" s="25"/>
      <c r="G2890" s="25"/>
      <c r="H2890" s="25"/>
      <c r="I2890" s="24" t="s">
        <v>418</v>
      </c>
      <c r="J2890" s="25"/>
      <c r="K2890" s="25"/>
      <c r="L2890" s="25"/>
      <c r="M2890" s="25"/>
      <c r="N2890" s="25"/>
      <c r="O2890" s="25"/>
      <c r="P2890" s="25"/>
      <c r="Q2890" s="25"/>
      <c r="R2890" s="25"/>
      <c r="S2890" s="25"/>
      <c r="T2890" s="25"/>
      <c r="U2890" s="25"/>
      <c r="V2890" s="25"/>
      <c r="W2890" s="25"/>
      <c r="X2890" s="25"/>
      <c r="Y2890" s="25"/>
      <c r="Z2890" s="25"/>
    </row>
    <row r="2891" spans="1:26" ht="15.75" customHeight="1" x14ac:dyDescent="0.45">
      <c r="A2891" s="25"/>
      <c r="B2891" s="25"/>
      <c r="C2891" s="25"/>
      <c r="D2891" s="25"/>
      <c r="E2891" s="25"/>
      <c r="F2891" s="25"/>
      <c r="G2891" s="25"/>
      <c r="H2891" s="25"/>
      <c r="I2891" s="24" t="s">
        <v>418</v>
      </c>
      <c r="J2891" s="25"/>
      <c r="K2891" s="25"/>
      <c r="L2891" s="25"/>
      <c r="M2891" s="25"/>
      <c r="N2891" s="25"/>
      <c r="O2891" s="25"/>
      <c r="P2891" s="25"/>
      <c r="Q2891" s="25"/>
      <c r="R2891" s="25"/>
      <c r="S2891" s="25"/>
      <c r="T2891" s="25"/>
      <c r="U2891" s="25"/>
      <c r="V2891" s="25"/>
      <c r="W2891" s="25"/>
      <c r="X2891" s="25"/>
      <c r="Y2891" s="25"/>
      <c r="Z2891" s="25"/>
    </row>
    <row r="2892" spans="1:26" ht="15.75" customHeight="1" x14ac:dyDescent="0.75">
      <c r="A2892" s="43" t="s">
        <v>0</v>
      </c>
      <c r="B2892" s="40"/>
      <c r="C2892" s="40"/>
      <c r="D2892" s="40"/>
      <c r="E2892" s="40"/>
      <c r="F2892" s="40"/>
      <c r="G2892" s="40"/>
      <c r="H2892" s="41"/>
      <c r="I2892" s="24" t="s">
        <v>418</v>
      </c>
      <c r="J2892" s="25"/>
      <c r="K2892" s="25"/>
      <c r="L2892" s="25"/>
      <c r="M2892" s="25"/>
      <c r="N2892" s="25"/>
      <c r="O2892" s="25"/>
      <c r="P2892" s="25"/>
      <c r="Q2892" s="25"/>
      <c r="R2892" s="25"/>
      <c r="S2892" s="25"/>
      <c r="T2892" s="25"/>
      <c r="U2892" s="25"/>
      <c r="V2892" s="25"/>
      <c r="W2892" s="25"/>
      <c r="X2892" s="25"/>
      <c r="Y2892" s="25"/>
      <c r="Z2892" s="25"/>
    </row>
    <row r="2893" spans="1:26" ht="15.75" customHeight="1" x14ac:dyDescent="0.75">
      <c r="A2893" s="43" t="s">
        <v>427</v>
      </c>
      <c r="B2893" s="40"/>
      <c r="C2893" s="40"/>
      <c r="D2893" s="40"/>
      <c r="E2893" s="40"/>
      <c r="F2893" s="40"/>
      <c r="G2893" s="40"/>
      <c r="H2893" s="41"/>
      <c r="I2893" s="24" t="s">
        <v>418</v>
      </c>
      <c r="J2893" s="25"/>
      <c r="K2893" s="25"/>
      <c r="L2893" s="25"/>
      <c r="M2893" s="25"/>
      <c r="N2893" s="25"/>
      <c r="O2893" s="25"/>
      <c r="P2893" s="25"/>
      <c r="Q2893" s="25"/>
      <c r="R2893" s="25"/>
      <c r="S2893" s="25"/>
      <c r="T2893" s="25"/>
      <c r="U2893" s="25"/>
      <c r="V2893" s="25"/>
      <c r="W2893" s="25"/>
      <c r="X2893" s="25"/>
      <c r="Y2893" s="25"/>
      <c r="Z2893" s="25"/>
    </row>
    <row r="2894" spans="1:26" ht="15.75" customHeight="1" x14ac:dyDescent="0.55000000000000004">
      <c r="A2894" s="2" t="s">
        <v>3</v>
      </c>
      <c r="B2894" s="2" t="s">
        <v>4</v>
      </c>
      <c r="C2894" s="2" t="s">
        <v>5</v>
      </c>
      <c r="D2894" s="2" t="s">
        <v>6</v>
      </c>
      <c r="E2894" s="2" t="s">
        <v>7</v>
      </c>
      <c r="F2894" s="3" t="s">
        <v>8</v>
      </c>
      <c r="G2894" s="2" t="s">
        <v>9</v>
      </c>
      <c r="H2894" s="26"/>
      <c r="I2894" s="24" t="s">
        <v>418</v>
      </c>
      <c r="J2894" s="25"/>
      <c r="K2894" s="25"/>
      <c r="L2894" s="25"/>
      <c r="M2894" s="25"/>
      <c r="N2894" s="25"/>
      <c r="O2894" s="25"/>
      <c r="P2894" s="25"/>
      <c r="Q2894" s="25"/>
      <c r="R2894" s="25"/>
      <c r="S2894" s="25"/>
      <c r="T2894" s="25"/>
      <c r="U2894" s="25"/>
      <c r="V2894" s="25"/>
      <c r="W2894" s="25"/>
      <c r="X2894" s="25"/>
      <c r="Y2894" s="25"/>
      <c r="Z2894" s="25"/>
    </row>
    <row r="2895" spans="1:26" ht="15.75" customHeight="1" x14ac:dyDescent="0.75">
      <c r="A2895" s="5">
        <v>1</v>
      </c>
      <c r="B2895" s="27" t="s">
        <v>428</v>
      </c>
      <c r="C2895" s="28" t="s">
        <v>429</v>
      </c>
      <c r="D2895" s="27" t="s">
        <v>12</v>
      </c>
      <c r="E2895" s="27">
        <v>3</v>
      </c>
      <c r="F2895" s="8">
        <v>293000</v>
      </c>
      <c r="G2895" s="9">
        <f t="shared" ref="G2895:G2897" si="178">IFERROR(E2895*F2895,0)</f>
        <v>879000</v>
      </c>
      <c r="H2895" s="29"/>
      <c r="I2895" s="24" t="s">
        <v>418</v>
      </c>
      <c r="J2895" s="25"/>
      <c r="K2895" s="25"/>
      <c r="L2895" s="25"/>
      <c r="M2895" s="25"/>
      <c r="N2895" s="25"/>
      <c r="O2895" s="25"/>
      <c r="P2895" s="25"/>
      <c r="Q2895" s="25"/>
      <c r="R2895" s="25"/>
      <c r="S2895" s="25"/>
      <c r="T2895" s="25"/>
      <c r="U2895" s="25"/>
      <c r="V2895" s="25"/>
      <c r="W2895" s="25"/>
      <c r="X2895" s="25"/>
      <c r="Y2895" s="25"/>
      <c r="Z2895" s="25"/>
    </row>
    <row r="2896" spans="1:26" ht="15.75" customHeight="1" x14ac:dyDescent="0.75">
      <c r="A2896" s="5">
        <v>2</v>
      </c>
      <c r="B2896" s="30" t="s">
        <v>35</v>
      </c>
      <c r="C2896" s="31" t="s">
        <v>430</v>
      </c>
      <c r="D2896" s="30" t="s">
        <v>14</v>
      </c>
      <c r="E2896" s="30">
        <v>0.5</v>
      </c>
      <c r="F2896" s="11">
        <v>435000</v>
      </c>
      <c r="G2896" s="9">
        <f t="shared" si="178"/>
        <v>217500</v>
      </c>
      <c r="H2896" s="29"/>
      <c r="I2896" s="24" t="s">
        <v>418</v>
      </c>
      <c r="J2896" s="25"/>
      <c r="K2896" s="25"/>
      <c r="L2896" s="25"/>
      <c r="M2896" s="25"/>
      <c r="N2896" s="25"/>
      <c r="O2896" s="25"/>
      <c r="P2896" s="25"/>
      <c r="Q2896" s="25"/>
      <c r="R2896" s="25"/>
      <c r="S2896" s="25"/>
      <c r="T2896" s="25"/>
      <c r="U2896" s="25"/>
      <c r="V2896" s="25"/>
      <c r="W2896" s="25"/>
      <c r="X2896" s="25"/>
      <c r="Y2896" s="25"/>
      <c r="Z2896" s="25"/>
    </row>
    <row r="2897" spans="1:26" ht="15.75" customHeight="1" x14ac:dyDescent="0.75">
      <c r="A2897" s="5">
        <v>3</v>
      </c>
      <c r="B2897" s="12" t="s">
        <v>15</v>
      </c>
      <c r="C2897" s="29"/>
      <c r="D2897" s="29"/>
      <c r="E2897" s="29"/>
      <c r="F2897" s="29"/>
      <c r="G2897" s="13">
        <f t="shared" si="178"/>
        <v>0</v>
      </c>
      <c r="H2897" s="29"/>
      <c r="I2897" s="24" t="s">
        <v>418</v>
      </c>
      <c r="J2897" s="25"/>
      <c r="K2897" s="25"/>
      <c r="L2897" s="25"/>
      <c r="M2897" s="25"/>
      <c r="N2897" s="25"/>
      <c r="O2897" s="25"/>
      <c r="P2897" s="25"/>
      <c r="Q2897" s="25"/>
      <c r="R2897" s="25"/>
      <c r="S2897" s="25"/>
      <c r="T2897" s="25"/>
      <c r="U2897" s="25"/>
      <c r="V2897" s="25"/>
      <c r="W2897" s="25"/>
      <c r="X2897" s="25"/>
      <c r="Y2897" s="25"/>
      <c r="Z2897" s="25"/>
    </row>
    <row r="2898" spans="1:26" ht="15.75" customHeight="1" x14ac:dyDescent="0.75">
      <c r="A2898" s="39" t="s">
        <v>16</v>
      </c>
      <c r="B2898" s="40"/>
      <c r="C2898" s="40"/>
      <c r="D2898" s="40"/>
      <c r="E2898" s="40"/>
      <c r="F2898" s="40"/>
      <c r="G2898" s="41"/>
      <c r="H2898" s="14">
        <f>SUM(G2895:G2897)</f>
        <v>1096500</v>
      </c>
      <c r="I2898" s="24" t="s">
        <v>418</v>
      </c>
      <c r="J2898" s="25"/>
      <c r="K2898" s="25"/>
      <c r="L2898" s="25"/>
      <c r="M2898" s="25"/>
      <c r="N2898" s="25"/>
      <c r="O2898" s="25"/>
      <c r="P2898" s="25"/>
      <c r="Q2898" s="25"/>
      <c r="R2898" s="25"/>
      <c r="S2898" s="25"/>
      <c r="T2898" s="25"/>
      <c r="U2898" s="25"/>
      <c r="V2898" s="25"/>
      <c r="W2898" s="25"/>
      <c r="X2898" s="25"/>
      <c r="Y2898" s="25"/>
      <c r="Z2898" s="25"/>
    </row>
    <row r="2899" spans="1:26" ht="15.75" customHeight="1" x14ac:dyDescent="0.75">
      <c r="A2899" s="39" t="s">
        <v>17</v>
      </c>
      <c r="B2899" s="40"/>
      <c r="C2899" s="40"/>
      <c r="D2899" s="40"/>
      <c r="E2899" s="40"/>
      <c r="F2899" s="40"/>
      <c r="G2899" s="41"/>
      <c r="H2899" s="14">
        <f>MAX(0,H2898-648000)</f>
        <v>448500</v>
      </c>
      <c r="I2899" s="24" t="s">
        <v>418</v>
      </c>
      <c r="J2899" s="25"/>
      <c r="K2899" s="25"/>
      <c r="L2899" s="25"/>
      <c r="M2899" s="25"/>
      <c r="N2899" s="25"/>
      <c r="O2899" s="25"/>
      <c r="P2899" s="25"/>
      <c r="Q2899" s="25"/>
      <c r="R2899" s="25"/>
      <c r="S2899" s="25"/>
      <c r="T2899" s="25"/>
      <c r="U2899" s="25"/>
      <c r="V2899" s="25"/>
      <c r="W2899" s="25"/>
      <c r="X2899" s="25"/>
      <c r="Y2899" s="25"/>
      <c r="Z2899" s="25"/>
    </row>
    <row r="2900" spans="1:26" ht="15.75" customHeight="1" x14ac:dyDescent="0.75">
      <c r="A2900" s="42" t="s">
        <v>18</v>
      </c>
      <c r="B2900" s="40"/>
      <c r="C2900" s="40"/>
      <c r="D2900" s="40"/>
      <c r="E2900" s="40"/>
      <c r="F2900" s="40"/>
      <c r="G2900" s="41"/>
      <c r="H2900" s="15">
        <v>649000</v>
      </c>
      <c r="I2900" s="24" t="s">
        <v>418</v>
      </c>
      <c r="J2900" s="25"/>
      <c r="K2900" s="25"/>
      <c r="L2900" s="25"/>
      <c r="M2900" s="25"/>
      <c r="N2900" s="25"/>
      <c r="O2900" s="25"/>
      <c r="P2900" s="25"/>
      <c r="Q2900" s="25"/>
      <c r="R2900" s="25"/>
      <c r="S2900" s="25"/>
      <c r="T2900" s="25"/>
      <c r="U2900" s="25"/>
      <c r="V2900" s="25"/>
      <c r="W2900" s="25"/>
      <c r="X2900" s="25"/>
      <c r="Y2900" s="25"/>
      <c r="Z2900" s="25"/>
    </row>
    <row r="2901" spans="1:26" ht="15.75" customHeight="1" x14ac:dyDescent="0.75">
      <c r="A2901" s="43" t="s">
        <v>19</v>
      </c>
      <c r="B2901" s="40"/>
      <c r="C2901" s="40"/>
      <c r="D2901" s="40"/>
      <c r="E2901" s="40"/>
      <c r="F2901" s="40"/>
      <c r="G2901" s="40"/>
      <c r="H2901" s="41"/>
      <c r="I2901" s="24" t="s">
        <v>418</v>
      </c>
      <c r="J2901" s="25"/>
      <c r="K2901" s="25"/>
      <c r="L2901" s="25"/>
      <c r="M2901" s="25"/>
      <c r="N2901" s="25"/>
      <c r="O2901" s="25"/>
      <c r="P2901" s="25"/>
      <c r="Q2901" s="25"/>
      <c r="R2901" s="25"/>
      <c r="S2901" s="25"/>
      <c r="T2901" s="25"/>
      <c r="U2901" s="25"/>
      <c r="V2901" s="25"/>
      <c r="W2901" s="25"/>
      <c r="X2901" s="25"/>
      <c r="Y2901" s="25"/>
      <c r="Z2901" s="25"/>
    </row>
    <row r="2902" spans="1:26" ht="15.75" customHeight="1" x14ac:dyDescent="0.45">
      <c r="A2902" s="25"/>
      <c r="B2902" s="25"/>
      <c r="C2902" s="25"/>
      <c r="D2902" s="25"/>
      <c r="E2902" s="25"/>
      <c r="F2902" s="25"/>
      <c r="G2902" s="25"/>
      <c r="H2902" s="25"/>
      <c r="I2902" s="24" t="s">
        <v>418</v>
      </c>
      <c r="J2902" s="25"/>
      <c r="K2902" s="25"/>
      <c r="L2902" s="25"/>
      <c r="M2902" s="25"/>
      <c r="N2902" s="25"/>
      <c r="O2902" s="25"/>
      <c r="P2902" s="25"/>
      <c r="Q2902" s="25"/>
      <c r="R2902" s="25"/>
      <c r="S2902" s="25"/>
      <c r="T2902" s="25"/>
      <c r="U2902" s="25"/>
      <c r="V2902" s="25"/>
      <c r="W2902" s="25"/>
      <c r="X2902" s="25"/>
      <c r="Y2902" s="25"/>
      <c r="Z2902" s="25"/>
    </row>
    <row r="2903" spans="1:26" ht="15.75" customHeight="1" x14ac:dyDescent="0.45">
      <c r="A2903" s="25"/>
      <c r="B2903" s="25"/>
      <c r="C2903" s="25"/>
      <c r="D2903" s="25"/>
      <c r="E2903" s="25"/>
      <c r="F2903" s="25"/>
      <c r="G2903" s="25"/>
      <c r="H2903" s="25"/>
      <c r="I2903" s="24" t="s">
        <v>418</v>
      </c>
      <c r="J2903" s="25"/>
      <c r="K2903" s="25"/>
      <c r="L2903" s="25"/>
      <c r="M2903" s="25"/>
      <c r="N2903" s="25"/>
      <c r="O2903" s="25"/>
      <c r="P2903" s="25"/>
      <c r="Q2903" s="25"/>
      <c r="R2903" s="25"/>
      <c r="S2903" s="25"/>
      <c r="T2903" s="25"/>
      <c r="U2903" s="25"/>
      <c r="V2903" s="25"/>
      <c r="W2903" s="25"/>
      <c r="X2903" s="25"/>
      <c r="Y2903" s="25"/>
      <c r="Z2903" s="25"/>
    </row>
    <row r="2904" spans="1:26" ht="15.75" customHeight="1" x14ac:dyDescent="0.45">
      <c r="A2904" s="25"/>
      <c r="B2904" s="25"/>
      <c r="C2904" s="25"/>
      <c r="D2904" s="25"/>
      <c r="E2904" s="25"/>
      <c r="F2904" s="25"/>
      <c r="G2904" s="25"/>
      <c r="H2904" s="25"/>
      <c r="I2904" s="24" t="s">
        <v>418</v>
      </c>
      <c r="J2904" s="25"/>
      <c r="K2904" s="25"/>
      <c r="L2904" s="25"/>
      <c r="M2904" s="25"/>
      <c r="N2904" s="25"/>
      <c r="O2904" s="25"/>
      <c r="P2904" s="25"/>
      <c r="Q2904" s="25"/>
      <c r="R2904" s="25"/>
      <c r="S2904" s="25"/>
      <c r="T2904" s="25"/>
      <c r="U2904" s="25"/>
      <c r="V2904" s="25"/>
      <c r="W2904" s="25"/>
      <c r="X2904" s="25"/>
      <c r="Y2904" s="25"/>
      <c r="Z2904" s="25"/>
    </row>
    <row r="2905" spans="1:26" ht="15.75" customHeight="1" x14ac:dyDescent="0.45">
      <c r="A2905" s="25"/>
      <c r="B2905" s="25"/>
      <c r="C2905" s="25"/>
      <c r="D2905" s="25"/>
      <c r="E2905" s="25"/>
      <c r="F2905" s="25"/>
      <c r="G2905" s="25"/>
      <c r="H2905" s="25"/>
      <c r="I2905" s="24" t="s">
        <v>418</v>
      </c>
      <c r="J2905" s="25"/>
      <c r="K2905" s="25"/>
      <c r="L2905" s="25"/>
      <c r="M2905" s="25"/>
      <c r="N2905" s="25"/>
      <c r="O2905" s="25"/>
      <c r="P2905" s="25"/>
      <c r="Q2905" s="25"/>
      <c r="R2905" s="25"/>
      <c r="S2905" s="25"/>
      <c r="T2905" s="25"/>
      <c r="U2905" s="25"/>
      <c r="V2905" s="25"/>
      <c r="W2905" s="25"/>
      <c r="X2905" s="25"/>
      <c r="Y2905" s="25"/>
      <c r="Z2905" s="25"/>
    </row>
    <row r="2906" spans="1:26" ht="15.75" customHeight="1" x14ac:dyDescent="0.45">
      <c r="A2906" s="25"/>
      <c r="B2906" s="25"/>
      <c r="C2906" s="25"/>
      <c r="D2906" s="25"/>
      <c r="E2906" s="25"/>
      <c r="F2906" s="25"/>
      <c r="G2906" s="25"/>
      <c r="H2906" s="25"/>
      <c r="I2906" s="24" t="s">
        <v>418</v>
      </c>
      <c r="J2906" s="25"/>
      <c r="K2906" s="25"/>
      <c r="L2906" s="25"/>
      <c r="M2906" s="25"/>
      <c r="N2906" s="25"/>
      <c r="O2906" s="25"/>
      <c r="P2906" s="25"/>
      <c r="Q2906" s="25"/>
      <c r="R2906" s="25"/>
      <c r="S2906" s="25"/>
      <c r="T2906" s="25"/>
      <c r="U2906" s="25"/>
      <c r="V2906" s="25"/>
      <c r="W2906" s="25"/>
      <c r="X2906" s="25"/>
      <c r="Y2906" s="25"/>
      <c r="Z2906" s="25"/>
    </row>
    <row r="2907" spans="1:26" ht="15.75" customHeight="1" x14ac:dyDescent="0.75">
      <c r="A2907" s="43" t="s">
        <v>0</v>
      </c>
      <c r="B2907" s="40"/>
      <c r="C2907" s="40"/>
      <c r="D2907" s="40"/>
      <c r="E2907" s="40"/>
      <c r="F2907" s="40"/>
      <c r="G2907" s="40"/>
      <c r="H2907" s="41"/>
      <c r="I2907" s="24" t="s">
        <v>418</v>
      </c>
      <c r="J2907" s="25"/>
      <c r="K2907" s="25"/>
      <c r="L2907" s="25"/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5"/>
    </row>
    <row r="2908" spans="1:26" ht="15.75" customHeight="1" x14ac:dyDescent="0.75">
      <c r="A2908" s="43" t="s">
        <v>431</v>
      </c>
      <c r="B2908" s="40"/>
      <c r="C2908" s="40"/>
      <c r="D2908" s="40"/>
      <c r="E2908" s="40"/>
      <c r="F2908" s="40"/>
      <c r="G2908" s="40"/>
      <c r="H2908" s="41"/>
      <c r="I2908" s="24" t="s">
        <v>418</v>
      </c>
      <c r="J2908" s="25"/>
      <c r="K2908" s="25"/>
      <c r="L2908" s="25"/>
      <c r="M2908" s="25"/>
      <c r="N2908" s="25"/>
      <c r="O2908" s="25"/>
      <c r="P2908" s="25"/>
      <c r="Q2908" s="25"/>
      <c r="R2908" s="25"/>
      <c r="S2908" s="25"/>
      <c r="T2908" s="25"/>
      <c r="U2908" s="25"/>
      <c r="V2908" s="25"/>
      <c r="W2908" s="25"/>
      <c r="X2908" s="25"/>
      <c r="Y2908" s="25"/>
      <c r="Z2908" s="25"/>
    </row>
    <row r="2909" spans="1:26" ht="15.75" customHeight="1" x14ac:dyDescent="0.55000000000000004">
      <c r="A2909" s="2" t="s">
        <v>3</v>
      </c>
      <c r="B2909" s="2" t="s">
        <v>4</v>
      </c>
      <c r="C2909" s="2" t="s">
        <v>5</v>
      </c>
      <c r="D2909" s="2" t="s">
        <v>6</v>
      </c>
      <c r="E2909" s="2" t="s">
        <v>7</v>
      </c>
      <c r="F2909" s="3" t="s">
        <v>8</v>
      </c>
      <c r="G2909" s="2" t="s">
        <v>9</v>
      </c>
      <c r="H2909" s="26"/>
      <c r="I2909" s="24" t="s">
        <v>418</v>
      </c>
      <c r="J2909" s="25"/>
      <c r="K2909" s="25"/>
      <c r="L2909" s="25"/>
      <c r="M2909" s="25"/>
      <c r="N2909" s="25"/>
      <c r="O2909" s="25"/>
      <c r="P2909" s="25"/>
      <c r="Q2909" s="25"/>
      <c r="R2909" s="25"/>
      <c r="S2909" s="25"/>
      <c r="T2909" s="25"/>
      <c r="U2909" s="25"/>
      <c r="V2909" s="25"/>
      <c r="W2909" s="25"/>
      <c r="X2909" s="25"/>
      <c r="Y2909" s="25"/>
      <c r="Z2909" s="25"/>
    </row>
    <row r="2910" spans="1:26" ht="15.75" customHeight="1" x14ac:dyDescent="0.75">
      <c r="A2910" s="5">
        <v>1</v>
      </c>
      <c r="B2910" s="27" t="s">
        <v>423</v>
      </c>
      <c r="C2910" s="28" t="s">
        <v>432</v>
      </c>
      <c r="D2910" s="27" t="s">
        <v>12</v>
      </c>
      <c r="E2910" s="27">
        <v>2</v>
      </c>
      <c r="F2910" s="8">
        <v>293000</v>
      </c>
      <c r="G2910" s="9">
        <f t="shared" ref="G2910:G2912" si="179">IFERROR(E2910*F2910,0)</f>
        <v>586000</v>
      </c>
      <c r="H2910" s="29"/>
      <c r="I2910" s="24" t="s">
        <v>418</v>
      </c>
      <c r="J2910" s="25"/>
      <c r="K2910" s="25"/>
      <c r="L2910" s="25"/>
      <c r="M2910" s="25"/>
      <c r="N2910" s="25"/>
      <c r="O2910" s="25"/>
      <c r="P2910" s="25"/>
      <c r="Q2910" s="25"/>
      <c r="R2910" s="25"/>
      <c r="S2910" s="25"/>
      <c r="T2910" s="25"/>
      <c r="U2910" s="25"/>
      <c r="V2910" s="25"/>
      <c r="W2910" s="25"/>
      <c r="X2910" s="25"/>
      <c r="Y2910" s="25"/>
      <c r="Z2910" s="25"/>
    </row>
    <row r="2911" spans="1:26" ht="15.75" customHeight="1" x14ac:dyDescent="0.75">
      <c r="A2911" s="5">
        <v>2</v>
      </c>
      <c r="B2911" s="30" t="s">
        <v>35</v>
      </c>
      <c r="C2911" s="31" t="s">
        <v>433</v>
      </c>
      <c r="D2911" s="30" t="s">
        <v>14</v>
      </c>
      <c r="E2911" s="30">
        <v>1.59</v>
      </c>
      <c r="F2911" s="11">
        <v>435000</v>
      </c>
      <c r="G2911" s="9">
        <f t="shared" si="179"/>
        <v>691650</v>
      </c>
      <c r="H2911" s="29"/>
      <c r="I2911" s="24" t="s">
        <v>418</v>
      </c>
      <c r="J2911" s="25"/>
      <c r="K2911" s="25"/>
      <c r="L2911" s="25"/>
      <c r="M2911" s="25"/>
      <c r="N2911" s="25"/>
      <c r="O2911" s="25"/>
      <c r="P2911" s="25"/>
      <c r="Q2911" s="25"/>
      <c r="R2911" s="25"/>
      <c r="S2911" s="25"/>
      <c r="T2911" s="25"/>
      <c r="U2911" s="25"/>
      <c r="V2911" s="25"/>
      <c r="W2911" s="25"/>
      <c r="X2911" s="25"/>
      <c r="Y2911" s="25"/>
      <c r="Z2911" s="25"/>
    </row>
    <row r="2912" spans="1:26" ht="15.75" customHeight="1" x14ac:dyDescent="0.75">
      <c r="A2912" s="5">
        <v>3</v>
      </c>
      <c r="B2912" s="12" t="s">
        <v>15</v>
      </c>
      <c r="C2912" s="29"/>
      <c r="D2912" s="29"/>
      <c r="E2912" s="29"/>
      <c r="F2912" s="29"/>
      <c r="G2912" s="13">
        <f t="shared" si="179"/>
        <v>0</v>
      </c>
      <c r="H2912" s="29"/>
      <c r="I2912" s="24" t="s">
        <v>418</v>
      </c>
      <c r="J2912" s="25"/>
      <c r="K2912" s="25"/>
      <c r="L2912" s="25"/>
      <c r="M2912" s="25"/>
      <c r="N2912" s="25"/>
      <c r="O2912" s="25"/>
      <c r="P2912" s="25"/>
      <c r="Q2912" s="25"/>
      <c r="R2912" s="25"/>
      <c r="S2912" s="25"/>
      <c r="T2912" s="25"/>
      <c r="U2912" s="25"/>
      <c r="V2912" s="25"/>
      <c r="W2912" s="25"/>
      <c r="X2912" s="25"/>
      <c r="Y2912" s="25"/>
      <c r="Z2912" s="25"/>
    </row>
    <row r="2913" spans="1:26" ht="15.75" customHeight="1" x14ac:dyDescent="0.75">
      <c r="A2913" s="39" t="s">
        <v>16</v>
      </c>
      <c r="B2913" s="40"/>
      <c r="C2913" s="40"/>
      <c r="D2913" s="40"/>
      <c r="E2913" s="40"/>
      <c r="F2913" s="40"/>
      <c r="G2913" s="41"/>
      <c r="H2913" s="14">
        <f>SUM(G2910:G2912)</f>
        <v>1277650</v>
      </c>
      <c r="I2913" s="24" t="s">
        <v>418</v>
      </c>
      <c r="J2913" s="25"/>
      <c r="K2913" s="25"/>
      <c r="L2913" s="25"/>
      <c r="M2913" s="25"/>
      <c r="N2913" s="25"/>
      <c r="O2913" s="25"/>
      <c r="P2913" s="25"/>
      <c r="Q2913" s="25"/>
      <c r="R2913" s="25"/>
      <c r="S2913" s="25"/>
      <c r="T2913" s="25"/>
      <c r="U2913" s="25"/>
      <c r="V2913" s="25"/>
      <c r="W2913" s="25"/>
      <c r="X2913" s="25"/>
      <c r="Y2913" s="25"/>
      <c r="Z2913" s="25"/>
    </row>
    <row r="2914" spans="1:26" ht="15.75" customHeight="1" x14ac:dyDescent="0.75">
      <c r="A2914" s="39" t="s">
        <v>17</v>
      </c>
      <c r="B2914" s="40"/>
      <c r="C2914" s="40"/>
      <c r="D2914" s="40"/>
      <c r="E2914" s="40"/>
      <c r="F2914" s="40"/>
      <c r="G2914" s="41"/>
      <c r="H2914" s="14">
        <f>MAX(0,H2913-648000)</f>
        <v>629650</v>
      </c>
      <c r="I2914" s="24" t="s">
        <v>418</v>
      </c>
      <c r="J2914" s="25"/>
      <c r="K2914" s="25"/>
      <c r="L2914" s="25"/>
      <c r="M2914" s="25"/>
      <c r="N2914" s="25"/>
      <c r="O2914" s="25"/>
      <c r="P2914" s="25"/>
      <c r="Q2914" s="25"/>
      <c r="R2914" s="25"/>
      <c r="S2914" s="25"/>
      <c r="T2914" s="25"/>
      <c r="U2914" s="25"/>
      <c r="V2914" s="25"/>
      <c r="W2914" s="25"/>
      <c r="X2914" s="25"/>
      <c r="Y2914" s="25"/>
      <c r="Z2914" s="25"/>
    </row>
    <row r="2915" spans="1:26" ht="15.75" customHeight="1" x14ac:dyDescent="0.75">
      <c r="A2915" s="42" t="s">
        <v>18</v>
      </c>
      <c r="B2915" s="40"/>
      <c r="C2915" s="40"/>
      <c r="D2915" s="40"/>
      <c r="E2915" s="40"/>
      <c r="F2915" s="40"/>
      <c r="G2915" s="41"/>
      <c r="H2915" s="15">
        <v>649000</v>
      </c>
      <c r="I2915" s="24" t="s">
        <v>418</v>
      </c>
      <c r="J2915" s="25"/>
      <c r="K2915" s="25"/>
      <c r="L2915" s="25"/>
      <c r="M2915" s="25"/>
      <c r="N2915" s="25"/>
      <c r="O2915" s="25"/>
      <c r="P2915" s="25"/>
      <c r="Q2915" s="25"/>
      <c r="R2915" s="25"/>
      <c r="S2915" s="25"/>
      <c r="T2915" s="25"/>
      <c r="U2915" s="25"/>
      <c r="V2915" s="25"/>
      <c r="W2915" s="25"/>
      <c r="X2915" s="25"/>
      <c r="Y2915" s="25"/>
      <c r="Z2915" s="25"/>
    </row>
    <row r="2916" spans="1:26" ht="15.75" customHeight="1" x14ac:dyDescent="0.75">
      <c r="A2916" s="43" t="s">
        <v>19</v>
      </c>
      <c r="B2916" s="40"/>
      <c r="C2916" s="40"/>
      <c r="D2916" s="40"/>
      <c r="E2916" s="40"/>
      <c r="F2916" s="40"/>
      <c r="G2916" s="40"/>
      <c r="H2916" s="41"/>
      <c r="I2916" s="24" t="s">
        <v>418</v>
      </c>
      <c r="J2916" s="25"/>
      <c r="K2916" s="25"/>
      <c r="L2916" s="25"/>
      <c r="M2916" s="25"/>
      <c r="N2916" s="25"/>
      <c r="O2916" s="25"/>
      <c r="P2916" s="25"/>
      <c r="Q2916" s="25"/>
      <c r="R2916" s="25"/>
      <c r="S2916" s="25"/>
      <c r="T2916" s="25"/>
      <c r="U2916" s="25"/>
      <c r="V2916" s="25"/>
      <c r="W2916" s="25"/>
      <c r="X2916" s="25"/>
      <c r="Y2916" s="25"/>
      <c r="Z2916" s="25"/>
    </row>
    <row r="2917" spans="1:26" ht="15.75" customHeight="1" x14ac:dyDescent="0.45">
      <c r="A2917" s="25"/>
      <c r="B2917" s="25"/>
      <c r="C2917" s="25"/>
      <c r="D2917" s="25"/>
      <c r="E2917" s="25"/>
      <c r="F2917" s="25"/>
      <c r="G2917" s="25"/>
      <c r="H2917" s="25"/>
      <c r="I2917" s="24" t="s">
        <v>418</v>
      </c>
      <c r="J2917" s="25"/>
      <c r="K2917" s="25"/>
      <c r="L2917" s="25"/>
      <c r="M2917" s="25"/>
      <c r="N2917" s="25"/>
      <c r="O2917" s="25"/>
      <c r="P2917" s="25"/>
      <c r="Q2917" s="25"/>
      <c r="R2917" s="25"/>
      <c r="S2917" s="25"/>
      <c r="T2917" s="25"/>
      <c r="U2917" s="25"/>
      <c r="V2917" s="25"/>
      <c r="W2917" s="25"/>
      <c r="X2917" s="25"/>
      <c r="Y2917" s="25"/>
      <c r="Z2917" s="25"/>
    </row>
    <row r="2918" spans="1:26" ht="15.75" customHeight="1" x14ac:dyDescent="0.45">
      <c r="A2918" s="25"/>
      <c r="B2918" s="25"/>
      <c r="C2918" s="25"/>
      <c r="D2918" s="25"/>
      <c r="E2918" s="25"/>
      <c r="F2918" s="25"/>
      <c r="G2918" s="25"/>
      <c r="H2918" s="25"/>
      <c r="I2918" s="24" t="s">
        <v>418</v>
      </c>
      <c r="J2918" s="25"/>
      <c r="K2918" s="25"/>
      <c r="L2918" s="25"/>
      <c r="M2918" s="25"/>
      <c r="N2918" s="25"/>
      <c r="O2918" s="25"/>
      <c r="P2918" s="25"/>
      <c r="Q2918" s="25"/>
      <c r="R2918" s="25"/>
      <c r="S2918" s="25"/>
      <c r="T2918" s="25"/>
      <c r="U2918" s="25"/>
      <c r="V2918" s="25"/>
      <c r="W2918" s="25"/>
      <c r="X2918" s="25"/>
      <c r="Y2918" s="25"/>
      <c r="Z2918" s="25"/>
    </row>
    <row r="2919" spans="1:26" ht="15.75" customHeight="1" x14ac:dyDescent="0.45">
      <c r="A2919" s="25"/>
      <c r="B2919" s="25"/>
      <c r="C2919" s="25"/>
      <c r="D2919" s="25"/>
      <c r="E2919" s="25"/>
      <c r="F2919" s="25"/>
      <c r="G2919" s="25"/>
      <c r="H2919" s="25"/>
      <c r="I2919" s="24" t="s">
        <v>418</v>
      </c>
      <c r="J2919" s="25"/>
      <c r="K2919" s="25"/>
      <c r="L2919" s="25"/>
      <c r="M2919" s="25"/>
      <c r="N2919" s="25"/>
      <c r="O2919" s="25"/>
      <c r="P2919" s="25"/>
      <c r="Q2919" s="25"/>
      <c r="R2919" s="25"/>
      <c r="S2919" s="25"/>
      <c r="T2919" s="25"/>
      <c r="U2919" s="25"/>
      <c r="V2919" s="25"/>
      <c r="W2919" s="25"/>
      <c r="X2919" s="25"/>
      <c r="Y2919" s="25"/>
      <c r="Z2919" s="25"/>
    </row>
    <row r="2920" spans="1:26" ht="15.75" customHeight="1" x14ac:dyDescent="0.45">
      <c r="A2920" s="25"/>
      <c r="B2920" s="25"/>
      <c r="C2920" s="25"/>
      <c r="D2920" s="25"/>
      <c r="E2920" s="25"/>
      <c r="F2920" s="25"/>
      <c r="G2920" s="25"/>
      <c r="H2920" s="25"/>
      <c r="I2920" s="24" t="s">
        <v>418</v>
      </c>
      <c r="J2920" s="25"/>
      <c r="K2920" s="25"/>
      <c r="L2920" s="25"/>
      <c r="M2920" s="25"/>
      <c r="N2920" s="25"/>
      <c r="O2920" s="25"/>
      <c r="P2920" s="25"/>
      <c r="Q2920" s="25"/>
      <c r="R2920" s="25"/>
      <c r="S2920" s="25"/>
      <c r="T2920" s="25"/>
      <c r="U2920" s="25"/>
      <c r="V2920" s="25"/>
      <c r="W2920" s="25"/>
      <c r="X2920" s="25"/>
      <c r="Y2920" s="25"/>
      <c r="Z2920" s="25"/>
    </row>
    <row r="2921" spans="1:26" ht="15.75" customHeight="1" x14ac:dyDescent="0.45">
      <c r="A2921" s="25"/>
      <c r="B2921" s="25"/>
      <c r="C2921" s="25"/>
      <c r="D2921" s="25"/>
      <c r="E2921" s="25"/>
      <c r="F2921" s="25"/>
      <c r="G2921" s="25"/>
      <c r="H2921" s="25"/>
      <c r="I2921" s="24" t="s">
        <v>418</v>
      </c>
      <c r="J2921" s="25"/>
      <c r="K2921" s="25"/>
      <c r="L2921" s="25"/>
      <c r="M2921" s="25"/>
      <c r="N2921" s="25"/>
      <c r="O2921" s="25"/>
      <c r="P2921" s="25"/>
      <c r="Q2921" s="25"/>
      <c r="R2921" s="25"/>
      <c r="S2921" s="25"/>
      <c r="T2921" s="25"/>
      <c r="U2921" s="25"/>
      <c r="V2921" s="25"/>
      <c r="W2921" s="25"/>
      <c r="X2921" s="25"/>
      <c r="Y2921" s="25"/>
      <c r="Z2921" s="25"/>
    </row>
    <row r="2922" spans="1:26" ht="15.75" customHeight="1" x14ac:dyDescent="0.75">
      <c r="A2922" s="43" t="s">
        <v>0</v>
      </c>
      <c r="B2922" s="40"/>
      <c r="C2922" s="40"/>
      <c r="D2922" s="40"/>
      <c r="E2922" s="40"/>
      <c r="F2922" s="40"/>
      <c r="G2922" s="40"/>
      <c r="H2922" s="41"/>
      <c r="I2922" s="24" t="s">
        <v>418</v>
      </c>
      <c r="J2922" s="25"/>
      <c r="K2922" s="25"/>
      <c r="L2922" s="25"/>
      <c r="M2922" s="25"/>
      <c r="N2922" s="25"/>
      <c r="O2922" s="25"/>
      <c r="P2922" s="25"/>
      <c r="Q2922" s="25"/>
      <c r="R2922" s="25"/>
      <c r="S2922" s="25"/>
      <c r="T2922" s="25"/>
      <c r="U2922" s="25"/>
      <c r="V2922" s="25"/>
      <c r="W2922" s="25"/>
      <c r="X2922" s="25"/>
      <c r="Y2922" s="25"/>
      <c r="Z2922" s="25"/>
    </row>
    <row r="2923" spans="1:26" ht="15.75" customHeight="1" x14ac:dyDescent="0.75">
      <c r="A2923" s="43" t="s">
        <v>434</v>
      </c>
      <c r="B2923" s="40"/>
      <c r="C2923" s="40"/>
      <c r="D2923" s="40"/>
      <c r="E2923" s="40"/>
      <c r="F2923" s="40"/>
      <c r="G2923" s="40"/>
      <c r="H2923" s="41"/>
      <c r="I2923" s="24" t="s">
        <v>418</v>
      </c>
      <c r="J2923" s="25"/>
      <c r="K2923" s="25"/>
      <c r="L2923" s="25"/>
      <c r="M2923" s="25"/>
      <c r="N2923" s="25"/>
      <c r="O2923" s="25"/>
      <c r="P2923" s="25"/>
      <c r="Q2923" s="25"/>
      <c r="R2923" s="25"/>
      <c r="S2923" s="25"/>
      <c r="T2923" s="25"/>
      <c r="U2923" s="25"/>
      <c r="V2923" s="25"/>
      <c r="W2923" s="25"/>
      <c r="X2923" s="25"/>
      <c r="Y2923" s="25"/>
      <c r="Z2923" s="25"/>
    </row>
    <row r="2924" spans="1:26" ht="15.75" customHeight="1" x14ac:dyDescent="0.55000000000000004">
      <c r="A2924" s="2" t="s">
        <v>3</v>
      </c>
      <c r="B2924" s="2" t="s">
        <v>4</v>
      </c>
      <c r="C2924" s="2" t="s">
        <v>5</v>
      </c>
      <c r="D2924" s="2" t="s">
        <v>6</v>
      </c>
      <c r="E2924" s="2" t="s">
        <v>7</v>
      </c>
      <c r="F2924" s="3" t="s">
        <v>8</v>
      </c>
      <c r="G2924" s="2" t="s">
        <v>9</v>
      </c>
      <c r="H2924" s="26"/>
      <c r="I2924" s="24" t="s">
        <v>418</v>
      </c>
      <c r="J2924" s="25"/>
      <c r="K2924" s="25"/>
      <c r="L2924" s="25"/>
      <c r="M2924" s="25"/>
      <c r="N2924" s="25"/>
      <c r="O2924" s="25"/>
      <c r="P2924" s="25"/>
      <c r="Q2924" s="25"/>
      <c r="R2924" s="25"/>
      <c r="S2924" s="25"/>
      <c r="T2924" s="25"/>
      <c r="U2924" s="25"/>
      <c r="V2924" s="25"/>
      <c r="W2924" s="25"/>
      <c r="X2924" s="25"/>
      <c r="Y2924" s="25"/>
      <c r="Z2924" s="25"/>
    </row>
    <row r="2925" spans="1:26" ht="15.75" customHeight="1" x14ac:dyDescent="0.75">
      <c r="A2925" s="5">
        <v>1</v>
      </c>
      <c r="B2925" s="27" t="s">
        <v>435</v>
      </c>
      <c r="C2925" s="28" t="s">
        <v>436</v>
      </c>
      <c r="D2925" s="27" t="s">
        <v>12</v>
      </c>
      <c r="E2925" s="27">
        <v>1.53</v>
      </c>
      <c r="F2925" s="8">
        <v>293000</v>
      </c>
      <c r="G2925" s="9">
        <f t="shared" ref="G2925:G2927" si="180">IFERROR(E2925*F2925,0)</f>
        <v>448290</v>
      </c>
      <c r="H2925" s="29"/>
      <c r="I2925" s="24" t="s">
        <v>418</v>
      </c>
      <c r="J2925" s="25"/>
      <c r="K2925" s="25"/>
      <c r="L2925" s="25"/>
      <c r="M2925" s="25"/>
      <c r="N2925" s="25"/>
      <c r="O2925" s="25"/>
      <c r="P2925" s="25"/>
      <c r="Q2925" s="25"/>
      <c r="R2925" s="25"/>
      <c r="S2925" s="25"/>
      <c r="T2925" s="25"/>
      <c r="U2925" s="25"/>
      <c r="V2925" s="25"/>
      <c r="W2925" s="25"/>
      <c r="X2925" s="25"/>
      <c r="Y2925" s="25"/>
      <c r="Z2925" s="25"/>
    </row>
    <row r="2926" spans="1:26" ht="15.75" customHeight="1" x14ac:dyDescent="0.75">
      <c r="A2926" s="5">
        <v>2</v>
      </c>
      <c r="B2926" s="30" t="s">
        <v>31</v>
      </c>
      <c r="C2926" s="31" t="s">
        <v>437</v>
      </c>
      <c r="D2926" s="30" t="s">
        <v>14</v>
      </c>
      <c r="E2926" s="30">
        <v>1.97</v>
      </c>
      <c r="F2926" s="11">
        <v>435000</v>
      </c>
      <c r="G2926" s="9">
        <f t="shared" si="180"/>
        <v>856950</v>
      </c>
      <c r="H2926" s="29"/>
      <c r="I2926" s="24" t="s">
        <v>418</v>
      </c>
      <c r="J2926" s="25"/>
      <c r="K2926" s="25"/>
      <c r="L2926" s="25"/>
      <c r="M2926" s="25"/>
      <c r="N2926" s="25"/>
      <c r="O2926" s="25"/>
      <c r="P2926" s="25"/>
      <c r="Q2926" s="25"/>
      <c r="R2926" s="25"/>
      <c r="S2926" s="25"/>
      <c r="T2926" s="25"/>
      <c r="U2926" s="25"/>
      <c r="V2926" s="25"/>
      <c r="W2926" s="25"/>
      <c r="X2926" s="25"/>
      <c r="Y2926" s="25"/>
      <c r="Z2926" s="25"/>
    </row>
    <row r="2927" spans="1:26" ht="15.75" customHeight="1" x14ac:dyDescent="0.75">
      <c r="A2927" s="5">
        <v>3</v>
      </c>
      <c r="B2927" s="12" t="s">
        <v>15</v>
      </c>
      <c r="C2927" s="29"/>
      <c r="D2927" s="29"/>
      <c r="E2927" s="29"/>
      <c r="F2927" s="29"/>
      <c r="G2927" s="13">
        <f t="shared" si="180"/>
        <v>0</v>
      </c>
      <c r="H2927" s="29"/>
      <c r="I2927" s="24" t="s">
        <v>418</v>
      </c>
      <c r="J2927" s="25"/>
      <c r="K2927" s="25"/>
      <c r="L2927" s="25"/>
      <c r="M2927" s="25"/>
      <c r="N2927" s="25"/>
      <c r="O2927" s="25"/>
      <c r="P2927" s="25"/>
      <c r="Q2927" s="25"/>
      <c r="R2927" s="25"/>
      <c r="S2927" s="25"/>
      <c r="T2927" s="25"/>
      <c r="U2927" s="25"/>
      <c r="V2927" s="25"/>
      <c r="W2927" s="25"/>
      <c r="X2927" s="25"/>
      <c r="Y2927" s="25"/>
      <c r="Z2927" s="25"/>
    </row>
    <row r="2928" spans="1:26" ht="15.75" customHeight="1" x14ac:dyDescent="0.75">
      <c r="A2928" s="39" t="s">
        <v>16</v>
      </c>
      <c r="B2928" s="40"/>
      <c r="C2928" s="40"/>
      <c r="D2928" s="40"/>
      <c r="E2928" s="40"/>
      <c r="F2928" s="40"/>
      <c r="G2928" s="41"/>
      <c r="H2928" s="14">
        <f>SUM(G2925:G2927)</f>
        <v>1305240</v>
      </c>
      <c r="I2928" s="24" t="s">
        <v>418</v>
      </c>
      <c r="J2928" s="25"/>
      <c r="K2928" s="25"/>
      <c r="L2928" s="25"/>
      <c r="M2928" s="25"/>
      <c r="N2928" s="25"/>
      <c r="O2928" s="25"/>
      <c r="P2928" s="25"/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</row>
    <row r="2929" spans="1:26" ht="15.75" customHeight="1" x14ac:dyDescent="0.75">
      <c r="A2929" s="39" t="s">
        <v>17</v>
      </c>
      <c r="B2929" s="40"/>
      <c r="C2929" s="40"/>
      <c r="D2929" s="40"/>
      <c r="E2929" s="40"/>
      <c r="F2929" s="40"/>
      <c r="G2929" s="41"/>
      <c r="H2929" s="14">
        <f>MAX(0,H2928-648000)</f>
        <v>657240</v>
      </c>
      <c r="I2929" s="24" t="s">
        <v>418</v>
      </c>
      <c r="J2929" s="25"/>
      <c r="K2929" s="25"/>
      <c r="L2929" s="25"/>
      <c r="M2929" s="25"/>
      <c r="N2929" s="25"/>
      <c r="O2929" s="25"/>
      <c r="P2929" s="25"/>
      <c r="Q2929" s="25"/>
      <c r="R2929" s="25"/>
      <c r="S2929" s="25"/>
      <c r="T2929" s="25"/>
      <c r="U2929" s="25"/>
      <c r="V2929" s="25"/>
      <c r="W2929" s="25"/>
      <c r="X2929" s="25"/>
      <c r="Y2929" s="25"/>
      <c r="Z2929" s="25"/>
    </row>
    <row r="2930" spans="1:26" ht="15.75" customHeight="1" x14ac:dyDescent="0.75">
      <c r="A2930" s="42" t="s">
        <v>18</v>
      </c>
      <c r="B2930" s="40"/>
      <c r="C2930" s="40"/>
      <c r="D2930" s="40"/>
      <c r="E2930" s="40"/>
      <c r="F2930" s="40"/>
      <c r="G2930" s="41"/>
      <c r="H2930" s="15">
        <v>649000</v>
      </c>
      <c r="I2930" s="24" t="s">
        <v>418</v>
      </c>
      <c r="J2930" s="25"/>
      <c r="K2930" s="25"/>
      <c r="L2930" s="25"/>
      <c r="M2930" s="25"/>
      <c r="N2930" s="25"/>
      <c r="O2930" s="25"/>
      <c r="P2930" s="25"/>
      <c r="Q2930" s="25"/>
      <c r="R2930" s="25"/>
      <c r="S2930" s="25"/>
      <c r="T2930" s="25"/>
      <c r="U2930" s="25"/>
      <c r="V2930" s="25"/>
      <c r="W2930" s="25"/>
      <c r="X2930" s="25"/>
      <c r="Y2930" s="25"/>
      <c r="Z2930" s="25"/>
    </row>
    <row r="2931" spans="1:26" ht="15.75" customHeight="1" x14ac:dyDescent="0.75">
      <c r="A2931" s="43" t="s">
        <v>19</v>
      </c>
      <c r="B2931" s="40"/>
      <c r="C2931" s="40"/>
      <c r="D2931" s="40"/>
      <c r="E2931" s="40"/>
      <c r="F2931" s="40"/>
      <c r="G2931" s="40"/>
      <c r="H2931" s="41"/>
      <c r="I2931" s="24" t="s">
        <v>418</v>
      </c>
      <c r="J2931" s="25"/>
      <c r="K2931" s="25"/>
      <c r="L2931" s="25"/>
      <c r="M2931" s="25"/>
      <c r="N2931" s="25"/>
      <c r="O2931" s="25"/>
      <c r="P2931" s="25"/>
      <c r="Q2931" s="25"/>
      <c r="R2931" s="25"/>
      <c r="S2931" s="25"/>
      <c r="T2931" s="25"/>
      <c r="U2931" s="25"/>
      <c r="V2931" s="25"/>
      <c r="W2931" s="25"/>
      <c r="X2931" s="25"/>
      <c r="Y2931" s="25"/>
      <c r="Z2931" s="25"/>
    </row>
    <row r="2932" spans="1:26" ht="15.75" customHeight="1" x14ac:dyDescent="0.45">
      <c r="A2932" s="25"/>
      <c r="B2932" s="25"/>
      <c r="C2932" s="25"/>
      <c r="D2932" s="25"/>
      <c r="E2932" s="25"/>
      <c r="F2932" s="25"/>
      <c r="G2932" s="25"/>
      <c r="H2932" s="25"/>
      <c r="I2932" s="24" t="s">
        <v>418</v>
      </c>
      <c r="J2932" s="25"/>
      <c r="K2932" s="25"/>
      <c r="L2932" s="25"/>
      <c r="M2932" s="25"/>
      <c r="N2932" s="25"/>
      <c r="O2932" s="25"/>
      <c r="P2932" s="25"/>
      <c r="Q2932" s="25"/>
      <c r="R2932" s="25"/>
      <c r="S2932" s="25"/>
      <c r="T2932" s="25"/>
      <c r="U2932" s="25"/>
      <c r="V2932" s="25"/>
      <c r="W2932" s="25"/>
      <c r="X2932" s="25"/>
      <c r="Y2932" s="25"/>
      <c r="Z2932" s="25"/>
    </row>
    <row r="2933" spans="1:26" ht="15.75" customHeight="1" x14ac:dyDescent="0.45">
      <c r="A2933" s="25"/>
      <c r="B2933" s="25"/>
      <c r="C2933" s="25"/>
      <c r="D2933" s="25"/>
      <c r="E2933" s="25"/>
      <c r="F2933" s="25"/>
      <c r="G2933" s="25"/>
      <c r="H2933" s="25"/>
      <c r="I2933" s="24" t="s">
        <v>418</v>
      </c>
      <c r="J2933" s="25"/>
      <c r="K2933" s="25"/>
      <c r="L2933" s="25"/>
      <c r="M2933" s="25"/>
      <c r="N2933" s="25"/>
      <c r="O2933" s="25"/>
      <c r="P2933" s="25"/>
      <c r="Q2933" s="25"/>
      <c r="R2933" s="25"/>
      <c r="S2933" s="25"/>
      <c r="T2933" s="25"/>
      <c r="U2933" s="25"/>
      <c r="V2933" s="25"/>
      <c r="W2933" s="25"/>
      <c r="X2933" s="25"/>
      <c r="Y2933" s="25"/>
      <c r="Z2933" s="25"/>
    </row>
    <row r="2934" spans="1:26" ht="15.75" customHeight="1" x14ac:dyDescent="0.45">
      <c r="A2934" s="25"/>
      <c r="B2934" s="25"/>
      <c r="C2934" s="25"/>
      <c r="D2934" s="25"/>
      <c r="E2934" s="25"/>
      <c r="F2934" s="25"/>
      <c r="G2934" s="25"/>
      <c r="H2934" s="25"/>
      <c r="I2934" s="24" t="s">
        <v>418</v>
      </c>
      <c r="J2934" s="25"/>
      <c r="K2934" s="25"/>
      <c r="L2934" s="25"/>
      <c r="M2934" s="25"/>
      <c r="N2934" s="25"/>
      <c r="O2934" s="25"/>
      <c r="P2934" s="25"/>
      <c r="Q2934" s="25"/>
      <c r="R2934" s="25"/>
      <c r="S2934" s="25"/>
      <c r="T2934" s="25"/>
      <c r="U2934" s="25"/>
      <c r="V2934" s="25"/>
      <c r="W2934" s="25"/>
      <c r="X2934" s="25"/>
      <c r="Y2934" s="25"/>
      <c r="Z2934" s="25"/>
    </row>
    <row r="2935" spans="1:26" ht="15.75" customHeight="1" x14ac:dyDescent="0.45">
      <c r="A2935" s="25"/>
      <c r="B2935" s="25"/>
      <c r="C2935" s="25"/>
      <c r="D2935" s="25"/>
      <c r="E2935" s="25"/>
      <c r="F2935" s="25"/>
      <c r="G2935" s="25"/>
      <c r="H2935" s="25"/>
      <c r="I2935" s="24" t="s">
        <v>418</v>
      </c>
      <c r="J2935" s="25"/>
      <c r="K2935" s="25"/>
      <c r="L2935" s="25"/>
      <c r="M2935" s="25"/>
      <c r="N2935" s="25"/>
      <c r="O2935" s="25"/>
      <c r="P2935" s="25"/>
      <c r="Q2935" s="25"/>
      <c r="R2935" s="25"/>
      <c r="S2935" s="25"/>
      <c r="T2935" s="25"/>
      <c r="U2935" s="25"/>
      <c r="V2935" s="25"/>
      <c r="W2935" s="25"/>
      <c r="X2935" s="25"/>
      <c r="Y2935" s="25"/>
      <c r="Z2935" s="25"/>
    </row>
    <row r="2936" spans="1:26" ht="15.75" customHeight="1" x14ac:dyDescent="0.45">
      <c r="A2936" s="25"/>
      <c r="B2936" s="25"/>
      <c r="C2936" s="25"/>
      <c r="D2936" s="25"/>
      <c r="E2936" s="25"/>
      <c r="F2936" s="25"/>
      <c r="G2936" s="25"/>
      <c r="H2936" s="25"/>
      <c r="I2936" s="24" t="s">
        <v>418</v>
      </c>
      <c r="J2936" s="25"/>
      <c r="K2936" s="25"/>
      <c r="L2936" s="25"/>
      <c r="M2936" s="25"/>
      <c r="N2936" s="25"/>
      <c r="O2936" s="25"/>
      <c r="P2936" s="25"/>
      <c r="Q2936" s="25"/>
      <c r="R2936" s="25"/>
      <c r="S2936" s="25"/>
      <c r="T2936" s="25"/>
      <c r="U2936" s="25"/>
      <c r="V2936" s="25"/>
      <c r="W2936" s="25"/>
      <c r="X2936" s="25"/>
      <c r="Y2936" s="25"/>
      <c r="Z2936" s="25"/>
    </row>
    <row r="2937" spans="1:26" ht="15.75" customHeight="1" x14ac:dyDescent="0.75">
      <c r="A2937" s="43" t="s">
        <v>0</v>
      </c>
      <c r="B2937" s="40"/>
      <c r="C2937" s="40"/>
      <c r="D2937" s="40"/>
      <c r="E2937" s="40"/>
      <c r="F2937" s="40"/>
      <c r="G2937" s="40"/>
      <c r="H2937" s="41"/>
      <c r="I2937" s="24" t="s">
        <v>418</v>
      </c>
      <c r="J2937" s="25"/>
      <c r="K2937" s="25"/>
      <c r="L2937" s="25"/>
      <c r="M2937" s="25"/>
      <c r="N2937" s="25"/>
      <c r="O2937" s="25"/>
      <c r="P2937" s="25"/>
      <c r="Q2937" s="25"/>
      <c r="R2937" s="25"/>
      <c r="S2937" s="25"/>
      <c r="T2937" s="25"/>
      <c r="U2937" s="25"/>
      <c r="V2937" s="25"/>
      <c r="W2937" s="25"/>
      <c r="X2937" s="25"/>
      <c r="Y2937" s="25"/>
      <c r="Z2937" s="25"/>
    </row>
    <row r="2938" spans="1:26" ht="15.75" customHeight="1" x14ac:dyDescent="0.75">
      <c r="A2938" s="43" t="s">
        <v>438</v>
      </c>
      <c r="B2938" s="40"/>
      <c r="C2938" s="40"/>
      <c r="D2938" s="40"/>
      <c r="E2938" s="40"/>
      <c r="F2938" s="40"/>
      <c r="G2938" s="40"/>
      <c r="H2938" s="41"/>
      <c r="I2938" s="24" t="s">
        <v>418</v>
      </c>
      <c r="J2938" s="25"/>
      <c r="K2938" s="25"/>
      <c r="L2938" s="25"/>
      <c r="M2938" s="25"/>
      <c r="N2938" s="25"/>
      <c r="O2938" s="25"/>
      <c r="P2938" s="25"/>
      <c r="Q2938" s="25"/>
      <c r="R2938" s="25"/>
      <c r="S2938" s="25"/>
      <c r="T2938" s="25"/>
      <c r="U2938" s="25"/>
      <c r="V2938" s="25"/>
      <c r="W2938" s="25"/>
      <c r="X2938" s="25"/>
      <c r="Y2938" s="25"/>
      <c r="Z2938" s="25"/>
    </row>
    <row r="2939" spans="1:26" ht="15.75" customHeight="1" x14ac:dyDescent="0.55000000000000004">
      <c r="A2939" s="2" t="s">
        <v>3</v>
      </c>
      <c r="B2939" s="2" t="s">
        <v>4</v>
      </c>
      <c r="C2939" s="2" t="s">
        <v>5</v>
      </c>
      <c r="D2939" s="2" t="s">
        <v>6</v>
      </c>
      <c r="E2939" s="2" t="s">
        <v>7</v>
      </c>
      <c r="F2939" s="3" t="s">
        <v>8</v>
      </c>
      <c r="G2939" s="2" t="s">
        <v>9</v>
      </c>
      <c r="H2939" s="26"/>
      <c r="I2939" s="24" t="s">
        <v>418</v>
      </c>
      <c r="J2939" s="25"/>
      <c r="K2939" s="25"/>
      <c r="L2939" s="25"/>
      <c r="M2939" s="25"/>
      <c r="N2939" s="25"/>
      <c r="O2939" s="25"/>
      <c r="P2939" s="25"/>
      <c r="Q2939" s="25"/>
      <c r="R2939" s="25"/>
      <c r="S2939" s="25"/>
      <c r="T2939" s="25"/>
      <c r="U2939" s="25"/>
      <c r="V2939" s="25"/>
      <c r="W2939" s="25"/>
      <c r="X2939" s="25"/>
      <c r="Y2939" s="25"/>
      <c r="Z2939" s="25"/>
    </row>
    <row r="2940" spans="1:26" ht="15.75" customHeight="1" x14ac:dyDescent="0.75">
      <c r="A2940" s="5">
        <v>1</v>
      </c>
      <c r="B2940" s="27" t="s">
        <v>47</v>
      </c>
      <c r="C2940" s="28" t="s">
        <v>439</v>
      </c>
      <c r="D2940" s="27" t="s">
        <v>12</v>
      </c>
      <c r="E2940" s="27">
        <v>1.7</v>
      </c>
      <c r="F2940" s="8">
        <v>293000</v>
      </c>
      <c r="G2940" s="9">
        <f t="shared" ref="G2940:G2942" si="181">IFERROR(E2940*F2940,0)</f>
        <v>498100</v>
      </c>
      <c r="H2940" s="29"/>
      <c r="I2940" s="24" t="s">
        <v>418</v>
      </c>
      <c r="J2940" s="25"/>
      <c r="K2940" s="25"/>
      <c r="L2940" s="25"/>
      <c r="M2940" s="25"/>
      <c r="N2940" s="25"/>
      <c r="O2940" s="25"/>
      <c r="P2940" s="25"/>
      <c r="Q2940" s="25"/>
      <c r="R2940" s="25"/>
      <c r="S2940" s="25"/>
      <c r="T2940" s="25"/>
      <c r="U2940" s="25"/>
      <c r="V2940" s="25"/>
      <c r="W2940" s="25"/>
      <c r="X2940" s="25"/>
      <c r="Y2940" s="25"/>
      <c r="Z2940" s="25"/>
    </row>
    <row r="2941" spans="1:26" ht="15.75" customHeight="1" x14ac:dyDescent="0.75">
      <c r="A2941" s="5">
        <v>2</v>
      </c>
      <c r="B2941" s="30" t="s">
        <v>35</v>
      </c>
      <c r="C2941" s="31" t="s">
        <v>440</v>
      </c>
      <c r="D2941" s="30" t="s">
        <v>14</v>
      </c>
      <c r="E2941" s="30">
        <v>1.6</v>
      </c>
      <c r="F2941" s="11">
        <v>435000</v>
      </c>
      <c r="G2941" s="9">
        <f t="shared" si="181"/>
        <v>696000</v>
      </c>
      <c r="H2941" s="29"/>
      <c r="I2941" s="24" t="s">
        <v>418</v>
      </c>
      <c r="J2941" s="25"/>
      <c r="K2941" s="25"/>
      <c r="L2941" s="25"/>
      <c r="M2941" s="25"/>
      <c r="N2941" s="25"/>
      <c r="O2941" s="25"/>
      <c r="P2941" s="25"/>
      <c r="Q2941" s="25"/>
      <c r="R2941" s="25"/>
      <c r="S2941" s="25"/>
      <c r="T2941" s="25"/>
      <c r="U2941" s="25"/>
      <c r="V2941" s="25"/>
      <c r="W2941" s="25"/>
      <c r="X2941" s="25"/>
      <c r="Y2941" s="25"/>
      <c r="Z2941" s="25"/>
    </row>
    <row r="2942" spans="1:26" ht="15.75" customHeight="1" x14ac:dyDescent="0.75">
      <c r="A2942" s="5">
        <v>3</v>
      </c>
      <c r="B2942" s="12" t="s">
        <v>15</v>
      </c>
      <c r="C2942" s="29"/>
      <c r="D2942" s="29"/>
      <c r="E2942" s="29"/>
      <c r="F2942" s="29"/>
      <c r="G2942" s="13">
        <f t="shared" si="181"/>
        <v>0</v>
      </c>
      <c r="H2942" s="29"/>
      <c r="I2942" s="24" t="s">
        <v>418</v>
      </c>
      <c r="J2942" s="25"/>
      <c r="K2942" s="25"/>
      <c r="L2942" s="25"/>
      <c r="M2942" s="25"/>
      <c r="N2942" s="25"/>
      <c r="O2942" s="25"/>
      <c r="P2942" s="25"/>
      <c r="Q2942" s="25"/>
      <c r="R2942" s="25"/>
      <c r="S2942" s="25"/>
      <c r="T2942" s="25"/>
      <c r="U2942" s="25"/>
      <c r="V2942" s="25"/>
      <c r="W2942" s="25"/>
      <c r="X2942" s="25"/>
      <c r="Y2942" s="25"/>
      <c r="Z2942" s="25"/>
    </row>
    <row r="2943" spans="1:26" ht="15.75" customHeight="1" x14ac:dyDescent="0.75">
      <c r="A2943" s="39" t="s">
        <v>16</v>
      </c>
      <c r="B2943" s="40"/>
      <c r="C2943" s="40"/>
      <c r="D2943" s="40"/>
      <c r="E2943" s="40"/>
      <c r="F2943" s="40"/>
      <c r="G2943" s="41"/>
      <c r="H2943" s="14">
        <f>SUM(G2940:G2942)</f>
        <v>1194100</v>
      </c>
      <c r="I2943" s="24" t="s">
        <v>418</v>
      </c>
      <c r="J2943" s="25"/>
      <c r="K2943" s="25"/>
      <c r="L2943" s="25"/>
      <c r="M2943" s="25"/>
      <c r="N2943" s="25"/>
      <c r="O2943" s="25"/>
      <c r="P2943" s="25"/>
      <c r="Q2943" s="25"/>
      <c r="R2943" s="25"/>
      <c r="S2943" s="25"/>
      <c r="T2943" s="25"/>
      <c r="U2943" s="25"/>
      <c r="V2943" s="25"/>
      <c r="W2943" s="25"/>
      <c r="X2943" s="25"/>
      <c r="Y2943" s="25"/>
      <c r="Z2943" s="25"/>
    </row>
    <row r="2944" spans="1:26" ht="15.75" customHeight="1" x14ac:dyDescent="0.75">
      <c r="A2944" s="39" t="s">
        <v>17</v>
      </c>
      <c r="B2944" s="40"/>
      <c r="C2944" s="40"/>
      <c r="D2944" s="40"/>
      <c r="E2944" s="40"/>
      <c r="F2944" s="40"/>
      <c r="G2944" s="41"/>
      <c r="H2944" s="14">
        <f>MAX(0,H2943-648000)</f>
        <v>546100</v>
      </c>
      <c r="I2944" s="24" t="s">
        <v>418</v>
      </c>
      <c r="J2944" s="25"/>
      <c r="K2944" s="25"/>
      <c r="L2944" s="25"/>
      <c r="M2944" s="25"/>
      <c r="N2944" s="25"/>
      <c r="O2944" s="25"/>
      <c r="P2944" s="25"/>
      <c r="Q2944" s="25"/>
      <c r="R2944" s="25"/>
      <c r="S2944" s="25"/>
      <c r="T2944" s="25"/>
      <c r="U2944" s="25"/>
      <c r="V2944" s="25"/>
      <c r="W2944" s="25"/>
      <c r="X2944" s="25"/>
      <c r="Y2944" s="25"/>
      <c r="Z2944" s="25"/>
    </row>
    <row r="2945" spans="1:26" ht="15.75" customHeight="1" x14ac:dyDescent="0.75">
      <c r="A2945" s="42" t="s">
        <v>18</v>
      </c>
      <c r="B2945" s="40"/>
      <c r="C2945" s="40"/>
      <c r="D2945" s="40"/>
      <c r="E2945" s="40"/>
      <c r="F2945" s="40"/>
      <c r="G2945" s="41"/>
      <c r="H2945" s="15">
        <v>649000</v>
      </c>
      <c r="I2945" s="24" t="s">
        <v>418</v>
      </c>
      <c r="J2945" s="25"/>
      <c r="K2945" s="25"/>
      <c r="L2945" s="25"/>
      <c r="M2945" s="25"/>
      <c r="N2945" s="25"/>
      <c r="O2945" s="25"/>
      <c r="P2945" s="25"/>
      <c r="Q2945" s="25"/>
      <c r="R2945" s="25"/>
      <c r="S2945" s="25"/>
      <c r="T2945" s="25"/>
      <c r="U2945" s="25"/>
      <c r="V2945" s="25"/>
      <c r="W2945" s="25"/>
      <c r="X2945" s="25"/>
      <c r="Y2945" s="25"/>
      <c r="Z2945" s="25"/>
    </row>
    <row r="2946" spans="1:26" ht="15.75" customHeight="1" x14ac:dyDescent="0.75">
      <c r="A2946" s="43" t="s">
        <v>19</v>
      </c>
      <c r="B2946" s="40"/>
      <c r="C2946" s="40"/>
      <c r="D2946" s="40"/>
      <c r="E2946" s="40"/>
      <c r="F2946" s="40"/>
      <c r="G2946" s="40"/>
      <c r="H2946" s="41"/>
      <c r="I2946" s="24" t="s">
        <v>418</v>
      </c>
      <c r="J2946" s="25"/>
      <c r="K2946" s="25"/>
      <c r="L2946" s="25"/>
      <c r="M2946" s="25"/>
      <c r="N2946" s="25"/>
      <c r="O2946" s="25"/>
      <c r="P2946" s="25"/>
      <c r="Q2946" s="25"/>
      <c r="R2946" s="25"/>
      <c r="S2946" s="25"/>
      <c r="T2946" s="25"/>
      <c r="U2946" s="25"/>
      <c r="V2946" s="25"/>
      <c r="W2946" s="25"/>
      <c r="X2946" s="25"/>
      <c r="Y2946" s="25"/>
      <c r="Z2946" s="25"/>
    </row>
    <row r="2947" spans="1:26" ht="15.75" customHeight="1" x14ac:dyDescent="0.45">
      <c r="A2947" s="25"/>
      <c r="B2947" s="25"/>
      <c r="C2947" s="25"/>
      <c r="D2947" s="25"/>
      <c r="E2947" s="25"/>
      <c r="F2947" s="25"/>
      <c r="G2947" s="25"/>
      <c r="H2947" s="25"/>
      <c r="I2947" s="24" t="s">
        <v>418</v>
      </c>
      <c r="J2947" s="25"/>
      <c r="K2947" s="25"/>
      <c r="L2947" s="25"/>
      <c r="M2947" s="25"/>
      <c r="N2947" s="25"/>
      <c r="O2947" s="25"/>
      <c r="P2947" s="25"/>
      <c r="Q2947" s="25"/>
      <c r="R2947" s="25"/>
      <c r="S2947" s="25"/>
      <c r="T2947" s="25"/>
      <c r="U2947" s="25"/>
      <c r="V2947" s="25"/>
      <c r="W2947" s="25"/>
      <c r="X2947" s="25"/>
      <c r="Y2947" s="25"/>
      <c r="Z2947" s="25"/>
    </row>
    <row r="2948" spans="1:26" ht="15.75" customHeight="1" x14ac:dyDescent="0.45">
      <c r="A2948" s="25"/>
      <c r="B2948" s="25"/>
      <c r="C2948" s="25"/>
      <c r="D2948" s="25"/>
      <c r="E2948" s="25"/>
      <c r="F2948" s="25"/>
      <c r="G2948" s="25"/>
      <c r="H2948" s="25"/>
      <c r="I2948" s="24" t="s">
        <v>418</v>
      </c>
      <c r="J2948" s="25"/>
      <c r="K2948" s="25"/>
      <c r="L2948" s="25"/>
      <c r="M2948" s="25"/>
      <c r="N2948" s="25"/>
      <c r="O2948" s="25"/>
      <c r="P2948" s="25"/>
      <c r="Q2948" s="25"/>
      <c r="R2948" s="25"/>
      <c r="S2948" s="25"/>
      <c r="T2948" s="25"/>
      <c r="U2948" s="25"/>
      <c r="V2948" s="25"/>
      <c r="W2948" s="25"/>
      <c r="X2948" s="25"/>
      <c r="Y2948" s="25"/>
      <c r="Z2948" s="25"/>
    </row>
    <row r="2949" spans="1:26" ht="15.75" customHeight="1" x14ac:dyDescent="0.45">
      <c r="A2949" s="25"/>
      <c r="B2949" s="25"/>
      <c r="C2949" s="25"/>
      <c r="D2949" s="25"/>
      <c r="E2949" s="25"/>
      <c r="F2949" s="25"/>
      <c r="G2949" s="25"/>
      <c r="H2949" s="25"/>
      <c r="I2949" s="24" t="s">
        <v>418</v>
      </c>
      <c r="J2949" s="25"/>
      <c r="K2949" s="25"/>
      <c r="L2949" s="25"/>
      <c r="M2949" s="25"/>
      <c r="N2949" s="25"/>
      <c r="O2949" s="25"/>
      <c r="P2949" s="25"/>
      <c r="Q2949" s="25"/>
      <c r="R2949" s="25"/>
      <c r="S2949" s="25"/>
      <c r="T2949" s="25"/>
      <c r="U2949" s="25"/>
      <c r="V2949" s="25"/>
      <c r="W2949" s="25"/>
      <c r="X2949" s="25"/>
      <c r="Y2949" s="25"/>
      <c r="Z2949" s="25"/>
    </row>
    <row r="2950" spans="1:26" ht="15.75" customHeight="1" x14ac:dyDescent="0.45">
      <c r="A2950" s="25"/>
      <c r="B2950" s="25"/>
      <c r="C2950" s="25"/>
      <c r="D2950" s="25"/>
      <c r="E2950" s="25"/>
      <c r="F2950" s="25"/>
      <c r="G2950" s="25"/>
      <c r="H2950" s="25"/>
      <c r="I2950" s="24" t="s">
        <v>418</v>
      </c>
      <c r="J2950" s="25"/>
      <c r="K2950" s="25"/>
      <c r="L2950" s="25"/>
      <c r="M2950" s="25"/>
      <c r="N2950" s="25"/>
      <c r="O2950" s="25"/>
      <c r="P2950" s="25"/>
      <c r="Q2950" s="25"/>
      <c r="R2950" s="25"/>
      <c r="S2950" s="25"/>
      <c r="T2950" s="25"/>
      <c r="U2950" s="25"/>
      <c r="V2950" s="25"/>
      <c r="W2950" s="25"/>
      <c r="X2950" s="25"/>
      <c r="Y2950" s="25"/>
      <c r="Z2950" s="25"/>
    </row>
    <row r="2951" spans="1:26" ht="15.75" customHeight="1" x14ac:dyDescent="0.45">
      <c r="A2951" s="25"/>
      <c r="B2951" s="25"/>
      <c r="C2951" s="25"/>
      <c r="D2951" s="25"/>
      <c r="E2951" s="25"/>
      <c r="F2951" s="25"/>
      <c r="G2951" s="25"/>
      <c r="H2951" s="25"/>
      <c r="I2951" s="24" t="s">
        <v>418</v>
      </c>
      <c r="J2951" s="25"/>
      <c r="K2951" s="25"/>
      <c r="L2951" s="25"/>
      <c r="M2951" s="25"/>
      <c r="N2951" s="25"/>
      <c r="O2951" s="25"/>
      <c r="P2951" s="25"/>
      <c r="Q2951" s="25"/>
      <c r="R2951" s="25"/>
      <c r="S2951" s="25"/>
      <c r="T2951" s="25"/>
      <c r="U2951" s="25"/>
      <c r="V2951" s="25"/>
      <c r="W2951" s="25"/>
      <c r="X2951" s="25"/>
      <c r="Y2951" s="25"/>
      <c r="Z2951" s="25"/>
    </row>
    <row r="2952" spans="1:26" ht="15.75" customHeight="1" x14ac:dyDescent="0.45">
      <c r="A2952" s="25"/>
      <c r="B2952" s="25"/>
      <c r="C2952" s="25"/>
      <c r="D2952" s="25"/>
      <c r="E2952" s="25"/>
      <c r="F2952" s="25"/>
      <c r="G2952" s="25"/>
      <c r="H2952" s="25"/>
      <c r="I2952" s="24" t="s">
        <v>418</v>
      </c>
      <c r="J2952" s="25"/>
      <c r="K2952" s="25"/>
      <c r="L2952" s="25"/>
      <c r="M2952" s="25"/>
      <c r="N2952" s="25"/>
      <c r="O2952" s="25"/>
      <c r="P2952" s="25"/>
      <c r="Q2952" s="25"/>
      <c r="R2952" s="25"/>
      <c r="S2952" s="25"/>
      <c r="T2952" s="25"/>
      <c r="U2952" s="25"/>
      <c r="V2952" s="25"/>
      <c r="W2952" s="25"/>
      <c r="X2952" s="25"/>
      <c r="Y2952" s="25"/>
      <c r="Z2952" s="25"/>
    </row>
    <row r="2953" spans="1:26" ht="15.75" customHeight="1" x14ac:dyDescent="0.75">
      <c r="A2953" s="43" t="s">
        <v>0</v>
      </c>
      <c r="B2953" s="40"/>
      <c r="C2953" s="40"/>
      <c r="D2953" s="40"/>
      <c r="E2953" s="40"/>
      <c r="F2953" s="40"/>
      <c r="G2953" s="40"/>
      <c r="H2953" s="41"/>
      <c r="I2953" s="24" t="s">
        <v>418</v>
      </c>
      <c r="J2953" s="25"/>
      <c r="K2953" s="25"/>
      <c r="L2953" s="25"/>
      <c r="M2953" s="25"/>
      <c r="N2953" s="25"/>
      <c r="O2953" s="25"/>
      <c r="P2953" s="25"/>
      <c r="Q2953" s="25"/>
      <c r="R2953" s="25"/>
      <c r="S2953" s="25"/>
      <c r="T2953" s="25"/>
      <c r="U2953" s="25"/>
      <c r="V2953" s="25"/>
      <c r="W2953" s="25"/>
      <c r="X2953" s="25"/>
      <c r="Y2953" s="25"/>
      <c r="Z2953" s="25"/>
    </row>
    <row r="2954" spans="1:26" ht="15.75" customHeight="1" x14ac:dyDescent="0.75">
      <c r="A2954" s="43" t="s">
        <v>441</v>
      </c>
      <c r="B2954" s="40"/>
      <c r="C2954" s="40"/>
      <c r="D2954" s="40"/>
      <c r="E2954" s="40"/>
      <c r="F2954" s="40"/>
      <c r="G2954" s="40"/>
      <c r="H2954" s="41"/>
      <c r="I2954" s="24" t="s">
        <v>418</v>
      </c>
      <c r="J2954" s="25"/>
      <c r="K2954" s="25"/>
      <c r="L2954" s="25"/>
      <c r="M2954" s="25"/>
      <c r="N2954" s="25"/>
      <c r="O2954" s="25"/>
      <c r="P2954" s="25"/>
      <c r="Q2954" s="25"/>
      <c r="R2954" s="25"/>
      <c r="S2954" s="25"/>
      <c r="T2954" s="25"/>
      <c r="U2954" s="25"/>
      <c r="V2954" s="25"/>
      <c r="W2954" s="25"/>
      <c r="X2954" s="25"/>
      <c r="Y2954" s="25"/>
      <c r="Z2954" s="25"/>
    </row>
    <row r="2955" spans="1:26" ht="15.75" customHeight="1" x14ac:dyDescent="0.55000000000000004">
      <c r="A2955" s="2" t="s">
        <v>3</v>
      </c>
      <c r="B2955" s="2" t="s">
        <v>4</v>
      </c>
      <c r="C2955" s="2" t="s">
        <v>5</v>
      </c>
      <c r="D2955" s="2" t="s">
        <v>6</v>
      </c>
      <c r="E2955" s="2" t="s">
        <v>7</v>
      </c>
      <c r="F2955" s="3" t="s">
        <v>8</v>
      </c>
      <c r="G2955" s="2" t="s">
        <v>9</v>
      </c>
      <c r="H2955" s="26"/>
      <c r="I2955" s="24" t="s">
        <v>418</v>
      </c>
      <c r="J2955" s="25"/>
      <c r="K2955" s="25"/>
      <c r="L2955" s="25"/>
      <c r="M2955" s="25"/>
      <c r="N2955" s="25"/>
      <c r="O2955" s="25"/>
      <c r="P2955" s="25"/>
      <c r="Q2955" s="25"/>
      <c r="R2955" s="25"/>
      <c r="S2955" s="25"/>
      <c r="T2955" s="25"/>
      <c r="U2955" s="25"/>
      <c r="V2955" s="25"/>
      <c r="W2955" s="25"/>
      <c r="X2955" s="25"/>
      <c r="Y2955" s="25"/>
      <c r="Z2955" s="25"/>
    </row>
    <row r="2956" spans="1:26" ht="15.75" customHeight="1" x14ac:dyDescent="0.75">
      <c r="A2956" s="5">
        <v>1</v>
      </c>
      <c r="B2956" s="27" t="s">
        <v>442</v>
      </c>
      <c r="C2956" s="28" t="s">
        <v>443</v>
      </c>
      <c r="D2956" s="27" t="s">
        <v>12</v>
      </c>
      <c r="E2956" s="27">
        <v>3</v>
      </c>
      <c r="F2956" s="8">
        <v>293000</v>
      </c>
      <c r="G2956" s="9">
        <f t="shared" ref="G2956:G2958" si="182">IFERROR(E2956*F2956,0)</f>
        <v>879000</v>
      </c>
      <c r="H2956" s="29"/>
      <c r="I2956" s="24" t="s">
        <v>418</v>
      </c>
      <c r="J2956" s="25"/>
      <c r="K2956" s="25"/>
      <c r="L2956" s="25"/>
      <c r="M2956" s="25"/>
      <c r="N2956" s="25"/>
      <c r="O2956" s="25"/>
      <c r="P2956" s="25"/>
      <c r="Q2956" s="25"/>
      <c r="R2956" s="25"/>
      <c r="S2956" s="25"/>
      <c r="T2956" s="25"/>
      <c r="U2956" s="25"/>
      <c r="V2956" s="25"/>
      <c r="W2956" s="25"/>
      <c r="X2956" s="25"/>
      <c r="Y2956" s="25"/>
      <c r="Z2956" s="25"/>
    </row>
    <row r="2957" spans="1:26" ht="15.75" customHeight="1" x14ac:dyDescent="0.75">
      <c r="A2957" s="5">
        <v>2</v>
      </c>
      <c r="B2957" s="30" t="s">
        <v>47</v>
      </c>
      <c r="C2957" s="31" t="s">
        <v>444</v>
      </c>
      <c r="D2957" s="30" t="s">
        <v>14</v>
      </c>
      <c r="E2957" s="30">
        <v>0.66</v>
      </c>
      <c r="F2957" s="11">
        <v>435000</v>
      </c>
      <c r="G2957" s="9">
        <f t="shared" si="182"/>
        <v>287100</v>
      </c>
      <c r="H2957" s="29"/>
      <c r="I2957" s="24" t="s">
        <v>418</v>
      </c>
      <c r="J2957" s="25"/>
      <c r="K2957" s="25"/>
      <c r="L2957" s="25"/>
      <c r="M2957" s="25"/>
      <c r="N2957" s="25"/>
      <c r="O2957" s="25"/>
      <c r="P2957" s="25"/>
      <c r="Q2957" s="25"/>
      <c r="R2957" s="25"/>
      <c r="S2957" s="25"/>
      <c r="T2957" s="25"/>
      <c r="U2957" s="25"/>
      <c r="V2957" s="25"/>
      <c r="W2957" s="25"/>
      <c r="X2957" s="25"/>
      <c r="Y2957" s="25"/>
      <c r="Z2957" s="25"/>
    </row>
    <row r="2958" spans="1:26" ht="15.75" customHeight="1" x14ac:dyDescent="0.75">
      <c r="A2958" s="5">
        <v>3</v>
      </c>
      <c r="B2958" s="12" t="s">
        <v>15</v>
      </c>
      <c r="C2958" s="29"/>
      <c r="D2958" s="29"/>
      <c r="E2958" s="29"/>
      <c r="F2958" s="29"/>
      <c r="G2958" s="13">
        <f t="shared" si="182"/>
        <v>0</v>
      </c>
      <c r="H2958" s="29"/>
      <c r="I2958" s="24" t="s">
        <v>418</v>
      </c>
      <c r="J2958" s="25"/>
      <c r="K2958" s="25"/>
      <c r="L2958" s="25"/>
      <c r="M2958" s="25"/>
      <c r="N2958" s="25"/>
      <c r="O2958" s="25"/>
      <c r="P2958" s="25"/>
      <c r="Q2958" s="25"/>
      <c r="R2958" s="25"/>
      <c r="S2958" s="25"/>
      <c r="T2958" s="25"/>
      <c r="U2958" s="25"/>
      <c r="V2958" s="25"/>
      <c r="W2958" s="25"/>
      <c r="X2958" s="25"/>
      <c r="Y2958" s="25"/>
      <c r="Z2958" s="25"/>
    </row>
    <row r="2959" spans="1:26" ht="15.75" customHeight="1" x14ac:dyDescent="0.75">
      <c r="A2959" s="39" t="s">
        <v>16</v>
      </c>
      <c r="B2959" s="40"/>
      <c r="C2959" s="40"/>
      <c r="D2959" s="40"/>
      <c r="E2959" s="40"/>
      <c r="F2959" s="40"/>
      <c r="G2959" s="41"/>
      <c r="H2959" s="14">
        <f>SUM(G2956:G2958)</f>
        <v>1166100</v>
      </c>
      <c r="I2959" s="24" t="s">
        <v>418</v>
      </c>
      <c r="J2959" s="25"/>
      <c r="K2959" s="25"/>
      <c r="L2959" s="25"/>
      <c r="M2959" s="25"/>
      <c r="N2959" s="25"/>
      <c r="O2959" s="25"/>
      <c r="P2959" s="25"/>
      <c r="Q2959" s="25"/>
      <c r="R2959" s="25"/>
      <c r="S2959" s="25"/>
      <c r="T2959" s="25"/>
      <c r="U2959" s="25"/>
      <c r="V2959" s="25"/>
      <c r="W2959" s="25"/>
      <c r="X2959" s="25"/>
      <c r="Y2959" s="25"/>
      <c r="Z2959" s="25"/>
    </row>
    <row r="2960" spans="1:26" ht="15.75" customHeight="1" x14ac:dyDescent="0.75">
      <c r="A2960" s="39" t="s">
        <v>17</v>
      </c>
      <c r="B2960" s="40"/>
      <c r="C2960" s="40"/>
      <c r="D2960" s="40"/>
      <c r="E2960" s="40"/>
      <c r="F2960" s="40"/>
      <c r="G2960" s="41"/>
      <c r="H2960" s="14">
        <f>MAX(0,H2959-648000)</f>
        <v>518100</v>
      </c>
      <c r="I2960" s="24" t="s">
        <v>418</v>
      </c>
      <c r="J2960" s="25"/>
      <c r="K2960" s="25"/>
      <c r="L2960" s="25"/>
      <c r="M2960" s="25"/>
      <c r="N2960" s="25"/>
      <c r="O2960" s="25"/>
      <c r="P2960" s="25"/>
      <c r="Q2960" s="25"/>
      <c r="R2960" s="25"/>
      <c r="S2960" s="25"/>
      <c r="T2960" s="25"/>
      <c r="U2960" s="25"/>
      <c r="V2960" s="25"/>
      <c r="W2960" s="25"/>
      <c r="X2960" s="25"/>
      <c r="Y2960" s="25"/>
      <c r="Z2960" s="25"/>
    </row>
    <row r="2961" spans="1:26" ht="15.75" customHeight="1" x14ac:dyDescent="0.75">
      <c r="A2961" s="42" t="s">
        <v>18</v>
      </c>
      <c r="B2961" s="40"/>
      <c r="C2961" s="40"/>
      <c r="D2961" s="40"/>
      <c r="E2961" s="40"/>
      <c r="F2961" s="40"/>
      <c r="G2961" s="41"/>
      <c r="H2961" s="15">
        <v>649000</v>
      </c>
      <c r="I2961" s="24" t="s">
        <v>418</v>
      </c>
      <c r="J2961" s="25"/>
      <c r="K2961" s="25"/>
      <c r="L2961" s="25"/>
      <c r="M2961" s="25"/>
      <c r="N2961" s="25"/>
      <c r="O2961" s="25"/>
      <c r="P2961" s="25"/>
      <c r="Q2961" s="25"/>
      <c r="R2961" s="25"/>
      <c r="S2961" s="25"/>
      <c r="T2961" s="25"/>
      <c r="U2961" s="25"/>
      <c r="V2961" s="25"/>
      <c r="W2961" s="25"/>
      <c r="X2961" s="25"/>
      <c r="Y2961" s="25"/>
      <c r="Z2961" s="25"/>
    </row>
    <row r="2962" spans="1:26" ht="15.75" customHeight="1" x14ac:dyDescent="0.75">
      <c r="A2962" s="43" t="s">
        <v>19</v>
      </c>
      <c r="B2962" s="40"/>
      <c r="C2962" s="40"/>
      <c r="D2962" s="40"/>
      <c r="E2962" s="40"/>
      <c r="F2962" s="40"/>
      <c r="G2962" s="40"/>
      <c r="H2962" s="41"/>
      <c r="I2962" s="24" t="s">
        <v>418</v>
      </c>
      <c r="J2962" s="25"/>
      <c r="K2962" s="25"/>
      <c r="L2962" s="25"/>
      <c r="M2962" s="25"/>
      <c r="N2962" s="25"/>
      <c r="O2962" s="25"/>
      <c r="P2962" s="25"/>
      <c r="Q2962" s="25"/>
      <c r="R2962" s="25"/>
      <c r="S2962" s="25"/>
      <c r="T2962" s="25"/>
      <c r="U2962" s="25"/>
      <c r="V2962" s="25"/>
      <c r="W2962" s="25"/>
      <c r="X2962" s="25"/>
      <c r="Y2962" s="25"/>
      <c r="Z2962" s="25"/>
    </row>
    <row r="2963" spans="1:26" ht="15.75" customHeight="1" x14ac:dyDescent="0.45">
      <c r="A2963" s="25"/>
      <c r="B2963" s="25"/>
      <c r="C2963" s="25"/>
      <c r="D2963" s="25"/>
      <c r="E2963" s="25"/>
      <c r="F2963" s="25"/>
      <c r="G2963" s="25"/>
      <c r="H2963" s="25"/>
      <c r="I2963" s="24" t="s">
        <v>418</v>
      </c>
      <c r="J2963" s="25"/>
      <c r="K2963" s="25"/>
      <c r="L2963" s="25"/>
      <c r="M2963" s="25"/>
      <c r="N2963" s="25"/>
      <c r="O2963" s="25"/>
      <c r="P2963" s="25"/>
      <c r="Q2963" s="25"/>
      <c r="R2963" s="25"/>
      <c r="S2963" s="25"/>
      <c r="T2963" s="25"/>
      <c r="U2963" s="25"/>
      <c r="V2963" s="25"/>
      <c r="W2963" s="25"/>
      <c r="X2963" s="25"/>
      <c r="Y2963" s="25"/>
      <c r="Z2963" s="25"/>
    </row>
    <row r="2964" spans="1:26" ht="15.75" customHeight="1" x14ac:dyDescent="0.45">
      <c r="A2964" s="25"/>
      <c r="B2964" s="25"/>
      <c r="C2964" s="25"/>
      <c r="D2964" s="25"/>
      <c r="E2964" s="25"/>
      <c r="F2964" s="25"/>
      <c r="G2964" s="25"/>
      <c r="H2964" s="25"/>
      <c r="I2964" s="24" t="s">
        <v>418</v>
      </c>
      <c r="J2964" s="25"/>
      <c r="K2964" s="25"/>
      <c r="L2964" s="25"/>
      <c r="M2964" s="25"/>
      <c r="N2964" s="25"/>
      <c r="O2964" s="25"/>
      <c r="P2964" s="25"/>
      <c r="Q2964" s="25"/>
      <c r="R2964" s="25"/>
      <c r="S2964" s="25"/>
      <c r="T2964" s="25"/>
      <c r="U2964" s="25"/>
      <c r="V2964" s="25"/>
      <c r="W2964" s="25"/>
      <c r="X2964" s="25"/>
      <c r="Y2964" s="25"/>
      <c r="Z2964" s="25"/>
    </row>
    <row r="2965" spans="1:26" ht="15.75" customHeight="1" x14ac:dyDescent="0.45">
      <c r="A2965" s="25"/>
      <c r="B2965" s="25"/>
      <c r="C2965" s="25"/>
      <c r="D2965" s="25"/>
      <c r="E2965" s="25"/>
      <c r="F2965" s="25"/>
      <c r="G2965" s="25"/>
      <c r="H2965" s="25"/>
      <c r="I2965" s="24" t="s">
        <v>418</v>
      </c>
      <c r="J2965" s="25"/>
      <c r="K2965" s="25"/>
      <c r="L2965" s="25"/>
      <c r="M2965" s="25"/>
      <c r="N2965" s="25"/>
      <c r="O2965" s="25"/>
      <c r="P2965" s="25"/>
      <c r="Q2965" s="25"/>
      <c r="R2965" s="25"/>
      <c r="S2965" s="25"/>
      <c r="T2965" s="25"/>
      <c r="U2965" s="25"/>
      <c r="V2965" s="25"/>
      <c r="W2965" s="25"/>
      <c r="X2965" s="25"/>
      <c r="Y2965" s="25"/>
      <c r="Z2965" s="25"/>
    </row>
    <row r="2966" spans="1:26" ht="15.75" customHeight="1" x14ac:dyDescent="0.45">
      <c r="A2966" s="25"/>
      <c r="B2966" s="25"/>
      <c r="C2966" s="25"/>
      <c r="D2966" s="25"/>
      <c r="E2966" s="25"/>
      <c r="F2966" s="25"/>
      <c r="G2966" s="25"/>
      <c r="H2966" s="25"/>
      <c r="I2966" s="24" t="s">
        <v>418</v>
      </c>
      <c r="J2966" s="25"/>
      <c r="K2966" s="25"/>
      <c r="L2966" s="25"/>
      <c r="M2966" s="25"/>
      <c r="N2966" s="25"/>
      <c r="O2966" s="25"/>
      <c r="P2966" s="25"/>
      <c r="Q2966" s="25"/>
      <c r="R2966" s="25"/>
      <c r="S2966" s="25"/>
      <c r="T2966" s="25"/>
      <c r="U2966" s="25"/>
      <c r="V2966" s="25"/>
      <c r="W2966" s="25"/>
      <c r="X2966" s="25"/>
      <c r="Y2966" s="25"/>
      <c r="Z2966" s="25"/>
    </row>
    <row r="2967" spans="1:26" ht="15.75" customHeight="1" x14ac:dyDescent="0.45">
      <c r="A2967" s="25"/>
      <c r="B2967" s="25"/>
      <c r="C2967" s="25"/>
      <c r="D2967" s="25"/>
      <c r="E2967" s="25"/>
      <c r="F2967" s="25"/>
      <c r="G2967" s="25"/>
      <c r="H2967" s="25"/>
      <c r="I2967" s="24" t="s">
        <v>418</v>
      </c>
      <c r="J2967" s="25"/>
      <c r="K2967" s="25"/>
      <c r="L2967" s="25"/>
      <c r="M2967" s="25"/>
      <c r="N2967" s="25"/>
      <c r="O2967" s="25"/>
      <c r="P2967" s="25"/>
      <c r="Q2967" s="25"/>
      <c r="R2967" s="25"/>
      <c r="S2967" s="25"/>
      <c r="T2967" s="25"/>
      <c r="U2967" s="25"/>
      <c r="V2967" s="25"/>
      <c r="W2967" s="25"/>
      <c r="X2967" s="25"/>
      <c r="Y2967" s="25"/>
      <c r="Z2967" s="25"/>
    </row>
    <row r="2968" spans="1:26" ht="15.75" customHeight="1" x14ac:dyDescent="0.45">
      <c r="A2968" s="25"/>
      <c r="B2968" s="25"/>
      <c r="C2968" s="25"/>
      <c r="D2968" s="25"/>
      <c r="E2968" s="25"/>
      <c r="F2968" s="25"/>
      <c r="G2968" s="25"/>
      <c r="H2968" s="25"/>
      <c r="I2968" s="24" t="s">
        <v>418</v>
      </c>
      <c r="J2968" s="25"/>
      <c r="K2968" s="25"/>
      <c r="L2968" s="25"/>
      <c r="M2968" s="25"/>
      <c r="N2968" s="25"/>
      <c r="O2968" s="25"/>
      <c r="P2968" s="25"/>
      <c r="Q2968" s="25"/>
      <c r="R2968" s="25"/>
      <c r="S2968" s="25"/>
      <c r="T2968" s="25"/>
      <c r="U2968" s="25"/>
      <c r="V2968" s="25"/>
      <c r="W2968" s="25"/>
      <c r="X2968" s="25"/>
      <c r="Y2968" s="25"/>
      <c r="Z2968" s="25"/>
    </row>
    <row r="2969" spans="1:26" ht="15.75" customHeight="1" x14ac:dyDescent="0.45">
      <c r="A2969" s="25"/>
      <c r="B2969" s="25"/>
      <c r="C2969" s="25"/>
      <c r="D2969" s="25"/>
      <c r="E2969" s="25"/>
      <c r="F2969" s="25"/>
      <c r="G2969" s="25"/>
      <c r="H2969" s="25"/>
      <c r="I2969" s="24" t="s">
        <v>418</v>
      </c>
      <c r="J2969" s="25"/>
      <c r="K2969" s="25"/>
      <c r="L2969" s="25"/>
      <c r="M2969" s="25"/>
      <c r="N2969" s="25"/>
      <c r="O2969" s="25"/>
      <c r="P2969" s="25"/>
      <c r="Q2969" s="25"/>
      <c r="R2969" s="25"/>
      <c r="S2969" s="25"/>
      <c r="T2969" s="25"/>
      <c r="U2969" s="25"/>
      <c r="V2969" s="25"/>
      <c r="W2969" s="25"/>
      <c r="X2969" s="25"/>
      <c r="Y2969" s="25"/>
      <c r="Z2969" s="25"/>
    </row>
    <row r="2970" spans="1:26" ht="15.75" customHeight="1" x14ac:dyDescent="0.75">
      <c r="A2970" s="43" t="s">
        <v>0</v>
      </c>
      <c r="B2970" s="40"/>
      <c r="C2970" s="40"/>
      <c r="D2970" s="40"/>
      <c r="E2970" s="40"/>
      <c r="F2970" s="40"/>
      <c r="G2970" s="40"/>
      <c r="H2970" s="41"/>
      <c r="I2970" s="24" t="s">
        <v>418</v>
      </c>
      <c r="J2970" s="25"/>
      <c r="K2970" s="25"/>
      <c r="L2970" s="25"/>
      <c r="M2970" s="25"/>
      <c r="N2970" s="25"/>
      <c r="O2970" s="25"/>
      <c r="P2970" s="25"/>
      <c r="Q2970" s="25"/>
      <c r="R2970" s="25"/>
      <c r="S2970" s="25"/>
      <c r="T2970" s="25"/>
      <c r="U2970" s="25"/>
      <c r="V2970" s="25"/>
      <c r="W2970" s="25"/>
      <c r="X2970" s="25"/>
      <c r="Y2970" s="25"/>
      <c r="Z2970" s="25"/>
    </row>
    <row r="2971" spans="1:26" ht="15.75" customHeight="1" x14ac:dyDescent="0.75">
      <c r="A2971" s="43" t="s">
        <v>445</v>
      </c>
      <c r="B2971" s="40"/>
      <c r="C2971" s="40"/>
      <c r="D2971" s="40"/>
      <c r="E2971" s="40"/>
      <c r="F2971" s="40"/>
      <c r="G2971" s="40"/>
      <c r="H2971" s="41"/>
      <c r="I2971" s="24" t="s">
        <v>418</v>
      </c>
      <c r="J2971" s="25"/>
      <c r="K2971" s="25"/>
      <c r="L2971" s="25"/>
      <c r="M2971" s="25"/>
      <c r="N2971" s="25"/>
      <c r="O2971" s="25"/>
      <c r="P2971" s="25"/>
      <c r="Q2971" s="25"/>
      <c r="R2971" s="25"/>
      <c r="S2971" s="25"/>
      <c r="T2971" s="25"/>
      <c r="U2971" s="25"/>
      <c r="V2971" s="25"/>
      <c r="W2971" s="25"/>
      <c r="X2971" s="25"/>
      <c r="Y2971" s="25"/>
      <c r="Z2971" s="25"/>
    </row>
    <row r="2972" spans="1:26" ht="15.75" customHeight="1" x14ac:dyDescent="0.55000000000000004">
      <c r="A2972" s="2" t="s">
        <v>3</v>
      </c>
      <c r="B2972" s="2" t="s">
        <v>4</v>
      </c>
      <c r="C2972" s="2" t="s">
        <v>5</v>
      </c>
      <c r="D2972" s="2" t="s">
        <v>6</v>
      </c>
      <c r="E2972" s="2" t="s">
        <v>7</v>
      </c>
      <c r="F2972" s="3" t="s">
        <v>8</v>
      </c>
      <c r="G2972" s="2" t="s">
        <v>9</v>
      </c>
      <c r="H2972" s="26"/>
      <c r="I2972" s="24" t="s">
        <v>418</v>
      </c>
      <c r="J2972" s="25"/>
      <c r="K2972" s="25"/>
      <c r="L2972" s="25"/>
      <c r="M2972" s="25"/>
      <c r="N2972" s="25"/>
      <c r="O2972" s="25"/>
      <c r="P2972" s="25"/>
      <c r="Q2972" s="25"/>
      <c r="R2972" s="25"/>
      <c r="S2972" s="25"/>
      <c r="T2972" s="25"/>
      <c r="U2972" s="25"/>
      <c r="V2972" s="25"/>
      <c r="W2972" s="25"/>
      <c r="X2972" s="25"/>
      <c r="Y2972" s="25"/>
      <c r="Z2972" s="25"/>
    </row>
    <row r="2973" spans="1:26" ht="15.75" customHeight="1" x14ac:dyDescent="0.75">
      <c r="A2973" s="5">
        <v>1</v>
      </c>
      <c r="B2973" s="27" t="s">
        <v>315</v>
      </c>
      <c r="C2973" s="28" t="s">
        <v>446</v>
      </c>
      <c r="D2973" s="27" t="s">
        <v>12</v>
      </c>
      <c r="E2973" s="27">
        <v>1.53</v>
      </c>
      <c r="F2973" s="8">
        <v>293000</v>
      </c>
      <c r="G2973" s="9">
        <f t="shared" ref="G2973:G2975" si="183">IFERROR(E2973*F2973,0)</f>
        <v>448290</v>
      </c>
      <c r="H2973" s="29"/>
      <c r="I2973" s="24" t="s">
        <v>418</v>
      </c>
      <c r="J2973" s="25"/>
      <c r="K2973" s="25"/>
      <c r="L2973" s="25"/>
      <c r="M2973" s="25"/>
      <c r="N2973" s="25"/>
      <c r="O2973" s="25"/>
      <c r="P2973" s="25"/>
      <c r="Q2973" s="25"/>
      <c r="R2973" s="25"/>
      <c r="S2973" s="25"/>
      <c r="T2973" s="25"/>
      <c r="U2973" s="25"/>
      <c r="V2973" s="25"/>
      <c r="W2973" s="25"/>
      <c r="X2973" s="25"/>
      <c r="Y2973" s="25"/>
      <c r="Z2973" s="25"/>
    </row>
    <row r="2974" spans="1:26" ht="15.75" customHeight="1" x14ac:dyDescent="0.75">
      <c r="A2974" s="5">
        <v>2</v>
      </c>
      <c r="B2974" s="30" t="s">
        <v>311</v>
      </c>
      <c r="C2974" s="31" t="s">
        <v>447</v>
      </c>
      <c r="D2974" s="30" t="s">
        <v>14</v>
      </c>
      <c r="E2974" s="30">
        <v>2</v>
      </c>
      <c r="F2974" s="11">
        <v>435000</v>
      </c>
      <c r="G2974" s="9">
        <f t="shared" si="183"/>
        <v>870000</v>
      </c>
      <c r="H2974" s="29"/>
      <c r="I2974" s="24" t="s">
        <v>418</v>
      </c>
      <c r="J2974" s="25"/>
      <c r="K2974" s="25"/>
      <c r="L2974" s="25"/>
      <c r="M2974" s="25"/>
      <c r="N2974" s="25"/>
      <c r="O2974" s="25"/>
      <c r="P2974" s="25"/>
      <c r="Q2974" s="25"/>
      <c r="R2974" s="25"/>
      <c r="S2974" s="25"/>
      <c r="T2974" s="25"/>
      <c r="U2974" s="25"/>
      <c r="V2974" s="25"/>
      <c r="W2974" s="25"/>
      <c r="X2974" s="25"/>
      <c r="Y2974" s="25"/>
      <c r="Z2974" s="25"/>
    </row>
    <row r="2975" spans="1:26" ht="15.75" customHeight="1" x14ac:dyDescent="0.75">
      <c r="A2975" s="5">
        <v>3</v>
      </c>
      <c r="B2975" s="12" t="s">
        <v>15</v>
      </c>
      <c r="C2975" s="29"/>
      <c r="D2975" s="29"/>
      <c r="E2975" s="29"/>
      <c r="F2975" s="29"/>
      <c r="G2975" s="13">
        <f t="shared" si="183"/>
        <v>0</v>
      </c>
      <c r="H2975" s="29"/>
      <c r="I2975" s="24" t="s">
        <v>418</v>
      </c>
      <c r="J2975" s="25"/>
      <c r="K2975" s="25"/>
      <c r="L2975" s="25"/>
      <c r="M2975" s="25"/>
      <c r="N2975" s="25"/>
      <c r="O2975" s="25"/>
      <c r="P2975" s="25"/>
      <c r="Q2975" s="25"/>
      <c r="R2975" s="25"/>
      <c r="S2975" s="25"/>
      <c r="T2975" s="25"/>
      <c r="U2975" s="25"/>
      <c r="V2975" s="25"/>
      <c r="W2975" s="25"/>
      <c r="X2975" s="25"/>
      <c r="Y2975" s="25"/>
      <c r="Z2975" s="25"/>
    </row>
    <row r="2976" spans="1:26" ht="15.75" customHeight="1" x14ac:dyDescent="0.75">
      <c r="A2976" s="39" t="s">
        <v>16</v>
      </c>
      <c r="B2976" s="40"/>
      <c r="C2976" s="40"/>
      <c r="D2976" s="40"/>
      <c r="E2976" s="40"/>
      <c r="F2976" s="40"/>
      <c r="G2976" s="41"/>
      <c r="H2976" s="14">
        <f>SUM(G2973:G2975)</f>
        <v>1318290</v>
      </c>
      <c r="I2976" s="24" t="s">
        <v>418</v>
      </c>
      <c r="J2976" s="25"/>
      <c r="K2976" s="25"/>
      <c r="L2976" s="25"/>
      <c r="M2976" s="25"/>
      <c r="N2976" s="25"/>
      <c r="O2976" s="25"/>
      <c r="P2976" s="25"/>
      <c r="Q2976" s="25"/>
      <c r="R2976" s="25"/>
      <c r="S2976" s="25"/>
      <c r="T2976" s="25"/>
      <c r="U2976" s="25"/>
      <c r="V2976" s="25"/>
      <c r="W2976" s="25"/>
      <c r="X2976" s="25"/>
      <c r="Y2976" s="25"/>
      <c r="Z2976" s="25"/>
    </row>
    <row r="2977" spans="1:26" ht="15.75" customHeight="1" x14ac:dyDescent="0.75">
      <c r="A2977" s="39" t="s">
        <v>17</v>
      </c>
      <c r="B2977" s="40"/>
      <c r="C2977" s="40"/>
      <c r="D2977" s="40"/>
      <c r="E2977" s="40"/>
      <c r="F2977" s="40"/>
      <c r="G2977" s="41"/>
      <c r="H2977" s="14">
        <f>MAX(0,H2976-648000)</f>
        <v>670290</v>
      </c>
      <c r="I2977" s="24" t="s">
        <v>418</v>
      </c>
      <c r="J2977" s="25"/>
      <c r="K2977" s="25"/>
      <c r="L2977" s="25"/>
      <c r="M2977" s="25"/>
      <c r="N2977" s="25"/>
      <c r="O2977" s="25"/>
      <c r="P2977" s="25"/>
      <c r="Q2977" s="25"/>
      <c r="R2977" s="25"/>
      <c r="S2977" s="25"/>
      <c r="T2977" s="25"/>
      <c r="U2977" s="25"/>
      <c r="V2977" s="25"/>
      <c r="W2977" s="25"/>
      <c r="X2977" s="25"/>
      <c r="Y2977" s="25"/>
      <c r="Z2977" s="25"/>
    </row>
    <row r="2978" spans="1:26" ht="15.75" customHeight="1" x14ac:dyDescent="0.75">
      <c r="A2978" s="42" t="s">
        <v>18</v>
      </c>
      <c r="B2978" s="40"/>
      <c r="C2978" s="40"/>
      <c r="D2978" s="40"/>
      <c r="E2978" s="40"/>
      <c r="F2978" s="40"/>
      <c r="G2978" s="41"/>
      <c r="H2978" s="15">
        <v>649000</v>
      </c>
      <c r="I2978" s="24" t="s">
        <v>418</v>
      </c>
      <c r="J2978" s="25"/>
      <c r="K2978" s="25"/>
      <c r="L2978" s="25"/>
      <c r="M2978" s="25"/>
      <c r="N2978" s="25"/>
      <c r="O2978" s="25"/>
      <c r="P2978" s="25"/>
      <c r="Q2978" s="25"/>
      <c r="R2978" s="25"/>
      <c r="S2978" s="25"/>
      <c r="T2978" s="25"/>
      <c r="U2978" s="25"/>
      <c r="V2978" s="25"/>
      <c r="W2978" s="25"/>
      <c r="X2978" s="25"/>
      <c r="Y2978" s="25"/>
      <c r="Z2978" s="25"/>
    </row>
    <row r="2979" spans="1:26" ht="15.75" customHeight="1" x14ac:dyDescent="0.75">
      <c r="A2979" s="43" t="s">
        <v>19</v>
      </c>
      <c r="B2979" s="40"/>
      <c r="C2979" s="40"/>
      <c r="D2979" s="40"/>
      <c r="E2979" s="40"/>
      <c r="F2979" s="40"/>
      <c r="G2979" s="40"/>
      <c r="H2979" s="41"/>
      <c r="I2979" s="24" t="s">
        <v>418</v>
      </c>
      <c r="J2979" s="25"/>
      <c r="K2979" s="25"/>
      <c r="L2979" s="25"/>
      <c r="M2979" s="25"/>
      <c r="N2979" s="25"/>
      <c r="O2979" s="25"/>
      <c r="P2979" s="25"/>
      <c r="Q2979" s="25"/>
      <c r="R2979" s="25"/>
      <c r="S2979" s="25"/>
      <c r="T2979" s="25"/>
      <c r="U2979" s="25"/>
      <c r="V2979" s="25"/>
      <c r="W2979" s="25"/>
      <c r="X2979" s="25"/>
      <c r="Y2979" s="25"/>
      <c r="Z2979" s="25"/>
    </row>
    <row r="2980" spans="1:26" ht="15.75" customHeight="1" x14ac:dyDescent="0.45">
      <c r="A2980" s="25"/>
      <c r="B2980" s="25"/>
      <c r="C2980" s="25"/>
      <c r="D2980" s="25"/>
      <c r="E2980" s="25"/>
      <c r="F2980" s="25"/>
      <c r="G2980" s="25"/>
      <c r="H2980" s="25"/>
      <c r="I2980" s="24" t="s">
        <v>418</v>
      </c>
      <c r="J2980" s="25"/>
      <c r="K2980" s="25"/>
      <c r="L2980" s="25"/>
      <c r="M2980" s="25"/>
      <c r="N2980" s="25"/>
      <c r="O2980" s="25"/>
      <c r="P2980" s="25"/>
      <c r="Q2980" s="25"/>
      <c r="R2980" s="25"/>
      <c r="S2980" s="25"/>
      <c r="T2980" s="25"/>
      <c r="U2980" s="25"/>
      <c r="V2980" s="25"/>
      <c r="W2980" s="25"/>
      <c r="X2980" s="25"/>
      <c r="Y2980" s="25"/>
      <c r="Z2980" s="25"/>
    </row>
    <row r="2981" spans="1:26" ht="15.75" customHeight="1" x14ac:dyDescent="0.45">
      <c r="A2981" s="25"/>
      <c r="B2981" s="25"/>
      <c r="C2981" s="25"/>
      <c r="D2981" s="25"/>
      <c r="E2981" s="25"/>
      <c r="F2981" s="25"/>
      <c r="G2981" s="25"/>
      <c r="H2981" s="25"/>
      <c r="I2981" s="24" t="s">
        <v>418</v>
      </c>
      <c r="J2981" s="25"/>
      <c r="K2981" s="25"/>
      <c r="L2981" s="25"/>
      <c r="M2981" s="25"/>
      <c r="N2981" s="25"/>
      <c r="O2981" s="25"/>
      <c r="P2981" s="25"/>
      <c r="Q2981" s="25"/>
      <c r="R2981" s="25"/>
      <c r="S2981" s="25"/>
      <c r="T2981" s="25"/>
      <c r="U2981" s="25"/>
      <c r="V2981" s="25"/>
      <c r="W2981" s="25"/>
      <c r="X2981" s="25"/>
      <c r="Y2981" s="25"/>
      <c r="Z2981" s="25"/>
    </row>
    <row r="2982" spans="1:26" ht="15.75" customHeight="1" x14ac:dyDescent="0.45">
      <c r="A2982" s="25"/>
      <c r="B2982" s="25"/>
      <c r="C2982" s="25"/>
      <c r="D2982" s="25"/>
      <c r="E2982" s="25"/>
      <c r="F2982" s="25"/>
      <c r="G2982" s="25"/>
      <c r="H2982" s="25"/>
      <c r="I2982" s="24" t="s">
        <v>418</v>
      </c>
      <c r="J2982" s="25"/>
      <c r="K2982" s="25"/>
      <c r="L2982" s="25"/>
      <c r="M2982" s="25"/>
      <c r="N2982" s="25"/>
      <c r="O2982" s="25"/>
      <c r="P2982" s="25"/>
      <c r="Q2982" s="25"/>
      <c r="R2982" s="25"/>
      <c r="S2982" s="25"/>
      <c r="T2982" s="25"/>
      <c r="U2982" s="25"/>
      <c r="V2982" s="25"/>
      <c r="W2982" s="25"/>
      <c r="X2982" s="25"/>
      <c r="Y2982" s="25"/>
      <c r="Z2982" s="25"/>
    </row>
    <row r="2983" spans="1:26" ht="15.75" customHeight="1" x14ac:dyDescent="0.45">
      <c r="A2983" s="25"/>
      <c r="B2983" s="25"/>
      <c r="C2983" s="25"/>
      <c r="D2983" s="25"/>
      <c r="E2983" s="25"/>
      <c r="F2983" s="25"/>
      <c r="G2983" s="25"/>
      <c r="H2983" s="25"/>
      <c r="I2983" s="24" t="s">
        <v>418</v>
      </c>
      <c r="J2983" s="25"/>
      <c r="K2983" s="25"/>
      <c r="L2983" s="25"/>
      <c r="M2983" s="25"/>
      <c r="N2983" s="25"/>
      <c r="O2983" s="25"/>
      <c r="P2983" s="25"/>
      <c r="Q2983" s="25"/>
      <c r="R2983" s="25"/>
      <c r="S2983" s="25"/>
      <c r="T2983" s="25"/>
      <c r="U2983" s="25"/>
      <c r="V2983" s="25"/>
      <c r="W2983" s="25"/>
      <c r="X2983" s="25"/>
      <c r="Y2983" s="25"/>
      <c r="Z2983" s="25"/>
    </row>
    <row r="2984" spans="1:26" ht="15.75" customHeight="1" x14ac:dyDescent="0.45">
      <c r="A2984" s="25"/>
      <c r="B2984" s="25"/>
      <c r="C2984" s="25"/>
      <c r="D2984" s="25"/>
      <c r="E2984" s="25"/>
      <c r="F2984" s="25"/>
      <c r="G2984" s="25"/>
      <c r="H2984" s="25"/>
      <c r="I2984" s="24" t="s">
        <v>418</v>
      </c>
      <c r="J2984" s="25"/>
      <c r="K2984" s="25"/>
      <c r="L2984" s="25"/>
      <c r="M2984" s="25"/>
      <c r="N2984" s="25"/>
      <c r="O2984" s="25"/>
      <c r="P2984" s="25"/>
      <c r="Q2984" s="25"/>
      <c r="R2984" s="25"/>
      <c r="S2984" s="25"/>
      <c r="T2984" s="25"/>
      <c r="U2984" s="25"/>
      <c r="V2984" s="25"/>
      <c r="W2984" s="25"/>
      <c r="X2984" s="25"/>
      <c r="Y2984" s="25"/>
      <c r="Z2984" s="25"/>
    </row>
    <row r="2985" spans="1:26" ht="15.75" customHeight="1" x14ac:dyDescent="0.45">
      <c r="A2985" s="25"/>
      <c r="B2985" s="25"/>
      <c r="C2985" s="25"/>
      <c r="D2985" s="25"/>
      <c r="E2985" s="25"/>
      <c r="F2985" s="25"/>
      <c r="G2985" s="25"/>
      <c r="H2985" s="25"/>
      <c r="I2985" s="24" t="s">
        <v>418</v>
      </c>
      <c r="J2985" s="25"/>
      <c r="K2985" s="25"/>
      <c r="L2985" s="25"/>
      <c r="M2985" s="25"/>
      <c r="N2985" s="25"/>
      <c r="O2985" s="25"/>
      <c r="P2985" s="25"/>
      <c r="Q2985" s="25"/>
      <c r="R2985" s="25"/>
      <c r="S2985" s="25"/>
      <c r="T2985" s="25"/>
      <c r="U2985" s="25"/>
      <c r="V2985" s="25"/>
      <c r="W2985" s="25"/>
      <c r="X2985" s="25"/>
      <c r="Y2985" s="25"/>
      <c r="Z2985" s="25"/>
    </row>
    <row r="2986" spans="1:26" ht="15.75" customHeight="1" x14ac:dyDescent="0.75">
      <c r="A2986" s="43" t="s">
        <v>0</v>
      </c>
      <c r="B2986" s="40"/>
      <c r="C2986" s="40"/>
      <c r="D2986" s="40"/>
      <c r="E2986" s="40"/>
      <c r="F2986" s="40"/>
      <c r="G2986" s="40"/>
      <c r="H2986" s="41"/>
      <c r="I2986" s="24" t="s">
        <v>418</v>
      </c>
      <c r="J2986" s="25"/>
      <c r="K2986" s="25"/>
      <c r="L2986" s="25"/>
      <c r="M2986" s="25"/>
      <c r="N2986" s="25"/>
      <c r="O2986" s="25"/>
      <c r="P2986" s="25"/>
      <c r="Q2986" s="25"/>
      <c r="R2986" s="25"/>
      <c r="S2986" s="25"/>
      <c r="T2986" s="25"/>
      <c r="U2986" s="25"/>
      <c r="V2986" s="25"/>
      <c r="W2986" s="25"/>
      <c r="X2986" s="25"/>
      <c r="Y2986" s="25"/>
      <c r="Z2986" s="25"/>
    </row>
    <row r="2987" spans="1:26" ht="15.75" customHeight="1" x14ac:dyDescent="0.75">
      <c r="A2987" s="43" t="s">
        <v>448</v>
      </c>
      <c r="B2987" s="40"/>
      <c r="C2987" s="40"/>
      <c r="D2987" s="40"/>
      <c r="E2987" s="40"/>
      <c r="F2987" s="40"/>
      <c r="G2987" s="40"/>
      <c r="H2987" s="41"/>
      <c r="I2987" s="24" t="s">
        <v>418</v>
      </c>
      <c r="J2987" s="25"/>
      <c r="K2987" s="25"/>
      <c r="L2987" s="25"/>
      <c r="M2987" s="25"/>
      <c r="N2987" s="25"/>
      <c r="O2987" s="25"/>
      <c r="P2987" s="25"/>
      <c r="Q2987" s="25"/>
      <c r="R2987" s="25"/>
      <c r="S2987" s="25"/>
      <c r="T2987" s="25"/>
      <c r="U2987" s="25"/>
      <c r="V2987" s="25"/>
      <c r="W2987" s="25"/>
      <c r="X2987" s="25"/>
      <c r="Y2987" s="25"/>
      <c r="Z2987" s="25"/>
    </row>
    <row r="2988" spans="1:26" ht="15.75" customHeight="1" x14ac:dyDescent="0.55000000000000004">
      <c r="A2988" s="2" t="s">
        <v>3</v>
      </c>
      <c r="B2988" s="2" t="s">
        <v>4</v>
      </c>
      <c r="C2988" s="2" t="s">
        <v>5</v>
      </c>
      <c r="D2988" s="2" t="s">
        <v>6</v>
      </c>
      <c r="E2988" s="2" t="s">
        <v>7</v>
      </c>
      <c r="F2988" s="3" t="s">
        <v>8</v>
      </c>
      <c r="G2988" s="2" t="s">
        <v>9</v>
      </c>
      <c r="H2988" s="26"/>
      <c r="I2988" s="24" t="s">
        <v>418</v>
      </c>
      <c r="J2988" s="25"/>
      <c r="K2988" s="25"/>
      <c r="L2988" s="25"/>
      <c r="M2988" s="25"/>
      <c r="N2988" s="25"/>
      <c r="O2988" s="25"/>
      <c r="P2988" s="25"/>
      <c r="Q2988" s="25"/>
      <c r="R2988" s="25"/>
      <c r="S2988" s="25"/>
      <c r="T2988" s="25"/>
      <c r="U2988" s="25"/>
      <c r="V2988" s="25"/>
      <c r="W2988" s="25"/>
      <c r="X2988" s="25"/>
      <c r="Y2988" s="25"/>
      <c r="Z2988" s="25"/>
    </row>
    <row r="2989" spans="1:26" ht="15.75" customHeight="1" x14ac:dyDescent="0.75">
      <c r="A2989" s="5">
        <v>1</v>
      </c>
      <c r="B2989" s="27" t="s">
        <v>203</v>
      </c>
      <c r="C2989" s="28" t="s">
        <v>449</v>
      </c>
      <c r="D2989" s="27" t="s">
        <v>12</v>
      </c>
      <c r="E2989" s="27">
        <v>2</v>
      </c>
      <c r="F2989" s="8">
        <v>293000</v>
      </c>
      <c r="G2989" s="9">
        <f t="shared" ref="G2989:G2991" si="184">IFERROR(E2989*F2989,0)</f>
        <v>586000</v>
      </c>
      <c r="H2989" s="29"/>
      <c r="I2989" s="24" t="s">
        <v>418</v>
      </c>
      <c r="J2989" s="25"/>
      <c r="K2989" s="25"/>
      <c r="L2989" s="25"/>
      <c r="M2989" s="25"/>
      <c r="N2989" s="25"/>
      <c r="O2989" s="25"/>
      <c r="P2989" s="25"/>
      <c r="Q2989" s="25"/>
      <c r="R2989" s="25"/>
      <c r="S2989" s="25"/>
      <c r="T2989" s="25"/>
      <c r="U2989" s="25"/>
      <c r="V2989" s="25"/>
      <c r="W2989" s="25"/>
      <c r="X2989" s="25"/>
      <c r="Y2989" s="25"/>
      <c r="Z2989" s="25"/>
    </row>
    <row r="2990" spans="1:26" ht="15.75" customHeight="1" x14ac:dyDescent="0.75">
      <c r="A2990" s="5">
        <v>2</v>
      </c>
      <c r="B2990" s="30" t="s">
        <v>47</v>
      </c>
      <c r="C2990" s="31" t="s">
        <v>450</v>
      </c>
      <c r="D2990" s="30" t="s">
        <v>14</v>
      </c>
      <c r="E2990" s="30">
        <v>1.4</v>
      </c>
      <c r="F2990" s="11">
        <v>435000</v>
      </c>
      <c r="G2990" s="9">
        <f t="shared" si="184"/>
        <v>609000</v>
      </c>
      <c r="H2990" s="29"/>
      <c r="I2990" s="24" t="s">
        <v>418</v>
      </c>
      <c r="J2990" s="25"/>
      <c r="K2990" s="25"/>
      <c r="L2990" s="25"/>
      <c r="M2990" s="25"/>
      <c r="N2990" s="25"/>
      <c r="O2990" s="25"/>
      <c r="P2990" s="25"/>
      <c r="Q2990" s="25"/>
      <c r="R2990" s="25"/>
      <c r="S2990" s="25"/>
      <c r="T2990" s="25"/>
      <c r="U2990" s="25"/>
      <c r="V2990" s="25"/>
      <c r="W2990" s="25"/>
      <c r="X2990" s="25"/>
      <c r="Y2990" s="25"/>
      <c r="Z2990" s="25"/>
    </row>
    <row r="2991" spans="1:26" ht="15.75" customHeight="1" x14ac:dyDescent="0.75">
      <c r="A2991" s="5">
        <v>3</v>
      </c>
      <c r="B2991" s="12" t="s">
        <v>15</v>
      </c>
      <c r="C2991" s="29"/>
      <c r="D2991" s="29"/>
      <c r="E2991" s="29"/>
      <c r="F2991" s="29"/>
      <c r="G2991" s="13">
        <f t="shared" si="184"/>
        <v>0</v>
      </c>
      <c r="H2991" s="29"/>
      <c r="I2991" s="24" t="s">
        <v>418</v>
      </c>
      <c r="J2991" s="25"/>
      <c r="K2991" s="25"/>
      <c r="L2991" s="25"/>
      <c r="M2991" s="25"/>
      <c r="N2991" s="25"/>
      <c r="O2991" s="25"/>
      <c r="P2991" s="25"/>
      <c r="Q2991" s="25"/>
      <c r="R2991" s="25"/>
      <c r="S2991" s="25"/>
      <c r="T2991" s="25"/>
      <c r="U2991" s="25"/>
      <c r="V2991" s="25"/>
      <c r="W2991" s="25"/>
      <c r="X2991" s="25"/>
      <c r="Y2991" s="25"/>
      <c r="Z2991" s="25"/>
    </row>
    <row r="2992" spans="1:26" ht="15.75" customHeight="1" x14ac:dyDescent="0.75">
      <c r="A2992" s="39" t="s">
        <v>16</v>
      </c>
      <c r="B2992" s="40"/>
      <c r="C2992" s="40"/>
      <c r="D2992" s="40"/>
      <c r="E2992" s="40"/>
      <c r="F2992" s="40"/>
      <c r="G2992" s="41"/>
      <c r="H2992" s="14">
        <f>SUM(G2989:G2991)</f>
        <v>1195000</v>
      </c>
      <c r="I2992" s="24" t="s">
        <v>418</v>
      </c>
      <c r="J2992" s="25"/>
      <c r="K2992" s="25"/>
      <c r="L2992" s="25"/>
      <c r="M2992" s="25"/>
      <c r="N2992" s="25"/>
      <c r="O2992" s="25"/>
      <c r="P2992" s="25"/>
      <c r="Q2992" s="25"/>
      <c r="R2992" s="25"/>
      <c r="S2992" s="25"/>
      <c r="T2992" s="25"/>
      <c r="U2992" s="25"/>
      <c r="V2992" s="25"/>
      <c r="W2992" s="25"/>
      <c r="X2992" s="25"/>
      <c r="Y2992" s="25"/>
      <c r="Z2992" s="25"/>
    </row>
    <row r="2993" spans="1:26" ht="15.75" customHeight="1" x14ac:dyDescent="0.75">
      <c r="A2993" s="39" t="s">
        <v>17</v>
      </c>
      <c r="B2993" s="40"/>
      <c r="C2993" s="40"/>
      <c r="D2993" s="40"/>
      <c r="E2993" s="40"/>
      <c r="F2993" s="40"/>
      <c r="G2993" s="41"/>
      <c r="H2993" s="14">
        <f>MAX(0,H2992-648000)</f>
        <v>547000</v>
      </c>
      <c r="I2993" s="24" t="s">
        <v>418</v>
      </c>
      <c r="J2993" s="25"/>
      <c r="K2993" s="25"/>
      <c r="L2993" s="25"/>
      <c r="M2993" s="25"/>
      <c r="N2993" s="25"/>
      <c r="O2993" s="25"/>
      <c r="P2993" s="25"/>
      <c r="Q2993" s="25"/>
      <c r="R2993" s="25"/>
      <c r="S2993" s="25"/>
      <c r="T2993" s="25"/>
      <c r="U2993" s="25"/>
      <c r="V2993" s="25"/>
      <c r="W2993" s="25"/>
      <c r="X2993" s="25"/>
      <c r="Y2993" s="25"/>
      <c r="Z2993" s="25"/>
    </row>
    <row r="2994" spans="1:26" ht="15.75" customHeight="1" x14ac:dyDescent="0.75">
      <c r="A2994" s="42" t="s">
        <v>18</v>
      </c>
      <c r="B2994" s="40"/>
      <c r="C2994" s="40"/>
      <c r="D2994" s="40"/>
      <c r="E2994" s="40"/>
      <c r="F2994" s="40"/>
      <c r="G2994" s="41"/>
      <c r="H2994" s="15">
        <v>649000</v>
      </c>
      <c r="I2994" s="24" t="s">
        <v>418</v>
      </c>
      <c r="J2994" s="25"/>
      <c r="K2994" s="25"/>
      <c r="L2994" s="25"/>
      <c r="M2994" s="25"/>
      <c r="N2994" s="25"/>
      <c r="O2994" s="25"/>
      <c r="P2994" s="25"/>
      <c r="Q2994" s="25"/>
      <c r="R2994" s="25"/>
      <c r="S2994" s="25"/>
      <c r="T2994" s="25"/>
      <c r="U2994" s="25"/>
      <c r="V2994" s="25"/>
      <c r="W2994" s="25"/>
      <c r="X2994" s="25"/>
      <c r="Y2994" s="25"/>
      <c r="Z2994" s="25"/>
    </row>
    <row r="2995" spans="1:26" ht="15.75" customHeight="1" x14ac:dyDescent="0.75">
      <c r="A2995" s="43" t="s">
        <v>19</v>
      </c>
      <c r="B2995" s="40"/>
      <c r="C2995" s="40"/>
      <c r="D2995" s="40"/>
      <c r="E2995" s="40"/>
      <c r="F2995" s="40"/>
      <c r="G2995" s="40"/>
      <c r="H2995" s="41"/>
      <c r="I2995" s="24" t="s">
        <v>418</v>
      </c>
      <c r="J2995" s="25"/>
      <c r="K2995" s="25"/>
      <c r="L2995" s="25"/>
      <c r="M2995" s="25"/>
      <c r="N2995" s="25"/>
      <c r="O2995" s="25"/>
      <c r="P2995" s="25"/>
      <c r="Q2995" s="25"/>
      <c r="R2995" s="25"/>
      <c r="S2995" s="25"/>
      <c r="T2995" s="25"/>
      <c r="U2995" s="25"/>
      <c r="V2995" s="25"/>
      <c r="W2995" s="25"/>
      <c r="X2995" s="25"/>
      <c r="Y2995" s="25"/>
      <c r="Z2995" s="25"/>
    </row>
    <row r="2996" spans="1:26" ht="15.75" customHeight="1" x14ac:dyDescent="0.45">
      <c r="A2996" s="25"/>
      <c r="B2996" s="25"/>
      <c r="C2996" s="25"/>
      <c r="D2996" s="25"/>
      <c r="E2996" s="25"/>
      <c r="F2996" s="25"/>
      <c r="G2996" s="25"/>
      <c r="H2996" s="25"/>
      <c r="I2996" s="24" t="s">
        <v>418</v>
      </c>
      <c r="J2996" s="25"/>
      <c r="K2996" s="25"/>
      <c r="L2996" s="25"/>
      <c r="M2996" s="25"/>
      <c r="N2996" s="25"/>
      <c r="O2996" s="25"/>
      <c r="P2996" s="25"/>
      <c r="Q2996" s="25"/>
      <c r="R2996" s="25"/>
      <c r="S2996" s="25"/>
      <c r="T2996" s="25"/>
      <c r="U2996" s="25"/>
      <c r="V2996" s="25"/>
      <c r="W2996" s="25"/>
      <c r="X2996" s="25"/>
      <c r="Y2996" s="25"/>
      <c r="Z2996" s="25"/>
    </row>
    <row r="2997" spans="1:26" ht="15.75" customHeight="1" x14ac:dyDescent="0.45">
      <c r="A2997" s="25"/>
      <c r="B2997" s="25"/>
      <c r="C2997" s="25"/>
      <c r="D2997" s="25"/>
      <c r="E2997" s="25"/>
      <c r="F2997" s="25"/>
      <c r="G2997" s="25"/>
      <c r="H2997" s="25"/>
      <c r="I2997" s="24" t="s">
        <v>418</v>
      </c>
      <c r="J2997" s="25"/>
      <c r="K2997" s="25"/>
      <c r="L2997" s="25"/>
      <c r="M2997" s="25"/>
      <c r="N2997" s="25"/>
      <c r="O2997" s="25"/>
      <c r="P2997" s="25"/>
      <c r="Q2997" s="25"/>
      <c r="R2997" s="25"/>
      <c r="S2997" s="25"/>
      <c r="T2997" s="25"/>
      <c r="U2997" s="25"/>
      <c r="V2997" s="25"/>
      <c r="W2997" s="25"/>
      <c r="X2997" s="25"/>
      <c r="Y2997" s="25"/>
      <c r="Z2997" s="25"/>
    </row>
    <row r="2998" spans="1:26" ht="15.75" customHeight="1" x14ac:dyDescent="0.45">
      <c r="A2998" s="25"/>
      <c r="B2998" s="25"/>
      <c r="C2998" s="25"/>
      <c r="D2998" s="25"/>
      <c r="E2998" s="25"/>
      <c r="F2998" s="25"/>
      <c r="G2998" s="25"/>
      <c r="H2998" s="25"/>
      <c r="I2998" s="24" t="s">
        <v>418</v>
      </c>
      <c r="J2998" s="25"/>
      <c r="K2998" s="25"/>
      <c r="L2998" s="25"/>
      <c r="M2998" s="25"/>
      <c r="N2998" s="25"/>
      <c r="O2998" s="25"/>
      <c r="P2998" s="25"/>
      <c r="Q2998" s="25"/>
      <c r="R2998" s="25"/>
      <c r="S2998" s="25"/>
      <c r="T2998" s="25"/>
      <c r="U2998" s="25"/>
      <c r="V2998" s="25"/>
      <c r="W2998" s="25"/>
      <c r="X2998" s="25"/>
      <c r="Y2998" s="25"/>
      <c r="Z2998" s="25"/>
    </row>
    <row r="2999" spans="1:26" ht="15.75" customHeight="1" x14ac:dyDescent="0.45">
      <c r="A2999" s="25"/>
      <c r="B2999" s="25"/>
      <c r="C2999" s="25"/>
      <c r="D2999" s="25"/>
      <c r="E2999" s="25"/>
      <c r="F2999" s="25"/>
      <c r="G2999" s="25"/>
      <c r="H2999" s="25"/>
      <c r="I2999" s="24" t="s">
        <v>418</v>
      </c>
      <c r="J2999" s="25"/>
      <c r="K2999" s="25"/>
      <c r="L2999" s="25"/>
      <c r="M2999" s="25"/>
      <c r="N2999" s="25"/>
      <c r="O2999" s="25"/>
      <c r="P2999" s="25"/>
      <c r="Q2999" s="25"/>
      <c r="R2999" s="25"/>
      <c r="S2999" s="25"/>
      <c r="T2999" s="25"/>
      <c r="U2999" s="25"/>
      <c r="V2999" s="25"/>
      <c r="W2999" s="25"/>
      <c r="X2999" s="25"/>
      <c r="Y2999" s="25"/>
      <c r="Z2999" s="25"/>
    </row>
    <row r="3000" spans="1:26" ht="15.75" customHeight="1" x14ac:dyDescent="0.45">
      <c r="A3000" s="25"/>
      <c r="B3000" s="25"/>
      <c r="C3000" s="25"/>
      <c r="D3000" s="25"/>
      <c r="E3000" s="25"/>
      <c r="F3000" s="25"/>
      <c r="G3000" s="25"/>
      <c r="H3000" s="25"/>
      <c r="I3000" s="24" t="s">
        <v>418</v>
      </c>
      <c r="J3000" s="25"/>
      <c r="K3000" s="25"/>
      <c r="L3000" s="25"/>
      <c r="M3000" s="25"/>
      <c r="N3000" s="25"/>
      <c r="O3000" s="25"/>
      <c r="P3000" s="25"/>
      <c r="Q3000" s="25"/>
      <c r="R3000" s="25"/>
      <c r="S3000" s="25"/>
      <c r="T3000" s="25"/>
      <c r="U3000" s="25"/>
      <c r="V3000" s="25"/>
      <c r="W3000" s="25"/>
      <c r="X3000" s="25"/>
      <c r="Y3000" s="25"/>
      <c r="Z3000" s="25"/>
    </row>
    <row r="3001" spans="1:26" ht="15.75" customHeight="1" x14ac:dyDescent="0.75">
      <c r="A3001" s="43" t="s">
        <v>0</v>
      </c>
      <c r="B3001" s="40"/>
      <c r="C3001" s="40"/>
      <c r="D3001" s="40"/>
      <c r="E3001" s="40"/>
      <c r="F3001" s="40"/>
      <c r="G3001" s="40"/>
      <c r="H3001" s="41"/>
      <c r="I3001" s="24" t="s">
        <v>418</v>
      </c>
      <c r="J3001" s="25"/>
      <c r="K3001" s="25"/>
      <c r="L3001" s="25"/>
      <c r="M3001" s="25"/>
      <c r="N3001" s="25"/>
      <c r="O3001" s="25"/>
      <c r="P3001" s="25"/>
      <c r="Q3001" s="25"/>
      <c r="R3001" s="25"/>
      <c r="S3001" s="25"/>
      <c r="T3001" s="25"/>
      <c r="U3001" s="25"/>
      <c r="V3001" s="25"/>
      <c r="W3001" s="25"/>
      <c r="X3001" s="25"/>
      <c r="Y3001" s="25"/>
      <c r="Z3001" s="25"/>
    </row>
    <row r="3002" spans="1:26" ht="15.75" customHeight="1" x14ac:dyDescent="0.75">
      <c r="A3002" s="43" t="s">
        <v>451</v>
      </c>
      <c r="B3002" s="40"/>
      <c r="C3002" s="40"/>
      <c r="D3002" s="40"/>
      <c r="E3002" s="40"/>
      <c r="F3002" s="40"/>
      <c r="G3002" s="40"/>
      <c r="H3002" s="41"/>
      <c r="I3002" s="24" t="s">
        <v>418</v>
      </c>
      <c r="J3002" s="25"/>
      <c r="K3002" s="25"/>
      <c r="L3002" s="25"/>
      <c r="M3002" s="25"/>
      <c r="N3002" s="25"/>
      <c r="O3002" s="25"/>
      <c r="P3002" s="25"/>
      <c r="Q3002" s="25"/>
      <c r="R3002" s="25"/>
      <c r="S3002" s="25"/>
      <c r="T3002" s="25"/>
      <c r="U3002" s="25"/>
      <c r="V3002" s="25"/>
      <c r="W3002" s="25"/>
      <c r="X3002" s="25"/>
      <c r="Y3002" s="25"/>
      <c r="Z3002" s="25"/>
    </row>
    <row r="3003" spans="1:26" ht="15.75" customHeight="1" x14ac:dyDescent="0.55000000000000004">
      <c r="A3003" s="2" t="s">
        <v>3</v>
      </c>
      <c r="B3003" s="2" t="s">
        <v>4</v>
      </c>
      <c r="C3003" s="2" t="s">
        <v>5</v>
      </c>
      <c r="D3003" s="2" t="s">
        <v>6</v>
      </c>
      <c r="E3003" s="2" t="s">
        <v>7</v>
      </c>
      <c r="F3003" s="3" t="s">
        <v>8</v>
      </c>
      <c r="G3003" s="2" t="s">
        <v>9</v>
      </c>
      <c r="H3003" s="26"/>
      <c r="I3003" s="24" t="s">
        <v>418</v>
      </c>
      <c r="J3003" s="25"/>
      <c r="K3003" s="25"/>
      <c r="L3003" s="25"/>
      <c r="M3003" s="25"/>
      <c r="N3003" s="25"/>
      <c r="O3003" s="25"/>
      <c r="P3003" s="25"/>
      <c r="Q3003" s="25"/>
      <c r="R3003" s="25"/>
      <c r="S3003" s="25"/>
      <c r="T3003" s="25"/>
      <c r="U3003" s="25"/>
      <c r="V3003" s="25"/>
      <c r="W3003" s="25"/>
      <c r="X3003" s="25"/>
      <c r="Y3003" s="25"/>
      <c r="Z3003" s="25"/>
    </row>
    <row r="3004" spans="1:26" ht="15.75" customHeight="1" x14ac:dyDescent="0.75">
      <c r="A3004" s="5">
        <v>1</v>
      </c>
      <c r="B3004" s="27" t="s">
        <v>203</v>
      </c>
      <c r="C3004" s="28" t="s">
        <v>449</v>
      </c>
      <c r="D3004" s="27" t="s">
        <v>12</v>
      </c>
      <c r="E3004" s="27">
        <v>2</v>
      </c>
      <c r="F3004" s="8">
        <v>293000</v>
      </c>
      <c r="G3004" s="9">
        <f t="shared" ref="G3004:G3006" si="185">IFERROR(E3004*F3004,0)</f>
        <v>586000</v>
      </c>
      <c r="H3004" s="29"/>
      <c r="I3004" s="24" t="s">
        <v>418</v>
      </c>
      <c r="J3004" s="25"/>
      <c r="K3004" s="25"/>
      <c r="L3004" s="25"/>
      <c r="M3004" s="25"/>
      <c r="N3004" s="25"/>
      <c r="O3004" s="25"/>
      <c r="P3004" s="25"/>
      <c r="Q3004" s="25"/>
      <c r="R3004" s="25"/>
      <c r="S3004" s="25"/>
      <c r="T3004" s="25"/>
      <c r="U3004" s="25"/>
      <c r="V3004" s="25"/>
      <c r="W3004" s="25"/>
      <c r="X3004" s="25"/>
      <c r="Y3004" s="25"/>
      <c r="Z3004" s="25"/>
    </row>
    <row r="3005" spans="1:26" ht="15.75" customHeight="1" x14ac:dyDescent="0.75">
      <c r="A3005" s="5">
        <v>2</v>
      </c>
      <c r="B3005" s="30" t="s">
        <v>62</v>
      </c>
      <c r="C3005" s="31" t="s">
        <v>452</v>
      </c>
      <c r="D3005" s="30" t="s">
        <v>14</v>
      </c>
      <c r="E3005" s="30">
        <v>1.45</v>
      </c>
      <c r="F3005" s="11">
        <v>435000</v>
      </c>
      <c r="G3005" s="9">
        <f t="shared" si="185"/>
        <v>630750</v>
      </c>
      <c r="H3005" s="29"/>
      <c r="I3005" s="24" t="s">
        <v>418</v>
      </c>
      <c r="J3005" s="25"/>
      <c r="K3005" s="25"/>
      <c r="L3005" s="25"/>
      <c r="M3005" s="25"/>
      <c r="N3005" s="25"/>
      <c r="O3005" s="25"/>
      <c r="P3005" s="25"/>
      <c r="Q3005" s="25"/>
      <c r="R3005" s="25"/>
      <c r="S3005" s="25"/>
      <c r="T3005" s="25"/>
      <c r="U3005" s="25"/>
      <c r="V3005" s="25"/>
      <c r="W3005" s="25"/>
      <c r="X3005" s="25"/>
      <c r="Y3005" s="25"/>
      <c r="Z3005" s="25"/>
    </row>
    <row r="3006" spans="1:26" ht="15.75" customHeight="1" x14ac:dyDescent="0.75">
      <c r="A3006" s="5">
        <v>3</v>
      </c>
      <c r="B3006" s="12" t="s">
        <v>15</v>
      </c>
      <c r="C3006" s="29"/>
      <c r="D3006" s="29"/>
      <c r="E3006" s="29"/>
      <c r="F3006" s="29"/>
      <c r="G3006" s="13">
        <f t="shared" si="185"/>
        <v>0</v>
      </c>
      <c r="H3006" s="29"/>
      <c r="I3006" s="24" t="s">
        <v>418</v>
      </c>
      <c r="J3006" s="25"/>
      <c r="K3006" s="25"/>
      <c r="L3006" s="25"/>
      <c r="M3006" s="25"/>
      <c r="N3006" s="25"/>
      <c r="O3006" s="25"/>
      <c r="P3006" s="25"/>
      <c r="Q3006" s="25"/>
      <c r="R3006" s="25"/>
      <c r="S3006" s="25"/>
      <c r="T3006" s="25"/>
      <c r="U3006" s="25"/>
      <c r="V3006" s="25"/>
      <c r="W3006" s="25"/>
      <c r="X3006" s="25"/>
      <c r="Y3006" s="25"/>
      <c r="Z3006" s="25"/>
    </row>
    <row r="3007" spans="1:26" ht="15.75" customHeight="1" x14ac:dyDescent="0.75">
      <c r="A3007" s="39" t="s">
        <v>16</v>
      </c>
      <c r="B3007" s="40"/>
      <c r="C3007" s="40"/>
      <c r="D3007" s="40"/>
      <c r="E3007" s="40"/>
      <c r="F3007" s="40"/>
      <c r="G3007" s="41"/>
      <c r="H3007" s="14">
        <f>SUM(G3004:G3006)</f>
        <v>1216750</v>
      </c>
      <c r="I3007" s="24" t="s">
        <v>418</v>
      </c>
      <c r="J3007" s="25"/>
      <c r="K3007" s="25"/>
      <c r="L3007" s="25"/>
      <c r="M3007" s="25"/>
      <c r="N3007" s="25"/>
      <c r="O3007" s="25"/>
      <c r="P3007" s="25"/>
      <c r="Q3007" s="25"/>
      <c r="R3007" s="25"/>
      <c r="S3007" s="25"/>
      <c r="T3007" s="25"/>
      <c r="U3007" s="25"/>
      <c r="V3007" s="25"/>
      <c r="W3007" s="25"/>
      <c r="X3007" s="25"/>
      <c r="Y3007" s="25"/>
      <c r="Z3007" s="25"/>
    </row>
    <row r="3008" spans="1:26" ht="15.75" customHeight="1" x14ac:dyDescent="0.75">
      <c r="A3008" s="39" t="s">
        <v>17</v>
      </c>
      <c r="B3008" s="40"/>
      <c r="C3008" s="40"/>
      <c r="D3008" s="40"/>
      <c r="E3008" s="40"/>
      <c r="F3008" s="40"/>
      <c r="G3008" s="41"/>
      <c r="H3008" s="14">
        <f>MAX(0,H3007-648000)</f>
        <v>568750</v>
      </c>
      <c r="I3008" s="24" t="s">
        <v>418</v>
      </c>
      <c r="J3008" s="25"/>
      <c r="K3008" s="25"/>
      <c r="L3008" s="25"/>
      <c r="M3008" s="25"/>
      <c r="N3008" s="25"/>
      <c r="O3008" s="25"/>
      <c r="P3008" s="25"/>
      <c r="Q3008" s="25"/>
      <c r="R3008" s="25"/>
      <c r="S3008" s="25"/>
      <c r="T3008" s="25"/>
      <c r="U3008" s="25"/>
      <c r="V3008" s="25"/>
      <c r="W3008" s="25"/>
      <c r="X3008" s="25"/>
      <c r="Y3008" s="25"/>
      <c r="Z3008" s="25"/>
    </row>
    <row r="3009" spans="1:26" ht="15.75" customHeight="1" x14ac:dyDescent="0.75">
      <c r="A3009" s="42" t="s">
        <v>18</v>
      </c>
      <c r="B3009" s="40"/>
      <c r="C3009" s="40"/>
      <c r="D3009" s="40"/>
      <c r="E3009" s="40"/>
      <c r="F3009" s="40"/>
      <c r="G3009" s="41"/>
      <c r="H3009" s="15">
        <v>649000</v>
      </c>
      <c r="I3009" s="24" t="s">
        <v>418</v>
      </c>
      <c r="J3009" s="25"/>
      <c r="K3009" s="25"/>
      <c r="L3009" s="25"/>
      <c r="M3009" s="25"/>
      <c r="N3009" s="25"/>
      <c r="O3009" s="25"/>
      <c r="P3009" s="25"/>
      <c r="Q3009" s="25"/>
      <c r="R3009" s="25"/>
      <c r="S3009" s="25"/>
      <c r="T3009" s="25"/>
      <c r="U3009" s="25"/>
      <c r="V3009" s="25"/>
      <c r="W3009" s="25"/>
      <c r="X3009" s="25"/>
      <c r="Y3009" s="25"/>
      <c r="Z3009" s="25"/>
    </row>
    <row r="3010" spans="1:26" ht="15.75" customHeight="1" x14ac:dyDescent="0.75">
      <c r="A3010" s="43" t="s">
        <v>19</v>
      </c>
      <c r="B3010" s="40"/>
      <c r="C3010" s="40"/>
      <c r="D3010" s="40"/>
      <c r="E3010" s="40"/>
      <c r="F3010" s="40"/>
      <c r="G3010" s="40"/>
      <c r="H3010" s="41"/>
      <c r="I3010" s="24" t="s">
        <v>418</v>
      </c>
      <c r="J3010" s="25"/>
      <c r="K3010" s="25"/>
      <c r="L3010" s="25"/>
      <c r="M3010" s="25"/>
      <c r="N3010" s="25"/>
      <c r="O3010" s="25"/>
      <c r="P3010" s="25"/>
      <c r="Q3010" s="25"/>
      <c r="R3010" s="25"/>
      <c r="S3010" s="25"/>
      <c r="T3010" s="25"/>
      <c r="U3010" s="25"/>
      <c r="V3010" s="25"/>
      <c r="W3010" s="25"/>
      <c r="X3010" s="25"/>
      <c r="Y3010" s="25"/>
      <c r="Z3010" s="25"/>
    </row>
    <row r="3011" spans="1:26" ht="15.75" customHeight="1" x14ac:dyDescent="0.45">
      <c r="A3011" s="25"/>
      <c r="B3011" s="25"/>
      <c r="C3011" s="25"/>
      <c r="D3011" s="25"/>
      <c r="E3011" s="25"/>
      <c r="F3011" s="25"/>
      <c r="G3011" s="25"/>
      <c r="H3011" s="25"/>
      <c r="I3011" s="24" t="s">
        <v>418</v>
      </c>
      <c r="J3011" s="25"/>
      <c r="K3011" s="25"/>
      <c r="L3011" s="25"/>
      <c r="M3011" s="25"/>
      <c r="N3011" s="25"/>
      <c r="O3011" s="25"/>
      <c r="P3011" s="25"/>
      <c r="Q3011" s="25"/>
      <c r="R3011" s="25"/>
      <c r="S3011" s="25"/>
      <c r="T3011" s="25"/>
      <c r="U3011" s="25"/>
      <c r="V3011" s="25"/>
      <c r="W3011" s="25"/>
      <c r="X3011" s="25"/>
      <c r="Y3011" s="25"/>
      <c r="Z3011" s="25"/>
    </row>
    <row r="3012" spans="1:26" ht="15.75" customHeight="1" x14ac:dyDescent="0.45">
      <c r="A3012" s="25"/>
      <c r="B3012" s="25"/>
      <c r="C3012" s="25"/>
      <c r="D3012" s="25"/>
      <c r="E3012" s="25"/>
      <c r="F3012" s="25"/>
      <c r="G3012" s="25"/>
      <c r="H3012" s="25"/>
      <c r="I3012" s="24" t="s">
        <v>418</v>
      </c>
      <c r="J3012" s="25"/>
      <c r="K3012" s="25"/>
      <c r="L3012" s="25"/>
      <c r="M3012" s="25"/>
      <c r="N3012" s="25"/>
      <c r="O3012" s="25"/>
      <c r="P3012" s="25"/>
      <c r="Q3012" s="25"/>
      <c r="R3012" s="25"/>
      <c r="S3012" s="25"/>
      <c r="T3012" s="25"/>
      <c r="U3012" s="25"/>
      <c r="V3012" s="25"/>
      <c r="W3012" s="25"/>
      <c r="X3012" s="25"/>
      <c r="Y3012" s="25"/>
      <c r="Z3012" s="25"/>
    </row>
    <row r="3013" spans="1:26" ht="15.75" customHeight="1" x14ac:dyDescent="0.45">
      <c r="A3013" s="25"/>
      <c r="B3013" s="25"/>
      <c r="C3013" s="25"/>
      <c r="D3013" s="25"/>
      <c r="E3013" s="25"/>
      <c r="F3013" s="25"/>
      <c r="G3013" s="25"/>
      <c r="H3013" s="25"/>
      <c r="I3013" s="24" t="s">
        <v>418</v>
      </c>
      <c r="J3013" s="25"/>
      <c r="K3013" s="25"/>
      <c r="L3013" s="25"/>
      <c r="M3013" s="25"/>
      <c r="N3013" s="25"/>
      <c r="O3013" s="25"/>
      <c r="P3013" s="25"/>
      <c r="Q3013" s="25"/>
      <c r="R3013" s="25"/>
      <c r="S3013" s="25"/>
      <c r="T3013" s="25"/>
      <c r="U3013" s="25"/>
      <c r="V3013" s="25"/>
      <c r="W3013" s="25"/>
      <c r="X3013" s="25"/>
      <c r="Y3013" s="25"/>
      <c r="Z3013" s="25"/>
    </row>
    <row r="3014" spans="1:26" ht="15.75" customHeight="1" x14ac:dyDescent="0.45">
      <c r="A3014" s="25"/>
      <c r="B3014" s="25"/>
      <c r="C3014" s="25"/>
      <c r="D3014" s="25"/>
      <c r="E3014" s="25"/>
      <c r="F3014" s="25"/>
      <c r="G3014" s="25"/>
      <c r="H3014" s="25"/>
      <c r="I3014" s="24" t="s">
        <v>418</v>
      </c>
      <c r="J3014" s="25"/>
      <c r="K3014" s="25"/>
      <c r="L3014" s="25"/>
      <c r="M3014" s="25"/>
      <c r="N3014" s="25"/>
      <c r="O3014" s="25"/>
      <c r="P3014" s="25"/>
      <c r="Q3014" s="25"/>
      <c r="R3014" s="25"/>
      <c r="S3014" s="25"/>
      <c r="T3014" s="25"/>
      <c r="U3014" s="25"/>
      <c r="V3014" s="25"/>
      <c r="W3014" s="25"/>
      <c r="X3014" s="25"/>
      <c r="Y3014" s="25"/>
      <c r="Z3014" s="25"/>
    </row>
    <row r="3015" spans="1:26" ht="15.75" customHeight="1" x14ac:dyDescent="0.45">
      <c r="A3015" s="25"/>
      <c r="B3015" s="25"/>
      <c r="C3015" s="25"/>
      <c r="D3015" s="25"/>
      <c r="E3015" s="25"/>
      <c r="F3015" s="25"/>
      <c r="G3015" s="25"/>
      <c r="H3015" s="25"/>
      <c r="I3015" s="24" t="s">
        <v>418</v>
      </c>
      <c r="J3015" s="25"/>
      <c r="K3015" s="25"/>
      <c r="L3015" s="25"/>
      <c r="M3015" s="25"/>
      <c r="N3015" s="25"/>
      <c r="O3015" s="25"/>
      <c r="P3015" s="25"/>
      <c r="Q3015" s="25"/>
      <c r="R3015" s="25"/>
      <c r="S3015" s="25"/>
      <c r="T3015" s="25"/>
      <c r="U3015" s="25"/>
      <c r="V3015" s="25"/>
      <c r="W3015" s="25"/>
      <c r="X3015" s="25"/>
      <c r="Y3015" s="25"/>
      <c r="Z3015" s="25"/>
    </row>
    <row r="3016" spans="1:26" ht="15.75" customHeight="1" x14ac:dyDescent="0.75">
      <c r="A3016" s="43" t="s">
        <v>0</v>
      </c>
      <c r="B3016" s="40"/>
      <c r="C3016" s="40"/>
      <c r="D3016" s="40"/>
      <c r="E3016" s="40"/>
      <c r="F3016" s="40"/>
      <c r="G3016" s="40"/>
      <c r="H3016" s="41"/>
      <c r="I3016" s="24" t="s">
        <v>418</v>
      </c>
      <c r="J3016" s="25"/>
      <c r="K3016" s="25"/>
      <c r="L3016" s="25"/>
      <c r="M3016" s="25"/>
      <c r="N3016" s="25"/>
      <c r="O3016" s="25"/>
      <c r="P3016" s="25"/>
      <c r="Q3016" s="25"/>
      <c r="R3016" s="25"/>
      <c r="S3016" s="25"/>
      <c r="T3016" s="25"/>
      <c r="U3016" s="25"/>
      <c r="V3016" s="25"/>
      <c r="W3016" s="25"/>
      <c r="X3016" s="25"/>
      <c r="Y3016" s="25"/>
      <c r="Z3016" s="25"/>
    </row>
    <row r="3017" spans="1:26" ht="15.75" customHeight="1" x14ac:dyDescent="0.75">
      <c r="A3017" s="43" t="s">
        <v>453</v>
      </c>
      <c r="B3017" s="40"/>
      <c r="C3017" s="40"/>
      <c r="D3017" s="40"/>
      <c r="E3017" s="40"/>
      <c r="F3017" s="40"/>
      <c r="G3017" s="40"/>
      <c r="H3017" s="41"/>
      <c r="I3017" s="24" t="s">
        <v>418</v>
      </c>
      <c r="J3017" s="25"/>
      <c r="K3017" s="25"/>
      <c r="L3017" s="25"/>
      <c r="M3017" s="25"/>
      <c r="N3017" s="25"/>
      <c r="O3017" s="25"/>
      <c r="P3017" s="25"/>
      <c r="Q3017" s="25"/>
      <c r="R3017" s="25"/>
      <c r="S3017" s="25"/>
      <c r="T3017" s="25"/>
      <c r="U3017" s="25"/>
      <c r="V3017" s="25"/>
      <c r="W3017" s="25"/>
      <c r="X3017" s="25"/>
      <c r="Y3017" s="25"/>
      <c r="Z3017" s="25"/>
    </row>
    <row r="3018" spans="1:26" ht="15.75" customHeight="1" x14ac:dyDescent="0.55000000000000004">
      <c r="A3018" s="2" t="s">
        <v>3</v>
      </c>
      <c r="B3018" s="2" t="s">
        <v>4</v>
      </c>
      <c r="C3018" s="2" t="s">
        <v>5</v>
      </c>
      <c r="D3018" s="2" t="s">
        <v>6</v>
      </c>
      <c r="E3018" s="2" t="s">
        <v>7</v>
      </c>
      <c r="F3018" s="3" t="s">
        <v>8</v>
      </c>
      <c r="G3018" s="2" t="s">
        <v>9</v>
      </c>
      <c r="H3018" s="26"/>
      <c r="I3018" s="24" t="s">
        <v>418</v>
      </c>
      <c r="J3018" s="25"/>
      <c r="K3018" s="25"/>
      <c r="L3018" s="25"/>
      <c r="M3018" s="25"/>
      <c r="N3018" s="25"/>
      <c r="O3018" s="25"/>
      <c r="P3018" s="25"/>
      <c r="Q3018" s="25"/>
      <c r="R3018" s="25"/>
      <c r="S3018" s="25"/>
      <c r="T3018" s="25"/>
      <c r="U3018" s="25"/>
      <c r="V3018" s="25"/>
      <c r="W3018" s="25"/>
      <c r="X3018" s="25"/>
      <c r="Y3018" s="25"/>
      <c r="Z3018" s="25"/>
    </row>
    <row r="3019" spans="1:26" ht="15.75" customHeight="1" x14ac:dyDescent="0.75">
      <c r="A3019" s="5">
        <v>1</v>
      </c>
      <c r="B3019" s="27" t="s">
        <v>423</v>
      </c>
      <c r="C3019" s="28" t="s">
        <v>454</v>
      </c>
      <c r="D3019" s="27" t="s">
        <v>12</v>
      </c>
      <c r="E3019" s="27">
        <v>0.8</v>
      </c>
      <c r="F3019" s="8">
        <v>293000</v>
      </c>
      <c r="G3019" s="9">
        <f t="shared" ref="G3019:G3021" si="186">IFERROR(E3019*F3019,0)</f>
        <v>234400</v>
      </c>
      <c r="H3019" s="29"/>
      <c r="I3019" s="24" t="s">
        <v>418</v>
      </c>
      <c r="J3019" s="25"/>
      <c r="K3019" s="25"/>
      <c r="L3019" s="25"/>
      <c r="M3019" s="25"/>
      <c r="N3019" s="25"/>
      <c r="O3019" s="25"/>
      <c r="P3019" s="25"/>
      <c r="Q3019" s="25"/>
      <c r="R3019" s="25"/>
      <c r="S3019" s="25"/>
      <c r="T3019" s="25"/>
      <c r="U3019" s="25"/>
      <c r="V3019" s="25"/>
      <c r="W3019" s="25"/>
      <c r="X3019" s="25"/>
      <c r="Y3019" s="25"/>
      <c r="Z3019" s="25"/>
    </row>
    <row r="3020" spans="1:26" ht="15.75" customHeight="1" x14ac:dyDescent="0.75">
      <c r="A3020" s="5">
        <v>2</v>
      </c>
      <c r="B3020" s="30" t="s">
        <v>455</v>
      </c>
      <c r="C3020" s="31" t="s">
        <v>456</v>
      </c>
      <c r="D3020" s="30" t="s">
        <v>14</v>
      </c>
      <c r="E3020" s="30">
        <v>2.9</v>
      </c>
      <c r="F3020" s="11">
        <v>435000</v>
      </c>
      <c r="G3020" s="9">
        <f t="shared" si="186"/>
        <v>1261500</v>
      </c>
      <c r="H3020" s="29"/>
      <c r="I3020" s="24" t="s">
        <v>418</v>
      </c>
      <c r="J3020" s="25"/>
      <c r="K3020" s="25"/>
      <c r="L3020" s="25"/>
      <c r="M3020" s="25"/>
      <c r="N3020" s="25"/>
      <c r="O3020" s="25"/>
      <c r="P3020" s="25"/>
      <c r="Q3020" s="25"/>
      <c r="R3020" s="25"/>
      <c r="S3020" s="25"/>
      <c r="T3020" s="25"/>
      <c r="U3020" s="25"/>
      <c r="V3020" s="25"/>
      <c r="W3020" s="25"/>
      <c r="X3020" s="25"/>
      <c r="Y3020" s="25"/>
      <c r="Z3020" s="25"/>
    </row>
    <row r="3021" spans="1:26" ht="15.75" customHeight="1" x14ac:dyDescent="0.75">
      <c r="A3021" s="5">
        <v>3</v>
      </c>
      <c r="B3021" s="12" t="s">
        <v>15</v>
      </c>
      <c r="C3021" s="29"/>
      <c r="D3021" s="29"/>
      <c r="E3021" s="29"/>
      <c r="F3021" s="29"/>
      <c r="G3021" s="13">
        <f t="shared" si="186"/>
        <v>0</v>
      </c>
      <c r="H3021" s="29"/>
      <c r="I3021" s="24" t="s">
        <v>418</v>
      </c>
      <c r="J3021" s="25"/>
      <c r="K3021" s="25"/>
      <c r="L3021" s="25"/>
      <c r="M3021" s="25"/>
      <c r="N3021" s="25"/>
      <c r="O3021" s="25"/>
      <c r="P3021" s="25"/>
      <c r="Q3021" s="25"/>
      <c r="R3021" s="25"/>
      <c r="S3021" s="25"/>
      <c r="T3021" s="25"/>
      <c r="U3021" s="25"/>
      <c r="V3021" s="25"/>
      <c r="W3021" s="25"/>
      <c r="X3021" s="25"/>
      <c r="Y3021" s="25"/>
      <c r="Z3021" s="25"/>
    </row>
    <row r="3022" spans="1:26" ht="15.75" customHeight="1" x14ac:dyDescent="0.75">
      <c r="A3022" s="39" t="s">
        <v>16</v>
      </c>
      <c r="B3022" s="40"/>
      <c r="C3022" s="40"/>
      <c r="D3022" s="40"/>
      <c r="E3022" s="40"/>
      <c r="F3022" s="40"/>
      <c r="G3022" s="41"/>
      <c r="H3022" s="14">
        <f>SUM(G3019:G3021)</f>
        <v>1495900</v>
      </c>
      <c r="I3022" s="24" t="s">
        <v>418</v>
      </c>
      <c r="J3022" s="25"/>
      <c r="K3022" s="25"/>
      <c r="L3022" s="25"/>
      <c r="M3022" s="25"/>
      <c r="N3022" s="25"/>
      <c r="O3022" s="25"/>
      <c r="P3022" s="25"/>
      <c r="Q3022" s="25"/>
      <c r="R3022" s="25"/>
      <c r="S3022" s="25"/>
      <c r="T3022" s="25"/>
      <c r="U3022" s="25"/>
      <c r="V3022" s="25"/>
      <c r="W3022" s="25"/>
      <c r="X3022" s="25"/>
      <c r="Y3022" s="25"/>
      <c r="Z3022" s="25"/>
    </row>
    <row r="3023" spans="1:26" ht="15.75" customHeight="1" x14ac:dyDescent="0.75">
      <c r="A3023" s="39" t="s">
        <v>17</v>
      </c>
      <c r="B3023" s="40"/>
      <c r="C3023" s="40"/>
      <c r="D3023" s="40"/>
      <c r="E3023" s="40"/>
      <c r="F3023" s="40"/>
      <c r="G3023" s="41"/>
      <c r="H3023" s="14">
        <f>MAX(0,H3022-648000)</f>
        <v>847900</v>
      </c>
      <c r="I3023" s="24" t="s">
        <v>418</v>
      </c>
      <c r="J3023" s="25"/>
      <c r="K3023" s="25"/>
      <c r="L3023" s="25"/>
      <c r="M3023" s="25"/>
      <c r="N3023" s="25"/>
      <c r="O3023" s="25"/>
      <c r="P3023" s="25"/>
      <c r="Q3023" s="25"/>
      <c r="R3023" s="25"/>
      <c r="S3023" s="25"/>
      <c r="T3023" s="25"/>
      <c r="U3023" s="25"/>
      <c r="V3023" s="25"/>
      <c r="W3023" s="25"/>
      <c r="X3023" s="25"/>
      <c r="Y3023" s="25"/>
      <c r="Z3023" s="25"/>
    </row>
    <row r="3024" spans="1:26" ht="15.75" customHeight="1" x14ac:dyDescent="0.75">
      <c r="A3024" s="42" t="s">
        <v>18</v>
      </c>
      <c r="B3024" s="40"/>
      <c r="C3024" s="40"/>
      <c r="D3024" s="40"/>
      <c r="E3024" s="40"/>
      <c r="F3024" s="40"/>
      <c r="G3024" s="41"/>
      <c r="H3024" s="15">
        <v>649000</v>
      </c>
      <c r="I3024" s="24" t="s">
        <v>418</v>
      </c>
      <c r="J3024" s="25"/>
      <c r="K3024" s="25"/>
      <c r="L3024" s="25"/>
      <c r="M3024" s="25"/>
      <c r="N3024" s="25"/>
      <c r="O3024" s="25"/>
      <c r="P3024" s="25"/>
      <c r="Q3024" s="25"/>
      <c r="R3024" s="25"/>
      <c r="S3024" s="25"/>
      <c r="T3024" s="25"/>
      <c r="U3024" s="25"/>
      <c r="V3024" s="25"/>
      <c r="W3024" s="25"/>
      <c r="X3024" s="25"/>
      <c r="Y3024" s="25"/>
      <c r="Z3024" s="25"/>
    </row>
    <row r="3025" spans="1:26" ht="15.75" customHeight="1" x14ac:dyDescent="0.75">
      <c r="A3025" s="43" t="s">
        <v>19</v>
      </c>
      <c r="B3025" s="40"/>
      <c r="C3025" s="40"/>
      <c r="D3025" s="40"/>
      <c r="E3025" s="40"/>
      <c r="F3025" s="40"/>
      <c r="G3025" s="40"/>
      <c r="H3025" s="41"/>
      <c r="I3025" s="24" t="s">
        <v>418</v>
      </c>
      <c r="J3025" s="25"/>
      <c r="K3025" s="25"/>
      <c r="L3025" s="25"/>
      <c r="M3025" s="25"/>
      <c r="N3025" s="25"/>
      <c r="O3025" s="25"/>
      <c r="P3025" s="25"/>
      <c r="Q3025" s="25"/>
      <c r="R3025" s="25"/>
      <c r="S3025" s="25"/>
      <c r="T3025" s="25"/>
      <c r="U3025" s="25"/>
      <c r="V3025" s="25"/>
      <c r="W3025" s="25"/>
      <c r="X3025" s="25"/>
      <c r="Y3025" s="25"/>
      <c r="Z3025" s="25"/>
    </row>
    <row r="3026" spans="1:26" ht="15.75" customHeight="1" x14ac:dyDescent="0.45">
      <c r="A3026" s="25"/>
      <c r="B3026" s="25"/>
      <c r="C3026" s="25"/>
      <c r="D3026" s="25"/>
      <c r="E3026" s="25"/>
      <c r="F3026" s="25"/>
      <c r="G3026" s="25"/>
      <c r="H3026" s="25"/>
      <c r="I3026" s="24" t="s">
        <v>418</v>
      </c>
      <c r="J3026" s="25"/>
      <c r="K3026" s="25"/>
      <c r="L3026" s="25"/>
      <c r="M3026" s="25"/>
      <c r="N3026" s="25"/>
      <c r="O3026" s="25"/>
      <c r="P3026" s="25"/>
      <c r="Q3026" s="25"/>
      <c r="R3026" s="25"/>
      <c r="S3026" s="25"/>
      <c r="T3026" s="25"/>
      <c r="U3026" s="25"/>
      <c r="V3026" s="25"/>
      <c r="W3026" s="25"/>
      <c r="X3026" s="25"/>
      <c r="Y3026" s="25"/>
      <c r="Z3026" s="25"/>
    </row>
    <row r="3027" spans="1:26" ht="15.75" customHeight="1" x14ac:dyDescent="0.45">
      <c r="A3027" s="25"/>
      <c r="B3027" s="25"/>
      <c r="C3027" s="25"/>
      <c r="D3027" s="25"/>
      <c r="E3027" s="25"/>
      <c r="F3027" s="25"/>
      <c r="G3027" s="25"/>
      <c r="H3027" s="25"/>
      <c r="I3027" s="24" t="s">
        <v>418</v>
      </c>
      <c r="J3027" s="25"/>
      <c r="K3027" s="25"/>
      <c r="L3027" s="25"/>
      <c r="M3027" s="25"/>
      <c r="N3027" s="25"/>
      <c r="O3027" s="25"/>
      <c r="P3027" s="25"/>
      <c r="Q3027" s="25"/>
      <c r="R3027" s="25"/>
      <c r="S3027" s="25"/>
      <c r="T3027" s="25"/>
      <c r="U3027" s="25"/>
      <c r="V3027" s="25"/>
      <c r="W3027" s="25"/>
      <c r="X3027" s="25"/>
      <c r="Y3027" s="25"/>
      <c r="Z3027" s="25"/>
    </row>
    <row r="3028" spans="1:26" ht="15.75" customHeight="1" x14ac:dyDescent="0.45">
      <c r="A3028" s="25"/>
      <c r="B3028" s="25"/>
      <c r="C3028" s="25"/>
      <c r="D3028" s="25"/>
      <c r="E3028" s="25"/>
      <c r="F3028" s="25"/>
      <c r="G3028" s="25"/>
      <c r="H3028" s="25"/>
      <c r="I3028" s="24" t="s">
        <v>418</v>
      </c>
      <c r="J3028" s="25"/>
      <c r="K3028" s="25"/>
      <c r="L3028" s="25"/>
      <c r="M3028" s="25"/>
      <c r="N3028" s="25"/>
      <c r="O3028" s="25"/>
      <c r="P3028" s="25"/>
      <c r="Q3028" s="25"/>
      <c r="R3028" s="25"/>
      <c r="S3028" s="25"/>
      <c r="T3028" s="25"/>
      <c r="U3028" s="25"/>
      <c r="V3028" s="25"/>
      <c r="W3028" s="25"/>
      <c r="X3028" s="25"/>
      <c r="Y3028" s="25"/>
      <c r="Z3028" s="25"/>
    </row>
    <row r="3029" spans="1:26" ht="15.75" customHeight="1" x14ac:dyDescent="0.45">
      <c r="A3029" s="25"/>
      <c r="B3029" s="25"/>
      <c r="C3029" s="25"/>
      <c r="D3029" s="25"/>
      <c r="E3029" s="25"/>
      <c r="F3029" s="25"/>
      <c r="G3029" s="25"/>
      <c r="H3029" s="25"/>
      <c r="I3029" s="24" t="s">
        <v>418</v>
      </c>
      <c r="J3029" s="25"/>
      <c r="K3029" s="25"/>
      <c r="L3029" s="25"/>
      <c r="M3029" s="25"/>
      <c r="N3029" s="25"/>
      <c r="O3029" s="25"/>
      <c r="P3029" s="25"/>
      <c r="Q3029" s="25"/>
      <c r="R3029" s="25"/>
      <c r="S3029" s="25"/>
      <c r="T3029" s="25"/>
      <c r="U3029" s="25"/>
      <c r="V3029" s="25"/>
      <c r="W3029" s="25"/>
      <c r="X3029" s="25"/>
      <c r="Y3029" s="25"/>
      <c r="Z3029" s="25"/>
    </row>
    <row r="3030" spans="1:26" ht="15.75" customHeight="1" x14ac:dyDescent="0.45">
      <c r="A3030" s="25"/>
      <c r="B3030" s="25"/>
      <c r="C3030" s="25"/>
      <c r="D3030" s="25"/>
      <c r="E3030" s="25"/>
      <c r="F3030" s="25"/>
      <c r="G3030" s="25"/>
      <c r="H3030" s="25"/>
      <c r="I3030" s="24" t="s">
        <v>418</v>
      </c>
      <c r="J3030" s="25"/>
      <c r="K3030" s="25"/>
      <c r="L3030" s="25"/>
      <c r="M3030" s="25"/>
      <c r="N3030" s="25"/>
      <c r="O3030" s="25"/>
      <c r="P3030" s="25"/>
      <c r="Q3030" s="25"/>
      <c r="R3030" s="25"/>
      <c r="S3030" s="25"/>
      <c r="T3030" s="25"/>
      <c r="U3030" s="25"/>
      <c r="V3030" s="25"/>
      <c r="W3030" s="25"/>
      <c r="X3030" s="25"/>
      <c r="Y3030" s="25"/>
      <c r="Z3030" s="25"/>
    </row>
    <row r="3031" spans="1:26" ht="15.75" customHeight="1" x14ac:dyDescent="0.45">
      <c r="A3031" s="25"/>
      <c r="B3031" s="25"/>
      <c r="C3031" s="25"/>
      <c r="D3031" s="25"/>
      <c r="E3031" s="25"/>
      <c r="F3031" s="25"/>
      <c r="G3031" s="25"/>
      <c r="H3031" s="25"/>
      <c r="I3031" s="24" t="s">
        <v>418</v>
      </c>
      <c r="J3031" s="25"/>
      <c r="K3031" s="25"/>
      <c r="L3031" s="25"/>
      <c r="M3031" s="25"/>
      <c r="N3031" s="25"/>
      <c r="O3031" s="25"/>
      <c r="P3031" s="25"/>
      <c r="Q3031" s="25"/>
      <c r="R3031" s="25"/>
      <c r="S3031" s="25"/>
      <c r="T3031" s="25"/>
      <c r="U3031" s="25"/>
      <c r="V3031" s="25"/>
      <c r="W3031" s="25"/>
      <c r="X3031" s="25"/>
      <c r="Y3031" s="25"/>
      <c r="Z3031" s="25"/>
    </row>
    <row r="3032" spans="1:26" ht="15.75" customHeight="1" x14ac:dyDescent="0.75">
      <c r="A3032" s="43" t="s">
        <v>0</v>
      </c>
      <c r="B3032" s="40"/>
      <c r="C3032" s="40"/>
      <c r="D3032" s="40"/>
      <c r="E3032" s="40"/>
      <c r="F3032" s="40"/>
      <c r="G3032" s="40"/>
      <c r="H3032" s="41"/>
      <c r="I3032" s="24" t="s">
        <v>418</v>
      </c>
      <c r="J3032" s="25"/>
      <c r="K3032" s="25"/>
      <c r="L3032" s="25"/>
      <c r="M3032" s="25"/>
      <c r="N3032" s="25"/>
      <c r="O3032" s="25"/>
      <c r="P3032" s="25"/>
      <c r="Q3032" s="25"/>
      <c r="R3032" s="25"/>
      <c r="S3032" s="25"/>
      <c r="T3032" s="25"/>
      <c r="U3032" s="25"/>
      <c r="V3032" s="25"/>
      <c r="W3032" s="25"/>
      <c r="X3032" s="25"/>
      <c r="Y3032" s="25"/>
      <c r="Z3032" s="25"/>
    </row>
    <row r="3033" spans="1:26" ht="15.75" customHeight="1" x14ac:dyDescent="0.75">
      <c r="A3033" s="43" t="s">
        <v>457</v>
      </c>
      <c r="B3033" s="40"/>
      <c r="C3033" s="40"/>
      <c r="D3033" s="40"/>
      <c r="E3033" s="40"/>
      <c r="F3033" s="40"/>
      <c r="G3033" s="40"/>
      <c r="H3033" s="41"/>
      <c r="I3033" s="24" t="s">
        <v>418</v>
      </c>
      <c r="J3033" s="25"/>
      <c r="K3033" s="25"/>
      <c r="L3033" s="25"/>
      <c r="M3033" s="25"/>
      <c r="N3033" s="25"/>
      <c r="O3033" s="25"/>
      <c r="P3033" s="25"/>
      <c r="Q3033" s="25"/>
      <c r="R3033" s="25"/>
      <c r="S3033" s="25"/>
      <c r="T3033" s="25"/>
      <c r="U3033" s="25"/>
      <c r="V3033" s="25"/>
      <c r="W3033" s="25"/>
      <c r="X3033" s="25"/>
      <c r="Y3033" s="25"/>
      <c r="Z3033" s="25"/>
    </row>
    <row r="3034" spans="1:26" ht="15.75" customHeight="1" x14ac:dyDescent="0.55000000000000004">
      <c r="A3034" s="2" t="s">
        <v>3</v>
      </c>
      <c r="B3034" s="2" t="s">
        <v>4</v>
      </c>
      <c r="C3034" s="2" t="s">
        <v>5</v>
      </c>
      <c r="D3034" s="2" t="s">
        <v>6</v>
      </c>
      <c r="E3034" s="2" t="s">
        <v>7</v>
      </c>
      <c r="F3034" s="3" t="s">
        <v>8</v>
      </c>
      <c r="G3034" s="2" t="s">
        <v>9</v>
      </c>
      <c r="H3034" s="26"/>
      <c r="I3034" s="24" t="s">
        <v>418</v>
      </c>
      <c r="J3034" s="25"/>
      <c r="K3034" s="25"/>
      <c r="L3034" s="25"/>
      <c r="M3034" s="25"/>
      <c r="N3034" s="25"/>
      <c r="O3034" s="25"/>
      <c r="P3034" s="25"/>
      <c r="Q3034" s="25"/>
      <c r="R3034" s="25"/>
      <c r="S3034" s="25"/>
      <c r="T3034" s="25"/>
      <c r="U3034" s="25"/>
      <c r="V3034" s="25"/>
      <c r="W3034" s="25"/>
      <c r="X3034" s="25"/>
      <c r="Y3034" s="25"/>
      <c r="Z3034" s="25"/>
    </row>
    <row r="3035" spans="1:26" ht="15.75" customHeight="1" x14ac:dyDescent="0.75">
      <c r="A3035" s="5">
        <v>1</v>
      </c>
      <c r="B3035" s="27" t="s">
        <v>185</v>
      </c>
      <c r="C3035" s="28" t="s">
        <v>458</v>
      </c>
      <c r="D3035" s="27" t="s">
        <v>12</v>
      </c>
      <c r="E3035" s="27">
        <v>1.5</v>
      </c>
      <c r="F3035" s="8">
        <v>293000</v>
      </c>
      <c r="G3035" s="9">
        <f t="shared" ref="G3035:G3037" si="187">IFERROR(E3035*F3035,0)</f>
        <v>439500</v>
      </c>
      <c r="H3035" s="29"/>
      <c r="I3035" s="24" t="s">
        <v>418</v>
      </c>
      <c r="J3035" s="25"/>
      <c r="K3035" s="25"/>
      <c r="L3035" s="25"/>
      <c r="M3035" s="25"/>
      <c r="N3035" s="25"/>
      <c r="O3035" s="25"/>
      <c r="P3035" s="25"/>
      <c r="Q3035" s="25"/>
      <c r="R3035" s="25"/>
      <c r="S3035" s="25"/>
      <c r="T3035" s="25"/>
      <c r="U3035" s="25"/>
      <c r="V3035" s="25"/>
      <c r="W3035" s="25"/>
      <c r="X3035" s="25"/>
      <c r="Y3035" s="25"/>
      <c r="Z3035" s="25"/>
    </row>
    <row r="3036" spans="1:26" ht="15.75" customHeight="1" x14ac:dyDescent="0.75">
      <c r="A3036" s="5">
        <v>2</v>
      </c>
      <c r="B3036" s="30" t="s">
        <v>459</v>
      </c>
      <c r="C3036" s="31" t="s">
        <v>460</v>
      </c>
      <c r="D3036" s="30" t="s">
        <v>14</v>
      </c>
      <c r="E3036" s="30">
        <v>1.94</v>
      </c>
      <c r="F3036" s="11">
        <v>435000</v>
      </c>
      <c r="G3036" s="9">
        <f t="shared" si="187"/>
        <v>843900</v>
      </c>
      <c r="H3036" s="29"/>
      <c r="I3036" s="24" t="s">
        <v>418</v>
      </c>
      <c r="J3036" s="25"/>
      <c r="K3036" s="25"/>
      <c r="L3036" s="25"/>
      <c r="M3036" s="25"/>
      <c r="N3036" s="25"/>
      <c r="O3036" s="25"/>
      <c r="P3036" s="25"/>
      <c r="Q3036" s="25"/>
      <c r="R3036" s="25"/>
      <c r="S3036" s="25"/>
      <c r="T3036" s="25"/>
      <c r="U3036" s="25"/>
      <c r="V3036" s="25"/>
      <c r="W3036" s="25"/>
      <c r="X3036" s="25"/>
      <c r="Y3036" s="25"/>
      <c r="Z3036" s="25"/>
    </row>
    <row r="3037" spans="1:26" ht="15.75" customHeight="1" x14ac:dyDescent="0.75">
      <c r="A3037" s="5">
        <v>3</v>
      </c>
      <c r="B3037" s="12" t="s">
        <v>15</v>
      </c>
      <c r="C3037" s="29"/>
      <c r="D3037" s="29"/>
      <c r="E3037" s="29"/>
      <c r="F3037" s="29"/>
      <c r="G3037" s="13">
        <f t="shared" si="187"/>
        <v>0</v>
      </c>
      <c r="H3037" s="29"/>
      <c r="I3037" s="24" t="s">
        <v>418</v>
      </c>
      <c r="J3037" s="25"/>
      <c r="K3037" s="25"/>
      <c r="L3037" s="25"/>
      <c r="M3037" s="25"/>
      <c r="N3037" s="25"/>
      <c r="O3037" s="25"/>
      <c r="P3037" s="25"/>
      <c r="Q3037" s="25"/>
      <c r="R3037" s="25"/>
      <c r="S3037" s="25"/>
      <c r="T3037" s="25"/>
      <c r="U3037" s="25"/>
      <c r="V3037" s="25"/>
      <c r="W3037" s="25"/>
      <c r="X3037" s="25"/>
      <c r="Y3037" s="25"/>
      <c r="Z3037" s="25"/>
    </row>
    <row r="3038" spans="1:26" ht="15.75" customHeight="1" x14ac:dyDescent="0.75">
      <c r="A3038" s="39" t="s">
        <v>16</v>
      </c>
      <c r="B3038" s="40"/>
      <c r="C3038" s="40"/>
      <c r="D3038" s="40"/>
      <c r="E3038" s="40"/>
      <c r="F3038" s="40"/>
      <c r="G3038" s="41"/>
      <c r="H3038" s="14">
        <f>SUM(G3035:G3037)</f>
        <v>1283400</v>
      </c>
      <c r="I3038" s="24" t="s">
        <v>418</v>
      </c>
      <c r="J3038" s="25"/>
      <c r="K3038" s="25"/>
      <c r="L3038" s="25"/>
      <c r="M3038" s="25"/>
      <c r="N3038" s="25"/>
      <c r="O3038" s="25"/>
      <c r="P3038" s="25"/>
      <c r="Q3038" s="25"/>
      <c r="R3038" s="25"/>
      <c r="S3038" s="25"/>
      <c r="T3038" s="25"/>
      <c r="U3038" s="25"/>
      <c r="V3038" s="25"/>
      <c r="W3038" s="25"/>
      <c r="X3038" s="25"/>
      <c r="Y3038" s="25"/>
      <c r="Z3038" s="25"/>
    </row>
    <row r="3039" spans="1:26" ht="15.75" customHeight="1" x14ac:dyDescent="0.75">
      <c r="A3039" s="39" t="s">
        <v>17</v>
      </c>
      <c r="B3039" s="40"/>
      <c r="C3039" s="40"/>
      <c r="D3039" s="40"/>
      <c r="E3039" s="40"/>
      <c r="F3039" s="40"/>
      <c r="G3039" s="41"/>
      <c r="H3039" s="14">
        <f>MAX(0,H3038-648000)</f>
        <v>635400</v>
      </c>
      <c r="I3039" s="24" t="s">
        <v>418</v>
      </c>
      <c r="J3039" s="25"/>
      <c r="K3039" s="25"/>
      <c r="L3039" s="25"/>
      <c r="M3039" s="25"/>
      <c r="N3039" s="25"/>
      <c r="O3039" s="25"/>
      <c r="P3039" s="25"/>
      <c r="Q3039" s="25"/>
      <c r="R3039" s="25"/>
      <c r="S3039" s="25"/>
      <c r="T3039" s="25"/>
      <c r="U3039" s="25"/>
      <c r="V3039" s="25"/>
      <c r="W3039" s="25"/>
      <c r="X3039" s="25"/>
      <c r="Y3039" s="25"/>
      <c r="Z3039" s="25"/>
    </row>
    <row r="3040" spans="1:26" ht="15.75" customHeight="1" x14ac:dyDescent="0.75">
      <c r="A3040" s="42" t="s">
        <v>18</v>
      </c>
      <c r="B3040" s="40"/>
      <c r="C3040" s="40"/>
      <c r="D3040" s="40"/>
      <c r="E3040" s="40"/>
      <c r="F3040" s="40"/>
      <c r="G3040" s="41"/>
      <c r="H3040" s="15">
        <v>649000</v>
      </c>
      <c r="I3040" s="24" t="s">
        <v>418</v>
      </c>
      <c r="J3040" s="25"/>
      <c r="K3040" s="25"/>
      <c r="L3040" s="25"/>
      <c r="M3040" s="25"/>
      <c r="N3040" s="25"/>
      <c r="O3040" s="25"/>
      <c r="P3040" s="25"/>
      <c r="Q3040" s="25"/>
      <c r="R3040" s="25"/>
      <c r="S3040" s="25"/>
      <c r="T3040" s="25"/>
      <c r="U3040" s="25"/>
      <c r="V3040" s="25"/>
      <c r="W3040" s="25"/>
      <c r="X3040" s="25"/>
      <c r="Y3040" s="25"/>
      <c r="Z3040" s="25"/>
    </row>
    <row r="3041" spans="1:26" ht="15.75" customHeight="1" x14ac:dyDescent="0.75">
      <c r="A3041" s="43" t="s">
        <v>19</v>
      </c>
      <c r="B3041" s="40"/>
      <c r="C3041" s="40"/>
      <c r="D3041" s="40"/>
      <c r="E3041" s="40"/>
      <c r="F3041" s="40"/>
      <c r="G3041" s="40"/>
      <c r="H3041" s="41"/>
      <c r="I3041" s="24" t="s">
        <v>418</v>
      </c>
      <c r="J3041" s="25"/>
      <c r="K3041" s="25"/>
      <c r="L3041" s="25"/>
      <c r="M3041" s="25"/>
      <c r="N3041" s="25"/>
      <c r="O3041" s="25"/>
      <c r="P3041" s="25"/>
      <c r="Q3041" s="25"/>
      <c r="R3041" s="25"/>
      <c r="S3041" s="25"/>
      <c r="T3041" s="25"/>
      <c r="U3041" s="25"/>
      <c r="V3041" s="25"/>
      <c r="W3041" s="25"/>
      <c r="X3041" s="25"/>
      <c r="Y3041" s="25"/>
      <c r="Z3041" s="25"/>
    </row>
    <row r="3042" spans="1:26" ht="15.75" customHeight="1" x14ac:dyDescent="0.45">
      <c r="A3042" s="25"/>
      <c r="B3042" s="25"/>
      <c r="C3042" s="25"/>
      <c r="D3042" s="25"/>
      <c r="E3042" s="25"/>
      <c r="F3042" s="25"/>
      <c r="G3042" s="25"/>
      <c r="H3042" s="25"/>
      <c r="I3042" s="24" t="s">
        <v>418</v>
      </c>
      <c r="J3042" s="25"/>
      <c r="K3042" s="25"/>
      <c r="L3042" s="25"/>
      <c r="M3042" s="25"/>
      <c r="N3042" s="25"/>
      <c r="O3042" s="25"/>
      <c r="P3042" s="25"/>
      <c r="Q3042" s="25"/>
      <c r="R3042" s="25"/>
      <c r="S3042" s="25"/>
      <c r="T3042" s="25"/>
      <c r="U3042" s="25"/>
      <c r="V3042" s="25"/>
      <c r="W3042" s="25"/>
      <c r="X3042" s="25"/>
      <c r="Y3042" s="25"/>
      <c r="Z3042" s="25"/>
    </row>
    <row r="3043" spans="1:26" ht="15.75" customHeight="1" x14ac:dyDescent="0.45">
      <c r="A3043" s="25"/>
      <c r="B3043" s="25"/>
      <c r="C3043" s="25"/>
      <c r="D3043" s="25"/>
      <c r="E3043" s="25"/>
      <c r="F3043" s="25"/>
      <c r="G3043" s="25"/>
      <c r="H3043" s="25"/>
      <c r="I3043" s="24" t="s">
        <v>418</v>
      </c>
      <c r="J3043" s="25"/>
      <c r="K3043" s="25"/>
      <c r="L3043" s="25"/>
      <c r="M3043" s="25"/>
      <c r="N3043" s="25"/>
      <c r="O3043" s="25"/>
      <c r="P3043" s="25"/>
      <c r="Q3043" s="25"/>
      <c r="R3043" s="25"/>
      <c r="S3043" s="25"/>
      <c r="T3043" s="25"/>
      <c r="U3043" s="25"/>
      <c r="V3043" s="25"/>
      <c r="W3043" s="25"/>
      <c r="X3043" s="25"/>
      <c r="Y3043" s="25"/>
      <c r="Z3043" s="25"/>
    </row>
    <row r="3044" spans="1:26" ht="15.75" customHeight="1" x14ac:dyDescent="0.45">
      <c r="A3044" s="25"/>
      <c r="B3044" s="25"/>
      <c r="C3044" s="25"/>
      <c r="D3044" s="25"/>
      <c r="E3044" s="25"/>
      <c r="F3044" s="25"/>
      <c r="G3044" s="25"/>
      <c r="H3044" s="25"/>
      <c r="I3044" s="24" t="s">
        <v>418</v>
      </c>
      <c r="J3044" s="25"/>
      <c r="K3044" s="25"/>
      <c r="L3044" s="25"/>
      <c r="M3044" s="25"/>
      <c r="N3044" s="25"/>
      <c r="O3044" s="25"/>
      <c r="P3044" s="25"/>
      <c r="Q3044" s="25"/>
      <c r="R3044" s="25"/>
      <c r="S3044" s="25"/>
      <c r="T3044" s="25"/>
      <c r="U3044" s="25"/>
      <c r="V3044" s="25"/>
      <c r="W3044" s="25"/>
      <c r="X3044" s="25"/>
      <c r="Y3044" s="25"/>
      <c r="Z3044" s="25"/>
    </row>
    <row r="3045" spans="1:26" ht="15.75" customHeight="1" x14ac:dyDescent="0.45">
      <c r="A3045" s="25"/>
      <c r="B3045" s="25"/>
      <c r="C3045" s="25"/>
      <c r="D3045" s="25"/>
      <c r="E3045" s="25"/>
      <c r="F3045" s="25"/>
      <c r="G3045" s="25"/>
      <c r="H3045" s="25"/>
      <c r="I3045" s="24" t="s">
        <v>418</v>
      </c>
      <c r="J3045" s="25"/>
      <c r="K3045" s="25"/>
      <c r="L3045" s="25"/>
      <c r="M3045" s="25"/>
      <c r="N3045" s="25"/>
      <c r="O3045" s="25"/>
      <c r="P3045" s="25"/>
      <c r="Q3045" s="25"/>
      <c r="R3045" s="25"/>
      <c r="S3045" s="25"/>
      <c r="T3045" s="25"/>
      <c r="U3045" s="25"/>
      <c r="V3045" s="25"/>
      <c r="W3045" s="25"/>
      <c r="X3045" s="25"/>
      <c r="Y3045" s="25"/>
      <c r="Z3045" s="25"/>
    </row>
    <row r="3046" spans="1:26" ht="15.75" customHeight="1" x14ac:dyDescent="0.45">
      <c r="A3046" s="25"/>
      <c r="B3046" s="25"/>
      <c r="C3046" s="25"/>
      <c r="D3046" s="25"/>
      <c r="E3046" s="25"/>
      <c r="F3046" s="25"/>
      <c r="G3046" s="25"/>
      <c r="H3046" s="25"/>
      <c r="I3046" s="24" t="s">
        <v>418</v>
      </c>
      <c r="J3046" s="25"/>
      <c r="K3046" s="25"/>
      <c r="L3046" s="25"/>
      <c r="M3046" s="25"/>
      <c r="N3046" s="25"/>
      <c r="O3046" s="25"/>
      <c r="P3046" s="25"/>
      <c r="Q3046" s="25"/>
      <c r="R3046" s="25"/>
      <c r="S3046" s="25"/>
      <c r="T3046" s="25"/>
      <c r="U3046" s="25"/>
      <c r="V3046" s="25"/>
      <c r="W3046" s="25"/>
      <c r="X3046" s="25"/>
      <c r="Y3046" s="25"/>
      <c r="Z3046" s="25"/>
    </row>
    <row r="3047" spans="1:26" ht="15.75" customHeight="1" x14ac:dyDescent="0.75">
      <c r="A3047" s="43" t="s">
        <v>0</v>
      </c>
      <c r="B3047" s="40"/>
      <c r="C3047" s="40"/>
      <c r="D3047" s="40"/>
      <c r="E3047" s="40"/>
      <c r="F3047" s="40"/>
      <c r="G3047" s="40"/>
      <c r="H3047" s="41"/>
      <c r="I3047" s="24" t="s">
        <v>418</v>
      </c>
      <c r="J3047" s="25"/>
      <c r="K3047" s="25"/>
      <c r="L3047" s="25"/>
      <c r="M3047" s="25"/>
      <c r="N3047" s="25"/>
      <c r="O3047" s="25"/>
      <c r="P3047" s="25"/>
      <c r="Q3047" s="25"/>
      <c r="R3047" s="25"/>
      <c r="S3047" s="25"/>
      <c r="T3047" s="25"/>
      <c r="U3047" s="25"/>
      <c r="V3047" s="25"/>
      <c r="W3047" s="25"/>
      <c r="X3047" s="25"/>
      <c r="Y3047" s="25"/>
      <c r="Z3047" s="25"/>
    </row>
    <row r="3048" spans="1:26" ht="15.75" customHeight="1" x14ac:dyDescent="0.75">
      <c r="A3048" s="43" t="s">
        <v>461</v>
      </c>
      <c r="B3048" s="40"/>
      <c r="C3048" s="40"/>
      <c r="D3048" s="40"/>
      <c r="E3048" s="40"/>
      <c r="F3048" s="40"/>
      <c r="G3048" s="40"/>
      <c r="H3048" s="41"/>
      <c r="I3048" s="24" t="s">
        <v>418</v>
      </c>
      <c r="J3048" s="25"/>
      <c r="K3048" s="25"/>
      <c r="L3048" s="25"/>
      <c r="M3048" s="25"/>
      <c r="N3048" s="25"/>
      <c r="O3048" s="25"/>
      <c r="P3048" s="25"/>
      <c r="Q3048" s="25"/>
      <c r="R3048" s="25"/>
      <c r="S3048" s="25"/>
      <c r="T3048" s="25"/>
      <c r="U3048" s="25"/>
      <c r="V3048" s="25"/>
      <c r="W3048" s="25"/>
      <c r="X3048" s="25"/>
      <c r="Y3048" s="25"/>
      <c r="Z3048" s="25"/>
    </row>
    <row r="3049" spans="1:26" ht="15.75" customHeight="1" x14ac:dyDescent="0.55000000000000004">
      <c r="A3049" s="2" t="s">
        <v>3</v>
      </c>
      <c r="B3049" s="2" t="s">
        <v>4</v>
      </c>
      <c r="C3049" s="2" t="s">
        <v>5</v>
      </c>
      <c r="D3049" s="2" t="s">
        <v>6</v>
      </c>
      <c r="E3049" s="2" t="s">
        <v>7</v>
      </c>
      <c r="F3049" s="3" t="s">
        <v>8</v>
      </c>
      <c r="G3049" s="2" t="s">
        <v>9</v>
      </c>
      <c r="H3049" s="26"/>
      <c r="I3049" s="24" t="s">
        <v>418</v>
      </c>
      <c r="J3049" s="25"/>
      <c r="K3049" s="25"/>
      <c r="L3049" s="25"/>
      <c r="M3049" s="25"/>
      <c r="N3049" s="25"/>
      <c r="O3049" s="25"/>
      <c r="P3049" s="25"/>
      <c r="Q3049" s="25"/>
      <c r="R3049" s="25"/>
      <c r="S3049" s="25"/>
      <c r="T3049" s="25"/>
      <c r="U3049" s="25"/>
      <c r="V3049" s="25"/>
      <c r="W3049" s="25"/>
      <c r="X3049" s="25"/>
      <c r="Y3049" s="25"/>
      <c r="Z3049" s="25"/>
    </row>
    <row r="3050" spans="1:26" ht="15.75" customHeight="1" x14ac:dyDescent="0.75">
      <c r="A3050" s="5">
        <v>1</v>
      </c>
      <c r="B3050" s="27" t="s">
        <v>177</v>
      </c>
      <c r="C3050" s="28" t="s">
        <v>462</v>
      </c>
      <c r="D3050" s="27" t="s">
        <v>12</v>
      </c>
      <c r="E3050" s="27">
        <v>2</v>
      </c>
      <c r="F3050" s="8">
        <v>293000</v>
      </c>
      <c r="G3050" s="9">
        <f t="shared" ref="G3050:G3052" si="188">IFERROR(E3050*F3050,0)</f>
        <v>586000</v>
      </c>
      <c r="H3050" s="29"/>
      <c r="I3050" s="24" t="s">
        <v>418</v>
      </c>
      <c r="J3050" s="25"/>
      <c r="K3050" s="25"/>
      <c r="L3050" s="25"/>
      <c r="M3050" s="25"/>
      <c r="N3050" s="25"/>
      <c r="O3050" s="25"/>
      <c r="P3050" s="25"/>
      <c r="Q3050" s="25"/>
      <c r="R3050" s="25"/>
      <c r="S3050" s="25"/>
      <c r="T3050" s="25"/>
      <c r="U3050" s="25"/>
      <c r="V3050" s="25"/>
      <c r="W3050" s="25"/>
      <c r="X3050" s="25"/>
      <c r="Y3050" s="25"/>
      <c r="Z3050" s="25"/>
    </row>
    <row r="3051" spans="1:26" ht="15.75" customHeight="1" x14ac:dyDescent="0.75">
      <c r="A3051" s="5">
        <v>2</v>
      </c>
      <c r="B3051" s="30" t="s">
        <v>315</v>
      </c>
      <c r="C3051" s="31" t="s">
        <v>463</v>
      </c>
      <c r="D3051" s="30" t="s">
        <v>14</v>
      </c>
      <c r="E3051" s="30">
        <v>1.42</v>
      </c>
      <c r="F3051" s="11">
        <v>435000</v>
      </c>
      <c r="G3051" s="9">
        <f t="shared" si="188"/>
        <v>617700</v>
      </c>
      <c r="H3051" s="29"/>
      <c r="I3051" s="24" t="s">
        <v>418</v>
      </c>
      <c r="J3051" s="25"/>
      <c r="K3051" s="25"/>
      <c r="L3051" s="25"/>
      <c r="M3051" s="25"/>
      <c r="N3051" s="25"/>
      <c r="O3051" s="25"/>
      <c r="P3051" s="25"/>
      <c r="Q3051" s="25"/>
      <c r="R3051" s="25"/>
      <c r="S3051" s="25"/>
      <c r="T3051" s="25"/>
      <c r="U3051" s="25"/>
      <c r="V3051" s="25"/>
      <c r="W3051" s="25"/>
      <c r="X3051" s="25"/>
      <c r="Y3051" s="25"/>
      <c r="Z3051" s="25"/>
    </row>
    <row r="3052" spans="1:26" ht="15.75" customHeight="1" x14ac:dyDescent="0.75">
      <c r="A3052" s="5">
        <v>3</v>
      </c>
      <c r="B3052" s="12" t="s">
        <v>15</v>
      </c>
      <c r="C3052" s="29"/>
      <c r="D3052" s="29"/>
      <c r="E3052" s="29"/>
      <c r="F3052" s="29"/>
      <c r="G3052" s="13">
        <f t="shared" si="188"/>
        <v>0</v>
      </c>
      <c r="H3052" s="29"/>
      <c r="I3052" s="24" t="s">
        <v>418</v>
      </c>
      <c r="J3052" s="25"/>
      <c r="K3052" s="25"/>
      <c r="L3052" s="25"/>
      <c r="M3052" s="25"/>
      <c r="N3052" s="25"/>
      <c r="O3052" s="25"/>
      <c r="P3052" s="25"/>
      <c r="Q3052" s="25"/>
      <c r="R3052" s="25"/>
      <c r="S3052" s="25"/>
      <c r="T3052" s="25"/>
      <c r="U3052" s="25"/>
      <c r="V3052" s="25"/>
      <c r="W3052" s="25"/>
      <c r="X3052" s="25"/>
      <c r="Y3052" s="25"/>
      <c r="Z3052" s="25"/>
    </row>
    <row r="3053" spans="1:26" ht="15.75" customHeight="1" x14ac:dyDescent="0.75">
      <c r="A3053" s="39" t="s">
        <v>16</v>
      </c>
      <c r="B3053" s="40"/>
      <c r="C3053" s="40"/>
      <c r="D3053" s="40"/>
      <c r="E3053" s="40"/>
      <c r="F3053" s="40"/>
      <c r="G3053" s="41"/>
      <c r="H3053" s="14">
        <f>SUM(G3050:G3052)</f>
        <v>1203700</v>
      </c>
      <c r="I3053" s="24" t="s">
        <v>418</v>
      </c>
      <c r="J3053" s="25"/>
      <c r="K3053" s="25"/>
      <c r="L3053" s="25"/>
      <c r="M3053" s="25"/>
      <c r="N3053" s="25"/>
      <c r="O3053" s="25"/>
      <c r="P3053" s="25"/>
      <c r="Q3053" s="25"/>
      <c r="R3053" s="25"/>
      <c r="S3053" s="25"/>
      <c r="T3053" s="25"/>
      <c r="U3053" s="25"/>
      <c r="V3053" s="25"/>
      <c r="W3053" s="25"/>
      <c r="X3053" s="25"/>
      <c r="Y3053" s="25"/>
      <c r="Z3053" s="25"/>
    </row>
    <row r="3054" spans="1:26" ht="15.75" customHeight="1" x14ac:dyDescent="0.75">
      <c r="A3054" s="39" t="s">
        <v>17</v>
      </c>
      <c r="B3054" s="40"/>
      <c r="C3054" s="40"/>
      <c r="D3054" s="40"/>
      <c r="E3054" s="40"/>
      <c r="F3054" s="40"/>
      <c r="G3054" s="41"/>
      <c r="H3054" s="14">
        <f>MAX(0,H3053-648000)</f>
        <v>555700</v>
      </c>
      <c r="I3054" s="24" t="s">
        <v>418</v>
      </c>
      <c r="J3054" s="25"/>
      <c r="K3054" s="25"/>
      <c r="L3054" s="25"/>
      <c r="M3054" s="25"/>
      <c r="N3054" s="25"/>
      <c r="O3054" s="25"/>
      <c r="P3054" s="25"/>
      <c r="Q3054" s="25"/>
      <c r="R3054" s="25"/>
      <c r="S3054" s="25"/>
      <c r="T3054" s="25"/>
      <c r="U3054" s="25"/>
      <c r="V3054" s="25"/>
      <c r="W3054" s="25"/>
      <c r="X3054" s="25"/>
      <c r="Y3054" s="25"/>
      <c r="Z3054" s="25"/>
    </row>
    <row r="3055" spans="1:26" ht="15.75" customHeight="1" x14ac:dyDescent="0.75">
      <c r="A3055" s="42" t="s">
        <v>18</v>
      </c>
      <c r="B3055" s="40"/>
      <c r="C3055" s="40"/>
      <c r="D3055" s="40"/>
      <c r="E3055" s="40"/>
      <c r="F3055" s="40"/>
      <c r="G3055" s="41"/>
      <c r="H3055" s="15">
        <v>649000</v>
      </c>
      <c r="I3055" s="24" t="s">
        <v>418</v>
      </c>
      <c r="J3055" s="25"/>
      <c r="K3055" s="25"/>
      <c r="L3055" s="25"/>
      <c r="M3055" s="25"/>
      <c r="N3055" s="25"/>
      <c r="O3055" s="25"/>
      <c r="P3055" s="25"/>
      <c r="Q3055" s="25"/>
      <c r="R3055" s="25"/>
      <c r="S3055" s="25"/>
      <c r="T3055" s="25"/>
      <c r="U3055" s="25"/>
      <c r="V3055" s="25"/>
      <c r="W3055" s="25"/>
      <c r="X3055" s="25"/>
      <c r="Y3055" s="25"/>
      <c r="Z3055" s="25"/>
    </row>
    <row r="3056" spans="1:26" ht="15.75" customHeight="1" x14ac:dyDescent="0.75">
      <c r="A3056" s="43" t="s">
        <v>19</v>
      </c>
      <c r="B3056" s="40"/>
      <c r="C3056" s="40"/>
      <c r="D3056" s="40"/>
      <c r="E3056" s="40"/>
      <c r="F3056" s="40"/>
      <c r="G3056" s="40"/>
      <c r="H3056" s="41"/>
      <c r="I3056" s="24" t="s">
        <v>418</v>
      </c>
      <c r="J3056" s="25"/>
      <c r="K3056" s="25"/>
      <c r="L3056" s="25"/>
      <c r="M3056" s="25"/>
      <c r="N3056" s="25"/>
      <c r="O3056" s="25"/>
      <c r="P3056" s="25"/>
      <c r="Q3056" s="25"/>
      <c r="R3056" s="25"/>
      <c r="S3056" s="25"/>
      <c r="T3056" s="25"/>
      <c r="U3056" s="25"/>
      <c r="V3056" s="25"/>
      <c r="W3056" s="25"/>
      <c r="X3056" s="25"/>
      <c r="Y3056" s="25"/>
      <c r="Z3056" s="25"/>
    </row>
    <row r="3057" spans="1:26" ht="15.75" customHeight="1" x14ac:dyDescent="0.45">
      <c r="A3057" s="25"/>
      <c r="B3057" s="25"/>
      <c r="C3057" s="25"/>
      <c r="D3057" s="25"/>
      <c r="E3057" s="25"/>
      <c r="F3057" s="25"/>
      <c r="G3057" s="25"/>
      <c r="H3057" s="25"/>
      <c r="I3057" s="24" t="s">
        <v>418</v>
      </c>
      <c r="J3057" s="25"/>
      <c r="K3057" s="25"/>
      <c r="L3057" s="25"/>
      <c r="M3057" s="25"/>
      <c r="N3057" s="25"/>
      <c r="O3057" s="25"/>
      <c r="P3057" s="25"/>
      <c r="Q3057" s="25"/>
      <c r="R3057" s="25"/>
      <c r="S3057" s="25"/>
      <c r="T3057" s="25"/>
      <c r="U3057" s="25"/>
      <c r="V3057" s="25"/>
      <c r="W3057" s="25"/>
      <c r="X3057" s="25"/>
      <c r="Y3057" s="25"/>
      <c r="Z3057" s="25"/>
    </row>
    <row r="3058" spans="1:26" ht="15.75" customHeight="1" x14ac:dyDescent="0.45">
      <c r="A3058" s="25"/>
      <c r="B3058" s="25"/>
      <c r="C3058" s="25"/>
      <c r="D3058" s="25"/>
      <c r="E3058" s="25"/>
      <c r="F3058" s="25"/>
      <c r="G3058" s="25"/>
      <c r="H3058" s="25"/>
      <c r="I3058" s="24" t="s">
        <v>418</v>
      </c>
      <c r="J3058" s="25"/>
      <c r="K3058" s="25"/>
      <c r="L3058" s="25"/>
      <c r="M3058" s="25"/>
      <c r="N3058" s="25"/>
      <c r="O3058" s="25"/>
      <c r="P3058" s="25"/>
      <c r="Q3058" s="25"/>
      <c r="R3058" s="25"/>
      <c r="S3058" s="25"/>
      <c r="T3058" s="25"/>
      <c r="U3058" s="25"/>
      <c r="V3058" s="25"/>
      <c r="W3058" s="25"/>
      <c r="X3058" s="25"/>
      <c r="Y3058" s="25"/>
      <c r="Z3058" s="25"/>
    </row>
    <row r="3059" spans="1:26" ht="15.75" customHeight="1" x14ac:dyDescent="0.45">
      <c r="A3059" s="25"/>
      <c r="B3059" s="25"/>
      <c r="C3059" s="25"/>
      <c r="D3059" s="25"/>
      <c r="E3059" s="25"/>
      <c r="F3059" s="25"/>
      <c r="G3059" s="25"/>
      <c r="H3059" s="25"/>
      <c r="I3059" s="24" t="s">
        <v>418</v>
      </c>
      <c r="J3059" s="25"/>
      <c r="K3059" s="25"/>
      <c r="L3059" s="25"/>
      <c r="M3059" s="25"/>
      <c r="N3059" s="25"/>
      <c r="O3059" s="25"/>
      <c r="P3059" s="25"/>
      <c r="Q3059" s="25"/>
      <c r="R3059" s="25"/>
      <c r="S3059" s="25"/>
      <c r="T3059" s="25"/>
      <c r="U3059" s="25"/>
      <c r="V3059" s="25"/>
      <c r="W3059" s="25"/>
      <c r="X3059" s="25"/>
      <c r="Y3059" s="25"/>
      <c r="Z3059" s="25"/>
    </row>
    <row r="3060" spans="1:26" ht="15.75" customHeight="1" x14ac:dyDescent="0.45">
      <c r="A3060" s="25"/>
      <c r="B3060" s="25"/>
      <c r="C3060" s="25"/>
      <c r="D3060" s="25"/>
      <c r="E3060" s="25"/>
      <c r="F3060" s="25"/>
      <c r="G3060" s="25"/>
      <c r="H3060" s="25"/>
      <c r="I3060" s="24" t="s">
        <v>418</v>
      </c>
      <c r="J3060" s="25"/>
      <c r="K3060" s="25"/>
      <c r="L3060" s="25"/>
      <c r="M3060" s="25"/>
      <c r="N3060" s="25"/>
      <c r="O3060" s="25"/>
      <c r="P3060" s="25"/>
      <c r="Q3060" s="25"/>
      <c r="R3060" s="25"/>
      <c r="S3060" s="25"/>
      <c r="T3060" s="25"/>
      <c r="U3060" s="25"/>
      <c r="V3060" s="25"/>
      <c r="W3060" s="25"/>
      <c r="X3060" s="25"/>
      <c r="Y3060" s="25"/>
      <c r="Z3060" s="25"/>
    </row>
    <row r="3061" spans="1:26" ht="15.75" customHeight="1" x14ac:dyDescent="0.45">
      <c r="A3061" s="25"/>
      <c r="B3061" s="25"/>
      <c r="C3061" s="25"/>
      <c r="D3061" s="25"/>
      <c r="E3061" s="25"/>
      <c r="F3061" s="25"/>
      <c r="G3061" s="25"/>
      <c r="H3061" s="25"/>
      <c r="I3061" s="24" t="s">
        <v>418</v>
      </c>
      <c r="J3061" s="25"/>
      <c r="K3061" s="25"/>
      <c r="L3061" s="25"/>
      <c r="M3061" s="25"/>
      <c r="N3061" s="25"/>
      <c r="O3061" s="25"/>
      <c r="P3061" s="25"/>
      <c r="Q3061" s="25"/>
      <c r="R3061" s="25"/>
      <c r="S3061" s="25"/>
      <c r="T3061" s="25"/>
      <c r="U3061" s="25"/>
      <c r="V3061" s="25"/>
      <c r="W3061" s="25"/>
      <c r="X3061" s="25"/>
      <c r="Y3061" s="25"/>
      <c r="Z3061" s="25"/>
    </row>
    <row r="3062" spans="1:26" ht="15.75" customHeight="1" x14ac:dyDescent="0.45">
      <c r="A3062" s="25"/>
      <c r="B3062" s="25"/>
      <c r="C3062" s="25"/>
      <c r="D3062" s="25"/>
      <c r="E3062" s="25"/>
      <c r="F3062" s="25"/>
      <c r="G3062" s="25"/>
      <c r="H3062" s="25"/>
      <c r="I3062" s="24" t="s">
        <v>418</v>
      </c>
      <c r="J3062" s="25"/>
      <c r="K3062" s="25"/>
      <c r="L3062" s="25"/>
      <c r="M3062" s="25"/>
      <c r="N3062" s="25"/>
      <c r="O3062" s="25"/>
      <c r="P3062" s="25"/>
      <c r="Q3062" s="25"/>
      <c r="R3062" s="25"/>
      <c r="S3062" s="25"/>
      <c r="T3062" s="25"/>
      <c r="U3062" s="25"/>
      <c r="V3062" s="25"/>
      <c r="W3062" s="25"/>
      <c r="X3062" s="25"/>
      <c r="Y3062" s="25"/>
      <c r="Z3062" s="25"/>
    </row>
    <row r="3063" spans="1:26" ht="15.75" customHeight="1" x14ac:dyDescent="0.75">
      <c r="A3063" s="43" t="s">
        <v>0</v>
      </c>
      <c r="B3063" s="40"/>
      <c r="C3063" s="40"/>
      <c r="D3063" s="40"/>
      <c r="E3063" s="40"/>
      <c r="F3063" s="40"/>
      <c r="G3063" s="40"/>
      <c r="H3063" s="41"/>
      <c r="I3063" s="24" t="s">
        <v>418</v>
      </c>
      <c r="J3063" s="25"/>
      <c r="K3063" s="25"/>
      <c r="L3063" s="25"/>
      <c r="M3063" s="25"/>
      <c r="N3063" s="25"/>
      <c r="O3063" s="25"/>
      <c r="P3063" s="25"/>
      <c r="Q3063" s="25"/>
      <c r="R3063" s="25"/>
      <c r="S3063" s="25"/>
      <c r="T3063" s="25"/>
      <c r="U3063" s="25"/>
      <c r="V3063" s="25"/>
      <c r="W3063" s="25"/>
      <c r="X3063" s="25"/>
      <c r="Y3063" s="25"/>
      <c r="Z3063" s="25"/>
    </row>
    <row r="3064" spans="1:26" ht="15.75" customHeight="1" x14ac:dyDescent="0.75">
      <c r="A3064" s="43" t="s">
        <v>464</v>
      </c>
      <c r="B3064" s="40"/>
      <c r="C3064" s="40"/>
      <c r="D3064" s="40"/>
      <c r="E3064" s="40"/>
      <c r="F3064" s="40"/>
      <c r="G3064" s="40"/>
      <c r="H3064" s="41"/>
      <c r="I3064" s="24" t="s">
        <v>418</v>
      </c>
      <c r="J3064" s="25"/>
      <c r="K3064" s="25"/>
      <c r="L3064" s="25"/>
      <c r="M3064" s="25"/>
      <c r="N3064" s="25"/>
      <c r="O3064" s="25"/>
      <c r="P3064" s="25"/>
      <c r="Q3064" s="25"/>
      <c r="R3064" s="25"/>
      <c r="S3064" s="25"/>
      <c r="T3064" s="25"/>
      <c r="U3064" s="25"/>
      <c r="V3064" s="25"/>
      <c r="W3064" s="25"/>
      <c r="X3064" s="25"/>
      <c r="Y3064" s="25"/>
      <c r="Z3064" s="25"/>
    </row>
    <row r="3065" spans="1:26" ht="15.75" customHeight="1" x14ac:dyDescent="0.55000000000000004">
      <c r="A3065" s="2" t="s">
        <v>3</v>
      </c>
      <c r="B3065" s="2" t="s">
        <v>4</v>
      </c>
      <c r="C3065" s="2" t="s">
        <v>5</v>
      </c>
      <c r="D3065" s="2" t="s">
        <v>6</v>
      </c>
      <c r="E3065" s="2" t="s">
        <v>7</v>
      </c>
      <c r="F3065" s="3" t="s">
        <v>8</v>
      </c>
      <c r="G3065" s="2" t="s">
        <v>9</v>
      </c>
      <c r="H3065" s="26"/>
      <c r="I3065" s="24" t="s">
        <v>418</v>
      </c>
      <c r="J3065" s="25"/>
      <c r="K3065" s="25"/>
      <c r="L3065" s="25"/>
      <c r="M3065" s="25"/>
      <c r="N3065" s="25"/>
      <c r="O3065" s="25"/>
      <c r="P3065" s="25"/>
      <c r="Q3065" s="25"/>
      <c r="R3065" s="25"/>
      <c r="S3065" s="25"/>
      <c r="T3065" s="25"/>
      <c r="U3065" s="25"/>
      <c r="V3065" s="25"/>
      <c r="W3065" s="25"/>
      <c r="X3065" s="25"/>
      <c r="Y3065" s="25"/>
      <c r="Z3065" s="25"/>
    </row>
    <row r="3066" spans="1:26" ht="15.75" customHeight="1" x14ac:dyDescent="0.75">
      <c r="A3066" s="5">
        <v>1</v>
      </c>
      <c r="B3066" s="27" t="s">
        <v>203</v>
      </c>
      <c r="C3066" s="28" t="s">
        <v>449</v>
      </c>
      <c r="D3066" s="27" t="s">
        <v>12</v>
      </c>
      <c r="E3066" s="27">
        <v>2</v>
      </c>
      <c r="F3066" s="8">
        <v>293000</v>
      </c>
      <c r="G3066" s="9">
        <f t="shared" ref="G3066:G3068" si="189">IFERROR(E3066*F3066,0)</f>
        <v>586000</v>
      </c>
      <c r="H3066" s="29"/>
      <c r="I3066" s="24" t="s">
        <v>418</v>
      </c>
      <c r="J3066" s="25"/>
      <c r="K3066" s="25"/>
      <c r="L3066" s="25"/>
      <c r="M3066" s="25"/>
      <c r="N3066" s="25"/>
      <c r="O3066" s="25"/>
      <c r="P3066" s="25"/>
      <c r="Q3066" s="25"/>
      <c r="R3066" s="25"/>
      <c r="S3066" s="25"/>
      <c r="T3066" s="25"/>
      <c r="U3066" s="25"/>
      <c r="V3066" s="25"/>
      <c r="W3066" s="25"/>
      <c r="X3066" s="25"/>
      <c r="Y3066" s="25"/>
      <c r="Z3066" s="25"/>
    </row>
    <row r="3067" spans="1:26" ht="15.75" customHeight="1" x14ac:dyDescent="0.75">
      <c r="A3067" s="5">
        <v>2</v>
      </c>
      <c r="B3067" s="30" t="s">
        <v>150</v>
      </c>
      <c r="C3067" s="31" t="s">
        <v>465</v>
      </c>
      <c r="D3067" s="30" t="s">
        <v>14</v>
      </c>
      <c r="E3067" s="30">
        <v>1.41</v>
      </c>
      <c r="F3067" s="11">
        <v>435000</v>
      </c>
      <c r="G3067" s="9">
        <f t="shared" si="189"/>
        <v>613350</v>
      </c>
      <c r="H3067" s="29"/>
      <c r="I3067" s="24" t="s">
        <v>418</v>
      </c>
      <c r="J3067" s="25"/>
      <c r="K3067" s="25"/>
      <c r="L3067" s="25"/>
      <c r="M3067" s="25"/>
      <c r="N3067" s="25"/>
      <c r="O3067" s="25"/>
      <c r="P3067" s="25"/>
      <c r="Q3067" s="25"/>
      <c r="R3067" s="25"/>
      <c r="S3067" s="25"/>
      <c r="T3067" s="25"/>
      <c r="U3067" s="25"/>
      <c r="V3067" s="25"/>
      <c r="W3067" s="25"/>
      <c r="X3067" s="25"/>
      <c r="Y3067" s="25"/>
      <c r="Z3067" s="25"/>
    </row>
    <row r="3068" spans="1:26" ht="15.75" customHeight="1" x14ac:dyDescent="0.75">
      <c r="A3068" s="5">
        <v>3</v>
      </c>
      <c r="B3068" s="12" t="s">
        <v>15</v>
      </c>
      <c r="C3068" s="29"/>
      <c r="D3068" s="29"/>
      <c r="E3068" s="29"/>
      <c r="F3068" s="29"/>
      <c r="G3068" s="13">
        <f t="shared" si="189"/>
        <v>0</v>
      </c>
      <c r="H3068" s="29"/>
      <c r="I3068" s="24" t="s">
        <v>418</v>
      </c>
      <c r="J3068" s="25"/>
      <c r="K3068" s="25"/>
      <c r="L3068" s="25"/>
      <c r="M3068" s="25"/>
      <c r="N3068" s="25"/>
      <c r="O3068" s="25"/>
      <c r="P3068" s="25"/>
      <c r="Q3068" s="25"/>
      <c r="R3068" s="25"/>
      <c r="S3068" s="25"/>
      <c r="T3068" s="25"/>
      <c r="U3068" s="25"/>
      <c r="V3068" s="25"/>
      <c r="W3068" s="25"/>
      <c r="X3068" s="25"/>
      <c r="Y3068" s="25"/>
      <c r="Z3068" s="25"/>
    </row>
    <row r="3069" spans="1:26" ht="15.75" customHeight="1" x14ac:dyDescent="0.75">
      <c r="A3069" s="39" t="s">
        <v>16</v>
      </c>
      <c r="B3069" s="40"/>
      <c r="C3069" s="40"/>
      <c r="D3069" s="40"/>
      <c r="E3069" s="40"/>
      <c r="F3069" s="40"/>
      <c r="G3069" s="41"/>
      <c r="H3069" s="14">
        <f>SUM(G3066:G3068)</f>
        <v>1199350</v>
      </c>
      <c r="I3069" s="24" t="s">
        <v>418</v>
      </c>
      <c r="J3069" s="25"/>
      <c r="K3069" s="25"/>
      <c r="L3069" s="25"/>
      <c r="M3069" s="25"/>
      <c r="N3069" s="25"/>
      <c r="O3069" s="25"/>
      <c r="P3069" s="25"/>
      <c r="Q3069" s="25"/>
      <c r="R3069" s="25"/>
      <c r="S3069" s="25"/>
      <c r="T3069" s="25"/>
      <c r="U3069" s="25"/>
      <c r="V3069" s="25"/>
      <c r="W3069" s="25"/>
      <c r="X3069" s="25"/>
      <c r="Y3069" s="25"/>
      <c r="Z3069" s="25"/>
    </row>
    <row r="3070" spans="1:26" ht="15.75" customHeight="1" x14ac:dyDescent="0.75">
      <c r="A3070" s="39" t="s">
        <v>17</v>
      </c>
      <c r="B3070" s="40"/>
      <c r="C3070" s="40"/>
      <c r="D3070" s="40"/>
      <c r="E3070" s="40"/>
      <c r="F3070" s="40"/>
      <c r="G3070" s="41"/>
      <c r="H3070" s="14">
        <f>MAX(0,H3069-648000)</f>
        <v>551350</v>
      </c>
      <c r="I3070" s="24" t="s">
        <v>418</v>
      </c>
      <c r="J3070" s="25"/>
      <c r="K3070" s="25"/>
      <c r="L3070" s="25"/>
      <c r="M3070" s="25"/>
      <c r="N3070" s="25"/>
      <c r="O3070" s="25"/>
      <c r="P3070" s="25"/>
      <c r="Q3070" s="25"/>
      <c r="R3070" s="25"/>
      <c r="S3070" s="25"/>
      <c r="T3070" s="25"/>
      <c r="U3070" s="25"/>
      <c r="V3070" s="25"/>
      <c r="W3070" s="25"/>
      <c r="X3070" s="25"/>
      <c r="Y3070" s="25"/>
      <c r="Z3070" s="25"/>
    </row>
    <row r="3071" spans="1:26" ht="15.75" customHeight="1" x14ac:dyDescent="0.75">
      <c r="A3071" s="42" t="s">
        <v>18</v>
      </c>
      <c r="B3071" s="40"/>
      <c r="C3071" s="40"/>
      <c r="D3071" s="40"/>
      <c r="E3071" s="40"/>
      <c r="F3071" s="40"/>
      <c r="G3071" s="41"/>
      <c r="H3071" s="15">
        <v>649000</v>
      </c>
      <c r="I3071" s="24" t="s">
        <v>418</v>
      </c>
      <c r="J3071" s="25"/>
      <c r="K3071" s="25"/>
      <c r="L3071" s="25"/>
      <c r="M3071" s="25"/>
      <c r="N3071" s="25"/>
      <c r="O3071" s="25"/>
      <c r="P3071" s="25"/>
      <c r="Q3071" s="25"/>
      <c r="R3071" s="25"/>
      <c r="S3071" s="25"/>
      <c r="T3071" s="25"/>
      <c r="U3071" s="25"/>
      <c r="V3071" s="25"/>
      <c r="W3071" s="25"/>
      <c r="X3071" s="25"/>
      <c r="Y3071" s="25"/>
      <c r="Z3071" s="25"/>
    </row>
    <row r="3072" spans="1:26" ht="15.75" customHeight="1" x14ac:dyDescent="0.75">
      <c r="A3072" s="43" t="s">
        <v>19</v>
      </c>
      <c r="B3072" s="40"/>
      <c r="C3072" s="40"/>
      <c r="D3072" s="40"/>
      <c r="E3072" s="40"/>
      <c r="F3072" s="40"/>
      <c r="G3072" s="40"/>
      <c r="H3072" s="41"/>
      <c r="I3072" s="24" t="s">
        <v>418</v>
      </c>
      <c r="J3072" s="25"/>
      <c r="K3072" s="25"/>
      <c r="L3072" s="25"/>
      <c r="M3072" s="25"/>
      <c r="N3072" s="25"/>
      <c r="O3072" s="25"/>
      <c r="P3072" s="25"/>
      <c r="Q3072" s="25"/>
      <c r="R3072" s="25"/>
      <c r="S3072" s="25"/>
      <c r="T3072" s="25"/>
      <c r="U3072" s="25"/>
      <c r="V3072" s="25"/>
      <c r="W3072" s="25"/>
      <c r="X3072" s="25"/>
      <c r="Y3072" s="25"/>
      <c r="Z3072" s="25"/>
    </row>
    <row r="3073" spans="1:26" ht="15.75" customHeight="1" x14ac:dyDescent="0.45">
      <c r="A3073" s="25"/>
      <c r="B3073" s="25"/>
      <c r="C3073" s="25"/>
      <c r="D3073" s="25"/>
      <c r="E3073" s="25"/>
      <c r="F3073" s="25"/>
      <c r="G3073" s="25"/>
      <c r="H3073" s="25"/>
      <c r="I3073" s="24" t="s">
        <v>418</v>
      </c>
      <c r="J3073" s="25"/>
      <c r="K3073" s="25"/>
      <c r="L3073" s="25"/>
      <c r="M3073" s="25"/>
      <c r="N3073" s="25"/>
      <c r="O3073" s="25"/>
      <c r="P3073" s="25"/>
      <c r="Q3073" s="25"/>
      <c r="R3073" s="25"/>
      <c r="S3073" s="25"/>
      <c r="T3073" s="25"/>
      <c r="U3073" s="25"/>
      <c r="V3073" s="25"/>
      <c r="W3073" s="25"/>
      <c r="X3073" s="25"/>
      <c r="Y3073" s="25"/>
      <c r="Z3073" s="25"/>
    </row>
    <row r="3074" spans="1:26" ht="15.75" customHeight="1" x14ac:dyDescent="0.45">
      <c r="A3074" s="25"/>
      <c r="B3074" s="25"/>
      <c r="C3074" s="25"/>
      <c r="D3074" s="25"/>
      <c r="E3074" s="25"/>
      <c r="F3074" s="25"/>
      <c r="G3074" s="25"/>
      <c r="H3074" s="25"/>
      <c r="I3074" s="24" t="s">
        <v>418</v>
      </c>
      <c r="J3074" s="25"/>
      <c r="K3074" s="25"/>
      <c r="L3074" s="25"/>
      <c r="M3074" s="25"/>
      <c r="N3074" s="25"/>
      <c r="O3074" s="25"/>
      <c r="P3074" s="25"/>
      <c r="Q3074" s="25"/>
      <c r="R3074" s="25"/>
      <c r="S3074" s="25"/>
      <c r="T3074" s="25"/>
      <c r="U3074" s="25"/>
      <c r="V3074" s="25"/>
      <c r="W3074" s="25"/>
      <c r="X3074" s="25"/>
      <c r="Y3074" s="25"/>
      <c r="Z3074" s="25"/>
    </row>
    <row r="3075" spans="1:26" ht="15.75" customHeight="1" x14ac:dyDescent="0.45">
      <c r="A3075" s="25"/>
      <c r="B3075" s="25"/>
      <c r="C3075" s="25"/>
      <c r="D3075" s="25"/>
      <c r="E3075" s="25"/>
      <c r="F3075" s="25"/>
      <c r="G3075" s="25"/>
      <c r="H3075" s="25"/>
      <c r="I3075" s="24" t="s">
        <v>418</v>
      </c>
      <c r="J3075" s="25"/>
      <c r="K3075" s="25"/>
      <c r="L3075" s="25"/>
      <c r="M3075" s="25"/>
      <c r="N3075" s="25"/>
      <c r="O3075" s="25"/>
      <c r="P3075" s="25"/>
      <c r="Q3075" s="25"/>
      <c r="R3075" s="25"/>
      <c r="S3075" s="25"/>
      <c r="T3075" s="25"/>
      <c r="U3075" s="25"/>
      <c r="V3075" s="25"/>
      <c r="W3075" s="25"/>
      <c r="X3075" s="25"/>
      <c r="Y3075" s="25"/>
      <c r="Z3075" s="25"/>
    </row>
    <row r="3076" spans="1:26" ht="15.75" customHeight="1" x14ac:dyDescent="0.45">
      <c r="A3076" s="25"/>
      <c r="B3076" s="25"/>
      <c r="C3076" s="25"/>
      <c r="D3076" s="25"/>
      <c r="E3076" s="25"/>
      <c r="F3076" s="25"/>
      <c r="G3076" s="25"/>
      <c r="H3076" s="25"/>
      <c r="I3076" s="24" t="s">
        <v>418</v>
      </c>
      <c r="J3076" s="25"/>
      <c r="K3076" s="25"/>
      <c r="L3076" s="25"/>
      <c r="M3076" s="25"/>
      <c r="N3076" s="25"/>
      <c r="O3076" s="25"/>
      <c r="P3076" s="25"/>
      <c r="Q3076" s="25"/>
      <c r="R3076" s="25"/>
      <c r="S3076" s="25"/>
      <c r="T3076" s="25"/>
      <c r="U3076" s="25"/>
      <c r="V3076" s="25"/>
      <c r="W3076" s="25"/>
      <c r="X3076" s="25"/>
      <c r="Y3076" s="25"/>
      <c r="Z3076" s="25"/>
    </row>
    <row r="3077" spans="1:26" ht="15.75" customHeight="1" x14ac:dyDescent="0.45">
      <c r="A3077" s="25"/>
      <c r="B3077" s="25"/>
      <c r="C3077" s="25"/>
      <c r="D3077" s="25"/>
      <c r="E3077" s="25"/>
      <c r="F3077" s="25"/>
      <c r="G3077" s="25"/>
      <c r="H3077" s="25"/>
      <c r="I3077" s="24" t="s">
        <v>418</v>
      </c>
      <c r="J3077" s="25"/>
      <c r="K3077" s="25"/>
      <c r="L3077" s="25"/>
      <c r="M3077" s="25"/>
      <c r="N3077" s="25"/>
      <c r="O3077" s="25"/>
      <c r="P3077" s="25"/>
      <c r="Q3077" s="25"/>
      <c r="R3077" s="25"/>
      <c r="S3077" s="25"/>
      <c r="T3077" s="25"/>
      <c r="U3077" s="25"/>
      <c r="V3077" s="25"/>
      <c r="W3077" s="25"/>
      <c r="X3077" s="25"/>
      <c r="Y3077" s="25"/>
      <c r="Z3077" s="25"/>
    </row>
    <row r="3078" spans="1:26" ht="15.75" customHeight="1" x14ac:dyDescent="0.75">
      <c r="A3078" s="43" t="s">
        <v>0</v>
      </c>
      <c r="B3078" s="40"/>
      <c r="C3078" s="40"/>
      <c r="D3078" s="40"/>
      <c r="E3078" s="40"/>
      <c r="F3078" s="40"/>
      <c r="G3078" s="40"/>
      <c r="H3078" s="41"/>
      <c r="I3078" s="24" t="s">
        <v>418</v>
      </c>
      <c r="J3078" s="25"/>
      <c r="K3078" s="25"/>
      <c r="L3078" s="25"/>
      <c r="M3078" s="25"/>
      <c r="N3078" s="25"/>
      <c r="O3078" s="25"/>
      <c r="P3078" s="25"/>
      <c r="Q3078" s="25"/>
      <c r="R3078" s="25"/>
      <c r="S3078" s="25"/>
      <c r="T3078" s="25"/>
      <c r="U3078" s="25"/>
      <c r="V3078" s="25"/>
      <c r="W3078" s="25"/>
      <c r="X3078" s="25"/>
      <c r="Y3078" s="25"/>
      <c r="Z3078" s="25"/>
    </row>
    <row r="3079" spans="1:26" ht="15.75" customHeight="1" x14ac:dyDescent="0.75">
      <c r="A3079" s="43" t="s">
        <v>466</v>
      </c>
      <c r="B3079" s="40"/>
      <c r="C3079" s="40"/>
      <c r="D3079" s="40"/>
      <c r="E3079" s="40"/>
      <c r="F3079" s="40"/>
      <c r="G3079" s="40"/>
      <c r="H3079" s="41"/>
      <c r="I3079" s="24" t="s">
        <v>418</v>
      </c>
      <c r="J3079" s="25"/>
      <c r="K3079" s="25"/>
      <c r="L3079" s="25"/>
      <c r="M3079" s="25"/>
      <c r="N3079" s="25"/>
      <c r="O3079" s="25"/>
      <c r="P3079" s="25"/>
      <c r="Q3079" s="25"/>
      <c r="R3079" s="25"/>
      <c r="S3079" s="25"/>
      <c r="T3079" s="25"/>
      <c r="U3079" s="25"/>
      <c r="V3079" s="25"/>
      <c r="W3079" s="25"/>
      <c r="X3079" s="25"/>
      <c r="Y3079" s="25"/>
      <c r="Z3079" s="25"/>
    </row>
    <row r="3080" spans="1:26" ht="15.75" customHeight="1" x14ac:dyDescent="0.55000000000000004">
      <c r="A3080" s="2" t="s">
        <v>3</v>
      </c>
      <c r="B3080" s="2" t="s">
        <v>4</v>
      </c>
      <c r="C3080" s="2" t="s">
        <v>5</v>
      </c>
      <c r="D3080" s="2" t="s">
        <v>6</v>
      </c>
      <c r="E3080" s="2" t="s">
        <v>7</v>
      </c>
      <c r="F3080" s="3" t="s">
        <v>8</v>
      </c>
      <c r="G3080" s="2" t="s">
        <v>9</v>
      </c>
      <c r="H3080" s="26"/>
      <c r="I3080" s="24" t="s">
        <v>418</v>
      </c>
      <c r="J3080" s="25"/>
      <c r="K3080" s="25"/>
      <c r="L3080" s="25"/>
      <c r="M3080" s="25"/>
      <c r="N3080" s="25"/>
      <c r="O3080" s="25"/>
      <c r="P3080" s="25"/>
      <c r="Q3080" s="25"/>
      <c r="R3080" s="25"/>
      <c r="S3080" s="25"/>
      <c r="T3080" s="25"/>
      <c r="U3080" s="25"/>
      <c r="V3080" s="25"/>
      <c r="W3080" s="25"/>
      <c r="X3080" s="25"/>
      <c r="Y3080" s="25"/>
      <c r="Z3080" s="25"/>
    </row>
    <row r="3081" spans="1:26" ht="15.75" customHeight="1" x14ac:dyDescent="0.75">
      <c r="A3081" s="5">
        <v>1</v>
      </c>
      <c r="B3081" s="27" t="s">
        <v>177</v>
      </c>
      <c r="C3081" s="28" t="s">
        <v>467</v>
      </c>
      <c r="D3081" s="27" t="s">
        <v>12</v>
      </c>
      <c r="E3081" s="27">
        <v>2</v>
      </c>
      <c r="F3081" s="8">
        <v>293000</v>
      </c>
      <c r="G3081" s="9">
        <f t="shared" ref="G3081:G3083" si="190">IFERROR(E3081*F3081,0)</f>
        <v>586000</v>
      </c>
      <c r="H3081" s="29"/>
      <c r="I3081" s="24" t="s">
        <v>418</v>
      </c>
      <c r="J3081" s="25"/>
      <c r="K3081" s="25"/>
      <c r="L3081" s="25"/>
      <c r="M3081" s="25"/>
      <c r="N3081" s="25"/>
      <c r="O3081" s="25"/>
      <c r="P3081" s="25"/>
      <c r="Q3081" s="25"/>
      <c r="R3081" s="25"/>
      <c r="S3081" s="25"/>
      <c r="T3081" s="25"/>
      <c r="U3081" s="25"/>
      <c r="V3081" s="25"/>
      <c r="W3081" s="25"/>
      <c r="X3081" s="25"/>
      <c r="Y3081" s="25"/>
      <c r="Z3081" s="25"/>
    </row>
    <row r="3082" spans="1:26" ht="15.75" customHeight="1" x14ac:dyDescent="0.75">
      <c r="A3082" s="5">
        <v>2</v>
      </c>
      <c r="B3082" s="30" t="s">
        <v>62</v>
      </c>
      <c r="C3082" s="31" t="s">
        <v>468</v>
      </c>
      <c r="D3082" s="30" t="s">
        <v>14</v>
      </c>
      <c r="E3082" s="30">
        <v>1.45</v>
      </c>
      <c r="F3082" s="11">
        <v>435000</v>
      </c>
      <c r="G3082" s="9">
        <f t="shared" si="190"/>
        <v>630750</v>
      </c>
      <c r="H3082" s="29"/>
      <c r="I3082" s="24" t="s">
        <v>418</v>
      </c>
      <c r="J3082" s="25"/>
      <c r="K3082" s="25"/>
      <c r="L3082" s="25"/>
      <c r="M3082" s="25"/>
      <c r="N3082" s="25"/>
      <c r="O3082" s="25"/>
      <c r="P3082" s="25"/>
      <c r="Q3082" s="25"/>
      <c r="R3082" s="25"/>
      <c r="S3082" s="25"/>
      <c r="T3082" s="25"/>
      <c r="U3082" s="25"/>
      <c r="V3082" s="25"/>
      <c r="W3082" s="25"/>
      <c r="X3082" s="25"/>
      <c r="Y3082" s="25"/>
      <c r="Z3082" s="25"/>
    </row>
    <row r="3083" spans="1:26" ht="15.75" customHeight="1" x14ac:dyDescent="0.75">
      <c r="A3083" s="5">
        <v>3</v>
      </c>
      <c r="B3083" s="12" t="s">
        <v>15</v>
      </c>
      <c r="C3083" s="29"/>
      <c r="D3083" s="29"/>
      <c r="E3083" s="29"/>
      <c r="F3083" s="29"/>
      <c r="G3083" s="13">
        <f t="shared" si="190"/>
        <v>0</v>
      </c>
      <c r="H3083" s="29"/>
      <c r="I3083" s="24" t="s">
        <v>418</v>
      </c>
      <c r="J3083" s="25"/>
      <c r="K3083" s="25"/>
      <c r="L3083" s="25"/>
      <c r="M3083" s="25"/>
      <c r="N3083" s="25"/>
      <c r="O3083" s="25"/>
      <c r="P3083" s="25"/>
      <c r="Q3083" s="25"/>
      <c r="R3083" s="25"/>
      <c r="S3083" s="25"/>
      <c r="T3083" s="25"/>
      <c r="U3083" s="25"/>
      <c r="V3083" s="25"/>
      <c r="W3083" s="25"/>
      <c r="X3083" s="25"/>
      <c r="Y3083" s="25"/>
      <c r="Z3083" s="25"/>
    </row>
    <row r="3084" spans="1:26" ht="15.75" customHeight="1" x14ac:dyDescent="0.75">
      <c r="A3084" s="39" t="s">
        <v>16</v>
      </c>
      <c r="B3084" s="40"/>
      <c r="C3084" s="40"/>
      <c r="D3084" s="40"/>
      <c r="E3084" s="40"/>
      <c r="F3084" s="40"/>
      <c r="G3084" s="41"/>
      <c r="H3084" s="14">
        <f>SUM(G3081:G3083)</f>
        <v>1216750</v>
      </c>
      <c r="I3084" s="24" t="s">
        <v>418</v>
      </c>
      <c r="J3084" s="25"/>
      <c r="K3084" s="25"/>
      <c r="L3084" s="25"/>
      <c r="M3084" s="25"/>
      <c r="N3084" s="25"/>
      <c r="O3084" s="25"/>
      <c r="P3084" s="25"/>
      <c r="Q3084" s="25"/>
      <c r="R3084" s="25"/>
      <c r="S3084" s="25"/>
      <c r="T3084" s="25"/>
      <c r="U3084" s="25"/>
      <c r="V3084" s="25"/>
      <c r="W3084" s="25"/>
      <c r="X3084" s="25"/>
      <c r="Y3084" s="25"/>
      <c r="Z3084" s="25"/>
    </row>
    <row r="3085" spans="1:26" ht="15.75" customHeight="1" x14ac:dyDescent="0.75">
      <c r="A3085" s="39" t="s">
        <v>17</v>
      </c>
      <c r="B3085" s="40"/>
      <c r="C3085" s="40"/>
      <c r="D3085" s="40"/>
      <c r="E3085" s="40"/>
      <c r="F3085" s="40"/>
      <c r="G3085" s="41"/>
      <c r="H3085" s="14">
        <f>MAX(0,H3084-648000)</f>
        <v>568750</v>
      </c>
      <c r="I3085" s="24" t="s">
        <v>418</v>
      </c>
      <c r="J3085" s="25"/>
      <c r="K3085" s="25"/>
      <c r="L3085" s="25"/>
      <c r="M3085" s="25"/>
      <c r="N3085" s="25"/>
      <c r="O3085" s="25"/>
      <c r="P3085" s="25"/>
      <c r="Q3085" s="25"/>
      <c r="R3085" s="25"/>
      <c r="S3085" s="25"/>
      <c r="T3085" s="25"/>
      <c r="U3085" s="25"/>
      <c r="V3085" s="25"/>
      <c r="W3085" s="25"/>
      <c r="X3085" s="25"/>
      <c r="Y3085" s="25"/>
      <c r="Z3085" s="25"/>
    </row>
    <row r="3086" spans="1:26" ht="15.75" customHeight="1" x14ac:dyDescent="0.75">
      <c r="A3086" s="42" t="s">
        <v>18</v>
      </c>
      <c r="B3086" s="40"/>
      <c r="C3086" s="40"/>
      <c r="D3086" s="40"/>
      <c r="E3086" s="40"/>
      <c r="F3086" s="40"/>
      <c r="G3086" s="41"/>
      <c r="H3086" s="15">
        <v>649000</v>
      </c>
      <c r="I3086" s="24" t="s">
        <v>418</v>
      </c>
      <c r="J3086" s="25"/>
      <c r="K3086" s="25"/>
      <c r="L3086" s="25"/>
      <c r="M3086" s="25"/>
      <c r="N3086" s="25"/>
      <c r="O3086" s="25"/>
      <c r="P3086" s="25"/>
      <c r="Q3086" s="25"/>
      <c r="R3086" s="25"/>
      <c r="S3086" s="25"/>
      <c r="T3086" s="25"/>
      <c r="U3086" s="25"/>
      <c r="V3086" s="25"/>
      <c r="W3086" s="25"/>
      <c r="X3086" s="25"/>
      <c r="Y3086" s="25"/>
      <c r="Z3086" s="25"/>
    </row>
    <row r="3087" spans="1:26" ht="15.75" customHeight="1" x14ac:dyDescent="0.75">
      <c r="A3087" s="43" t="s">
        <v>19</v>
      </c>
      <c r="B3087" s="40"/>
      <c r="C3087" s="40"/>
      <c r="D3087" s="40"/>
      <c r="E3087" s="40"/>
      <c r="F3087" s="40"/>
      <c r="G3087" s="40"/>
      <c r="H3087" s="41"/>
      <c r="I3087" s="24" t="s">
        <v>418</v>
      </c>
      <c r="J3087" s="25"/>
      <c r="K3087" s="25"/>
      <c r="L3087" s="25"/>
      <c r="M3087" s="25"/>
      <c r="N3087" s="25"/>
      <c r="O3087" s="25"/>
      <c r="P3087" s="25"/>
      <c r="Q3087" s="25"/>
      <c r="R3087" s="25"/>
      <c r="S3087" s="25"/>
      <c r="T3087" s="25"/>
      <c r="U3087" s="25"/>
      <c r="V3087" s="25"/>
      <c r="W3087" s="25"/>
      <c r="X3087" s="25"/>
      <c r="Y3087" s="25"/>
      <c r="Z3087" s="25"/>
    </row>
    <row r="3088" spans="1:26" ht="15.75" customHeight="1" x14ac:dyDescent="0.45">
      <c r="A3088" s="25"/>
      <c r="B3088" s="25"/>
      <c r="C3088" s="25"/>
      <c r="D3088" s="25"/>
      <c r="E3088" s="25"/>
      <c r="F3088" s="25"/>
      <c r="G3088" s="25"/>
      <c r="H3088" s="25"/>
      <c r="I3088" s="24" t="s">
        <v>418</v>
      </c>
      <c r="J3088" s="25"/>
      <c r="K3088" s="25"/>
      <c r="L3088" s="25"/>
      <c r="M3088" s="25"/>
      <c r="N3088" s="25"/>
      <c r="O3088" s="25"/>
      <c r="P3088" s="25"/>
      <c r="Q3088" s="25"/>
      <c r="R3088" s="25"/>
      <c r="S3088" s="25"/>
      <c r="T3088" s="25"/>
      <c r="U3088" s="25"/>
      <c r="V3088" s="25"/>
      <c r="W3088" s="25"/>
      <c r="X3088" s="25"/>
      <c r="Y3088" s="25"/>
      <c r="Z3088" s="25"/>
    </row>
    <row r="3089" spans="1:26" ht="15.75" customHeight="1" x14ac:dyDescent="0.45">
      <c r="A3089" s="25"/>
      <c r="B3089" s="25"/>
      <c r="C3089" s="25"/>
      <c r="D3089" s="25"/>
      <c r="E3089" s="25"/>
      <c r="F3089" s="25"/>
      <c r="G3089" s="25"/>
      <c r="H3089" s="25"/>
      <c r="I3089" s="24" t="s">
        <v>418</v>
      </c>
      <c r="J3089" s="25"/>
      <c r="K3089" s="25"/>
      <c r="L3089" s="25"/>
      <c r="M3089" s="25"/>
      <c r="N3089" s="25"/>
      <c r="O3089" s="25"/>
      <c r="P3089" s="25"/>
      <c r="Q3089" s="25"/>
      <c r="R3089" s="25"/>
      <c r="S3089" s="25"/>
      <c r="T3089" s="25"/>
      <c r="U3089" s="25"/>
      <c r="V3089" s="25"/>
      <c r="W3089" s="25"/>
      <c r="X3089" s="25"/>
      <c r="Y3089" s="25"/>
      <c r="Z3089" s="25"/>
    </row>
    <row r="3090" spans="1:26" ht="15.75" customHeight="1" x14ac:dyDescent="0.45">
      <c r="A3090" s="25"/>
      <c r="B3090" s="25"/>
      <c r="C3090" s="25"/>
      <c r="D3090" s="25"/>
      <c r="E3090" s="25"/>
      <c r="F3090" s="25"/>
      <c r="G3090" s="25"/>
      <c r="H3090" s="25"/>
      <c r="I3090" s="24" t="s">
        <v>418</v>
      </c>
      <c r="J3090" s="25"/>
      <c r="K3090" s="25"/>
      <c r="L3090" s="25"/>
      <c r="M3090" s="25"/>
      <c r="N3090" s="25"/>
      <c r="O3090" s="25"/>
      <c r="P3090" s="25"/>
      <c r="Q3090" s="25"/>
      <c r="R3090" s="25"/>
      <c r="S3090" s="25"/>
      <c r="T3090" s="25"/>
      <c r="U3090" s="25"/>
      <c r="V3090" s="25"/>
      <c r="W3090" s="25"/>
      <c r="X3090" s="25"/>
      <c r="Y3090" s="25"/>
      <c r="Z3090" s="25"/>
    </row>
    <row r="3091" spans="1:26" ht="15.75" customHeight="1" x14ac:dyDescent="0.45">
      <c r="A3091" s="25"/>
      <c r="B3091" s="25"/>
      <c r="C3091" s="25"/>
      <c r="D3091" s="25"/>
      <c r="E3091" s="25"/>
      <c r="F3091" s="25"/>
      <c r="G3091" s="25"/>
      <c r="H3091" s="25"/>
      <c r="I3091" s="24" t="s">
        <v>418</v>
      </c>
      <c r="J3091" s="25"/>
      <c r="K3091" s="25"/>
      <c r="L3091" s="25"/>
      <c r="M3091" s="25"/>
      <c r="N3091" s="25"/>
      <c r="O3091" s="25"/>
      <c r="P3091" s="25"/>
      <c r="Q3091" s="25"/>
      <c r="R3091" s="25"/>
      <c r="S3091" s="25"/>
      <c r="T3091" s="25"/>
      <c r="U3091" s="25"/>
      <c r="V3091" s="25"/>
      <c r="W3091" s="25"/>
      <c r="X3091" s="25"/>
      <c r="Y3091" s="25"/>
      <c r="Z3091" s="25"/>
    </row>
    <row r="3092" spans="1:26" ht="15.75" customHeight="1" x14ac:dyDescent="0.45">
      <c r="A3092" s="25"/>
      <c r="B3092" s="25"/>
      <c r="C3092" s="25"/>
      <c r="D3092" s="25"/>
      <c r="E3092" s="25"/>
      <c r="F3092" s="25"/>
      <c r="G3092" s="25"/>
      <c r="H3092" s="25"/>
      <c r="I3092" s="24" t="s">
        <v>418</v>
      </c>
      <c r="J3092" s="25"/>
      <c r="K3092" s="25"/>
      <c r="L3092" s="25"/>
      <c r="M3092" s="25"/>
      <c r="N3092" s="25"/>
      <c r="O3092" s="25"/>
      <c r="P3092" s="25"/>
      <c r="Q3092" s="25"/>
      <c r="R3092" s="25"/>
      <c r="S3092" s="25"/>
      <c r="T3092" s="25"/>
      <c r="U3092" s="25"/>
      <c r="V3092" s="25"/>
      <c r="W3092" s="25"/>
      <c r="X3092" s="25"/>
      <c r="Y3092" s="25"/>
      <c r="Z3092" s="25"/>
    </row>
    <row r="3093" spans="1:26" ht="15.75" customHeight="1" x14ac:dyDescent="0.45">
      <c r="A3093" s="25"/>
      <c r="B3093" s="25"/>
      <c r="C3093" s="25"/>
      <c r="D3093" s="25"/>
      <c r="E3093" s="25"/>
      <c r="F3093" s="25"/>
      <c r="G3093" s="25"/>
      <c r="H3093" s="25"/>
      <c r="I3093" s="24" t="s">
        <v>418</v>
      </c>
      <c r="J3093" s="25"/>
      <c r="K3093" s="25"/>
      <c r="L3093" s="25"/>
      <c r="M3093" s="25"/>
      <c r="N3093" s="25"/>
      <c r="O3093" s="25"/>
      <c r="P3093" s="25"/>
      <c r="Q3093" s="25"/>
      <c r="R3093" s="25"/>
      <c r="S3093" s="25"/>
      <c r="T3093" s="25"/>
      <c r="U3093" s="25"/>
      <c r="V3093" s="25"/>
      <c r="W3093" s="25"/>
      <c r="X3093" s="25"/>
      <c r="Y3093" s="25"/>
      <c r="Z3093" s="25"/>
    </row>
    <row r="3094" spans="1:26" ht="15.75" customHeight="1" x14ac:dyDescent="0.75">
      <c r="A3094" s="43" t="s">
        <v>0</v>
      </c>
      <c r="B3094" s="40"/>
      <c r="C3094" s="40"/>
      <c r="D3094" s="40"/>
      <c r="E3094" s="40"/>
      <c r="F3094" s="40"/>
      <c r="G3094" s="40"/>
      <c r="H3094" s="41"/>
      <c r="I3094" s="24" t="s">
        <v>418</v>
      </c>
      <c r="J3094" s="25"/>
      <c r="K3094" s="25"/>
      <c r="L3094" s="25"/>
      <c r="M3094" s="25"/>
      <c r="N3094" s="25"/>
      <c r="O3094" s="25"/>
      <c r="P3094" s="25"/>
      <c r="Q3094" s="25"/>
      <c r="R3094" s="25"/>
      <c r="S3094" s="25"/>
      <c r="T3094" s="25"/>
      <c r="U3094" s="25"/>
      <c r="V3094" s="25"/>
      <c r="W3094" s="25"/>
      <c r="X3094" s="25"/>
      <c r="Y3094" s="25"/>
      <c r="Z3094" s="25"/>
    </row>
    <row r="3095" spans="1:26" ht="15.75" customHeight="1" x14ac:dyDescent="0.75">
      <c r="A3095" s="43" t="s">
        <v>469</v>
      </c>
      <c r="B3095" s="40"/>
      <c r="C3095" s="40"/>
      <c r="D3095" s="40"/>
      <c r="E3095" s="40"/>
      <c r="F3095" s="40"/>
      <c r="G3095" s="40"/>
      <c r="H3095" s="41"/>
      <c r="I3095" s="24" t="s">
        <v>418</v>
      </c>
      <c r="J3095" s="25"/>
      <c r="K3095" s="25"/>
      <c r="L3095" s="25"/>
      <c r="M3095" s="25"/>
      <c r="N3095" s="25"/>
      <c r="O3095" s="25"/>
      <c r="P3095" s="25"/>
      <c r="Q3095" s="25"/>
      <c r="R3095" s="25"/>
      <c r="S3095" s="25"/>
      <c r="T3095" s="25"/>
      <c r="U3095" s="25"/>
      <c r="V3095" s="25"/>
      <c r="W3095" s="25"/>
      <c r="X3095" s="25"/>
      <c r="Y3095" s="25"/>
      <c r="Z3095" s="25"/>
    </row>
    <row r="3096" spans="1:26" ht="15.75" customHeight="1" x14ac:dyDescent="0.55000000000000004">
      <c r="A3096" s="2" t="s">
        <v>3</v>
      </c>
      <c r="B3096" s="2" t="s">
        <v>4</v>
      </c>
      <c r="C3096" s="2" t="s">
        <v>5</v>
      </c>
      <c r="D3096" s="2" t="s">
        <v>6</v>
      </c>
      <c r="E3096" s="2" t="s">
        <v>7</v>
      </c>
      <c r="F3096" s="3" t="s">
        <v>8</v>
      </c>
      <c r="G3096" s="2" t="s">
        <v>9</v>
      </c>
      <c r="H3096" s="26"/>
      <c r="I3096" s="24" t="s">
        <v>418</v>
      </c>
      <c r="J3096" s="25"/>
      <c r="K3096" s="25"/>
      <c r="L3096" s="25"/>
      <c r="M3096" s="25"/>
      <c r="N3096" s="25"/>
      <c r="O3096" s="25"/>
      <c r="P3096" s="25"/>
      <c r="Q3096" s="25"/>
      <c r="R3096" s="25"/>
      <c r="S3096" s="25"/>
      <c r="T3096" s="25"/>
      <c r="U3096" s="25"/>
      <c r="V3096" s="25"/>
      <c r="W3096" s="25"/>
      <c r="X3096" s="25"/>
      <c r="Y3096" s="25"/>
      <c r="Z3096" s="25"/>
    </row>
    <row r="3097" spans="1:26" ht="15.75" customHeight="1" x14ac:dyDescent="0.75">
      <c r="A3097" s="5">
        <v>1</v>
      </c>
      <c r="B3097" s="27" t="s">
        <v>177</v>
      </c>
      <c r="C3097" s="28" t="s">
        <v>467</v>
      </c>
      <c r="D3097" s="27" t="s">
        <v>12</v>
      </c>
      <c r="E3097" s="27">
        <v>2</v>
      </c>
      <c r="F3097" s="8">
        <v>293000</v>
      </c>
      <c r="G3097" s="9">
        <f t="shared" ref="G3097:G3099" si="191">IFERROR(E3097*F3097,0)</f>
        <v>586000</v>
      </c>
      <c r="H3097" s="29"/>
      <c r="I3097" s="24" t="s">
        <v>418</v>
      </c>
      <c r="J3097" s="25"/>
      <c r="K3097" s="25"/>
      <c r="L3097" s="25"/>
      <c r="M3097" s="25"/>
      <c r="N3097" s="25"/>
      <c r="O3097" s="25"/>
      <c r="P3097" s="25"/>
      <c r="Q3097" s="25"/>
      <c r="R3097" s="25"/>
      <c r="S3097" s="25"/>
      <c r="T3097" s="25"/>
      <c r="U3097" s="25"/>
      <c r="V3097" s="25"/>
      <c r="W3097" s="25"/>
      <c r="X3097" s="25"/>
      <c r="Y3097" s="25"/>
      <c r="Z3097" s="25"/>
    </row>
    <row r="3098" spans="1:26" ht="15.75" customHeight="1" x14ac:dyDescent="0.75">
      <c r="A3098" s="5">
        <v>2</v>
      </c>
      <c r="B3098" s="30" t="s">
        <v>35</v>
      </c>
      <c r="C3098" s="31" t="s">
        <v>470</v>
      </c>
      <c r="D3098" s="30" t="s">
        <v>14</v>
      </c>
      <c r="E3098" s="30">
        <v>1.6</v>
      </c>
      <c r="F3098" s="11">
        <v>435000</v>
      </c>
      <c r="G3098" s="9">
        <f t="shared" si="191"/>
        <v>696000</v>
      </c>
      <c r="H3098" s="29"/>
      <c r="I3098" s="24" t="s">
        <v>418</v>
      </c>
      <c r="J3098" s="25"/>
      <c r="K3098" s="25"/>
      <c r="L3098" s="25"/>
      <c r="M3098" s="25"/>
      <c r="N3098" s="25"/>
      <c r="O3098" s="25"/>
      <c r="P3098" s="25"/>
      <c r="Q3098" s="25"/>
      <c r="R3098" s="25"/>
      <c r="S3098" s="25"/>
      <c r="T3098" s="25"/>
      <c r="U3098" s="25"/>
      <c r="V3098" s="25"/>
      <c r="W3098" s="25"/>
      <c r="X3098" s="25"/>
      <c r="Y3098" s="25"/>
      <c r="Z3098" s="25"/>
    </row>
    <row r="3099" spans="1:26" ht="15.75" customHeight="1" x14ac:dyDescent="0.75">
      <c r="A3099" s="5">
        <v>3</v>
      </c>
      <c r="B3099" s="12" t="s">
        <v>15</v>
      </c>
      <c r="C3099" s="29"/>
      <c r="D3099" s="29"/>
      <c r="E3099" s="29"/>
      <c r="F3099" s="29"/>
      <c r="G3099" s="13">
        <f t="shared" si="191"/>
        <v>0</v>
      </c>
      <c r="H3099" s="29"/>
      <c r="I3099" s="24" t="s">
        <v>418</v>
      </c>
      <c r="J3099" s="25"/>
      <c r="K3099" s="25"/>
      <c r="L3099" s="25"/>
      <c r="M3099" s="25"/>
      <c r="N3099" s="25"/>
      <c r="O3099" s="25"/>
      <c r="P3099" s="25"/>
      <c r="Q3099" s="25"/>
      <c r="R3099" s="25"/>
      <c r="S3099" s="25"/>
      <c r="T3099" s="25"/>
      <c r="U3099" s="25"/>
      <c r="V3099" s="25"/>
      <c r="W3099" s="25"/>
      <c r="X3099" s="25"/>
      <c r="Y3099" s="25"/>
      <c r="Z3099" s="25"/>
    </row>
    <row r="3100" spans="1:26" ht="15.75" customHeight="1" x14ac:dyDescent="0.75">
      <c r="A3100" s="39" t="s">
        <v>16</v>
      </c>
      <c r="B3100" s="40"/>
      <c r="C3100" s="40"/>
      <c r="D3100" s="40"/>
      <c r="E3100" s="40"/>
      <c r="F3100" s="40"/>
      <c r="G3100" s="41"/>
      <c r="H3100" s="14">
        <f>SUM(G3097:G3099)</f>
        <v>1282000</v>
      </c>
      <c r="I3100" s="24" t="s">
        <v>418</v>
      </c>
      <c r="J3100" s="25"/>
      <c r="K3100" s="25"/>
      <c r="L3100" s="25"/>
      <c r="M3100" s="25"/>
      <c r="N3100" s="25"/>
      <c r="O3100" s="25"/>
      <c r="P3100" s="25"/>
      <c r="Q3100" s="25"/>
      <c r="R3100" s="25"/>
      <c r="S3100" s="25"/>
      <c r="T3100" s="25"/>
      <c r="U3100" s="25"/>
      <c r="V3100" s="25"/>
      <c r="W3100" s="25"/>
      <c r="X3100" s="25"/>
      <c r="Y3100" s="25"/>
      <c r="Z3100" s="25"/>
    </row>
    <row r="3101" spans="1:26" ht="15.75" customHeight="1" x14ac:dyDescent="0.75">
      <c r="A3101" s="39" t="s">
        <v>17</v>
      </c>
      <c r="B3101" s="40"/>
      <c r="C3101" s="40"/>
      <c r="D3101" s="40"/>
      <c r="E3101" s="40"/>
      <c r="F3101" s="40"/>
      <c r="G3101" s="41"/>
      <c r="H3101" s="14">
        <f>MAX(0,H3100-648000)</f>
        <v>634000</v>
      </c>
      <c r="I3101" s="24" t="s">
        <v>418</v>
      </c>
      <c r="J3101" s="25"/>
      <c r="K3101" s="25"/>
      <c r="L3101" s="25"/>
      <c r="M3101" s="25"/>
      <c r="N3101" s="25"/>
      <c r="O3101" s="25"/>
      <c r="P3101" s="25"/>
      <c r="Q3101" s="25"/>
      <c r="R3101" s="25"/>
      <c r="S3101" s="25"/>
      <c r="T3101" s="25"/>
      <c r="U3101" s="25"/>
      <c r="V3101" s="25"/>
      <c r="W3101" s="25"/>
      <c r="X3101" s="25"/>
      <c r="Y3101" s="25"/>
      <c r="Z3101" s="25"/>
    </row>
    <row r="3102" spans="1:26" ht="15.75" customHeight="1" x14ac:dyDescent="0.75">
      <c r="A3102" s="42" t="s">
        <v>18</v>
      </c>
      <c r="B3102" s="40"/>
      <c r="C3102" s="40"/>
      <c r="D3102" s="40"/>
      <c r="E3102" s="40"/>
      <c r="F3102" s="40"/>
      <c r="G3102" s="41"/>
      <c r="H3102" s="15">
        <v>649000</v>
      </c>
      <c r="I3102" s="24" t="s">
        <v>418</v>
      </c>
      <c r="J3102" s="25"/>
      <c r="K3102" s="25"/>
      <c r="L3102" s="25"/>
      <c r="M3102" s="25"/>
      <c r="N3102" s="25"/>
      <c r="O3102" s="25"/>
      <c r="P3102" s="25"/>
      <c r="Q3102" s="25"/>
      <c r="R3102" s="25"/>
      <c r="S3102" s="25"/>
      <c r="T3102" s="25"/>
      <c r="U3102" s="25"/>
      <c r="V3102" s="25"/>
      <c r="W3102" s="25"/>
      <c r="X3102" s="25"/>
      <c r="Y3102" s="25"/>
      <c r="Z3102" s="25"/>
    </row>
    <row r="3103" spans="1:26" ht="15.75" customHeight="1" x14ac:dyDescent="0.75">
      <c r="A3103" s="43" t="s">
        <v>19</v>
      </c>
      <c r="B3103" s="40"/>
      <c r="C3103" s="40"/>
      <c r="D3103" s="40"/>
      <c r="E3103" s="40"/>
      <c r="F3103" s="40"/>
      <c r="G3103" s="40"/>
      <c r="H3103" s="41"/>
      <c r="I3103" s="24" t="s">
        <v>418</v>
      </c>
      <c r="J3103" s="25"/>
      <c r="K3103" s="25"/>
      <c r="L3103" s="25"/>
      <c r="M3103" s="25"/>
      <c r="N3103" s="25"/>
      <c r="O3103" s="25"/>
      <c r="P3103" s="25"/>
      <c r="Q3103" s="25"/>
      <c r="R3103" s="25"/>
      <c r="S3103" s="25"/>
      <c r="T3103" s="25"/>
      <c r="U3103" s="25"/>
      <c r="V3103" s="25"/>
      <c r="W3103" s="25"/>
      <c r="X3103" s="25"/>
      <c r="Y3103" s="25"/>
      <c r="Z3103" s="25"/>
    </row>
    <row r="3104" spans="1:26" ht="15.75" customHeight="1" x14ac:dyDescent="0.45">
      <c r="A3104" s="25"/>
      <c r="B3104" s="25"/>
      <c r="C3104" s="25"/>
      <c r="D3104" s="25"/>
      <c r="E3104" s="25"/>
      <c r="F3104" s="25"/>
      <c r="G3104" s="25"/>
      <c r="H3104" s="25"/>
      <c r="I3104" s="24" t="s">
        <v>418</v>
      </c>
      <c r="J3104" s="25"/>
      <c r="K3104" s="25"/>
      <c r="L3104" s="25"/>
      <c r="M3104" s="25"/>
      <c r="N3104" s="25"/>
      <c r="O3104" s="25"/>
      <c r="P3104" s="25"/>
      <c r="Q3104" s="25"/>
      <c r="R3104" s="25"/>
      <c r="S3104" s="25"/>
      <c r="T3104" s="25"/>
      <c r="U3104" s="25"/>
      <c r="V3104" s="25"/>
      <c r="W3104" s="25"/>
      <c r="X3104" s="25"/>
      <c r="Y3104" s="25"/>
      <c r="Z3104" s="25"/>
    </row>
    <row r="3105" spans="1:26" ht="15.75" customHeight="1" x14ac:dyDescent="0.45">
      <c r="A3105" s="25"/>
      <c r="B3105" s="25"/>
      <c r="C3105" s="25"/>
      <c r="D3105" s="25"/>
      <c r="E3105" s="25"/>
      <c r="F3105" s="25"/>
      <c r="G3105" s="25"/>
      <c r="H3105" s="25"/>
      <c r="I3105" s="24" t="s">
        <v>418</v>
      </c>
      <c r="J3105" s="25"/>
      <c r="K3105" s="25"/>
      <c r="L3105" s="25"/>
      <c r="M3105" s="25"/>
      <c r="N3105" s="25"/>
      <c r="O3105" s="25"/>
      <c r="P3105" s="25"/>
      <c r="Q3105" s="25"/>
      <c r="R3105" s="25"/>
      <c r="S3105" s="25"/>
      <c r="T3105" s="25"/>
      <c r="U3105" s="25"/>
      <c r="V3105" s="25"/>
      <c r="W3105" s="25"/>
      <c r="X3105" s="25"/>
      <c r="Y3105" s="25"/>
      <c r="Z3105" s="25"/>
    </row>
    <row r="3106" spans="1:26" ht="15.75" customHeight="1" x14ac:dyDescent="0.45">
      <c r="A3106" s="25"/>
      <c r="B3106" s="25"/>
      <c r="C3106" s="25"/>
      <c r="D3106" s="25"/>
      <c r="E3106" s="25"/>
      <c r="F3106" s="25"/>
      <c r="G3106" s="25"/>
      <c r="H3106" s="25"/>
      <c r="I3106" s="24" t="s">
        <v>418</v>
      </c>
      <c r="J3106" s="25"/>
      <c r="K3106" s="25"/>
      <c r="L3106" s="25"/>
      <c r="M3106" s="25"/>
      <c r="N3106" s="25"/>
      <c r="O3106" s="25"/>
      <c r="P3106" s="25"/>
      <c r="Q3106" s="25"/>
      <c r="R3106" s="25"/>
      <c r="S3106" s="25"/>
      <c r="T3106" s="25"/>
      <c r="U3106" s="25"/>
      <c r="V3106" s="25"/>
      <c r="W3106" s="25"/>
      <c r="X3106" s="25"/>
      <c r="Y3106" s="25"/>
      <c r="Z3106" s="25"/>
    </row>
    <row r="3107" spans="1:26" ht="15.75" customHeight="1" x14ac:dyDescent="0.45">
      <c r="A3107" s="25"/>
      <c r="B3107" s="25"/>
      <c r="C3107" s="25"/>
      <c r="D3107" s="25"/>
      <c r="E3107" s="25"/>
      <c r="F3107" s="25"/>
      <c r="G3107" s="25"/>
      <c r="H3107" s="25"/>
      <c r="I3107" s="24" t="s">
        <v>418</v>
      </c>
      <c r="J3107" s="25"/>
      <c r="K3107" s="25"/>
      <c r="L3107" s="25"/>
      <c r="M3107" s="25"/>
      <c r="N3107" s="25"/>
      <c r="O3107" s="25"/>
      <c r="P3107" s="25"/>
      <c r="Q3107" s="25"/>
      <c r="R3107" s="25"/>
      <c r="S3107" s="25"/>
      <c r="T3107" s="25"/>
      <c r="U3107" s="25"/>
      <c r="V3107" s="25"/>
      <c r="W3107" s="25"/>
      <c r="X3107" s="25"/>
      <c r="Y3107" s="25"/>
      <c r="Z3107" s="25"/>
    </row>
    <row r="3108" spans="1:26" ht="15.75" customHeight="1" x14ac:dyDescent="0.45">
      <c r="A3108" s="25"/>
      <c r="B3108" s="25"/>
      <c r="C3108" s="25"/>
      <c r="D3108" s="25"/>
      <c r="E3108" s="25"/>
      <c r="F3108" s="25"/>
      <c r="G3108" s="25"/>
      <c r="H3108" s="25"/>
      <c r="I3108" s="24" t="s">
        <v>418</v>
      </c>
      <c r="J3108" s="25"/>
      <c r="K3108" s="25"/>
      <c r="L3108" s="25"/>
      <c r="M3108" s="25"/>
      <c r="N3108" s="25"/>
      <c r="O3108" s="25"/>
      <c r="P3108" s="25"/>
      <c r="Q3108" s="25"/>
      <c r="R3108" s="25"/>
      <c r="S3108" s="25"/>
      <c r="T3108" s="25"/>
      <c r="U3108" s="25"/>
      <c r="V3108" s="25"/>
      <c r="W3108" s="25"/>
      <c r="X3108" s="25"/>
      <c r="Y3108" s="25"/>
      <c r="Z3108" s="25"/>
    </row>
    <row r="3109" spans="1:26" ht="15.75" customHeight="1" x14ac:dyDescent="0.45">
      <c r="A3109" s="25"/>
      <c r="B3109" s="25"/>
      <c r="C3109" s="25"/>
      <c r="D3109" s="25"/>
      <c r="E3109" s="25"/>
      <c r="F3109" s="25"/>
      <c r="G3109" s="25"/>
      <c r="H3109" s="25"/>
      <c r="I3109" s="24" t="s">
        <v>418</v>
      </c>
      <c r="J3109" s="25"/>
      <c r="K3109" s="25"/>
      <c r="L3109" s="25"/>
      <c r="M3109" s="25"/>
      <c r="N3109" s="25"/>
      <c r="O3109" s="25"/>
      <c r="P3109" s="25"/>
      <c r="Q3109" s="25"/>
      <c r="R3109" s="25"/>
      <c r="S3109" s="25"/>
      <c r="T3109" s="25"/>
      <c r="U3109" s="25"/>
      <c r="V3109" s="25"/>
      <c r="W3109" s="25"/>
      <c r="X3109" s="25"/>
      <c r="Y3109" s="25"/>
      <c r="Z3109" s="25"/>
    </row>
    <row r="3110" spans="1:26" ht="15.75" customHeight="1" x14ac:dyDescent="0.75">
      <c r="A3110" s="43" t="s">
        <v>0</v>
      </c>
      <c r="B3110" s="40"/>
      <c r="C3110" s="40"/>
      <c r="D3110" s="40"/>
      <c r="E3110" s="40"/>
      <c r="F3110" s="40"/>
      <c r="G3110" s="40"/>
      <c r="H3110" s="41"/>
      <c r="I3110" s="24" t="s">
        <v>418</v>
      </c>
      <c r="J3110" s="25"/>
      <c r="K3110" s="25"/>
      <c r="L3110" s="25"/>
      <c r="M3110" s="25"/>
      <c r="N3110" s="25"/>
      <c r="O3110" s="25"/>
      <c r="P3110" s="25"/>
      <c r="Q3110" s="25"/>
      <c r="R3110" s="25"/>
      <c r="S3110" s="25"/>
      <c r="T3110" s="25"/>
      <c r="U3110" s="25"/>
      <c r="V3110" s="25"/>
      <c r="W3110" s="25"/>
      <c r="X3110" s="25"/>
      <c r="Y3110" s="25"/>
      <c r="Z3110" s="25"/>
    </row>
    <row r="3111" spans="1:26" ht="15.75" customHeight="1" x14ac:dyDescent="0.75">
      <c r="A3111" s="43" t="s">
        <v>471</v>
      </c>
      <c r="B3111" s="40"/>
      <c r="C3111" s="40"/>
      <c r="D3111" s="40"/>
      <c r="E3111" s="40"/>
      <c r="F3111" s="40"/>
      <c r="G3111" s="40"/>
      <c r="H3111" s="41"/>
      <c r="I3111" s="24" t="s">
        <v>418</v>
      </c>
      <c r="J3111" s="25"/>
      <c r="K3111" s="25"/>
      <c r="L3111" s="25"/>
      <c r="M3111" s="25"/>
      <c r="N3111" s="25"/>
      <c r="O3111" s="25"/>
      <c r="P3111" s="25"/>
      <c r="Q3111" s="25"/>
      <c r="R3111" s="25"/>
      <c r="S3111" s="25"/>
      <c r="T3111" s="25"/>
      <c r="U3111" s="25"/>
      <c r="V3111" s="25"/>
      <c r="W3111" s="25"/>
      <c r="X3111" s="25"/>
      <c r="Y3111" s="25"/>
      <c r="Z3111" s="25"/>
    </row>
    <row r="3112" spans="1:26" ht="15.75" customHeight="1" x14ac:dyDescent="0.55000000000000004">
      <c r="A3112" s="2" t="s">
        <v>3</v>
      </c>
      <c r="B3112" s="2" t="s">
        <v>4</v>
      </c>
      <c r="C3112" s="2" t="s">
        <v>5</v>
      </c>
      <c r="D3112" s="2" t="s">
        <v>6</v>
      </c>
      <c r="E3112" s="2" t="s">
        <v>7</v>
      </c>
      <c r="F3112" s="3" t="s">
        <v>8</v>
      </c>
      <c r="G3112" s="2" t="s">
        <v>9</v>
      </c>
      <c r="H3112" s="26"/>
      <c r="I3112" s="24" t="s">
        <v>418</v>
      </c>
      <c r="J3112" s="25"/>
      <c r="K3112" s="25"/>
      <c r="L3112" s="25"/>
      <c r="M3112" s="25"/>
      <c r="N3112" s="25"/>
      <c r="O3112" s="25"/>
      <c r="P3112" s="25"/>
      <c r="Q3112" s="25"/>
      <c r="R3112" s="25"/>
      <c r="S3112" s="25"/>
      <c r="T3112" s="25"/>
      <c r="U3112" s="25"/>
      <c r="V3112" s="25"/>
      <c r="W3112" s="25"/>
      <c r="X3112" s="25"/>
      <c r="Y3112" s="25"/>
      <c r="Z3112" s="25"/>
    </row>
    <row r="3113" spans="1:26" ht="15.75" customHeight="1" x14ac:dyDescent="0.75">
      <c r="A3113" s="5">
        <v>1</v>
      </c>
      <c r="B3113" s="27" t="s">
        <v>203</v>
      </c>
      <c r="C3113" s="28" t="s">
        <v>449</v>
      </c>
      <c r="D3113" s="27" t="s">
        <v>12</v>
      </c>
      <c r="E3113" s="27">
        <v>2</v>
      </c>
      <c r="F3113" s="8">
        <v>293000</v>
      </c>
      <c r="G3113" s="9">
        <f t="shared" ref="G3113:G3115" si="192">IFERROR(E3113*F3113,0)</f>
        <v>586000</v>
      </c>
      <c r="H3113" s="29"/>
      <c r="I3113" s="24" t="s">
        <v>418</v>
      </c>
      <c r="J3113" s="25"/>
      <c r="K3113" s="25"/>
      <c r="L3113" s="25"/>
      <c r="M3113" s="25"/>
      <c r="N3113" s="25"/>
      <c r="O3113" s="25"/>
      <c r="P3113" s="25"/>
      <c r="Q3113" s="25"/>
      <c r="R3113" s="25"/>
      <c r="S3113" s="25"/>
      <c r="T3113" s="25"/>
      <c r="U3113" s="25"/>
      <c r="V3113" s="25"/>
      <c r="W3113" s="25"/>
      <c r="X3113" s="25"/>
      <c r="Y3113" s="25"/>
      <c r="Z3113" s="25"/>
    </row>
    <row r="3114" spans="1:26" ht="15.75" customHeight="1" x14ac:dyDescent="0.75">
      <c r="A3114" s="5">
        <v>2</v>
      </c>
      <c r="B3114" s="30" t="s">
        <v>472</v>
      </c>
      <c r="C3114" s="31" t="s">
        <v>473</v>
      </c>
      <c r="D3114" s="30" t="s">
        <v>14</v>
      </c>
      <c r="E3114" s="30">
        <v>1.5</v>
      </c>
      <c r="F3114" s="11">
        <v>435000</v>
      </c>
      <c r="G3114" s="9">
        <f t="shared" si="192"/>
        <v>652500</v>
      </c>
      <c r="H3114" s="29"/>
      <c r="I3114" s="24" t="s">
        <v>418</v>
      </c>
      <c r="J3114" s="25"/>
      <c r="K3114" s="25"/>
      <c r="L3114" s="25"/>
      <c r="M3114" s="25"/>
      <c r="N3114" s="25"/>
      <c r="O3114" s="25"/>
      <c r="P3114" s="25"/>
      <c r="Q3114" s="25"/>
      <c r="R3114" s="25"/>
      <c r="S3114" s="25"/>
      <c r="T3114" s="25"/>
      <c r="U3114" s="25"/>
      <c r="V3114" s="25"/>
      <c r="W3114" s="25"/>
      <c r="X3114" s="25"/>
      <c r="Y3114" s="25"/>
      <c r="Z3114" s="25"/>
    </row>
    <row r="3115" spans="1:26" ht="15.75" customHeight="1" x14ac:dyDescent="0.75">
      <c r="A3115" s="5">
        <v>3</v>
      </c>
      <c r="B3115" s="12" t="s">
        <v>15</v>
      </c>
      <c r="C3115" s="29"/>
      <c r="D3115" s="29"/>
      <c r="E3115" s="29"/>
      <c r="F3115" s="29"/>
      <c r="G3115" s="13">
        <f t="shared" si="192"/>
        <v>0</v>
      </c>
      <c r="H3115" s="29"/>
      <c r="I3115" s="24" t="s">
        <v>418</v>
      </c>
      <c r="J3115" s="25"/>
      <c r="K3115" s="25"/>
      <c r="L3115" s="25"/>
      <c r="M3115" s="25"/>
      <c r="N3115" s="25"/>
      <c r="O3115" s="25"/>
      <c r="P3115" s="25"/>
      <c r="Q3115" s="25"/>
      <c r="R3115" s="25"/>
      <c r="S3115" s="25"/>
      <c r="T3115" s="25"/>
      <c r="U3115" s="25"/>
      <c r="V3115" s="25"/>
      <c r="W3115" s="25"/>
      <c r="X3115" s="25"/>
      <c r="Y3115" s="25"/>
      <c r="Z3115" s="25"/>
    </row>
    <row r="3116" spans="1:26" ht="15.75" customHeight="1" x14ac:dyDescent="0.75">
      <c r="A3116" s="39" t="s">
        <v>16</v>
      </c>
      <c r="B3116" s="40"/>
      <c r="C3116" s="40"/>
      <c r="D3116" s="40"/>
      <c r="E3116" s="40"/>
      <c r="F3116" s="40"/>
      <c r="G3116" s="41"/>
      <c r="H3116" s="14">
        <f>SUM(G3113:G3115)</f>
        <v>1238500</v>
      </c>
      <c r="I3116" s="24" t="s">
        <v>418</v>
      </c>
      <c r="J3116" s="25"/>
      <c r="K3116" s="25"/>
      <c r="L3116" s="25"/>
      <c r="M3116" s="25"/>
      <c r="N3116" s="25"/>
      <c r="O3116" s="25"/>
      <c r="P3116" s="25"/>
      <c r="Q3116" s="25"/>
      <c r="R3116" s="25"/>
      <c r="S3116" s="25"/>
      <c r="T3116" s="25"/>
      <c r="U3116" s="25"/>
      <c r="V3116" s="25"/>
      <c r="W3116" s="25"/>
      <c r="X3116" s="25"/>
      <c r="Y3116" s="25"/>
      <c r="Z3116" s="25"/>
    </row>
    <row r="3117" spans="1:26" ht="15.75" customHeight="1" x14ac:dyDescent="0.75">
      <c r="A3117" s="39" t="s">
        <v>17</v>
      </c>
      <c r="B3117" s="40"/>
      <c r="C3117" s="40"/>
      <c r="D3117" s="40"/>
      <c r="E3117" s="40"/>
      <c r="F3117" s="40"/>
      <c r="G3117" s="41"/>
      <c r="H3117" s="14">
        <f>MAX(0,H3116-648000)</f>
        <v>590500</v>
      </c>
      <c r="I3117" s="24" t="s">
        <v>418</v>
      </c>
      <c r="J3117" s="25"/>
      <c r="K3117" s="25"/>
      <c r="L3117" s="25"/>
      <c r="M3117" s="25"/>
      <c r="N3117" s="25"/>
      <c r="O3117" s="25"/>
      <c r="P3117" s="25"/>
      <c r="Q3117" s="25"/>
      <c r="R3117" s="25"/>
      <c r="S3117" s="25"/>
      <c r="T3117" s="25"/>
      <c r="U3117" s="25"/>
      <c r="V3117" s="25"/>
      <c r="W3117" s="25"/>
      <c r="X3117" s="25"/>
      <c r="Y3117" s="25"/>
      <c r="Z3117" s="25"/>
    </row>
    <row r="3118" spans="1:26" ht="15.75" customHeight="1" x14ac:dyDescent="0.75">
      <c r="A3118" s="42" t="s">
        <v>18</v>
      </c>
      <c r="B3118" s="40"/>
      <c r="C3118" s="40"/>
      <c r="D3118" s="40"/>
      <c r="E3118" s="40"/>
      <c r="F3118" s="40"/>
      <c r="G3118" s="41"/>
      <c r="H3118" s="15">
        <v>649000</v>
      </c>
      <c r="I3118" s="24" t="s">
        <v>418</v>
      </c>
      <c r="J3118" s="25"/>
      <c r="K3118" s="25"/>
      <c r="L3118" s="25"/>
      <c r="M3118" s="25"/>
      <c r="N3118" s="25"/>
      <c r="O3118" s="25"/>
      <c r="P3118" s="25"/>
      <c r="Q3118" s="25"/>
      <c r="R3118" s="25"/>
      <c r="S3118" s="25"/>
      <c r="T3118" s="25"/>
      <c r="U3118" s="25"/>
      <c r="V3118" s="25"/>
      <c r="W3118" s="25"/>
      <c r="X3118" s="25"/>
      <c r="Y3118" s="25"/>
      <c r="Z3118" s="25"/>
    </row>
    <row r="3119" spans="1:26" ht="15.75" customHeight="1" x14ac:dyDescent="0.75">
      <c r="A3119" s="43" t="s">
        <v>19</v>
      </c>
      <c r="B3119" s="40"/>
      <c r="C3119" s="40"/>
      <c r="D3119" s="40"/>
      <c r="E3119" s="40"/>
      <c r="F3119" s="40"/>
      <c r="G3119" s="40"/>
      <c r="H3119" s="41"/>
      <c r="I3119" s="24" t="s">
        <v>418</v>
      </c>
      <c r="J3119" s="25"/>
      <c r="K3119" s="25"/>
      <c r="L3119" s="25"/>
      <c r="M3119" s="25"/>
      <c r="N3119" s="25"/>
      <c r="O3119" s="25"/>
      <c r="P3119" s="25"/>
      <c r="Q3119" s="25"/>
      <c r="R3119" s="25"/>
      <c r="S3119" s="25"/>
      <c r="T3119" s="25"/>
      <c r="U3119" s="25"/>
      <c r="V3119" s="25"/>
      <c r="W3119" s="25"/>
      <c r="X3119" s="25"/>
      <c r="Y3119" s="25"/>
      <c r="Z3119" s="25"/>
    </row>
    <row r="3120" spans="1:26" ht="15.75" customHeight="1" x14ac:dyDescent="0.45">
      <c r="A3120" s="25"/>
      <c r="B3120" s="25"/>
      <c r="C3120" s="25"/>
      <c r="D3120" s="25"/>
      <c r="E3120" s="25"/>
      <c r="F3120" s="25"/>
      <c r="G3120" s="25"/>
      <c r="H3120" s="25"/>
      <c r="I3120" s="24" t="s">
        <v>418</v>
      </c>
      <c r="J3120" s="25"/>
      <c r="K3120" s="25"/>
      <c r="L3120" s="25"/>
      <c r="M3120" s="25"/>
      <c r="N3120" s="25"/>
      <c r="O3120" s="25"/>
      <c r="P3120" s="25"/>
      <c r="Q3120" s="25"/>
      <c r="R3120" s="25"/>
      <c r="S3120" s="25"/>
      <c r="T3120" s="25"/>
      <c r="U3120" s="25"/>
      <c r="V3120" s="25"/>
      <c r="W3120" s="25"/>
      <c r="X3120" s="25"/>
      <c r="Y3120" s="25"/>
      <c r="Z3120" s="25"/>
    </row>
    <row r="3121" spans="1:26" ht="15.75" customHeight="1" x14ac:dyDescent="0.45">
      <c r="A3121" s="25"/>
      <c r="B3121" s="25"/>
      <c r="C3121" s="25"/>
      <c r="D3121" s="25"/>
      <c r="E3121" s="25"/>
      <c r="F3121" s="25"/>
      <c r="G3121" s="25"/>
      <c r="H3121" s="25"/>
      <c r="I3121" s="24" t="s">
        <v>418</v>
      </c>
      <c r="J3121" s="25"/>
      <c r="K3121" s="25"/>
      <c r="L3121" s="25"/>
      <c r="M3121" s="25"/>
      <c r="N3121" s="25"/>
      <c r="O3121" s="25"/>
      <c r="P3121" s="25"/>
      <c r="Q3121" s="25"/>
      <c r="R3121" s="25"/>
      <c r="S3121" s="25"/>
      <c r="T3121" s="25"/>
      <c r="U3121" s="25"/>
      <c r="V3121" s="25"/>
      <c r="W3121" s="25"/>
      <c r="X3121" s="25"/>
      <c r="Y3121" s="25"/>
      <c r="Z3121" s="25"/>
    </row>
    <row r="3122" spans="1:26" ht="15.75" customHeight="1" x14ac:dyDescent="0.45">
      <c r="A3122" s="25"/>
      <c r="B3122" s="25"/>
      <c r="C3122" s="25"/>
      <c r="D3122" s="25"/>
      <c r="E3122" s="25"/>
      <c r="F3122" s="25"/>
      <c r="G3122" s="25"/>
      <c r="H3122" s="25"/>
      <c r="I3122" s="24" t="s">
        <v>418</v>
      </c>
      <c r="J3122" s="25"/>
      <c r="K3122" s="25"/>
      <c r="L3122" s="25"/>
      <c r="M3122" s="25"/>
      <c r="N3122" s="25"/>
      <c r="O3122" s="25"/>
      <c r="P3122" s="25"/>
      <c r="Q3122" s="25"/>
      <c r="R3122" s="25"/>
      <c r="S3122" s="25"/>
      <c r="T3122" s="25"/>
      <c r="U3122" s="25"/>
      <c r="V3122" s="25"/>
      <c r="W3122" s="25"/>
      <c r="X3122" s="25"/>
      <c r="Y3122" s="25"/>
      <c r="Z3122" s="25"/>
    </row>
    <row r="3123" spans="1:26" ht="15.75" customHeight="1" x14ac:dyDescent="0.45">
      <c r="A3123" s="25"/>
      <c r="B3123" s="25"/>
      <c r="C3123" s="25"/>
      <c r="D3123" s="25"/>
      <c r="E3123" s="25"/>
      <c r="F3123" s="25"/>
      <c r="G3123" s="25"/>
      <c r="H3123" s="25"/>
      <c r="I3123" s="24" t="s">
        <v>418</v>
      </c>
      <c r="J3123" s="25"/>
      <c r="K3123" s="25"/>
      <c r="L3123" s="25"/>
      <c r="M3123" s="25"/>
      <c r="N3123" s="25"/>
      <c r="O3123" s="25"/>
      <c r="P3123" s="25"/>
      <c r="Q3123" s="25"/>
      <c r="R3123" s="25"/>
      <c r="S3123" s="25"/>
      <c r="T3123" s="25"/>
      <c r="U3123" s="25"/>
      <c r="V3123" s="25"/>
      <c r="W3123" s="25"/>
      <c r="X3123" s="25"/>
      <c r="Y3123" s="25"/>
      <c r="Z3123" s="25"/>
    </row>
    <row r="3124" spans="1:26" ht="15.75" customHeight="1" x14ac:dyDescent="0.45">
      <c r="A3124" s="25"/>
      <c r="B3124" s="25"/>
      <c r="C3124" s="25"/>
      <c r="D3124" s="25"/>
      <c r="E3124" s="25"/>
      <c r="F3124" s="25"/>
      <c r="G3124" s="25"/>
      <c r="H3124" s="25"/>
      <c r="I3124" s="24" t="s">
        <v>418</v>
      </c>
      <c r="J3124" s="25"/>
      <c r="K3124" s="25"/>
      <c r="L3124" s="25"/>
      <c r="M3124" s="25"/>
      <c r="N3124" s="25"/>
      <c r="O3124" s="25"/>
      <c r="P3124" s="25"/>
      <c r="Q3124" s="25"/>
      <c r="R3124" s="25"/>
      <c r="S3124" s="25"/>
      <c r="T3124" s="25"/>
      <c r="U3124" s="25"/>
      <c r="V3124" s="25"/>
      <c r="W3124" s="25"/>
      <c r="X3124" s="25"/>
      <c r="Y3124" s="25"/>
      <c r="Z3124" s="25"/>
    </row>
    <row r="3125" spans="1:26" ht="15.75" customHeight="1" x14ac:dyDescent="0.75">
      <c r="A3125" s="43" t="s">
        <v>0</v>
      </c>
      <c r="B3125" s="40"/>
      <c r="C3125" s="40"/>
      <c r="D3125" s="40"/>
      <c r="E3125" s="40"/>
      <c r="F3125" s="40"/>
      <c r="G3125" s="40"/>
      <c r="H3125" s="41"/>
      <c r="I3125" s="24" t="s">
        <v>418</v>
      </c>
      <c r="J3125" s="25"/>
      <c r="K3125" s="25"/>
      <c r="L3125" s="25"/>
      <c r="M3125" s="25"/>
      <c r="N3125" s="25"/>
      <c r="O3125" s="25"/>
      <c r="P3125" s="25"/>
      <c r="Q3125" s="25"/>
      <c r="R3125" s="25"/>
      <c r="S3125" s="25"/>
      <c r="T3125" s="25"/>
      <c r="U3125" s="25"/>
      <c r="V3125" s="25"/>
      <c r="W3125" s="25"/>
      <c r="X3125" s="25"/>
      <c r="Y3125" s="25"/>
      <c r="Z3125" s="25"/>
    </row>
    <row r="3126" spans="1:26" ht="15.75" customHeight="1" x14ac:dyDescent="0.75">
      <c r="A3126" s="43" t="s">
        <v>474</v>
      </c>
      <c r="B3126" s="40"/>
      <c r="C3126" s="40"/>
      <c r="D3126" s="40"/>
      <c r="E3126" s="40"/>
      <c r="F3126" s="40"/>
      <c r="G3126" s="40"/>
      <c r="H3126" s="41"/>
      <c r="I3126" s="24" t="s">
        <v>418</v>
      </c>
      <c r="J3126" s="25"/>
      <c r="K3126" s="25"/>
      <c r="L3126" s="25"/>
      <c r="M3126" s="25"/>
      <c r="N3126" s="25"/>
      <c r="O3126" s="25"/>
      <c r="P3126" s="25"/>
      <c r="Q3126" s="25"/>
      <c r="R3126" s="25"/>
      <c r="S3126" s="25"/>
      <c r="T3126" s="25"/>
      <c r="U3126" s="25"/>
      <c r="V3126" s="25"/>
      <c r="W3126" s="25"/>
      <c r="X3126" s="25"/>
      <c r="Y3126" s="25"/>
      <c r="Z3126" s="25"/>
    </row>
    <row r="3127" spans="1:26" ht="15.75" customHeight="1" x14ac:dyDescent="0.55000000000000004">
      <c r="A3127" s="2" t="s">
        <v>3</v>
      </c>
      <c r="B3127" s="2" t="s">
        <v>4</v>
      </c>
      <c r="C3127" s="2" t="s">
        <v>5</v>
      </c>
      <c r="D3127" s="2" t="s">
        <v>6</v>
      </c>
      <c r="E3127" s="2" t="s">
        <v>7</v>
      </c>
      <c r="F3127" s="3" t="s">
        <v>8</v>
      </c>
      <c r="G3127" s="2" t="s">
        <v>9</v>
      </c>
      <c r="H3127" s="26"/>
      <c r="I3127" s="24" t="s">
        <v>418</v>
      </c>
      <c r="J3127" s="25"/>
      <c r="K3127" s="25"/>
      <c r="L3127" s="25"/>
      <c r="M3127" s="25"/>
      <c r="N3127" s="25"/>
      <c r="O3127" s="25"/>
      <c r="P3127" s="25"/>
      <c r="Q3127" s="25"/>
      <c r="R3127" s="25"/>
      <c r="S3127" s="25"/>
      <c r="T3127" s="25"/>
      <c r="U3127" s="25"/>
      <c r="V3127" s="25"/>
      <c r="W3127" s="25"/>
      <c r="X3127" s="25"/>
      <c r="Y3127" s="25"/>
      <c r="Z3127" s="25"/>
    </row>
    <row r="3128" spans="1:26" ht="15.75" customHeight="1" x14ac:dyDescent="0.75">
      <c r="A3128" s="5">
        <v>1</v>
      </c>
      <c r="B3128" s="27" t="s">
        <v>203</v>
      </c>
      <c r="C3128" s="28" t="s">
        <v>449</v>
      </c>
      <c r="D3128" s="27" t="s">
        <v>12</v>
      </c>
      <c r="E3128" s="27">
        <v>2</v>
      </c>
      <c r="F3128" s="8">
        <v>293000</v>
      </c>
      <c r="G3128" s="9">
        <f t="shared" ref="G3128:G3130" si="193">IFERROR(E3128*F3128,0)</f>
        <v>586000</v>
      </c>
      <c r="H3128" s="29"/>
      <c r="I3128" s="24" t="s">
        <v>418</v>
      </c>
      <c r="J3128" s="25"/>
      <c r="K3128" s="25"/>
      <c r="L3128" s="25"/>
      <c r="M3128" s="25"/>
      <c r="N3128" s="25"/>
      <c r="O3128" s="25"/>
      <c r="P3128" s="25"/>
      <c r="Q3128" s="25"/>
      <c r="R3128" s="25"/>
      <c r="S3128" s="25"/>
      <c r="T3128" s="25"/>
      <c r="U3128" s="25"/>
      <c r="V3128" s="25"/>
      <c r="W3128" s="25"/>
      <c r="X3128" s="25"/>
      <c r="Y3128" s="25"/>
      <c r="Z3128" s="25"/>
    </row>
    <row r="3129" spans="1:26" ht="15.75" customHeight="1" x14ac:dyDescent="0.75">
      <c r="A3129" s="5">
        <v>2</v>
      </c>
      <c r="B3129" s="30" t="s">
        <v>378</v>
      </c>
      <c r="C3129" s="31" t="s">
        <v>475</v>
      </c>
      <c r="D3129" s="30" t="s">
        <v>14</v>
      </c>
      <c r="E3129" s="30">
        <v>1.5</v>
      </c>
      <c r="F3129" s="11">
        <v>435000</v>
      </c>
      <c r="G3129" s="9">
        <f t="shared" si="193"/>
        <v>652500</v>
      </c>
      <c r="H3129" s="29"/>
      <c r="I3129" s="24" t="s">
        <v>418</v>
      </c>
      <c r="J3129" s="25"/>
      <c r="K3129" s="25"/>
      <c r="L3129" s="25"/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25"/>
      <c r="X3129" s="25"/>
      <c r="Y3129" s="25"/>
      <c r="Z3129" s="25"/>
    </row>
    <row r="3130" spans="1:26" ht="15.75" customHeight="1" x14ac:dyDescent="0.75">
      <c r="A3130" s="5">
        <v>3</v>
      </c>
      <c r="B3130" s="12" t="s">
        <v>15</v>
      </c>
      <c r="C3130" s="29"/>
      <c r="D3130" s="29"/>
      <c r="E3130" s="29"/>
      <c r="F3130" s="29"/>
      <c r="G3130" s="13">
        <f t="shared" si="193"/>
        <v>0</v>
      </c>
      <c r="H3130" s="29"/>
      <c r="I3130" s="24" t="s">
        <v>418</v>
      </c>
      <c r="J3130" s="25"/>
      <c r="K3130" s="25"/>
      <c r="L3130" s="25"/>
      <c r="M3130" s="25"/>
      <c r="N3130" s="25"/>
      <c r="O3130" s="25"/>
      <c r="P3130" s="25"/>
      <c r="Q3130" s="25"/>
      <c r="R3130" s="25"/>
      <c r="S3130" s="25"/>
      <c r="T3130" s="25"/>
      <c r="U3130" s="25"/>
      <c r="V3130" s="25"/>
      <c r="W3130" s="25"/>
      <c r="X3130" s="25"/>
      <c r="Y3130" s="25"/>
      <c r="Z3130" s="25"/>
    </row>
    <row r="3131" spans="1:26" ht="15.75" customHeight="1" x14ac:dyDescent="0.75">
      <c r="A3131" s="39" t="s">
        <v>16</v>
      </c>
      <c r="B3131" s="40"/>
      <c r="C3131" s="40"/>
      <c r="D3131" s="40"/>
      <c r="E3131" s="40"/>
      <c r="F3131" s="40"/>
      <c r="G3131" s="41"/>
      <c r="H3131" s="14">
        <f>SUM(G3128:G3130)</f>
        <v>1238500</v>
      </c>
      <c r="I3131" s="24" t="s">
        <v>418</v>
      </c>
      <c r="J3131" s="25"/>
      <c r="K3131" s="25"/>
      <c r="L3131" s="25"/>
      <c r="M3131" s="25"/>
      <c r="N3131" s="25"/>
      <c r="O3131" s="25"/>
      <c r="P3131" s="25"/>
      <c r="Q3131" s="25"/>
      <c r="R3131" s="25"/>
      <c r="S3131" s="25"/>
      <c r="T3131" s="25"/>
      <c r="U3131" s="25"/>
      <c r="V3131" s="25"/>
      <c r="W3131" s="25"/>
      <c r="X3131" s="25"/>
      <c r="Y3131" s="25"/>
      <c r="Z3131" s="25"/>
    </row>
    <row r="3132" spans="1:26" ht="15.75" customHeight="1" x14ac:dyDescent="0.75">
      <c r="A3132" s="39" t="s">
        <v>17</v>
      </c>
      <c r="B3132" s="40"/>
      <c r="C3132" s="40"/>
      <c r="D3132" s="40"/>
      <c r="E3132" s="40"/>
      <c r="F3132" s="40"/>
      <c r="G3132" s="41"/>
      <c r="H3132" s="14">
        <f>MAX(0,H3131-648000)</f>
        <v>590500</v>
      </c>
      <c r="I3132" s="24" t="s">
        <v>418</v>
      </c>
      <c r="J3132" s="25"/>
      <c r="K3132" s="25"/>
      <c r="L3132" s="25"/>
      <c r="M3132" s="25"/>
      <c r="N3132" s="25"/>
      <c r="O3132" s="25"/>
      <c r="P3132" s="25"/>
      <c r="Q3132" s="25"/>
      <c r="R3132" s="25"/>
      <c r="S3132" s="25"/>
      <c r="T3132" s="25"/>
      <c r="U3132" s="25"/>
      <c r="V3132" s="25"/>
      <c r="W3132" s="25"/>
      <c r="X3132" s="25"/>
      <c r="Y3132" s="25"/>
      <c r="Z3132" s="25"/>
    </row>
    <row r="3133" spans="1:26" ht="15.75" customHeight="1" x14ac:dyDescent="0.75">
      <c r="A3133" s="42" t="s">
        <v>18</v>
      </c>
      <c r="B3133" s="40"/>
      <c r="C3133" s="40"/>
      <c r="D3133" s="40"/>
      <c r="E3133" s="40"/>
      <c r="F3133" s="40"/>
      <c r="G3133" s="41"/>
      <c r="H3133" s="15">
        <v>649000</v>
      </c>
      <c r="I3133" s="24" t="s">
        <v>418</v>
      </c>
      <c r="J3133" s="25"/>
      <c r="K3133" s="25"/>
      <c r="L3133" s="25"/>
      <c r="M3133" s="25"/>
      <c r="N3133" s="25"/>
      <c r="O3133" s="25"/>
      <c r="P3133" s="25"/>
      <c r="Q3133" s="25"/>
      <c r="R3133" s="25"/>
      <c r="S3133" s="25"/>
      <c r="T3133" s="25"/>
      <c r="U3133" s="25"/>
      <c r="V3133" s="25"/>
      <c r="W3133" s="25"/>
      <c r="X3133" s="25"/>
      <c r="Y3133" s="25"/>
      <c r="Z3133" s="25"/>
    </row>
    <row r="3134" spans="1:26" ht="15.75" customHeight="1" x14ac:dyDescent="0.75">
      <c r="A3134" s="43" t="s">
        <v>19</v>
      </c>
      <c r="B3134" s="40"/>
      <c r="C3134" s="40"/>
      <c r="D3134" s="40"/>
      <c r="E3134" s="40"/>
      <c r="F3134" s="40"/>
      <c r="G3134" s="40"/>
      <c r="H3134" s="41"/>
      <c r="I3134" s="24" t="s">
        <v>418</v>
      </c>
      <c r="J3134" s="25"/>
      <c r="K3134" s="25"/>
      <c r="L3134" s="25"/>
      <c r="M3134" s="25"/>
      <c r="N3134" s="25"/>
      <c r="O3134" s="25"/>
      <c r="P3134" s="25"/>
      <c r="Q3134" s="25"/>
      <c r="R3134" s="25"/>
      <c r="S3134" s="25"/>
      <c r="T3134" s="25"/>
      <c r="U3134" s="25"/>
      <c r="V3134" s="25"/>
      <c r="W3134" s="25"/>
      <c r="X3134" s="25"/>
      <c r="Y3134" s="25"/>
      <c r="Z3134" s="25"/>
    </row>
    <row r="3135" spans="1:26" ht="15.75" customHeight="1" x14ac:dyDescent="0.45">
      <c r="A3135" s="25"/>
      <c r="B3135" s="25"/>
      <c r="C3135" s="25"/>
      <c r="D3135" s="25"/>
      <c r="E3135" s="25"/>
      <c r="F3135" s="25"/>
      <c r="G3135" s="25"/>
      <c r="H3135" s="25"/>
      <c r="I3135" s="24" t="s">
        <v>418</v>
      </c>
      <c r="J3135" s="25"/>
      <c r="K3135" s="25"/>
      <c r="L3135" s="25"/>
      <c r="M3135" s="25"/>
      <c r="N3135" s="25"/>
      <c r="O3135" s="25"/>
      <c r="P3135" s="25"/>
      <c r="Q3135" s="25"/>
      <c r="R3135" s="25"/>
      <c r="S3135" s="25"/>
      <c r="T3135" s="25"/>
      <c r="U3135" s="25"/>
      <c r="V3135" s="25"/>
      <c r="W3135" s="25"/>
      <c r="X3135" s="25"/>
      <c r="Y3135" s="25"/>
      <c r="Z3135" s="25"/>
    </row>
    <row r="3136" spans="1:26" ht="15.75" customHeight="1" x14ac:dyDescent="0.45">
      <c r="A3136" s="25"/>
      <c r="B3136" s="25"/>
      <c r="C3136" s="25"/>
      <c r="D3136" s="25"/>
      <c r="E3136" s="25"/>
      <c r="F3136" s="25"/>
      <c r="G3136" s="25"/>
      <c r="H3136" s="25"/>
      <c r="I3136" s="24" t="s">
        <v>418</v>
      </c>
      <c r="J3136" s="25"/>
      <c r="K3136" s="25"/>
      <c r="L3136" s="25"/>
      <c r="M3136" s="25"/>
      <c r="N3136" s="25"/>
      <c r="O3136" s="25"/>
      <c r="P3136" s="25"/>
      <c r="Q3136" s="25"/>
      <c r="R3136" s="25"/>
      <c r="S3136" s="25"/>
      <c r="T3136" s="25"/>
      <c r="U3136" s="25"/>
      <c r="V3136" s="25"/>
      <c r="W3136" s="25"/>
      <c r="X3136" s="25"/>
      <c r="Y3136" s="25"/>
      <c r="Z3136" s="25"/>
    </row>
    <row r="3137" spans="1:26" ht="15.75" customHeight="1" x14ac:dyDescent="0.45">
      <c r="A3137" s="25"/>
      <c r="B3137" s="25"/>
      <c r="C3137" s="25"/>
      <c r="D3137" s="25"/>
      <c r="E3137" s="25"/>
      <c r="F3137" s="25"/>
      <c r="G3137" s="25"/>
      <c r="H3137" s="25"/>
      <c r="I3137" s="24" t="s">
        <v>418</v>
      </c>
      <c r="J3137" s="25"/>
      <c r="K3137" s="25"/>
      <c r="L3137" s="25"/>
      <c r="M3137" s="25"/>
      <c r="N3137" s="25"/>
      <c r="O3137" s="25"/>
      <c r="P3137" s="25"/>
      <c r="Q3137" s="25"/>
      <c r="R3137" s="25"/>
      <c r="S3137" s="25"/>
      <c r="T3137" s="25"/>
      <c r="U3137" s="25"/>
      <c r="V3137" s="25"/>
      <c r="W3137" s="25"/>
      <c r="X3137" s="25"/>
      <c r="Y3137" s="25"/>
      <c r="Z3137" s="25"/>
    </row>
    <row r="3138" spans="1:26" ht="15.75" customHeight="1" x14ac:dyDescent="0.45">
      <c r="A3138" s="25"/>
      <c r="B3138" s="25"/>
      <c r="C3138" s="25"/>
      <c r="D3138" s="25"/>
      <c r="E3138" s="25"/>
      <c r="F3138" s="25"/>
      <c r="G3138" s="25"/>
      <c r="H3138" s="25"/>
      <c r="I3138" s="24" t="s">
        <v>418</v>
      </c>
      <c r="J3138" s="25"/>
      <c r="K3138" s="25"/>
      <c r="L3138" s="25"/>
      <c r="M3138" s="25"/>
      <c r="N3138" s="25"/>
      <c r="O3138" s="25"/>
      <c r="P3138" s="25"/>
      <c r="Q3138" s="25"/>
      <c r="R3138" s="25"/>
      <c r="S3138" s="25"/>
      <c r="T3138" s="25"/>
      <c r="U3138" s="25"/>
      <c r="V3138" s="25"/>
      <c r="W3138" s="25"/>
      <c r="X3138" s="25"/>
      <c r="Y3138" s="25"/>
      <c r="Z3138" s="25"/>
    </row>
    <row r="3139" spans="1:26" ht="15.75" customHeight="1" x14ac:dyDescent="0.45">
      <c r="A3139" s="25"/>
      <c r="B3139" s="25"/>
      <c r="C3139" s="25"/>
      <c r="D3139" s="25"/>
      <c r="E3139" s="25"/>
      <c r="F3139" s="25"/>
      <c r="G3139" s="25"/>
      <c r="H3139" s="25"/>
      <c r="I3139" s="24" t="s">
        <v>418</v>
      </c>
      <c r="J3139" s="25"/>
      <c r="K3139" s="25"/>
      <c r="L3139" s="25"/>
      <c r="M3139" s="25"/>
      <c r="N3139" s="25"/>
      <c r="O3139" s="25"/>
      <c r="P3139" s="25"/>
      <c r="Q3139" s="25"/>
      <c r="R3139" s="25"/>
      <c r="S3139" s="25"/>
      <c r="T3139" s="25"/>
      <c r="U3139" s="25"/>
      <c r="V3139" s="25"/>
      <c r="W3139" s="25"/>
      <c r="X3139" s="25"/>
      <c r="Y3139" s="25"/>
      <c r="Z3139" s="25"/>
    </row>
    <row r="3140" spans="1:26" ht="15.75" customHeight="1" x14ac:dyDescent="0.45">
      <c r="A3140" s="25"/>
      <c r="B3140" s="25"/>
      <c r="C3140" s="25"/>
      <c r="D3140" s="25"/>
      <c r="E3140" s="25"/>
      <c r="F3140" s="25"/>
      <c r="G3140" s="25"/>
      <c r="H3140" s="25"/>
      <c r="I3140" s="24" t="s">
        <v>418</v>
      </c>
      <c r="J3140" s="25"/>
      <c r="K3140" s="25"/>
      <c r="L3140" s="25"/>
      <c r="M3140" s="25"/>
      <c r="N3140" s="25"/>
      <c r="O3140" s="25"/>
      <c r="P3140" s="25"/>
      <c r="Q3140" s="25"/>
      <c r="R3140" s="25"/>
      <c r="S3140" s="25"/>
      <c r="T3140" s="25"/>
      <c r="U3140" s="25"/>
      <c r="V3140" s="25"/>
      <c r="W3140" s="25"/>
      <c r="X3140" s="25"/>
      <c r="Y3140" s="25"/>
      <c r="Z3140" s="25"/>
    </row>
    <row r="3141" spans="1:26" ht="15.75" customHeight="1" x14ac:dyDescent="0.75">
      <c r="A3141" s="43" t="s">
        <v>0</v>
      </c>
      <c r="B3141" s="40"/>
      <c r="C3141" s="40"/>
      <c r="D3141" s="40"/>
      <c r="E3141" s="40"/>
      <c r="F3141" s="40"/>
      <c r="G3141" s="40"/>
      <c r="H3141" s="41"/>
      <c r="I3141" s="24" t="s">
        <v>418</v>
      </c>
      <c r="J3141" s="25"/>
      <c r="K3141" s="25"/>
      <c r="L3141" s="25"/>
      <c r="M3141" s="25"/>
      <c r="N3141" s="25"/>
      <c r="O3141" s="25"/>
      <c r="P3141" s="25"/>
      <c r="Q3141" s="25"/>
      <c r="R3141" s="25"/>
      <c r="S3141" s="25"/>
      <c r="T3141" s="25"/>
      <c r="U3141" s="25"/>
      <c r="V3141" s="25"/>
      <c r="W3141" s="25"/>
      <c r="X3141" s="25"/>
      <c r="Y3141" s="25"/>
      <c r="Z3141" s="25"/>
    </row>
    <row r="3142" spans="1:26" ht="15.75" customHeight="1" x14ac:dyDescent="0.75">
      <c r="A3142" s="43" t="s">
        <v>476</v>
      </c>
      <c r="B3142" s="40"/>
      <c r="C3142" s="40"/>
      <c r="D3142" s="40"/>
      <c r="E3142" s="40"/>
      <c r="F3142" s="40"/>
      <c r="G3142" s="40"/>
      <c r="H3142" s="41"/>
      <c r="I3142" s="24" t="s">
        <v>418</v>
      </c>
      <c r="J3142" s="25"/>
      <c r="K3142" s="25"/>
      <c r="L3142" s="25"/>
      <c r="M3142" s="25"/>
      <c r="N3142" s="25"/>
      <c r="O3142" s="25"/>
      <c r="P3142" s="25"/>
      <c r="Q3142" s="25"/>
      <c r="R3142" s="25"/>
      <c r="S3142" s="25"/>
      <c r="T3142" s="25"/>
      <c r="U3142" s="25"/>
      <c r="V3142" s="25"/>
      <c r="W3142" s="25"/>
      <c r="X3142" s="25"/>
      <c r="Y3142" s="25"/>
      <c r="Z3142" s="25"/>
    </row>
    <row r="3143" spans="1:26" ht="15.75" customHeight="1" x14ac:dyDescent="0.55000000000000004">
      <c r="A3143" s="2" t="s">
        <v>3</v>
      </c>
      <c r="B3143" s="2" t="s">
        <v>4</v>
      </c>
      <c r="C3143" s="2" t="s">
        <v>5</v>
      </c>
      <c r="D3143" s="2" t="s">
        <v>6</v>
      </c>
      <c r="E3143" s="2" t="s">
        <v>7</v>
      </c>
      <c r="F3143" s="3" t="s">
        <v>8</v>
      </c>
      <c r="G3143" s="2" t="s">
        <v>9</v>
      </c>
      <c r="H3143" s="26"/>
      <c r="I3143" s="24" t="s">
        <v>418</v>
      </c>
      <c r="J3143" s="25"/>
      <c r="K3143" s="25"/>
      <c r="L3143" s="25"/>
      <c r="M3143" s="25"/>
      <c r="N3143" s="25"/>
      <c r="O3143" s="25"/>
      <c r="P3143" s="25"/>
      <c r="Q3143" s="25"/>
      <c r="R3143" s="25"/>
      <c r="S3143" s="25"/>
      <c r="T3143" s="25"/>
      <c r="U3143" s="25"/>
      <c r="V3143" s="25"/>
      <c r="W3143" s="25"/>
      <c r="X3143" s="25"/>
      <c r="Y3143" s="25"/>
      <c r="Z3143" s="25"/>
    </row>
    <row r="3144" spans="1:26" ht="15.75" customHeight="1" x14ac:dyDescent="0.75">
      <c r="A3144" s="5">
        <v>1</v>
      </c>
      <c r="B3144" s="27" t="s">
        <v>177</v>
      </c>
      <c r="C3144" s="28" t="s">
        <v>467</v>
      </c>
      <c r="D3144" s="27" t="s">
        <v>12</v>
      </c>
      <c r="E3144" s="27">
        <v>2</v>
      </c>
      <c r="F3144" s="8">
        <v>293000</v>
      </c>
      <c r="G3144" s="9">
        <f t="shared" ref="G3144:G3146" si="194">IFERROR(E3144*F3144,0)</f>
        <v>586000</v>
      </c>
      <c r="H3144" s="29"/>
      <c r="I3144" s="24" t="s">
        <v>418</v>
      </c>
      <c r="J3144" s="25"/>
      <c r="K3144" s="25"/>
      <c r="L3144" s="25"/>
      <c r="M3144" s="25"/>
      <c r="N3144" s="25"/>
      <c r="O3144" s="25"/>
      <c r="P3144" s="25"/>
      <c r="Q3144" s="25"/>
      <c r="R3144" s="25"/>
      <c r="S3144" s="25"/>
      <c r="T3144" s="25"/>
      <c r="U3144" s="25"/>
      <c r="V3144" s="25"/>
      <c r="W3144" s="25"/>
      <c r="X3144" s="25"/>
      <c r="Y3144" s="25"/>
      <c r="Z3144" s="25"/>
    </row>
    <row r="3145" spans="1:26" ht="15.75" customHeight="1" x14ac:dyDescent="0.75">
      <c r="A3145" s="5">
        <v>2</v>
      </c>
      <c r="B3145" s="30" t="s">
        <v>21</v>
      </c>
      <c r="C3145" s="31" t="s">
        <v>477</v>
      </c>
      <c r="D3145" s="30" t="s">
        <v>14</v>
      </c>
      <c r="E3145" s="30">
        <v>1.44</v>
      </c>
      <c r="F3145" s="11">
        <v>435000</v>
      </c>
      <c r="G3145" s="9">
        <f t="shared" si="194"/>
        <v>626400</v>
      </c>
      <c r="H3145" s="29"/>
      <c r="I3145" s="24" t="s">
        <v>418</v>
      </c>
      <c r="J3145" s="25"/>
      <c r="K3145" s="25"/>
      <c r="L3145" s="25"/>
      <c r="M3145" s="25"/>
      <c r="N3145" s="25"/>
      <c r="O3145" s="25"/>
      <c r="P3145" s="25"/>
      <c r="Q3145" s="25"/>
      <c r="R3145" s="25"/>
      <c r="S3145" s="25"/>
      <c r="T3145" s="25"/>
      <c r="U3145" s="25"/>
      <c r="V3145" s="25"/>
      <c r="W3145" s="25"/>
      <c r="X3145" s="25"/>
      <c r="Y3145" s="25"/>
      <c r="Z3145" s="25"/>
    </row>
    <row r="3146" spans="1:26" ht="15.75" customHeight="1" x14ac:dyDescent="0.75">
      <c r="A3146" s="5">
        <v>3</v>
      </c>
      <c r="B3146" s="12" t="s">
        <v>15</v>
      </c>
      <c r="C3146" s="29"/>
      <c r="D3146" s="29"/>
      <c r="E3146" s="29"/>
      <c r="F3146" s="29"/>
      <c r="G3146" s="13">
        <f t="shared" si="194"/>
        <v>0</v>
      </c>
      <c r="H3146" s="29"/>
      <c r="I3146" s="24" t="s">
        <v>418</v>
      </c>
      <c r="J3146" s="25"/>
      <c r="K3146" s="25"/>
      <c r="L3146" s="25"/>
      <c r="M3146" s="25"/>
      <c r="N3146" s="25"/>
      <c r="O3146" s="25"/>
      <c r="P3146" s="25"/>
      <c r="Q3146" s="25"/>
      <c r="R3146" s="25"/>
      <c r="S3146" s="25"/>
      <c r="T3146" s="25"/>
      <c r="U3146" s="25"/>
      <c r="V3146" s="25"/>
      <c r="W3146" s="25"/>
      <c r="X3146" s="25"/>
      <c r="Y3146" s="25"/>
      <c r="Z3146" s="25"/>
    </row>
    <row r="3147" spans="1:26" ht="15.75" customHeight="1" x14ac:dyDescent="0.75">
      <c r="A3147" s="39" t="s">
        <v>16</v>
      </c>
      <c r="B3147" s="40"/>
      <c r="C3147" s="40"/>
      <c r="D3147" s="40"/>
      <c r="E3147" s="40"/>
      <c r="F3147" s="40"/>
      <c r="G3147" s="41"/>
      <c r="H3147" s="14">
        <f>SUM(G3144:G3146)</f>
        <v>1212400</v>
      </c>
      <c r="I3147" s="24" t="s">
        <v>418</v>
      </c>
      <c r="J3147" s="25"/>
      <c r="K3147" s="25"/>
      <c r="L3147" s="25"/>
      <c r="M3147" s="25"/>
      <c r="N3147" s="25"/>
      <c r="O3147" s="25"/>
      <c r="P3147" s="25"/>
      <c r="Q3147" s="25"/>
      <c r="R3147" s="25"/>
      <c r="S3147" s="25"/>
      <c r="T3147" s="25"/>
      <c r="U3147" s="25"/>
      <c r="V3147" s="25"/>
      <c r="W3147" s="25"/>
      <c r="X3147" s="25"/>
      <c r="Y3147" s="25"/>
      <c r="Z3147" s="25"/>
    </row>
    <row r="3148" spans="1:26" ht="15.75" customHeight="1" x14ac:dyDescent="0.75">
      <c r="A3148" s="39" t="s">
        <v>17</v>
      </c>
      <c r="B3148" s="40"/>
      <c r="C3148" s="40"/>
      <c r="D3148" s="40"/>
      <c r="E3148" s="40"/>
      <c r="F3148" s="40"/>
      <c r="G3148" s="41"/>
      <c r="H3148" s="14">
        <f>MAX(0,H3147-648000)</f>
        <v>564400</v>
      </c>
      <c r="I3148" s="24" t="s">
        <v>418</v>
      </c>
      <c r="J3148" s="25"/>
      <c r="K3148" s="25"/>
      <c r="L3148" s="25"/>
      <c r="M3148" s="25"/>
      <c r="N3148" s="25"/>
      <c r="O3148" s="25"/>
      <c r="P3148" s="25"/>
      <c r="Q3148" s="25"/>
      <c r="R3148" s="25"/>
      <c r="S3148" s="25"/>
      <c r="T3148" s="25"/>
      <c r="U3148" s="25"/>
      <c r="V3148" s="25"/>
      <c r="W3148" s="25"/>
      <c r="X3148" s="25"/>
      <c r="Y3148" s="25"/>
      <c r="Z3148" s="25"/>
    </row>
    <row r="3149" spans="1:26" ht="15.75" customHeight="1" x14ac:dyDescent="0.75">
      <c r="A3149" s="42" t="s">
        <v>18</v>
      </c>
      <c r="B3149" s="40"/>
      <c r="C3149" s="40"/>
      <c r="D3149" s="40"/>
      <c r="E3149" s="40"/>
      <c r="F3149" s="40"/>
      <c r="G3149" s="41"/>
      <c r="H3149" s="15">
        <v>649000</v>
      </c>
      <c r="I3149" s="24" t="s">
        <v>418</v>
      </c>
      <c r="J3149" s="25"/>
      <c r="K3149" s="25"/>
      <c r="L3149" s="25"/>
      <c r="M3149" s="25"/>
      <c r="N3149" s="25"/>
      <c r="O3149" s="25"/>
      <c r="P3149" s="25"/>
      <c r="Q3149" s="25"/>
      <c r="R3149" s="25"/>
      <c r="S3149" s="25"/>
      <c r="T3149" s="25"/>
      <c r="U3149" s="25"/>
      <c r="V3149" s="25"/>
      <c r="W3149" s="25"/>
      <c r="X3149" s="25"/>
      <c r="Y3149" s="25"/>
      <c r="Z3149" s="25"/>
    </row>
    <row r="3150" spans="1:26" ht="15.75" customHeight="1" x14ac:dyDescent="0.75">
      <c r="A3150" s="43" t="s">
        <v>19</v>
      </c>
      <c r="B3150" s="40"/>
      <c r="C3150" s="40"/>
      <c r="D3150" s="40"/>
      <c r="E3150" s="40"/>
      <c r="F3150" s="40"/>
      <c r="G3150" s="40"/>
      <c r="H3150" s="41"/>
      <c r="I3150" s="24" t="s">
        <v>418</v>
      </c>
      <c r="J3150" s="25"/>
      <c r="K3150" s="25"/>
      <c r="L3150" s="25"/>
      <c r="M3150" s="25"/>
      <c r="N3150" s="25"/>
      <c r="O3150" s="25"/>
      <c r="P3150" s="25"/>
      <c r="Q3150" s="25"/>
      <c r="R3150" s="25"/>
      <c r="S3150" s="25"/>
      <c r="T3150" s="25"/>
      <c r="U3150" s="25"/>
      <c r="V3150" s="25"/>
      <c r="W3150" s="25"/>
      <c r="X3150" s="25"/>
      <c r="Y3150" s="25"/>
      <c r="Z3150" s="25"/>
    </row>
    <row r="3151" spans="1:26" ht="15.75" customHeight="1" x14ac:dyDescent="0.45">
      <c r="A3151" s="25"/>
      <c r="B3151" s="25"/>
      <c r="C3151" s="25"/>
      <c r="D3151" s="25"/>
      <c r="E3151" s="25"/>
      <c r="F3151" s="25"/>
      <c r="G3151" s="25"/>
      <c r="H3151" s="25"/>
      <c r="I3151" s="24" t="s">
        <v>418</v>
      </c>
      <c r="J3151" s="25"/>
      <c r="K3151" s="25"/>
      <c r="L3151" s="25"/>
      <c r="M3151" s="25"/>
      <c r="N3151" s="25"/>
      <c r="O3151" s="25"/>
      <c r="P3151" s="25"/>
      <c r="Q3151" s="25"/>
      <c r="R3151" s="25"/>
      <c r="S3151" s="25"/>
      <c r="T3151" s="25"/>
      <c r="U3151" s="25"/>
      <c r="V3151" s="25"/>
      <c r="W3151" s="25"/>
      <c r="X3151" s="25"/>
      <c r="Y3151" s="25"/>
      <c r="Z3151" s="25"/>
    </row>
    <row r="3152" spans="1:26" ht="15.75" customHeight="1" x14ac:dyDescent="0.45">
      <c r="A3152" s="25"/>
      <c r="B3152" s="25"/>
      <c r="C3152" s="25"/>
      <c r="D3152" s="25"/>
      <c r="E3152" s="25"/>
      <c r="F3152" s="25"/>
      <c r="G3152" s="25"/>
      <c r="H3152" s="25"/>
      <c r="I3152" s="24" t="s">
        <v>418</v>
      </c>
      <c r="J3152" s="25"/>
      <c r="K3152" s="25"/>
      <c r="L3152" s="25"/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</row>
    <row r="3153" spans="1:26" ht="15.75" customHeight="1" x14ac:dyDescent="0.45">
      <c r="A3153" s="25"/>
      <c r="B3153" s="25"/>
      <c r="C3153" s="25"/>
      <c r="D3153" s="25"/>
      <c r="E3153" s="25"/>
      <c r="F3153" s="25"/>
      <c r="G3153" s="25"/>
      <c r="H3153" s="25"/>
      <c r="I3153" s="24" t="s">
        <v>418</v>
      </c>
      <c r="J3153" s="25"/>
      <c r="K3153" s="25"/>
      <c r="L3153" s="25"/>
      <c r="M3153" s="25"/>
      <c r="N3153" s="25"/>
      <c r="O3153" s="25"/>
      <c r="P3153" s="25"/>
      <c r="Q3153" s="25"/>
      <c r="R3153" s="25"/>
      <c r="S3153" s="25"/>
      <c r="T3153" s="25"/>
      <c r="U3153" s="25"/>
      <c r="V3153" s="25"/>
      <c r="W3153" s="25"/>
      <c r="X3153" s="25"/>
      <c r="Y3153" s="25"/>
      <c r="Z3153" s="25"/>
    </row>
    <row r="3154" spans="1:26" ht="15.75" customHeight="1" x14ac:dyDescent="0.45">
      <c r="A3154" s="25"/>
      <c r="B3154" s="25"/>
      <c r="C3154" s="25"/>
      <c r="D3154" s="25"/>
      <c r="E3154" s="25"/>
      <c r="F3154" s="25"/>
      <c r="G3154" s="25"/>
      <c r="H3154" s="25"/>
      <c r="I3154" s="24" t="s">
        <v>418</v>
      </c>
      <c r="J3154" s="25"/>
      <c r="K3154" s="25"/>
      <c r="L3154" s="25"/>
      <c r="M3154" s="25"/>
      <c r="N3154" s="25"/>
      <c r="O3154" s="25"/>
      <c r="P3154" s="25"/>
      <c r="Q3154" s="25"/>
      <c r="R3154" s="25"/>
      <c r="S3154" s="25"/>
      <c r="T3154" s="25"/>
      <c r="U3154" s="25"/>
      <c r="V3154" s="25"/>
      <c r="W3154" s="25"/>
      <c r="X3154" s="25"/>
      <c r="Y3154" s="25"/>
      <c r="Z3154" s="25"/>
    </row>
    <row r="3155" spans="1:26" ht="15.75" customHeight="1" x14ac:dyDescent="0.45">
      <c r="A3155" s="25"/>
      <c r="B3155" s="25"/>
      <c r="C3155" s="25"/>
      <c r="D3155" s="25"/>
      <c r="E3155" s="25"/>
      <c r="F3155" s="25"/>
      <c r="G3155" s="25"/>
      <c r="H3155" s="25"/>
      <c r="I3155" s="24" t="s">
        <v>418</v>
      </c>
      <c r="J3155" s="25"/>
      <c r="K3155" s="25"/>
      <c r="L3155" s="25"/>
      <c r="M3155" s="25"/>
      <c r="N3155" s="25"/>
      <c r="O3155" s="25"/>
      <c r="P3155" s="25"/>
      <c r="Q3155" s="25"/>
      <c r="R3155" s="25"/>
      <c r="S3155" s="25"/>
      <c r="T3155" s="25"/>
      <c r="U3155" s="25"/>
      <c r="V3155" s="25"/>
      <c r="W3155" s="25"/>
      <c r="X3155" s="25"/>
      <c r="Y3155" s="25"/>
      <c r="Z3155" s="25"/>
    </row>
    <row r="3156" spans="1:26" ht="15.75" customHeight="1" x14ac:dyDescent="0.75">
      <c r="A3156" s="43" t="s">
        <v>0</v>
      </c>
      <c r="B3156" s="40"/>
      <c r="C3156" s="40"/>
      <c r="D3156" s="40"/>
      <c r="E3156" s="40"/>
      <c r="F3156" s="40"/>
      <c r="G3156" s="40"/>
      <c r="H3156" s="41"/>
      <c r="I3156" s="24" t="s">
        <v>418</v>
      </c>
      <c r="J3156" s="25"/>
      <c r="K3156" s="25"/>
      <c r="L3156" s="25"/>
      <c r="M3156" s="25"/>
      <c r="N3156" s="25"/>
      <c r="O3156" s="25"/>
      <c r="P3156" s="25"/>
      <c r="Q3156" s="25"/>
      <c r="R3156" s="25"/>
      <c r="S3156" s="25"/>
      <c r="T3156" s="25"/>
      <c r="U3156" s="25"/>
      <c r="V3156" s="25"/>
      <c r="W3156" s="25"/>
      <c r="X3156" s="25"/>
      <c r="Y3156" s="25"/>
      <c r="Z3156" s="25"/>
    </row>
    <row r="3157" spans="1:26" ht="15.75" customHeight="1" x14ac:dyDescent="0.75">
      <c r="A3157" s="43" t="s">
        <v>478</v>
      </c>
      <c r="B3157" s="40"/>
      <c r="C3157" s="40"/>
      <c r="D3157" s="40"/>
      <c r="E3157" s="40"/>
      <c r="F3157" s="40"/>
      <c r="G3157" s="40"/>
      <c r="H3157" s="41"/>
      <c r="I3157" s="24" t="s">
        <v>418</v>
      </c>
      <c r="J3157" s="25"/>
      <c r="K3157" s="25"/>
      <c r="L3157" s="25"/>
      <c r="M3157" s="25"/>
      <c r="N3157" s="25"/>
      <c r="O3157" s="25"/>
      <c r="P3157" s="25"/>
      <c r="Q3157" s="25"/>
      <c r="R3157" s="25"/>
      <c r="S3157" s="25"/>
      <c r="T3157" s="25"/>
      <c r="U3157" s="25"/>
      <c r="V3157" s="25"/>
      <c r="W3157" s="25"/>
      <c r="X3157" s="25"/>
      <c r="Y3157" s="25"/>
      <c r="Z3157" s="25"/>
    </row>
    <row r="3158" spans="1:26" ht="15.75" customHeight="1" x14ac:dyDescent="0.55000000000000004">
      <c r="A3158" s="2" t="s">
        <v>3</v>
      </c>
      <c r="B3158" s="2" t="s">
        <v>4</v>
      </c>
      <c r="C3158" s="2" t="s">
        <v>5</v>
      </c>
      <c r="D3158" s="2" t="s">
        <v>6</v>
      </c>
      <c r="E3158" s="2" t="s">
        <v>7</v>
      </c>
      <c r="F3158" s="3" t="s">
        <v>8</v>
      </c>
      <c r="G3158" s="2" t="s">
        <v>9</v>
      </c>
      <c r="H3158" s="26"/>
      <c r="I3158" s="24" t="s">
        <v>418</v>
      </c>
      <c r="J3158" s="25"/>
      <c r="K3158" s="25"/>
      <c r="L3158" s="25"/>
      <c r="M3158" s="25"/>
      <c r="N3158" s="25"/>
      <c r="O3158" s="25"/>
      <c r="P3158" s="25"/>
      <c r="Q3158" s="25"/>
      <c r="R3158" s="25"/>
      <c r="S3158" s="25"/>
      <c r="T3158" s="25"/>
      <c r="U3158" s="25"/>
      <c r="V3158" s="25"/>
      <c r="W3158" s="25"/>
      <c r="X3158" s="25"/>
      <c r="Y3158" s="25"/>
      <c r="Z3158" s="25"/>
    </row>
    <row r="3159" spans="1:26" ht="15.75" customHeight="1" x14ac:dyDescent="0.75">
      <c r="A3159" s="5">
        <v>1</v>
      </c>
      <c r="B3159" s="32" t="s">
        <v>89</v>
      </c>
      <c r="C3159" s="28" t="s">
        <v>479</v>
      </c>
      <c r="D3159" s="27" t="s">
        <v>12</v>
      </c>
      <c r="E3159" s="27">
        <v>2</v>
      </c>
      <c r="F3159" s="8">
        <v>293000</v>
      </c>
      <c r="G3159" s="9">
        <f t="shared" ref="G3159:G3161" si="195">IFERROR(E3159*F3159,0)</f>
        <v>586000</v>
      </c>
      <c r="H3159" s="29"/>
      <c r="I3159" s="24" t="s">
        <v>418</v>
      </c>
      <c r="J3159" s="25"/>
      <c r="K3159" s="25"/>
      <c r="L3159" s="25"/>
      <c r="M3159" s="25"/>
      <c r="N3159" s="25"/>
      <c r="O3159" s="25"/>
      <c r="P3159" s="25"/>
      <c r="Q3159" s="25"/>
      <c r="R3159" s="25"/>
      <c r="S3159" s="25"/>
      <c r="T3159" s="25"/>
      <c r="U3159" s="25"/>
      <c r="V3159" s="25"/>
      <c r="W3159" s="25"/>
      <c r="X3159" s="25"/>
      <c r="Y3159" s="25"/>
      <c r="Z3159" s="25"/>
    </row>
    <row r="3160" spans="1:26" ht="15.75" customHeight="1" x14ac:dyDescent="0.75">
      <c r="A3160" s="5">
        <v>2</v>
      </c>
      <c r="B3160" s="30" t="s">
        <v>480</v>
      </c>
      <c r="C3160" s="31" t="s">
        <v>481</v>
      </c>
      <c r="D3160" s="30" t="s">
        <v>14</v>
      </c>
      <c r="E3160" s="30">
        <v>1.42</v>
      </c>
      <c r="F3160" s="11">
        <v>435000</v>
      </c>
      <c r="G3160" s="9">
        <f t="shared" si="195"/>
        <v>617700</v>
      </c>
      <c r="H3160" s="29"/>
      <c r="I3160" s="24" t="s">
        <v>418</v>
      </c>
      <c r="J3160" s="25"/>
      <c r="K3160" s="25"/>
      <c r="L3160" s="25"/>
      <c r="M3160" s="25"/>
      <c r="N3160" s="25"/>
      <c r="O3160" s="25"/>
      <c r="P3160" s="25"/>
      <c r="Q3160" s="25"/>
      <c r="R3160" s="25"/>
      <c r="S3160" s="25"/>
      <c r="T3160" s="25"/>
      <c r="U3160" s="25"/>
      <c r="V3160" s="25"/>
      <c r="W3160" s="25"/>
      <c r="X3160" s="25"/>
      <c r="Y3160" s="25"/>
      <c r="Z3160" s="25"/>
    </row>
    <row r="3161" spans="1:26" ht="15.75" customHeight="1" x14ac:dyDescent="0.75">
      <c r="A3161" s="5">
        <v>3</v>
      </c>
      <c r="B3161" s="12" t="s">
        <v>15</v>
      </c>
      <c r="C3161" s="29"/>
      <c r="D3161" s="29"/>
      <c r="E3161" s="29"/>
      <c r="F3161" s="29"/>
      <c r="G3161" s="13">
        <f t="shared" si="195"/>
        <v>0</v>
      </c>
      <c r="H3161" s="29"/>
      <c r="I3161" s="24" t="s">
        <v>418</v>
      </c>
      <c r="J3161" s="25"/>
      <c r="K3161" s="25"/>
      <c r="L3161" s="25"/>
      <c r="M3161" s="25"/>
      <c r="N3161" s="25"/>
      <c r="O3161" s="25"/>
      <c r="P3161" s="25"/>
      <c r="Q3161" s="25"/>
      <c r="R3161" s="25"/>
      <c r="S3161" s="25"/>
      <c r="T3161" s="25"/>
      <c r="U3161" s="25"/>
      <c r="V3161" s="25"/>
      <c r="W3161" s="25"/>
      <c r="X3161" s="25"/>
      <c r="Y3161" s="25"/>
      <c r="Z3161" s="25"/>
    </row>
    <row r="3162" spans="1:26" ht="15.75" customHeight="1" x14ac:dyDescent="0.75">
      <c r="A3162" s="39" t="s">
        <v>16</v>
      </c>
      <c r="B3162" s="40"/>
      <c r="C3162" s="40"/>
      <c r="D3162" s="40"/>
      <c r="E3162" s="40"/>
      <c r="F3162" s="40"/>
      <c r="G3162" s="41"/>
      <c r="H3162" s="14">
        <f>SUM(G3159:G3161)</f>
        <v>1203700</v>
      </c>
      <c r="I3162" s="24" t="s">
        <v>418</v>
      </c>
      <c r="J3162" s="25"/>
      <c r="K3162" s="25"/>
      <c r="L3162" s="25"/>
      <c r="M3162" s="25"/>
      <c r="N3162" s="25"/>
      <c r="O3162" s="25"/>
      <c r="P3162" s="25"/>
      <c r="Q3162" s="25"/>
      <c r="R3162" s="25"/>
      <c r="S3162" s="25"/>
      <c r="T3162" s="25"/>
      <c r="U3162" s="25"/>
      <c r="V3162" s="25"/>
      <c r="W3162" s="25"/>
      <c r="X3162" s="25"/>
      <c r="Y3162" s="25"/>
      <c r="Z3162" s="25"/>
    </row>
    <row r="3163" spans="1:26" ht="15.75" customHeight="1" x14ac:dyDescent="0.75">
      <c r="A3163" s="39" t="s">
        <v>17</v>
      </c>
      <c r="B3163" s="40"/>
      <c r="C3163" s="40"/>
      <c r="D3163" s="40"/>
      <c r="E3163" s="40"/>
      <c r="F3163" s="40"/>
      <c r="G3163" s="41"/>
      <c r="H3163" s="14">
        <f>MAX(0,H3162-648000)</f>
        <v>555700</v>
      </c>
      <c r="I3163" s="24" t="s">
        <v>418</v>
      </c>
      <c r="J3163" s="25"/>
      <c r="K3163" s="25"/>
      <c r="L3163" s="25"/>
      <c r="M3163" s="25"/>
      <c r="N3163" s="25"/>
      <c r="O3163" s="25"/>
      <c r="P3163" s="25"/>
      <c r="Q3163" s="25"/>
      <c r="R3163" s="25"/>
      <c r="S3163" s="25"/>
      <c r="T3163" s="25"/>
      <c r="U3163" s="25"/>
      <c r="V3163" s="25"/>
      <c r="W3163" s="25"/>
      <c r="X3163" s="25"/>
      <c r="Y3163" s="25"/>
      <c r="Z3163" s="25"/>
    </row>
    <row r="3164" spans="1:26" ht="15.75" customHeight="1" x14ac:dyDescent="0.75">
      <c r="A3164" s="42" t="s">
        <v>18</v>
      </c>
      <c r="B3164" s="40"/>
      <c r="C3164" s="40"/>
      <c r="D3164" s="40"/>
      <c r="E3164" s="40"/>
      <c r="F3164" s="40"/>
      <c r="G3164" s="41"/>
      <c r="H3164" s="15">
        <v>649000</v>
      </c>
      <c r="I3164" s="24" t="s">
        <v>418</v>
      </c>
      <c r="J3164" s="25"/>
      <c r="K3164" s="25"/>
      <c r="L3164" s="25"/>
      <c r="M3164" s="25"/>
      <c r="N3164" s="25"/>
      <c r="O3164" s="25"/>
      <c r="P3164" s="25"/>
      <c r="Q3164" s="25"/>
      <c r="R3164" s="25"/>
      <c r="S3164" s="25"/>
      <c r="T3164" s="25"/>
      <c r="U3164" s="25"/>
      <c r="V3164" s="25"/>
      <c r="W3164" s="25"/>
      <c r="X3164" s="25"/>
      <c r="Y3164" s="25"/>
      <c r="Z3164" s="25"/>
    </row>
    <row r="3165" spans="1:26" ht="15.75" customHeight="1" x14ac:dyDescent="0.75">
      <c r="A3165" s="43" t="s">
        <v>19</v>
      </c>
      <c r="B3165" s="40"/>
      <c r="C3165" s="40"/>
      <c r="D3165" s="40"/>
      <c r="E3165" s="40"/>
      <c r="F3165" s="40"/>
      <c r="G3165" s="40"/>
      <c r="H3165" s="41"/>
      <c r="I3165" s="24" t="s">
        <v>418</v>
      </c>
      <c r="J3165" s="25"/>
      <c r="K3165" s="25"/>
      <c r="L3165" s="25"/>
      <c r="M3165" s="25"/>
      <c r="N3165" s="25"/>
      <c r="O3165" s="25"/>
      <c r="P3165" s="25"/>
      <c r="Q3165" s="25"/>
      <c r="R3165" s="25"/>
      <c r="S3165" s="25"/>
      <c r="T3165" s="25"/>
      <c r="U3165" s="25"/>
      <c r="V3165" s="25"/>
      <c r="W3165" s="25"/>
      <c r="X3165" s="25"/>
      <c r="Y3165" s="25"/>
      <c r="Z3165" s="25"/>
    </row>
    <row r="3166" spans="1:26" ht="15.75" customHeight="1" x14ac:dyDescent="0.45">
      <c r="A3166" s="25"/>
      <c r="B3166" s="25"/>
      <c r="C3166" s="25"/>
      <c r="D3166" s="25"/>
      <c r="E3166" s="25"/>
      <c r="F3166" s="25"/>
      <c r="G3166" s="25"/>
      <c r="H3166" s="25"/>
      <c r="I3166" s="24" t="s">
        <v>418</v>
      </c>
      <c r="J3166" s="25"/>
      <c r="K3166" s="25"/>
      <c r="L3166" s="25"/>
      <c r="M3166" s="25"/>
      <c r="N3166" s="25"/>
      <c r="O3166" s="25"/>
      <c r="P3166" s="25"/>
      <c r="Q3166" s="25"/>
      <c r="R3166" s="25"/>
      <c r="S3166" s="25"/>
      <c r="T3166" s="25"/>
      <c r="U3166" s="25"/>
      <c r="V3166" s="25"/>
      <c r="W3166" s="25"/>
      <c r="X3166" s="25"/>
      <c r="Y3166" s="25"/>
      <c r="Z3166" s="25"/>
    </row>
    <row r="3167" spans="1:26" ht="15.75" customHeight="1" x14ac:dyDescent="0.45">
      <c r="A3167" s="25"/>
      <c r="B3167" s="25"/>
      <c r="C3167" s="25"/>
      <c r="D3167" s="25"/>
      <c r="E3167" s="25"/>
      <c r="F3167" s="25"/>
      <c r="G3167" s="25"/>
      <c r="H3167" s="25"/>
      <c r="I3167" s="24" t="s">
        <v>418</v>
      </c>
      <c r="J3167" s="25"/>
      <c r="K3167" s="25"/>
      <c r="L3167" s="25"/>
      <c r="M3167" s="25"/>
      <c r="N3167" s="25"/>
      <c r="O3167" s="25"/>
      <c r="P3167" s="25"/>
      <c r="Q3167" s="25"/>
      <c r="R3167" s="25"/>
      <c r="S3167" s="25"/>
      <c r="T3167" s="25"/>
      <c r="U3167" s="25"/>
      <c r="V3167" s="25"/>
      <c r="W3167" s="25"/>
      <c r="X3167" s="25"/>
      <c r="Y3167" s="25"/>
      <c r="Z3167" s="25"/>
    </row>
    <row r="3168" spans="1:26" ht="15.75" customHeight="1" x14ac:dyDescent="0.45">
      <c r="A3168" s="25"/>
      <c r="B3168" s="25"/>
      <c r="C3168" s="25"/>
      <c r="D3168" s="25"/>
      <c r="E3168" s="25"/>
      <c r="F3168" s="25"/>
      <c r="G3168" s="25"/>
      <c r="H3168" s="25"/>
      <c r="I3168" s="24" t="s">
        <v>418</v>
      </c>
      <c r="J3168" s="25"/>
      <c r="K3168" s="25"/>
      <c r="L3168" s="25"/>
      <c r="M3168" s="25"/>
      <c r="N3168" s="25"/>
      <c r="O3168" s="25"/>
      <c r="P3168" s="25"/>
      <c r="Q3168" s="25"/>
      <c r="R3168" s="25"/>
      <c r="S3168" s="25"/>
      <c r="T3168" s="25"/>
      <c r="U3168" s="25"/>
      <c r="V3168" s="25"/>
      <c r="W3168" s="25"/>
      <c r="X3168" s="25"/>
      <c r="Y3168" s="25"/>
      <c r="Z3168" s="25"/>
    </row>
    <row r="3169" spans="1:26" ht="15.75" customHeight="1" x14ac:dyDescent="0.45">
      <c r="A3169" s="25"/>
      <c r="B3169" s="25"/>
      <c r="C3169" s="25"/>
      <c r="D3169" s="25"/>
      <c r="E3169" s="25"/>
      <c r="F3169" s="25"/>
      <c r="G3169" s="25"/>
      <c r="H3169" s="25"/>
      <c r="I3169" s="24" t="s">
        <v>418</v>
      </c>
      <c r="J3169" s="25"/>
      <c r="K3169" s="25"/>
      <c r="L3169" s="25"/>
      <c r="M3169" s="25"/>
      <c r="N3169" s="25"/>
      <c r="O3169" s="25"/>
      <c r="P3169" s="25"/>
      <c r="Q3169" s="25"/>
      <c r="R3169" s="25"/>
      <c r="S3169" s="25"/>
      <c r="T3169" s="25"/>
      <c r="U3169" s="25"/>
      <c r="V3169" s="25"/>
      <c r="W3169" s="25"/>
      <c r="X3169" s="25"/>
      <c r="Y3169" s="25"/>
      <c r="Z3169" s="25"/>
    </row>
    <row r="3170" spans="1:26" ht="15.75" customHeight="1" x14ac:dyDescent="0.45">
      <c r="A3170" s="25"/>
      <c r="B3170" s="25"/>
      <c r="C3170" s="25"/>
      <c r="D3170" s="25"/>
      <c r="E3170" s="25"/>
      <c r="F3170" s="25"/>
      <c r="G3170" s="25"/>
      <c r="H3170" s="25"/>
      <c r="I3170" s="24" t="s">
        <v>418</v>
      </c>
      <c r="J3170" s="25"/>
      <c r="K3170" s="25"/>
      <c r="L3170" s="25"/>
      <c r="M3170" s="25"/>
      <c r="N3170" s="25"/>
      <c r="O3170" s="25"/>
      <c r="P3170" s="25"/>
      <c r="Q3170" s="25"/>
      <c r="R3170" s="25"/>
      <c r="S3170" s="25"/>
      <c r="T3170" s="25"/>
      <c r="U3170" s="25"/>
      <c r="V3170" s="25"/>
      <c r="W3170" s="25"/>
      <c r="X3170" s="25"/>
      <c r="Y3170" s="25"/>
      <c r="Z3170" s="25"/>
    </row>
    <row r="3171" spans="1:26" ht="15.75" customHeight="1" x14ac:dyDescent="0.45">
      <c r="A3171" s="25"/>
      <c r="B3171" s="25"/>
      <c r="C3171" s="25"/>
      <c r="D3171" s="25"/>
      <c r="E3171" s="25"/>
      <c r="F3171" s="25"/>
      <c r="G3171" s="25"/>
      <c r="H3171" s="25"/>
      <c r="I3171" s="24" t="s">
        <v>418</v>
      </c>
      <c r="J3171" s="25"/>
      <c r="K3171" s="25"/>
      <c r="L3171" s="25"/>
      <c r="M3171" s="25"/>
      <c r="N3171" s="25"/>
      <c r="O3171" s="25"/>
      <c r="P3171" s="25"/>
      <c r="Q3171" s="25"/>
      <c r="R3171" s="25"/>
      <c r="S3171" s="25"/>
      <c r="T3171" s="25"/>
      <c r="U3171" s="25"/>
      <c r="V3171" s="25"/>
      <c r="W3171" s="25"/>
      <c r="X3171" s="25"/>
      <c r="Y3171" s="25"/>
      <c r="Z3171" s="25"/>
    </row>
    <row r="3172" spans="1:26" ht="15.75" customHeight="1" x14ac:dyDescent="0.45">
      <c r="A3172" s="25"/>
      <c r="B3172" s="25"/>
      <c r="C3172" s="25"/>
      <c r="D3172" s="25"/>
      <c r="E3172" s="25"/>
      <c r="F3172" s="25"/>
      <c r="G3172" s="25"/>
      <c r="H3172" s="25"/>
      <c r="I3172" s="24" t="s">
        <v>418</v>
      </c>
      <c r="J3172" s="25"/>
      <c r="K3172" s="25"/>
      <c r="L3172" s="25"/>
      <c r="M3172" s="25"/>
      <c r="N3172" s="25"/>
      <c r="O3172" s="25"/>
      <c r="P3172" s="25"/>
      <c r="Q3172" s="25"/>
      <c r="R3172" s="25"/>
      <c r="S3172" s="25"/>
      <c r="T3172" s="25"/>
      <c r="U3172" s="25"/>
      <c r="V3172" s="25"/>
      <c r="W3172" s="25"/>
      <c r="X3172" s="25"/>
      <c r="Y3172" s="25"/>
      <c r="Z3172" s="25"/>
    </row>
    <row r="3173" spans="1:26" ht="15.75" customHeight="1" x14ac:dyDescent="0.75">
      <c r="A3173" s="43" t="s">
        <v>0</v>
      </c>
      <c r="B3173" s="40"/>
      <c r="C3173" s="40"/>
      <c r="D3173" s="40"/>
      <c r="E3173" s="40"/>
      <c r="F3173" s="40"/>
      <c r="G3173" s="40"/>
      <c r="H3173" s="41"/>
      <c r="I3173" s="24" t="s">
        <v>418</v>
      </c>
      <c r="J3173" s="25"/>
      <c r="K3173" s="25"/>
      <c r="L3173" s="25"/>
      <c r="M3173" s="25"/>
      <c r="N3173" s="25"/>
      <c r="O3173" s="25"/>
      <c r="P3173" s="25"/>
      <c r="Q3173" s="25"/>
      <c r="R3173" s="25"/>
      <c r="S3173" s="25"/>
      <c r="T3173" s="25"/>
      <c r="U3173" s="25"/>
      <c r="V3173" s="25"/>
      <c r="W3173" s="25"/>
      <c r="X3173" s="25"/>
      <c r="Y3173" s="25"/>
      <c r="Z3173" s="25"/>
    </row>
    <row r="3174" spans="1:26" ht="15.75" customHeight="1" x14ac:dyDescent="0.75">
      <c r="A3174" s="43" t="s">
        <v>482</v>
      </c>
      <c r="B3174" s="40"/>
      <c r="C3174" s="40"/>
      <c r="D3174" s="40"/>
      <c r="E3174" s="40"/>
      <c r="F3174" s="40"/>
      <c r="G3174" s="40"/>
      <c r="H3174" s="41"/>
      <c r="I3174" s="24" t="s">
        <v>418</v>
      </c>
      <c r="J3174" s="25"/>
      <c r="K3174" s="25"/>
      <c r="L3174" s="25"/>
      <c r="M3174" s="25"/>
      <c r="N3174" s="25"/>
      <c r="O3174" s="25"/>
      <c r="P3174" s="25"/>
      <c r="Q3174" s="25"/>
      <c r="R3174" s="25"/>
      <c r="S3174" s="25"/>
      <c r="T3174" s="25"/>
      <c r="U3174" s="25"/>
      <c r="V3174" s="25"/>
      <c r="W3174" s="25"/>
      <c r="X3174" s="25"/>
      <c r="Y3174" s="25"/>
      <c r="Z3174" s="25"/>
    </row>
    <row r="3175" spans="1:26" ht="15.75" customHeight="1" x14ac:dyDescent="0.55000000000000004">
      <c r="A3175" s="2" t="s">
        <v>3</v>
      </c>
      <c r="B3175" s="2" t="s">
        <v>4</v>
      </c>
      <c r="C3175" s="2" t="s">
        <v>5</v>
      </c>
      <c r="D3175" s="2" t="s">
        <v>6</v>
      </c>
      <c r="E3175" s="2" t="s">
        <v>7</v>
      </c>
      <c r="F3175" s="3" t="s">
        <v>8</v>
      </c>
      <c r="G3175" s="2" t="s">
        <v>9</v>
      </c>
      <c r="H3175" s="26"/>
      <c r="I3175" s="24" t="s">
        <v>418</v>
      </c>
      <c r="J3175" s="25"/>
      <c r="K3175" s="25"/>
      <c r="L3175" s="25"/>
      <c r="M3175" s="25"/>
      <c r="N3175" s="25"/>
      <c r="O3175" s="25"/>
      <c r="P3175" s="25"/>
      <c r="Q3175" s="25"/>
      <c r="R3175" s="25"/>
      <c r="S3175" s="25"/>
      <c r="T3175" s="25"/>
      <c r="U3175" s="25"/>
      <c r="V3175" s="25"/>
      <c r="W3175" s="25"/>
      <c r="X3175" s="25"/>
      <c r="Y3175" s="25"/>
      <c r="Z3175" s="25"/>
    </row>
    <row r="3176" spans="1:26" ht="15.75" customHeight="1" x14ac:dyDescent="0.75">
      <c r="A3176" s="5">
        <v>1</v>
      </c>
      <c r="B3176" s="27" t="s">
        <v>27</v>
      </c>
      <c r="C3176" s="28" t="s">
        <v>468</v>
      </c>
      <c r="D3176" s="27" t="s">
        <v>12</v>
      </c>
      <c r="E3176" s="27">
        <v>2</v>
      </c>
      <c r="F3176" s="8">
        <v>293000</v>
      </c>
      <c r="G3176" s="9">
        <f t="shared" ref="G3176:G3178" si="196">IFERROR(E3176*F3176,0)</f>
        <v>586000</v>
      </c>
      <c r="H3176" s="29"/>
      <c r="I3176" s="24" t="s">
        <v>418</v>
      </c>
      <c r="J3176" s="25"/>
      <c r="K3176" s="25"/>
      <c r="L3176" s="25"/>
      <c r="M3176" s="25"/>
      <c r="N3176" s="25"/>
      <c r="O3176" s="25"/>
      <c r="P3176" s="25"/>
      <c r="Q3176" s="25"/>
      <c r="R3176" s="25"/>
      <c r="S3176" s="25"/>
      <c r="T3176" s="25"/>
      <c r="U3176" s="25"/>
      <c r="V3176" s="25"/>
      <c r="W3176" s="25"/>
      <c r="X3176" s="25"/>
      <c r="Y3176" s="25"/>
      <c r="Z3176" s="25"/>
    </row>
    <row r="3177" spans="1:26" ht="15.75" customHeight="1" x14ac:dyDescent="0.75">
      <c r="A3177" s="5">
        <v>2</v>
      </c>
      <c r="B3177" s="30" t="s">
        <v>21</v>
      </c>
      <c r="C3177" s="31" t="s">
        <v>483</v>
      </c>
      <c r="D3177" s="30" t="s">
        <v>14</v>
      </c>
      <c r="E3177" s="30">
        <v>1.2</v>
      </c>
      <c r="F3177" s="11">
        <v>435000</v>
      </c>
      <c r="G3177" s="9">
        <f t="shared" si="196"/>
        <v>522000</v>
      </c>
      <c r="H3177" s="29"/>
      <c r="I3177" s="24" t="s">
        <v>418</v>
      </c>
      <c r="J3177" s="25"/>
      <c r="K3177" s="25"/>
      <c r="L3177" s="25"/>
      <c r="M3177" s="25"/>
      <c r="N3177" s="25"/>
      <c r="O3177" s="25"/>
      <c r="P3177" s="25"/>
      <c r="Q3177" s="25"/>
      <c r="R3177" s="25"/>
      <c r="S3177" s="25"/>
      <c r="T3177" s="25"/>
      <c r="U3177" s="25"/>
      <c r="V3177" s="25"/>
      <c r="W3177" s="25"/>
      <c r="X3177" s="25"/>
      <c r="Y3177" s="25"/>
      <c r="Z3177" s="25"/>
    </row>
    <row r="3178" spans="1:26" ht="15.75" customHeight="1" x14ac:dyDescent="0.75">
      <c r="A3178" s="5">
        <v>3</v>
      </c>
      <c r="B3178" s="12" t="s">
        <v>15</v>
      </c>
      <c r="C3178" s="29"/>
      <c r="D3178" s="29"/>
      <c r="E3178" s="29"/>
      <c r="F3178" s="29"/>
      <c r="G3178" s="13">
        <f t="shared" si="196"/>
        <v>0</v>
      </c>
      <c r="H3178" s="29"/>
      <c r="I3178" s="24" t="s">
        <v>418</v>
      </c>
      <c r="J3178" s="25"/>
      <c r="K3178" s="25"/>
      <c r="L3178" s="25"/>
      <c r="M3178" s="25"/>
      <c r="N3178" s="25"/>
      <c r="O3178" s="25"/>
      <c r="P3178" s="25"/>
      <c r="Q3178" s="25"/>
      <c r="R3178" s="25"/>
      <c r="S3178" s="25"/>
      <c r="T3178" s="25"/>
      <c r="U3178" s="25"/>
      <c r="V3178" s="25"/>
      <c r="W3178" s="25"/>
      <c r="X3178" s="25"/>
      <c r="Y3178" s="25"/>
      <c r="Z3178" s="25"/>
    </row>
    <row r="3179" spans="1:26" ht="15.75" customHeight="1" x14ac:dyDescent="0.75">
      <c r="A3179" s="39" t="s">
        <v>16</v>
      </c>
      <c r="B3179" s="40"/>
      <c r="C3179" s="40"/>
      <c r="D3179" s="40"/>
      <c r="E3179" s="40"/>
      <c r="F3179" s="40"/>
      <c r="G3179" s="41"/>
      <c r="H3179" s="14">
        <f>SUM(G3176:G3178)</f>
        <v>1108000</v>
      </c>
      <c r="I3179" s="24" t="s">
        <v>418</v>
      </c>
      <c r="J3179" s="25"/>
      <c r="K3179" s="25"/>
      <c r="L3179" s="25"/>
      <c r="M3179" s="25"/>
      <c r="N3179" s="25"/>
      <c r="O3179" s="25"/>
      <c r="P3179" s="25"/>
      <c r="Q3179" s="25"/>
      <c r="R3179" s="25"/>
      <c r="S3179" s="25"/>
      <c r="T3179" s="25"/>
      <c r="U3179" s="25"/>
      <c r="V3179" s="25"/>
      <c r="W3179" s="25"/>
      <c r="X3179" s="25"/>
      <c r="Y3179" s="25"/>
      <c r="Z3179" s="25"/>
    </row>
    <row r="3180" spans="1:26" ht="15.75" customHeight="1" x14ac:dyDescent="0.75">
      <c r="A3180" s="39" t="s">
        <v>17</v>
      </c>
      <c r="B3180" s="40"/>
      <c r="C3180" s="40"/>
      <c r="D3180" s="40"/>
      <c r="E3180" s="40"/>
      <c r="F3180" s="40"/>
      <c r="G3180" s="41"/>
      <c r="H3180" s="14">
        <f>MAX(0,H3179-648000)</f>
        <v>460000</v>
      </c>
      <c r="I3180" s="24" t="s">
        <v>418</v>
      </c>
      <c r="J3180" s="25"/>
      <c r="K3180" s="25"/>
      <c r="L3180" s="25"/>
      <c r="M3180" s="25"/>
      <c r="N3180" s="25"/>
      <c r="O3180" s="25"/>
      <c r="P3180" s="25"/>
      <c r="Q3180" s="25"/>
      <c r="R3180" s="25"/>
      <c r="S3180" s="25"/>
      <c r="T3180" s="25"/>
      <c r="U3180" s="25"/>
      <c r="V3180" s="25"/>
      <c r="W3180" s="25"/>
      <c r="X3180" s="25"/>
      <c r="Y3180" s="25"/>
      <c r="Z3180" s="25"/>
    </row>
    <row r="3181" spans="1:26" ht="15.75" customHeight="1" x14ac:dyDescent="0.75">
      <c r="A3181" s="42" t="s">
        <v>18</v>
      </c>
      <c r="B3181" s="40"/>
      <c r="C3181" s="40"/>
      <c r="D3181" s="40"/>
      <c r="E3181" s="40"/>
      <c r="F3181" s="40"/>
      <c r="G3181" s="41"/>
      <c r="H3181" s="15">
        <v>649000</v>
      </c>
      <c r="I3181" s="24" t="s">
        <v>418</v>
      </c>
      <c r="J3181" s="25"/>
      <c r="K3181" s="25"/>
      <c r="L3181" s="25"/>
      <c r="M3181" s="25"/>
      <c r="N3181" s="25"/>
      <c r="O3181" s="25"/>
      <c r="P3181" s="25"/>
      <c r="Q3181" s="25"/>
      <c r="R3181" s="25"/>
      <c r="S3181" s="25"/>
      <c r="T3181" s="25"/>
      <c r="U3181" s="25"/>
      <c r="V3181" s="25"/>
      <c r="W3181" s="25"/>
      <c r="X3181" s="25"/>
      <c r="Y3181" s="25"/>
      <c r="Z3181" s="25"/>
    </row>
    <row r="3182" spans="1:26" ht="15.75" customHeight="1" x14ac:dyDescent="0.75">
      <c r="A3182" s="43" t="s">
        <v>19</v>
      </c>
      <c r="B3182" s="40"/>
      <c r="C3182" s="40"/>
      <c r="D3182" s="40"/>
      <c r="E3182" s="40"/>
      <c r="F3182" s="40"/>
      <c r="G3182" s="40"/>
      <c r="H3182" s="41"/>
      <c r="I3182" s="24" t="s">
        <v>418</v>
      </c>
      <c r="J3182" s="25"/>
      <c r="K3182" s="25"/>
      <c r="L3182" s="25"/>
      <c r="M3182" s="25"/>
      <c r="N3182" s="25"/>
      <c r="O3182" s="25"/>
      <c r="P3182" s="25"/>
      <c r="Q3182" s="25"/>
      <c r="R3182" s="25"/>
      <c r="S3182" s="25"/>
      <c r="T3182" s="25"/>
      <c r="U3182" s="25"/>
      <c r="V3182" s="25"/>
      <c r="W3182" s="25"/>
      <c r="X3182" s="25"/>
      <c r="Y3182" s="25"/>
      <c r="Z3182" s="25"/>
    </row>
    <row r="3183" spans="1:26" ht="15.75" customHeight="1" x14ac:dyDescent="0.45">
      <c r="A3183" s="25"/>
      <c r="B3183" s="25"/>
      <c r="C3183" s="25"/>
      <c r="D3183" s="25"/>
      <c r="E3183" s="25"/>
      <c r="F3183" s="25"/>
      <c r="G3183" s="25"/>
      <c r="H3183" s="25"/>
      <c r="I3183" s="24" t="s">
        <v>418</v>
      </c>
      <c r="J3183" s="25"/>
      <c r="K3183" s="25"/>
      <c r="L3183" s="25"/>
      <c r="M3183" s="25"/>
      <c r="N3183" s="25"/>
      <c r="O3183" s="25"/>
      <c r="P3183" s="25"/>
      <c r="Q3183" s="25"/>
      <c r="R3183" s="25"/>
      <c r="S3183" s="25"/>
      <c r="T3183" s="25"/>
      <c r="U3183" s="25"/>
      <c r="V3183" s="25"/>
      <c r="W3183" s="25"/>
      <c r="X3183" s="25"/>
      <c r="Y3183" s="25"/>
      <c r="Z3183" s="25"/>
    </row>
    <row r="3184" spans="1:26" ht="15.75" customHeight="1" x14ac:dyDescent="0.45">
      <c r="A3184" s="25"/>
      <c r="B3184" s="25"/>
      <c r="C3184" s="25"/>
      <c r="D3184" s="25"/>
      <c r="E3184" s="25"/>
      <c r="F3184" s="25"/>
      <c r="G3184" s="25"/>
      <c r="H3184" s="25"/>
      <c r="I3184" s="24" t="s">
        <v>418</v>
      </c>
      <c r="J3184" s="25"/>
      <c r="K3184" s="25"/>
      <c r="L3184" s="25"/>
      <c r="M3184" s="25"/>
      <c r="N3184" s="25"/>
      <c r="O3184" s="25"/>
      <c r="P3184" s="25"/>
      <c r="Q3184" s="25"/>
      <c r="R3184" s="25"/>
      <c r="S3184" s="25"/>
      <c r="T3184" s="25"/>
      <c r="U3184" s="25"/>
      <c r="V3184" s="25"/>
      <c r="W3184" s="25"/>
      <c r="X3184" s="25"/>
      <c r="Y3184" s="25"/>
      <c r="Z3184" s="25"/>
    </row>
    <row r="3185" spans="1:26" ht="15.75" customHeight="1" x14ac:dyDescent="0.45">
      <c r="A3185" s="25"/>
      <c r="B3185" s="25"/>
      <c r="C3185" s="25"/>
      <c r="D3185" s="25"/>
      <c r="E3185" s="25"/>
      <c r="F3185" s="25"/>
      <c r="G3185" s="25"/>
      <c r="H3185" s="25"/>
      <c r="I3185" s="24" t="s">
        <v>418</v>
      </c>
      <c r="J3185" s="25"/>
      <c r="K3185" s="25"/>
      <c r="L3185" s="25"/>
      <c r="M3185" s="25"/>
      <c r="N3185" s="25"/>
      <c r="O3185" s="25"/>
      <c r="P3185" s="25"/>
      <c r="Q3185" s="25"/>
      <c r="R3185" s="25"/>
      <c r="S3185" s="25"/>
      <c r="T3185" s="25"/>
      <c r="U3185" s="25"/>
      <c r="V3185" s="25"/>
      <c r="W3185" s="25"/>
      <c r="X3185" s="25"/>
      <c r="Y3185" s="25"/>
      <c r="Z3185" s="25"/>
    </row>
    <row r="3186" spans="1:26" ht="15.75" customHeight="1" x14ac:dyDescent="0.45">
      <c r="A3186" s="25"/>
      <c r="B3186" s="25"/>
      <c r="C3186" s="25"/>
      <c r="D3186" s="25"/>
      <c r="E3186" s="25"/>
      <c r="F3186" s="25"/>
      <c r="G3186" s="25"/>
      <c r="H3186" s="25"/>
      <c r="I3186" s="24" t="s">
        <v>418</v>
      </c>
      <c r="J3186" s="25"/>
      <c r="K3186" s="25"/>
      <c r="L3186" s="25"/>
      <c r="M3186" s="25"/>
      <c r="N3186" s="25"/>
      <c r="O3186" s="25"/>
      <c r="P3186" s="25"/>
      <c r="Q3186" s="25"/>
      <c r="R3186" s="25"/>
      <c r="S3186" s="25"/>
      <c r="T3186" s="25"/>
      <c r="U3186" s="25"/>
      <c r="V3186" s="25"/>
      <c r="W3186" s="25"/>
      <c r="X3186" s="25"/>
      <c r="Y3186" s="25"/>
      <c r="Z3186" s="25"/>
    </row>
    <row r="3187" spans="1:26" ht="15.75" customHeight="1" x14ac:dyDescent="0.45">
      <c r="A3187" s="25"/>
      <c r="B3187" s="25"/>
      <c r="C3187" s="25"/>
      <c r="D3187" s="25"/>
      <c r="E3187" s="25"/>
      <c r="F3187" s="25"/>
      <c r="G3187" s="25"/>
      <c r="H3187" s="25"/>
      <c r="I3187" s="24" t="s">
        <v>418</v>
      </c>
      <c r="J3187" s="25"/>
      <c r="K3187" s="25"/>
      <c r="L3187" s="25"/>
      <c r="M3187" s="25"/>
      <c r="N3187" s="25"/>
      <c r="O3187" s="25"/>
      <c r="P3187" s="25"/>
      <c r="Q3187" s="25"/>
      <c r="R3187" s="25"/>
      <c r="S3187" s="25"/>
      <c r="T3187" s="25"/>
      <c r="U3187" s="25"/>
      <c r="V3187" s="25"/>
      <c r="W3187" s="25"/>
      <c r="X3187" s="25"/>
      <c r="Y3187" s="25"/>
      <c r="Z3187" s="25"/>
    </row>
    <row r="3188" spans="1:26" ht="15.75" customHeight="1" x14ac:dyDescent="0.75">
      <c r="A3188" s="43" t="s">
        <v>0</v>
      </c>
      <c r="B3188" s="40"/>
      <c r="C3188" s="40"/>
      <c r="D3188" s="40"/>
      <c r="E3188" s="40"/>
      <c r="F3188" s="40"/>
      <c r="G3188" s="40"/>
      <c r="H3188" s="41"/>
      <c r="I3188" s="24" t="s">
        <v>418</v>
      </c>
      <c r="J3188" s="25"/>
      <c r="K3188" s="25"/>
      <c r="L3188" s="25"/>
      <c r="M3188" s="25"/>
      <c r="N3188" s="25"/>
      <c r="O3188" s="25"/>
      <c r="P3188" s="25"/>
      <c r="Q3188" s="25"/>
      <c r="R3188" s="25"/>
      <c r="S3188" s="25"/>
      <c r="T3188" s="25"/>
      <c r="U3188" s="25"/>
      <c r="V3188" s="25"/>
      <c r="W3188" s="25"/>
      <c r="X3188" s="25"/>
      <c r="Y3188" s="25"/>
      <c r="Z3188" s="25"/>
    </row>
    <row r="3189" spans="1:26" ht="15.75" customHeight="1" x14ac:dyDescent="0.75">
      <c r="A3189" s="43" t="s">
        <v>484</v>
      </c>
      <c r="B3189" s="40"/>
      <c r="C3189" s="40"/>
      <c r="D3189" s="40"/>
      <c r="E3189" s="40"/>
      <c r="F3189" s="40"/>
      <c r="G3189" s="40"/>
      <c r="H3189" s="41"/>
      <c r="I3189" s="24" t="s">
        <v>418</v>
      </c>
      <c r="J3189" s="25"/>
      <c r="K3189" s="25"/>
      <c r="L3189" s="25"/>
      <c r="M3189" s="25"/>
      <c r="N3189" s="25"/>
      <c r="O3189" s="25"/>
      <c r="P3189" s="25"/>
      <c r="Q3189" s="25"/>
      <c r="R3189" s="25"/>
      <c r="S3189" s="25"/>
      <c r="T3189" s="25"/>
      <c r="U3189" s="25"/>
      <c r="V3189" s="25"/>
      <c r="W3189" s="25"/>
      <c r="X3189" s="25"/>
      <c r="Y3189" s="25"/>
      <c r="Z3189" s="25"/>
    </row>
    <row r="3190" spans="1:26" ht="15.75" customHeight="1" x14ac:dyDescent="0.55000000000000004">
      <c r="A3190" s="2" t="s">
        <v>3</v>
      </c>
      <c r="B3190" s="2" t="s">
        <v>4</v>
      </c>
      <c r="C3190" s="2" t="s">
        <v>5</v>
      </c>
      <c r="D3190" s="2" t="s">
        <v>6</v>
      </c>
      <c r="E3190" s="2" t="s">
        <v>7</v>
      </c>
      <c r="F3190" s="3" t="s">
        <v>8</v>
      </c>
      <c r="G3190" s="2" t="s">
        <v>9</v>
      </c>
      <c r="H3190" s="26"/>
      <c r="I3190" s="24" t="s">
        <v>418</v>
      </c>
      <c r="J3190" s="25"/>
      <c r="K3190" s="25"/>
      <c r="L3190" s="25"/>
      <c r="M3190" s="25"/>
      <c r="N3190" s="25"/>
      <c r="O3190" s="25"/>
      <c r="P3190" s="25"/>
      <c r="Q3190" s="25"/>
      <c r="R3190" s="25"/>
      <c r="S3190" s="25"/>
      <c r="T3190" s="25"/>
      <c r="U3190" s="25"/>
      <c r="V3190" s="25"/>
      <c r="W3190" s="25"/>
      <c r="X3190" s="25"/>
      <c r="Y3190" s="25"/>
      <c r="Z3190" s="25"/>
    </row>
    <row r="3191" spans="1:26" ht="15.75" customHeight="1" x14ac:dyDescent="0.75">
      <c r="A3191" s="5">
        <v>1</v>
      </c>
      <c r="B3191" s="27" t="s">
        <v>35</v>
      </c>
      <c r="C3191" s="28" t="s">
        <v>485</v>
      </c>
      <c r="D3191" s="27" t="s">
        <v>12</v>
      </c>
      <c r="E3191" s="27">
        <v>1.4</v>
      </c>
      <c r="F3191" s="8">
        <v>293000</v>
      </c>
      <c r="G3191" s="9">
        <f t="shared" ref="G3191:G3193" si="197">IFERROR(E3191*F3191,0)</f>
        <v>410200</v>
      </c>
      <c r="H3191" s="29"/>
      <c r="I3191" s="24" t="s">
        <v>418</v>
      </c>
      <c r="J3191" s="25"/>
      <c r="K3191" s="25"/>
      <c r="L3191" s="25"/>
      <c r="M3191" s="25"/>
      <c r="N3191" s="25"/>
      <c r="O3191" s="25"/>
      <c r="P3191" s="25"/>
      <c r="Q3191" s="25"/>
      <c r="R3191" s="25"/>
      <c r="S3191" s="25"/>
      <c r="T3191" s="25"/>
      <c r="U3191" s="25"/>
      <c r="V3191" s="25"/>
      <c r="W3191" s="25"/>
      <c r="X3191" s="25"/>
      <c r="Y3191" s="25"/>
      <c r="Z3191" s="25"/>
    </row>
    <row r="3192" spans="1:26" ht="15.75" customHeight="1" x14ac:dyDescent="0.75">
      <c r="A3192" s="5">
        <v>2</v>
      </c>
      <c r="B3192" s="30" t="s">
        <v>47</v>
      </c>
      <c r="C3192" s="31" t="s">
        <v>486</v>
      </c>
      <c r="D3192" s="30" t="s">
        <v>14</v>
      </c>
      <c r="E3192" s="30">
        <v>1.95</v>
      </c>
      <c r="F3192" s="11">
        <v>435000</v>
      </c>
      <c r="G3192" s="9">
        <f t="shared" si="197"/>
        <v>848250</v>
      </c>
      <c r="H3192" s="29"/>
      <c r="I3192" s="24" t="s">
        <v>418</v>
      </c>
      <c r="J3192" s="25"/>
      <c r="K3192" s="25"/>
      <c r="L3192" s="25"/>
      <c r="M3192" s="25"/>
      <c r="N3192" s="25"/>
      <c r="O3192" s="25"/>
      <c r="P3192" s="25"/>
      <c r="Q3192" s="25"/>
      <c r="R3192" s="25"/>
      <c r="S3192" s="25"/>
      <c r="T3192" s="25"/>
      <c r="U3192" s="25"/>
      <c r="V3192" s="25"/>
      <c r="W3192" s="25"/>
      <c r="X3192" s="25"/>
      <c r="Y3192" s="25"/>
      <c r="Z3192" s="25"/>
    </row>
    <row r="3193" spans="1:26" ht="15.75" customHeight="1" x14ac:dyDescent="0.75">
      <c r="A3193" s="5">
        <v>3</v>
      </c>
      <c r="B3193" s="12" t="s">
        <v>15</v>
      </c>
      <c r="C3193" s="29"/>
      <c r="D3193" s="29"/>
      <c r="E3193" s="29"/>
      <c r="F3193" s="29"/>
      <c r="G3193" s="13">
        <f t="shared" si="197"/>
        <v>0</v>
      </c>
      <c r="H3193" s="29"/>
      <c r="I3193" s="24" t="s">
        <v>418</v>
      </c>
      <c r="J3193" s="25"/>
      <c r="K3193" s="25"/>
      <c r="L3193" s="25"/>
      <c r="M3193" s="25"/>
      <c r="N3193" s="25"/>
      <c r="O3193" s="25"/>
      <c r="P3193" s="25"/>
      <c r="Q3193" s="25"/>
      <c r="R3193" s="25"/>
      <c r="S3193" s="25"/>
      <c r="T3193" s="25"/>
      <c r="U3193" s="25"/>
      <c r="V3193" s="25"/>
      <c r="W3193" s="25"/>
      <c r="X3193" s="25"/>
      <c r="Y3193" s="25"/>
      <c r="Z3193" s="25"/>
    </row>
    <row r="3194" spans="1:26" ht="15.75" customHeight="1" x14ac:dyDescent="0.75">
      <c r="A3194" s="39" t="s">
        <v>16</v>
      </c>
      <c r="B3194" s="40"/>
      <c r="C3194" s="40"/>
      <c r="D3194" s="40"/>
      <c r="E3194" s="40"/>
      <c r="F3194" s="40"/>
      <c r="G3194" s="41"/>
      <c r="H3194" s="14">
        <f>SUM(G3191:G3193)</f>
        <v>1258450</v>
      </c>
      <c r="I3194" s="24" t="s">
        <v>418</v>
      </c>
      <c r="J3194" s="25"/>
      <c r="K3194" s="25"/>
      <c r="L3194" s="25"/>
      <c r="M3194" s="25"/>
      <c r="N3194" s="25"/>
      <c r="O3194" s="25"/>
      <c r="P3194" s="25"/>
      <c r="Q3194" s="25"/>
      <c r="R3194" s="25"/>
      <c r="S3194" s="25"/>
      <c r="T3194" s="25"/>
      <c r="U3194" s="25"/>
      <c r="V3194" s="25"/>
      <c r="W3194" s="25"/>
      <c r="X3194" s="25"/>
      <c r="Y3194" s="25"/>
      <c r="Z3194" s="25"/>
    </row>
    <row r="3195" spans="1:26" ht="15.75" customHeight="1" x14ac:dyDescent="0.75">
      <c r="A3195" s="39" t="s">
        <v>17</v>
      </c>
      <c r="B3195" s="40"/>
      <c r="C3195" s="40"/>
      <c r="D3195" s="40"/>
      <c r="E3195" s="40"/>
      <c r="F3195" s="40"/>
      <c r="G3195" s="41"/>
      <c r="H3195" s="14">
        <f>MAX(0,H3194-648000)</f>
        <v>610450</v>
      </c>
      <c r="I3195" s="24" t="s">
        <v>418</v>
      </c>
      <c r="J3195" s="25"/>
      <c r="K3195" s="25"/>
      <c r="L3195" s="25"/>
      <c r="M3195" s="25"/>
      <c r="N3195" s="25"/>
      <c r="O3195" s="25"/>
      <c r="P3195" s="25"/>
      <c r="Q3195" s="25"/>
      <c r="R3195" s="25"/>
      <c r="S3195" s="25"/>
      <c r="T3195" s="25"/>
      <c r="U3195" s="25"/>
      <c r="V3195" s="25"/>
      <c r="W3195" s="25"/>
      <c r="X3195" s="25"/>
      <c r="Y3195" s="25"/>
      <c r="Z3195" s="25"/>
    </row>
    <row r="3196" spans="1:26" ht="15.75" customHeight="1" x14ac:dyDescent="0.75">
      <c r="A3196" s="42" t="s">
        <v>18</v>
      </c>
      <c r="B3196" s="40"/>
      <c r="C3196" s="40"/>
      <c r="D3196" s="40"/>
      <c r="E3196" s="40"/>
      <c r="F3196" s="40"/>
      <c r="G3196" s="41"/>
      <c r="H3196" s="15">
        <v>649000</v>
      </c>
      <c r="I3196" s="24" t="s">
        <v>418</v>
      </c>
      <c r="J3196" s="25"/>
      <c r="K3196" s="25"/>
      <c r="L3196" s="25"/>
      <c r="M3196" s="25"/>
      <c r="N3196" s="25"/>
      <c r="O3196" s="25"/>
      <c r="P3196" s="25"/>
      <c r="Q3196" s="25"/>
      <c r="R3196" s="25"/>
      <c r="S3196" s="25"/>
      <c r="T3196" s="25"/>
      <c r="U3196" s="25"/>
      <c r="V3196" s="25"/>
      <c r="W3196" s="25"/>
      <c r="X3196" s="25"/>
      <c r="Y3196" s="25"/>
      <c r="Z3196" s="25"/>
    </row>
    <row r="3197" spans="1:26" ht="15.75" customHeight="1" x14ac:dyDescent="0.75">
      <c r="A3197" s="43" t="s">
        <v>19</v>
      </c>
      <c r="B3197" s="40"/>
      <c r="C3197" s="40"/>
      <c r="D3197" s="40"/>
      <c r="E3197" s="40"/>
      <c r="F3197" s="40"/>
      <c r="G3197" s="40"/>
      <c r="H3197" s="41"/>
      <c r="I3197" s="24" t="s">
        <v>418</v>
      </c>
      <c r="J3197" s="25"/>
      <c r="K3197" s="25"/>
      <c r="L3197" s="25"/>
      <c r="M3197" s="25"/>
      <c r="N3197" s="25"/>
      <c r="O3197" s="25"/>
      <c r="P3197" s="25"/>
      <c r="Q3197" s="25"/>
      <c r="R3197" s="25"/>
      <c r="S3197" s="25"/>
      <c r="T3197" s="25"/>
      <c r="U3197" s="25"/>
      <c r="V3197" s="25"/>
      <c r="W3197" s="25"/>
      <c r="X3197" s="25"/>
      <c r="Y3197" s="25"/>
      <c r="Z3197" s="25"/>
    </row>
    <row r="3198" spans="1:26" ht="15.75" customHeight="1" x14ac:dyDescent="0.45">
      <c r="A3198" s="25"/>
      <c r="B3198" s="25"/>
      <c r="C3198" s="25"/>
      <c r="D3198" s="25"/>
      <c r="E3198" s="25"/>
      <c r="F3198" s="25"/>
      <c r="G3198" s="25"/>
      <c r="H3198" s="25"/>
      <c r="I3198" s="24" t="s">
        <v>418</v>
      </c>
      <c r="J3198" s="25"/>
      <c r="K3198" s="25"/>
      <c r="L3198" s="25"/>
      <c r="M3198" s="25"/>
      <c r="N3198" s="25"/>
      <c r="O3198" s="25"/>
      <c r="P3198" s="25"/>
      <c r="Q3198" s="25"/>
      <c r="R3198" s="25"/>
      <c r="S3198" s="25"/>
      <c r="T3198" s="25"/>
      <c r="U3198" s="25"/>
      <c r="V3198" s="25"/>
      <c r="W3198" s="25"/>
      <c r="X3198" s="25"/>
      <c r="Y3198" s="25"/>
      <c r="Z3198" s="25"/>
    </row>
    <row r="3199" spans="1:26" ht="15.75" customHeight="1" x14ac:dyDescent="0.45">
      <c r="A3199" s="25"/>
      <c r="B3199" s="25"/>
      <c r="C3199" s="25"/>
      <c r="D3199" s="25"/>
      <c r="E3199" s="25"/>
      <c r="F3199" s="25"/>
      <c r="G3199" s="25"/>
      <c r="H3199" s="25"/>
      <c r="I3199" s="24" t="s">
        <v>418</v>
      </c>
      <c r="J3199" s="25"/>
      <c r="K3199" s="25"/>
      <c r="L3199" s="25"/>
      <c r="M3199" s="25"/>
      <c r="N3199" s="25"/>
      <c r="O3199" s="25"/>
      <c r="P3199" s="25"/>
      <c r="Q3199" s="25"/>
      <c r="R3199" s="25"/>
      <c r="S3199" s="25"/>
      <c r="T3199" s="25"/>
      <c r="U3199" s="25"/>
      <c r="V3199" s="25"/>
      <c r="W3199" s="25"/>
      <c r="X3199" s="25"/>
      <c r="Y3199" s="25"/>
      <c r="Z3199" s="25"/>
    </row>
    <row r="3200" spans="1:26" ht="15.75" customHeight="1" x14ac:dyDescent="0.45">
      <c r="A3200" s="25"/>
      <c r="B3200" s="25"/>
      <c r="C3200" s="25"/>
      <c r="D3200" s="25"/>
      <c r="E3200" s="25"/>
      <c r="F3200" s="25"/>
      <c r="G3200" s="25"/>
      <c r="H3200" s="25"/>
      <c r="I3200" s="24" t="s">
        <v>418</v>
      </c>
      <c r="J3200" s="25"/>
      <c r="K3200" s="25"/>
      <c r="L3200" s="25"/>
      <c r="M3200" s="25"/>
      <c r="N3200" s="25"/>
      <c r="O3200" s="25"/>
      <c r="P3200" s="25"/>
      <c r="Q3200" s="25"/>
      <c r="R3200" s="25"/>
      <c r="S3200" s="25"/>
      <c r="T3200" s="25"/>
      <c r="U3200" s="25"/>
      <c r="V3200" s="25"/>
      <c r="W3200" s="25"/>
      <c r="X3200" s="25"/>
      <c r="Y3200" s="25"/>
      <c r="Z3200" s="25"/>
    </row>
    <row r="3201" spans="1:26" ht="15.75" customHeight="1" x14ac:dyDescent="0.45">
      <c r="A3201" s="25"/>
      <c r="B3201" s="25"/>
      <c r="C3201" s="25"/>
      <c r="D3201" s="25"/>
      <c r="E3201" s="25"/>
      <c r="F3201" s="25"/>
      <c r="G3201" s="25"/>
      <c r="H3201" s="25"/>
      <c r="I3201" s="24" t="s">
        <v>418</v>
      </c>
      <c r="J3201" s="25"/>
      <c r="K3201" s="25"/>
      <c r="L3201" s="25"/>
      <c r="M3201" s="25"/>
      <c r="N3201" s="25"/>
      <c r="O3201" s="25"/>
      <c r="P3201" s="25"/>
      <c r="Q3201" s="25"/>
      <c r="R3201" s="25"/>
      <c r="S3201" s="25"/>
      <c r="T3201" s="25"/>
      <c r="U3201" s="25"/>
      <c r="V3201" s="25"/>
      <c r="W3201" s="25"/>
      <c r="X3201" s="25"/>
      <c r="Y3201" s="25"/>
      <c r="Z3201" s="25"/>
    </row>
    <row r="3202" spans="1:26" ht="15.75" customHeight="1" x14ac:dyDescent="0.45">
      <c r="A3202" s="25"/>
      <c r="B3202" s="25"/>
      <c r="C3202" s="25"/>
      <c r="D3202" s="25"/>
      <c r="E3202" s="25"/>
      <c r="F3202" s="25"/>
      <c r="G3202" s="25"/>
      <c r="H3202" s="25"/>
      <c r="I3202" s="24" t="s">
        <v>418</v>
      </c>
      <c r="J3202" s="25"/>
      <c r="K3202" s="25"/>
      <c r="L3202" s="25"/>
      <c r="M3202" s="25"/>
      <c r="N3202" s="25"/>
      <c r="O3202" s="25"/>
      <c r="P3202" s="25"/>
      <c r="Q3202" s="25"/>
      <c r="R3202" s="25"/>
      <c r="S3202" s="25"/>
      <c r="T3202" s="25"/>
      <c r="U3202" s="25"/>
      <c r="V3202" s="25"/>
      <c r="W3202" s="25"/>
      <c r="X3202" s="25"/>
      <c r="Y3202" s="25"/>
      <c r="Z3202" s="25"/>
    </row>
    <row r="3203" spans="1:26" ht="15.75" customHeight="1" x14ac:dyDescent="0.75">
      <c r="A3203" s="43" t="s">
        <v>0</v>
      </c>
      <c r="B3203" s="40"/>
      <c r="C3203" s="40"/>
      <c r="D3203" s="40"/>
      <c r="E3203" s="40"/>
      <c r="F3203" s="40"/>
      <c r="G3203" s="40"/>
      <c r="H3203" s="41"/>
      <c r="I3203" s="24" t="s">
        <v>418</v>
      </c>
      <c r="J3203" s="25"/>
      <c r="K3203" s="25"/>
      <c r="L3203" s="25"/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25"/>
      <c r="X3203" s="25"/>
      <c r="Y3203" s="25"/>
      <c r="Z3203" s="25"/>
    </row>
    <row r="3204" spans="1:26" ht="15.75" customHeight="1" x14ac:dyDescent="0.75">
      <c r="A3204" s="43" t="s">
        <v>487</v>
      </c>
      <c r="B3204" s="40"/>
      <c r="C3204" s="40"/>
      <c r="D3204" s="40"/>
      <c r="E3204" s="40"/>
      <c r="F3204" s="40"/>
      <c r="G3204" s="40"/>
      <c r="H3204" s="41"/>
      <c r="I3204" s="24" t="s">
        <v>418</v>
      </c>
      <c r="J3204" s="25"/>
      <c r="K3204" s="25"/>
      <c r="L3204" s="25"/>
      <c r="M3204" s="25"/>
      <c r="N3204" s="25"/>
      <c r="O3204" s="25"/>
      <c r="P3204" s="25"/>
      <c r="Q3204" s="25"/>
      <c r="R3204" s="25"/>
      <c r="S3204" s="25"/>
      <c r="T3204" s="25"/>
      <c r="U3204" s="25"/>
      <c r="V3204" s="25"/>
      <c r="W3204" s="25"/>
      <c r="X3204" s="25"/>
      <c r="Y3204" s="25"/>
      <c r="Z3204" s="25"/>
    </row>
    <row r="3205" spans="1:26" ht="15.75" customHeight="1" x14ac:dyDescent="0.55000000000000004">
      <c r="A3205" s="2" t="s">
        <v>3</v>
      </c>
      <c r="B3205" s="2" t="s">
        <v>4</v>
      </c>
      <c r="C3205" s="2" t="s">
        <v>5</v>
      </c>
      <c r="D3205" s="2" t="s">
        <v>6</v>
      </c>
      <c r="E3205" s="2" t="s">
        <v>7</v>
      </c>
      <c r="F3205" s="3" t="s">
        <v>8</v>
      </c>
      <c r="G3205" s="2" t="s">
        <v>9</v>
      </c>
      <c r="H3205" s="26"/>
      <c r="I3205" s="24" t="s">
        <v>418</v>
      </c>
      <c r="J3205" s="25"/>
      <c r="K3205" s="25"/>
      <c r="L3205" s="25"/>
      <c r="M3205" s="25"/>
      <c r="N3205" s="25"/>
      <c r="O3205" s="25"/>
      <c r="P3205" s="25"/>
      <c r="Q3205" s="25"/>
      <c r="R3205" s="25"/>
      <c r="S3205" s="25"/>
      <c r="T3205" s="25"/>
      <c r="U3205" s="25"/>
      <c r="V3205" s="25"/>
      <c r="W3205" s="25"/>
      <c r="X3205" s="25"/>
      <c r="Y3205" s="25"/>
      <c r="Z3205" s="25"/>
    </row>
    <row r="3206" spans="1:26" ht="15.75" customHeight="1" x14ac:dyDescent="0.75">
      <c r="A3206" s="5">
        <v>1</v>
      </c>
      <c r="B3206" s="27" t="s">
        <v>488</v>
      </c>
      <c r="C3206" s="28" t="s">
        <v>479</v>
      </c>
      <c r="D3206" s="27" t="s">
        <v>12</v>
      </c>
      <c r="E3206" s="27">
        <v>2</v>
      </c>
      <c r="F3206" s="8">
        <v>293000</v>
      </c>
      <c r="G3206" s="9">
        <f t="shared" ref="G3206:G3208" si="198">IFERROR(E3206*F3206,0)</f>
        <v>586000</v>
      </c>
      <c r="H3206" s="29"/>
      <c r="I3206" s="24" t="s">
        <v>418</v>
      </c>
      <c r="J3206" s="25"/>
      <c r="K3206" s="25"/>
      <c r="L3206" s="25"/>
      <c r="M3206" s="25"/>
      <c r="N3206" s="25"/>
      <c r="O3206" s="25"/>
      <c r="P3206" s="25"/>
      <c r="Q3206" s="25"/>
      <c r="R3206" s="25"/>
      <c r="S3206" s="25"/>
      <c r="T3206" s="25"/>
      <c r="U3206" s="25"/>
      <c r="V3206" s="25"/>
      <c r="W3206" s="25"/>
      <c r="X3206" s="25"/>
      <c r="Y3206" s="25"/>
      <c r="Z3206" s="25"/>
    </row>
    <row r="3207" spans="1:26" ht="15.75" customHeight="1" x14ac:dyDescent="0.75">
      <c r="A3207" s="5">
        <v>2</v>
      </c>
      <c r="B3207" s="30" t="s">
        <v>21</v>
      </c>
      <c r="C3207" s="31" t="s">
        <v>489</v>
      </c>
      <c r="D3207" s="30" t="s">
        <v>14</v>
      </c>
      <c r="E3207" s="30">
        <v>1.19</v>
      </c>
      <c r="F3207" s="11">
        <v>435000</v>
      </c>
      <c r="G3207" s="9">
        <f t="shared" si="198"/>
        <v>517650</v>
      </c>
      <c r="H3207" s="29"/>
      <c r="I3207" s="24" t="s">
        <v>418</v>
      </c>
      <c r="J3207" s="25"/>
      <c r="K3207" s="25"/>
      <c r="L3207" s="25"/>
      <c r="M3207" s="25"/>
      <c r="N3207" s="25"/>
      <c r="O3207" s="25"/>
      <c r="P3207" s="25"/>
      <c r="Q3207" s="25"/>
      <c r="R3207" s="25"/>
      <c r="S3207" s="25"/>
      <c r="T3207" s="25"/>
      <c r="U3207" s="25"/>
      <c r="V3207" s="25"/>
      <c r="W3207" s="25"/>
      <c r="X3207" s="25"/>
      <c r="Y3207" s="25"/>
      <c r="Z3207" s="25"/>
    </row>
    <row r="3208" spans="1:26" ht="15.75" customHeight="1" x14ac:dyDescent="0.75">
      <c r="A3208" s="5">
        <v>3</v>
      </c>
      <c r="B3208" s="12" t="s">
        <v>15</v>
      </c>
      <c r="C3208" s="29"/>
      <c r="D3208" s="29"/>
      <c r="E3208" s="29"/>
      <c r="F3208" s="29"/>
      <c r="G3208" s="13">
        <f t="shared" si="198"/>
        <v>0</v>
      </c>
      <c r="H3208" s="29"/>
      <c r="I3208" s="24" t="s">
        <v>418</v>
      </c>
      <c r="J3208" s="25"/>
      <c r="K3208" s="25"/>
      <c r="L3208" s="25"/>
      <c r="M3208" s="25"/>
      <c r="N3208" s="25"/>
      <c r="O3208" s="25"/>
      <c r="P3208" s="25"/>
      <c r="Q3208" s="25"/>
      <c r="R3208" s="25"/>
      <c r="S3208" s="25"/>
      <c r="T3208" s="25"/>
      <c r="U3208" s="25"/>
      <c r="V3208" s="25"/>
      <c r="W3208" s="25"/>
      <c r="X3208" s="25"/>
      <c r="Y3208" s="25"/>
      <c r="Z3208" s="25"/>
    </row>
    <row r="3209" spans="1:26" ht="15.75" customHeight="1" x14ac:dyDescent="0.75">
      <c r="A3209" s="39" t="s">
        <v>16</v>
      </c>
      <c r="B3209" s="40"/>
      <c r="C3209" s="40"/>
      <c r="D3209" s="40"/>
      <c r="E3209" s="40"/>
      <c r="F3209" s="40"/>
      <c r="G3209" s="41"/>
      <c r="H3209" s="14">
        <f>SUM(G3206:G3208)</f>
        <v>1103650</v>
      </c>
      <c r="I3209" s="24" t="s">
        <v>418</v>
      </c>
      <c r="J3209" s="25"/>
      <c r="K3209" s="25"/>
      <c r="L3209" s="25"/>
      <c r="M3209" s="25"/>
      <c r="N3209" s="25"/>
      <c r="O3209" s="25"/>
      <c r="P3209" s="25"/>
      <c r="Q3209" s="25"/>
      <c r="R3209" s="25"/>
      <c r="S3209" s="25"/>
      <c r="T3209" s="25"/>
      <c r="U3209" s="25"/>
      <c r="V3209" s="25"/>
      <c r="W3209" s="25"/>
      <c r="X3209" s="25"/>
      <c r="Y3209" s="25"/>
      <c r="Z3209" s="25"/>
    </row>
    <row r="3210" spans="1:26" ht="15.75" customHeight="1" x14ac:dyDescent="0.75">
      <c r="A3210" s="39" t="s">
        <v>17</v>
      </c>
      <c r="B3210" s="40"/>
      <c r="C3210" s="40"/>
      <c r="D3210" s="40"/>
      <c r="E3210" s="40"/>
      <c r="F3210" s="40"/>
      <c r="G3210" s="41"/>
      <c r="H3210" s="14">
        <f>MAX(0,H3209-648000)</f>
        <v>455650</v>
      </c>
      <c r="I3210" s="24" t="s">
        <v>418</v>
      </c>
      <c r="J3210" s="25"/>
      <c r="K3210" s="25"/>
      <c r="L3210" s="25"/>
      <c r="M3210" s="25"/>
      <c r="N3210" s="25"/>
      <c r="O3210" s="25"/>
      <c r="P3210" s="25"/>
      <c r="Q3210" s="25"/>
      <c r="R3210" s="25"/>
      <c r="S3210" s="25"/>
      <c r="T3210" s="25"/>
      <c r="U3210" s="25"/>
      <c r="V3210" s="25"/>
      <c r="W3210" s="25"/>
      <c r="X3210" s="25"/>
      <c r="Y3210" s="25"/>
      <c r="Z3210" s="25"/>
    </row>
    <row r="3211" spans="1:26" ht="15.75" customHeight="1" x14ac:dyDescent="0.75">
      <c r="A3211" s="42" t="s">
        <v>18</v>
      </c>
      <c r="B3211" s="40"/>
      <c r="C3211" s="40"/>
      <c r="D3211" s="40"/>
      <c r="E3211" s="40"/>
      <c r="F3211" s="40"/>
      <c r="G3211" s="41"/>
      <c r="H3211" s="15">
        <v>649000</v>
      </c>
      <c r="I3211" s="24" t="s">
        <v>418</v>
      </c>
      <c r="J3211" s="25"/>
      <c r="K3211" s="25"/>
      <c r="L3211" s="25"/>
      <c r="M3211" s="25"/>
      <c r="N3211" s="25"/>
      <c r="O3211" s="25"/>
      <c r="P3211" s="25"/>
      <c r="Q3211" s="25"/>
      <c r="R3211" s="25"/>
      <c r="S3211" s="25"/>
      <c r="T3211" s="25"/>
      <c r="U3211" s="25"/>
      <c r="V3211" s="25"/>
      <c r="W3211" s="25"/>
      <c r="X3211" s="25"/>
      <c r="Y3211" s="25"/>
      <c r="Z3211" s="25"/>
    </row>
    <row r="3212" spans="1:26" ht="15.75" customHeight="1" x14ac:dyDescent="0.75">
      <c r="A3212" s="43" t="s">
        <v>19</v>
      </c>
      <c r="B3212" s="40"/>
      <c r="C3212" s="40"/>
      <c r="D3212" s="40"/>
      <c r="E3212" s="40"/>
      <c r="F3212" s="40"/>
      <c r="G3212" s="40"/>
      <c r="H3212" s="41"/>
      <c r="I3212" s="24" t="s">
        <v>418</v>
      </c>
      <c r="J3212" s="25"/>
      <c r="K3212" s="25"/>
      <c r="L3212" s="25"/>
      <c r="M3212" s="25"/>
      <c r="N3212" s="25"/>
      <c r="O3212" s="25"/>
      <c r="P3212" s="25"/>
      <c r="Q3212" s="25"/>
      <c r="R3212" s="25"/>
      <c r="S3212" s="25"/>
      <c r="T3212" s="25"/>
      <c r="U3212" s="25"/>
      <c r="V3212" s="25"/>
      <c r="W3212" s="25"/>
      <c r="X3212" s="25"/>
      <c r="Y3212" s="25"/>
      <c r="Z3212" s="25"/>
    </row>
    <row r="3213" spans="1:26" ht="15.75" customHeight="1" x14ac:dyDescent="0.45">
      <c r="A3213" s="25"/>
      <c r="B3213" s="25"/>
      <c r="C3213" s="25"/>
      <c r="D3213" s="25"/>
      <c r="E3213" s="25"/>
      <c r="F3213" s="25"/>
      <c r="G3213" s="25"/>
      <c r="H3213" s="25"/>
      <c r="I3213" s="24" t="s">
        <v>418</v>
      </c>
      <c r="J3213" s="25"/>
      <c r="K3213" s="25"/>
      <c r="L3213" s="25"/>
      <c r="M3213" s="25"/>
      <c r="N3213" s="25"/>
      <c r="O3213" s="25"/>
      <c r="P3213" s="25"/>
      <c r="Q3213" s="25"/>
      <c r="R3213" s="25"/>
      <c r="S3213" s="25"/>
      <c r="T3213" s="25"/>
      <c r="U3213" s="25"/>
      <c r="V3213" s="25"/>
      <c r="W3213" s="25"/>
      <c r="X3213" s="25"/>
      <c r="Y3213" s="25"/>
      <c r="Z3213" s="25"/>
    </row>
    <row r="3214" spans="1:26" ht="15.75" customHeight="1" x14ac:dyDescent="0.45">
      <c r="A3214" s="25"/>
      <c r="B3214" s="25"/>
      <c r="C3214" s="25"/>
      <c r="D3214" s="25"/>
      <c r="E3214" s="25"/>
      <c r="F3214" s="25"/>
      <c r="G3214" s="25"/>
      <c r="H3214" s="25"/>
      <c r="I3214" s="24" t="s">
        <v>418</v>
      </c>
      <c r="J3214" s="25"/>
      <c r="K3214" s="25"/>
      <c r="L3214" s="25"/>
      <c r="M3214" s="25"/>
      <c r="N3214" s="25"/>
      <c r="O3214" s="25"/>
      <c r="P3214" s="25"/>
      <c r="Q3214" s="25"/>
      <c r="R3214" s="25"/>
      <c r="S3214" s="25"/>
      <c r="T3214" s="25"/>
      <c r="U3214" s="25"/>
      <c r="V3214" s="25"/>
      <c r="W3214" s="25"/>
      <c r="X3214" s="25"/>
      <c r="Y3214" s="25"/>
      <c r="Z3214" s="25"/>
    </row>
    <row r="3215" spans="1:26" ht="15.75" customHeight="1" x14ac:dyDescent="0.45">
      <c r="A3215" s="25"/>
      <c r="B3215" s="25"/>
      <c r="C3215" s="25"/>
      <c r="D3215" s="25"/>
      <c r="E3215" s="25"/>
      <c r="F3215" s="25"/>
      <c r="G3215" s="25"/>
      <c r="H3215" s="25"/>
      <c r="I3215" s="24" t="s">
        <v>418</v>
      </c>
      <c r="J3215" s="25"/>
      <c r="K3215" s="25"/>
      <c r="L3215" s="25"/>
      <c r="M3215" s="25"/>
      <c r="N3215" s="25"/>
      <c r="O3215" s="25"/>
      <c r="P3215" s="25"/>
      <c r="Q3215" s="25"/>
      <c r="R3215" s="25"/>
      <c r="S3215" s="25"/>
      <c r="T3215" s="25"/>
      <c r="U3215" s="25"/>
      <c r="V3215" s="25"/>
      <c r="W3215" s="25"/>
      <c r="X3215" s="25"/>
      <c r="Y3215" s="25"/>
      <c r="Z3215" s="25"/>
    </row>
    <row r="3216" spans="1:26" ht="15.75" customHeight="1" x14ac:dyDescent="0.45">
      <c r="A3216" s="25"/>
      <c r="B3216" s="25"/>
      <c r="C3216" s="25"/>
      <c r="D3216" s="25"/>
      <c r="E3216" s="25"/>
      <c r="F3216" s="25"/>
      <c r="G3216" s="25"/>
      <c r="H3216" s="25"/>
      <c r="I3216" s="24" t="s">
        <v>418</v>
      </c>
      <c r="J3216" s="25"/>
      <c r="K3216" s="25"/>
      <c r="L3216" s="25"/>
      <c r="M3216" s="25"/>
      <c r="N3216" s="25"/>
      <c r="O3216" s="25"/>
      <c r="P3216" s="25"/>
      <c r="Q3216" s="25"/>
      <c r="R3216" s="25"/>
      <c r="S3216" s="25"/>
      <c r="T3216" s="25"/>
      <c r="U3216" s="25"/>
      <c r="V3216" s="25"/>
      <c r="W3216" s="25"/>
      <c r="X3216" s="25"/>
      <c r="Y3216" s="25"/>
      <c r="Z3216" s="25"/>
    </row>
    <row r="3217" spans="1:26" ht="15.75" customHeight="1" x14ac:dyDescent="0.45">
      <c r="A3217" s="25"/>
      <c r="B3217" s="25"/>
      <c r="C3217" s="25"/>
      <c r="D3217" s="25"/>
      <c r="E3217" s="25"/>
      <c r="F3217" s="25"/>
      <c r="G3217" s="25"/>
      <c r="H3217" s="25"/>
      <c r="I3217" s="24" t="s">
        <v>418</v>
      </c>
      <c r="J3217" s="25"/>
      <c r="K3217" s="25"/>
      <c r="L3217" s="25"/>
      <c r="M3217" s="25"/>
      <c r="N3217" s="25"/>
      <c r="O3217" s="25"/>
      <c r="P3217" s="25"/>
      <c r="Q3217" s="25"/>
      <c r="R3217" s="25"/>
      <c r="S3217" s="25"/>
      <c r="T3217" s="25"/>
      <c r="U3217" s="25"/>
      <c r="V3217" s="25"/>
      <c r="W3217" s="25"/>
      <c r="X3217" s="25"/>
      <c r="Y3217" s="25"/>
      <c r="Z3217" s="25"/>
    </row>
    <row r="3218" spans="1:26" ht="15.75" customHeight="1" x14ac:dyDescent="0.45">
      <c r="A3218" s="25"/>
      <c r="B3218" s="25"/>
      <c r="C3218" s="25"/>
      <c r="D3218" s="25"/>
      <c r="E3218" s="25"/>
      <c r="F3218" s="25"/>
      <c r="G3218" s="25"/>
      <c r="H3218" s="25"/>
      <c r="I3218" s="24" t="s">
        <v>418</v>
      </c>
      <c r="J3218" s="25"/>
      <c r="K3218" s="25"/>
      <c r="L3218" s="25"/>
      <c r="M3218" s="25"/>
      <c r="N3218" s="25"/>
      <c r="O3218" s="25"/>
      <c r="P3218" s="25"/>
      <c r="Q3218" s="25"/>
      <c r="R3218" s="25"/>
      <c r="S3218" s="25"/>
      <c r="T3218" s="25"/>
      <c r="U3218" s="25"/>
      <c r="V3218" s="25"/>
      <c r="W3218" s="25"/>
      <c r="X3218" s="25"/>
      <c r="Y3218" s="25"/>
      <c r="Z3218" s="25"/>
    </row>
    <row r="3219" spans="1:26" ht="15.75" customHeight="1" x14ac:dyDescent="0.75">
      <c r="A3219" s="43" t="s">
        <v>0</v>
      </c>
      <c r="B3219" s="40"/>
      <c r="C3219" s="40"/>
      <c r="D3219" s="40"/>
      <c r="E3219" s="40"/>
      <c r="F3219" s="40"/>
      <c r="G3219" s="40"/>
      <c r="H3219" s="41"/>
      <c r="I3219" s="24" t="s">
        <v>418</v>
      </c>
      <c r="J3219" s="25"/>
      <c r="K3219" s="25"/>
      <c r="L3219" s="25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25"/>
      <c r="X3219" s="25"/>
      <c r="Y3219" s="25"/>
      <c r="Z3219" s="25"/>
    </row>
    <row r="3220" spans="1:26" ht="15.75" customHeight="1" x14ac:dyDescent="0.75">
      <c r="A3220" s="43" t="s">
        <v>490</v>
      </c>
      <c r="B3220" s="40"/>
      <c r="C3220" s="40"/>
      <c r="D3220" s="40"/>
      <c r="E3220" s="40"/>
      <c r="F3220" s="40"/>
      <c r="G3220" s="40"/>
      <c r="H3220" s="41"/>
      <c r="I3220" s="24" t="s">
        <v>418</v>
      </c>
      <c r="J3220" s="25"/>
      <c r="K3220" s="25"/>
      <c r="L3220" s="25"/>
      <c r="M3220" s="25"/>
      <c r="N3220" s="25"/>
      <c r="O3220" s="25"/>
      <c r="P3220" s="25"/>
      <c r="Q3220" s="25"/>
      <c r="R3220" s="25"/>
      <c r="S3220" s="25"/>
      <c r="T3220" s="25"/>
      <c r="U3220" s="25"/>
      <c r="V3220" s="25"/>
      <c r="W3220" s="25"/>
      <c r="X3220" s="25"/>
      <c r="Y3220" s="25"/>
      <c r="Z3220" s="25"/>
    </row>
    <row r="3221" spans="1:26" ht="15.75" customHeight="1" x14ac:dyDescent="0.55000000000000004">
      <c r="A3221" s="2" t="s">
        <v>3</v>
      </c>
      <c r="B3221" s="2" t="s">
        <v>4</v>
      </c>
      <c r="C3221" s="2" t="s">
        <v>5</v>
      </c>
      <c r="D3221" s="2" t="s">
        <v>6</v>
      </c>
      <c r="E3221" s="2" t="s">
        <v>7</v>
      </c>
      <c r="F3221" s="3" t="s">
        <v>8</v>
      </c>
      <c r="G3221" s="2" t="s">
        <v>9</v>
      </c>
      <c r="H3221" s="26"/>
      <c r="I3221" s="24" t="s">
        <v>418</v>
      </c>
      <c r="J3221" s="25"/>
      <c r="K3221" s="25"/>
      <c r="L3221" s="25"/>
      <c r="M3221" s="25"/>
      <c r="N3221" s="25"/>
      <c r="O3221" s="25"/>
      <c r="P3221" s="25"/>
      <c r="Q3221" s="25"/>
      <c r="R3221" s="25"/>
      <c r="S3221" s="25"/>
      <c r="T3221" s="25"/>
      <c r="U3221" s="25"/>
      <c r="V3221" s="25"/>
      <c r="W3221" s="25"/>
      <c r="X3221" s="25"/>
      <c r="Y3221" s="25"/>
      <c r="Z3221" s="25"/>
    </row>
    <row r="3222" spans="1:26" ht="15.75" customHeight="1" x14ac:dyDescent="0.75">
      <c r="A3222" s="5">
        <v>1</v>
      </c>
      <c r="B3222" s="27" t="s">
        <v>68</v>
      </c>
      <c r="C3222" s="28" t="s">
        <v>491</v>
      </c>
      <c r="D3222" s="27" t="s">
        <v>12</v>
      </c>
      <c r="E3222" s="27">
        <v>1.43</v>
      </c>
      <c r="F3222" s="8">
        <v>293000</v>
      </c>
      <c r="G3222" s="9">
        <f t="shared" ref="G3222:G3224" si="199">IFERROR(E3222*F3222,0)</f>
        <v>418990</v>
      </c>
      <c r="H3222" s="29"/>
      <c r="I3222" s="24" t="s">
        <v>418</v>
      </c>
      <c r="J3222" s="25"/>
      <c r="K3222" s="25"/>
      <c r="L3222" s="25"/>
      <c r="M3222" s="25"/>
      <c r="N3222" s="25"/>
      <c r="O3222" s="25"/>
      <c r="P3222" s="25"/>
      <c r="Q3222" s="25"/>
      <c r="R3222" s="25"/>
      <c r="S3222" s="25"/>
      <c r="T3222" s="25"/>
      <c r="U3222" s="25"/>
      <c r="V3222" s="25"/>
      <c r="W3222" s="25"/>
      <c r="X3222" s="25"/>
      <c r="Y3222" s="25"/>
      <c r="Z3222" s="25"/>
    </row>
    <row r="3223" spans="1:26" ht="15.75" customHeight="1" x14ac:dyDescent="0.75">
      <c r="A3223" s="5">
        <v>2</v>
      </c>
      <c r="B3223" s="30" t="s">
        <v>98</v>
      </c>
      <c r="C3223" s="31" t="s">
        <v>492</v>
      </c>
      <c r="D3223" s="30" t="s">
        <v>14</v>
      </c>
      <c r="E3223" s="30">
        <v>2</v>
      </c>
      <c r="F3223" s="11">
        <v>435000</v>
      </c>
      <c r="G3223" s="9">
        <f t="shared" si="199"/>
        <v>870000</v>
      </c>
      <c r="H3223" s="29"/>
      <c r="I3223" s="24" t="s">
        <v>418</v>
      </c>
      <c r="J3223" s="25"/>
      <c r="K3223" s="25"/>
      <c r="L3223" s="25"/>
      <c r="M3223" s="25"/>
      <c r="N3223" s="25"/>
      <c r="O3223" s="25"/>
      <c r="P3223" s="25"/>
      <c r="Q3223" s="25"/>
      <c r="R3223" s="25"/>
      <c r="S3223" s="25"/>
      <c r="T3223" s="25"/>
      <c r="U3223" s="25"/>
      <c r="V3223" s="25"/>
      <c r="W3223" s="25"/>
      <c r="X3223" s="25"/>
      <c r="Y3223" s="25"/>
      <c r="Z3223" s="25"/>
    </row>
    <row r="3224" spans="1:26" ht="15.75" customHeight="1" x14ac:dyDescent="0.75">
      <c r="A3224" s="5">
        <v>3</v>
      </c>
      <c r="B3224" s="12" t="s">
        <v>15</v>
      </c>
      <c r="C3224" s="29"/>
      <c r="D3224" s="29"/>
      <c r="E3224" s="29"/>
      <c r="F3224" s="29"/>
      <c r="G3224" s="13">
        <f t="shared" si="199"/>
        <v>0</v>
      </c>
      <c r="H3224" s="29"/>
      <c r="I3224" s="24" t="s">
        <v>418</v>
      </c>
      <c r="J3224" s="25"/>
      <c r="K3224" s="25"/>
      <c r="L3224" s="25"/>
      <c r="M3224" s="25"/>
      <c r="N3224" s="25"/>
      <c r="O3224" s="25"/>
      <c r="P3224" s="25"/>
      <c r="Q3224" s="25"/>
      <c r="R3224" s="25"/>
      <c r="S3224" s="25"/>
      <c r="T3224" s="25"/>
      <c r="U3224" s="25"/>
      <c r="V3224" s="25"/>
      <c r="W3224" s="25"/>
      <c r="X3224" s="25"/>
      <c r="Y3224" s="25"/>
      <c r="Z3224" s="25"/>
    </row>
    <row r="3225" spans="1:26" ht="15.75" customHeight="1" x14ac:dyDescent="0.75">
      <c r="A3225" s="39" t="s">
        <v>16</v>
      </c>
      <c r="B3225" s="40"/>
      <c r="C3225" s="40"/>
      <c r="D3225" s="40"/>
      <c r="E3225" s="40"/>
      <c r="F3225" s="40"/>
      <c r="G3225" s="41"/>
      <c r="H3225" s="14">
        <f>SUM(G3222:G3224)</f>
        <v>1288990</v>
      </c>
      <c r="I3225" s="24" t="s">
        <v>418</v>
      </c>
      <c r="J3225" s="25"/>
      <c r="K3225" s="25"/>
      <c r="L3225" s="25"/>
      <c r="M3225" s="25"/>
      <c r="N3225" s="25"/>
      <c r="O3225" s="25"/>
      <c r="P3225" s="25"/>
      <c r="Q3225" s="25"/>
      <c r="R3225" s="25"/>
      <c r="S3225" s="25"/>
      <c r="T3225" s="25"/>
      <c r="U3225" s="25"/>
      <c r="V3225" s="25"/>
      <c r="W3225" s="25"/>
      <c r="X3225" s="25"/>
      <c r="Y3225" s="25"/>
      <c r="Z3225" s="25"/>
    </row>
    <row r="3226" spans="1:26" ht="15.75" customHeight="1" x14ac:dyDescent="0.75">
      <c r="A3226" s="39" t="s">
        <v>17</v>
      </c>
      <c r="B3226" s="40"/>
      <c r="C3226" s="40"/>
      <c r="D3226" s="40"/>
      <c r="E3226" s="40"/>
      <c r="F3226" s="40"/>
      <c r="G3226" s="41"/>
      <c r="H3226" s="14">
        <f>MAX(0,H3225-648000)</f>
        <v>640990</v>
      </c>
      <c r="I3226" s="24" t="s">
        <v>418</v>
      </c>
      <c r="J3226" s="25"/>
      <c r="K3226" s="25"/>
      <c r="L3226" s="25"/>
      <c r="M3226" s="25"/>
      <c r="N3226" s="25"/>
      <c r="O3226" s="25"/>
      <c r="P3226" s="25"/>
      <c r="Q3226" s="25"/>
      <c r="R3226" s="25"/>
      <c r="S3226" s="25"/>
      <c r="T3226" s="25"/>
      <c r="U3226" s="25"/>
      <c r="V3226" s="25"/>
      <c r="W3226" s="25"/>
      <c r="X3226" s="25"/>
      <c r="Y3226" s="25"/>
      <c r="Z3226" s="25"/>
    </row>
    <row r="3227" spans="1:26" ht="15.75" customHeight="1" x14ac:dyDescent="0.75">
      <c r="A3227" s="42" t="s">
        <v>18</v>
      </c>
      <c r="B3227" s="40"/>
      <c r="C3227" s="40"/>
      <c r="D3227" s="40"/>
      <c r="E3227" s="40"/>
      <c r="F3227" s="40"/>
      <c r="G3227" s="41"/>
      <c r="H3227" s="15">
        <v>649000</v>
      </c>
      <c r="I3227" s="24" t="s">
        <v>418</v>
      </c>
      <c r="J3227" s="25"/>
      <c r="K3227" s="25"/>
      <c r="L3227" s="25"/>
      <c r="M3227" s="25"/>
      <c r="N3227" s="25"/>
      <c r="O3227" s="25"/>
      <c r="P3227" s="25"/>
      <c r="Q3227" s="25"/>
      <c r="R3227" s="25"/>
      <c r="S3227" s="25"/>
      <c r="T3227" s="25"/>
      <c r="U3227" s="25"/>
      <c r="V3227" s="25"/>
      <c r="W3227" s="25"/>
      <c r="X3227" s="25"/>
      <c r="Y3227" s="25"/>
      <c r="Z3227" s="25"/>
    </row>
    <row r="3228" spans="1:26" ht="15.75" customHeight="1" x14ac:dyDescent="0.75">
      <c r="A3228" s="43" t="s">
        <v>19</v>
      </c>
      <c r="B3228" s="40"/>
      <c r="C3228" s="40"/>
      <c r="D3228" s="40"/>
      <c r="E3228" s="40"/>
      <c r="F3228" s="40"/>
      <c r="G3228" s="40"/>
      <c r="H3228" s="41"/>
      <c r="I3228" s="24" t="s">
        <v>418</v>
      </c>
      <c r="J3228" s="25"/>
      <c r="K3228" s="25"/>
      <c r="L3228" s="25"/>
      <c r="M3228" s="25"/>
      <c r="N3228" s="25"/>
      <c r="O3228" s="25"/>
      <c r="P3228" s="25"/>
      <c r="Q3228" s="25"/>
      <c r="R3228" s="25"/>
      <c r="S3228" s="25"/>
      <c r="T3228" s="25"/>
      <c r="U3228" s="25"/>
      <c r="V3228" s="25"/>
      <c r="W3228" s="25"/>
      <c r="X3228" s="25"/>
      <c r="Y3228" s="25"/>
      <c r="Z3228" s="25"/>
    </row>
    <row r="3229" spans="1:26" ht="15.75" customHeight="1" x14ac:dyDescent="0.45">
      <c r="A3229" s="25"/>
      <c r="B3229" s="25"/>
      <c r="C3229" s="25"/>
      <c r="D3229" s="25"/>
      <c r="E3229" s="25"/>
      <c r="F3229" s="25"/>
      <c r="G3229" s="25"/>
      <c r="H3229" s="25"/>
      <c r="I3229" s="24" t="s">
        <v>418</v>
      </c>
      <c r="J3229" s="25"/>
      <c r="K3229" s="25"/>
      <c r="L3229" s="25"/>
      <c r="M3229" s="25"/>
      <c r="N3229" s="25"/>
      <c r="O3229" s="25"/>
      <c r="P3229" s="25"/>
      <c r="Q3229" s="25"/>
      <c r="R3229" s="25"/>
      <c r="S3229" s="25"/>
      <c r="T3229" s="25"/>
      <c r="U3229" s="25"/>
      <c r="V3229" s="25"/>
      <c r="W3229" s="25"/>
      <c r="X3229" s="25"/>
      <c r="Y3229" s="25"/>
      <c r="Z3229" s="25"/>
    </row>
    <row r="3230" spans="1:26" ht="15.75" customHeight="1" x14ac:dyDescent="0.45">
      <c r="A3230" s="25"/>
      <c r="B3230" s="25"/>
      <c r="C3230" s="25"/>
      <c r="D3230" s="25"/>
      <c r="E3230" s="25"/>
      <c r="F3230" s="25"/>
      <c r="G3230" s="25"/>
      <c r="H3230" s="25"/>
      <c r="I3230" s="24" t="s">
        <v>418</v>
      </c>
      <c r="J3230" s="25"/>
      <c r="K3230" s="25"/>
      <c r="L3230" s="25"/>
      <c r="M3230" s="25"/>
      <c r="N3230" s="25"/>
      <c r="O3230" s="25"/>
      <c r="P3230" s="25"/>
      <c r="Q3230" s="25"/>
      <c r="R3230" s="25"/>
      <c r="S3230" s="25"/>
      <c r="T3230" s="25"/>
      <c r="U3230" s="25"/>
      <c r="V3230" s="25"/>
      <c r="W3230" s="25"/>
      <c r="X3230" s="25"/>
      <c r="Y3230" s="25"/>
      <c r="Z3230" s="25"/>
    </row>
    <row r="3231" spans="1:26" ht="15.75" customHeight="1" x14ac:dyDescent="0.45">
      <c r="A3231" s="25"/>
      <c r="B3231" s="25"/>
      <c r="C3231" s="25"/>
      <c r="D3231" s="25"/>
      <c r="E3231" s="25"/>
      <c r="F3231" s="25"/>
      <c r="G3231" s="25"/>
      <c r="H3231" s="25"/>
      <c r="I3231" s="24" t="s">
        <v>418</v>
      </c>
      <c r="J3231" s="25"/>
      <c r="K3231" s="25"/>
      <c r="L3231" s="25"/>
      <c r="M3231" s="25"/>
      <c r="N3231" s="25"/>
      <c r="O3231" s="25"/>
      <c r="P3231" s="25"/>
      <c r="Q3231" s="25"/>
      <c r="R3231" s="25"/>
      <c r="S3231" s="25"/>
      <c r="T3231" s="25"/>
      <c r="U3231" s="25"/>
      <c r="V3231" s="25"/>
      <c r="W3231" s="25"/>
      <c r="X3231" s="25"/>
      <c r="Y3231" s="25"/>
      <c r="Z3231" s="25"/>
    </row>
    <row r="3232" spans="1:26" ht="15.75" customHeight="1" x14ac:dyDescent="0.45">
      <c r="A3232" s="25"/>
      <c r="B3232" s="25"/>
      <c r="C3232" s="25"/>
      <c r="D3232" s="25"/>
      <c r="E3232" s="25"/>
      <c r="F3232" s="25"/>
      <c r="G3232" s="25"/>
      <c r="H3232" s="25"/>
      <c r="I3232" s="24" t="s">
        <v>418</v>
      </c>
      <c r="J3232" s="25"/>
      <c r="K3232" s="25"/>
      <c r="L3232" s="25"/>
      <c r="M3232" s="25"/>
      <c r="N3232" s="25"/>
      <c r="O3232" s="25"/>
      <c r="P3232" s="25"/>
      <c r="Q3232" s="25"/>
      <c r="R3232" s="25"/>
      <c r="S3232" s="25"/>
      <c r="T3232" s="25"/>
      <c r="U3232" s="25"/>
      <c r="V3232" s="25"/>
      <c r="W3232" s="25"/>
      <c r="X3232" s="25"/>
      <c r="Y3232" s="25"/>
      <c r="Z3232" s="25"/>
    </row>
    <row r="3233" spans="1:26" ht="15.75" customHeight="1" x14ac:dyDescent="0.45">
      <c r="A3233" s="25"/>
      <c r="B3233" s="25"/>
      <c r="C3233" s="25"/>
      <c r="D3233" s="25"/>
      <c r="E3233" s="25"/>
      <c r="F3233" s="25"/>
      <c r="G3233" s="25"/>
      <c r="H3233" s="25"/>
      <c r="I3233" s="24" t="s">
        <v>418</v>
      </c>
      <c r="J3233" s="25"/>
      <c r="K3233" s="25"/>
      <c r="L3233" s="25"/>
      <c r="M3233" s="25"/>
      <c r="N3233" s="25"/>
      <c r="O3233" s="25"/>
      <c r="P3233" s="25"/>
      <c r="Q3233" s="25"/>
      <c r="R3233" s="25"/>
      <c r="S3233" s="25"/>
      <c r="T3233" s="25"/>
      <c r="U3233" s="25"/>
      <c r="V3233" s="25"/>
      <c r="W3233" s="25"/>
      <c r="X3233" s="25"/>
      <c r="Y3233" s="25"/>
      <c r="Z3233" s="25"/>
    </row>
    <row r="3234" spans="1:26" ht="15.75" customHeight="1" x14ac:dyDescent="0.75">
      <c r="A3234" s="43" t="s">
        <v>0</v>
      </c>
      <c r="B3234" s="40"/>
      <c r="C3234" s="40"/>
      <c r="D3234" s="40"/>
      <c r="E3234" s="40"/>
      <c r="F3234" s="40"/>
      <c r="G3234" s="40"/>
      <c r="H3234" s="41"/>
      <c r="I3234" s="24" t="s">
        <v>418</v>
      </c>
      <c r="J3234" s="25"/>
      <c r="K3234" s="25"/>
      <c r="L3234" s="25"/>
      <c r="M3234" s="25"/>
      <c r="N3234" s="25"/>
      <c r="O3234" s="25"/>
      <c r="P3234" s="25"/>
      <c r="Q3234" s="25"/>
      <c r="R3234" s="25"/>
      <c r="S3234" s="25"/>
      <c r="T3234" s="25"/>
      <c r="U3234" s="25"/>
      <c r="V3234" s="25"/>
      <c r="W3234" s="25"/>
      <c r="X3234" s="25"/>
      <c r="Y3234" s="25"/>
      <c r="Z3234" s="25"/>
    </row>
    <row r="3235" spans="1:26" ht="15.75" customHeight="1" x14ac:dyDescent="0.75">
      <c r="A3235" s="43" t="s">
        <v>493</v>
      </c>
      <c r="B3235" s="40"/>
      <c r="C3235" s="40"/>
      <c r="D3235" s="40"/>
      <c r="E3235" s="40"/>
      <c r="F3235" s="40"/>
      <c r="G3235" s="40"/>
      <c r="H3235" s="41"/>
      <c r="I3235" s="24" t="s">
        <v>418</v>
      </c>
      <c r="J3235" s="25"/>
      <c r="K3235" s="25"/>
      <c r="L3235" s="25"/>
      <c r="M3235" s="25"/>
      <c r="N3235" s="25"/>
      <c r="O3235" s="25"/>
      <c r="P3235" s="25"/>
      <c r="Q3235" s="25"/>
      <c r="R3235" s="25"/>
      <c r="S3235" s="25"/>
      <c r="T3235" s="25"/>
      <c r="U3235" s="25"/>
      <c r="V3235" s="25"/>
      <c r="W3235" s="25"/>
      <c r="X3235" s="25"/>
      <c r="Y3235" s="25"/>
      <c r="Z3235" s="25"/>
    </row>
    <row r="3236" spans="1:26" ht="15.75" customHeight="1" x14ac:dyDescent="0.55000000000000004">
      <c r="A3236" s="2" t="s">
        <v>3</v>
      </c>
      <c r="B3236" s="2" t="s">
        <v>4</v>
      </c>
      <c r="C3236" s="2" t="s">
        <v>5</v>
      </c>
      <c r="D3236" s="2" t="s">
        <v>6</v>
      </c>
      <c r="E3236" s="2" t="s">
        <v>7</v>
      </c>
      <c r="F3236" s="3" t="s">
        <v>8</v>
      </c>
      <c r="G3236" s="2" t="s">
        <v>9</v>
      </c>
      <c r="H3236" s="26"/>
      <c r="I3236" s="24" t="s">
        <v>418</v>
      </c>
      <c r="J3236" s="25"/>
      <c r="K3236" s="25"/>
      <c r="L3236" s="25"/>
      <c r="M3236" s="25"/>
      <c r="N3236" s="25"/>
      <c r="O3236" s="25"/>
      <c r="P3236" s="25"/>
      <c r="Q3236" s="25"/>
      <c r="R3236" s="25"/>
      <c r="S3236" s="25"/>
      <c r="T3236" s="25"/>
      <c r="U3236" s="25"/>
      <c r="V3236" s="25"/>
      <c r="W3236" s="25"/>
      <c r="X3236" s="25"/>
      <c r="Y3236" s="25"/>
      <c r="Z3236" s="25"/>
    </row>
    <row r="3237" spans="1:26" ht="15.75" customHeight="1" x14ac:dyDescent="0.75">
      <c r="A3237" s="5">
        <v>1</v>
      </c>
      <c r="B3237" s="27" t="s">
        <v>47</v>
      </c>
      <c r="C3237" s="28" t="s">
        <v>494</v>
      </c>
      <c r="D3237" s="27" t="s">
        <v>12</v>
      </c>
      <c r="E3237" s="27">
        <v>1.1000000000000001</v>
      </c>
      <c r="F3237" s="8">
        <v>293000</v>
      </c>
      <c r="G3237" s="9">
        <f t="shared" ref="G3237:G3239" si="200">IFERROR(E3237*F3237,0)</f>
        <v>322300</v>
      </c>
      <c r="H3237" s="29"/>
      <c r="I3237" s="24" t="s">
        <v>418</v>
      </c>
      <c r="J3237" s="25"/>
      <c r="K3237" s="25"/>
      <c r="L3237" s="25"/>
      <c r="M3237" s="25"/>
      <c r="N3237" s="25"/>
      <c r="O3237" s="25"/>
      <c r="P3237" s="25"/>
      <c r="Q3237" s="25"/>
      <c r="R3237" s="25"/>
      <c r="S3237" s="25"/>
      <c r="T3237" s="25"/>
      <c r="U3237" s="25"/>
      <c r="V3237" s="25"/>
      <c r="W3237" s="25"/>
      <c r="X3237" s="25"/>
      <c r="Y3237" s="25"/>
      <c r="Z3237" s="25"/>
    </row>
    <row r="3238" spans="1:26" ht="15.75" customHeight="1" x14ac:dyDescent="0.75">
      <c r="A3238" s="5">
        <v>2</v>
      </c>
      <c r="B3238" s="30" t="s">
        <v>87</v>
      </c>
      <c r="C3238" s="31" t="s">
        <v>495</v>
      </c>
      <c r="D3238" s="30" t="s">
        <v>14</v>
      </c>
      <c r="E3238" s="30">
        <v>2.5</v>
      </c>
      <c r="F3238" s="11">
        <v>435000</v>
      </c>
      <c r="G3238" s="9">
        <f t="shared" si="200"/>
        <v>1087500</v>
      </c>
      <c r="H3238" s="29"/>
      <c r="I3238" s="24" t="s">
        <v>418</v>
      </c>
      <c r="J3238" s="25"/>
      <c r="K3238" s="25"/>
      <c r="L3238" s="25"/>
      <c r="M3238" s="25"/>
      <c r="N3238" s="25"/>
      <c r="O3238" s="25"/>
      <c r="P3238" s="25"/>
      <c r="Q3238" s="25"/>
      <c r="R3238" s="25"/>
      <c r="S3238" s="25"/>
      <c r="T3238" s="25"/>
      <c r="U3238" s="25"/>
      <c r="V3238" s="25"/>
      <c r="W3238" s="25"/>
      <c r="X3238" s="25"/>
      <c r="Y3238" s="25"/>
      <c r="Z3238" s="25"/>
    </row>
    <row r="3239" spans="1:26" ht="15.75" customHeight="1" x14ac:dyDescent="0.75">
      <c r="A3239" s="5">
        <v>3</v>
      </c>
      <c r="B3239" s="12" t="s">
        <v>15</v>
      </c>
      <c r="C3239" s="29"/>
      <c r="D3239" s="29"/>
      <c r="E3239" s="29"/>
      <c r="F3239" s="29"/>
      <c r="G3239" s="13">
        <f t="shared" si="200"/>
        <v>0</v>
      </c>
      <c r="H3239" s="29"/>
      <c r="I3239" s="24" t="s">
        <v>418</v>
      </c>
      <c r="J3239" s="25"/>
      <c r="K3239" s="25"/>
      <c r="L3239" s="25"/>
      <c r="M3239" s="25"/>
      <c r="N3239" s="25"/>
      <c r="O3239" s="25"/>
      <c r="P3239" s="25"/>
      <c r="Q3239" s="25"/>
      <c r="R3239" s="25"/>
      <c r="S3239" s="25"/>
      <c r="T3239" s="25"/>
      <c r="U3239" s="25"/>
      <c r="V3239" s="25"/>
      <c r="W3239" s="25"/>
      <c r="X3239" s="25"/>
      <c r="Y3239" s="25"/>
      <c r="Z3239" s="25"/>
    </row>
    <row r="3240" spans="1:26" ht="15.75" customHeight="1" x14ac:dyDescent="0.75">
      <c r="A3240" s="39" t="s">
        <v>16</v>
      </c>
      <c r="B3240" s="40"/>
      <c r="C3240" s="40"/>
      <c r="D3240" s="40"/>
      <c r="E3240" s="40"/>
      <c r="F3240" s="40"/>
      <c r="G3240" s="41"/>
      <c r="H3240" s="14">
        <f>SUM(G3237:G3239)</f>
        <v>1409800</v>
      </c>
      <c r="I3240" s="24" t="s">
        <v>418</v>
      </c>
      <c r="J3240" s="25"/>
      <c r="K3240" s="25"/>
      <c r="L3240" s="25"/>
      <c r="M3240" s="25"/>
      <c r="N3240" s="25"/>
      <c r="O3240" s="25"/>
      <c r="P3240" s="25"/>
      <c r="Q3240" s="25"/>
      <c r="R3240" s="25"/>
      <c r="S3240" s="25"/>
      <c r="T3240" s="25"/>
      <c r="U3240" s="25"/>
      <c r="V3240" s="25"/>
      <c r="W3240" s="25"/>
      <c r="X3240" s="25"/>
      <c r="Y3240" s="25"/>
      <c r="Z3240" s="25"/>
    </row>
    <row r="3241" spans="1:26" ht="15.75" customHeight="1" x14ac:dyDescent="0.75">
      <c r="A3241" s="39" t="s">
        <v>17</v>
      </c>
      <c r="B3241" s="40"/>
      <c r="C3241" s="40"/>
      <c r="D3241" s="40"/>
      <c r="E3241" s="40"/>
      <c r="F3241" s="40"/>
      <c r="G3241" s="41"/>
      <c r="H3241" s="14">
        <f>MAX(0,H3240-648000)</f>
        <v>761800</v>
      </c>
      <c r="I3241" s="24" t="s">
        <v>418</v>
      </c>
      <c r="J3241" s="25"/>
      <c r="K3241" s="25"/>
      <c r="L3241" s="25"/>
      <c r="M3241" s="25"/>
      <c r="N3241" s="25"/>
      <c r="O3241" s="25"/>
      <c r="P3241" s="25"/>
      <c r="Q3241" s="25"/>
      <c r="R3241" s="25"/>
      <c r="S3241" s="25"/>
      <c r="T3241" s="25"/>
      <c r="U3241" s="25"/>
      <c r="V3241" s="25"/>
      <c r="W3241" s="25"/>
      <c r="X3241" s="25"/>
      <c r="Y3241" s="25"/>
      <c r="Z3241" s="25"/>
    </row>
    <row r="3242" spans="1:26" ht="15.75" customHeight="1" x14ac:dyDescent="0.75">
      <c r="A3242" s="42" t="s">
        <v>18</v>
      </c>
      <c r="B3242" s="40"/>
      <c r="C3242" s="40"/>
      <c r="D3242" s="40"/>
      <c r="E3242" s="40"/>
      <c r="F3242" s="40"/>
      <c r="G3242" s="41"/>
      <c r="H3242" s="15">
        <v>649000</v>
      </c>
      <c r="I3242" s="24" t="s">
        <v>418</v>
      </c>
      <c r="J3242" s="25"/>
      <c r="K3242" s="25"/>
      <c r="L3242" s="25"/>
      <c r="M3242" s="25"/>
      <c r="N3242" s="25"/>
      <c r="O3242" s="25"/>
      <c r="P3242" s="25"/>
      <c r="Q3242" s="25"/>
      <c r="R3242" s="25"/>
      <c r="S3242" s="25"/>
      <c r="T3242" s="25"/>
      <c r="U3242" s="25"/>
      <c r="V3242" s="25"/>
      <c r="W3242" s="25"/>
      <c r="X3242" s="25"/>
      <c r="Y3242" s="25"/>
      <c r="Z3242" s="25"/>
    </row>
    <row r="3243" spans="1:26" ht="15.75" customHeight="1" x14ac:dyDescent="0.75">
      <c r="A3243" s="43" t="s">
        <v>19</v>
      </c>
      <c r="B3243" s="40"/>
      <c r="C3243" s="40"/>
      <c r="D3243" s="40"/>
      <c r="E3243" s="40"/>
      <c r="F3243" s="40"/>
      <c r="G3243" s="40"/>
      <c r="H3243" s="41"/>
      <c r="I3243" s="24" t="s">
        <v>418</v>
      </c>
      <c r="J3243" s="25"/>
      <c r="K3243" s="25"/>
      <c r="L3243" s="25"/>
      <c r="M3243" s="25"/>
      <c r="N3243" s="25"/>
      <c r="O3243" s="25"/>
      <c r="P3243" s="25"/>
      <c r="Q3243" s="25"/>
      <c r="R3243" s="25"/>
      <c r="S3243" s="25"/>
      <c r="T3243" s="25"/>
      <c r="U3243" s="25"/>
      <c r="V3243" s="25"/>
      <c r="W3243" s="25"/>
      <c r="X3243" s="25"/>
      <c r="Y3243" s="25"/>
      <c r="Z3243" s="25"/>
    </row>
    <row r="3244" spans="1:26" ht="15.75" customHeight="1" x14ac:dyDescent="0.45">
      <c r="A3244" s="25"/>
      <c r="B3244" s="25"/>
      <c r="C3244" s="25"/>
      <c r="D3244" s="25"/>
      <c r="E3244" s="25"/>
      <c r="F3244" s="25"/>
      <c r="G3244" s="25"/>
      <c r="H3244" s="25"/>
      <c r="I3244" s="24" t="s">
        <v>418</v>
      </c>
      <c r="J3244" s="25"/>
      <c r="K3244" s="25"/>
      <c r="L3244" s="25"/>
      <c r="M3244" s="25"/>
      <c r="N3244" s="25"/>
      <c r="O3244" s="25"/>
      <c r="P3244" s="25"/>
      <c r="Q3244" s="25"/>
      <c r="R3244" s="25"/>
      <c r="S3244" s="25"/>
      <c r="T3244" s="25"/>
      <c r="U3244" s="25"/>
      <c r="V3244" s="25"/>
      <c r="W3244" s="25"/>
      <c r="X3244" s="25"/>
      <c r="Y3244" s="25"/>
      <c r="Z3244" s="25"/>
    </row>
    <row r="3245" spans="1:26" ht="15.75" customHeight="1" x14ac:dyDescent="0.45">
      <c r="A3245" s="25"/>
      <c r="B3245" s="25"/>
      <c r="C3245" s="25"/>
      <c r="D3245" s="25"/>
      <c r="E3245" s="25"/>
      <c r="F3245" s="25"/>
      <c r="G3245" s="25"/>
      <c r="H3245" s="25"/>
      <c r="I3245" s="24" t="s">
        <v>418</v>
      </c>
      <c r="J3245" s="25"/>
      <c r="K3245" s="25"/>
      <c r="L3245" s="25"/>
      <c r="M3245" s="25"/>
      <c r="N3245" s="25"/>
      <c r="O3245" s="25"/>
      <c r="P3245" s="25"/>
      <c r="Q3245" s="25"/>
      <c r="R3245" s="25"/>
      <c r="S3245" s="25"/>
      <c r="T3245" s="25"/>
      <c r="U3245" s="25"/>
      <c r="V3245" s="25"/>
      <c r="W3245" s="25"/>
      <c r="X3245" s="25"/>
      <c r="Y3245" s="25"/>
      <c r="Z3245" s="25"/>
    </row>
    <row r="3246" spans="1:26" ht="15.75" customHeight="1" x14ac:dyDescent="0.45">
      <c r="A3246" s="25"/>
      <c r="B3246" s="25"/>
      <c r="C3246" s="25"/>
      <c r="D3246" s="25"/>
      <c r="E3246" s="25"/>
      <c r="F3246" s="25"/>
      <c r="G3246" s="25"/>
      <c r="H3246" s="25"/>
      <c r="I3246" s="24" t="s">
        <v>418</v>
      </c>
      <c r="J3246" s="25"/>
      <c r="K3246" s="25"/>
      <c r="L3246" s="25"/>
      <c r="M3246" s="25"/>
      <c r="N3246" s="25"/>
      <c r="O3246" s="25"/>
      <c r="P3246" s="25"/>
      <c r="Q3246" s="25"/>
      <c r="R3246" s="25"/>
      <c r="S3246" s="25"/>
      <c r="T3246" s="25"/>
      <c r="U3246" s="25"/>
      <c r="V3246" s="25"/>
      <c r="W3246" s="25"/>
      <c r="X3246" s="25"/>
      <c r="Y3246" s="25"/>
      <c r="Z3246" s="25"/>
    </row>
    <row r="3247" spans="1:26" ht="15.75" customHeight="1" x14ac:dyDescent="0.45">
      <c r="A3247" s="25"/>
      <c r="B3247" s="25"/>
      <c r="C3247" s="25"/>
      <c r="D3247" s="25"/>
      <c r="E3247" s="25"/>
      <c r="F3247" s="25"/>
      <c r="G3247" s="25"/>
      <c r="H3247" s="25"/>
      <c r="I3247" s="24" t="s">
        <v>418</v>
      </c>
      <c r="J3247" s="25"/>
      <c r="K3247" s="25"/>
      <c r="L3247" s="25"/>
      <c r="M3247" s="25"/>
      <c r="N3247" s="25"/>
      <c r="O3247" s="25"/>
      <c r="P3247" s="25"/>
      <c r="Q3247" s="25"/>
      <c r="R3247" s="25"/>
      <c r="S3247" s="25"/>
      <c r="T3247" s="25"/>
      <c r="U3247" s="25"/>
      <c r="V3247" s="25"/>
      <c r="W3247" s="25"/>
      <c r="X3247" s="25"/>
      <c r="Y3247" s="25"/>
      <c r="Z3247" s="25"/>
    </row>
    <row r="3248" spans="1:26" ht="15.75" customHeight="1" x14ac:dyDescent="0.45">
      <c r="A3248" s="25"/>
      <c r="B3248" s="25"/>
      <c r="C3248" s="25"/>
      <c r="D3248" s="25"/>
      <c r="E3248" s="25"/>
      <c r="F3248" s="25"/>
      <c r="G3248" s="25"/>
      <c r="H3248" s="25"/>
      <c r="I3248" s="24" t="s">
        <v>418</v>
      </c>
      <c r="J3248" s="25"/>
      <c r="K3248" s="25"/>
      <c r="L3248" s="25"/>
      <c r="M3248" s="25"/>
      <c r="N3248" s="25"/>
      <c r="O3248" s="25"/>
      <c r="P3248" s="25"/>
      <c r="Q3248" s="25"/>
      <c r="R3248" s="25"/>
      <c r="S3248" s="25"/>
      <c r="T3248" s="25"/>
      <c r="U3248" s="25"/>
      <c r="V3248" s="25"/>
      <c r="W3248" s="25"/>
      <c r="X3248" s="25"/>
      <c r="Y3248" s="25"/>
      <c r="Z3248" s="25"/>
    </row>
    <row r="3249" spans="1:26" ht="15.75" customHeight="1" x14ac:dyDescent="0.45">
      <c r="A3249" s="25"/>
      <c r="B3249" s="25"/>
      <c r="C3249" s="25"/>
      <c r="D3249" s="25"/>
      <c r="E3249" s="25"/>
      <c r="F3249" s="25"/>
      <c r="G3249" s="25"/>
      <c r="H3249" s="25"/>
      <c r="I3249" s="24" t="s">
        <v>418</v>
      </c>
      <c r="J3249" s="25"/>
      <c r="K3249" s="25"/>
      <c r="L3249" s="25"/>
      <c r="M3249" s="25"/>
      <c r="N3249" s="25"/>
      <c r="O3249" s="25"/>
      <c r="P3249" s="25"/>
      <c r="Q3249" s="25"/>
      <c r="R3249" s="25"/>
      <c r="S3249" s="25"/>
      <c r="T3249" s="25"/>
      <c r="U3249" s="25"/>
      <c r="V3249" s="25"/>
      <c r="W3249" s="25"/>
      <c r="X3249" s="25"/>
      <c r="Y3249" s="25"/>
      <c r="Z3249" s="25"/>
    </row>
    <row r="3250" spans="1:26" ht="15.75" customHeight="1" x14ac:dyDescent="0.75">
      <c r="A3250" s="43" t="s">
        <v>0</v>
      </c>
      <c r="B3250" s="40"/>
      <c r="C3250" s="40"/>
      <c r="D3250" s="40"/>
      <c r="E3250" s="40"/>
      <c r="F3250" s="40"/>
      <c r="G3250" s="40"/>
      <c r="H3250" s="41"/>
      <c r="I3250" s="24" t="s">
        <v>418</v>
      </c>
      <c r="J3250" s="25"/>
      <c r="K3250" s="25"/>
      <c r="L3250" s="25"/>
      <c r="M3250" s="25"/>
      <c r="N3250" s="25"/>
      <c r="O3250" s="25"/>
      <c r="P3250" s="25"/>
      <c r="Q3250" s="25"/>
      <c r="R3250" s="25"/>
      <c r="S3250" s="25"/>
      <c r="T3250" s="25"/>
      <c r="U3250" s="25"/>
      <c r="V3250" s="25"/>
      <c r="W3250" s="25"/>
      <c r="X3250" s="25"/>
      <c r="Y3250" s="25"/>
      <c r="Z3250" s="25"/>
    </row>
    <row r="3251" spans="1:26" ht="15.75" customHeight="1" x14ac:dyDescent="0.75">
      <c r="A3251" s="43" t="s">
        <v>496</v>
      </c>
      <c r="B3251" s="40"/>
      <c r="C3251" s="40"/>
      <c r="D3251" s="40"/>
      <c r="E3251" s="40"/>
      <c r="F3251" s="40"/>
      <c r="G3251" s="40"/>
      <c r="H3251" s="41"/>
      <c r="I3251" s="24" t="s">
        <v>418</v>
      </c>
      <c r="J3251" s="25"/>
      <c r="K3251" s="25"/>
      <c r="L3251" s="25"/>
      <c r="M3251" s="25"/>
      <c r="N3251" s="25"/>
      <c r="O3251" s="25"/>
      <c r="P3251" s="25"/>
      <c r="Q3251" s="25"/>
      <c r="R3251" s="25"/>
      <c r="S3251" s="25"/>
      <c r="T3251" s="25"/>
      <c r="U3251" s="25"/>
      <c r="V3251" s="25"/>
      <c r="W3251" s="25"/>
      <c r="X3251" s="25"/>
      <c r="Y3251" s="25"/>
      <c r="Z3251" s="25"/>
    </row>
    <row r="3252" spans="1:26" ht="15.75" customHeight="1" x14ac:dyDescent="0.55000000000000004">
      <c r="A3252" s="2" t="s">
        <v>3</v>
      </c>
      <c r="B3252" s="2" t="s">
        <v>4</v>
      </c>
      <c r="C3252" s="2" t="s">
        <v>5</v>
      </c>
      <c r="D3252" s="2" t="s">
        <v>6</v>
      </c>
      <c r="E3252" s="2" t="s">
        <v>7</v>
      </c>
      <c r="F3252" s="3" t="s">
        <v>8</v>
      </c>
      <c r="G3252" s="2" t="s">
        <v>9</v>
      </c>
      <c r="H3252" s="26"/>
      <c r="I3252" s="24" t="s">
        <v>418</v>
      </c>
      <c r="J3252" s="25"/>
      <c r="K3252" s="25"/>
      <c r="L3252" s="25"/>
      <c r="M3252" s="25"/>
      <c r="N3252" s="25"/>
      <c r="O3252" s="25"/>
      <c r="P3252" s="25"/>
      <c r="Q3252" s="25"/>
      <c r="R3252" s="25"/>
      <c r="S3252" s="25"/>
      <c r="T3252" s="25"/>
      <c r="U3252" s="25"/>
      <c r="V3252" s="25"/>
      <c r="W3252" s="25"/>
      <c r="X3252" s="25"/>
      <c r="Y3252" s="25"/>
      <c r="Z3252" s="25"/>
    </row>
    <row r="3253" spans="1:26" ht="15.75" customHeight="1" x14ac:dyDescent="0.75">
      <c r="A3253" s="5">
        <v>1</v>
      </c>
      <c r="B3253" s="27" t="s">
        <v>497</v>
      </c>
      <c r="C3253" s="28" t="s">
        <v>498</v>
      </c>
      <c r="D3253" s="27" t="s">
        <v>12</v>
      </c>
      <c r="E3253" s="27">
        <v>1</v>
      </c>
      <c r="F3253" s="8">
        <v>293000</v>
      </c>
      <c r="G3253" s="9">
        <f t="shared" ref="G3253:G3255" si="201">IFERROR(E3253*F3253,0)</f>
        <v>293000</v>
      </c>
      <c r="H3253" s="29"/>
      <c r="I3253" s="24" t="s">
        <v>418</v>
      </c>
      <c r="J3253" s="25"/>
      <c r="K3253" s="25"/>
      <c r="L3253" s="25"/>
      <c r="M3253" s="25"/>
      <c r="N3253" s="25"/>
      <c r="O3253" s="25"/>
      <c r="P3253" s="25"/>
      <c r="Q3253" s="25"/>
      <c r="R3253" s="25"/>
      <c r="S3253" s="25"/>
      <c r="T3253" s="25"/>
      <c r="U3253" s="25"/>
      <c r="V3253" s="25"/>
      <c r="W3253" s="25"/>
      <c r="X3253" s="25"/>
      <c r="Y3253" s="25"/>
      <c r="Z3253" s="25"/>
    </row>
    <row r="3254" spans="1:26" ht="15.75" customHeight="1" x14ac:dyDescent="0.75">
      <c r="A3254" s="5">
        <v>2</v>
      </c>
      <c r="B3254" s="30" t="s">
        <v>87</v>
      </c>
      <c r="C3254" s="31" t="s">
        <v>499</v>
      </c>
      <c r="D3254" s="30" t="s">
        <v>14</v>
      </c>
      <c r="E3254" s="30">
        <v>2.65</v>
      </c>
      <c r="F3254" s="11">
        <v>435000</v>
      </c>
      <c r="G3254" s="9">
        <f t="shared" si="201"/>
        <v>1152750</v>
      </c>
      <c r="H3254" s="29"/>
      <c r="I3254" s="24" t="s">
        <v>418</v>
      </c>
      <c r="J3254" s="25"/>
      <c r="K3254" s="25"/>
      <c r="L3254" s="25"/>
      <c r="M3254" s="25"/>
      <c r="N3254" s="25"/>
      <c r="O3254" s="25"/>
      <c r="P3254" s="25"/>
      <c r="Q3254" s="25"/>
      <c r="R3254" s="25"/>
      <c r="S3254" s="25"/>
      <c r="T3254" s="25"/>
      <c r="U3254" s="25"/>
      <c r="V3254" s="25"/>
      <c r="W3254" s="25"/>
      <c r="X3254" s="25"/>
      <c r="Y3254" s="25"/>
      <c r="Z3254" s="25"/>
    </row>
    <row r="3255" spans="1:26" ht="15.75" customHeight="1" x14ac:dyDescent="0.75">
      <c r="A3255" s="5">
        <v>3</v>
      </c>
      <c r="B3255" s="12" t="s">
        <v>15</v>
      </c>
      <c r="C3255" s="29"/>
      <c r="D3255" s="29"/>
      <c r="E3255" s="29"/>
      <c r="F3255" s="29"/>
      <c r="G3255" s="13">
        <f t="shared" si="201"/>
        <v>0</v>
      </c>
      <c r="H3255" s="29"/>
      <c r="I3255" s="24" t="s">
        <v>418</v>
      </c>
      <c r="J3255" s="25"/>
      <c r="K3255" s="25"/>
      <c r="L3255" s="25"/>
      <c r="M3255" s="25"/>
      <c r="N3255" s="25"/>
      <c r="O3255" s="25"/>
      <c r="P3255" s="25"/>
      <c r="Q3255" s="25"/>
      <c r="R3255" s="25"/>
      <c r="S3255" s="25"/>
      <c r="T3255" s="25"/>
      <c r="U3255" s="25"/>
      <c r="V3255" s="25"/>
      <c r="W3255" s="25"/>
      <c r="X3255" s="25"/>
      <c r="Y3255" s="25"/>
      <c r="Z3255" s="25"/>
    </row>
    <row r="3256" spans="1:26" ht="15.75" customHeight="1" x14ac:dyDescent="0.75">
      <c r="A3256" s="39" t="s">
        <v>16</v>
      </c>
      <c r="B3256" s="40"/>
      <c r="C3256" s="40"/>
      <c r="D3256" s="40"/>
      <c r="E3256" s="40"/>
      <c r="F3256" s="40"/>
      <c r="G3256" s="41"/>
      <c r="H3256" s="14">
        <f>SUM(G3253:G3255)</f>
        <v>1445750</v>
      </c>
      <c r="I3256" s="24" t="s">
        <v>418</v>
      </c>
      <c r="J3256" s="25"/>
      <c r="K3256" s="25"/>
      <c r="L3256" s="25"/>
      <c r="M3256" s="25"/>
      <c r="N3256" s="25"/>
      <c r="O3256" s="25"/>
      <c r="P3256" s="25"/>
      <c r="Q3256" s="25"/>
      <c r="R3256" s="25"/>
      <c r="S3256" s="25"/>
      <c r="T3256" s="25"/>
      <c r="U3256" s="25"/>
      <c r="V3256" s="25"/>
      <c r="W3256" s="25"/>
      <c r="X3256" s="25"/>
      <c r="Y3256" s="25"/>
      <c r="Z3256" s="25"/>
    </row>
    <row r="3257" spans="1:26" ht="15.75" customHeight="1" x14ac:dyDescent="0.75">
      <c r="A3257" s="39" t="s">
        <v>17</v>
      </c>
      <c r="B3257" s="40"/>
      <c r="C3257" s="40"/>
      <c r="D3257" s="40"/>
      <c r="E3257" s="40"/>
      <c r="F3257" s="40"/>
      <c r="G3257" s="41"/>
      <c r="H3257" s="14">
        <f>MAX(0,H3256-648000)</f>
        <v>797750</v>
      </c>
      <c r="I3257" s="24" t="s">
        <v>418</v>
      </c>
      <c r="J3257" s="25"/>
      <c r="K3257" s="25"/>
      <c r="L3257" s="25"/>
      <c r="M3257" s="25"/>
      <c r="N3257" s="25"/>
      <c r="O3257" s="25"/>
      <c r="P3257" s="25"/>
      <c r="Q3257" s="25"/>
      <c r="R3257" s="25"/>
      <c r="S3257" s="25"/>
      <c r="T3257" s="25"/>
      <c r="U3257" s="25"/>
      <c r="V3257" s="25"/>
      <c r="W3257" s="25"/>
      <c r="X3257" s="25"/>
      <c r="Y3257" s="25"/>
      <c r="Z3257" s="25"/>
    </row>
    <row r="3258" spans="1:26" ht="15.75" customHeight="1" x14ac:dyDescent="0.75">
      <c r="A3258" s="42" t="s">
        <v>18</v>
      </c>
      <c r="B3258" s="40"/>
      <c r="C3258" s="40"/>
      <c r="D3258" s="40"/>
      <c r="E3258" s="40"/>
      <c r="F3258" s="40"/>
      <c r="G3258" s="41"/>
      <c r="H3258" s="15">
        <v>649000</v>
      </c>
      <c r="I3258" s="24" t="s">
        <v>418</v>
      </c>
      <c r="J3258" s="25"/>
      <c r="K3258" s="25"/>
      <c r="L3258" s="25"/>
      <c r="M3258" s="25"/>
      <c r="N3258" s="25"/>
      <c r="O3258" s="25"/>
      <c r="P3258" s="25"/>
      <c r="Q3258" s="25"/>
      <c r="R3258" s="25"/>
      <c r="S3258" s="25"/>
      <c r="T3258" s="25"/>
      <c r="U3258" s="25"/>
      <c r="V3258" s="25"/>
      <c r="W3258" s="25"/>
      <c r="X3258" s="25"/>
      <c r="Y3258" s="25"/>
      <c r="Z3258" s="25"/>
    </row>
    <row r="3259" spans="1:26" ht="15.75" customHeight="1" x14ac:dyDescent="0.75">
      <c r="A3259" s="43" t="s">
        <v>19</v>
      </c>
      <c r="B3259" s="40"/>
      <c r="C3259" s="40"/>
      <c r="D3259" s="40"/>
      <c r="E3259" s="40"/>
      <c r="F3259" s="40"/>
      <c r="G3259" s="40"/>
      <c r="H3259" s="41"/>
      <c r="I3259" s="24" t="s">
        <v>418</v>
      </c>
      <c r="J3259" s="25"/>
      <c r="K3259" s="25"/>
      <c r="L3259" s="25"/>
      <c r="M3259" s="25"/>
      <c r="N3259" s="25"/>
      <c r="O3259" s="25"/>
      <c r="P3259" s="25"/>
      <c r="Q3259" s="25"/>
      <c r="R3259" s="25"/>
      <c r="S3259" s="25"/>
      <c r="T3259" s="25"/>
      <c r="U3259" s="25"/>
      <c r="V3259" s="25"/>
      <c r="W3259" s="25"/>
      <c r="X3259" s="25"/>
      <c r="Y3259" s="25"/>
      <c r="Z3259" s="25"/>
    </row>
    <row r="3260" spans="1:26" ht="15.75" customHeight="1" x14ac:dyDescent="0.45">
      <c r="A3260" s="25"/>
      <c r="B3260" s="25"/>
      <c r="C3260" s="25"/>
      <c r="D3260" s="25"/>
      <c r="E3260" s="25"/>
      <c r="F3260" s="25"/>
      <c r="G3260" s="25"/>
      <c r="H3260" s="25"/>
      <c r="I3260" s="24" t="s">
        <v>418</v>
      </c>
      <c r="J3260" s="25"/>
      <c r="K3260" s="25"/>
      <c r="L3260" s="25"/>
      <c r="M3260" s="25"/>
      <c r="N3260" s="25"/>
      <c r="O3260" s="25"/>
      <c r="P3260" s="25"/>
      <c r="Q3260" s="25"/>
      <c r="R3260" s="25"/>
      <c r="S3260" s="25"/>
      <c r="T3260" s="25"/>
      <c r="U3260" s="25"/>
      <c r="V3260" s="25"/>
      <c r="W3260" s="25"/>
      <c r="X3260" s="25"/>
      <c r="Y3260" s="25"/>
      <c r="Z3260" s="25"/>
    </row>
    <row r="3261" spans="1:26" ht="15.75" customHeight="1" x14ac:dyDescent="0.45">
      <c r="A3261" s="25"/>
      <c r="B3261" s="25"/>
      <c r="C3261" s="25"/>
      <c r="D3261" s="25"/>
      <c r="E3261" s="25"/>
      <c r="F3261" s="25"/>
      <c r="G3261" s="25"/>
      <c r="H3261" s="25"/>
      <c r="I3261" s="24" t="s">
        <v>418</v>
      </c>
      <c r="J3261" s="25"/>
      <c r="K3261" s="25"/>
      <c r="L3261" s="25"/>
      <c r="M3261" s="25"/>
      <c r="N3261" s="25"/>
      <c r="O3261" s="25"/>
      <c r="P3261" s="25"/>
      <c r="Q3261" s="25"/>
      <c r="R3261" s="25"/>
      <c r="S3261" s="25"/>
      <c r="T3261" s="25"/>
      <c r="U3261" s="25"/>
      <c r="V3261" s="25"/>
      <c r="W3261" s="25"/>
      <c r="X3261" s="25"/>
      <c r="Y3261" s="25"/>
      <c r="Z3261" s="25"/>
    </row>
    <row r="3262" spans="1:26" ht="15.75" customHeight="1" x14ac:dyDescent="0.45">
      <c r="A3262" s="25"/>
      <c r="B3262" s="25"/>
      <c r="C3262" s="25"/>
      <c r="D3262" s="25"/>
      <c r="E3262" s="25"/>
      <c r="F3262" s="25"/>
      <c r="G3262" s="25"/>
      <c r="H3262" s="25"/>
      <c r="I3262" s="24" t="s">
        <v>418</v>
      </c>
      <c r="J3262" s="25"/>
      <c r="K3262" s="25"/>
      <c r="L3262" s="25"/>
      <c r="M3262" s="25"/>
      <c r="N3262" s="25"/>
      <c r="O3262" s="25"/>
      <c r="P3262" s="25"/>
      <c r="Q3262" s="25"/>
      <c r="R3262" s="25"/>
      <c r="S3262" s="25"/>
      <c r="T3262" s="25"/>
      <c r="U3262" s="25"/>
      <c r="V3262" s="25"/>
      <c r="W3262" s="25"/>
      <c r="X3262" s="25"/>
      <c r="Y3262" s="25"/>
      <c r="Z3262" s="25"/>
    </row>
    <row r="3263" spans="1:26" ht="15.75" customHeight="1" x14ac:dyDescent="0.45">
      <c r="A3263" s="25"/>
      <c r="B3263" s="25"/>
      <c r="C3263" s="25"/>
      <c r="D3263" s="25"/>
      <c r="E3263" s="25"/>
      <c r="F3263" s="25"/>
      <c r="G3263" s="25"/>
      <c r="H3263" s="25"/>
      <c r="I3263" s="24" t="s">
        <v>418</v>
      </c>
      <c r="J3263" s="25"/>
      <c r="K3263" s="25"/>
      <c r="L3263" s="25"/>
      <c r="M3263" s="25"/>
      <c r="N3263" s="25"/>
      <c r="O3263" s="25"/>
      <c r="P3263" s="25"/>
      <c r="Q3263" s="25"/>
      <c r="R3263" s="25"/>
      <c r="S3263" s="25"/>
      <c r="T3263" s="25"/>
      <c r="U3263" s="25"/>
      <c r="V3263" s="25"/>
      <c r="W3263" s="25"/>
      <c r="X3263" s="25"/>
      <c r="Y3263" s="25"/>
      <c r="Z3263" s="25"/>
    </row>
    <row r="3264" spans="1:26" ht="15.75" customHeight="1" x14ac:dyDescent="0.45">
      <c r="A3264" s="25"/>
      <c r="B3264" s="25"/>
      <c r="C3264" s="25"/>
      <c r="D3264" s="25"/>
      <c r="E3264" s="25"/>
      <c r="F3264" s="25"/>
      <c r="G3264" s="25"/>
      <c r="H3264" s="25"/>
      <c r="I3264" s="24" t="s">
        <v>418</v>
      </c>
      <c r="J3264" s="25"/>
      <c r="K3264" s="25"/>
      <c r="L3264" s="25"/>
      <c r="M3264" s="25"/>
      <c r="N3264" s="25"/>
      <c r="O3264" s="25"/>
      <c r="P3264" s="25"/>
      <c r="Q3264" s="25"/>
      <c r="R3264" s="25"/>
      <c r="S3264" s="25"/>
      <c r="T3264" s="25"/>
      <c r="U3264" s="25"/>
      <c r="V3264" s="25"/>
      <c r="W3264" s="25"/>
      <c r="X3264" s="25"/>
      <c r="Y3264" s="25"/>
      <c r="Z3264" s="25"/>
    </row>
    <row r="3265" spans="1:26" ht="15.75" customHeight="1" x14ac:dyDescent="0.45">
      <c r="A3265" s="25"/>
      <c r="B3265" s="25"/>
      <c r="C3265" s="25"/>
      <c r="D3265" s="25"/>
      <c r="E3265" s="25"/>
      <c r="F3265" s="25"/>
      <c r="G3265" s="25"/>
      <c r="H3265" s="25"/>
      <c r="I3265" s="24" t="s">
        <v>418</v>
      </c>
      <c r="J3265" s="25"/>
      <c r="K3265" s="25"/>
      <c r="L3265" s="25"/>
      <c r="M3265" s="25"/>
      <c r="N3265" s="25"/>
      <c r="O3265" s="25"/>
      <c r="P3265" s="25"/>
      <c r="Q3265" s="25"/>
      <c r="R3265" s="25"/>
      <c r="S3265" s="25"/>
      <c r="T3265" s="25"/>
      <c r="U3265" s="25"/>
      <c r="V3265" s="25"/>
      <c r="W3265" s="25"/>
      <c r="X3265" s="25"/>
      <c r="Y3265" s="25"/>
      <c r="Z3265" s="25"/>
    </row>
    <row r="3266" spans="1:26" ht="15.75" customHeight="1" x14ac:dyDescent="0.75">
      <c r="A3266" s="43" t="s">
        <v>0</v>
      </c>
      <c r="B3266" s="40"/>
      <c r="C3266" s="40"/>
      <c r="D3266" s="40"/>
      <c r="E3266" s="40"/>
      <c r="F3266" s="40"/>
      <c r="G3266" s="40"/>
      <c r="H3266" s="41"/>
      <c r="I3266" s="24" t="s">
        <v>418</v>
      </c>
      <c r="J3266" s="25"/>
      <c r="K3266" s="25"/>
      <c r="L3266" s="25"/>
      <c r="M3266" s="25"/>
      <c r="N3266" s="25"/>
      <c r="O3266" s="25"/>
      <c r="P3266" s="25"/>
      <c r="Q3266" s="25"/>
      <c r="R3266" s="25"/>
      <c r="S3266" s="25"/>
      <c r="T3266" s="25"/>
      <c r="U3266" s="25"/>
      <c r="V3266" s="25"/>
      <c r="W3266" s="25"/>
      <c r="X3266" s="25"/>
      <c r="Y3266" s="25"/>
      <c r="Z3266" s="25"/>
    </row>
    <row r="3267" spans="1:26" ht="15.75" customHeight="1" x14ac:dyDescent="0.75">
      <c r="A3267" s="43" t="s">
        <v>500</v>
      </c>
      <c r="B3267" s="40"/>
      <c r="C3267" s="40"/>
      <c r="D3267" s="40"/>
      <c r="E3267" s="40"/>
      <c r="F3267" s="40"/>
      <c r="G3267" s="40"/>
      <c r="H3267" s="41"/>
      <c r="I3267" s="24" t="s">
        <v>418</v>
      </c>
      <c r="J3267" s="25"/>
      <c r="K3267" s="25"/>
      <c r="L3267" s="25"/>
      <c r="M3267" s="25"/>
      <c r="N3267" s="25"/>
      <c r="O3267" s="25"/>
      <c r="P3267" s="25"/>
      <c r="Q3267" s="25"/>
      <c r="R3267" s="25"/>
      <c r="S3267" s="25"/>
      <c r="T3267" s="25"/>
      <c r="U3267" s="25"/>
      <c r="V3267" s="25"/>
      <c r="W3267" s="25"/>
      <c r="X3267" s="25"/>
      <c r="Y3267" s="25"/>
      <c r="Z3267" s="25"/>
    </row>
    <row r="3268" spans="1:26" ht="15.75" customHeight="1" x14ac:dyDescent="0.55000000000000004">
      <c r="A3268" s="2" t="s">
        <v>3</v>
      </c>
      <c r="B3268" s="2" t="s">
        <v>4</v>
      </c>
      <c r="C3268" s="2" t="s">
        <v>5</v>
      </c>
      <c r="D3268" s="2" t="s">
        <v>6</v>
      </c>
      <c r="E3268" s="2" t="s">
        <v>7</v>
      </c>
      <c r="F3268" s="3" t="s">
        <v>8</v>
      </c>
      <c r="G3268" s="2" t="s">
        <v>9</v>
      </c>
      <c r="H3268" s="26"/>
      <c r="I3268" s="24" t="s">
        <v>418</v>
      </c>
      <c r="J3268" s="25"/>
      <c r="K3268" s="25"/>
      <c r="L3268" s="25"/>
      <c r="M3268" s="25"/>
      <c r="N3268" s="25"/>
      <c r="O3268" s="25"/>
      <c r="P3268" s="25"/>
      <c r="Q3268" s="25"/>
      <c r="R3268" s="25"/>
      <c r="S3268" s="25"/>
      <c r="T3268" s="25"/>
      <c r="U3268" s="25"/>
      <c r="V3268" s="25"/>
      <c r="W3268" s="25"/>
      <c r="X3268" s="25"/>
      <c r="Y3268" s="25"/>
      <c r="Z3268" s="25"/>
    </row>
    <row r="3269" spans="1:26" ht="15.75" customHeight="1" x14ac:dyDescent="0.75">
      <c r="A3269" s="5">
        <v>1</v>
      </c>
      <c r="B3269" s="27" t="s">
        <v>68</v>
      </c>
      <c r="C3269" s="28" t="s">
        <v>501</v>
      </c>
      <c r="D3269" s="27" t="s">
        <v>12</v>
      </c>
      <c r="E3269" s="27">
        <v>0.6</v>
      </c>
      <c r="F3269" s="8">
        <v>293000</v>
      </c>
      <c r="G3269" s="9">
        <f t="shared" ref="G3269:G3271" si="202">IFERROR(E3269*F3269,0)</f>
        <v>175800</v>
      </c>
      <c r="H3269" s="29"/>
      <c r="I3269" s="24" t="s">
        <v>418</v>
      </c>
      <c r="J3269" s="25"/>
      <c r="K3269" s="25"/>
      <c r="L3269" s="25"/>
      <c r="M3269" s="25"/>
      <c r="N3269" s="25"/>
      <c r="O3269" s="25"/>
      <c r="P3269" s="25"/>
      <c r="Q3269" s="25"/>
      <c r="R3269" s="25"/>
      <c r="S3269" s="25"/>
      <c r="T3269" s="25"/>
      <c r="U3269" s="25"/>
      <c r="V3269" s="25"/>
      <c r="W3269" s="25"/>
      <c r="X3269" s="25"/>
      <c r="Y3269" s="25"/>
      <c r="Z3269" s="25"/>
    </row>
    <row r="3270" spans="1:26" ht="15.75" customHeight="1" x14ac:dyDescent="0.75">
      <c r="A3270" s="5">
        <v>2</v>
      </c>
      <c r="B3270" s="30" t="s">
        <v>502</v>
      </c>
      <c r="C3270" s="31" t="s">
        <v>503</v>
      </c>
      <c r="D3270" s="30" t="s">
        <v>14</v>
      </c>
      <c r="E3270" s="30">
        <v>3</v>
      </c>
      <c r="F3270" s="11">
        <v>435000</v>
      </c>
      <c r="G3270" s="9">
        <f t="shared" si="202"/>
        <v>1305000</v>
      </c>
      <c r="H3270" s="29"/>
      <c r="I3270" s="24" t="s">
        <v>418</v>
      </c>
      <c r="J3270" s="25"/>
      <c r="K3270" s="25"/>
      <c r="L3270" s="25"/>
      <c r="M3270" s="25"/>
      <c r="N3270" s="25"/>
      <c r="O3270" s="25"/>
      <c r="P3270" s="25"/>
      <c r="Q3270" s="25"/>
      <c r="R3270" s="25"/>
      <c r="S3270" s="25"/>
      <c r="T3270" s="25"/>
      <c r="U3270" s="25"/>
      <c r="V3270" s="25"/>
      <c r="W3270" s="25"/>
      <c r="X3270" s="25"/>
      <c r="Y3270" s="25"/>
      <c r="Z3270" s="25"/>
    </row>
    <row r="3271" spans="1:26" ht="15.75" customHeight="1" x14ac:dyDescent="0.75">
      <c r="A3271" s="5">
        <v>3</v>
      </c>
      <c r="B3271" s="12" t="s">
        <v>15</v>
      </c>
      <c r="C3271" s="29"/>
      <c r="D3271" s="29"/>
      <c r="E3271" s="29"/>
      <c r="F3271" s="29"/>
      <c r="G3271" s="13">
        <f t="shared" si="202"/>
        <v>0</v>
      </c>
      <c r="H3271" s="29"/>
      <c r="I3271" s="24" t="s">
        <v>418</v>
      </c>
      <c r="J3271" s="25"/>
      <c r="K3271" s="25"/>
      <c r="L3271" s="25"/>
      <c r="M3271" s="25"/>
      <c r="N3271" s="25"/>
      <c r="O3271" s="25"/>
      <c r="P3271" s="25"/>
      <c r="Q3271" s="25"/>
      <c r="R3271" s="25"/>
      <c r="S3271" s="25"/>
      <c r="T3271" s="25"/>
      <c r="U3271" s="25"/>
      <c r="V3271" s="25"/>
      <c r="W3271" s="25"/>
      <c r="X3271" s="25"/>
      <c r="Y3271" s="25"/>
      <c r="Z3271" s="25"/>
    </row>
    <row r="3272" spans="1:26" ht="15.75" customHeight="1" x14ac:dyDescent="0.75">
      <c r="A3272" s="39" t="s">
        <v>16</v>
      </c>
      <c r="B3272" s="40"/>
      <c r="C3272" s="40"/>
      <c r="D3272" s="40"/>
      <c r="E3272" s="40"/>
      <c r="F3272" s="40"/>
      <c r="G3272" s="41"/>
      <c r="H3272" s="14">
        <f>SUM(G3269:G3271)</f>
        <v>1480800</v>
      </c>
      <c r="I3272" s="24" t="s">
        <v>418</v>
      </c>
      <c r="J3272" s="25"/>
      <c r="K3272" s="25"/>
      <c r="L3272" s="25"/>
      <c r="M3272" s="25"/>
      <c r="N3272" s="25"/>
      <c r="O3272" s="25"/>
      <c r="P3272" s="25"/>
      <c r="Q3272" s="25"/>
      <c r="R3272" s="25"/>
      <c r="S3272" s="25"/>
      <c r="T3272" s="25"/>
      <c r="U3272" s="25"/>
      <c r="V3272" s="25"/>
      <c r="W3272" s="25"/>
      <c r="X3272" s="25"/>
      <c r="Y3272" s="25"/>
      <c r="Z3272" s="25"/>
    </row>
    <row r="3273" spans="1:26" ht="15.75" customHeight="1" x14ac:dyDescent="0.75">
      <c r="A3273" s="39" t="s">
        <v>17</v>
      </c>
      <c r="B3273" s="40"/>
      <c r="C3273" s="40"/>
      <c r="D3273" s="40"/>
      <c r="E3273" s="40"/>
      <c r="F3273" s="40"/>
      <c r="G3273" s="41"/>
      <c r="H3273" s="14">
        <f>MAX(0,H3272-648000)</f>
        <v>832800</v>
      </c>
      <c r="I3273" s="24" t="s">
        <v>418</v>
      </c>
      <c r="J3273" s="25"/>
      <c r="K3273" s="25"/>
      <c r="L3273" s="25"/>
      <c r="M3273" s="25"/>
      <c r="N3273" s="25"/>
      <c r="O3273" s="25"/>
      <c r="P3273" s="25"/>
      <c r="Q3273" s="25"/>
      <c r="R3273" s="25"/>
      <c r="S3273" s="25"/>
      <c r="T3273" s="25"/>
      <c r="U3273" s="25"/>
      <c r="V3273" s="25"/>
      <c r="W3273" s="25"/>
      <c r="X3273" s="25"/>
      <c r="Y3273" s="25"/>
      <c r="Z3273" s="25"/>
    </row>
    <row r="3274" spans="1:26" ht="15.75" customHeight="1" x14ac:dyDescent="0.75">
      <c r="A3274" s="42" t="s">
        <v>18</v>
      </c>
      <c r="B3274" s="40"/>
      <c r="C3274" s="40"/>
      <c r="D3274" s="40"/>
      <c r="E3274" s="40"/>
      <c r="F3274" s="40"/>
      <c r="G3274" s="41"/>
      <c r="H3274" s="15">
        <v>649000</v>
      </c>
      <c r="I3274" s="24" t="s">
        <v>418</v>
      </c>
      <c r="J3274" s="25"/>
      <c r="K3274" s="25"/>
      <c r="L3274" s="25"/>
      <c r="M3274" s="25"/>
      <c r="N3274" s="25"/>
      <c r="O3274" s="25"/>
      <c r="P3274" s="25"/>
      <c r="Q3274" s="25"/>
      <c r="R3274" s="25"/>
      <c r="S3274" s="25"/>
      <c r="T3274" s="25"/>
      <c r="U3274" s="25"/>
      <c r="V3274" s="25"/>
      <c r="W3274" s="25"/>
      <c r="X3274" s="25"/>
      <c r="Y3274" s="25"/>
      <c r="Z3274" s="25"/>
    </row>
    <row r="3275" spans="1:26" ht="15.75" customHeight="1" x14ac:dyDescent="0.75">
      <c r="A3275" s="43" t="s">
        <v>19</v>
      </c>
      <c r="B3275" s="40"/>
      <c r="C3275" s="40"/>
      <c r="D3275" s="40"/>
      <c r="E3275" s="40"/>
      <c r="F3275" s="40"/>
      <c r="G3275" s="40"/>
      <c r="H3275" s="41"/>
      <c r="I3275" s="24" t="s">
        <v>418</v>
      </c>
      <c r="J3275" s="25"/>
      <c r="K3275" s="25"/>
      <c r="L3275" s="25"/>
      <c r="M3275" s="25"/>
      <c r="N3275" s="25"/>
      <c r="O3275" s="25"/>
      <c r="P3275" s="25"/>
      <c r="Q3275" s="25"/>
      <c r="R3275" s="25"/>
      <c r="S3275" s="25"/>
      <c r="T3275" s="25"/>
      <c r="U3275" s="25"/>
      <c r="V3275" s="25"/>
      <c r="W3275" s="25"/>
      <c r="X3275" s="25"/>
      <c r="Y3275" s="25"/>
      <c r="Z3275" s="25"/>
    </row>
    <row r="3276" spans="1:26" ht="15.75" customHeight="1" x14ac:dyDescent="0.45">
      <c r="A3276" s="25"/>
      <c r="B3276" s="25"/>
      <c r="C3276" s="25"/>
      <c r="D3276" s="25"/>
      <c r="E3276" s="25"/>
      <c r="F3276" s="25"/>
      <c r="G3276" s="25"/>
      <c r="H3276" s="25"/>
      <c r="I3276" s="24" t="s">
        <v>418</v>
      </c>
      <c r="J3276" s="25"/>
      <c r="K3276" s="25"/>
      <c r="L3276" s="25"/>
      <c r="M3276" s="25"/>
      <c r="N3276" s="25"/>
      <c r="O3276" s="25"/>
      <c r="P3276" s="25"/>
      <c r="Q3276" s="25"/>
      <c r="R3276" s="25"/>
      <c r="S3276" s="25"/>
      <c r="T3276" s="25"/>
      <c r="U3276" s="25"/>
      <c r="V3276" s="25"/>
      <c r="W3276" s="25"/>
      <c r="X3276" s="25"/>
      <c r="Y3276" s="25"/>
      <c r="Z3276" s="25"/>
    </row>
    <row r="3277" spans="1:26" ht="15.75" customHeight="1" x14ac:dyDescent="0.45">
      <c r="A3277" s="25"/>
      <c r="B3277" s="25"/>
      <c r="C3277" s="25"/>
      <c r="D3277" s="25"/>
      <c r="E3277" s="25"/>
      <c r="F3277" s="25"/>
      <c r="G3277" s="25"/>
      <c r="H3277" s="25"/>
      <c r="I3277" s="24" t="s">
        <v>418</v>
      </c>
      <c r="J3277" s="25"/>
      <c r="K3277" s="25"/>
      <c r="L3277" s="25"/>
      <c r="M3277" s="25"/>
      <c r="N3277" s="25"/>
      <c r="O3277" s="25"/>
      <c r="P3277" s="25"/>
      <c r="Q3277" s="25"/>
      <c r="R3277" s="25"/>
      <c r="S3277" s="25"/>
      <c r="T3277" s="25"/>
      <c r="U3277" s="25"/>
      <c r="V3277" s="25"/>
      <c r="W3277" s="25"/>
      <c r="X3277" s="25"/>
      <c r="Y3277" s="25"/>
      <c r="Z3277" s="25"/>
    </row>
    <row r="3278" spans="1:26" ht="15.75" customHeight="1" x14ac:dyDescent="0.45">
      <c r="A3278" s="25"/>
      <c r="B3278" s="25"/>
      <c r="C3278" s="25"/>
      <c r="D3278" s="25"/>
      <c r="E3278" s="25"/>
      <c r="F3278" s="25"/>
      <c r="G3278" s="25"/>
      <c r="H3278" s="25"/>
      <c r="I3278" s="24" t="s">
        <v>418</v>
      </c>
      <c r="J3278" s="25"/>
      <c r="K3278" s="25"/>
      <c r="L3278" s="25"/>
      <c r="M3278" s="25"/>
      <c r="N3278" s="25"/>
      <c r="O3278" s="25"/>
      <c r="P3278" s="25"/>
      <c r="Q3278" s="25"/>
      <c r="R3278" s="25"/>
      <c r="S3278" s="25"/>
      <c r="T3278" s="25"/>
      <c r="U3278" s="25"/>
      <c r="V3278" s="25"/>
      <c r="W3278" s="25"/>
      <c r="X3278" s="25"/>
      <c r="Y3278" s="25"/>
      <c r="Z3278" s="25"/>
    </row>
    <row r="3279" spans="1:26" ht="15.75" customHeight="1" x14ac:dyDescent="0.45">
      <c r="A3279" s="25"/>
      <c r="B3279" s="25"/>
      <c r="C3279" s="25"/>
      <c r="D3279" s="25"/>
      <c r="E3279" s="25"/>
      <c r="F3279" s="25"/>
      <c r="G3279" s="25"/>
      <c r="H3279" s="25"/>
      <c r="I3279" s="24" t="s">
        <v>418</v>
      </c>
      <c r="J3279" s="25"/>
      <c r="K3279" s="25"/>
      <c r="L3279" s="25"/>
      <c r="M3279" s="25"/>
      <c r="N3279" s="25"/>
      <c r="O3279" s="25"/>
      <c r="P3279" s="25"/>
      <c r="Q3279" s="25"/>
      <c r="R3279" s="25"/>
      <c r="S3279" s="25"/>
      <c r="T3279" s="25"/>
      <c r="U3279" s="25"/>
      <c r="V3279" s="25"/>
      <c r="W3279" s="25"/>
      <c r="X3279" s="25"/>
      <c r="Y3279" s="25"/>
      <c r="Z3279" s="25"/>
    </row>
    <row r="3280" spans="1:26" ht="15.75" customHeight="1" x14ac:dyDescent="0.45">
      <c r="A3280" s="25"/>
      <c r="B3280" s="25"/>
      <c r="C3280" s="25"/>
      <c r="D3280" s="25"/>
      <c r="E3280" s="25"/>
      <c r="F3280" s="25"/>
      <c r="G3280" s="25"/>
      <c r="H3280" s="25"/>
      <c r="I3280" s="24" t="s">
        <v>418</v>
      </c>
      <c r="J3280" s="25"/>
      <c r="K3280" s="25"/>
      <c r="L3280" s="25"/>
      <c r="M3280" s="25"/>
      <c r="N3280" s="25"/>
      <c r="O3280" s="25"/>
      <c r="P3280" s="25"/>
      <c r="Q3280" s="25"/>
      <c r="R3280" s="25"/>
      <c r="S3280" s="25"/>
      <c r="T3280" s="25"/>
      <c r="U3280" s="25"/>
      <c r="V3280" s="25"/>
      <c r="W3280" s="25"/>
      <c r="X3280" s="25"/>
      <c r="Y3280" s="25"/>
      <c r="Z3280" s="25"/>
    </row>
    <row r="3281" spans="1:26" ht="15.75" customHeight="1" x14ac:dyDescent="0.45">
      <c r="A3281" s="25"/>
      <c r="B3281" s="25"/>
      <c r="C3281" s="25"/>
      <c r="D3281" s="25"/>
      <c r="E3281" s="25"/>
      <c r="F3281" s="25"/>
      <c r="G3281" s="25"/>
      <c r="H3281" s="25"/>
      <c r="I3281" s="24" t="s">
        <v>418</v>
      </c>
      <c r="J3281" s="25"/>
      <c r="K3281" s="25"/>
      <c r="L3281" s="25"/>
      <c r="M3281" s="25"/>
      <c r="N3281" s="25"/>
      <c r="O3281" s="25"/>
      <c r="P3281" s="25"/>
      <c r="Q3281" s="25"/>
      <c r="R3281" s="25"/>
      <c r="S3281" s="25"/>
      <c r="T3281" s="25"/>
      <c r="U3281" s="25"/>
      <c r="V3281" s="25"/>
      <c r="W3281" s="25"/>
      <c r="X3281" s="25"/>
      <c r="Y3281" s="25"/>
      <c r="Z3281" s="25"/>
    </row>
    <row r="3282" spans="1:26" ht="15.75" customHeight="1" x14ac:dyDescent="0.45">
      <c r="A3282" s="25"/>
      <c r="B3282" s="25"/>
      <c r="C3282" s="25"/>
      <c r="D3282" s="25"/>
      <c r="E3282" s="25"/>
      <c r="F3282" s="25"/>
      <c r="G3282" s="25"/>
      <c r="H3282" s="25"/>
      <c r="I3282" s="24" t="s">
        <v>418</v>
      </c>
      <c r="J3282" s="25"/>
      <c r="K3282" s="25"/>
      <c r="L3282" s="25"/>
      <c r="M3282" s="25"/>
      <c r="N3282" s="25"/>
      <c r="O3282" s="25"/>
      <c r="P3282" s="25"/>
      <c r="Q3282" s="25"/>
      <c r="R3282" s="25"/>
      <c r="S3282" s="25"/>
      <c r="T3282" s="25"/>
      <c r="U3282" s="25"/>
      <c r="V3282" s="25"/>
      <c r="W3282" s="25"/>
      <c r="X3282" s="25"/>
      <c r="Y3282" s="25"/>
      <c r="Z3282" s="25"/>
    </row>
    <row r="3283" spans="1:26" ht="15.75" customHeight="1" x14ac:dyDescent="0.45">
      <c r="A3283" s="25"/>
      <c r="B3283" s="25"/>
      <c r="C3283" s="25"/>
      <c r="D3283" s="25"/>
      <c r="E3283" s="25"/>
      <c r="F3283" s="25"/>
      <c r="G3283" s="25"/>
      <c r="H3283" s="25"/>
      <c r="I3283" s="24" t="s">
        <v>418</v>
      </c>
      <c r="J3283" s="25"/>
      <c r="K3283" s="25"/>
      <c r="L3283" s="25"/>
      <c r="M3283" s="25"/>
      <c r="N3283" s="25"/>
      <c r="O3283" s="25"/>
      <c r="P3283" s="25"/>
      <c r="Q3283" s="25"/>
      <c r="R3283" s="25"/>
      <c r="S3283" s="25"/>
      <c r="T3283" s="25"/>
      <c r="U3283" s="25"/>
      <c r="V3283" s="25"/>
      <c r="W3283" s="25"/>
      <c r="X3283" s="25"/>
      <c r="Y3283" s="25"/>
      <c r="Z3283" s="25"/>
    </row>
    <row r="3284" spans="1:26" ht="15.75" customHeight="1" x14ac:dyDescent="0.75">
      <c r="A3284" s="43" t="s">
        <v>0</v>
      </c>
      <c r="B3284" s="40"/>
      <c r="C3284" s="40"/>
      <c r="D3284" s="40"/>
      <c r="E3284" s="40"/>
      <c r="F3284" s="40"/>
      <c r="G3284" s="40"/>
      <c r="H3284" s="41"/>
      <c r="I3284" s="24" t="s">
        <v>418</v>
      </c>
      <c r="J3284" s="25"/>
      <c r="K3284" s="25"/>
      <c r="L3284" s="25"/>
      <c r="M3284" s="25"/>
      <c r="N3284" s="25"/>
      <c r="O3284" s="25"/>
      <c r="P3284" s="25"/>
      <c r="Q3284" s="25"/>
      <c r="R3284" s="25"/>
      <c r="S3284" s="25"/>
      <c r="T3284" s="25"/>
      <c r="U3284" s="25"/>
      <c r="V3284" s="25"/>
      <c r="W3284" s="25"/>
      <c r="X3284" s="25"/>
      <c r="Y3284" s="25"/>
      <c r="Z3284" s="25"/>
    </row>
    <row r="3285" spans="1:26" ht="15.75" customHeight="1" x14ac:dyDescent="0.75">
      <c r="A3285" s="43" t="s">
        <v>504</v>
      </c>
      <c r="B3285" s="40"/>
      <c r="C3285" s="40"/>
      <c r="D3285" s="40"/>
      <c r="E3285" s="40"/>
      <c r="F3285" s="40"/>
      <c r="G3285" s="40"/>
      <c r="H3285" s="41"/>
      <c r="I3285" s="24" t="s">
        <v>418</v>
      </c>
      <c r="J3285" s="25"/>
      <c r="K3285" s="25"/>
      <c r="L3285" s="25"/>
      <c r="M3285" s="25"/>
      <c r="N3285" s="25"/>
      <c r="O3285" s="25"/>
      <c r="P3285" s="25"/>
      <c r="Q3285" s="25"/>
      <c r="R3285" s="25"/>
      <c r="S3285" s="25"/>
      <c r="T3285" s="25"/>
      <c r="U3285" s="25"/>
      <c r="V3285" s="25"/>
      <c r="W3285" s="25"/>
      <c r="X3285" s="25"/>
      <c r="Y3285" s="25"/>
      <c r="Z3285" s="25"/>
    </row>
    <row r="3286" spans="1:26" ht="15.75" customHeight="1" x14ac:dyDescent="0.55000000000000004">
      <c r="A3286" s="2" t="s">
        <v>3</v>
      </c>
      <c r="B3286" s="2" t="s">
        <v>4</v>
      </c>
      <c r="C3286" s="2" t="s">
        <v>5</v>
      </c>
      <c r="D3286" s="2" t="s">
        <v>6</v>
      </c>
      <c r="E3286" s="2" t="s">
        <v>7</v>
      </c>
      <c r="F3286" s="3" t="s">
        <v>8</v>
      </c>
      <c r="G3286" s="2" t="s">
        <v>9</v>
      </c>
      <c r="H3286" s="26"/>
      <c r="I3286" s="24" t="s">
        <v>418</v>
      </c>
      <c r="J3286" s="25"/>
      <c r="K3286" s="25"/>
      <c r="L3286" s="25"/>
      <c r="M3286" s="25"/>
      <c r="N3286" s="25"/>
      <c r="O3286" s="25"/>
      <c r="P3286" s="25"/>
      <c r="Q3286" s="25"/>
      <c r="R3286" s="25"/>
      <c r="S3286" s="25"/>
      <c r="T3286" s="25"/>
      <c r="U3286" s="25"/>
      <c r="V3286" s="25"/>
      <c r="W3286" s="25"/>
      <c r="X3286" s="25"/>
      <c r="Y3286" s="25"/>
      <c r="Z3286" s="25"/>
    </row>
    <row r="3287" spans="1:26" ht="15.75" customHeight="1" x14ac:dyDescent="0.75">
      <c r="A3287" s="5">
        <v>1</v>
      </c>
      <c r="B3287" s="27" t="s">
        <v>133</v>
      </c>
      <c r="C3287" s="28" t="s">
        <v>505</v>
      </c>
      <c r="D3287" s="27" t="s">
        <v>12</v>
      </c>
      <c r="E3287" s="27">
        <v>1</v>
      </c>
      <c r="F3287" s="8">
        <v>293000</v>
      </c>
      <c r="G3287" s="9">
        <f t="shared" ref="G3287:G3289" si="203">IFERROR(E3287*F3287,0)</f>
        <v>293000</v>
      </c>
      <c r="H3287" s="29"/>
      <c r="I3287" s="24" t="s">
        <v>418</v>
      </c>
      <c r="J3287" s="25"/>
      <c r="K3287" s="25"/>
      <c r="L3287" s="25"/>
      <c r="M3287" s="25"/>
      <c r="N3287" s="25"/>
      <c r="O3287" s="25"/>
      <c r="P3287" s="25"/>
      <c r="Q3287" s="25"/>
      <c r="R3287" s="25"/>
      <c r="S3287" s="25"/>
      <c r="T3287" s="25"/>
      <c r="U3287" s="25"/>
      <c r="V3287" s="25"/>
      <c r="W3287" s="25"/>
      <c r="X3287" s="25"/>
      <c r="Y3287" s="25"/>
      <c r="Z3287" s="25"/>
    </row>
    <row r="3288" spans="1:26" ht="15.75" customHeight="1" x14ac:dyDescent="0.75">
      <c r="A3288" s="5">
        <v>2</v>
      </c>
      <c r="B3288" s="30" t="s">
        <v>87</v>
      </c>
      <c r="C3288" s="31" t="s">
        <v>468</v>
      </c>
      <c r="D3288" s="30" t="s">
        <v>14</v>
      </c>
      <c r="E3288" s="30">
        <v>2.7</v>
      </c>
      <c r="F3288" s="11">
        <v>435000</v>
      </c>
      <c r="G3288" s="9">
        <f t="shared" si="203"/>
        <v>1174500</v>
      </c>
      <c r="H3288" s="29"/>
      <c r="I3288" s="24" t="s">
        <v>418</v>
      </c>
      <c r="J3288" s="25"/>
      <c r="K3288" s="25"/>
      <c r="L3288" s="25"/>
      <c r="M3288" s="25"/>
      <c r="N3288" s="25"/>
      <c r="O3288" s="25"/>
      <c r="P3288" s="25"/>
      <c r="Q3288" s="25"/>
      <c r="R3288" s="25"/>
      <c r="S3288" s="25"/>
      <c r="T3288" s="25"/>
      <c r="U3288" s="25"/>
      <c r="V3288" s="25"/>
      <c r="W3288" s="25"/>
      <c r="X3288" s="25"/>
      <c r="Y3288" s="25"/>
      <c r="Z3288" s="25"/>
    </row>
    <row r="3289" spans="1:26" ht="15.75" customHeight="1" x14ac:dyDescent="0.75">
      <c r="A3289" s="5">
        <v>3</v>
      </c>
      <c r="B3289" s="12" t="s">
        <v>15</v>
      </c>
      <c r="C3289" s="29"/>
      <c r="D3289" s="29"/>
      <c r="E3289" s="29"/>
      <c r="F3289" s="29"/>
      <c r="G3289" s="13">
        <f t="shared" si="203"/>
        <v>0</v>
      </c>
      <c r="H3289" s="29"/>
      <c r="I3289" s="24" t="s">
        <v>418</v>
      </c>
      <c r="J3289" s="25"/>
      <c r="K3289" s="25"/>
      <c r="L3289" s="25"/>
      <c r="M3289" s="25"/>
      <c r="N3289" s="25"/>
      <c r="O3289" s="25"/>
      <c r="P3289" s="25"/>
      <c r="Q3289" s="25"/>
      <c r="R3289" s="25"/>
      <c r="S3289" s="25"/>
      <c r="T3289" s="25"/>
      <c r="U3289" s="25"/>
      <c r="V3289" s="25"/>
      <c r="W3289" s="25"/>
      <c r="X3289" s="25"/>
      <c r="Y3289" s="25"/>
      <c r="Z3289" s="25"/>
    </row>
    <row r="3290" spans="1:26" ht="15.75" customHeight="1" x14ac:dyDescent="0.75">
      <c r="A3290" s="39" t="s">
        <v>16</v>
      </c>
      <c r="B3290" s="40"/>
      <c r="C3290" s="40"/>
      <c r="D3290" s="40"/>
      <c r="E3290" s="40"/>
      <c r="F3290" s="40"/>
      <c r="G3290" s="41"/>
      <c r="H3290" s="14">
        <f>SUM(G3287:G3289)</f>
        <v>1467500</v>
      </c>
      <c r="I3290" s="24" t="s">
        <v>418</v>
      </c>
      <c r="J3290" s="25"/>
      <c r="K3290" s="25"/>
      <c r="L3290" s="25"/>
      <c r="M3290" s="25"/>
      <c r="N3290" s="25"/>
      <c r="O3290" s="25"/>
      <c r="P3290" s="25"/>
      <c r="Q3290" s="25"/>
      <c r="R3290" s="25"/>
      <c r="S3290" s="25"/>
      <c r="T3290" s="25"/>
      <c r="U3290" s="25"/>
      <c r="V3290" s="25"/>
      <c r="W3290" s="25"/>
      <c r="X3290" s="25"/>
      <c r="Y3290" s="25"/>
      <c r="Z3290" s="25"/>
    </row>
    <row r="3291" spans="1:26" ht="15.75" customHeight="1" x14ac:dyDescent="0.75">
      <c r="A3291" s="39" t="s">
        <v>17</v>
      </c>
      <c r="B3291" s="40"/>
      <c r="C3291" s="40"/>
      <c r="D3291" s="40"/>
      <c r="E3291" s="40"/>
      <c r="F3291" s="40"/>
      <c r="G3291" s="41"/>
      <c r="H3291" s="14">
        <f>MAX(0,H3290-648000)</f>
        <v>819500</v>
      </c>
      <c r="I3291" s="24" t="s">
        <v>418</v>
      </c>
      <c r="J3291" s="25"/>
      <c r="K3291" s="25"/>
      <c r="L3291" s="25"/>
      <c r="M3291" s="25"/>
      <c r="N3291" s="25"/>
      <c r="O3291" s="25"/>
      <c r="P3291" s="25"/>
      <c r="Q3291" s="25"/>
      <c r="R3291" s="25"/>
      <c r="S3291" s="25"/>
      <c r="T3291" s="25"/>
      <c r="U3291" s="25"/>
      <c r="V3291" s="25"/>
      <c r="W3291" s="25"/>
      <c r="X3291" s="25"/>
      <c r="Y3291" s="25"/>
      <c r="Z3291" s="25"/>
    </row>
    <row r="3292" spans="1:26" ht="15.75" customHeight="1" x14ac:dyDescent="0.75">
      <c r="A3292" s="42" t="s">
        <v>18</v>
      </c>
      <c r="B3292" s="40"/>
      <c r="C3292" s="40"/>
      <c r="D3292" s="40"/>
      <c r="E3292" s="40"/>
      <c r="F3292" s="40"/>
      <c r="G3292" s="41"/>
      <c r="H3292" s="15">
        <v>649000</v>
      </c>
      <c r="I3292" s="24" t="s">
        <v>418</v>
      </c>
      <c r="J3292" s="25"/>
      <c r="K3292" s="25"/>
      <c r="L3292" s="25"/>
      <c r="M3292" s="25"/>
      <c r="N3292" s="25"/>
      <c r="O3292" s="25"/>
      <c r="P3292" s="25"/>
      <c r="Q3292" s="25"/>
      <c r="R3292" s="25"/>
      <c r="S3292" s="25"/>
      <c r="T3292" s="25"/>
      <c r="U3292" s="25"/>
      <c r="V3292" s="25"/>
      <c r="W3292" s="25"/>
      <c r="X3292" s="25"/>
      <c r="Y3292" s="25"/>
      <c r="Z3292" s="25"/>
    </row>
    <row r="3293" spans="1:26" ht="15.75" customHeight="1" x14ac:dyDescent="0.75">
      <c r="A3293" s="43" t="s">
        <v>19</v>
      </c>
      <c r="B3293" s="40"/>
      <c r="C3293" s="40"/>
      <c r="D3293" s="40"/>
      <c r="E3293" s="40"/>
      <c r="F3293" s="40"/>
      <c r="G3293" s="40"/>
      <c r="H3293" s="41"/>
      <c r="I3293" s="24" t="s">
        <v>418</v>
      </c>
      <c r="J3293" s="25"/>
      <c r="K3293" s="25"/>
      <c r="L3293" s="25"/>
      <c r="M3293" s="25"/>
      <c r="N3293" s="25"/>
      <c r="O3293" s="25"/>
      <c r="P3293" s="25"/>
      <c r="Q3293" s="25"/>
      <c r="R3293" s="25"/>
      <c r="S3293" s="25"/>
      <c r="T3293" s="25"/>
      <c r="U3293" s="25"/>
      <c r="V3293" s="25"/>
      <c r="W3293" s="25"/>
      <c r="X3293" s="25"/>
      <c r="Y3293" s="25"/>
      <c r="Z3293" s="25"/>
    </row>
    <row r="3294" spans="1:26" ht="15.75" customHeight="1" x14ac:dyDescent="0.45">
      <c r="A3294" s="25"/>
      <c r="B3294" s="25"/>
      <c r="C3294" s="25"/>
      <c r="D3294" s="25"/>
      <c r="E3294" s="25"/>
      <c r="F3294" s="25"/>
      <c r="G3294" s="25"/>
      <c r="H3294" s="25"/>
      <c r="I3294" s="24" t="s">
        <v>418</v>
      </c>
      <c r="J3294" s="25"/>
      <c r="K3294" s="25"/>
      <c r="L3294" s="25"/>
      <c r="M3294" s="25"/>
      <c r="N3294" s="25"/>
      <c r="O3294" s="25"/>
      <c r="P3294" s="25"/>
      <c r="Q3294" s="25"/>
      <c r="R3294" s="25"/>
      <c r="S3294" s="25"/>
      <c r="T3294" s="25"/>
      <c r="U3294" s="25"/>
      <c r="V3294" s="25"/>
      <c r="W3294" s="25"/>
      <c r="X3294" s="25"/>
      <c r="Y3294" s="25"/>
      <c r="Z3294" s="25"/>
    </row>
    <row r="3295" spans="1:26" ht="15.75" customHeight="1" x14ac:dyDescent="0.45">
      <c r="A3295" s="25"/>
      <c r="B3295" s="25"/>
      <c r="C3295" s="25"/>
      <c r="D3295" s="25"/>
      <c r="E3295" s="25"/>
      <c r="F3295" s="25"/>
      <c r="G3295" s="25"/>
      <c r="H3295" s="25"/>
      <c r="I3295" s="24" t="s">
        <v>418</v>
      </c>
      <c r="J3295" s="25"/>
      <c r="K3295" s="25"/>
      <c r="L3295" s="25"/>
      <c r="M3295" s="25"/>
      <c r="N3295" s="25"/>
      <c r="O3295" s="25"/>
      <c r="P3295" s="25"/>
      <c r="Q3295" s="25"/>
      <c r="R3295" s="25"/>
      <c r="S3295" s="25"/>
      <c r="T3295" s="25"/>
      <c r="U3295" s="25"/>
      <c r="V3295" s="25"/>
      <c r="W3295" s="25"/>
      <c r="X3295" s="25"/>
      <c r="Y3295" s="25"/>
      <c r="Z3295" s="25"/>
    </row>
    <row r="3296" spans="1:26" ht="15.75" customHeight="1" x14ac:dyDescent="0.45">
      <c r="A3296" s="25"/>
      <c r="B3296" s="25"/>
      <c r="C3296" s="25"/>
      <c r="D3296" s="25"/>
      <c r="E3296" s="25"/>
      <c r="F3296" s="25"/>
      <c r="G3296" s="25"/>
      <c r="H3296" s="25"/>
      <c r="I3296" s="24" t="s">
        <v>418</v>
      </c>
      <c r="J3296" s="25"/>
      <c r="K3296" s="25"/>
      <c r="L3296" s="25"/>
      <c r="M3296" s="25"/>
      <c r="N3296" s="25"/>
      <c r="O3296" s="25"/>
      <c r="P3296" s="25"/>
      <c r="Q3296" s="25"/>
      <c r="R3296" s="25"/>
      <c r="S3296" s="25"/>
      <c r="T3296" s="25"/>
      <c r="U3296" s="25"/>
      <c r="V3296" s="25"/>
      <c r="W3296" s="25"/>
      <c r="X3296" s="25"/>
      <c r="Y3296" s="25"/>
      <c r="Z3296" s="25"/>
    </row>
    <row r="3297" spans="1:26" ht="15.75" customHeight="1" x14ac:dyDescent="0.45">
      <c r="A3297" s="25"/>
      <c r="B3297" s="25"/>
      <c r="C3297" s="25"/>
      <c r="D3297" s="25"/>
      <c r="E3297" s="25"/>
      <c r="F3297" s="25"/>
      <c r="G3297" s="25"/>
      <c r="H3297" s="25"/>
      <c r="I3297" s="24" t="s">
        <v>418</v>
      </c>
      <c r="J3297" s="25"/>
      <c r="K3297" s="25"/>
      <c r="L3297" s="25"/>
      <c r="M3297" s="25"/>
      <c r="N3297" s="25"/>
      <c r="O3297" s="25"/>
      <c r="P3297" s="25"/>
      <c r="Q3297" s="25"/>
      <c r="R3297" s="25"/>
      <c r="S3297" s="25"/>
      <c r="T3297" s="25"/>
      <c r="U3297" s="25"/>
      <c r="V3297" s="25"/>
      <c r="W3297" s="25"/>
      <c r="X3297" s="25"/>
      <c r="Y3297" s="25"/>
      <c r="Z3297" s="25"/>
    </row>
    <row r="3298" spans="1:26" ht="15.75" customHeight="1" x14ac:dyDescent="0.45">
      <c r="A3298" s="25"/>
      <c r="B3298" s="25"/>
      <c r="C3298" s="25"/>
      <c r="D3298" s="25"/>
      <c r="E3298" s="25"/>
      <c r="F3298" s="25"/>
      <c r="G3298" s="25"/>
      <c r="H3298" s="25"/>
      <c r="I3298" s="24" t="s">
        <v>418</v>
      </c>
      <c r="J3298" s="25"/>
      <c r="K3298" s="25"/>
      <c r="L3298" s="25"/>
      <c r="M3298" s="25"/>
      <c r="N3298" s="25"/>
      <c r="O3298" s="25"/>
      <c r="P3298" s="25"/>
      <c r="Q3298" s="25"/>
      <c r="R3298" s="25"/>
      <c r="S3298" s="25"/>
      <c r="T3298" s="25"/>
      <c r="U3298" s="25"/>
      <c r="V3298" s="25"/>
      <c r="W3298" s="25"/>
      <c r="X3298" s="25"/>
      <c r="Y3298" s="25"/>
      <c r="Z3298" s="25"/>
    </row>
    <row r="3299" spans="1:26" ht="15.75" customHeight="1" x14ac:dyDescent="0.75">
      <c r="A3299" s="43" t="s">
        <v>0</v>
      </c>
      <c r="B3299" s="40"/>
      <c r="C3299" s="40"/>
      <c r="D3299" s="40"/>
      <c r="E3299" s="40"/>
      <c r="F3299" s="40"/>
      <c r="G3299" s="40"/>
      <c r="H3299" s="41"/>
      <c r="I3299" s="24" t="s">
        <v>418</v>
      </c>
      <c r="J3299" s="25"/>
      <c r="K3299" s="25"/>
      <c r="L3299" s="25"/>
      <c r="M3299" s="25"/>
      <c r="N3299" s="25"/>
      <c r="O3299" s="25"/>
      <c r="P3299" s="25"/>
      <c r="Q3299" s="25"/>
      <c r="R3299" s="25"/>
      <c r="S3299" s="25"/>
      <c r="T3299" s="25"/>
      <c r="U3299" s="25"/>
      <c r="V3299" s="25"/>
      <c r="W3299" s="25"/>
      <c r="X3299" s="25"/>
      <c r="Y3299" s="25"/>
      <c r="Z3299" s="25"/>
    </row>
    <row r="3300" spans="1:26" ht="15.75" customHeight="1" x14ac:dyDescent="0.75">
      <c r="A3300" s="43" t="s">
        <v>506</v>
      </c>
      <c r="B3300" s="40"/>
      <c r="C3300" s="40"/>
      <c r="D3300" s="40"/>
      <c r="E3300" s="40"/>
      <c r="F3300" s="40"/>
      <c r="G3300" s="40"/>
      <c r="H3300" s="41"/>
      <c r="I3300" s="24" t="s">
        <v>418</v>
      </c>
      <c r="J3300" s="25"/>
      <c r="K3300" s="25"/>
      <c r="L3300" s="25"/>
      <c r="M3300" s="25"/>
      <c r="N3300" s="25"/>
      <c r="O3300" s="25"/>
      <c r="P3300" s="25"/>
      <c r="Q3300" s="25"/>
      <c r="R3300" s="25"/>
      <c r="S3300" s="25"/>
      <c r="T3300" s="25"/>
      <c r="U3300" s="25"/>
      <c r="V3300" s="25"/>
      <c r="W3300" s="25"/>
      <c r="X3300" s="25"/>
      <c r="Y3300" s="25"/>
      <c r="Z3300" s="25"/>
    </row>
    <row r="3301" spans="1:26" ht="15.75" customHeight="1" x14ac:dyDescent="0.55000000000000004">
      <c r="A3301" s="2" t="s">
        <v>3</v>
      </c>
      <c r="B3301" s="2" t="s">
        <v>4</v>
      </c>
      <c r="C3301" s="2" t="s">
        <v>5</v>
      </c>
      <c r="D3301" s="2" t="s">
        <v>6</v>
      </c>
      <c r="E3301" s="2" t="s">
        <v>7</v>
      </c>
      <c r="F3301" s="3" t="s">
        <v>8</v>
      </c>
      <c r="G3301" s="2" t="s">
        <v>9</v>
      </c>
      <c r="H3301" s="26"/>
      <c r="I3301" s="24" t="s">
        <v>418</v>
      </c>
      <c r="J3301" s="25"/>
      <c r="K3301" s="25"/>
      <c r="L3301" s="25"/>
      <c r="M3301" s="25"/>
      <c r="N3301" s="25"/>
      <c r="O3301" s="25"/>
      <c r="P3301" s="25"/>
      <c r="Q3301" s="25"/>
      <c r="R3301" s="25"/>
      <c r="S3301" s="25"/>
      <c r="T3301" s="25"/>
      <c r="U3301" s="25"/>
      <c r="V3301" s="25"/>
      <c r="W3301" s="25"/>
      <c r="X3301" s="25"/>
      <c r="Y3301" s="25"/>
      <c r="Z3301" s="25"/>
    </row>
    <row r="3302" spans="1:26" ht="15.75" customHeight="1" x14ac:dyDescent="0.75">
      <c r="A3302" s="5">
        <v>1</v>
      </c>
      <c r="B3302" s="27" t="s">
        <v>507</v>
      </c>
      <c r="C3302" s="28" t="s">
        <v>508</v>
      </c>
      <c r="D3302" s="27" t="s">
        <v>12</v>
      </c>
      <c r="E3302" s="27">
        <v>1</v>
      </c>
      <c r="F3302" s="8">
        <v>293000</v>
      </c>
      <c r="G3302" s="9">
        <f t="shared" ref="G3302:G3304" si="204">IFERROR(E3302*F3302,0)</f>
        <v>293000</v>
      </c>
      <c r="H3302" s="29"/>
      <c r="I3302" s="24" t="s">
        <v>418</v>
      </c>
      <c r="J3302" s="25"/>
      <c r="K3302" s="25"/>
      <c r="L3302" s="25"/>
      <c r="M3302" s="25"/>
      <c r="N3302" s="25"/>
      <c r="O3302" s="25"/>
      <c r="P3302" s="25"/>
      <c r="Q3302" s="25"/>
      <c r="R3302" s="25"/>
      <c r="S3302" s="25"/>
      <c r="T3302" s="25"/>
      <c r="U3302" s="25"/>
      <c r="V3302" s="25"/>
      <c r="W3302" s="25"/>
      <c r="X3302" s="25"/>
      <c r="Y3302" s="25"/>
      <c r="Z3302" s="25"/>
    </row>
    <row r="3303" spans="1:26" ht="15.75" customHeight="1" x14ac:dyDescent="0.75">
      <c r="A3303" s="5">
        <v>2</v>
      </c>
      <c r="B3303" s="30" t="s">
        <v>87</v>
      </c>
      <c r="C3303" s="31" t="s">
        <v>509</v>
      </c>
      <c r="D3303" s="30" t="s">
        <v>14</v>
      </c>
      <c r="E3303" s="30">
        <v>2.5</v>
      </c>
      <c r="F3303" s="11">
        <v>435000</v>
      </c>
      <c r="G3303" s="9">
        <f t="shared" si="204"/>
        <v>1087500</v>
      </c>
      <c r="H3303" s="29"/>
      <c r="I3303" s="24" t="s">
        <v>418</v>
      </c>
      <c r="J3303" s="25"/>
      <c r="K3303" s="25"/>
      <c r="L3303" s="25"/>
      <c r="M3303" s="25"/>
      <c r="N3303" s="25"/>
      <c r="O3303" s="25"/>
      <c r="P3303" s="25"/>
      <c r="Q3303" s="25"/>
      <c r="R3303" s="25"/>
      <c r="S3303" s="25"/>
      <c r="T3303" s="25"/>
      <c r="U3303" s="25"/>
      <c r="V3303" s="25"/>
      <c r="W3303" s="25"/>
      <c r="X3303" s="25"/>
      <c r="Y3303" s="25"/>
      <c r="Z3303" s="25"/>
    </row>
    <row r="3304" spans="1:26" ht="15.75" customHeight="1" x14ac:dyDescent="0.75">
      <c r="A3304" s="5">
        <v>3</v>
      </c>
      <c r="B3304" s="12" t="s">
        <v>15</v>
      </c>
      <c r="C3304" s="29"/>
      <c r="D3304" s="29"/>
      <c r="E3304" s="29"/>
      <c r="F3304" s="29"/>
      <c r="G3304" s="13">
        <f t="shared" si="204"/>
        <v>0</v>
      </c>
      <c r="H3304" s="29"/>
      <c r="I3304" s="24" t="s">
        <v>418</v>
      </c>
      <c r="J3304" s="25"/>
      <c r="K3304" s="25"/>
      <c r="L3304" s="25"/>
      <c r="M3304" s="25"/>
      <c r="N3304" s="25"/>
      <c r="O3304" s="25"/>
      <c r="P3304" s="25"/>
      <c r="Q3304" s="25"/>
      <c r="R3304" s="25"/>
      <c r="S3304" s="25"/>
      <c r="T3304" s="25"/>
      <c r="U3304" s="25"/>
      <c r="V3304" s="25"/>
      <c r="W3304" s="25"/>
      <c r="X3304" s="25"/>
      <c r="Y3304" s="25"/>
      <c r="Z3304" s="25"/>
    </row>
    <row r="3305" spans="1:26" ht="15.75" customHeight="1" x14ac:dyDescent="0.75">
      <c r="A3305" s="39" t="s">
        <v>16</v>
      </c>
      <c r="B3305" s="40"/>
      <c r="C3305" s="40"/>
      <c r="D3305" s="40"/>
      <c r="E3305" s="40"/>
      <c r="F3305" s="40"/>
      <c r="G3305" s="41"/>
      <c r="H3305" s="14">
        <f>SUM(G3302:G3304)</f>
        <v>1380500</v>
      </c>
      <c r="I3305" s="24" t="s">
        <v>418</v>
      </c>
      <c r="J3305" s="25"/>
      <c r="K3305" s="25"/>
      <c r="L3305" s="25"/>
      <c r="M3305" s="25"/>
      <c r="N3305" s="25"/>
      <c r="O3305" s="25"/>
      <c r="P3305" s="25"/>
      <c r="Q3305" s="25"/>
      <c r="R3305" s="25"/>
      <c r="S3305" s="25"/>
      <c r="T3305" s="25"/>
      <c r="U3305" s="25"/>
      <c r="V3305" s="25"/>
      <c r="W3305" s="25"/>
      <c r="X3305" s="25"/>
      <c r="Y3305" s="25"/>
      <c r="Z3305" s="25"/>
    </row>
    <row r="3306" spans="1:26" ht="15.75" customHeight="1" x14ac:dyDescent="0.75">
      <c r="A3306" s="39" t="s">
        <v>17</v>
      </c>
      <c r="B3306" s="40"/>
      <c r="C3306" s="40"/>
      <c r="D3306" s="40"/>
      <c r="E3306" s="40"/>
      <c r="F3306" s="40"/>
      <c r="G3306" s="41"/>
      <c r="H3306" s="14">
        <f>MAX(0,H3305-648000)</f>
        <v>732500</v>
      </c>
      <c r="I3306" s="24" t="s">
        <v>418</v>
      </c>
      <c r="J3306" s="25"/>
      <c r="K3306" s="25"/>
      <c r="L3306" s="25"/>
      <c r="M3306" s="25"/>
      <c r="N3306" s="25"/>
      <c r="O3306" s="25"/>
      <c r="P3306" s="25"/>
      <c r="Q3306" s="25"/>
      <c r="R3306" s="25"/>
      <c r="S3306" s="25"/>
      <c r="T3306" s="25"/>
      <c r="U3306" s="25"/>
      <c r="V3306" s="25"/>
      <c r="W3306" s="25"/>
      <c r="X3306" s="25"/>
      <c r="Y3306" s="25"/>
      <c r="Z3306" s="25"/>
    </row>
    <row r="3307" spans="1:26" ht="15.75" customHeight="1" x14ac:dyDescent="0.75">
      <c r="A3307" s="42" t="s">
        <v>18</v>
      </c>
      <c r="B3307" s="40"/>
      <c r="C3307" s="40"/>
      <c r="D3307" s="40"/>
      <c r="E3307" s="40"/>
      <c r="F3307" s="40"/>
      <c r="G3307" s="41"/>
      <c r="H3307" s="15">
        <v>649000</v>
      </c>
      <c r="I3307" s="24" t="s">
        <v>418</v>
      </c>
      <c r="J3307" s="25"/>
      <c r="K3307" s="25"/>
      <c r="L3307" s="25"/>
      <c r="M3307" s="25"/>
      <c r="N3307" s="25"/>
      <c r="O3307" s="25"/>
      <c r="P3307" s="25"/>
      <c r="Q3307" s="25"/>
      <c r="R3307" s="25"/>
      <c r="S3307" s="25"/>
      <c r="T3307" s="25"/>
      <c r="U3307" s="25"/>
      <c r="V3307" s="25"/>
      <c r="W3307" s="25"/>
      <c r="X3307" s="25"/>
      <c r="Y3307" s="25"/>
      <c r="Z3307" s="25"/>
    </row>
    <row r="3308" spans="1:26" ht="15.75" customHeight="1" x14ac:dyDescent="0.75">
      <c r="A3308" s="43" t="s">
        <v>19</v>
      </c>
      <c r="B3308" s="40"/>
      <c r="C3308" s="40"/>
      <c r="D3308" s="40"/>
      <c r="E3308" s="40"/>
      <c r="F3308" s="40"/>
      <c r="G3308" s="40"/>
      <c r="H3308" s="41"/>
      <c r="I3308" s="24" t="s">
        <v>418</v>
      </c>
      <c r="J3308" s="25"/>
      <c r="K3308" s="25"/>
      <c r="L3308" s="25"/>
      <c r="M3308" s="25"/>
      <c r="N3308" s="25"/>
      <c r="O3308" s="25"/>
      <c r="P3308" s="25"/>
      <c r="Q3308" s="25"/>
      <c r="R3308" s="25"/>
      <c r="S3308" s="25"/>
      <c r="T3308" s="25"/>
      <c r="U3308" s="25"/>
      <c r="V3308" s="25"/>
      <c r="W3308" s="25"/>
      <c r="X3308" s="25"/>
      <c r="Y3308" s="25"/>
      <c r="Z3308" s="25"/>
    </row>
    <row r="3309" spans="1:26" ht="15.75" customHeight="1" x14ac:dyDescent="0.45">
      <c r="A3309" s="25"/>
      <c r="B3309" s="25"/>
      <c r="C3309" s="25"/>
      <c r="D3309" s="25"/>
      <c r="E3309" s="25"/>
      <c r="F3309" s="25"/>
      <c r="G3309" s="25"/>
      <c r="H3309" s="25"/>
      <c r="I3309" s="24" t="s">
        <v>418</v>
      </c>
      <c r="J3309" s="25"/>
      <c r="K3309" s="25"/>
      <c r="L3309" s="25"/>
      <c r="M3309" s="25"/>
      <c r="N3309" s="25"/>
      <c r="O3309" s="25"/>
      <c r="P3309" s="25"/>
      <c r="Q3309" s="25"/>
      <c r="R3309" s="25"/>
      <c r="S3309" s="25"/>
      <c r="T3309" s="25"/>
      <c r="U3309" s="25"/>
      <c r="V3309" s="25"/>
      <c r="W3309" s="25"/>
      <c r="X3309" s="25"/>
      <c r="Y3309" s="25"/>
      <c r="Z3309" s="25"/>
    </row>
    <row r="3310" spans="1:26" ht="15.75" customHeight="1" x14ac:dyDescent="0.45">
      <c r="A3310" s="25"/>
      <c r="B3310" s="25"/>
      <c r="C3310" s="25"/>
      <c r="D3310" s="25"/>
      <c r="E3310" s="25"/>
      <c r="F3310" s="25"/>
      <c r="G3310" s="25"/>
      <c r="H3310" s="25"/>
      <c r="I3310" s="24" t="s">
        <v>418</v>
      </c>
      <c r="J3310" s="25"/>
      <c r="K3310" s="25"/>
      <c r="L3310" s="25"/>
      <c r="M3310" s="25"/>
      <c r="N3310" s="25"/>
      <c r="O3310" s="25"/>
      <c r="P3310" s="25"/>
      <c r="Q3310" s="25"/>
      <c r="R3310" s="25"/>
      <c r="S3310" s="25"/>
      <c r="T3310" s="25"/>
      <c r="U3310" s="25"/>
      <c r="V3310" s="25"/>
      <c r="W3310" s="25"/>
      <c r="X3310" s="25"/>
      <c r="Y3310" s="25"/>
      <c r="Z3310" s="25"/>
    </row>
    <row r="3311" spans="1:26" ht="15.75" customHeight="1" x14ac:dyDescent="0.45">
      <c r="A3311" s="25"/>
      <c r="B3311" s="25"/>
      <c r="C3311" s="25"/>
      <c r="D3311" s="25"/>
      <c r="E3311" s="25"/>
      <c r="F3311" s="25"/>
      <c r="G3311" s="25"/>
      <c r="H3311" s="25"/>
      <c r="I3311" s="24" t="s">
        <v>418</v>
      </c>
      <c r="J3311" s="25"/>
      <c r="K3311" s="25"/>
      <c r="L3311" s="25"/>
      <c r="M3311" s="25"/>
      <c r="N3311" s="25"/>
      <c r="O3311" s="25"/>
      <c r="P3311" s="25"/>
      <c r="Q3311" s="25"/>
      <c r="R3311" s="25"/>
      <c r="S3311" s="25"/>
      <c r="T3311" s="25"/>
      <c r="U3311" s="25"/>
      <c r="V3311" s="25"/>
      <c r="W3311" s="25"/>
      <c r="X3311" s="25"/>
      <c r="Y3311" s="25"/>
      <c r="Z3311" s="25"/>
    </row>
    <row r="3312" spans="1:26" ht="15.75" customHeight="1" x14ac:dyDescent="0.45">
      <c r="A3312" s="25"/>
      <c r="B3312" s="25"/>
      <c r="C3312" s="25"/>
      <c r="D3312" s="25"/>
      <c r="E3312" s="25"/>
      <c r="F3312" s="25"/>
      <c r="G3312" s="25"/>
      <c r="H3312" s="25"/>
      <c r="I3312" s="24" t="s">
        <v>418</v>
      </c>
      <c r="J3312" s="25"/>
      <c r="K3312" s="25"/>
      <c r="L3312" s="25"/>
      <c r="M3312" s="25"/>
      <c r="N3312" s="25"/>
      <c r="O3312" s="25"/>
      <c r="P3312" s="25"/>
      <c r="Q3312" s="25"/>
      <c r="R3312" s="25"/>
      <c r="S3312" s="25"/>
      <c r="T3312" s="25"/>
      <c r="U3312" s="25"/>
      <c r="V3312" s="25"/>
      <c r="W3312" s="25"/>
      <c r="X3312" s="25"/>
      <c r="Y3312" s="25"/>
      <c r="Z3312" s="25"/>
    </row>
    <row r="3313" spans="1:26" ht="15.75" customHeight="1" x14ac:dyDescent="0.45">
      <c r="A3313" s="25"/>
      <c r="B3313" s="25"/>
      <c r="C3313" s="25"/>
      <c r="D3313" s="25"/>
      <c r="E3313" s="25"/>
      <c r="F3313" s="25"/>
      <c r="G3313" s="25"/>
      <c r="H3313" s="25"/>
      <c r="I3313" s="24" t="s">
        <v>418</v>
      </c>
      <c r="J3313" s="25"/>
      <c r="K3313" s="25"/>
      <c r="L3313" s="25"/>
      <c r="M3313" s="25"/>
      <c r="N3313" s="25"/>
      <c r="O3313" s="25"/>
      <c r="P3313" s="25"/>
      <c r="Q3313" s="25"/>
      <c r="R3313" s="25"/>
      <c r="S3313" s="25"/>
      <c r="T3313" s="25"/>
      <c r="U3313" s="25"/>
      <c r="V3313" s="25"/>
      <c r="W3313" s="25"/>
      <c r="X3313" s="25"/>
      <c r="Y3313" s="25"/>
      <c r="Z3313" s="25"/>
    </row>
    <row r="3314" spans="1:26" ht="15.75" customHeight="1" x14ac:dyDescent="0.75">
      <c r="A3314" s="43" t="s">
        <v>0</v>
      </c>
      <c r="B3314" s="40"/>
      <c r="C3314" s="40"/>
      <c r="D3314" s="40"/>
      <c r="E3314" s="40"/>
      <c r="F3314" s="40"/>
      <c r="G3314" s="40"/>
      <c r="H3314" s="41"/>
      <c r="I3314" s="24" t="s">
        <v>418</v>
      </c>
      <c r="J3314" s="25"/>
      <c r="K3314" s="25"/>
      <c r="L3314" s="25"/>
      <c r="M3314" s="25"/>
      <c r="N3314" s="25"/>
      <c r="O3314" s="25"/>
      <c r="P3314" s="25"/>
      <c r="Q3314" s="25"/>
      <c r="R3314" s="25"/>
      <c r="S3314" s="25"/>
      <c r="T3314" s="25"/>
      <c r="U3314" s="25"/>
      <c r="V3314" s="25"/>
      <c r="W3314" s="25"/>
      <c r="X3314" s="25"/>
      <c r="Y3314" s="25"/>
      <c r="Z3314" s="25"/>
    </row>
    <row r="3315" spans="1:26" ht="15.75" customHeight="1" x14ac:dyDescent="0.75">
      <c r="A3315" s="43" t="s">
        <v>510</v>
      </c>
      <c r="B3315" s="40"/>
      <c r="C3315" s="40"/>
      <c r="D3315" s="40"/>
      <c r="E3315" s="40"/>
      <c r="F3315" s="40"/>
      <c r="G3315" s="40"/>
      <c r="H3315" s="41"/>
      <c r="I3315" s="24" t="s">
        <v>418</v>
      </c>
      <c r="J3315" s="25"/>
      <c r="K3315" s="25"/>
      <c r="L3315" s="25"/>
      <c r="M3315" s="25"/>
      <c r="N3315" s="25"/>
      <c r="O3315" s="25"/>
      <c r="P3315" s="25"/>
      <c r="Q3315" s="25"/>
      <c r="R3315" s="25"/>
      <c r="S3315" s="25"/>
      <c r="T3315" s="25"/>
      <c r="U3315" s="25"/>
      <c r="V3315" s="25"/>
      <c r="W3315" s="25"/>
      <c r="X3315" s="25"/>
      <c r="Y3315" s="25"/>
      <c r="Z3315" s="25"/>
    </row>
    <row r="3316" spans="1:26" ht="15.75" customHeight="1" x14ac:dyDescent="0.55000000000000004">
      <c r="A3316" s="2" t="s">
        <v>3</v>
      </c>
      <c r="B3316" s="2" t="s">
        <v>4</v>
      </c>
      <c r="C3316" s="2" t="s">
        <v>5</v>
      </c>
      <c r="D3316" s="2" t="s">
        <v>6</v>
      </c>
      <c r="E3316" s="2" t="s">
        <v>7</v>
      </c>
      <c r="F3316" s="3" t="s">
        <v>8</v>
      </c>
      <c r="G3316" s="2" t="s">
        <v>9</v>
      </c>
      <c r="H3316" s="26"/>
      <c r="I3316" s="24" t="s">
        <v>418</v>
      </c>
      <c r="J3316" s="25"/>
      <c r="K3316" s="25"/>
      <c r="L3316" s="25"/>
      <c r="M3316" s="25"/>
      <c r="N3316" s="25"/>
      <c r="O3316" s="25"/>
      <c r="P3316" s="25"/>
      <c r="Q3316" s="25"/>
      <c r="R3316" s="25"/>
      <c r="S3316" s="25"/>
      <c r="T3316" s="25"/>
      <c r="U3316" s="25"/>
      <c r="V3316" s="25"/>
      <c r="W3316" s="25"/>
      <c r="X3316" s="25"/>
      <c r="Y3316" s="25"/>
      <c r="Z3316" s="25"/>
    </row>
    <row r="3317" spans="1:26" ht="15.75" customHeight="1" x14ac:dyDescent="0.75">
      <c r="A3317" s="5">
        <v>1</v>
      </c>
      <c r="B3317" s="27" t="s">
        <v>511</v>
      </c>
      <c r="C3317" s="28" t="s">
        <v>512</v>
      </c>
      <c r="D3317" s="27" t="s">
        <v>12</v>
      </c>
      <c r="E3317" s="27">
        <v>1.4</v>
      </c>
      <c r="F3317" s="8">
        <v>293000</v>
      </c>
      <c r="G3317" s="9">
        <f t="shared" ref="G3317:G3319" si="205">IFERROR(E3317*F3317,0)</f>
        <v>410200</v>
      </c>
      <c r="H3317" s="29"/>
      <c r="I3317" s="24" t="s">
        <v>418</v>
      </c>
      <c r="J3317" s="25"/>
      <c r="K3317" s="25"/>
      <c r="L3317" s="25"/>
      <c r="M3317" s="25"/>
      <c r="N3317" s="25"/>
      <c r="O3317" s="25"/>
      <c r="P3317" s="25"/>
      <c r="Q3317" s="25"/>
      <c r="R3317" s="25"/>
      <c r="S3317" s="25"/>
      <c r="T3317" s="25"/>
      <c r="U3317" s="25"/>
      <c r="V3317" s="25"/>
      <c r="W3317" s="25"/>
      <c r="X3317" s="25"/>
      <c r="Y3317" s="25"/>
      <c r="Z3317" s="25"/>
    </row>
    <row r="3318" spans="1:26" ht="15.75" customHeight="1" x14ac:dyDescent="0.75">
      <c r="A3318" s="5">
        <v>2</v>
      </c>
      <c r="B3318" s="30" t="s">
        <v>98</v>
      </c>
      <c r="C3318" s="31" t="s">
        <v>513</v>
      </c>
      <c r="D3318" s="30" t="s">
        <v>14</v>
      </c>
      <c r="E3318" s="30">
        <v>2</v>
      </c>
      <c r="F3318" s="11">
        <v>435000</v>
      </c>
      <c r="G3318" s="9">
        <f t="shared" si="205"/>
        <v>870000</v>
      </c>
      <c r="H3318" s="29"/>
      <c r="I3318" s="24" t="s">
        <v>418</v>
      </c>
      <c r="J3318" s="25"/>
      <c r="K3318" s="25"/>
      <c r="L3318" s="25"/>
      <c r="M3318" s="25"/>
      <c r="N3318" s="25"/>
      <c r="O3318" s="25"/>
      <c r="P3318" s="25"/>
      <c r="Q3318" s="25"/>
      <c r="R3318" s="25"/>
      <c r="S3318" s="25"/>
      <c r="T3318" s="25"/>
      <c r="U3318" s="25"/>
      <c r="V3318" s="25"/>
      <c r="W3318" s="25"/>
      <c r="X3318" s="25"/>
      <c r="Y3318" s="25"/>
      <c r="Z3318" s="25"/>
    </row>
    <row r="3319" spans="1:26" ht="15.75" customHeight="1" x14ac:dyDescent="0.75">
      <c r="A3319" s="5">
        <v>3</v>
      </c>
      <c r="B3319" s="12" t="s">
        <v>15</v>
      </c>
      <c r="C3319" s="29"/>
      <c r="D3319" s="29"/>
      <c r="E3319" s="29"/>
      <c r="F3319" s="29"/>
      <c r="G3319" s="13">
        <f t="shared" si="205"/>
        <v>0</v>
      </c>
      <c r="H3319" s="29"/>
      <c r="I3319" s="24" t="s">
        <v>418</v>
      </c>
      <c r="J3319" s="25"/>
      <c r="K3319" s="25"/>
      <c r="L3319" s="25"/>
      <c r="M3319" s="25"/>
      <c r="N3319" s="25"/>
      <c r="O3319" s="25"/>
      <c r="P3319" s="25"/>
      <c r="Q3319" s="25"/>
      <c r="R3319" s="25"/>
      <c r="S3319" s="25"/>
      <c r="T3319" s="25"/>
      <c r="U3319" s="25"/>
      <c r="V3319" s="25"/>
      <c r="W3319" s="25"/>
      <c r="X3319" s="25"/>
      <c r="Y3319" s="25"/>
      <c r="Z3319" s="25"/>
    </row>
    <row r="3320" spans="1:26" ht="15.75" customHeight="1" x14ac:dyDescent="0.75">
      <c r="A3320" s="39" t="s">
        <v>16</v>
      </c>
      <c r="B3320" s="40"/>
      <c r="C3320" s="40"/>
      <c r="D3320" s="40"/>
      <c r="E3320" s="40"/>
      <c r="F3320" s="40"/>
      <c r="G3320" s="41"/>
      <c r="H3320" s="14">
        <f>SUM(G3317:G3319)</f>
        <v>1280200</v>
      </c>
      <c r="I3320" s="24" t="s">
        <v>418</v>
      </c>
      <c r="J3320" s="25"/>
      <c r="K3320" s="25"/>
      <c r="L3320" s="25"/>
      <c r="M3320" s="25"/>
      <c r="N3320" s="25"/>
      <c r="O3320" s="25"/>
      <c r="P3320" s="25"/>
      <c r="Q3320" s="25"/>
      <c r="R3320" s="25"/>
      <c r="S3320" s="25"/>
      <c r="T3320" s="25"/>
      <c r="U3320" s="25"/>
      <c r="V3320" s="25"/>
      <c r="W3320" s="25"/>
      <c r="X3320" s="25"/>
      <c r="Y3320" s="25"/>
      <c r="Z3320" s="25"/>
    </row>
    <row r="3321" spans="1:26" ht="15.75" customHeight="1" x14ac:dyDescent="0.75">
      <c r="A3321" s="39" t="s">
        <v>17</v>
      </c>
      <c r="B3321" s="40"/>
      <c r="C3321" s="40"/>
      <c r="D3321" s="40"/>
      <c r="E3321" s="40"/>
      <c r="F3321" s="40"/>
      <c r="G3321" s="41"/>
      <c r="H3321" s="14">
        <f>MAX(0,H3320-648000)</f>
        <v>632200</v>
      </c>
      <c r="I3321" s="24" t="s">
        <v>418</v>
      </c>
      <c r="J3321" s="25"/>
      <c r="K3321" s="25"/>
      <c r="L3321" s="25"/>
      <c r="M3321" s="25"/>
      <c r="N3321" s="25"/>
      <c r="O3321" s="25"/>
      <c r="P3321" s="25"/>
      <c r="Q3321" s="25"/>
      <c r="R3321" s="25"/>
      <c r="S3321" s="25"/>
      <c r="T3321" s="25"/>
      <c r="U3321" s="25"/>
      <c r="V3321" s="25"/>
      <c r="W3321" s="25"/>
      <c r="X3321" s="25"/>
      <c r="Y3321" s="25"/>
      <c r="Z3321" s="25"/>
    </row>
    <row r="3322" spans="1:26" ht="15.75" customHeight="1" x14ac:dyDescent="0.75">
      <c r="A3322" s="42" t="s">
        <v>18</v>
      </c>
      <c r="B3322" s="40"/>
      <c r="C3322" s="40"/>
      <c r="D3322" s="40"/>
      <c r="E3322" s="40"/>
      <c r="F3322" s="40"/>
      <c r="G3322" s="41"/>
      <c r="H3322" s="15">
        <v>649000</v>
      </c>
      <c r="I3322" s="24" t="s">
        <v>418</v>
      </c>
      <c r="J3322" s="25"/>
      <c r="K3322" s="25"/>
      <c r="L3322" s="25"/>
      <c r="M3322" s="25"/>
      <c r="N3322" s="25"/>
      <c r="O3322" s="25"/>
      <c r="P3322" s="25"/>
      <c r="Q3322" s="25"/>
      <c r="R3322" s="25"/>
      <c r="S3322" s="25"/>
      <c r="T3322" s="25"/>
      <c r="U3322" s="25"/>
      <c r="V3322" s="25"/>
      <c r="W3322" s="25"/>
      <c r="X3322" s="25"/>
      <c r="Y3322" s="25"/>
      <c r="Z3322" s="25"/>
    </row>
    <row r="3323" spans="1:26" ht="15.75" customHeight="1" x14ac:dyDescent="0.75">
      <c r="A3323" s="43" t="s">
        <v>19</v>
      </c>
      <c r="B3323" s="40"/>
      <c r="C3323" s="40"/>
      <c r="D3323" s="40"/>
      <c r="E3323" s="40"/>
      <c r="F3323" s="40"/>
      <c r="G3323" s="40"/>
      <c r="H3323" s="41"/>
      <c r="I3323" s="24" t="s">
        <v>418</v>
      </c>
      <c r="J3323" s="25"/>
      <c r="K3323" s="25"/>
      <c r="L3323" s="25"/>
      <c r="M3323" s="25"/>
      <c r="N3323" s="25"/>
      <c r="O3323" s="25"/>
      <c r="P3323" s="25"/>
      <c r="Q3323" s="25"/>
      <c r="R3323" s="25"/>
      <c r="S3323" s="25"/>
      <c r="T3323" s="25"/>
      <c r="U3323" s="25"/>
      <c r="V3323" s="25"/>
      <c r="W3323" s="25"/>
      <c r="X3323" s="25"/>
      <c r="Y3323" s="25"/>
      <c r="Z3323" s="25"/>
    </row>
    <row r="3324" spans="1:26" ht="15.75" customHeight="1" x14ac:dyDescent="0.45">
      <c r="A3324" s="25"/>
      <c r="B3324" s="25"/>
      <c r="C3324" s="25"/>
      <c r="D3324" s="25"/>
      <c r="E3324" s="25"/>
      <c r="F3324" s="25"/>
      <c r="G3324" s="25"/>
      <c r="H3324" s="25"/>
      <c r="I3324" s="24" t="s">
        <v>418</v>
      </c>
      <c r="J3324" s="25"/>
      <c r="K3324" s="25"/>
      <c r="L3324" s="25"/>
      <c r="M3324" s="25"/>
      <c r="N3324" s="25"/>
      <c r="O3324" s="25"/>
      <c r="P3324" s="25"/>
      <c r="Q3324" s="25"/>
      <c r="R3324" s="25"/>
      <c r="S3324" s="25"/>
      <c r="T3324" s="25"/>
      <c r="U3324" s="25"/>
      <c r="V3324" s="25"/>
      <c r="W3324" s="25"/>
      <c r="X3324" s="25"/>
      <c r="Y3324" s="25"/>
      <c r="Z3324" s="25"/>
    </row>
    <row r="3325" spans="1:26" ht="15.75" customHeight="1" x14ac:dyDescent="0.45">
      <c r="A3325" s="25"/>
      <c r="B3325" s="25"/>
      <c r="C3325" s="25"/>
      <c r="D3325" s="25"/>
      <c r="E3325" s="25"/>
      <c r="F3325" s="25"/>
      <c r="G3325" s="25"/>
      <c r="H3325" s="25"/>
      <c r="I3325" s="24" t="s">
        <v>418</v>
      </c>
      <c r="J3325" s="25"/>
      <c r="K3325" s="25"/>
      <c r="L3325" s="25"/>
      <c r="M3325" s="25"/>
      <c r="N3325" s="25"/>
      <c r="O3325" s="25"/>
      <c r="P3325" s="25"/>
      <c r="Q3325" s="25"/>
      <c r="R3325" s="25"/>
      <c r="S3325" s="25"/>
      <c r="T3325" s="25"/>
      <c r="U3325" s="25"/>
      <c r="V3325" s="25"/>
      <c r="W3325" s="25"/>
      <c r="X3325" s="25"/>
      <c r="Y3325" s="25"/>
      <c r="Z3325" s="25"/>
    </row>
    <row r="3326" spans="1:26" ht="15.75" customHeight="1" x14ac:dyDescent="0.45">
      <c r="A3326" s="25"/>
      <c r="B3326" s="25"/>
      <c r="C3326" s="25"/>
      <c r="D3326" s="25"/>
      <c r="E3326" s="25"/>
      <c r="F3326" s="25"/>
      <c r="G3326" s="25"/>
      <c r="H3326" s="25"/>
      <c r="I3326" s="24" t="s">
        <v>418</v>
      </c>
      <c r="J3326" s="25"/>
      <c r="K3326" s="25"/>
      <c r="L3326" s="25"/>
      <c r="M3326" s="25"/>
      <c r="N3326" s="25"/>
      <c r="O3326" s="25"/>
      <c r="P3326" s="25"/>
      <c r="Q3326" s="25"/>
      <c r="R3326" s="25"/>
      <c r="S3326" s="25"/>
      <c r="T3326" s="25"/>
      <c r="U3326" s="25"/>
      <c r="V3326" s="25"/>
      <c r="W3326" s="25"/>
      <c r="X3326" s="25"/>
      <c r="Y3326" s="25"/>
      <c r="Z3326" s="25"/>
    </row>
    <row r="3327" spans="1:26" ht="15.75" customHeight="1" x14ac:dyDescent="0.45">
      <c r="A3327" s="25"/>
      <c r="B3327" s="25"/>
      <c r="C3327" s="25"/>
      <c r="D3327" s="25"/>
      <c r="E3327" s="25"/>
      <c r="F3327" s="25"/>
      <c r="G3327" s="25"/>
      <c r="H3327" s="25"/>
      <c r="I3327" s="24" t="s">
        <v>418</v>
      </c>
      <c r="J3327" s="25"/>
      <c r="K3327" s="25"/>
      <c r="L3327" s="25"/>
      <c r="M3327" s="25"/>
      <c r="N3327" s="25"/>
      <c r="O3327" s="25"/>
      <c r="P3327" s="25"/>
      <c r="Q3327" s="25"/>
      <c r="R3327" s="25"/>
      <c r="S3327" s="25"/>
      <c r="T3327" s="25"/>
      <c r="U3327" s="25"/>
      <c r="V3327" s="25"/>
      <c r="W3327" s="25"/>
      <c r="X3327" s="25"/>
      <c r="Y3327" s="25"/>
      <c r="Z3327" s="25"/>
    </row>
    <row r="3328" spans="1:26" ht="15.75" customHeight="1" x14ac:dyDescent="0.45">
      <c r="A3328" s="25"/>
      <c r="B3328" s="25"/>
      <c r="C3328" s="25"/>
      <c r="D3328" s="25"/>
      <c r="E3328" s="25"/>
      <c r="F3328" s="25"/>
      <c r="G3328" s="25"/>
      <c r="H3328" s="25"/>
      <c r="I3328" s="24" t="s">
        <v>418</v>
      </c>
      <c r="J3328" s="25"/>
      <c r="K3328" s="25"/>
      <c r="L3328" s="25"/>
      <c r="M3328" s="25"/>
      <c r="N3328" s="25"/>
      <c r="O3328" s="25"/>
      <c r="P3328" s="25"/>
      <c r="Q3328" s="25"/>
      <c r="R3328" s="25"/>
      <c r="S3328" s="25"/>
      <c r="T3328" s="25"/>
      <c r="U3328" s="25"/>
      <c r="V3328" s="25"/>
      <c r="W3328" s="25"/>
      <c r="X3328" s="25"/>
      <c r="Y3328" s="25"/>
      <c r="Z3328" s="25"/>
    </row>
    <row r="3329" spans="1:26" ht="15.75" customHeight="1" x14ac:dyDescent="0.45">
      <c r="A3329" s="25"/>
      <c r="B3329" s="25"/>
      <c r="C3329" s="25"/>
      <c r="D3329" s="25"/>
      <c r="E3329" s="25"/>
      <c r="F3329" s="25"/>
      <c r="G3329" s="25"/>
      <c r="H3329" s="25"/>
      <c r="I3329" s="24" t="s">
        <v>418</v>
      </c>
      <c r="J3329" s="25"/>
      <c r="K3329" s="25"/>
      <c r="L3329" s="25"/>
      <c r="M3329" s="25"/>
      <c r="N3329" s="25"/>
      <c r="O3329" s="25"/>
      <c r="P3329" s="25"/>
      <c r="Q3329" s="25"/>
      <c r="R3329" s="25"/>
      <c r="S3329" s="25"/>
      <c r="T3329" s="25"/>
      <c r="U3329" s="25"/>
      <c r="V3329" s="25"/>
      <c r="W3329" s="25"/>
      <c r="X3329" s="25"/>
      <c r="Y3329" s="25"/>
      <c r="Z3329" s="25"/>
    </row>
    <row r="3330" spans="1:26" ht="15.75" customHeight="1" x14ac:dyDescent="0.75">
      <c r="A3330" s="43" t="s">
        <v>0</v>
      </c>
      <c r="B3330" s="40"/>
      <c r="C3330" s="40"/>
      <c r="D3330" s="40"/>
      <c r="E3330" s="40"/>
      <c r="F3330" s="40"/>
      <c r="G3330" s="40"/>
      <c r="H3330" s="41"/>
      <c r="I3330" s="24" t="s">
        <v>418</v>
      </c>
      <c r="J3330" s="25"/>
      <c r="K3330" s="25"/>
      <c r="L3330" s="25"/>
      <c r="M3330" s="25"/>
      <c r="N3330" s="25"/>
      <c r="O3330" s="25"/>
      <c r="P3330" s="25"/>
      <c r="Q3330" s="25"/>
      <c r="R3330" s="25"/>
      <c r="S3330" s="25"/>
      <c r="T3330" s="25"/>
      <c r="U3330" s="25"/>
      <c r="V3330" s="25"/>
      <c r="W3330" s="25"/>
      <c r="X3330" s="25"/>
      <c r="Y3330" s="25"/>
      <c r="Z3330" s="25"/>
    </row>
    <row r="3331" spans="1:26" ht="15.75" customHeight="1" x14ac:dyDescent="0.75">
      <c r="A3331" s="43" t="s">
        <v>514</v>
      </c>
      <c r="B3331" s="40"/>
      <c r="C3331" s="40"/>
      <c r="D3331" s="40"/>
      <c r="E3331" s="40"/>
      <c r="F3331" s="40"/>
      <c r="G3331" s="40"/>
      <c r="H3331" s="41"/>
      <c r="I3331" s="24" t="s">
        <v>418</v>
      </c>
      <c r="J3331" s="25"/>
      <c r="K3331" s="25"/>
      <c r="L3331" s="25"/>
      <c r="M3331" s="25"/>
      <c r="N3331" s="25"/>
      <c r="O3331" s="25"/>
      <c r="P3331" s="25"/>
      <c r="Q3331" s="25"/>
      <c r="R3331" s="25"/>
      <c r="S3331" s="25"/>
      <c r="T3331" s="25"/>
      <c r="U3331" s="25"/>
      <c r="V3331" s="25"/>
      <c r="W3331" s="25"/>
      <c r="X3331" s="25"/>
      <c r="Y3331" s="25"/>
      <c r="Z3331" s="25"/>
    </row>
    <row r="3332" spans="1:26" ht="15.75" customHeight="1" x14ac:dyDescent="0.55000000000000004">
      <c r="A3332" s="2" t="s">
        <v>3</v>
      </c>
      <c r="B3332" s="2" t="s">
        <v>4</v>
      </c>
      <c r="C3332" s="2" t="s">
        <v>5</v>
      </c>
      <c r="D3332" s="2" t="s">
        <v>6</v>
      </c>
      <c r="E3332" s="2" t="s">
        <v>7</v>
      </c>
      <c r="F3332" s="3" t="s">
        <v>8</v>
      </c>
      <c r="G3332" s="2" t="s">
        <v>9</v>
      </c>
      <c r="H3332" s="26"/>
      <c r="I3332" s="24" t="s">
        <v>418</v>
      </c>
      <c r="J3332" s="25"/>
      <c r="K3332" s="25"/>
      <c r="L3332" s="25"/>
      <c r="M3332" s="25"/>
      <c r="N3332" s="25"/>
      <c r="O3332" s="25"/>
      <c r="P3332" s="25"/>
      <c r="Q3332" s="25"/>
      <c r="R3332" s="25"/>
      <c r="S3332" s="25"/>
      <c r="T3332" s="25"/>
      <c r="U3332" s="25"/>
      <c r="V3332" s="25"/>
      <c r="W3332" s="25"/>
      <c r="X3332" s="25"/>
      <c r="Y3332" s="25"/>
      <c r="Z3332" s="25"/>
    </row>
    <row r="3333" spans="1:26" ht="15.75" customHeight="1" x14ac:dyDescent="0.75">
      <c r="A3333" s="5">
        <v>1</v>
      </c>
      <c r="B3333" s="27" t="s">
        <v>68</v>
      </c>
      <c r="C3333" s="28" t="s">
        <v>515</v>
      </c>
      <c r="D3333" s="27" t="s">
        <v>12</v>
      </c>
      <c r="E3333" s="27">
        <v>0.99</v>
      </c>
      <c r="F3333" s="8">
        <v>293000</v>
      </c>
      <c r="G3333" s="9">
        <f t="shared" ref="G3333:G3335" si="206">IFERROR(E3333*F3333,0)</f>
        <v>290070</v>
      </c>
      <c r="H3333" s="29"/>
      <c r="I3333" s="24" t="s">
        <v>418</v>
      </c>
      <c r="J3333" s="25"/>
      <c r="K3333" s="25"/>
      <c r="L3333" s="25"/>
      <c r="M3333" s="25"/>
      <c r="N3333" s="25"/>
      <c r="O3333" s="25"/>
      <c r="P3333" s="25"/>
      <c r="Q3333" s="25"/>
      <c r="R3333" s="25"/>
      <c r="S3333" s="25"/>
      <c r="T3333" s="25"/>
      <c r="U3333" s="25"/>
      <c r="V3333" s="25"/>
      <c r="W3333" s="25"/>
      <c r="X3333" s="25"/>
      <c r="Y3333" s="25"/>
      <c r="Z3333" s="25"/>
    </row>
    <row r="3334" spans="1:26" ht="15.75" customHeight="1" x14ac:dyDescent="0.75">
      <c r="A3334" s="5">
        <v>2</v>
      </c>
      <c r="B3334" s="30" t="s">
        <v>87</v>
      </c>
      <c r="C3334" s="31" t="s">
        <v>492</v>
      </c>
      <c r="D3334" s="30" t="s">
        <v>14</v>
      </c>
      <c r="E3334" s="30">
        <v>2.5</v>
      </c>
      <c r="F3334" s="11">
        <v>435000</v>
      </c>
      <c r="G3334" s="9">
        <f t="shared" si="206"/>
        <v>1087500</v>
      </c>
      <c r="H3334" s="29"/>
      <c r="I3334" s="24" t="s">
        <v>418</v>
      </c>
      <c r="J3334" s="25"/>
      <c r="K3334" s="25"/>
      <c r="L3334" s="25"/>
      <c r="M3334" s="25"/>
      <c r="N3334" s="25"/>
      <c r="O3334" s="25"/>
      <c r="P3334" s="25"/>
      <c r="Q3334" s="25"/>
      <c r="R3334" s="25"/>
      <c r="S3334" s="25"/>
      <c r="T3334" s="25"/>
      <c r="U3334" s="25"/>
      <c r="V3334" s="25"/>
      <c r="W3334" s="25"/>
      <c r="X3334" s="25"/>
      <c r="Y3334" s="25"/>
      <c r="Z3334" s="25"/>
    </row>
    <row r="3335" spans="1:26" ht="15.75" customHeight="1" x14ac:dyDescent="0.75">
      <c r="A3335" s="5">
        <v>3</v>
      </c>
      <c r="B3335" s="12" t="s">
        <v>15</v>
      </c>
      <c r="C3335" s="29"/>
      <c r="D3335" s="29"/>
      <c r="E3335" s="29"/>
      <c r="F3335" s="29"/>
      <c r="G3335" s="13">
        <f t="shared" si="206"/>
        <v>0</v>
      </c>
      <c r="H3335" s="29"/>
      <c r="I3335" s="24" t="s">
        <v>418</v>
      </c>
      <c r="J3335" s="25"/>
      <c r="K3335" s="25"/>
      <c r="L3335" s="25"/>
      <c r="M3335" s="25"/>
      <c r="N3335" s="25"/>
      <c r="O3335" s="25"/>
      <c r="P3335" s="25"/>
      <c r="Q3335" s="25"/>
      <c r="R3335" s="25"/>
      <c r="S3335" s="25"/>
      <c r="T3335" s="25"/>
      <c r="U3335" s="25"/>
      <c r="V3335" s="25"/>
      <c r="W3335" s="25"/>
      <c r="X3335" s="25"/>
      <c r="Y3335" s="25"/>
      <c r="Z3335" s="25"/>
    </row>
    <row r="3336" spans="1:26" ht="15.75" customHeight="1" x14ac:dyDescent="0.75">
      <c r="A3336" s="39" t="s">
        <v>16</v>
      </c>
      <c r="B3336" s="40"/>
      <c r="C3336" s="40"/>
      <c r="D3336" s="40"/>
      <c r="E3336" s="40"/>
      <c r="F3336" s="40"/>
      <c r="G3336" s="41"/>
      <c r="H3336" s="14">
        <f>SUM(G3333:G3335)</f>
        <v>1377570</v>
      </c>
      <c r="I3336" s="24" t="s">
        <v>418</v>
      </c>
      <c r="J3336" s="25"/>
      <c r="K3336" s="25"/>
      <c r="L3336" s="25"/>
      <c r="M3336" s="25"/>
      <c r="N3336" s="25"/>
      <c r="O3336" s="25"/>
      <c r="P3336" s="25"/>
      <c r="Q3336" s="25"/>
      <c r="R3336" s="25"/>
      <c r="S3336" s="25"/>
      <c r="T3336" s="25"/>
      <c r="U3336" s="25"/>
      <c r="V3336" s="25"/>
      <c r="W3336" s="25"/>
      <c r="X3336" s="25"/>
      <c r="Y3336" s="25"/>
      <c r="Z3336" s="25"/>
    </row>
    <row r="3337" spans="1:26" ht="15.75" customHeight="1" x14ac:dyDescent="0.75">
      <c r="A3337" s="39" t="s">
        <v>17</v>
      </c>
      <c r="B3337" s="40"/>
      <c r="C3337" s="40"/>
      <c r="D3337" s="40"/>
      <c r="E3337" s="40"/>
      <c r="F3337" s="40"/>
      <c r="G3337" s="41"/>
      <c r="H3337" s="14">
        <f>MAX(0,H3336-648000)</f>
        <v>729570</v>
      </c>
      <c r="I3337" s="24" t="s">
        <v>418</v>
      </c>
      <c r="J3337" s="25"/>
      <c r="K3337" s="25"/>
      <c r="L3337" s="25"/>
      <c r="M3337" s="25"/>
      <c r="N3337" s="25"/>
      <c r="O3337" s="25"/>
      <c r="P3337" s="25"/>
      <c r="Q3337" s="25"/>
      <c r="R3337" s="25"/>
      <c r="S3337" s="25"/>
      <c r="T3337" s="25"/>
      <c r="U3337" s="25"/>
      <c r="V3337" s="25"/>
      <c r="W3337" s="25"/>
      <c r="X3337" s="25"/>
      <c r="Y3337" s="25"/>
      <c r="Z3337" s="25"/>
    </row>
    <row r="3338" spans="1:26" ht="15.75" customHeight="1" x14ac:dyDescent="0.75">
      <c r="A3338" s="42" t="s">
        <v>18</v>
      </c>
      <c r="B3338" s="40"/>
      <c r="C3338" s="40"/>
      <c r="D3338" s="40"/>
      <c r="E3338" s="40"/>
      <c r="F3338" s="40"/>
      <c r="G3338" s="41"/>
      <c r="H3338" s="15">
        <v>649000</v>
      </c>
      <c r="I3338" s="24" t="s">
        <v>418</v>
      </c>
      <c r="J3338" s="25"/>
      <c r="K3338" s="25"/>
      <c r="L3338" s="25"/>
      <c r="M3338" s="25"/>
      <c r="N3338" s="25"/>
      <c r="O3338" s="25"/>
      <c r="P3338" s="25"/>
      <c r="Q3338" s="25"/>
      <c r="R3338" s="25"/>
      <c r="S3338" s="25"/>
      <c r="T3338" s="25"/>
      <c r="U3338" s="25"/>
      <c r="V3338" s="25"/>
      <c r="W3338" s="25"/>
      <c r="X3338" s="25"/>
      <c r="Y3338" s="25"/>
      <c r="Z3338" s="25"/>
    </row>
    <row r="3339" spans="1:26" ht="15.75" customHeight="1" x14ac:dyDescent="0.75">
      <c r="A3339" s="43" t="s">
        <v>19</v>
      </c>
      <c r="B3339" s="40"/>
      <c r="C3339" s="40"/>
      <c r="D3339" s="40"/>
      <c r="E3339" s="40"/>
      <c r="F3339" s="40"/>
      <c r="G3339" s="40"/>
      <c r="H3339" s="41"/>
      <c r="I3339" s="24" t="s">
        <v>418</v>
      </c>
      <c r="J3339" s="25"/>
      <c r="K3339" s="25"/>
      <c r="L3339" s="25"/>
      <c r="M3339" s="25"/>
      <c r="N3339" s="25"/>
      <c r="O3339" s="25"/>
      <c r="P3339" s="25"/>
      <c r="Q3339" s="25"/>
      <c r="R3339" s="25"/>
      <c r="S3339" s="25"/>
      <c r="T3339" s="25"/>
      <c r="U3339" s="25"/>
      <c r="V3339" s="25"/>
      <c r="W3339" s="25"/>
      <c r="X3339" s="25"/>
      <c r="Y3339" s="25"/>
      <c r="Z3339" s="25"/>
    </row>
    <row r="3340" spans="1:26" ht="15.75" customHeight="1" x14ac:dyDescent="0.45">
      <c r="A3340" s="25"/>
      <c r="B3340" s="25"/>
      <c r="C3340" s="25"/>
      <c r="D3340" s="25"/>
      <c r="E3340" s="25"/>
      <c r="F3340" s="25"/>
      <c r="G3340" s="25"/>
      <c r="H3340" s="25"/>
      <c r="I3340" s="24" t="s">
        <v>418</v>
      </c>
      <c r="J3340" s="25"/>
      <c r="K3340" s="25"/>
      <c r="L3340" s="25"/>
      <c r="M3340" s="25"/>
      <c r="N3340" s="25"/>
      <c r="O3340" s="25"/>
      <c r="P3340" s="25"/>
      <c r="Q3340" s="25"/>
      <c r="R3340" s="25"/>
      <c r="S3340" s="25"/>
      <c r="T3340" s="25"/>
      <c r="U3340" s="25"/>
      <c r="V3340" s="25"/>
      <c r="W3340" s="25"/>
      <c r="X3340" s="25"/>
      <c r="Y3340" s="25"/>
      <c r="Z3340" s="25"/>
    </row>
    <row r="3341" spans="1:26" ht="15.75" customHeight="1" x14ac:dyDescent="0.45">
      <c r="A3341" s="25"/>
      <c r="B3341" s="25"/>
      <c r="C3341" s="25"/>
      <c r="D3341" s="25"/>
      <c r="E3341" s="25"/>
      <c r="F3341" s="25"/>
      <c r="G3341" s="25"/>
      <c r="H3341" s="25"/>
      <c r="I3341" s="24" t="s">
        <v>418</v>
      </c>
      <c r="J3341" s="25"/>
      <c r="K3341" s="25"/>
      <c r="L3341" s="25"/>
      <c r="M3341" s="25"/>
      <c r="N3341" s="25"/>
      <c r="O3341" s="25"/>
      <c r="P3341" s="25"/>
      <c r="Q3341" s="25"/>
      <c r="R3341" s="25"/>
      <c r="S3341" s="25"/>
      <c r="T3341" s="25"/>
      <c r="U3341" s="25"/>
      <c r="V3341" s="25"/>
      <c r="W3341" s="25"/>
      <c r="X3341" s="25"/>
      <c r="Y3341" s="25"/>
      <c r="Z3341" s="25"/>
    </row>
    <row r="3342" spans="1:26" ht="15.75" customHeight="1" x14ac:dyDescent="0.45">
      <c r="A3342" s="25"/>
      <c r="B3342" s="25"/>
      <c r="C3342" s="25"/>
      <c r="D3342" s="25"/>
      <c r="E3342" s="25"/>
      <c r="F3342" s="25"/>
      <c r="G3342" s="25"/>
      <c r="H3342" s="25"/>
      <c r="I3342" s="24" t="s">
        <v>418</v>
      </c>
      <c r="J3342" s="25"/>
      <c r="K3342" s="25"/>
      <c r="L3342" s="25"/>
      <c r="M3342" s="25"/>
      <c r="N3342" s="25"/>
      <c r="O3342" s="25"/>
      <c r="P3342" s="25"/>
      <c r="Q3342" s="25"/>
      <c r="R3342" s="25"/>
      <c r="S3342" s="25"/>
      <c r="T3342" s="25"/>
      <c r="U3342" s="25"/>
      <c r="V3342" s="25"/>
      <c r="W3342" s="25"/>
      <c r="X3342" s="25"/>
      <c r="Y3342" s="25"/>
      <c r="Z3342" s="25"/>
    </row>
    <row r="3343" spans="1:26" ht="15.75" customHeight="1" x14ac:dyDescent="0.45">
      <c r="A3343" s="25"/>
      <c r="B3343" s="25"/>
      <c r="C3343" s="25"/>
      <c r="D3343" s="25"/>
      <c r="E3343" s="25"/>
      <c r="F3343" s="25"/>
      <c r="G3343" s="25"/>
      <c r="H3343" s="25"/>
      <c r="I3343" s="24" t="s">
        <v>418</v>
      </c>
      <c r="J3343" s="25"/>
      <c r="K3343" s="25"/>
      <c r="L3343" s="25"/>
      <c r="M3343" s="25"/>
      <c r="N3343" s="25"/>
      <c r="O3343" s="25"/>
      <c r="P3343" s="25"/>
      <c r="Q3343" s="25"/>
      <c r="R3343" s="25"/>
      <c r="S3343" s="25"/>
      <c r="T3343" s="25"/>
      <c r="U3343" s="25"/>
      <c r="V3343" s="25"/>
      <c r="W3343" s="25"/>
      <c r="X3343" s="25"/>
      <c r="Y3343" s="25"/>
      <c r="Z3343" s="25"/>
    </row>
    <row r="3344" spans="1:26" ht="15.75" customHeight="1" x14ac:dyDescent="0.45">
      <c r="A3344" s="25"/>
      <c r="B3344" s="25"/>
      <c r="C3344" s="25"/>
      <c r="D3344" s="25"/>
      <c r="E3344" s="25"/>
      <c r="F3344" s="25"/>
      <c r="G3344" s="25"/>
      <c r="H3344" s="25"/>
      <c r="I3344" s="24" t="s">
        <v>418</v>
      </c>
      <c r="J3344" s="25"/>
      <c r="K3344" s="25"/>
      <c r="L3344" s="25"/>
      <c r="M3344" s="25"/>
      <c r="N3344" s="25"/>
      <c r="O3344" s="25"/>
      <c r="P3344" s="25"/>
      <c r="Q3344" s="25"/>
      <c r="R3344" s="25"/>
      <c r="S3344" s="25"/>
      <c r="T3344" s="25"/>
      <c r="U3344" s="25"/>
      <c r="V3344" s="25"/>
      <c r="W3344" s="25"/>
      <c r="X3344" s="25"/>
      <c r="Y3344" s="25"/>
      <c r="Z3344" s="25"/>
    </row>
    <row r="3345" spans="1:26" ht="15.75" customHeight="1" x14ac:dyDescent="0.45">
      <c r="A3345" s="25"/>
      <c r="B3345" s="25"/>
      <c r="C3345" s="25"/>
      <c r="D3345" s="25"/>
      <c r="E3345" s="25"/>
      <c r="F3345" s="25"/>
      <c r="G3345" s="25"/>
      <c r="H3345" s="25"/>
      <c r="I3345" s="24" t="s">
        <v>418</v>
      </c>
      <c r="J3345" s="25"/>
      <c r="K3345" s="25"/>
      <c r="L3345" s="25"/>
      <c r="M3345" s="25"/>
      <c r="N3345" s="25"/>
      <c r="O3345" s="25"/>
      <c r="P3345" s="25"/>
      <c r="Q3345" s="25"/>
      <c r="R3345" s="25"/>
      <c r="S3345" s="25"/>
      <c r="T3345" s="25"/>
      <c r="U3345" s="25"/>
      <c r="V3345" s="25"/>
      <c r="W3345" s="25"/>
      <c r="X3345" s="25"/>
      <c r="Y3345" s="25"/>
      <c r="Z3345" s="25"/>
    </row>
    <row r="3346" spans="1:26" ht="15.75" customHeight="1" x14ac:dyDescent="0.75">
      <c r="A3346" s="43" t="s">
        <v>0</v>
      </c>
      <c r="B3346" s="40"/>
      <c r="C3346" s="40"/>
      <c r="D3346" s="40"/>
      <c r="E3346" s="40"/>
      <c r="F3346" s="40"/>
      <c r="G3346" s="40"/>
      <c r="H3346" s="41"/>
      <c r="I3346" s="24" t="s">
        <v>418</v>
      </c>
      <c r="J3346" s="25"/>
      <c r="K3346" s="25"/>
      <c r="L3346" s="25"/>
      <c r="M3346" s="25"/>
      <c r="N3346" s="25"/>
      <c r="O3346" s="25"/>
      <c r="P3346" s="25"/>
      <c r="Q3346" s="25"/>
      <c r="R3346" s="25"/>
      <c r="S3346" s="25"/>
      <c r="T3346" s="25"/>
      <c r="U3346" s="25"/>
      <c r="V3346" s="25"/>
      <c r="W3346" s="25"/>
      <c r="X3346" s="25"/>
      <c r="Y3346" s="25"/>
      <c r="Z3346" s="25"/>
    </row>
    <row r="3347" spans="1:26" ht="15.75" customHeight="1" x14ac:dyDescent="0.75">
      <c r="A3347" s="43" t="s">
        <v>516</v>
      </c>
      <c r="B3347" s="40"/>
      <c r="C3347" s="40"/>
      <c r="D3347" s="40"/>
      <c r="E3347" s="40"/>
      <c r="F3347" s="40"/>
      <c r="G3347" s="40"/>
      <c r="H3347" s="41"/>
      <c r="I3347" s="24" t="s">
        <v>418</v>
      </c>
      <c r="J3347" s="25"/>
      <c r="K3347" s="25"/>
      <c r="L3347" s="25"/>
      <c r="M3347" s="25"/>
      <c r="N3347" s="25"/>
      <c r="O3347" s="25"/>
      <c r="P3347" s="25"/>
      <c r="Q3347" s="25"/>
      <c r="R3347" s="25"/>
      <c r="S3347" s="25"/>
      <c r="T3347" s="25"/>
      <c r="U3347" s="25"/>
      <c r="V3347" s="25"/>
      <c r="W3347" s="25"/>
      <c r="X3347" s="25"/>
      <c r="Y3347" s="25"/>
      <c r="Z3347" s="25"/>
    </row>
    <row r="3348" spans="1:26" ht="15.75" customHeight="1" x14ac:dyDescent="0.55000000000000004">
      <c r="A3348" s="2" t="s">
        <v>3</v>
      </c>
      <c r="B3348" s="2" t="s">
        <v>4</v>
      </c>
      <c r="C3348" s="2" t="s">
        <v>5</v>
      </c>
      <c r="D3348" s="2" t="s">
        <v>6</v>
      </c>
      <c r="E3348" s="2" t="s">
        <v>7</v>
      </c>
      <c r="F3348" s="3" t="s">
        <v>8</v>
      </c>
      <c r="G3348" s="2" t="s">
        <v>9</v>
      </c>
      <c r="H3348" s="26"/>
      <c r="I3348" s="24" t="s">
        <v>418</v>
      </c>
      <c r="J3348" s="25"/>
      <c r="K3348" s="25"/>
      <c r="L3348" s="25"/>
      <c r="M3348" s="25"/>
      <c r="N3348" s="25"/>
      <c r="O3348" s="25"/>
      <c r="P3348" s="25"/>
      <c r="Q3348" s="25"/>
      <c r="R3348" s="25"/>
      <c r="S3348" s="25"/>
      <c r="T3348" s="25"/>
      <c r="U3348" s="25"/>
      <c r="V3348" s="25"/>
      <c r="W3348" s="25"/>
      <c r="X3348" s="25"/>
      <c r="Y3348" s="25"/>
      <c r="Z3348" s="25"/>
    </row>
    <row r="3349" spans="1:26" ht="15.75" customHeight="1" x14ac:dyDescent="0.75">
      <c r="A3349" s="5">
        <v>1</v>
      </c>
      <c r="B3349" s="27" t="s">
        <v>27</v>
      </c>
      <c r="C3349" s="28" t="s">
        <v>517</v>
      </c>
      <c r="D3349" s="27" t="s">
        <v>12</v>
      </c>
      <c r="E3349" s="27">
        <v>1.58</v>
      </c>
      <c r="F3349" s="8">
        <v>293000</v>
      </c>
      <c r="G3349" s="9">
        <f t="shared" ref="G3349:G3351" si="207">IFERROR(E3349*F3349,0)</f>
        <v>462940</v>
      </c>
      <c r="H3349" s="29"/>
      <c r="I3349" s="24" t="s">
        <v>418</v>
      </c>
      <c r="J3349" s="25"/>
      <c r="K3349" s="25"/>
      <c r="L3349" s="25"/>
      <c r="M3349" s="25"/>
      <c r="N3349" s="25"/>
      <c r="O3349" s="25"/>
      <c r="P3349" s="25"/>
      <c r="Q3349" s="25"/>
      <c r="R3349" s="25"/>
      <c r="S3349" s="25"/>
      <c r="T3349" s="25"/>
      <c r="U3349" s="25"/>
      <c r="V3349" s="25"/>
      <c r="W3349" s="25"/>
      <c r="X3349" s="25"/>
      <c r="Y3349" s="25"/>
      <c r="Z3349" s="25"/>
    </row>
    <row r="3350" spans="1:26" ht="15.75" customHeight="1" x14ac:dyDescent="0.75">
      <c r="A3350" s="5">
        <v>2</v>
      </c>
      <c r="B3350" s="30" t="s">
        <v>98</v>
      </c>
      <c r="C3350" s="31" t="s">
        <v>513</v>
      </c>
      <c r="D3350" s="30" t="s">
        <v>14</v>
      </c>
      <c r="E3350" s="30">
        <v>2</v>
      </c>
      <c r="F3350" s="11">
        <v>435000</v>
      </c>
      <c r="G3350" s="9">
        <f t="shared" si="207"/>
        <v>870000</v>
      </c>
      <c r="H3350" s="29"/>
      <c r="I3350" s="24" t="s">
        <v>418</v>
      </c>
      <c r="J3350" s="25"/>
      <c r="K3350" s="25"/>
      <c r="L3350" s="25"/>
      <c r="M3350" s="25"/>
      <c r="N3350" s="25"/>
      <c r="O3350" s="25"/>
      <c r="P3350" s="25"/>
      <c r="Q3350" s="25"/>
      <c r="R3350" s="25"/>
      <c r="S3350" s="25"/>
      <c r="T3350" s="25"/>
      <c r="U3350" s="25"/>
      <c r="V3350" s="25"/>
      <c r="W3350" s="25"/>
      <c r="X3350" s="25"/>
      <c r="Y3350" s="25"/>
      <c r="Z3350" s="25"/>
    </row>
    <row r="3351" spans="1:26" ht="15.75" customHeight="1" x14ac:dyDescent="0.75">
      <c r="A3351" s="5">
        <v>3</v>
      </c>
      <c r="B3351" s="12" t="s">
        <v>15</v>
      </c>
      <c r="C3351" s="29"/>
      <c r="D3351" s="29"/>
      <c r="E3351" s="29"/>
      <c r="F3351" s="29"/>
      <c r="G3351" s="13">
        <f t="shared" si="207"/>
        <v>0</v>
      </c>
      <c r="H3351" s="29"/>
      <c r="I3351" s="24" t="s">
        <v>418</v>
      </c>
      <c r="J3351" s="25"/>
      <c r="K3351" s="25"/>
      <c r="L3351" s="25"/>
      <c r="M3351" s="25"/>
      <c r="N3351" s="25"/>
      <c r="O3351" s="25"/>
      <c r="P3351" s="25"/>
      <c r="Q3351" s="25"/>
      <c r="R3351" s="25"/>
      <c r="S3351" s="25"/>
      <c r="T3351" s="25"/>
      <c r="U3351" s="25"/>
      <c r="V3351" s="25"/>
      <c r="W3351" s="25"/>
      <c r="X3351" s="25"/>
      <c r="Y3351" s="25"/>
      <c r="Z3351" s="25"/>
    </row>
    <row r="3352" spans="1:26" ht="15.75" customHeight="1" x14ac:dyDescent="0.75">
      <c r="A3352" s="39" t="s">
        <v>16</v>
      </c>
      <c r="B3352" s="40"/>
      <c r="C3352" s="40"/>
      <c r="D3352" s="40"/>
      <c r="E3352" s="40"/>
      <c r="F3352" s="40"/>
      <c r="G3352" s="41"/>
      <c r="H3352" s="14">
        <f>SUM(G3349:G3351)</f>
        <v>1332940</v>
      </c>
      <c r="I3352" s="24" t="s">
        <v>418</v>
      </c>
      <c r="J3352" s="25"/>
      <c r="K3352" s="25"/>
      <c r="L3352" s="25"/>
      <c r="M3352" s="25"/>
      <c r="N3352" s="25"/>
      <c r="O3352" s="25"/>
      <c r="P3352" s="25"/>
      <c r="Q3352" s="25"/>
      <c r="R3352" s="25"/>
      <c r="S3352" s="25"/>
      <c r="T3352" s="25"/>
      <c r="U3352" s="25"/>
      <c r="V3352" s="25"/>
      <c r="W3352" s="25"/>
      <c r="X3352" s="25"/>
      <c r="Y3352" s="25"/>
      <c r="Z3352" s="25"/>
    </row>
    <row r="3353" spans="1:26" ht="15.75" customHeight="1" x14ac:dyDescent="0.75">
      <c r="A3353" s="39" t="s">
        <v>17</v>
      </c>
      <c r="B3353" s="40"/>
      <c r="C3353" s="40"/>
      <c r="D3353" s="40"/>
      <c r="E3353" s="40"/>
      <c r="F3353" s="40"/>
      <c r="G3353" s="41"/>
      <c r="H3353" s="14">
        <f>MAX(0,H3352-648000)</f>
        <v>684940</v>
      </c>
      <c r="I3353" s="24" t="s">
        <v>418</v>
      </c>
      <c r="J3353" s="25"/>
      <c r="K3353" s="25"/>
      <c r="L3353" s="25"/>
      <c r="M3353" s="25"/>
      <c r="N3353" s="25"/>
      <c r="O3353" s="25"/>
      <c r="P3353" s="25"/>
      <c r="Q3353" s="25"/>
      <c r="R3353" s="25"/>
      <c r="S3353" s="25"/>
      <c r="T3353" s="25"/>
      <c r="U3353" s="25"/>
      <c r="V3353" s="25"/>
      <c r="W3353" s="25"/>
      <c r="X3353" s="25"/>
      <c r="Y3353" s="25"/>
      <c r="Z3353" s="25"/>
    </row>
    <row r="3354" spans="1:26" ht="15.75" customHeight="1" x14ac:dyDescent="0.75">
      <c r="A3354" s="42" t="s">
        <v>18</v>
      </c>
      <c r="B3354" s="40"/>
      <c r="C3354" s="40"/>
      <c r="D3354" s="40"/>
      <c r="E3354" s="40"/>
      <c r="F3354" s="40"/>
      <c r="G3354" s="41"/>
      <c r="H3354" s="15">
        <v>649000</v>
      </c>
      <c r="I3354" s="24" t="s">
        <v>418</v>
      </c>
      <c r="J3354" s="25"/>
      <c r="K3354" s="25"/>
      <c r="L3354" s="25"/>
      <c r="M3354" s="25"/>
      <c r="N3354" s="25"/>
      <c r="O3354" s="25"/>
      <c r="P3354" s="25"/>
      <c r="Q3354" s="25"/>
      <c r="R3354" s="25"/>
      <c r="S3354" s="25"/>
      <c r="T3354" s="25"/>
      <c r="U3354" s="25"/>
      <c r="V3354" s="25"/>
      <c r="W3354" s="25"/>
      <c r="X3354" s="25"/>
      <c r="Y3354" s="25"/>
      <c r="Z3354" s="25"/>
    </row>
    <row r="3355" spans="1:26" ht="15.75" customHeight="1" x14ac:dyDescent="0.75">
      <c r="A3355" s="43" t="s">
        <v>19</v>
      </c>
      <c r="B3355" s="40"/>
      <c r="C3355" s="40"/>
      <c r="D3355" s="40"/>
      <c r="E3355" s="40"/>
      <c r="F3355" s="40"/>
      <c r="G3355" s="40"/>
      <c r="H3355" s="41"/>
      <c r="I3355" s="24" t="s">
        <v>418</v>
      </c>
      <c r="J3355" s="25"/>
      <c r="K3355" s="25"/>
      <c r="L3355" s="25"/>
      <c r="M3355" s="25"/>
      <c r="N3355" s="25"/>
      <c r="O3355" s="25"/>
      <c r="P3355" s="25"/>
      <c r="Q3355" s="25"/>
      <c r="R3355" s="25"/>
      <c r="S3355" s="25"/>
      <c r="T3355" s="25"/>
      <c r="U3355" s="25"/>
      <c r="V3355" s="25"/>
      <c r="W3355" s="25"/>
      <c r="X3355" s="25"/>
      <c r="Y3355" s="25"/>
      <c r="Z3355" s="25"/>
    </row>
    <row r="3356" spans="1:26" ht="15.75" customHeight="1" x14ac:dyDescent="0.45">
      <c r="A3356" s="25"/>
      <c r="B3356" s="25"/>
      <c r="C3356" s="25"/>
      <c r="D3356" s="25"/>
      <c r="E3356" s="25"/>
      <c r="F3356" s="25"/>
      <c r="G3356" s="25"/>
      <c r="H3356" s="25"/>
      <c r="I3356" s="24" t="s">
        <v>418</v>
      </c>
      <c r="J3356" s="25"/>
      <c r="K3356" s="25"/>
      <c r="L3356" s="25"/>
      <c r="M3356" s="25"/>
      <c r="N3356" s="25"/>
      <c r="O3356" s="25"/>
      <c r="P3356" s="25"/>
      <c r="Q3356" s="25"/>
      <c r="R3356" s="25"/>
      <c r="S3356" s="25"/>
      <c r="T3356" s="25"/>
      <c r="U3356" s="25"/>
      <c r="V3356" s="25"/>
      <c r="W3356" s="25"/>
      <c r="X3356" s="25"/>
      <c r="Y3356" s="25"/>
      <c r="Z3356" s="25"/>
    </row>
    <row r="3357" spans="1:26" ht="15.75" customHeight="1" x14ac:dyDescent="0.45">
      <c r="A3357" s="25"/>
      <c r="B3357" s="25"/>
      <c r="C3357" s="25"/>
      <c r="D3357" s="25"/>
      <c r="E3357" s="25"/>
      <c r="F3357" s="25"/>
      <c r="G3357" s="25"/>
      <c r="H3357" s="25"/>
      <c r="I3357" s="24" t="s">
        <v>418</v>
      </c>
      <c r="J3357" s="25"/>
      <c r="K3357" s="25"/>
      <c r="L3357" s="25"/>
      <c r="M3357" s="25"/>
      <c r="N3357" s="25"/>
      <c r="O3357" s="25"/>
      <c r="P3357" s="25"/>
      <c r="Q3357" s="25"/>
      <c r="R3357" s="25"/>
      <c r="S3357" s="25"/>
      <c r="T3357" s="25"/>
      <c r="U3357" s="25"/>
      <c r="V3357" s="25"/>
      <c r="W3357" s="25"/>
      <c r="X3357" s="25"/>
      <c r="Y3357" s="25"/>
      <c r="Z3357" s="25"/>
    </row>
    <row r="3358" spans="1:26" ht="15.75" customHeight="1" x14ac:dyDescent="0.45">
      <c r="A3358" s="25"/>
      <c r="B3358" s="25"/>
      <c r="C3358" s="25"/>
      <c r="D3358" s="25"/>
      <c r="E3358" s="25"/>
      <c r="F3358" s="25"/>
      <c r="G3358" s="25"/>
      <c r="H3358" s="25"/>
      <c r="I3358" s="24" t="s">
        <v>418</v>
      </c>
      <c r="J3358" s="25"/>
      <c r="K3358" s="25"/>
      <c r="L3358" s="25"/>
      <c r="M3358" s="25"/>
      <c r="N3358" s="25"/>
      <c r="O3358" s="25"/>
      <c r="P3358" s="25"/>
      <c r="Q3358" s="25"/>
      <c r="R3358" s="25"/>
      <c r="S3358" s="25"/>
      <c r="T3358" s="25"/>
      <c r="U3358" s="25"/>
      <c r="V3358" s="25"/>
      <c r="W3358" s="25"/>
      <c r="X3358" s="25"/>
      <c r="Y3358" s="25"/>
      <c r="Z3358" s="25"/>
    </row>
    <row r="3359" spans="1:26" ht="15.75" customHeight="1" x14ac:dyDescent="0.45">
      <c r="A3359" s="25"/>
      <c r="B3359" s="25"/>
      <c r="C3359" s="25"/>
      <c r="D3359" s="25"/>
      <c r="E3359" s="25"/>
      <c r="F3359" s="25"/>
      <c r="G3359" s="25"/>
      <c r="H3359" s="25"/>
      <c r="I3359" s="24" t="s">
        <v>418</v>
      </c>
      <c r="J3359" s="25"/>
      <c r="K3359" s="25"/>
      <c r="L3359" s="25"/>
      <c r="M3359" s="25"/>
      <c r="N3359" s="25"/>
      <c r="O3359" s="25"/>
      <c r="P3359" s="25"/>
      <c r="Q3359" s="25"/>
      <c r="R3359" s="25"/>
      <c r="S3359" s="25"/>
      <c r="T3359" s="25"/>
      <c r="U3359" s="25"/>
      <c r="V3359" s="25"/>
      <c r="W3359" s="25"/>
      <c r="X3359" s="25"/>
      <c r="Y3359" s="25"/>
      <c r="Z3359" s="25"/>
    </row>
    <row r="3360" spans="1:26" ht="15.75" customHeight="1" x14ac:dyDescent="0.75">
      <c r="A3360" s="43" t="s">
        <v>0</v>
      </c>
      <c r="B3360" s="40"/>
      <c r="C3360" s="40"/>
      <c r="D3360" s="40"/>
      <c r="E3360" s="40"/>
      <c r="F3360" s="40"/>
      <c r="G3360" s="40"/>
      <c r="H3360" s="41"/>
      <c r="I3360" s="24" t="s">
        <v>418</v>
      </c>
      <c r="J3360" s="25"/>
      <c r="K3360" s="25"/>
      <c r="L3360" s="25"/>
      <c r="M3360" s="25"/>
      <c r="N3360" s="25"/>
      <c r="O3360" s="25"/>
      <c r="P3360" s="25"/>
      <c r="Q3360" s="25"/>
      <c r="R3360" s="25"/>
      <c r="S3360" s="25"/>
      <c r="T3360" s="25"/>
      <c r="U3360" s="25"/>
      <c r="V3360" s="25"/>
      <c r="W3360" s="25"/>
      <c r="X3360" s="25"/>
      <c r="Y3360" s="25"/>
      <c r="Z3360" s="25"/>
    </row>
    <row r="3361" spans="1:26" ht="15.75" customHeight="1" x14ac:dyDescent="0.75">
      <c r="A3361" s="43" t="s">
        <v>518</v>
      </c>
      <c r="B3361" s="40"/>
      <c r="C3361" s="40"/>
      <c r="D3361" s="40"/>
      <c r="E3361" s="40"/>
      <c r="F3361" s="40"/>
      <c r="G3361" s="40"/>
      <c r="H3361" s="41"/>
      <c r="I3361" s="24" t="s">
        <v>418</v>
      </c>
      <c r="J3361" s="25"/>
      <c r="K3361" s="25"/>
      <c r="L3361" s="25"/>
      <c r="M3361" s="25"/>
      <c r="N3361" s="25"/>
      <c r="O3361" s="25"/>
      <c r="P3361" s="25"/>
      <c r="Q3361" s="25"/>
      <c r="R3361" s="25"/>
      <c r="S3361" s="25"/>
      <c r="T3361" s="25"/>
      <c r="U3361" s="25"/>
      <c r="V3361" s="25"/>
      <c r="W3361" s="25"/>
      <c r="X3361" s="25"/>
      <c r="Y3361" s="25"/>
      <c r="Z3361" s="25"/>
    </row>
    <row r="3362" spans="1:26" ht="15.75" customHeight="1" x14ac:dyDescent="0.55000000000000004">
      <c r="A3362" s="2" t="s">
        <v>3</v>
      </c>
      <c r="B3362" s="2" t="s">
        <v>4</v>
      </c>
      <c r="C3362" s="2" t="s">
        <v>5</v>
      </c>
      <c r="D3362" s="2" t="s">
        <v>6</v>
      </c>
      <c r="E3362" s="2" t="s">
        <v>7</v>
      </c>
      <c r="F3362" s="3" t="s">
        <v>8</v>
      </c>
      <c r="G3362" s="2" t="s">
        <v>9</v>
      </c>
      <c r="H3362" s="26"/>
      <c r="I3362" s="24" t="s">
        <v>418</v>
      </c>
      <c r="J3362" s="25"/>
      <c r="K3362" s="25"/>
      <c r="L3362" s="25"/>
      <c r="M3362" s="25"/>
      <c r="N3362" s="25"/>
      <c r="O3362" s="25"/>
      <c r="P3362" s="25"/>
      <c r="Q3362" s="25"/>
      <c r="R3362" s="25"/>
      <c r="S3362" s="25"/>
      <c r="T3362" s="25"/>
      <c r="U3362" s="25"/>
      <c r="V3362" s="25"/>
      <c r="W3362" s="25"/>
      <c r="X3362" s="25"/>
      <c r="Y3362" s="25"/>
      <c r="Z3362" s="25"/>
    </row>
    <row r="3363" spans="1:26" ht="15.75" customHeight="1" x14ac:dyDescent="0.75">
      <c r="A3363" s="5">
        <v>1</v>
      </c>
      <c r="B3363" s="27" t="s">
        <v>177</v>
      </c>
      <c r="C3363" s="28" t="s">
        <v>519</v>
      </c>
      <c r="D3363" s="27" t="s">
        <v>12</v>
      </c>
      <c r="E3363" s="27">
        <v>2</v>
      </c>
      <c r="F3363" s="8">
        <v>293000</v>
      </c>
      <c r="G3363" s="9">
        <f t="shared" ref="G3363:G3365" si="208">IFERROR(E3363*F3363,0)</f>
        <v>586000</v>
      </c>
      <c r="H3363" s="29"/>
      <c r="I3363" s="24" t="s">
        <v>418</v>
      </c>
      <c r="J3363" s="25"/>
      <c r="K3363" s="25"/>
      <c r="L3363" s="25"/>
      <c r="M3363" s="25"/>
      <c r="N3363" s="25"/>
      <c r="O3363" s="25"/>
      <c r="P3363" s="25"/>
      <c r="Q3363" s="25"/>
      <c r="R3363" s="25"/>
      <c r="S3363" s="25"/>
      <c r="T3363" s="25"/>
      <c r="U3363" s="25"/>
      <c r="V3363" s="25"/>
      <c r="W3363" s="25"/>
      <c r="X3363" s="25"/>
      <c r="Y3363" s="25"/>
      <c r="Z3363" s="25"/>
    </row>
    <row r="3364" spans="1:26" ht="15.75" customHeight="1" x14ac:dyDescent="0.75">
      <c r="A3364" s="5">
        <v>2</v>
      </c>
      <c r="B3364" s="30" t="s">
        <v>520</v>
      </c>
      <c r="C3364" s="31" t="s">
        <v>521</v>
      </c>
      <c r="D3364" s="30" t="s">
        <v>14</v>
      </c>
      <c r="E3364" s="30">
        <v>1.45</v>
      </c>
      <c r="F3364" s="11">
        <v>435000</v>
      </c>
      <c r="G3364" s="9">
        <f t="shared" si="208"/>
        <v>630750</v>
      </c>
      <c r="H3364" s="29"/>
      <c r="I3364" s="24" t="s">
        <v>418</v>
      </c>
      <c r="J3364" s="25"/>
      <c r="K3364" s="25"/>
      <c r="L3364" s="25"/>
      <c r="M3364" s="25"/>
      <c r="N3364" s="25"/>
      <c r="O3364" s="25"/>
      <c r="P3364" s="25"/>
      <c r="Q3364" s="25"/>
      <c r="R3364" s="25"/>
      <c r="S3364" s="25"/>
      <c r="T3364" s="25"/>
      <c r="U3364" s="25"/>
      <c r="V3364" s="25"/>
      <c r="W3364" s="25"/>
      <c r="X3364" s="25"/>
      <c r="Y3364" s="25"/>
      <c r="Z3364" s="25"/>
    </row>
    <row r="3365" spans="1:26" ht="15.75" customHeight="1" x14ac:dyDescent="0.75">
      <c r="A3365" s="5">
        <v>3</v>
      </c>
      <c r="B3365" s="12" t="s">
        <v>15</v>
      </c>
      <c r="C3365" s="29"/>
      <c r="D3365" s="29"/>
      <c r="E3365" s="29"/>
      <c r="F3365" s="29"/>
      <c r="G3365" s="13">
        <f t="shared" si="208"/>
        <v>0</v>
      </c>
      <c r="H3365" s="29"/>
      <c r="I3365" s="24" t="s">
        <v>418</v>
      </c>
      <c r="J3365" s="25"/>
      <c r="K3365" s="25"/>
      <c r="L3365" s="25"/>
      <c r="M3365" s="25"/>
      <c r="N3365" s="25"/>
      <c r="O3365" s="25"/>
      <c r="P3365" s="25"/>
      <c r="Q3365" s="25"/>
      <c r="R3365" s="25"/>
      <c r="S3365" s="25"/>
      <c r="T3365" s="25"/>
      <c r="U3365" s="25"/>
      <c r="V3365" s="25"/>
      <c r="W3365" s="25"/>
      <c r="X3365" s="25"/>
      <c r="Y3365" s="25"/>
      <c r="Z3365" s="25"/>
    </row>
    <row r="3366" spans="1:26" ht="15.75" customHeight="1" x14ac:dyDescent="0.75">
      <c r="A3366" s="39" t="s">
        <v>16</v>
      </c>
      <c r="B3366" s="40"/>
      <c r="C3366" s="40"/>
      <c r="D3366" s="40"/>
      <c r="E3366" s="40"/>
      <c r="F3366" s="40"/>
      <c r="G3366" s="41"/>
      <c r="H3366" s="14">
        <f>SUM(G3363:G3365)</f>
        <v>1216750</v>
      </c>
      <c r="I3366" s="24" t="s">
        <v>418</v>
      </c>
      <c r="J3366" s="25"/>
      <c r="K3366" s="25"/>
      <c r="L3366" s="25"/>
      <c r="M3366" s="25"/>
      <c r="N3366" s="25"/>
      <c r="O3366" s="25"/>
      <c r="P3366" s="25"/>
      <c r="Q3366" s="25"/>
      <c r="R3366" s="25"/>
      <c r="S3366" s="25"/>
      <c r="T3366" s="25"/>
      <c r="U3366" s="25"/>
      <c r="V3366" s="25"/>
      <c r="W3366" s="25"/>
      <c r="X3366" s="25"/>
      <c r="Y3366" s="25"/>
      <c r="Z3366" s="25"/>
    </row>
    <row r="3367" spans="1:26" ht="15.75" customHeight="1" x14ac:dyDescent="0.75">
      <c r="A3367" s="39" t="s">
        <v>17</v>
      </c>
      <c r="B3367" s="40"/>
      <c r="C3367" s="40"/>
      <c r="D3367" s="40"/>
      <c r="E3367" s="40"/>
      <c r="F3367" s="40"/>
      <c r="G3367" s="41"/>
      <c r="H3367" s="14">
        <f>MAX(0,H3366-648000)</f>
        <v>568750</v>
      </c>
      <c r="I3367" s="24" t="s">
        <v>418</v>
      </c>
      <c r="J3367" s="25"/>
      <c r="K3367" s="25"/>
      <c r="L3367" s="25"/>
      <c r="M3367" s="25"/>
      <c r="N3367" s="25"/>
      <c r="O3367" s="25"/>
      <c r="P3367" s="25"/>
      <c r="Q3367" s="25"/>
      <c r="R3367" s="25"/>
      <c r="S3367" s="25"/>
      <c r="T3367" s="25"/>
      <c r="U3367" s="25"/>
      <c r="V3367" s="25"/>
      <c r="W3367" s="25"/>
      <c r="X3367" s="25"/>
      <c r="Y3367" s="25"/>
      <c r="Z3367" s="25"/>
    </row>
    <row r="3368" spans="1:26" ht="15.75" customHeight="1" x14ac:dyDescent="0.75">
      <c r="A3368" s="42" t="s">
        <v>18</v>
      </c>
      <c r="B3368" s="40"/>
      <c r="C3368" s="40"/>
      <c r="D3368" s="40"/>
      <c r="E3368" s="40"/>
      <c r="F3368" s="40"/>
      <c r="G3368" s="41"/>
      <c r="H3368" s="15">
        <v>649000</v>
      </c>
      <c r="I3368" s="24" t="s">
        <v>418</v>
      </c>
      <c r="J3368" s="25"/>
      <c r="K3368" s="25"/>
      <c r="L3368" s="25"/>
      <c r="M3368" s="25"/>
      <c r="N3368" s="25"/>
      <c r="O3368" s="25"/>
      <c r="P3368" s="25"/>
      <c r="Q3368" s="25"/>
      <c r="R3368" s="25"/>
      <c r="S3368" s="25"/>
      <c r="T3368" s="25"/>
      <c r="U3368" s="25"/>
      <c r="V3368" s="25"/>
      <c r="W3368" s="25"/>
      <c r="X3368" s="25"/>
      <c r="Y3368" s="25"/>
      <c r="Z3368" s="25"/>
    </row>
    <row r="3369" spans="1:26" ht="15.75" customHeight="1" x14ac:dyDescent="0.75">
      <c r="A3369" s="43" t="s">
        <v>19</v>
      </c>
      <c r="B3369" s="40"/>
      <c r="C3369" s="40"/>
      <c r="D3369" s="40"/>
      <c r="E3369" s="40"/>
      <c r="F3369" s="40"/>
      <c r="G3369" s="40"/>
      <c r="H3369" s="41"/>
      <c r="I3369" s="24" t="s">
        <v>418</v>
      </c>
      <c r="J3369" s="25"/>
      <c r="K3369" s="25"/>
      <c r="L3369" s="25"/>
      <c r="M3369" s="25"/>
      <c r="N3369" s="25"/>
      <c r="O3369" s="25"/>
      <c r="P3369" s="25"/>
      <c r="Q3369" s="25"/>
      <c r="R3369" s="25"/>
      <c r="S3369" s="25"/>
      <c r="T3369" s="25"/>
      <c r="U3369" s="25"/>
      <c r="V3369" s="25"/>
      <c r="W3369" s="25"/>
      <c r="X3369" s="25"/>
      <c r="Y3369" s="25"/>
      <c r="Z3369" s="25"/>
    </row>
    <row r="3370" spans="1:26" ht="15.75" customHeight="1" x14ac:dyDescent="0.45">
      <c r="A3370" s="25"/>
      <c r="B3370" s="25"/>
      <c r="C3370" s="25"/>
      <c r="D3370" s="25"/>
      <c r="E3370" s="25"/>
      <c r="F3370" s="25"/>
      <c r="G3370" s="25"/>
      <c r="H3370" s="25"/>
      <c r="I3370" s="24" t="s">
        <v>418</v>
      </c>
      <c r="J3370" s="25"/>
      <c r="K3370" s="25"/>
      <c r="L3370" s="25"/>
      <c r="M3370" s="25"/>
      <c r="N3370" s="25"/>
      <c r="O3370" s="25"/>
      <c r="P3370" s="25"/>
      <c r="Q3370" s="25"/>
      <c r="R3370" s="25"/>
      <c r="S3370" s="25"/>
      <c r="T3370" s="25"/>
      <c r="U3370" s="25"/>
      <c r="V3370" s="25"/>
      <c r="W3370" s="25"/>
      <c r="X3370" s="25"/>
      <c r="Y3370" s="25"/>
      <c r="Z3370" s="25"/>
    </row>
    <row r="3371" spans="1:26" ht="15.75" customHeight="1" x14ac:dyDescent="0.45">
      <c r="A3371" s="25"/>
      <c r="B3371" s="25"/>
      <c r="C3371" s="25"/>
      <c r="D3371" s="25"/>
      <c r="E3371" s="25"/>
      <c r="F3371" s="25"/>
      <c r="G3371" s="25"/>
      <c r="H3371" s="25"/>
      <c r="I3371" s="24" t="s">
        <v>418</v>
      </c>
      <c r="J3371" s="25"/>
      <c r="K3371" s="25"/>
      <c r="L3371" s="25"/>
      <c r="M3371" s="25"/>
      <c r="N3371" s="25"/>
      <c r="O3371" s="25"/>
      <c r="P3371" s="25"/>
      <c r="Q3371" s="25"/>
      <c r="R3371" s="25"/>
      <c r="S3371" s="25"/>
      <c r="T3371" s="25"/>
      <c r="U3371" s="25"/>
      <c r="V3371" s="25"/>
      <c r="W3371" s="25"/>
      <c r="X3371" s="25"/>
      <c r="Y3371" s="25"/>
      <c r="Z3371" s="25"/>
    </row>
    <row r="3372" spans="1:26" ht="15.75" customHeight="1" x14ac:dyDescent="0.45">
      <c r="A3372" s="25"/>
      <c r="B3372" s="25"/>
      <c r="C3372" s="25"/>
      <c r="D3372" s="25"/>
      <c r="E3372" s="25"/>
      <c r="F3372" s="25"/>
      <c r="G3372" s="25"/>
      <c r="H3372" s="25"/>
      <c r="I3372" s="24" t="s">
        <v>418</v>
      </c>
      <c r="J3372" s="25"/>
      <c r="K3372" s="25"/>
      <c r="L3372" s="25"/>
      <c r="M3372" s="25"/>
      <c r="N3372" s="25"/>
      <c r="O3372" s="25"/>
      <c r="P3372" s="25"/>
      <c r="Q3372" s="25"/>
      <c r="R3372" s="25"/>
      <c r="S3372" s="25"/>
      <c r="T3372" s="25"/>
      <c r="U3372" s="25"/>
      <c r="V3372" s="25"/>
      <c r="W3372" s="25"/>
      <c r="X3372" s="25"/>
      <c r="Y3372" s="25"/>
      <c r="Z3372" s="25"/>
    </row>
    <row r="3373" spans="1:26" ht="15.75" customHeight="1" x14ac:dyDescent="0.45">
      <c r="A3373" s="25"/>
      <c r="B3373" s="25"/>
      <c r="C3373" s="25"/>
      <c r="D3373" s="25"/>
      <c r="E3373" s="25"/>
      <c r="F3373" s="25"/>
      <c r="G3373" s="25"/>
      <c r="H3373" s="25"/>
      <c r="I3373" s="24" t="s">
        <v>418</v>
      </c>
      <c r="J3373" s="25"/>
      <c r="K3373" s="25"/>
      <c r="L3373" s="25"/>
      <c r="M3373" s="25"/>
      <c r="N3373" s="25"/>
      <c r="O3373" s="25"/>
      <c r="P3373" s="25"/>
      <c r="Q3373" s="25"/>
      <c r="R3373" s="25"/>
      <c r="S3373" s="25"/>
      <c r="T3373" s="25"/>
      <c r="U3373" s="25"/>
      <c r="V3373" s="25"/>
      <c r="W3373" s="25"/>
      <c r="X3373" s="25"/>
      <c r="Y3373" s="25"/>
      <c r="Z3373" s="25"/>
    </row>
    <row r="3374" spans="1:26" ht="15.75" customHeight="1" x14ac:dyDescent="0.45">
      <c r="A3374" s="25"/>
      <c r="B3374" s="25"/>
      <c r="C3374" s="25"/>
      <c r="D3374" s="25"/>
      <c r="E3374" s="25"/>
      <c r="F3374" s="25"/>
      <c r="G3374" s="25"/>
      <c r="H3374" s="25"/>
      <c r="I3374" s="24" t="s">
        <v>418</v>
      </c>
      <c r="J3374" s="25"/>
      <c r="K3374" s="25"/>
      <c r="L3374" s="25"/>
      <c r="M3374" s="25"/>
      <c r="N3374" s="25"/>
      <c r="O3374" s="25"/>
      <c r="P3374" s="25"/>
      <c r="Q3374" s="25"/>
      <c r="R3374" s="25"/>
      <c r="S3374" s="25"/>
      <c r="T3374" s="25"/>
      <c r="U3374" s="25"/>
      <c r="V3374" s="25"/>
      <c r="W3374" s="25"/>
      <c r="X3374" s="25"/>
      <c r="Y3374" s="25"/>
      <c r="Z3374" s="25"/>
    </row>
    <row r="3375" spans="1:26" ht="15.75" customHeight="1" x14ac:dyDescent="0.75">
      <c r="A3375" s="43" t="s">
        <v>0</v>
      </c>
      <c r="B3375" s="40"/>
      <c r="C3375" s="40"/>
      <c r="D3375" s="40"/>
      <c r="E3375" s="40"/>
      <c r="F3375" s="40"/>
      <c r="G3375" s="40"/>
      <c r="H3375" s="41"/>
      <c r="I3375" s="24" t="s">
        <v>418</v>
      </c>
      <c r="J3375" s="25"/>
      <c r="K3375" s="25"/>
      <c r="L3375" s="25"/>
      <c r="M3375" s="25"/>
      <c r="N3375" s="25"/>
      <c r="O3375" s="25"/>
      <c r="P3375" s="25"/>
      <c r="Q3375" s="25"/>
      <c r="R3375" s="25"/>
      <c r="S3375" s="25"/>
      <c r="T3375" s="25"/>
      <c r="U3375" s="25"/>
      <c r="V3375" s="25"/>
      <c r="W3375" s="25"/>
      <c r="X3375" s="25"/>
      <c r="Y3375" s="25"/>
      <c r="Z3375" s="25"/>
    </row>
    <row r="3376" spans="1:26" ht="15.75" customHeight="1" x14ac:dyDescent="0.75">
      <c r="A3376" s="43" t="s">
        <v>522</v>
      </c>
      <c r="B3376" s="40"/>
      <c r="C3376" s="40"/>
      <c r="D3376" s="40"/>
      <c r="E3376" s="40"/>
      <c r="F3376" s="40"/>
      <c r="G3376" s="40"/>
      <c r="H3376" s="41"/>
      <c r="I3376" s="24" t="s">
        <v>418</v>
      </c>
      <c r="J3376" s="25"/>
      <c r="K3376" s="25"/>
      <c r="L3376" s="25"/>
      <c r="M3376" s="25"/>
      <c r="N3376" s="25"/>
      <c r="O3376" s="25"/>
      <c r="P3376" s="25"/>
      <c r="Q3376" s="25"/>
      <c r="R3376" s="25"/>
      <c r="S3376" s="25"/>
      <c r="T3376" s="25"/>
      <c r="U3376" s="25"/>
      <c r="V3376" s="25"/>
      <c r="W3376" s="25"/>
      <c r="X3376" s="25"/>
      <c r="Y3376" s="25"/>
      <c r="Z3376" s="25"/>
    </row>
    <row r="3377" spans="1:26" ht="15.75" customHeight="1" x14ac:dyDescent="0.55000000000000004">
      <c r="A3377" s="2" t="s">
        <v>3</v>
      </c>
      <c r="B3377" s="2" t="s">
        <v>4</v>
      </c>
      <c r="C3377" s="2" t="s">
        <v>5</v>
      </c>
      <c r="D3377" s="2" t="s">
        <v>6</v>
      </c>
      <c r="E3377" s="2" t="s">
        <v>7</v>
      </c>
      <c r="F3377" s="3" t="s">
        <v>8</v>
      </c>
      <c r="G3377" s="2" t="s">
        <v>9</v>
      </c>
      <c r="H3377" s="26"/>
      <c r="I3377" s="24" t="s">
        <v>418</v>
      </c>
      <c r="J3377" s="25"/>
      <c r="K3377" s="25"/>
      <c r="L3377" s="25"/>
      <c r="M3377" s="25"/>
      <c r="N3377" s="25"/>
      <c r="O3377" s="25"/>
      <c r="P3377" s="25"/>
      <c r="Q3377" s="25"/>
      <c r="R3377" s="25"/>
      <c r="S3377" s="25"/>
      <c r="T3377" s="25"/>
      <c r="U3377" s="25"/>
      <c r="V3377" s="25"/>
      <c r="W3377" s="25"/>
      <c r="X3377" s="25"/>
      <c r="Y3377" s="25"/>
      <c r="Z3377" s="25"/>
    </row>
    <row r="3378" spans="1:26" ht="15.75" customHeight="1" x14ac:dyDescent="0.75">
      <c r="A3378" s="5">
        <v>1</v>
      </c>
      <c r="B3378" s="27" t="s">
        <v>177</v>
      </c>
      <c r="C3378" s="28" t="s">
        <v>499</v>
      </c>
      <c r="D3378" s="27" t="s">
        <v>12</v>
      </c>
      <c r="E3378" s="27">
        <v>2</v>
      </c>
      <c r="F3378" s="8">
        <v>293000</v>
      </c>
      <c r="G3378" s="9">
        <f t="shared" ref="G3378:G3380" si="209">IFERROR(E3378*F3378,0)</f>
        <v>586000</v>
      </c>
      <c r="H3378" s="29"/>
      <c r="I3378" s="24" t="s">
        <v>418</v>
      </c>
      <c r="J3378" s="25"/>
      <c r="K3378" s="25"/>
      <c r="L3378" s="25"/>
      <c r="M3378" s="25"/>
      <c r="N3378" s="25"/>
      <c r="O3378" s="25"/>
      <c r="P3378" s="25"/>
      <c r="Q3378" s="25"/>
      <c r="R3378" s="25"/>
      <c r="S3378" s="25"/>
      <c r="T3378" s="25"/>
      <c r="U3378" s="25"/>
      <c r="V3378" s="25"/>
      <c r="W3378" s="25"/>
      <c r="X3378" s="25"/>
      <c r="Y3378" s="25"/>
      <c r="Z3378" s="25"/>
    </row>
    <row r="3379" spans="1:26" ht="15.75" customHeight="1" x14ac:dyDescent="0.75">
      <c r="A3379" s="5">
        <v>2</v>
      </c>
      <c r="B3379" s="30" t="s">
        <v>21</v>
      </c>
      <c r="C3379" s="31" t="s">
        <v>523</v>
      </c>
      <c r="D3379" s="30" t="s">
        <v>14</v>
      </c>
      <c r="E3379" s="30">
        <v>1.5</v>
      </c>
      <c r="F3379" s="11">
        <v>435000</v>
      </c>
      <c r="G3379" s="9">
        <f t="shared" si="209"/>
        <v>652500</v>
      </c>
      <c r="H3379" s="29"/>
      <c r="I3379" s="24" t="s">
        <v>418</v>
      </c>
      <c r="J3379" s="25"/>
      <c r="K3379" s="25"/>
      <c r="L3379" s="25"/>
      <c r="M3379" s="25"/>
      <c r="N3379" s="25"/>
      <c r="O3379" s="25"/>
      <c r="P3379" s="25"/>
      <c r="Q3379" s="25"/>
      <c r="R3379" s="25"/>
      <c r="S3379" s="25"/>
      <c r="T3379" s="25"/>
      <c r="U3379" s="25"/>
      <c r="V3379" s="25"/>
      <c r="W3379" s="25"/>
      <c r="X3379" s="25"/>
      <c r="Y3379" s="25"/>
      <c r="Z3379" s="25"/>
    </row>
    <row r="3380" spans="1:26" ht="15.75" customHeight="1" x14ac:dyDescent="0.75">
      <c r="A3380" s="5">
        <v>3</v>
      </c>
      <c r="B3380" s="12" t="s">
        <v>15</v>
      </c>
      <c r="C3380" s="29"/>
      <c r="D3380" s="29"/>
      <c r="E3380" s="29"/>
      <c r="F3380" s="29"/>
      <c r="G3380" s="13">
        <f t="shared" si="209"/>
        <v>0</v>
      </c>
      <c r="H3380" s="29"/>
      <c r="I3380" s="24" t="s">
        <v>418</v>
      </c>
      <c r="J3380" s="25"/>
      <c r="K3380" s="25"/>
      <c r="L3380" s="25"/>
      <c r="M3380" s="25"/>
      <c r="N3380" s="25"/>
      <c r="O3380" s="25"/>
      <c r="P3380" s="25"/>
      <c r="Q3380" s="25"/>
      <c r="R3380" s="25"/>
      <c r="S3380" s="25"/>
      <c r="T3380" s="25"/>
      <c r="U3380" s="25"/>
      <c r="V3380" s="25"/>
      <c r="W3380" s="25"/>
      <c r="X3380" s="25"/>
      <c r="Y3380" s="25"/>
      <c r="Z3380" s="25"/>
    </row>
    <row r="3381" spans="1:26" ht="15.75" customHeight="1" x14ac:dyDescent="0.75">
      <c r="A3381" s="39" t="s">
        <v>16</v>
      </c>
      <c r="B3381" s="40"/>
      <c r="C3381" s="40"/>
      <c r="D3381" s="40"/>
      <c r="E3381" s="40"/>
      <c r="F3381" s="40"/>
      <c r="G3381" s="41"/>
      <c r="H3381" s="14">
        <f>SUM(G3378:G3380)</f>
        <v>1238500</v>
      </c>
      <c r="I3381" s="24" t="s">
        <v>418</v>
      </c>
      <c r="J3381" s="25"/>
      <c r="K3381" s="25"/>
      <c r="L3381" s="25"/>
      <c r="M3381" s="25"/>
      <c r="N3381" s="25"/>
      <c r="O3381" s="25"/>
      <c r="P3381" s="25"/>
      <c r="Q3381" s="25"/>
      <c r="R3381" s="25"/>
      <c r="S3381" s="25"/>
      <c r="T3381" s="25"/>
      <c r="U3381" s="25"/>
      <c r="V3381" s="25"/>
      <c r="W3381" s="25"/>
      <c r="X3381" s="25"/>
      <c r="Y3381" s="25"/>
      <c r="Z3381" s="25"/>
    </row>
    <row r="3382" spans="1:26" ht="15.75" customHeight="1" x14ac:dyDescent="0.75">
      <c r="A3382" s="39" t="s">
        <v>17</v>
      </c>
      <c r="B3382" s="40"/>
      <c r="C3382" s="40"/>
      <c r="D3382" s="40"/>
      <c r="E3382" s="40"/>
      <c r="F3382" s="40"/>
      <c r="G3382" s="41"/>
      <c r="H3382" s="14">
        <f>MAX(0,H3381-648000)</f>
        <v>590500</v>
      </c>
      <c r="I3382" s="24" t="s">
        <v>418</v>
      </c>
      <c r="J3382" s="25"/>
      <c r="K3382" s="25"/>
      <c r="L3382" s="25"/>
      <c r="M3382" s="25"/>
      <c r="N3382" s="25"/>
      <c r="O3382" s="25"/>
      <c r="P3382" s="25"/>
      <c r="Q3382" s="25"/>
      <c r="R3382" s="25"/>
      <c r="S3382" s="25"/>
      <c r="T3382" s="25"/>
      <c r="U3382" s="25"/>
      <c r="V3382" s="25"/>
      <c r="W3382" s="25"/>
      <c r="X3382" s="25"/>
      <c r="Y3382" s="25"/>
      <c r="Z3382" s="25"/>
    </row>
    <row r="3383" spans="1:26" ht="15.75" customHeight="1" x14ac:dyDescent="0.75">
      <c r="A3383" s="42" t="s">
        <v>18</v>
      </c>
      <c r="B3383" s="40"/>
      <c r="C3383" s="40"/>
      <c r="D3383" s="40"/>
      <c r="E3383" s="40"/>
      <c r="F3383" s="40"/>
      <c r="G3383" s="41"/>
      <c r="H3383" s="15">
        <v>649000</v>
      </c>
      <c r="I3383" s="24" t="s">
        <v>418</v>
      </c>
      <c r="J3383" s="25"/>
      <c r="K3383" s="25"/>
      <c r="L3383" s="25"/>
      <c r="M3383" s="25"/>
      <c r="N3383" s="25"/>
      <c r="O3383" s="25"/>
      <c r="P3383" s="25"/>
      <c r="Q3383" s="25"/>
      <c r="R3383" s="25"/>
      <c r="S3383" s="25"/>
      <c r="T3383" s="25"/>
      <c r="U3383" s="25"/>
      <c r="V3383" s="25"/>
      <c r="W3383" s="25"/>
      <c r="X3383" s="25"/>
      <c r="Y3383" s="25"/>
      <c r="Z3383" s="25"/>
    </row>
    <row r="3384" spans="1:26" ht="15.75" customHeight="1" x14ac:dyDescent="0.75">
      <c r="A3384" s="43" t="s">
        <v>19</v>
      </c>
      <c r="B3384" s="40"/>
      <c r="C3384" s="40"/>
      <c r="D3384" s="40"/>
      <c r="E3384" s="40"/>
      <c r="F3384" s="40"/>
      <c r="G3384" s="40"/>
      <c r="H3384" s="41"/>
      <c r="I3384" s="24" t="s">
        <v>418</v>
      </c>
      <c r="J3384" s="25"/>
      <c r="K3384" s="25"/>
      <c r="L3384" s="25"/>
      <c r="M3384" s="25"/>
      <c r="N3384" s="25"/>
      <c r="O3384" s="25"/>
      <c r="P3384" s="25"/>
      <c r="Q3384" s="25"/>
      <c r="R3384" s="25"/>
      <c r="S3384" s="25"/>
      <c r="T3384" s="25"/>
      <c r="U3384" s="25"/>
      <c r="V3384" s="25"/>
      <c r="W3384" s="25"/>
      <c r="X3384" s="25"/>
      <c r="Y3384" s="25"/>
      <c r="Z3384" s="25"/>
    </row>
    <row r="3385" spans="1:26" ht="15.75" customHeight="1" x14ac:dyDescent="0.45">
      <c r="A3385" s="25"/>
      <c r="B3385" s="25"/>
      <c r="C3385" s="25"/>
      <c r="D3385" s="25"/>
      <c r="E3385" s="25"/>
      <c r="F3385" s="25"/>
      <c r="G3385" s="25"/>
      <c r="H3385" s="25"/>
      <c r="I3385" s="24" t="s">
        <v>418</v>
      </c>
      <c r="J3385" s="25"/>
      <c r="K3385" s="25"/>
      <c r="L3385" s="25"/>
      <c r="M3385" s="25"/>
      <c r="N3385" s="25"/>
      <c r="O3385" s="25"/>
      <c r="P3385" s="25"/>
      <c r="Q3385" s="25"/>
      <c r="R3385" s="25"/>
      <c r="S3385" s="25"/>
      <c r="T3385" s="25"/>
      <c r="U3385" s="25"/>
      <c r="V3385" s="25"/>
      <c r="W3385" s="25"/>
      <c r="X3385" s="25"/>
      <c r="Y3385" s="25"/>
      <c r="Z3385" s="25"/>
    </row>
    <row r="3386" spans="1:26" ht="15.75" customHeight="1" x14ac:dyDescent="0.45">
      <c r="A3386" s="25"/>
      <c r="B3386" s="25"/>
      <c r="C3386" s="25"/>
      <c r="D3386" s="25"/>
      <c r="E3386" s="25"/>
      <c r="F3386" s="25"/>
      <c r="G3386" s="25"/>
      <c r="H3386" s="25"/>
      <c r="I3386" s="24" t="s">
        <v>418</v>
      </c>
      <c r="J3386" s="25"/>
      <c r="K3386" s="25"/>
      <c r="L3386" s="25"/>
      <c r="M3386" s="25"/>
      <c r="N3386" s="25"/>
      <c r="O3386" s="25"/>
      <c r="P3386" s="25"/>
      <c r="Q3386" s="25"/>
      <c r="R3386" s="25"/>
      <c r="S3386" s="25"/>
      <c r="T3386" s="25"/>
      <c r="U3386" s="25"/>
      <c r="V3386" s="25"/>
      <c r="W3386" s="25"/>
      <c r="X3386" s="25"/>
      <c r="Y3386" s="25"/>
      <c r="Z3386" s="25"/>
    </row>
    <row r="3387" spans="1:26" ht="15.75" customHeight="1" x14ac:dyDescent="0.45">
      <c r="A3387" s="25"/>
      <c r="B3387" s="25"/>
      <c r="C3387" s="25"/>
      <c r="D3387" s="25"/>
      <c r="E3387" s="25"/>
      <c r="F3387" s="25"/>
      <c r="G3387" s="25"/>
      <c r="H3387" s="25"/>
      <c r="I3387" s="24" t="s">
        <v>418</v>
      </c>
      <c r="J3387" s="25"/>
      <c r="K3387" s="25"/>
      <c r="L3387" s="25"/>
      <c r="M3387" s="25"/>
      <c r="N3387" s="25"/>
      <c r="O3387" s="25"/>
      <c r="P3387" s="25"/>
      <c r="Q3387" s="25"/>
      <c r="R3387" s="25"/>
      <c r="S3387" s="25"/>
      <c r="T3387" s="25"/>
      <c r="U3387" s="25"/>
      <c r="V3387" s="25"/>
      <c r="W3387" s="25"/>
      <c r="X3387" s="25"/>
      <c r="Y3387" s="25"/>
      <c r="Z3387" s="25"/>
    </row>
    <row r="3388" spans="1:26" ht="15.75" customHeight="1" x14ac:dyDescent="0.45">
      <c r="A3388" s="25"/>
      <c r="B3388" s="25"/>
      <c r="C3388" s="25"/>
      <c r="D3388" s="25"/>
      <c r="E3388" s="25"/>
      <c r="F3388" s="25"/>
      <c r="G3388" s="25"/>
      <c r="H3388" s="25"/>
      <c r="I3388" s="24" t="s">
        <v>418</v>
      </c>
      <c r="J3388" s="25"/>
      <c r="K3388" s="25"/>
      <c r="L3388" s="25"/>
      <c r="M3388" s="25"/>
      <c r="N3388" s="25"/>
      <c r="O3388" s="25"/>
      <c r="P3388" s="25"/>
      <c r="Q3388" s="25"/>
      <c r="R3388" s="25"/>
      <c r="S3388" s="25"/>
      <c r="T3388" s="25"/>
      <c r="U3388" s="25"/>
      <c r="V3388" s="25"/>
      <c r="W3388" s="25"/>
      <c r="X3388" s="25"/>
      <c r="Y3388" s="25"/>
      <c r="Z3388" s="25"/>
    </row>
    <row r="3389" spans="1:26" ht="15.75" customHeight="1" x14ac:dyDescent="0.45">
      <c r="A3389" s="25"/>
      <c r="B3389" s="25"/>
      <c r="C3389" s="25"/>
      <c r="D3389" s="25"/>
      <c r="E3389" s="25"/>
      <c r="F3389" s="25"/>
      <c r="G3389" s="25"/>
      <c r="H3389" s="25"/>
      <c r="I3389" s="24" t="s">
        <v>418</v>
      </c>
      <c r="J3389" s="25"/>
      <c r="K3389" s="25"/>
      <c r="L3389" s="25"/>
      <c r="M3389" s="25"/>
      <c r="N3389" s="25"/>
      <c r="O3389" s="25"/>
      <c r="P3389" s="25"/>
      <c r="Q3389" s="25"/>
      <c r="R3389" s="25"/>
      <c r="S3389" s="25"/>
      <c r="T3389" s="25"/>
      <c r="U3389" s="25"/>
      <c r="V3389" s="25"/>
      <c r="W3389" s="25"/>
      <c r="X3389" s="25"/>
      <c r="Y3389" s="25"/>
      <c r="Z3389" s="25"/>
    </row>
    <row r="3390" spans="1:26" ht="15.75" customHeight="1" x14ac:dyDescent="0.45">
      <c r="A3390" s="25"/>
      <c r="B3390" s="25"/>
      <c r="C3390" s="25"/>
      <c r="D3390" s="25"/>
      <c r="E3390" s="25"/>
      <c r="F3390" s="25"/>
      <c r="G3390" s="25"/>
      <c r="H3390" s="25"/>
      <c r="I3390" s="24" t="s">
        <v>418</v>
      </c>
      <c r="J3390" s="25"/>
      <c r="K3390" s="25"/>
      <c r="L3390" s="25"/>
      <c r="M3390" s="25"/>
      <c r="N3390" s="25"/>
      <c r="O3390" s="25"/>
      <c r="P3390" s="25"/>
      <c r="Q3390" s="25"/>
      <c r="R3390" s="25"/>
      <c r="S3390" s="25"/>
      <c r="T3390" s="25"/>
      <c r="U3390" s="25"/>
      <c r="V3390" s="25"/>
      <c r="W3390" s="25"/>
      <c r="X3390" s="25"/>
      <c r="Y3390" s="25"/>
      <c r="Z3390" s="25"/>
    </row>
    <row r="3391" spans="1:26" ht="15.75" customHeight="1" x14ac:dyDescent="0.75">
      <c r="A3391" s="43" t="s">
        <v>0</v>
      </c>
      <c r="B3391" s="40"/>
      <c r="C3391" s="40"/>
      <c r="D3391" s="40"/>
      <c r="E3391" s="40"/>
      <c r="F3391" s="40"/>
      <c r="G3391" s="40"/>
      <c r="H3391" s="41"/>
      <c r="I3391" s="24" t="s">
        <v>418</v>
      </c>
      <c r="J3391" s="25"/>
      <c r="K3391" s="25"/>
      <c r="L3391" s="25"/>
      <c r="M3391" s="25"/>
      <c r="N3391" s="25"/>
      <c r="O3391" s="25"/>
      <c r="P3391" s="25"/>
      <c r="Q3391" s="25"/>
      <c r="R3391" s="25"/>
      <c r="S3391" s="25"/>
      <c r="T3391" s="25"/>
      <c r="U3391" s="25"/>
      <c r="V3391" s="25"/>
      <c r="W3391" s="25"/>
      <c r="X3391" s="25"/>
      <c r="Y3391" s="25"/>
      <c r="Z3391" s="25"/>
    </row>
    <row r="3392" spans="1:26" ht="15.75" customHeight="1" x14ac:dyDescent="0.75">
      <c r="A3392" s="43" t="s">
        <v>524</v>
      </c>
      <c r="B3392" s="40"/>
      <c r="C3392" s="40"/>
      <c r="D3392" s="40"/>
      <c r="E3392" s="40"/>
      <c r="F3392" s="40"/>
      <c r="G3392" s="40"/>
      <c r="H3392" s="41"/>
      <c r="I3392" s="24" t="s">
        <v>418</v>
      </c>
      <c r="J3392" s="25"/>
      <c r="K3392" s="25"/>
      <c r="L3392" s="25"/>
      <c r="M3392" s="25"/>
      <c r="N3392" s="25"/>
      <c r="O3392" s="25"/>
      <c r="P3392" s="25"/>
      <c r="Q3392" s="25"/>
      <c r="R3392" s="25"/>
      <c r="S3392" s="25"/>
      <c r="T3392" s="25"/>
      <c r="U3392" s="25"/>
      <c r="V3392" s="25"/>
      <c r="W3392" s="25"/>
      <c r="X3392" s="25"/>
      <c r="Y3392" s="25"/>
      <c r="Z3392" s="25"/>
    </row>
    <row r="3393" spans="1:26" ht="15.75" customHeight="1" x14ac:dyDescent="0.55000000000000004">
      <c r="A3393" s="2" t="s">
        <v>3</v>
      </c>
      <c r="B3393" s="2" t="s">
        <v>4</v>
      </c>
      <c r="C3393" s="2" t="s">
        <v>5</v>
      </c>
      <c r="D3393" s="2" t="s">
        <v>6</v>
      </c>
      <c r="E3393" s="2" t="s">
        <v>7</v>
      </c>
      <c r="F3393" s="3" t="s">
        <v>8</v>
      </c>
      <c r="G3393" s="2" t="s">
        <v>9</v>
      </c>
      <c r="H3393" s="26"/>
      <c r="I3393" s="24" t="s">
        <v>418</v>
      </c>
      <c r="J3393" s="25"/>
      <c r="K3393" s="25"/>
      <c r="L3393" s="25"/>
      <c r="M3393" s="25"/>
      <c r="N3393" s="25"/>
      <c r="O3393" s="25"/>
      <c r="P3393" s="25"/>
      <c r="Q3393" s="25"/>
      <c r="R3393" s="25"/>
      <c r="S3393" s="25"/>
      <c r="T3393" s="25"/>
      <c r="U3393" s="25"/>
      <c r="V3393" s="25"/>
      <c r="W3393" s="25"/>
      <c r="X3393" s="25"/>
      <c r="Y3393" s="25"/>
      <c r="Z3393" s="25"/>
    </row>
    <row r="3394" spans="1:26" ht="15.75" customHeight="1" x14ac:dyDescent="0.75">
      <c r="A3394" s="5">
        <v>1</v>
      </c>
      <c r="B3394" s="27" t="s">
        <v>525</v>
      </c>
      <c r="C3394" s="28" t="s">
        <v>526</v>
      </c>
      <c r="D3394" s="27" t="s">
        <v>12</v>
      </c>
      <c r="E3394" s="27">
        <v>0.94</v>
      </c>
      <c r="F3394" s="8">
        <v>293000</v>
      </c>
      <c r="G3394" s="9">
        <f t="shared" ref="G3394:G3396" si="210">IFERROR(E3394*F3394,0)</f>
        <v>275420</v>
      </c>
      <c r="H3394" s="29"/>
      <c r="I3394" s="24" t="s">
        <v>418</v>
      </c>
      <c r="J3394" s="25"/>
      <c r="K3394" s="25"/>
      <c r="L3394" s="25"/>
      <c r="M3394" s="25"/>
      <c r="N3394" s="25"/>
      <c r="O3394" s="25"/>
      <c r="P3394" s="25"/>
      <c r="Q3394" s="25"/>
      <c r="R3394" s="25"/>
      <c r="S3394" s="25"/>
      <c r="T3394" s="25"/>
      <c r="U3394" s="25"/>
      <c r="V3394" s="25"/>
      <c r="W3394" s="25"/>
      <c r="X3394" s="25"/>
      <c r="Y3394" s="25"/>
      <c r="Z3394" s="25"/>
    </row>
    <row r="3395" spans="1:26" ht="15.75" customHeight="1" x14ac:dyDescent="0.75">
      <c r="A3395" s="5">
        <v>2</v>
      </c>
      <c r="B3395" s="30" t="s">
        <v>70</v>
      </c>
      <c r="C3395" s="31" t="s">
        <v>527</v>
      </c>
      <c r="D3395" s="30" t="s">
        <v>14</v>
      </c>
      <c r="E3395" s="30">
        <v>2.6</v>
      </c>
      <c r="F3395" s="11">
        <v>435000</v>
      </c>
      <c r="G3395" s="9">
        <f t="shared" si="210"/>
        <v>1131000</v>
      </c>
      <c r="H3395" s="29"/>
      <c r="I3395" s="24" t="s">
        <v>418</v>
      </c>
      <c r="J3395" s="25"/>
      <c r="K3395" s="25"/>
      <c r="L3395" s="25"/>
      <c r="M3395" s="25"/>
      <c r="N3395" s="25"/>
      <c r="O3395" s="25"/>
      <c r="P3395" s="25"/>
      <c r="Q3395" s="25"/>
      <c r="R3395" s="25"/>
      <c r="S3395" s="25"/>
      <c r="T3395" s="25"/>
      <c r="U3395" s="25"/>
      <c r="V3395" s="25"/>
      <c r="W3395" s="25"/>
      <c r="X3395" s="25"/>
      <c r="Y3395" s="25"/>
      <c r="Z3395" s="25"/>
    </row>
    <row r="3396" spans="1:26" ht="15.75" customHeight="1" x14ac:dyDescent="0.75">
      <c r="A3396" s="5">
        <v>3</v>
      </c>
      <c r="B3396" s="12" t="s">
        <v>15</v>
      </c>
      <c r="C3396" s="29"/>
      <c r="D3396" s="29"/>
      <c r="E3396" s="29"/>
      <c r="F3396" s="29"/>
      <c r="G3396" s="13">
        <f t="shared" si="210"/>
        <v>0</v>
      </c>
      <c r="H3396" s="29"/>
      <c r="I3396" s="24" t="s">
        <v>418</v>
      </c>
      <c r="J3396" s="25"/>
      <c r="K3396" s="25"/>
      <c r="L3396" s="25"/>
      <c r="M3396" s="25"/>
      <c r="N3396" s="25"/>
      <c r="O3396" s="25"/>
      <c r="P3396" s="25"/>
      <c r="Q3396" s="25"/>
      <c r="R3396" s="25"/>
      <c r="S3396" s="25"/>
      <c r="T3396" s="25"/>
      <c r="U3396" s="25"/>
      <c r="V3396" s="25"/>
      <c r="W3396" s="25"/>
      <c r="X3396" s="25"/>
      <c r="Y3396" s="25"/>
      <c r="Z3396" s="25"/>
    </row>
    <row r="3397" spans="1:26" ht="15.75" customHeight="1" x14ac:dyDescent="0.75">
      <c r="A3397" s="39" t="s">
        <v>16</v>
      </c>
      <c r="B3397" s="40"/>
      <c r="C3397" s="40"/>
      <c r="D3397" s="40"/>
      <c r="E3397" s="40"/>
      <c r="F3397" s="40"/>
      <c r="G3397" s="41"/>
      <c r="H3397" s="14">
        <f>SUM(G3394:G3396)</f>
        <v>1406420</v>
      </c>
      <c r="I3397" s="24" t="s">
        <v>418</v>
      </c>
      <c r="J3397" s="25"/>
      <c r="K3397" s="25"/>
      <c r="L3397" s="25"/>
      <c r="M3397" s="25"/>
      <c r="N3397" s="25"/>
      <c r="O3397" s="25"/>
      <c r="P3397" s="25"/>
      <c r="Q3397" s="25"/>
      <c r="R3397" s="25"/>
      <c r="S3397" s="25"/>
      <c r="T3397" s="25"/>
      <c r="U3397" s="25"/>
      <c r="V3397" s="25"/>
      <c r="W3397" s="25"/>
      <c r="X3397" s="25"/>
      <c r="Y3397" s="25"/>
      <c r="Z3397" s="25"/>
    </row>
    <row r="3398" spans="1:26" ht="15.75" customHeight="1" x14ac:dyDescent="0.75">
      <c r="A3398" s="39" t="s">
        <v>17</v>
      </c>
      <c r="B3398" s="40"/>
      <c r="C3398" s="40"/>
      <c r="D3398" s="40"/>
      <c r="E3398" s="40"/>
      <c r="F3398" s="40"/>
      <c r="G3398" s="41"/>
      <c r="H3398" s="14">
        <f>MAX(0,H3397-648000)</f>
        <v>758420</v>
      </c>
      <c r="I3398" s="24" t="s">
        <v>418</v>
      </c>
      <c r="J3398" s="25"/>
      <c r="K3398" s="25"/>
      <c r="L3398" s="25"/>
      <c r="M3398" s="25"/>
      <c r="N3398" s="25"/>
      <c r="O3398" s="25"/>
      <c r="P3398" s="25"/>
      <c r="Q3398" s="25"/>
      <c r="R3398" s="25"/>
      <c r="S3398" s="25"/>
      <c r="T3398" s="25"/>
      <c r="U3398" s="25"/>
      <c r="V3398" s="25"/>
      <c r="W3398" s="25"/>
      <c r="X3398" s="25"/>
      <c r="Y3398" s="25"/>
      <c r="Z3398" s="25"/>
    </row>
    <row r="3399" spans="1:26" ht="15.75" customHeight="1" x14ac:dyDescent="0.75">
      <c r="A3399" s="42" t="s">
        <v>18</v>
      </c>
      <c r="B3399" s="40"/>
      <c r="C3399" s="40"/>
      <c r="D3399" s="40"/>
      <c r="E3399" s="40"/>
      <c r="F3399" s="40"/>
      <c r="G3399" s="41"/>
      <c r="H3399" s="15">
        <v>649000</v>
      </c>
      <c r="I3399" s="24" t="s">
        <v>418</v>
      </c>
      <c r="J3399" s="25"/>
      <c r="K3399" s="25"/>
      <c r="L3399" s="25"/>
      <c r="M3399" s="25"/>
      <c r="N3399" s="25"/>
      <c r="O3399" s="25"/>
      <c r="P3399" s="25"/>
      <c r="Q3399" s="25"/>
      <c r="R3399" s="25"/>
      <c r="S3399" s="25"/>
      <c r="T3399" s="25"/>
      <c r="U3399" s="25"/>
      <c r="V3399" s="25"/>
      <c r="W3399" s="25"/>
      <c r="X3399" s="25"/>
      <c r="Y3399" s="25"/>
      <c r="Z3399" s="25"/>
    </row>
    <row r="3400" spans="1:26" ht="15.75" customHeight="1" x14ac:dyDescent="0.75">
      <c r="A3400" s="43" t="s">
        <v>19</v>
      </c>
      <c r="B3400" s="40"/>
      <c r="C3400" s="40"/>
      <c r="D3400" s="40"/>
      <c r="E3400" s="40"/>
      <c r="F3400" s="40"/>
      <c r="G3400" s="40"/>
      <c r="H3400" s="41"/>
      <c r="I3400" s="24" t="s">
        <v>418</v>
      </c>
      <c r="J3400" s="25"/>
      <c r="K3400" s="25"/>
      <c r="L3400" s="25"/>
      <c r="M3400" s="25"/>
      <c r="N3400" s="25"/>
      <c r="O3400" s="25"/>
      <c r="P3400" s="25"/>
      <c r="Q3400" s="25"/>
      <c r="R3400" s="25"/>
      <c r="S3400" s="25"/>
      <c r="T3400" s="25"/>
      <c r="U3400" s="25"/>
      <c r="V3400" s="25"/>
      <c r="W3400" s="25"/>
      <c r="X3400" s="25"/>
      <c r="Y3400" s="25"/>
      <c r="Z3400" s="25"/>
    </row>
    <row r="3401" spans="1:26" ht="15.75" customHeight="1" x14ac:dyDescent="0.45">
      <c r="A3401" s="25"/>
      <c r="B3401" s="25"/>
      <c r="C3401" s="25"/>
      <c r="D3401" s="25"/>
      <c r="E3401" s="25"/>
      <c r="F3401" s="25"/>
      <c r="G3401" s="25"/>
      <c r="H3401" s="25"/>
      <c r="I3401" s="24" t="s">
        <v>418</v>
      </c>
      <c r="J3401" s="25"/>
      <c r="K3401" s="25"/>
      <c r="L3401" s="25"/>
      <c r="M3401" s="25"/>
      <c r="N3401" s="25"/>
      <c r="O3401" s="25"/>
      <c r="P3401" s="25"/>
      <c r="Q3401" s="25"/>
      <c r="R3401" s="25"/>
      <c r="S3401" s="25"/>
      <c r="T3401" s="25"/>
      <c r="U3401" s="25"/>
      <c r="V3401" s="25"/>
      <c r="W3401" s="25"/>
      <c r="X3401" s="25"/>
      <c r="Y3401" s="25"/>
      <c r="Z3401" s="25"/>
    </row>
    <row r="3402" spans="1:26" ht="15.75" customHeight="1" x14ac:dyDescent="0.45">
      <c r="A3402" s="25"/>
      <c r="B3402" s="25"/>
      <c r="C3402" s="25"/>
      <c r="D3402" s="25"/>
      <c r="E3402" s="25"/>
      <c r="F3402" s="25"/>
      <c r="G3402" s="25"/>
      <c r="H3402" s="25"/>
      <c r="I3402" s="24" t="s">
        <v>418</v>
      </c>
      <c r="J3402" s="25"/>
      <c r="K3402" s="25"/>
      <c r="L3402" s="25"/>
      <c r="M3402" s="25"/>
      <c r="N3402" s="25"/>
      <c r="O3402" s="25"/>
      <c r="P3402" s="25"/>
      <c r="Q3402" s="25"/>
      <c r="R3402" s="25"/>
      <c r="S3402" s="25"/>
      <c r="T3402" s="25"/>
      <c r="U3402" s="25"/>
      <c r="V3402" s="25"/>
      <c r="W3402" s="25"/>
      <c r="X3402" s="25"/>
      <c r="Y3402" s="25"/>
      <c r="Z3402" s="25"/>
    </row>
    <row r="3403" spans="1:26" ht="15.75" customHeight="1" x14ac:dyDescent="0.45">
      <c r="A3403" s="25"/>
      <c r="B3403" s="25"/>
      <c r="C3403" s="25"/>
      <c r="D3403" s="25"/>
      <c r="E3403" s="25"/>
      <c r="F3403" s="25"/>
      <c r="G3403" s="25"/>
      <c r="H3403" s="25"/>
      <c r="I3403" s="24" t="s">
        <v>418</v>
      </c>
      <c r="J3403" s="25"/>
      <c r="K3403" s="25"/>
      <c r="L3403" s="25"/>
      <c r="M3403" s="25"/>
      <c r="N3403" s="25"/>
      <c r="O3403" s="25"/>
      <c r="P3403" s="25"/>
      <c r="Q3403" s="25"/>
      <c r="R3403" s="25"/>
      <c r="S3403" s="25"/>
      <c r="T3403" s="25"/>
      <c r="U3403" s="25"/>
      <c r="V3403" s="25"/>
      <c r="W3403" s="25"/>
      <c r="X3403" s="25"/>
      <c r="Y3403" s="25"/>
      <c r="Z3403" s="25"/>
    </row>
    <row r="3404" spans="1:26" ht="15.75" customHeight="1" x14ac:dyDescent="0.45">
      <c r="A3404" s="25"/>
      <c r="B3404" s="25"/>
      <c r="C3404" s="25"/>
      <c r="D3404" s="25"/>
      <c r="E3404" s="25"/>
      <c r="F3404" s="25"/>
      <c r="G3404" s="25"/>
      <c r="H3404" s="25"/>
      <c r="I3404" s="24" t="s">
        <v>418</v>
      </c>
      <c r="J3404" s="25"/>
      <c r="K3404" s="25"/>
      <c r="L3404" s="25"/>
      <c r="M3404" s="25"/>
      <c r="N3404" s="25"/>
      <c r="O3404" s="25"/>
      <c r="P3404" s="25"/>
      <c r="Q3404" s="25"/>
      <c r="R3404" s="25"/>
      <c r="S3404" s="25"/>
      <c r="T3404" s="25"/>
      <c r="U3404" s="25"/>
      <c r="V3404" s="25"/>
      <c r="W3404" s="25"/>
      <c r="X3404" s="25"/>
      <c r="Y3404" s="25"/>
      <c r="Z3404" s="25"/>
    </row>
    <row r="3405" spans="1:26" ht="15.75" customHeight="1" x14ac:dyDescent="0.45">
      <c r="A3405" s="25"/>
      <c r="B3405" s="25"/>
      <c r="C3405" s="25"/>
      <c r="D3405" s="25"/>
      <c r="E3405" s="25"/>
      <c r="F3405" s="25"/>
      <c r="G3405" s="25"/>
      <c r="H3405" s="25"/>
      <c r="I3405" s="24" t="s">
        <v>418</v>
      </c>
      <c r="J3405" s="25"/>
      <c r="K3405" s="25"/>
      <c r="L3405" s="25"/>
      <c r="M3405" s="25"/>
      <c r="N3405" s="25"/>
      <c r="O3405" s="25"/>
      <c r="P3405" s="25"/>
      <c r="Q3405" s="25"/>
      <c r="R3405" s="25"/>
      <c r="S3405" s="25"/>
      <c r="T3405" s="25"/>
      <c r="U3405" s="25"/>
      <c r="V3405" s="25"/>
      <c r="W3405" s="25"/>
      <c r="X3405" s="25"/>
      <c r="Y3405" s="25"/>
      <c r="Z3405" s="25"/>
    </row>
    <row r="3406" spans="1:26" ht="15.75" customHeight="1" x14ac:dyDescent="0.45">
      <c r="A3406" s="25"/>
      <c r="B3406" s="25"/>
      <c r="C3406" s="25"/>
      <c r="D3406" s="25"/>
      <c r="E3406" s="25"/>
      <c r="F3406" s="25"/>
      <c r="G3406" s="25"/>
      <c r="H3406" s="25"/>
      <c r="I3406" s="24" t="s">
        <v>418</v>
      </c>
      <c r="J3406" s="25"/>
      <c r="K3406" s="25"/>
      <c r="L3406" s="25"/>
      <c r="M3406" s="25"/>
      <c r="N3406" s="25"/>
      <c r="O3406" s="25"/>
      <c r="P3406" s="25"/>
      <c r="Q3406" s="25"/>
      <c r="R3406" s="25"/>
      <c r="S3406" s="25"/>
      <c r="T3406" s="25"/>
      <c r="U3406" s="25"/>
      <c r="V3406" s="25"/>
      <c r="W3406" s="25"/>
      <c r="X3406" s="25"/>
      <c r="Y3406" s="25"/>
      <c r="Z3406" s="25"/>
    </row>
    <row r="3407" spans="1:26" ht="15.75" customHeight="1" x14ac:dyDescent="0.75">
      <c r="A3407" s="43" t="s">
        <v>0</v>
      </c>
      <c r="B3407" s="40"/>
      <c r="C3407" s="40"/>
      <c r="D3407" s="40"/>
      <c r="E3407" s="40"/>
      <c r="F3407" s="40"/>
      <c r="G3407" s="40"/>
      <c r="H3407" s="41"/>
      <c r="I3407" s="24" t="s">
        <v>418</v>
      </c>
      <c r="J3407" s="25"/>
      <c r="K3407" s="25"/>
      <c r="L3407" s="25"/>
      <c r="M3407" s="25"/>
      <c r="N3407" s="25"/>
      <c r="O3407" s="25"/>
      <c r="P3407" s="25"/>
      <c r="Q3407" s="25"/>
      <c r="R3407" s="25"/>
      <c r="S3407" s="25"/>
      <c r="T3407" s="25"/>
      <c r="U3407" s="25"/>
      <c r="V3407" s="25"/>
      <c r="W3407" s="25"/>
      <c r="X3407" s="25"/>
      <c r="Y3407" s="25"/>
      <c r="Z3407" s="25"/>
    </row>
    <row r="3408" spans="1:26" ht="15.75" customHeight="1" x14ac:dyDescent="0.75">
      <c r="A3408" s="43" t="s">
        <v>528</v>
      </c>
      <c r="B3408" s="40"/>
      <c r="C3408" s="40"/>
      <c r="D3408" s="40"/>
      <c r="E3408" s="40"/>
      <c r="F3408" s="40"/>
      <c r="G3408" s="40"/>
      <c r="H3408" s="41"/>
      <c r="I3408" s="24" t="s">
        <v>418</v>
      </c>
      <c r="J3408" s="25"/>
      <c r="K3408" s="25"/>
      <c r="L3408" s="25"/>
      <c r="M3408" s="25"/>
      <c r="N3408" s="25"/>
      <c r="O3408" s="25"/>
      <c r="P3408" s="25"/>
      <c r="Q3408" s="25"/>
      <c r="R3408" s="25"/>
      <c r="S3408" s="25"/>
      <c r="T3408" s="25"/>
      <c r="U3408" s="25"/>
      <c r="V3408" s="25"/>
      <c r="W3408" s="25"/>
      <c r="X3408" s="25"/>
      <c r="Y3408" s="25"/>
      <c r="Z3408" s="25"/>
    </row>
    <row r="3409" spans="1:26" ht="15.75" customHeight="1" x14ac:dyDescent="0.55000000000000004">
      <c r="A3409" s="2" t="s">
        <v>3</v>
      </c>
      <c r="B3409" s="2" t="s">
        <v>4</v>
      </c>
      <c r="C3409" s="2" t="s">
        <v>5</v>
      </c>
      <c r="D3409" s="2" t="s">
        <v>6</v>
      </c>
      <c r="E3409" s="2" t="s">
        <v>7</v>
      </c>
      <c r="F3409" s="3" t="s">
        <v>8</v>
      </c>
      <c r="G3409" s="2" t="s">
        <v>9</v>
      </c>
      <c r="H3409" s="26"/>
      <c r="I3409" s="24" t="s">
        <v>418</v>
      </c>
      <c r="J3409" s="25"/>
      <c r="K3409" s="25"/>
      <c r="L3409" s="25"/>
      <c r="M3409" s="25"/>
      <c r="N3409" s="25"/>
      <c r="O3409" s="25"/>
      <c r="P3409" s="25"/>
      <c r="Q3409" s="25"/>
      <c r="R3409" s="25"/>
      <c r="S3409" s="25"/>
      <c r="T3409" s="25"/>
      <c r="U3409" s="25"/>
      <c r="V3409" s="25"/>
      <c r="W3409" s="25"/>
      <c r="X3409" s="25"/>
      <c r="Y3409" s="25"/>
      <c r="Z3409" s="25"/>
    </row>
    <row r="3410" spans="1:26" ht="15.75" customHeight="1" x14ac:dyDescent="0.75">
      <c r="A3410" s="5">
        <v>1</v>
      </c>
      <c r="B3410" s="27" t="s">
        <v>35</v>
      </c>
      <c r="C3410" s="28" t="s">
        <v>529</v>
      </c>
      <c r="D3410" s="27" t="s">
        <v>12</v>
      </c>
      <c r="E3410" s="27">
        <v>1.93</v>
      </c>
      <c r="F3410" s="8">
        <v>293000</v>
      </c>
      <c r="G3410" s="9">
        <f t="shared" ref="G3410:G3412" si="211">IFERROR(E3410*F3410,0)</f>
        <v>565490</v>
      </c>
      <c r="H3410" s="29"/>
      <c r="I3410" s="24" t="s">
        <v>418</v>
      </c>
      <c r="J3410" s="25"/>
      <c r="K3410" s="25"/>
      <c r="L3410" s="25"/>
      <c r="M3410" s="25"/>
      <c r="N3410" s="25"/>
      <c r="O3410" s="25"/>
      <c r="P3410" s="25"/>
      <c r="Q3410" s="25"/>
      <c r="R3410" s="25"/>
      <c r="S3410" s="25"/>
      <c r="T3410" s="25"/>
      <c r="U3410" s="25"/>
      <c r="V3410" s="25"/>
      <c r="W3410" s="25"/>
      <c r="X3410" s="25"/>
      <c r="Y3410" s="25"/>
      <c r="Z3410" s="25"/>
    </row>
    <row r="3411" spans="1:26" ht="15.75" customHeight="1" x14ac:dyDescent="0.75">
      <c r="A3411" s="5">
        <v>2</v>
      </c>
      <c r="B3411" s="30" t="s">
        <v>530</v>
      </c>
      <c r="C3411" s="31" t="s">
        <v>531</v>
      </c>
      <c r="D3411" s="30" t="s">
        <v>14</v>
      </c>
      <c r="E3411" s="30">
        <v>1.25</v>
      </c>
      <c r="F3411" s="11">
        <v>435000</v>
      </c>
      <c r="G3411" s="9">
        <f t="shared" si="211"/>
        <v>543750</v>
      </c>
      <c r="H3411" s="29"/>
      <c r="I3411" s="24" t="s">
        <v>418</v>
      </c>
      <c r="J3411" s="25"/>
      <c r="K3411" s="25"/>
      <c r="L3411" s="25"/>
      <c r="M3411" s="25"/>
      <c r="N3411" s="25"/>
      <c r="O3411" s="25"/>
      <c r="P3411" s="25"/>
      <c r="Q3411" s="25"/>
      <c r="R3411" s="25"/>
      <c r="S3411" s="25"/>
      <c r="T3411" s="25"/>
      <c r="U3411" s="25"/>
      <c r="V3411" s="25"/>
      <c r="W3411" s="25"/>
      <c r="X3411" s="25"/>
      <c r="Y3411" s="25"/>
      <c r="Z3411" s="25"/>
    </row>
    <row r="3412" spans="1:26" ht="15.75" customHeight="1" x14ac:dyDescent="0.75">
      <c r="A3412" s="5">
        <v>3</v>
      </c>
      <c r="B3412" s="12" t="s">
        <v>15</v>
      </c>
      <c r="C3412" s="29"/>
      <c r="D3412" s="29"/>
      <c r="E3412" s="29"/>
      <c r="F3412" s="29"/>
      <c r="G3412" s="13">
        <f t="shared" si="211"/>
        <v>0</v>
      </c>
      <c r="H3412" s="29"/>
      <c r="I3412" s="24" t="s">
        <v>418</v>
      </c>
      <c r="J3412" s="25"/>
      <c r="K3412" s="25"/>
      <c r="L3412" s="25"/>
      <c r="M3412" s="25"/>
      <c r="N3412" s="25"/>
      <c r="O3412" s="25"/>
      <c r="P3412" s="25"/>
      <c r="Q3412" s="25"/>
      <c r="R3412" s="25"/>
      <c r="S3412" s="25"/>
      <c r="T3412" s="25"/>
      <c r="U3412" s="25"/>
      <c r="V3412" s="25"/>
      <c r="W3412" s="25"/>
      <c r="X3412" s="25"/>
      <c r="Y3412" s="25"/>
      <c r="Z3412" s="25"/>
    </row>
    <row r="3413" spans="1:26" ht="15.75" customHeight="1" x14ac:dyDescent="0.75">
      <c r="A3413" s="39" t="s">
        <v>16</v>
      </c>
      <c r="B3413" s="40"/>
      <c r="C3413" s="40"/>
      <c r="D3413" s="40"/>
      <c r="E3413" s="40"/>
      <c r="F3413" s="40"/>
      <c r="G3413" s="41"/>
      <c r="H3413" s="14">
        <f>SUM(G3410:G3412)</f>
        <v>1109240</v>
      </c>
      <c r="I3413" s="24" t="s">
        <v>418</v>
      </c>
      <c r="J3413" s="25"/>
      <c r="K3413" s="25"/>
      <c r="L3413" s="25"/>
      <c r="M3413" s="25"/>
      <c r="N3413" s="25"/>
      <c r="O3413" s="25"/>
      <c r="P3413" s="25"/>
      <c r="Q3413" s="25"/>
      <c r="R3413" s="25"/>
      <c r="S3413" s="25"/>
      <c r="T3413" s="25"/>
      <c r="U3413" s="25"/>
      <c r="V3413" s="25"/>
      <c r="W3413" s="25"/>
      <c r="X3413" s="25"/>
      <c r="Y3413" s="25"/>
      <c r="Z3413" s="25"/>
    </row>
    <row r="3414" spans="1:26" ht="15.75" customHeight="1" x14ac:dyDescent="0.75">
      <c r="A3414" s="39" t="s">
        <v>17</v>
      </c>
      <c r="B3414" s="40"/>
      <c r="C3414" s="40"/>
      <c r="D3414" s="40"/>
      <c r="E3414" s="40"/>
      <c r="F3414" s="40"/>
      <c r="G3414" s="41"/>
      <c r="H3414" s="14">
        <f>MAX(0,H3413-648000)</f>
        <v>461240</v>
      </c>
      <c r="I3414" s="24" t="s">
        <v>418</v>
      </c>
      <c r="J3414" s="25"/>
      <c r="K3414" s="25"/>
      <c r="L3414" s="25"/>
      <c r="M3414" s="25"/>
      <c r="N3414" s="25"/>
      <c r="O3414" s="25"/>
      <c r="P3414" s="25"/>
      <c r="Q3414" s="25"/>
      <c r="R3414" s="25"/>
      <c r="S3414" s="25"/>
      <c r="T3414" s="25"/>
      <c r="U3414" s="25"/>
      <c r="V3414" s="25"/>
      <c r="W3414" s="25"/>
      <c r="X3414" s="25"/>
      <c r="Y3414" s="25"/>
      <c r="Z3414" s="25"/>
    </row>
    <row r="3415" spans="1:26" ht="15.75" customHeight="1" x14ac:dyDescent="0.75">
      <c r="A3415" s="42" t="s">
        <v>18</v>
      </c>
      <c r="B3415" s="40"/>
      <c r="C3415" s="40"/>
      <c r="D3415" s="40"/>
      <c r="E3415" s="40"/>
      <c r="F3415" s="40"/>
      <c r="G3415" s="41"/>
      <c r="H3415" s="15">
        <v>649000</v>
      </c>
      <c r="I3415" s="24" t="s">
        <v>418</v>
      </c>
      <c r="J3415" s="25"/>
      <c r="K3415" s="25"/>
      <c r="L3415" s="25"/>
      <c r="M3415" s="25"/>
      <c r="N3415" s="25"/>
      <c r="O3415" s="25"/>
      <c r="P3415" s="25"/>
      <c r="Q3415" s="25"/>
      <c r="R3415" s="25"/>
      <c r="S3415" s="25"/>
      <c r="T3415" s="25"/>
      <c r="U3415" s="25"/>
      <c r="V3415" s="25"/>
      <c r="W3415" s="25"/>
      <c r="X3415" s="25"/>
      <c r="Y3415" s="25"/>
      <c r="Z3415" s="25"/>
    </row>
    <row r="3416" spans="1:26" ht="15.75" customHeight="1" x14ac:dyDescent="0.75">
      <c r="A3416" s="43" t="s">
        <v>19</v>
      </c>
      <c r="B3416" s="40"/>
      <c r="C3416" s="40"/>
      <c r="D3416" s="40"/>
      <c r="E3416" s="40"/>
      <c r="F3416" s="40"/>
      <c r="G3416" s="40"/>
      <c r="H3416" s="41"/>
      <c r="I3416" s="24" t="s">
        <v>418</v>
      </c>
      <c r="J3416" s="25"/>
      <c r="K3416" s="25"/>
      <c r="L3416" s="25"/>
      <c r="M3416" s="25"/>
      <c r="N3416" s="25"/>
      <c r="O3416" s="25"/>
      <c r="P3416" s="25"/>
      <c r="Q3416" s="25"/>
      <c r="R3416" s="25"/>
      <c r="S3416" s="25"/>
      <c r="T3416" s="25"/>
      <c r="U3416" s="25"/>
      <c r="V3416" s="25"/>
      <c r="W3416" s="25"/>
      <c r="X3416" s="25"/>
      <c r="Y3416" s="25"/>
      <c r="Z3416" s="25"/>
    </row>
    <row r="3417" spans="1:26" ht="15.75" customHeight="1" x14ac:dyDescent="0.45">
      <c r="A3417" s="25"/>
      <c r="B3417" s="25"/>
      <c r="C3417" s="25"/>
      <c r="D3417" s="25"/>
      <c r="E3417" s="25"/>
      <c r="F3417" s="25"/>
      <c r="G3417" s="25"/>
      <c r="H3417" s="25"/>
      <c r="I3417" s="24" t="s">
        <v>418</v>
      </c>
      <c r="J3417" s="25"/>
      <c r="K3417" s="25"/>
      <c r="L3417" s="25"/>
      <c r="M3417" s="25"/>
      <c r="N3417" s="25"/>
      <c r="O3417" s="25"/>
      <c r="P3417" s="25"/>
      <c r="Q3417" s="25"/>
      <c r="R3417" s="25"/>
      <c r="S3417" s="25"/>
      <c r="T3417" s="25"/>
      <c r="U3417" s="25"/>
      <c r="V3417" s="25"/>
      <c r="W3417" s="25"/>
      <c r="X3417" s="25"/>
      <c r="Y3417" s="25"/>
      <c r="Z3417" s="25"/>
    </row>
    <row r="3418" spans="1:26" ht="15.75" customHeight="1" x14ac:dyDescent="0.45">
      <c r="A3418" s="25"/>
      <c r="B3418" s="25"/>
      <c r="C3418" s="25"/>
      <c r="D3418" s="25"/>
      <c r="E3418" s="25"/>
      <c r="F3418" s="25"/>
      <c r="G3418" s="25"/>
      <c r="H3418" s="25"/>
      <c r="I3418" s="24" t="s">
        <v>418</v>
      </c>
      <c r="J3418" s="25"/>
      <c r="K3418" s="25"/>
      <c r="L3418" s="25"/>
      <c r="M3418" s="25"/>
      <c r="N3418" s="25"/>
      <c r="O3418" s="25"/>
      <c r="P3418" s="25"/>
      <c r="Q3418" s="25"/>
      <c r="R3418" s="25"/>
      <c r="S3418" s="25"/>
      <c r="T3418" s="25"/>
      <c r="U3418" s="25"/>
      <c r="V3418" s="25"/>
      <c r="W3418" s="25"/>
      <c r="X3418" s="25"/>
      <c r="Y3418" s="25"/>
      <c r="Z3418" s="25"/>
    </row>
    <row r="3419" spans="1:26" ht="15.75" customHeight="1" x14ac:dyDescent="0.45">
      <c r="A3419" s="25"/>
      <c r="B3419" s="25"/>
      <c r="C3419" s="25"/>
      <c r="D3419" s="25"/>
      <c r="E3419" s="25"/>
      <c r="F3419" s="25"/>
      <c r="G3419" s="25"/>
      <c r="H3419" s="25"/>
      <c r="I3419" s="24" t="s">
        <v>418</v>
      </c>
      <c r="J3419" s="25"/>
      <c r="K3419" s="25"/>
      <c r="L3419" s="25"/>
      <c r="M3419" s="25"/>
      <c r="N3419" s="25"/>
      <c r="O3419" s="25"/>
      <c r="P3419" s="25"/>
      <c r="Q3419" s="25"/>
      <c r="R3419" s="25"/>
      <c r="S3419" s="25"/>
      <c r="T3419" s="25"/>
      <c r="U3419" s="25"/>
      <c r="V3419" s="25"/>
      <c r="W3419" s="25"/>
      <c r="X3419" s="25"/>
      <c r="Y3419" s="25"/>
      <c r="Z3419" s="25"/>
    </row>
    <row r="3420" spans="1:26" ht="15.75" customHeight="1" x14ac:dyDescent="0.45">
      <c r="A3420" s="25"/>
      <c r="B3420" s="25"/>
      <c r="C3420" s="25"/>
      <c r="D3420" s="25"/>
      <c r="E3420" s="25"/>
      <c r="F3420" s="25"/>
      <c r="G3420" s="25"/>
      <c r="H3420" s="25"/>
      <c r="I3420" s="24" t="s">
        <v>418</v>
      </c>
      <c r="J3420" s="25"/>
      <c r="K3420" s="25"/>
      <c r="L3420" s="25"/>
      <c r="M3420" s="25"/>
      <c r="N3420" s="25"/>
      <c r="O3420" s="25"/>
      <c r="P3420" s="25"/>
      <c r="Q3420" s="25"/>
      <c r="R3420" s="25"/>
      <c r="S3420" s="25"/>
      <c r="T3420" s="25"/>
      <c r="U3420" s="25"/>
      <c r="V3420" s="25"/>
      <c r="W3420" s="25"/>
      <c r="X3420" s="25"/>
      <c r="Y3420" s="25"/>
      <c r="Z3420" s="25"/>
    </row>
    <row r="3421" spans="1:26" ht="15.75" customHeight="1" x14ac:dyDescent="0.45">
      <c r="A3421" s="25"/>
      <c r="B3421" s="25"/>
      <c r="C3421" s="25"/>
      <c r="D3421" s="25"/>
      <c r="E3421" s="25"/>
      <c r="F3421" s="25"/>
      <c r="G3421" s="25"/>
      <c r="H3421" s="25"/>
      <c r="I3421" s="24" t="s">
        <v>418</v>
      </c>
      <c r="J3421" s="25"/>
      <c r="K3421" s="25"/>
      <c r="L3421" s="25"/>
      <c r="M3421" s="25"/>
      <c r="N3421" s="25"/>
      <c r="O3421" s="25"/>
      <c r="P3421" s="25"/>
      <c r="Q3421" s="25"/>
      <c r="R3421" s="25"/>
      <c r="S3421" s="25"/>
      <c r="T3421" s="25"/>
      <c r="U3421" s="25"/>
      <c r="V3421" s="25"/>
      <c r="W3421" s="25"/>
      <c r="X3421" s="25"/>
      <c r="Y3421" s="25"/>
      <c r="Z3421" s="25"/>
    </row>
    <row r="3422" spans="1:26" ht="15.75" customHeight="1" x14ac:dyDescent="0.45">
      <c r="A3422" s="25"/>
      <c r="B3422" s="25"/>
      <c r="C3422" s="25"/>
      <c r="D3422" s="25"/>
      <c r="E3422" s="25"/>
      <c r="F3422" s="25"/>
      <c r="G3422" s="25"/>
      <c r="H3422" s="25"/>
      <c r="I3422" s="24" t="s">
        <v>418</v>
      </c>
      <c r="J3422" s="25"/>
      <c r="K3422" s="25"/>
      <c r="L3422" s="25"/>
      <c r="M3422" s="25"/>
      <c r="N3422" s="25"/>
      <c r="O3422" s="25"/>
      <c r="P3422" s="25"/>
      <c r="Q3422" s="25"/>
      <c r="R3422" s="25"/>
      <c r="S3422" s="25"/>
      <c r="T3422" s="25"/>
      <c r="U3422" s="25"/>
      <c r="V3422" s="25"/>
      <c r="W3422" s="25"/>
      <c r="X3422" s="25"/>
      <c r="Y3422" s="25"/>
      <c r="Z3422" s="25"/>
    </row>
    <row r="3423" spans="1:26" ht="15.75" customHeight="1" x14ac:dyDescent="0.75">
      <c r="A3423" s="43" t="s">
        <v>0</v>
      </c>
      <c r="B3423" s="40"/>
      <c r="C3423" s="40"/>
      <c r="D3423" s="40"/>
      <c r="E3423" s="40"/>
      <c r="F3423" s="40"/>
      <c r="G3423" s="40"/>
      <c r="H3423" s="41"/>
      <c r="I3423" s="24" t="s">
        <v>418</v>
      </c>
      <c r="J3423" s="25"/>
      <c r="K3423" s="25"/>
      <c r="L3423" s="25"/>
      <c r="M3423" s="25"/>
      <c r="N3423" s="25"/>
      <c r="O3423" s="25"/>
      <c r="P3423" s="25"/>
      <c r="Q3423" s="25"/>
      <c r="R3423" s="25"/>
      <c r="S3423" s="25"/>
      <c r="T3423" s="25"/>
      <c r="U3423" s="25"/>
      <c r="V3423" s="25"/>
      <c r="W3423" s="25"/>
      <c r="X3423" s="25"/>
      <c r="Y3423" s="25"/>
      <c r="Z3423" s="25"/>
    </row>
    <row r="3424" spans="1:26" ht="15.75" customHeight="1" x14ac:dyDescent="0.75">
      <c r="A3424" s="43" t="s">
        <v>532</v>
      </c>
      <c r="B3424" s="40"/>
      <c r="C3424" s="40"/>
      <c r="D3424" s="40"/>
      <c r="E3424" s="40"/>
      <c r="F3424" s="40"/>
      <c r="G3424" s="40"/>
      <c r="H3424" s="41"/>
      <c r="I3424" s="24" t="s">
        <v>418</v>
      </c>
      <c r="J3424" s="25"/>
      <c r="K3424" s="25"/>
      <c r="L3424" s="25"/>
      <c r="M3424" s="25"/>
      <c r="N3424" s="25"/>
      <c r="O3424" s="25"/>
      <c r="P3424" s="25"/>
      <c r="Q3424" s="25"/>
      <c r="R3424" s="25"/>
      <c r="S3424" s="25"/>
      <c r="T3424" s="25"/>
      <c r="U3424" s="25"/>
      <c r="V3424" s="25"/>
      <c r="W3424" s="25"/>
      <c r="X3424" s="25"/>
      <c r="Y3424" s="25"/>
      <c r="Z3424" s="25"/>
    </row>
    <row r="3425" spans="1:26" ht="15.75" customHeight="1" x14ac:dyDescent="0.55000000000000004">
      <c r="A3425" s="2" t="s">
        <v>3</v>
      </c>
      <c r="B3425" s="2" t="s">
        <v>4</v>
      </c>
      <c r="C3425" s="2" t="s">
        <v>5</v>
      </c>
      <c r="D3425" s="2" t="s">
        <v>6</v>
      </c>
      <c r="E3425" s="2" t="s">
        <v>7</v>
      </c>
      <c r="F3425" s="3" t="s">
        <v>8</v>
      </c>
      <c r="G3425" s="2" t="s">
        <v>9</v>
      </c>
      <c r="H3425" s="26"/>
      <c r="I3425" s="24" t="s">
        <v>418</v>
      </c>
      <c r="J3425" s="25"/>
      <c r="K3425" s="25"/>
      <c r="L3425" s="25"/>
      <c r="M3425" s="25"/>
      <c r="N3425" s="25"/>
      <c r="O3425" s="25"/>
      <c r="P3425" s="25"/>
      <c r="Q3425" s="25"/>
      <c r="R3425" s="25"/>
      <c r="S3425" s="25"/>
      <c r="T3425" s="25"/>
      <c r="U3425" s="25"/>
      <c r="V3425" s="25"/>
      <c r="W3425" s="25"/>
      <c r="X3425" s="25"/>
      <c r="Y3425" s="25"/>
      <c r="Z3425" s="25"/>
    </row>
    <row r="3426" spans="1:26" ht="15.75" customHeight="1" x14ac:dyDescent="0.75">
      <c r="A3426" s="5">
        <v>1</v>
      </c>
      <c r="B3426" s="27" t="s">
        <v>27</v>
      </c>
      <c r="C3426" s="28" t="s">
        <v>533</v>
      </c>
      <c r="D3426" s="27" t="s">
        <v>12</v>
      </c>
      <c r="E3426" s="27">
        <v>2</v>
      </c>
      <c r="F3426" s="8">
        <v>293000</v>
      </c>
      <c r="G3426" s="9">
        <f t="shared" ref="G3426:G3428" si="212">IFERROR(E3426*F3426,0)</f>
        <v>586000</v>
      </c>
      <c r="H3426" s="29"/>
      <c r="I3426" s="24" t="s">
        <v>418</v>
      </c>
      <c r="J3426" s="25"/>
      <c r="K3426" s="25"/>
      <c r="L3426" s="25"/>
      <c r="M3426" s="25"/>
      <c r="N3426" s="25"/>
      <c r="O3426" s="25"/>
      <c r="P3426" s="25"/>
      <c r="Q3426" s="25"/>
      <c r="R3426" s="25"/>
      <c r="S3426" s="25"/>
      <c r="T3426" s="25"/>
      <c r="U3426" s="25"/>
      <c r="V3426" s="25"/>
      <c r="W3426" s="25"/>
      <c r="X3426" s="25"/>
      <c r="Y3426" s="25"/>
      <c r="Z3426" s="25"/>
    </row>
    <row r="3427" spans="1:26" ht="15.75" customHeight="1" x14ac:dyDescent="0.75">
      <c r="A3427" s="5">
        <v>2</v>
      </c>
      <c r="B3427" s="30" t="s">
        <v>35</v>
      </c>
      <c r="C3427" s="31" t="s">
        <v>534</v>
      </c>
      <c r="D3427" s="30" t="s">
        <v>14</v>
      </c>
      <c r="E3427" s="30">
        <v>1.4</v>
      </c>
      <c r="F3427" s="11">
        <v>435000</v>
      </c>
      <c r="G3427" s="9">
        <f t="shared" si="212"/>
        <v>609000</v>
      </c>
      <c r="H3427" s="29"/>
      <c r="I3427" s="24" t="s">
        <v>418</v>
      </c>
      <c r="J3427" s="25"/>
      <c r="K3427" s="25"/>
      <c r="L3427" s="25"/>
      <c r="M3427" s="25"/>
      <c r="N3427" s="25"/>
      <c r="O3427" s="25"/>
      <c r="P3427" s="25"/>
      <c r="Q3427" s="25"/>
      <c r="R3427" s="25"/>
      <c r="S3427" s="25"/>
      <c r="T3427" s="25"/>
      <c r="U3427" s="25"/>
      <c r="V3427" s="25"/>
      <c r="W3427" s="25"/>
      <c r="X3427" s="25"/>
      <c r="Y3427" s="25"/>
      <c r="Z3427" s="25"/>
    </row>
    <row r="3428" spans="1:26" ht="15.75" customHeight="1" x14ac:dyDescent="0.75">
      <c r="A3428" s="5">
        <v>3</v>
      </c>
      <c r="B3428" s="12" t="s">
        <v>15</v>
      </c>
      <c r="C3428" s="29"/>
      <c r="D3428" s="29"/>
      <c r="E3428" s="29"/>
      <c r="F3428" s="29"/>
      <c r="G3428" s="13">
        <f t="shared" si="212"/>
        <v>0</v>
      </c>
      <c r="H3428" s="29"/>
      <c r="I3428" s="24" t="s">
        <v>418</v>
      </c>
      <c r="J3428" s="25"/>
      <c r="K3428" s="25"/>
      <c r="L3428" s="25"/>
      <c r="M3428" s="25"/>
      <c r="N3428" s="25"/>
      <c r="O3428" s="25"/>
      <c r="P3428" s="25"/>
      <c r="Q3428" s="25"/>
      <c r="R3428" s="25"/>
      <c r="S3428" s="25"/>
      <c r="T3428" s="25"/>
      <c r="U3428" s="25"/>
      <c r="V3428" s="25"/>
      <c r="W3428" s="25"/>
      <c r="X3428" s="25"/>
      <c r="Y3428" s="25"/>
      <c r="Z3428" s="25"/>
    </row>
    <row r="3429" spans="1:26" ht="15.75" customHeight="1" x14ac:dyDescent="0.75">
      <c r="A3429" s="39" t="s">
        <v>16</v>
      </c>
      <c r="B3429" s="40"/>
      <c r="C3429" s="40"/>
      <c r="D3429" s="40"/>
      <c r="E3429" s="40"/>
      <c r="F3429" s="40"/>
      <c r="G3429" s="41"/>
      <c r="H3429" s="14">
        <f>SUM(G3426:G3428)</f>
        <v>1195000</v>
      </c>
      <c r="I3429" s="24" t="s">
        <v>418</v>
      </c>
      <c r="J3429" s="25"/>
      <c r="K3429" s="25"/>
      <c r="L3429" s="25"/>
      <c r="M3429" s="25"/>
      <c r="N3429" s="25"/>
      <c r="O3429" s="25"/>
      <c r="P3429" s="25"/>
      <c r="Q3429" s="25"/>
      <c r="R3429" s="25"/>
      <c r="S3429" s="25"/>
      <c r="T3429" s="25"/>
      <c r="U3429" s="25"/>
      <c r="V3429" s="25"/>
      <c r="W3429" s="25"/>
      <c r="X3429" s="25"/>
      <c r="Y3429" s="25"/>
      <c r="Z3429" s="25"/>
    </row>
    <row r="3430" spans="1:26" ht="15.75" customHeight="1" x14ac:dyDescent="0.75">
      <c r="A3430" s="39" t="s">
        <v>17</v>
      </c>
      <c r="B3430" s="40"/>
      <c r="C3430" s="40"/>
      <c r="D3430" s="40"/>
      <c r="E3430" s="40"/>
      <c r="F3430" s="40"/>
      <c r="G3430" s="41"/>
      <c r="H3430" s="14">
        <f>MAX(0,H3429-648000)</f>
        <v>547000</v>
      </c>
      <c r="I3430" s="24" t="s">
        <v>418</v>
      </c>
      <c r="J3430" s="25"/>
      <c r="K3430" s="25"/>
      <c r="L3430" s="25"/>
      <c r="M3430" s="25"/>
      <c r="N3430" s="25"/>
      <c r="O3430" s="25"/>
      <c r="P3430" s="25"/>
      <c r="Q3430" s="25"/>
      <c r="R3430" s="25"/>
      <c r="S3430" s="25"/>
      <c r="T3430" s="25"/>
      <c r="U3430" s="25"/>
      <c r="V3430" s="25"/>
      <c r="W3430" s="25"/>
      <c r="X3430" s="25"/>
      <c r="Y3430" s="25"/>
      <c r="Z3430" s="25"/>
    </row>
    <row r="3431" spans="1:26" ht="15.75" customHeight="1" x14ac:dyDescent="0.75">
      <c r="A3431" s="42" t="s">
        <v>18</v>
      </c>
      <c r="B3431" s="40"/>
      <c r="C3431" s="40"/>
      <c r="D3431" s="40"/>
      <c r="E3431" s="40"/>
      <c r="F3431" s="40"/>
      <c r="G3431" s="41"/>
      <c r="H3431" s="15">
        <v>649000</v>
      </c>
      <c r="I3431" s="24" t="s">
        <v>418</v>
      </c>
      <c r="J3431" s="25"/>
      <c r="K3431" s="25"/>
      <c r="L3431" s="25"/>
      <c r="M3431" s="25"/>
      <c r="N3431" s="25"/>
      <c r="O3431" s="25"/>
      <c r="P3431" s="25"/>
      <c r="Q3431" s="25"/>
      <c r="R3431" s="25"/>
      <c r="S3431" s="25"/>
      <c r="T3431" s="25"/>
      <c r="U3431" s="25"/>
      <c r="V3431" s="25"/>
      <c r="W3431" s="25"/>
      <c r="X3431" s="25"/>
      <c r="Y3431" s="25"/>
      <c r="Z3431" s="25"/>
    </row>
    <row r="3432" spans="1:26" ht="15.75" customHeight="1" x14ac:dyDescent="0.75">
      <c r="A3432" s="43" t="s">
        <v>19</v>
      </c>
      <c r="B3432" s="40"/>
      <c r="C3432" s="40"/>
      <c r="D3432" s="40"/>
      <c r="E3432" s="40"/>
      <c r="F3432" s="40"/>
      <c r="G3432" s="40"/>
      <c r="H3432" s="41"/>
      <c r="I3432" s="24" t="s">
        <v>418</v>
      </c>
      <c r="J3432" s="25"/>
      <c r="K3432" s="25"/>
      <c r="L3432" s="25"/>
      <c r="M3432" s="25"/>
      <c r="N3432" s="25"/>
      <c r="O3432" s="25"/>
      <c r="P3432" s="25"/>
      <c r="Q3432" s="25"/>
      <c r="R3432" s="25"/>
      <c r="S3432" s="25"/>
      <c r="T3432" s="25"/>
      <c r="U3432" s="25"/>
      <c r="V3432" s="25"/>
      <c r="W3432" s="25"/>
      <c r="X3432" s="25"/>
      <c r="Y3432" s="25"/>
      <c r="Z3432" s="25"/>
    </row>
    <row r="3433" spans="1:26" ht="15.75" customHeight="1" x14ac:dyDescent="0.45">
      <c r="A3433" s="25"/>
      <c r="B3433" s="25"/>
      <c r="C3433" s="25"/>
      <c r="D3433" s="25"/>
      <c r="E3433" s="25"/>
      <c r="F3433" s="25"/>
      <c r="G3433" s="25"/>
      <c r="H3433" s="25"/>
      <c r="I3433" s="24" t="s">
        <v>418</v>
      </c>
      <c r="J3433" s="25"/>
      <c r="K3433" s="25"/>
      <c r="L3433" s="25"/>
      <c r="M3433" s="25"/>
      <c r="N3433" s="25"/>
      <c r="O3433" s="25"/>
      <c r="P3433" s="25"/>
      <c r="Q3433" s="25"/>
      <c r="R3433" s="25"/>
      <c r="S3433" s="25"/>
      <c r="T3433" s="25"/>
      <c r="U3433" s="25"/>
      <c r="V3433" s="25"/>
      <c r="W3433" s="25"/>
      <c r="X3433" s="25"/>
      <c r="Y3433" s="25"/>
      <c r="Z3433" s="25"/>
    </row>
    <row r="3434" spans="1:26" ht="15.75" customHeight="1" x14ac:dyDescent="0.45">
      <c r="A3434" s="25"/>
      <c r="B3434" s="25"/>
      <c r="C3434" s="25"/>
      <c r="D3434" s="25"/>
      <c r="E3434" s="25"/>
      <c r="F3434" s="25"/>
      <c r="G3434" s="25"/>
      <c r="H3434" s="25"/>
      <c r="I3434" s="24" t="s">
        <v>418</v>
      </c>
      <c r="J3434" s="25"/>
      <c r="K3434" s="25"/>
      <c r="L3434" s="25"/>
      <c r="M3434" s="25"/>
      <c r="N3434" s="25"/>
      <c r="O3434" s="25"/>
      <c r="P3434" s="25"/>
      <c r="Q3434" s="25"/>
      <c r="R3434" s="25"/>
      <c r="S3434" s="25"/>
      <c r="T3434" s="25"/>
      <c r="U3434" s="25"/>
      <c r="V3434" s="25"/>
      <c r="W3434" s="25"/>
      <c r="X3434" s="25"/>
      <c r="Y3434" s="25"/>
      <c r="Z3434" s="25"/>
    </row>
    <row r="3435" spans="1:26" ht="15.75" customHeight="1" x14ac:dyDescent="0.45">
      <c r="A3435" s="25"/>
      <c r="B3435" s="25"/>
      <c r="C3435" s="25"/>
      <c r="D3435" s="25"/>
      <c r="E3435" s="25"/>
      <c r="F3435" s="25"/>
      <c r="G3435" s="25"/>
      <c r="H3435" s="25"/>
      <c r="I3435" s="24" t="s">
        <v>418</v>
      </c>
      <c r="J3435" s="25"/>
      <c r="K3435" s="25"/>
      <c r="L3435" s="25"/>
      <c r="M3435" s="25"/>
      <c r="N3435" s="25"/>
      <c r="O3435" s="25"/>
      <c r="P3435" s="25"/>
      <c r="Q3435" s="25"/>
      <c r="R3435" s="25"/>
      <c r="S3435" s="25"/>
      <c r="T3435" s="25"/>
      <c r="U3435" s="25"/>
      <c r="V3435" s="25"/>
      <c r="W3435" s="25"/>
      <c r="X3435" s="25"/>
      <c r="Y3435" s="25"/>
      <c r="Z3435" s="25"/>
    </row>
    <row r="3436" spans="1:26" ht="15.75" customHeight="1" x14ac:dyDescent="0.45">
      <c r="A3436" s="25"/>
      <c r="B3436" s="25"/>
      <c r="C3436" s="25"/>
      <c r="D3436" s="25"/>
      <c r="E3436" s="25"/>
      <c r="F3436" s="25"/>
      <c r="G3436" s="25"/>
      <c r="H3436" s="25"/>
      <c r="I3436" s="24" t="s">
        <v>418</v>
      </c>
      <c r="J3436" s="25"/>
      <c r="K3436" s="25"/>
      <c r="L3436" s="25"/>
      <c r="M3436" s="25"/>
      <c r="N3436" s="25"/>
      <c r="O3436" s="25"/>
      <c r="P3436" s="25"/>
      <c r="Q3436" s="25"/>
      <c r="R3436" s="25"/>
      <c r="S3436" s="25"/>
      <c r="T3436" s="25"/>
      <c r="U3436" s="25"/>
      <c r="V3436" s="25"/>
      <c r="W3436" s="25"/>
      <c r="X3436" s="25"/>
      <c r="Y3436" s="25"/>
      <c r="Z3436" s="25"/>
    </row>
    <row r="3437" spans="1:26" ht="15.75" customHeight="1" x14ac:dyDescent="0.45">
      <c r="A3437" s="25"/>
      <c r="B3437" s="25"/>
      <c r="C3437" s="25"/>
      <c r="D3437" s="25"/>
      <c r="E3437" s="25"/>
      <c r="F3437" s="25"/>
      <c r="G3437" s="25"/>
      <c r="H3437" s="25"/>
      <c r="I3437" s="24" t="s">
        <v>418</v>
      </c>
      <c r="J3437" s="25"/>
      <c r="K3437" s="25"/>
      <c r="L3437" s="25"/>
      <c r="M3437" s="25"/>
      <c r="N3437" s="25"/>
      <c r="O3437" s="25"/>
      <c r="P3437" s="25"/>
      <c r="Q3437" s="25"/>
      <c r="R3437" s="25"/>
      <c r="S3437" s="25"/>
      <c r="T3437" s="25"/>
      <c r="U3437" s="25"/>
      <c r="V3437" s="25"/>
      <c r="W3437" s="25"/>
      <c r="X3437" s="25"/>
      <c r="Y3437" s="25"/>
      <c r="Z3437" s="25"/>
    </row>
    <row r="3438" spans="1:26" ht="15.75" customHeight="1" x14ac:dyDescent="0.45">
      <c r="A3438" s="25"/>
      <c r="B3438" s="25"/>
      <c r="C3438" s="25"/>
      <c r="D3438" s="25"/>
      <c r="E3438" s="25"/>
      <c r="F3438" s="25"/>
      <c r="G3438" s="25"/>
      <c r="H3438" s="25"/>
      <c r="I3438" s="24" t="s">
        <v>418</v>
      </c>
      <c r="J3438" s="25"/>
      <c r="K3438" s="25"/>
      <c r="L3438" s="25"/>
      <c r="M3438" s="25"/>
      <c r="N3438" s="25"/>
      <c r="O3438" s="25"/>
      <c r="P3438" s="25"/>
      <c r="Q3438" s="25"/>
      <c r="R3438" s="25"/>
      <c r="S3438" s="25"/>
      <c r="T3438" s="25"/>
      <c r="U3438" s="25"/>
      <c r="V3438" s="25"/>
      <c r="W3438" s="25"/>
      <c r="X3438" s="25"/>
      <c r="Y3438" s="25"/>
      <c r="Z3438" s="25"/>
    </row>
    <row r="3439" spans="1:26" ht="15.75" customHeight="1" x14ac:dyDescent="0.75">
      <c r="A3439" s="43" t="s">
        <v>0</v>
      </c>
      <c r="B3439" s="40"/>
      <c r="C3439" s="40"/>
      <c r="D3439" s="40"/>
      <c r="E3439" s="40"/>
      <c r="F3439" s="40"/>
      <c r="G3439" s="40"/>
      <c r="H3439" s="41"/>
      <c r="I3439" s="24" t="s">
        <v>418</v>
      </c>
      <c r="J3439" s="25"/>
      <c r="K3439" s="25"/>
      <c r="L3439" s="25"/>
      <c r="M3439" s="25"/>
      <c r="N3439" s="25"/>
      <c r="O3439" s="25"/>
      <c r="P3439" s="25"/>
      <c r="Q3439" s="25"/>
      <c r="R3439" s="25"/>
      <c r="S3439" s="25"/>
      <c r="T3439" s="25"/>
      <c r="U3439" s="25"/>
      <c r="V3439" s="25"/>
      <c r="W3439" s="25"/>
      <c r="X3439" s="25"/>
      <c r="Y3439" s="25"/>
      <c r="Z3439" s="25"/>
    </row>
    <row r="3440" spans="1:26" ht="15.75" customHeight="1" x14ac:dyDescent="0.75">
      <c r="A3440" s="43" t="s">
        <v>535</v>
      </c>
      <c r="B3440" s="40"/>
      <c r="C3440" s="40"/>
      <c r="D3440" s="40"/>
      <c r="E3440" s="40"/>
      <c r="F3440" s="40"/>
      <c r="G3440" s="40"/>
      <c r="H3440" s="41"/>
      <c r="I3440" s="24" t="s">
        <v>418</v>
      </c>
      <c r="J3440" s="25"/>
      <c r="K3440" s="25"/>
      <c r="L3440" s="25"/>
      <c r="M3440" s="25"/>
      <c r="N3440" s="25"/>
      <c r="O3440" s="25"/>
      <c r="P3440" s="25"/>
      <c r="Q3440" s="25"/>
      <c r="R3440" s="25"/>
      <c r="S3440" s="25"/>
      <c r="T3440" s="25"/>
      <c r="U3440" s="25"/>
      <c r="V3440" s="25"/>
      <c r="W3440" s="25"/>
      <c r="X3440" s="25"/>
      <c r="Y3440" s="25"/>
      <c r="Z3440" s="25"/>
    </row>
    <row r="3441" spans="1:26" ht="15.75" customHeight="1" x14ac:dyDescent="0.55000000000000004">
      <c r="A3441" s="2" t="s">
        <v>3</v>
      </c>
      <c r="B3441" s="2" t="s">
        <v>4</v>
      </c>
      <c r="C3441" s="2" t="s">
        <v>5</v>
      </c>
      <c r="D3441" s="2" t="s">
        <v>6</v>
      </c>
      <c r="E3441" s="2" t="s">
        <v>7</v>
      </c>
      <c r="F3441" s="3" t="s">
        <v>8</v>
      </c>
      <c r="G3441" s="2" t="s">
        <v>9</v>
      </c>
      <c r="H3441" s="26"/>
      <c r="I3441" s="24" t="s">
        <v>418</v>
      </c>
      <c r="J3441" s="25"/>
      <c r="K3441" s="25"/>
      <c r="L3441" s="25"/>
      <c r="M3441" s="25"/>
      <c r="N3441" s="25"/>
      <c r="O3441" s="25"/>
      <c r="P3441" s="25"/>
      <c r="Q3441" s="25"/>
      <c r="R3441" s="25"/>
      <c r="S3441" s="25"/>
      <c r="T3441" s="25"/>
      <c r="U3441" s="25"/>
      <c r="V3441" s="25"/>
      <c r="W3441" s="25"/>
      <c r="X3441" s="25"/>
      <c r="Y3441" s="25"/>
      <c r="Z3441" s="25"/>
    </row>
    <row r="3442" spans="1:26" ht="15.75" customHeight="1" x14ac:dyDescent="0.75">
      <c r="A3442" s="5">
        <v>1</v>
      </c>
      <c r="B3442" s="27" t="s">
        <v>27</v>
      </c>
      <c r="C3442" s="28" t="s">
        <v>533</v>
      </c>
      <c r="D3442" s="27" t="s">
        <v>12</v>
      </c>
      <c r="E3442" s="27">
        <v>2</v>
      </c>
      <c r="F3442" s="8">
        <v>293000</v>
      </c>
      <c r="G3442" s="9">
        <f t="shared" ref="G3442:G3444" si="213">IFERROR(E3442*F3442,0)</f>
        <v>586000</v>
      </c>
      <c r="H3442" s="29"/>
      <c r="I3442" s="24" t="s">
        <v>418</v>
      </c>
      <c r="J3442" s="25"/>
      <c r="K3442" s="25"/>
      <c r="L3442" s="25"/>
      <c r="M3442" s="25"/>
      <c r="N3442" s="25"/>
      <c r="O3442" s="25"/>
      <c r="P3442" s="25"/>
      <c r="Q3442" s="25"/>
      <c r="R3442" s="25"/>
      <c r="S3442" s="25"/>
      <c r="T3442" s="25"/>
      <c r="U3442" s="25"/>
      <c r="V3442" s="25"/>
      <c r="W3442" s="25"/>
      <c r="X3442" s="25"/>
      <c r="Y3442" s="25"/>
      <c r="Z3442" s="25"/>
    </row>
    <row r="3443" spans="1:26" ht="15.75" customHeight="1" x14ac:dyDescent="0.75">
      <c r="A3443" s="5">
        <v>2</v>
      </c>
      <c r="B3443" s="30" t="s">
        <v>150</v>
      </c>
      <c r="C3443" s="31" t="s">
        <v>536</v>
      </c>
      <c r="D3443" s="30" t="s">
        <v>14</v>
      </c>
      <c r="E3443" s="30">
        <v>1.5</v>
      </c>
      <c r="F3443" s="11">
        <v>435000</v>
      </c>
      <c r="G3443" s="9">
        <f t="shared" si="213"/>
        <v>652500</v>
      </c>
      <c r="H3443" s="29"/>
      <c r="I3443" s="24" t="s">
        <v>418</v>
      </c>
      <c r="J3443" s="25"/>
      <c r="K3443" s="25"/>
      <c r="L3443" s="25"/>
      <c r="M3443" s="25"/>
      <c r="N3443" s="25"/>
      <c r="O3443" s="25"/>
      <c r="P3443" s="25"/>
      <c r="Q3443" s="25"/>
      <c r="R3443" s="25"/>
      <c r="S3443" s="25"/>
      <c r="T3443" s="25"/>
      <c r="U3443" s="25"/>
      <c r="V3443" s="25"/>
      <c r="W3443" s="25"/>
      <c r="X3443" s="25"/>
      <c r="Y3443" s="25"/>
      <c r="Z3443" s="25"/>
    </row>
    <row r="3444" spans="1:26" ht="15.75" customHeight="1" x14ac:dyDescent="0.75">
      <c r="A3444" s="5">
        <v>3</v>
      </c>
      <c r="B3444" s="12" t="s">
        <v>15</v>
      </c>
      <c r="C3444" s="29"/>
      <c r="D3444" s="29"/>
      <c r="E3444" s="29"/>
      <c r="F3444" s="29"/>
      <c r="G3444" s="13">
        <f t="shared" si="213"/>
        <v>0</v>
      </c>
      <c r="H3444" s="29"/>
      <c r="I3444" s="24" t="s">
        <v>418</v>
      </c>
      <c r="J3444" s="25"/>
      <c r="K3444" s="25"/>
      <c r="L3444" s="25"/>
      <c r="M3444" s="25"/>
      <c r="N3444" s="25"/>
      <c r="O3444" s="25"/>
      <c r="P3444" s="25"/>
      <c r="Q3444" s="25"/>
      <c r="R3444" s="25"/>
      <c r="S3444" s="25"/>
      <c r="T3444" s="25"/>
      <c r="U3444" s="25"/>
      <c r="V3444" s="25"/>
      <c r="W3444" s="25"/>
      <c r="X3444" s="25"/>
      <c r="Y3444" s="25"/>
      <c r="Z3444" s="25"/>
    </row>
    <row r="3445" spans="1:26" ht="15.75" customHeight="1" x14ac:dyDescent="0.75">
      <c r="A3445" s="39" t="s">
        <v>16</v>
      </c>
      <c r="B3445" s="40"/>
      <c r="C3445" s="40"/>
      <c r="D3445" s="40"/>
      <c r="E3445" s="40"/>
      <c r="F3445" s="40"/>
      <c r="G3445" s="41"/>
      <c r="H3445" s="14">
        <f>SUM(G3442:G3444)</f>
        <v>1238500</v>
      </c>
      <c r="I3445" s="24" t="s">
        <v>418</v>
      </c>
      <c r="J3445" s="25"/>
      <c r="K3445" s="25"/>
      <c r="L3445" s="25"/>
      <c r="M3445" s="25"/>
      <c r="N3445" s="25"/>
      <c r="O3445" s="25"/>
      <c r="P3445" s="25"/>
      <c r="Q3445" s="25"/>
      <c r="R3445" s="25"/>
      <c r="S3445" s="25"/>
      <c r="T3445" s="25"/>
      <c r="U3445" s="25"/>
      <c r="V3445" s="25"/>
      <c r="W3445" s="25"/>
      <c r="X3445" s="25"/>
      <c r="Y3445" s="25"/>
      <c r="Z3445" s="25"/>
    </row>
    <row r="3446" spans="1:26" ht="15.75" customHeight="1" x14ac:dyDescent="0.75">
      <c r="A3446" s="39" t="s">
        <v>17</v>
      </c>
      <c r="B3446" s="40"/>
      <c r="C3446" s="40"/>
      <c r="D3446" s="40"/>
      <c r="E3446" s="40"/>
      <c r="F3446" s="40"/>
      <c r="G3446" s="41"/>
      <c r="H3446" s="14">
        <f>MAX(0,H3445-648000)</f>
        <v>590500</v>
      </c>
      <c r="I3446" s="24" t="s">
        <v>418</v>
      </c>
      <c r="J3446" s="25"/>
      <c r="K3446" s="25"/>
      <c r="L3446" s="25"/>
      <c r="M3446" s="25"/>
      <c r="N3446" s="25"/>
      <c r="O3446" s="25"/>
      <c r="P3446" s="25"/>
      <c r="Q3446" s="25"/>
      <c r="R3446" s="25"/>
      <c r="S3446" s="25"/>
      <c r="T3446" s="25"/>
      <c r="U3446" s="25"/>
      <c r="V3446" s="25"/>
      <c r="W3446" s="25"/>
      <c r="X3446" s="25"/>
      <c r="Y3446" s="25"/>
      <c r="Z3446" s="25"/>
    </row>
    <row r="3447" spans="1:26" ht="15.75" customHeight="1" x14ac:dyDescent="0.75">
      <c r="A3447" s="42" t="s">
        <v>18</v>
      </c>
      <c r="B3447" s="40"/>
      <c r="C3447" s="40"/>
      <c r="D3447" s="40"/>
      <c r="E3447" s="40"/>
      <c r="F3447" s="40"/>
      <c r="G3447" s="41"/>
      <c r="H3447" s="15">
        <v>649000</v>
      </c>
      <c r="I3447" s="24" t="s">
        <v>418</v>
      </c>
      <c r="J3447" s="25"/>
      <c r="K3447" s="25"/>
      <c r="L3447" s="25"/>
      <c r="M3447" s="25"/>
      <c r="N3447" s="25"/>
      <c r="O3447" s="25"/>
      <c r="P3447" s="25"/>
      <c r="Q3447" s="25"/>
      <c r="R3447" s="25"/>
      <c r="S3447" s="25"/>
      <c r="T3447" s="25"/>
      <c r="U3447" s="25"/>
      <c r="V3447" s="25"/>
      <c r="W3447" s="25"/>
      <c r="X3447" s="25"/>
      <c r="Y3447" s="25"/>
      <c r="Z3447" s="25"/>
    </row>
    <row r="3448" spans="1:26" ht="15.75" customHeight="1" x14ac:dyDescent="0.75">
      <c r="A3448" s="43" t="s">
        <v>19</v>
      </c>
      <c r="B3448" s="40"/>
      <c r="C3448" s="40"/>
      <c r="D3448" s="40"/>
      <c r="E3448" s="40"/>
      <c r="F3448" s="40"/>
      <c r="G3448" s="40"/>
      <c r="H3448" s="41"/>
      <c r="I3448" s="24" t="s">
        <v>418</v>
      </c>
      <c r="J3448" s="25"/>
      <c r="K3448" s="25"/>
      <c r="L3448" s="25"/>
      <c r="M3448" s="25"/>
      <c r="N3448" s="25"/>
      <c r="O3448" s="25"/>
      <c r="P3448" s="25"/>
      <c r="Q3448" s="25"/>
      <c r="R3448" s="25"/>
      <c r="S3448" s="25"/>
      <c r="T3448" s="25"/>
      <c r="U3448" s="25"/>
      <c r="V3448" s="25"/>
      <c r="W3448" s="25"/>
      <c r="X3448" s="25"/>
      <c r="Y3448" s="25"/>
      <c r="Z3448" s="25"/>
    </row>
    <row r="3449" spans="1:26" ht="15.75" customHeight="1" x14ac:dyDescent="0.45">
      <c r="A3449" s="25"/>
      <c r="B3449" s="25"/>
      <c r="C3449" s="25"/>
      <c r="D3449" s="25"/>
      <c r="E3449" s="25"/>
      <c r="F3449" s="25"/>
      <c r="G3449" s="25"/>
      <c r="H3449" s="25"/>
      <c r="I3449" s="24" t="s">
        <v>418</v>
      </c>
      <c r="J3449" s="25"/>
      <c r="K3449" s="25"/>
      <c r="L3449" s="25"/>
      <c r="M3449" s="25"/>
      <c r="N3449" s="25"/>
      <c r="O3449" s="25"/>
      <c r="P3449" s="25"/>
      <c r="Q3449" s="25"/>
      <c r="R3449" s="25"/>
      <c r="S3449" s="25"/>
      <c r="T3449" s="25"/>
      <c r="U3449" s="25"/>
      <c r="V3449" s="25"/>
      <c r="W3449" s="25"/>
      <c r="X3449" s="25"/>
      <c r="Y3449" s="25"/>
      <c r="Z3449" s="25"/>
    </row>
    <row r="3450" spans="1:26" ht="15.75" customHeight="1" x14ac:dyDescent="0.45">
      <c r="A3450" s="25"/>
      <c r="B3450" s="25"/>
      <c r="C3450" s="25"/>
      <c r="D3450" s="25"/>
      <c r="E3450" s="25"/>
      <c r="F3450" s="25"/>
      <c r="G3450" s="25"/>
      <c r="H3450" s="25"/>
      <c r="I3450" s="24" t="s">
        <v>418</v>
      </c>
      <c r="J3450" s="25"/>
      <c r="K3450" s="25"/>
      <c r="L3450" s="25"/>
      <c r="M3450" s="25"/>
      <c r="N3450" s="25"/>
      <c r="O3450" s="25"/>
      <c r="P3450" s="25"/>
      <c r="Q3450" s="25"/>
      <c r="R3450" s="25"/>
      <c r="S3450" s="25"/>
      <c r="T3450" s="25"/>
      <c r="U3450" s="25"/>
      <c r="V3450" s="25"/>
      <c r="W3450" s="25"/>
      <c r="X3450" s="25"/>
      <c r="Y3450" s="25"/>
      <c r="Z3450" s="25"/>
    </row>
    <row r="3451" spans="1:26" ht="15.75" customHeight="1" x14ac:dyDescent="0.45">
      <c r="A3451" s="25"/>
      <c r="B3451" s="25"/>
      <c r="C3451" s="25"/>
      <c r="D3451" s="25"/>
      <c r="E3451" s="25"/>
      <c r="F3451" s="25"/>
      <c r="G3451" s="25"/>
      <c r="H3451" s="25"/>
      <c r="I3451" s="24" t="s">
        <v>418</v>
      </c>
      <c r="J3451" s="25"/>
      <c r="K3451" s="25"/>
      <c r="L3451" s="25"/>
      <c r="M3451" s="25"/>
      <c r="N3451" s="25"/>
      <c r="O3451" s="25"/>
      <c r="P3451" s="25"/>
      <c r="Q3451" s="25"/>
      <c r="R3451" s="25"/>
      <c r="S3451" s="25"/>
      <c r="T3451" s="25"/>
      <c r="U3451" s="25"/>
      <c r="V3451" s="25"/>
      <c r="W3451" s="25"/>
      <c r="X3451" s="25"/>
      <c r="Y3451" s="25"/>
      <c r="Z3451" s="25"/>
    </row>
    <row r="3452" spans="1:26" ht="15.75" customHeight="1" x14ac:dyDescent="0.45">
      <c r="A3452" s="25"/>
      <c r="B3452" s="25"/>
      <c r="C3452" s="25"/>
      <c r="D3452" s="25"/>
      <c r="E3452" s="25"/>
      <c r="F3452" s="25"/>
      <c r="G3452" s="25"/>
      <c r="H3452" s="25"/>
      <c r="I3452" s="24" t="s">
        <v>418</v>
      </c>
      <c r="J3452" s="25"/>
      <c r="K3452" s="25"/>
      <c r="L3452" s="25"/>
      <c r="M3452" s="25"/>
      <c r="N3452" s="25"/>
      <c r="O3452" s="25"/>
      <c r="P3452" s="25"/>
      <c r="Q3452" s="25"/>
      <c r="R3452" s="25"/>
      <c r="S3452" s="25"/>
      <c r="T3452" s="25"/>
      <c r="U3452" s="25"/>
      <c r="V3452" s="25"/>
      <c r="W3452" s="25"/>
      <c r="X3452" s="25"/>
      <c r="Y3452" s="25"/>
      <c r="Z3452" s="25"/>
    </row>
    <row r="3453" spans="1:26" ht="15.75" customHeight="1" x14ac:dyDescent="0.45">
      <c r="A3453" s="25"/>
      <c r="B3453" s="25"/>
      <c r="C3453" s="25"/>
      <c r="D3453" s="25"/>
      <c r="E3453" s="25"/>
      <c r="F3453" s="25"/>
      <c r="G3453" s="25"/>
      <c r="H3453" s="25"/>
      <c r="I3453" s="24" t="s">
        <v>418</v>
      </c>
      <c r="J3453" s="25"/>
      <c r="K3453" s="25"/>
      <c r="L3453" s="25"/>
      <c r="M3453" s="25"/>
      <c r="N3453" s="25"/>
      <c r="O3453" s="25"/>
      <c r="P3453" s="25"/>
      <c r="Q3453" s="25"/>
      <c r="R3453" s="25"/>
      <c r="S3453" s="25"/>
      <c r="T3453" s="25"/>
      <c r="U3453" s="25"/>
      <c r="V3453" s="25"/>
      <c r="W3453" s="25"/>
      <c r="X3453" s="25"/>
      <c r="Y3453" s="25"/>
      <c r="Z3453" s="25"/>
    </row>
    <row r="3454" spans="1:26" ht="15.75" customHeight="1" x14ac:dyDescent="0.45">
      <c r="A3454" s="25"/>
      <c r="B3454" s="25"/>
      <c r="C3454" s="25"/>
      <c r="D3454" s="25"/>
      <c r="E3454" s="25"/>
      <c r="F3454" s="25"/>
      <c r="G3454" s="25"/>
      <c r="H3454" s="25"/>
      <c r="I3454" s="24" t="s">
        <v>418</v>
      </c>
      <c r="J3454" s="25"/>
      <c r="K3454" s="25"/>
      <c r="L3454" s="25"/>
      <c r="M3454" s="25"/>
      <c r="N3454" s="25"/>
      <c r="O3454" s="25"/>
      <c r="P3454" s="25"/>
      <c r="Q3454" s="25"/>
      <c r="R3454" s="25"/>
      <c r="S3454" s="25"/>
      <c r="T3454" s="25"/>
      <c r="U3454" s="25"/>
      <c r="V3454" s="25"/>
      <c r="W3454" s="25"/>
      <c r="X3454" s="25"/>
      <c r="Y3454" s="25"/>
      <c r="Z3454" s="25"/>
    </row>
    <row r="3455" spans="1:26" ht="15.75" customHeight="1" x14ac:dyDescent="0.45">
      <c r="A3455" s="25"/>
      <c r="B3455" s="25"/>
      <c r="C3455" s="25"/>
      <c r="D3455" s="25"/>
      <c r="E3455" s="25"/>
      <c r="F3455" s="25"/>
      <c r="G3455" s="25"/>
      <c r="H3455" s="25"/>
      <c r="I3455" s="24" t="s">
        <v>418</v>
      </c>
      <c r="J3455" s="25"/>
      <c r="K3455" s="25"/>
      <c r="L3455" s="25"/>
      <c r="M3455" s="25"/>
      <c r="N3455" s="25"/>
      <c r="O3455" s="25"/>
      <c r="P3455" s="25"/>
      <c r="Q3455" s="25"/>
      <c r="R3455" s="25"/>
      <c r="S3455" s="25"/>
      <c r="T3455" s="25"/>
      <c r="U3455" s="25"/>
      <c r="V3455" s="25"/>
      <c r="W3455" s="25"/>
      <c r="X3455" s="25"/>
      <c r="Y3455" s="25"/>
      <c r="Z3455" s="25"/>
    </row>
    <row r="3456" spans="1:26" ht="15.75" customHeight="1" x14ac:dyDescent="0.75">
      <c r="A3456" s="43" t="s">
        <v>0</v>
      </c>
      <c r="B3456" s="40"/>
      <c r="C3456" s="40"/>
      <c r="D3456" s="40"/>
      <c r="E3456" s="40"/>
      <c r="F3456" s="40"/>
      <c r="G3456" s="40"/>
      <c r="H3456" s="41"/>
      <c r="I3456" s="24" t="s">
        <v>418</v>
      </c>
      <c r="J3456" s="25"/>
      <c r="K3456" s="25"/>
      <c r="L3456" s="25"/>
      <c r="M3456" s="25"/>
      <c r="N3456" s="25"/>
      <c r="O3456" s="25"/>
      <c r="P3456" s="25"/>
      <c r="Q3456" s="25"/>
      <c r="R3456" s="25"/>
      <c r="S3456" s="25"/>
      <c r="T3456" s="25"/>
      <c r="U3456" s="25"/>
      <c r="V3456" s="25"/>
      <c r="W3456" s="25"/>
      <c r="X3456" s="25"/>
      <c r="Y3456" s="25"/>
      <c r="Z3456" s="25"/>
    </row>
    <row r="3457" spans="1:26" ht="15.75" customHeight="1" x14ac:dyDescent="0.75">
      <c r="A3457" s="43" t="s">
        <v>537</v>
      </c>
      <c r="B3457" s="40"/>
      <c r="C3457" s="40"/>
      <c r="D3457" s="40"/>
      <c r="E3457" s="40"/>
      <c r="F3457" s="40"/>
      <c r="G3457" s="40"/>
      <c r="H3457" s="41"/>
      <c r="I3457" s="24" t="s">
        <v>418</v>
      </c>
      <c r="J3457" s="25"/>
      <c r="K3457" s="25"/>
      <c r="L3457" s="25"/>
      <c r="M3457" s="25"/>
      <c r="N3457" s="25"/>
      <c r="O3457" s="25"/>
      <c r="P3457" s="25"/>
      <c r="Q3457" s="25"/>
      <c r="R3457" s="25"/>
      <c r="S3457" s="25"/>
      <c r="T3457" s="25"/>
      <c r="U3457" s="25"/>
      <c r="V3457" s="25"/>
      <c r="W3457" s="25"/>
      <c r="X3457" s="25"/>
      <c r="Y3457" s="25"/>
      <c r="Z3457" s="25"/>
    </row>
    <row r="3458" spans="1:26" ht="15.75" customHeight="1" x14ac:dyDescent="0.55000000000000004">
      <c r="A3458" s="2" t="s">
        <v>3</v>
      </c>
      <c r="B3458" s="2" t="s">
        <v>4</v>
      </c>
      <c r="C3458" s="2" t="s">
        <v>5</v>
      </c>
      <c r="D3458" s="2" t="s">
        <v>6</v>
      </c>
      <c r="E3458" s="2" t="s">
        <v>7</v>
      </c>
      <c r="F3458" s="3" t="s">
        <v>8</v>
      </c>
      <c r="G3458" s="2" t="s">
        <v>9</v>
      </c>
      <c r="H3458" s="26"/>
      <c r="I3458" s="24" t="s">
        <v>418</v>
      </c>
      <c r="J3458" s="25"/>
      <c r="K3458" s="25"/>
      <c r="L3458" s="25"/>
      <c r="M3458" s="25"/>
      <c r="N3458" s="25"/>
      <c r="O3458" s="25"/>
      <c r="P3458" s="25"/>
      <c r="Q3458" s="25"/>
      <c r="R3458" s="25"/>
      <c r="S3458" s="25"/>
      <c r="T3458" s="25"/>
      <c r="U3458" s="25"/>
      <c r="V3458" s="25"/>
      <c r="W3458" s="25"/>
      <c r="X3458" s="25"/>
      <c r="Y3458" s="25"/>
      <c r="Z3458" s="25"/>
    </row>
    <row r="3459" spans="1:26" ht="15.75" customHeight="1" x14ac:dyDescent="0.75">
      <c r="A3459" s="5">
        <v>1</v>
      </c>
      <c r="B3459" s="27" t="s">
        <v>89</v>
      </c>
      <c r="C3459" s="28" t="s">
        <v>479</v>
      </c>
      <c r="D3459" s="27" t="s">
        <v>12</v>
      </c>
      <c r="E3459" s="27">
        <v>2</v>
      </c>
      <c r="F3459" s="8">
        <v>293000</v>
      </c>
      <c r="G3459" s="9">
        <f t="shared" ref="G3459:G3461" si="214">IFERROR(E3459*F3459,0)</f>
        <v>586000</v>
      </c>
      <c r="H3459" s="29"/>
      <c r="I3459" s="24" t="s">
        <v>418</v>
      </c>
      <c r="J3459" s="25"/>
      <c r="K3459" s="25"/>
      <c r="L3459" s="25"/>
      <c r="M3459" s="25"/>
      <c r="N3459" s="25"/>
      <c r="O3459" s="25"/>
      <c r="P3459" s="25"/>
      <c r="Q3459" s="25"/>
      <c r="R3459" s="25"/>
      <c r="S3459" s="25"/>
      <c r="T3459" s="25"/>
      <c r="U3459" s="25"/>
      <c r="V3459" s="25"/>
      <c r="W3459" s="25"/>
      <c r="X3459" s="25"/>
      <c r="Y3459" s="25"/>
      <c r="Z3459" s="25"/>
    </row>
    <row r="3460" spans="1:26" ht="15.75" customHeight="1" x14ac:dyDescent="0.75">
      <c r="A3460" s="5">
        <v>2</v>
      </c>
      <c r="B3460" s="30" t="s">
        <v>27</v>
      </c>
      <c r="C3460" s="31" t="s">
        <v>538</v>
      </c>
      <c r="D3460" s="30" t="s">
        <v>14</v>
      </c>
      <c r="E3460" s="30">
        <v>1.5</v>
      </c>
      <c r="F3460" s="11">
        <v>435000</v>
      </c>
      <c r="G3460" s="9">
        <f t="shared" si="214"/>
        <v>652500</v>
      </c>
      <c r="H3460" s="29"/>
      <c r="I3460" s="24" t="s">
        <v>418</v>
      </c>
      <c r="J3460" s="25"/>
      <c r="K3460" s="25"/>
      <c r="L3460" s="25"/>
      <c r="M3460" s="25"/>
      <c r="N3460" s="25"/>
      <c r="O3460" s="25"/>
      <c r="P3460" s="25"/>
      <c r="Q3460" s="25"/>
      <c r="R3460" s="25"/>
      <c r="S3460" s="25"/>
      <c r="T3460" s="25"/>
      <c r="U3460" s="25"/>
      <c r="V3460" s="25"/>
      <c r="W3460" s="25"/>
      <c r="X3460" s="25"/>
      <c r="Y3460" s="25"/>
      <c r="Z3460" s="25"/>
    </row>
    <row r="3461" spans="1:26" ht="15.75" customHeight="1" x14ac:dyDescent="0.75">
      <c r="A3461" s="5">
        <v>3</v>
      </c>
      <c r="B3461" s="12" t="s">
        <v>15</v>
      </c>
      <c r="C3461" s="29"/>
      <c r="D3461" s="29"/>
      <c r="E3461" s="29"/>
      <c r="F3461" s="29"/>
      <c r="G3461" s="13">
        <f t="shared" si="214"/>
        <v>0</v>
      </c>
      <c r="H3461" s="29"/>
      <c r="I3461" s="24" t="s">
        <v>418</v>
      </c>
      <c r="J3461" s="25"/>
      <c r="K3461" s="25"/>
      <c r="L3461" s="25"/>
      <c r="M3461" s="25"/>
      <c r="N3461" s="25"/>
      <c r="O3461" s="25"/>
      <c r="P3461" s="25"/>
      <c r="Q3461" s="25"/>
      <c r="R3461" s="25"/>
      <c r="S3461" s="25"/>
      <c r="T3461" s="25"/>
      <c r="U3461" s="25"/>
      <c r="V3461" s="25"/>
      <c r="W3461" s="25"/>
      <c r="X3461" s="25"/>
      <c r="Y3461" s="25"/>
      <c r="Z3461" s="25"/>
    </row>
    <row r="3462" spans="1:26" ht="15.75" customHeight="1" x14ac:dyDescent="0.75">
      <c r="A3462" s="39" t="s">
        <v>16</v>
      </c>
      <c r="B3462" s="40"/>
      <c r="C3462" s="40"/>
      <c r="D3462" s="40"/>
      <c r="E3462" s="40"/>
      <c r="F3462" s="40"/>
      <c r="G3462" s="41"/>
      <c r="H3462" s="14">
        <f>SUM(G3459:G3461)</f>
        <v>1238500</v>
      </c>
      <c r="I3462" s="24" t="s">
        <v>418</v>
      </c>
      <c r="J3462" s="25"/>
      <c r="K3462" s="25"/>
      <c r="L3462" s="25"/>
      <c r="M3462" s="25"/>
      <c r="N3462" s="25"/>
      <c r="O3462" s="25"/>
      <c r="P3462" s="25"/>
      <c r="Q3462" s="25"/>
      <c r="R3462" s="25"/>
      <c r="S3462" s="25"/>
      <c r="T3462" s="25"/>
      <c r="U3462" s="25"/>
      <c r="V3462" s="25"/>
      <c r="W3462" s="25"/>
      <c r="X3462" s="25"/>
      <c r="Y3462" s="25"/>
      <c r="Z3462" s="25"/>
    </row>
    <row r="3463" spans="1:26" ht="15.75" customHeight="1" x14ac:dyDescent="0.75">
      <c r="A3463" s="39" t="s">
        <v>17</v>
      </c>
      <c r="B3463" s="40"/>
      <c r="C3463" s="40"/>
      <c r="D3463" s="40"/>
      <c r="E3463" s="40"/>
      <c r="F3463" s="40"/>
      <c r="G3463" s="41"/>
      <c r="H3463" s="14">
        <f>MAX(0,H3462-648000)</f>
        <v>590500</v>
      </c>
      <c r="I3463" s="24" t="s">
        <v>418</v>
      </c>
      <c r="J3463" s="25"/>
      <c r="K3463" s="25"/>
      <c r="L3463" s="25"/>
      <c r="M3463" s="25"/>
      <c r="N3463" s="25"/>
      <c r="O3463" s="25"/>
      <c r="P3463" s="25"/>
      <c r="Q3463" s="25"/>
      <c r="R3463" s="25"/>
      <c r="S3463" s="25"/>
      <c r="T3463" s="25"/>
      <c r="U3463" s="25"/>
      <c r="V3463" s="25"/>
      <c r="W3463" s="25"/>
      <c r="X3463" s="25"/>
      <c r="Y3463" s="25"/>
      <c r="Z3463" s="25"/>
    </row>
    <row r="3464" spans="1:26" ht="15.75" customHeight="1" x14ac:dyDescent="0.75">
      <c r="A3464" s="42" t="s">
        <v>18</v>
      </c>
      <c r="B3464" s="40"/>
      <c r="C3464" s="40"/>
      <c r="D3464" s="40"/>
      <c r="E3464" s="40"/>
      <c r="F3464" s="40"/>
      <c r="G3464" s="41"/>
      <c r="H3464" s="15">
        <v>649000</v>
      </c>
      <c r="I3464" s="24" t="s">
        <v>418</v>
      </c>
      <c r="J3464" s="25"/>
      <c r="K3464" s="25"/>
      <c r="L3464" s="25"/>
      <c r="M3464" s="25"/>
      <c r="N3464" s="25"/>
      <c r="O3464" s="25"/>
      <c r="P3464" s="25"/>
      <c r="Q3464" s="25"/>
      <c r="R3464" s="25"/>
      <c r="S3464" s="25"/>
      <c r="T3464" s="25"/>
      <c r="U3464" s="25"/>
      <c r="V3464" s="25"/>
      <c r="W3464" s="25"/>
      <c r="X3464" s="25"/>
      <c r="Y3464" s="25"/>
      <c r="Z3464" s="25"/>
    </row>
    <row r="3465" spans="1:26" ht="15.75" customHeight="1" x14ac:dyDescent="0.75">
      <c r="A3465" s="43" t="s">
        <v>19</v>
      </c>
      <c r="B3465" s="40"/>
      <c r="C3465" s="40"/>
      <c r="D3465" s="40"/>
      <c r="E3465" s="40"/>
      <c r="F3465" s="40"/>
      <c r="G3465" s="40"/>
      <c r="H3465" s="41"/>
      <c r="I3465" s="24" t="s">
        <v>418</v>
      </c>
      <c r="J3465" s="25"/>
      <c r="K3465" s="25"/>
      <c r="L3465" s="25"/>
      <c r="M3465" s="25"/>
      <c r="N3465" s="25"/>
      <c r="O3465" s="25"/>
      <c r="P3465" s="25"/>
      <c r="Q3465" s="25"/>
      <c r="R3465" s="25"/>
      <c r="S3465" s="25"/>
      <c r="T3465" s="25"/>
      <c r="U3465" s="25"/>
      <c r="V3465" s="25"/>
      <c r="W3465" s="25"/>
      <c r="X3465" s="25"/>
      <c r="Y3465" s="25"/>
      <c r="Z3465" s="25"/>
    </row>
    <row r="3466" spans="1:26" ht="15.75" customHeight="1" x14ac:dyDescent="0.45">
      <c r="A3466" s="25"/>
      <c r="B3466" s="25"/>
      <c r="C3466" s="25"/>
      <c r="D3466" s="25"/>
      <c r="E3466" s="25"/>
      <c r="F3466" s="25"/>
      <c r="G3466" s="25"/>
      <c r="H3466" s="25"/>
      <c r="I3466" s="24" t="s">
        <v>418</v>
      </c>
      <c r="J3466" s="25"/>
      <c r="K3466" s="25"/>
      <c r="L3466" s="25"/>
      <c r="M3466" s="25"/>
      <c r="N3466" s="25"/>
      <c r="O3466" s="25"/>
      <c r="P3466" s="25"/>
      <c r="Q3466" s="25"/>
      <c r="R3466" s="25"/>
      <c r="S3466" s="25"/>
      <c r="T3466" s="25"/>
      <c r="U3466" s="25"/>
      <c r="V3466" s="25"/>
      <c r="W3466" s="25"/>
      <c r="X3466" s="25"/>
      <c r="Y3466" s="25"/>
      <c r="Z3466" s="25"/>
    </row>
    <row r="3467" spans="1:26" ht="15.75" customHeight="1" x14ac:dyDescent="0.45">
      <c r="A3467" s="25"/>
      <c r="B3467" s="25"/>
      <c r="C3467" s="25"/>
      <c r="D3467" s="25"/>
      <c r="E3467" s="25"/>
      <c r="F3467" s="25"/>
      <c r="G3467" s="25"/>
      <c r="H3467" s="25"/>
      <c r="I3467" s="24" t="s">
        <v>418</v>
      </c>
      <c r="J3467" s="25"/>
      <c r="K3467" s="25"/>
      <c r="L3467" s="25"/>
      <c r="M3467" s="25"/>
      <c r="N3467" s="25"/>
      <c r="O3467" s="25"/>
      <c r="P3467" s="25"/>
      <c r="Q3467" s="25"/>
      <c r="R3467" s="25"/>
      <c r="S3467" s="25"/>
      <c r="T3467" s="25"/>
      <c r="U3467" s="25"/>
      <c r="V3467" s="25"/>
      <c r="W3467" s="25"/>
      <c r="X3467" s="25"/>
      <c r="Y3467" s="25"/>
      <c r="Z3467" s="25"/>
    </row>
    <row r="3468" spans="1:26" ht="15.75" customHeight="1" x14ac:dyDescent="0.45">
      <c r="A3468" s="25"/>
      <c r="B3468" s="25"/>
      <c r="C3468" s="25"/>
      <c r="D3468" s="25"/>
      <c r="E3468" s="25"/>
      <c r="F3468" s="25"/>
      <c r="G3468" s="25"/>
      <c r="H3468" s="25"/>
      <c r="I3468" s="24" t="s">
        <v>418</v>
      </c>
      <c r="J3468" s="25"/>
      <c r="K3468" s="25"/>
      <c r="L3468" s="25"/>
      <c r="M3468" s="25"/>
      <c r="N3468" s="25"/>
      <c r="O3468" s="25"/>
      <c r="P3468" s="25"/>
      <c r="Q3468" s="25"/>
      <c r="R3468" s="25"/>
      <c r="S3468" s="25"/>
      <c r="T3468" s="25"/>
      <c r="U3468" s="25"/>
      <c r="V3468" s="25"/>
      <c r="W3468" s="25"/>
      <c r="X3468" s="25"/>
      <c r="Y3468" s="25"/>
      <c r="Z3468" s="25"/>
    </row>
    <row r="3469" spans="1:26" ht="15.75" customHeight="1" x14ac:dyDescent="0.45">
      <c r="A3469" s="25"/>
      <c r="B3469" s="25"/>
      <c r="C3469" s="25"/>
      <c r="D3469" s="25"/>
      <c r="E3469" s="25"/>
      <c r="F3469" s="25"/>
      <c r="G3469" s="25"/>
      <c r="H3469" s="25"/>
      <c r="I3469" s="24" t="s">
        <v>418</v>
      </c>
      <c r="J3469" s="25"/>
      <c r="K3469" s="25"/>
      <c r="L3469" s="25"/>
      <c r="M3469" s="25"/>
      <c r="N3469" s="25"/>
      <c r="O3469" s="25"/>
      <c r="P3469" s="25"/>
      <c r="Q3469" s="25"/>
      <c r="R3469" s="25"/>
      <c r="S3469" s="25"/>
      <c r="T3469" s="25"/>
      <c r="U3469" s="25"/>
      <c r="V3469" s="25"/>
      <c r="W3469" s="25"/>
      <c r="X3469" s="25"/>
      <c r="Y3469" s="25"/>
      <c r="Z3469" s="25"/>
    </row>
    <row r="3470" spans="1:26" ht="15.75" customHeight="1" x14ac:dyDescent="0.45">
      <c r="A3470" s="25"/>
      <c r="B3470" s="25"/>
      <c r="C3470" s="25"/>
      <c r="D3470" s="25"/>
      <c r="E3470" s="25"/>
      <c r="F3470" s="25"/>
      <c r="G3470" s="25"/>
      <c r="H3470" s="25"/>
      <c r="I3470" s="24" t="s">
        <v>418</v>
      </c>
      <c r="J3470" s="25"/>
      <c r="K3470" s="25"/>
      <c r="L3470" s="25"/>
      <c r="M3470" s="25"/>
      <c r="N3470" s="25"/>
      <c r="O3470" s="25"/>
      <c r="P3470" s="25"/>
      <c r="Q3470" s="25"/>
      <c r="R3470" s="25"/>
      <c r="S3470" s="25"/>
      <c r="T3470" s="25"/>
      <c r="U3470" s="25"/>
      <c r="V3470" s="25"/>
      <c r="W3470" s="25"/>
      <c r="X3470" s="25"/>
      <c r="Y3470" s="25"/>
      <c r="Z3470" s="25"/>
    </row>
    <row r="3471" spans="1:26" ht="15.75" customHeight="1" x14ac:dyDescent="0.45">
      <c r="A3471" s="25"/>
      <c r="B3471" s="25"/>
      <c r="C3471" s="25"/>
      <c r="D3471" s="25"/>
      <c r="E3471" s="25"/>
      <c r="F3471" s="25"/>
      <c r="G3471" s="25"/>
      <c r="H3471" s="25"/>
      <c r="I3471" s="24" t="s">
        <v>418</v>
      </c>
      <c r="J3471" s="25"/>
      <c r="K3471" s="25"/>
      <c r="L3471" s="25"/>
      <c r="M3471" s="25"/>
      <c r="N3471" s="25"/>
      <c r="O3471" s="25"/>
      <c r="P3471" s="25"/>
      <c r="Q3471" s="25"/>
      <c r="R3471" s="25"/>
      <c r="S3471" s="25"/>
      <c r="T3471" s="25"/>
      <c r="U3471" s="25"/>
      <c r="V3471" s="25"/>
      <c r="W3471" s="25"/>
      <c r="X3471" s="25"/>
      <c r="Y3471" s="25"/>
      <c r="Z3471" s="25"/>
    </row>
    <row r="3472" spans="1:26" ht="15.75" customHeight="1" x14ac:dyDescent="0.45">
      <c r="A3472" s="25"/>
      <c r="B3472" s="25"/>
      <c r="C3472" s="25"/>
      <c r="D3472" s="25"/>
      <c r="E3472" s="25"/>
      <c r="F3472" s="25"/>
      <c r="G3472" s="25"/>
      <c r="H3472" s="25"/>
      <c r="I3472" s="24" t="s">
        <v>418</v>
      </c>
      <c r="J3472" s="25"/>
      <c r="K3472" s="25"/>
      <c r="L3472" s="25"/>
      <c r="M3472" s="25"/>
      <c r="N3472" s="25"/>
      <c r="O3472" s="25"/>
      <c r="P3472" s="25"/>
      <c r="Q3472" s="25"/>
      <c r="R3472" s="25"/>
      <c r="S3472" s="25"/>
      <c r="T3472" s="25"/>
      <c r="U3472" s="25"/>
      <c r="V3472" s="25"/>
      <c r="W3472" s="25"/>
      <c r="X3472" s="25"/>
      <c r="Y3472" s="25"/>
      <c r="Z3472" s="25"/>
    </row>
    <row r="3473" spans="1:26" ht="15.75" customHeight="1" x14ac:dyDescent="0.75">
      <c r="A3473" s="43" t="s">
        <v>0</v>
      </c>
      <c r="B3473" s="40"/>
      <c r="C3473" s="40"/>
      <c r="D3473" s="40"/>
      <c r="E3473" s="40"/>
      <c r="F3473" s="40"/>
      <c r="G3473" s="40"/>
      <c r="H3473" s="41"/>
      <c r="I3473" s="24" t="s">
        <v>418</v>
      </c>
      <c r="J3473" s="25"/>
      <c r="K3473" s="25"/>
      <c r="L3473" s="25"/>
      <c r="M3473" s="25"/>
      <c r="N3473" s="25"/>
      <c r="O3473" s="25"/>
      <c r="P3473" s="25"/>
      <c r="Q3473" s="25"/>
      <c r="R3473" s="25"/>
      <c r="S3473" s="25"/>
      <c r="T3473" s="25"/>
      <c r="U3473" s="25"/>
      <c r="V3473" s="25"/>
      <c r="W3473" s="25"/>
      <c r="X3473" s="25"/>
      <c r="Y3473" s="25"/>
      <c r="Z3473" s="25"/>
    </row>
    <row r="3474" spans="1:26" ht="15.75" customHeight="1" x14ac:dyDescent="0.75">
      <c r="A3474" s="43" t="s">
        <v>539</v>
      </c>
      <c r="B3474" s="40"/>
      <c r="C3474" s="40"/>
      <c r="D3474" s="40"/>
      <c r="E3474" s="40"/>
      <c r="F3474" s="40"/>
      <c r="G3474" s="40"/>
      <c r="H3474" s="41"/>
      <c r="I3474" s="24" t="s">
        <v>418</v>
      </c>
      <c r="J3474" s="25"/>
      <c r="K3474" s="25"/>
      <c r="L3474" s="25"/>
      <c r="M3474" s="25"/>
      <c r="N3474" s="25"/>
      <c r="O3474" s="25"/>
      <c r="P3474" s="25"/>
      <c r="Q3474" s="25"/>
      <c r="R3474" s="25"/>
      <c r="S3474" s="25"/>
      <c r="T3474" s="25"/>
      <c r="U3474" s="25"/>
      <c r="V3474" s="25"/>
      <c r="W3474" s="25"/>
      <c r="X3474" s="25"/>
      <c r="Y3474" s="25"/>
      <c r="Z3474" s="25"/>
    </row>
    <row r="3475" spans="1:26" ht="15.75" customHeight="1" x14ac:dyDescent="0.55000000000000004">
      <c r="A3475" s="2" t="s">
        <v>3</v>
      </c>
      <c r="B3475" s="2" t="s">
        <v>4</v>
      </c>
      <c r="C3475" s="2" t="s">
        <v>5</v>
      </c>
      <c r="D3475" s="2" t="s">
        <v>6</v>
      </c>
      <c r="E3475" s="2" t="s">
        <v>7</v>
      </c>
      <c r="F3475" s="3" t="s">
        <v>8</v>
      </c>
      <c r="G3475" s="2" t="s">
        <v>9</v>
      </c>
      <c r="H3475" s="26"/>
      <c r="I3475" s="24" t="s">
        <v>418</v>
      </c>
      <c r="J3475" s="25"/>
      <c r="K3475" s="25"/>
      <c r="L3475" s="25"/>
      <c r="M3475" s="25"/>
      <c r="N3475" s="25"/>
      <c r="O3475" s="25"/>
      <c r="P3475" s="25"/>
      <c r="Q3475" s="25"/>
      <c r="R3475" s="25"/>
      <c r="S3475" s="25"/>
      <c r="T3475" s="25"/>
      <c r="U3475" s="25"/>
      <c r="V3475" s="25"/>
      <c r="W3475" s="25"/>
      <c r="X3475" s="25"/>
      <c r="Y3475" s="25"/>
      <c r="Z3475" s="25"/>
    </row>
    <row r="3476" spans="1:26" ht="15.75" customHeight="1" x14ac:dyDescent="0.75">
      <c r="A3476" s="5">
        <v>1</v>
      </c>
      <c r="B3476" s="32" t="s">
        <v>311</v>
      </c>
      <c r="C3476" s="33" t="s">
        <v>540</v>
      </c>
      <c r="D3476" s="27" t="s">
        <v>12</v>
      </c>
      <c r="E3476" s="27">
        <v>1.55</v>
      </c>
      <c r="F3476" s="8">
        <v>293000</v>
      </c>
      <c r="G3476" s="9">
        <f t="shared" ref="G3476:G3478" si="215">IFERROR(E3476*F3476,0)</f>
        <v>454150</v>
      </c>
      <c r="H3476" s="29"/>
      <c r="I3476" s="24" t="s">
        <v>418</v>
      </c>
      <c r="J3476" s="25"/>
      <c r="K3476" s="25"/>
      <c r="L3476" s="25"/>
      <c r="M3476" s="25"/>
      <c r="N3476" s="25"/>
      <c r="O3476" s="25"/>
      <c r="P3476" s="25"/>
      <c r="Q3476" s="25"/>
      <c r="R3476" s="25"/>
      <c r="S3476" s="25"/>
      <c r="T3476" s="25"/>
      <c r="U3476" s="25"/>
      <c r="V3476" s="25"/>
      <c r="W3476" s="25"/>
      <c r="X3476" s="25"/>
      <c r="Y3476" s="25"/>
      <c r="Z3476" s="25"/>
    </row>
    <row r="3477" spans="1:26" ht="15.75" customHeight="1" x14ac:dyDescent="0.75">
      <c r="A3477" s="5">
        <v>2</v>
      </c>
      <c r="B3477" s="30" t="s">
        <v>27</v>
      </c>
      <c r="C3477" s="31" t="s">
        <v>541</v>
      </c>
      <c r="D3477" s="30" t="s">
        <v>14</v>
      </c>
      <c r="E3477" s="30">
        <v>2</v>
      </c>
      <c r="F3477" s="11">
        <v>435000</v>
      </c>
      <c r="G3477" s="9">
        <f t="shared" si="215"/>
        <v>870000</v>
      </c>
      <c r="H3477" s="29"/>
      <c r="I3477" s="24" t="s">
        <v>418</v>
      </c>
      <c r="J3477" s="25"/>
      <c r="K3477" s="25"/>
      <c r="L3477" s="25"/>
      <c r="M3477" s="25"/>
      <c r="N3477" s="25"/>
      <c r="O3477" s="25"/>
      <c r="P3477" s="25"/>
      <c r="Q3477" s="25"/>
      <c r="R3477" s="25"/>
      <c r="S3477" s="25"/>
      <c r="T3477" s="25"/>
      <c r="U3477" s="25"/>
      <c r="V3477" s="25"/>
      <c r="W3477" s="25"/>
      <c r="X3477" s="25"/>
      <c r="Y3477" s="25"/>
      <c r="Z3477" s="25"/>
    </row>
    <row r="3478" spans="1:26" ht="15.75" customHeight="1" x14ac:dyDescent="0.75">
      <c r="A3478" s="5">
        <v>3</v>
      </c>
      <c r="B3478" s="12" t="s">
        <v>15</v>
      </c>
      <c r="C3478" s="29"/>
      <c r="D3478" s="29"/>
      <c r="E3478" s="29"/>
      <c r="F3478" s="29"/>
      <c r="G3478" s="13">
        <f t="shared" si="215"/>
        <v>0</v>
      </c>
      <c r="H3478" s="29"/>
      <c r="I3478" s="24" t="s">
        <v>418</v>
      </c>
      <c r="J3478" s="25"/>
      <c r="K3478" s="25"/>
      <c r="L3478" s="25"/>
      <c r="M3478" s="25"/>
      <c r="N3478" s="25"/>
      <c r="O3478" s="25"/>
      <c r="P3478" s="25"/>
      <c r="Q3478" s="25"/>
      <c r="R3478" s="25"/>
      <c r="S3478" s="25"/>
      <c r="T3478" s="25"/>
      <c r="U3478" s="25"/>
      <c r="V3478" s="25"/>
      <c r="W3478" s="25"/>
      <c r="X3478" s="25"/>
      <c r="Y3478" s="25"/>
      <c r="Z3478" s="25"/>
    </row>
    <row r="3479" spans="1:26" ht="15.75" customHeight="1" x14ac:dyDescent="0.75">
      <c r="A3479" s="39" t="s">
        <v>16</v>
      </c>
      <c r="B3479" s="40"/>
      <c r="C3479" s="40"/>
      <c r="D3479" s="40"/>
      <c r="E3479" s="40"/>
      <c r="F3479" s="40"/>
      <c r="G3479" s="41"/>
      <c r="H3479" s="14">
        <f>SUM(G3476:G3478)</f>
        <v>1324150</v>
      </c>
      <c r="I3479" s="24" t="s">
        <v>418</v>
      </c>
      <c r="J3479" s="25"/>
      <c r="K3479" s="25"/>
      <c r="L3479" s="25"/>
      <c r="M3479" s="25"/>
      <c r="N3479" s="25"/>
      <c r="O3479" s="25"/>
      <c r="P3479" s="25"/>
      <c r="Q3479" s="25"/>
      <c r="R3479" s="25"/>
      <c r="S3479" s="25"/>
      <c r="T3479" s="25"/>
      <c r="U3479" s="25"/>
      <c r="V3479" s="25"/>
      <c r="W3479" s="25"/>
      <c r="X3479" s="25"/>
      <c r="Y3479" s="25"/>
      <c r="Z3479" s="25"/>
    </row>
    <row r="3480" spans="1:26" ht="15.75" customHeight="1" x14ac:dyDescent="0.75">
      <c r="A3480" s="39" t="s">
        <v>17</v>
      </c>
      <c r="B3480" s="40"/>
      <c r="C3480" s="40"/>
      <c r="D3480" s="40"/>
      <c r="E3480" s="40"/>
      <c r="F3480" s="40"/>
      <c r="G3480" s="41"/>
      <c r="H3480" s="14">
        <f>MAX(0,H3479-648000)</f>
        <v>676150</v>
      </c>
      <c r="I3480" s="24" t="s">
        <v>418</v>
      </c>
      <c r="J3480" s="25"/>
      <c r="K3480" s="25"/>
      <c r="L3480" s="25"/>
      <c r="M3480" s="25"/>
      <c r="N3480" s="25"/>
      <c r="O3480" s="25"/>
      <c r="P3480" s="25"/>
      <c r="Q3480" s="25"/>
      <c r="R3480" s="25"/>
      <c r="S3480" s="25"/>
      <c r="T3480" s="25"/>
      <c r="U3480" s="25"/>
      <c r="V3480" s="25"/>
      <c r="W3480" s="25"/>
      <c r="X3480" s="25"/>
      <c r="Y3480" s="25"/>
      <c r="Z3480" s="25"/>
    </row>
    <row r="3481" spans="1:26" ht="15.75" customHeight="1" x14ac:dyDescent="0.75">
      <c r="A3481" s="42" t="s">
        <v>18</v>
      </c>
      <c r="B3481" s="40"/>
      <c r="C3481" s="40"/>
      <c r="D3481" s="40"/>
      <c r="E3481" s="40"/>
      <c r="F3481" s="40"/>
      <c r="G3481" s="41"/>
      <c r="H3481" s="15">
        <v>649000</v>
      </c>
      <c r="I3481" s="24" t="s">
        <v>418</v>
      </c>
      <c r="J3481" s="25"/>
      <c r="K3481" s="25"/>
      <c r="L3481" s="25"/>
      <c r="M3481" s="25"/>
      <c r="N3481" s="25"/>
      <c r="O3481" s="25"/>
      <c r="P3481" s="25"/>
      <c r="Q3481" s="25"/>
      <c r="R3481" s="25"/>
      <c r="S3481" s="25"/>
      <c r="T3481" s="25"/>
      <c r="U3481" s="25"/>
      <c r="V3481" s="25"/>
      <c r="W3481" s="25"/>
      <c r="X3481" s="25"/>
      <c r="Y3481" s="25"/>
      <c r="Z3481" s="25"/>
    </row>
    <row r="3482" spans="1:26" ht="15.75" customHeight="1" x14ac:dyDescent="0.75">
      <c r="A3482" s="43" t="s">
        <v>19</v>
      </c>
      <c r="B3482" s="40"/>
      <c r="C3482" s="40"/>
      <c r="D3482" s="40"/>
      <c r="E3482" s="40"/>
      <c r="F3482" s="40"/>
      <c r="G3482" s="40"/>
      <c r="H3482" s="41"/>
      <c r="I3482" s="24" t="s">
        <v>418</v>
      </c>
      <c r="J3482" s="25"/>
      <c r="K3482" s="25"/>
      <c r="L3482" s="25"/>
      <c r="M3482" s="25"/>
      <c r="N3482" s="25"/>
      <c r="O3482" s="25"/>
      <c r="P3482" s="25"/>
      <c r="Q3482" s="25"/>
      <c r="R3482" s="25"/>
      <c r="S3482" s="25"/>
      <c r="T3482" s="25"/>
      <c r="U3482" s="25"/>
      <c r="V3482" s="25"/>
      <c r="W3482" s="25"/>
      <c r="X3482" s="25"/>
      <c r="Y3482" s="25"/>
      <c r="Z3482" s="25"/>
    </row>
    <row r="3483" spans="1:26" ht="15.75" customHeight="1" x14ac:dyDescent="0.45">
      <c r="A3483" s="25"/>
      <c r="B3483" s="25"/>
      <c r="C3483" s="25"/>
      <c r="D3483" s="25"/>
      <c r="E3483" s="25"/>
      <c r="F3483" s="25"/>
      <c r="G3483" s="25"/>
      <c r="H3483" s="25"/>
      <c r="I3483" s="24" t="s">
        <v>418</v>
      </c>
      <c r="J3483" s="25"/>
      <c r="K3483" s="25"/>
      <c r="L3483" s="25"/>
      <c r="M3483" s="25"/>
      <c r="N3483" s="25"/>
      <c r="O3483" s="25"/>
      <c r="P3483" s="25"/>
      <c r="Q3483" s="25"/>
      <c r="R3483" s="25"/>
      <c r="S3483" s="25"/>
      <c r="T3483" s="25"/>
      <c r="U3483" s="25"/>
      <c r="V3483" s="25"/>
      <c r="W3483" s="25"/>
      <c r="X3483" s="25"/>
      <c r="Y3483" s="25"/>
      <c r="Z3483" s="25"/>
    </row>
    <row r="3484" spans="1:26" ht="15.75" customHeight="1" x14ac:dyDescent="0.45">
      <c r="A3484" s="25"/>
      <c r="B3484" s="25"/>
      <c r="C3484" s="25"/>
      <c r="D3484" s="25"/>
      <c r="E3484" s="25"/>
      <c r="F3484" s="25"/>
      <c r="G3484" s="25"/>
      <c r="H3484" s="25"/>
      <c r="I3484" s="24" t="s">
        <v>418</v>
      </c>
      <c r="J3484" s="25"/>
      <c r="K3484" s="25"/>
      <c r="L3484" s="25"/>
      <c r="M3484" s="25"/>
      <c r="N3484" s="25"/>
      <c r="O3484" s="25"/>
      <c r="P3484" s="25"/>
      <c r="Q3484" s="25"/>
      <c r="R3484" s="25"/>
      <c r="S3484" s="25"/>
      <c r="T3484" s="25"/>
      <c r="U3484" s="25"/>
      <c r="V3484" s="25"/>
      <c r="W3484" s="25"/>
      <c r="X3484" s="25"/>
      <c r="Y3484" s="25"/>
      <c r="Z3484" s="25"/>
    </row>
    <row r="3485" spans="1:26" ht="15.75" customHeight="1" x14ac:dyDescent="0.45">
      <c r="A3485" s="25"/>
      <c r="B3485" s="25"/>
      <c r="C3485" s="25"/>
      <c r="D3485" s="25"/>
      <c r="E3485" s="25"/>
      <c r="F3485" s="25"/>
      <c r="G3485" s="25"/>
      <c r="H3485" s="25"/>
      <c r="I3485" s="24" t="s">
        <v>418</v>
      </c>
      <c r="J3485" s="25"/>
      <c r="K3485" s="25"/>
      <c r="L3485" s="25"/>
      <c r="M3485" s="25"/>
      <c r="N3485" s="25"/>
      <c r="O3485" s="25"/>
      <c r="P3485" s="25"/>
      <c r="Q3485" s="25"/>
      <c r="R3485" s="25"/>
      <c r="S3485" s="25"/>
      <c r="T3485" s="25"/>
      <c r="U3485" s="25"/>
      <c r="V3485" s="25"/>
      <c r="W3485" s="25"/>
      <c r="X3485" s="25"/>
      <c r="Y3485" s="25"/>
      <c r="Z3485" s="25"/>
    </row>
    <row r="3486" spans="1:26" ht="15.75" customHeight="1" x14ac:dyDescent="0.45">
      <c r="A3486" s="25"/>
      <c r="B3486" s="25"/>
      <c r="C3486" s="25"/>
      <c r="D3486" s="25"/>
      <c r="E3486" s="25"/>
      <c r="F3486" s="25"/>
      <c r="G3486" s="25"/>
      <c r="H3486" s="25"/>
      <c r="I3486" s="24" t="s">
        <v>418</v>
      </c>
      <c r="J3486" s="25"/>
      <c r="K3486" s="25"/>
      <c r="L3486" s="25"/>
      <c r="M3486" s="25"/>
      <c r="N3486" s="25"/>
      <c r="O3486" s="25"/>
      <c r="P3486" s="25"/>
      <c r="Q3486" s="25"/>
      <c r="R3486" s="25"/>
      <c r="S3486" s="25"/>
      <c r="T3486" s="25"/>
      <c r="U3486" s="25"/>
      <c r="V3486" s="25"/>
      <c r="W3486" s="25"/>
      <c r="X3486" s="25"/>
      <c r="Y3486" s="25"/>
      <c r="Z3486" s="25"/>
    </row>
    <row r="3487" spans="1:26" ht="15.75" customHeight="1" x14ac:dyDescent="0.45">
      <c r="A3487" s="25"/>
      <c r="B3487" s="25"/>
      <c r="C3487" s="25"/>
      <c r="D3487" s="25"/>
      <c r="E3487" s="25"/>
      <c r="F3487" s="25"/>
      <c r="G3487" s="25"/>
      <c r="H3487" s="25"/>
      <c r="I3487" s="24" t="s">
        <v>418</v>
      </c>
      <c r="J3487" s="25"/>
      <c r="K3487" s="25"/>
      <c r="L3487" s="25"/>
      <c r="M3487" s="25"/>
      <c r="N3487" s="25"/>
      <c r="O3487" s="25"/>
      <c r="P3487" s="25"/>
      <c r="Q3487" s="25"/>
      <c r="R3487" s="25"/>
      <c r="S3487" s="25"/>
      <c r="T3487" s="25"/>
      <c r="U3487" s="25"/>
      <c r="V3487" s="25"/>
      <c r="W3487" s="25"/>
      <c r="X3487" s="25"/>
      <c r="Y3487" s="25"/>
      <c r="Z3487" s="25"/>
    </row>
    <row r="3488" spans="1:26" ht="15.75" customHeight="1" x14ac:dyDescent="0.45">
      <c r="A3488" s="25"/>
      <c r="B3488" s="25"/>
      <c r="C3488" s="25"/>
      <c r="D3488" s="25"/>
      <c r="E3488" s="25"/>
      <c r="F3488" s="25"/>
      <c r="G3488" s="25"/>
      <c r="H3488" s="25"/>
      <c r="I3488" s="24" t="s">
        <v>418</v>
      </c>
      <c r="J3488" s="25"/>
      <c r="K3488" s="25"/>
      <c r="L3488" s="25"/>
      <c r="M3488" s="25"/>
      <c r="N3488" s="25"/>
      <c r="O3488" s="25"/>
      <c r="P3488" s="25"/>
      <c r="Q3488" s="25"/>
      <c r="R3488" s="25"/>
      <c r="S3488" s="25"/>
      <c r="T3488" s="25"/>
      <c r="U3488" s="25"/>
      <c r="V3488" s="25"/>
      <c r="W3488" s="25"/>
      <c r="X3488" s="25"/>
      <c r="Y3488" s="25"/>
      <c r="Z3488" s="25"/>
    </row>
    <row r="3489" spans="1:26" ht="15.75" customHeight="1" x14ac:dyDescent="0.45">
      <c r="A3489" s="25"/>
      <c r="B3489" s="25"/>
      <c r="C3489" s="25"/>
      <c r="D3489" s="25"/>
      <c r="E3489" s="25"/>
      <c r="F3489" s="25"/>
      <c r="G3489" s="25"/>
      <c r="H3489" s="25"/>
      <c r="I3489" s="24" t="s">
        <v>418</v>
      </c>
      <c r="J3489" s="25"/>
      <c r="K3489" s="25"/>
      <c r="L3489" s="25"/>
      <c r="M3489" s="25"/>
      <c r="N3489" s="25"/>
      <c r="O3489" s="25"/>
      <c r="P3489" s="25"/>
      <c r="Q3489" s="25"/>
      <c r="R3489" s="25"/>
      <c r="S3489" s="25"/>
      <c r="T3489" s="25"/>
      <c r="U3489" s="25"/>
      <c r="V3489" s="25"/>
      <c r="W3489" s="25"/>
      <c r="X3489" s="25"/>
      <c r="Y3489" s="25"/>
      <c r="Z3489" s="25"/>
    </row>
    <row r="3490" spans="1:26" ht="15.75" customHeight="1" x14ac:dyDescent="0.75">
      <c r="A3490" s="43" t="s">
        <v>0</v>
      </c>
      <c r="B3490" s="40"/>
      <c r="C3490" s="40"/>
      <c r="D3490" s="40"/>
      <c r="E3490" s="40"/>
      <c r="F3490" s="40"/>
      <c r="G3490" s="40"/>
      <c r="H3490" s="41"/>
      <c r="I3490" s="24" t="s">
        <v>418</v>
      </c>
      <c r="J3490" s="25"/>
      <c r="K3490" s="25"/>
      <c r="L3490" s="25"/>
      <c r="M3490" s="25"/>
      <c r="N3490" s="25"/>
      <c r="O3490" s="25"/>
      <c r="P3490" s="25"/>
      <c r="Q3490" s="25"/>
      <c r="R3490" s="25"/>
      <c r="S3490" s="25"/>
      <c r="T3490" s="25"/>
      <c r="U3490" s="25"/>
      <c r="V3490" s="25"/>
      <c r="W3490" s="25"/>
      <c r="X3490" s="25"/>
      <c r="Y3490" s="25"/>
      <c r="Z3490" s="25"/>
    </row>
    <row r="3491" spans="1:26" ht="15.75" customHeight="1" x14ac:dyDescent="0.75">
      <c r="A3491" s="43" t="s">
        <v>542</v>
      </c>
      <c r="B3491" s="40"/>
      <c r="C3491" s="40"/>
      <c r="D3491" s="40"/>
      <c r="E3491" s="40"/>
      <c r="F3491" s="40"/>
      <c r="G3491" s="40"/>
      <c r="H3491" s="41"/>
      <c r="I3491" s="24" t="s">
        <v>418</v>
      </c>
      <c r="J3491" s="25"/>
      <c r="K3491" s="25"/>
      <c r="L3491" s="25"/>
      <c r="M3491" s="25"/>
      <c r="N3491" s="25"/>
      <c r="O3491" s="25"/>
      <c r="P3491" s="25"/>
      <c r="Q3491" s="25"/>
      <c r="R3491" s="25"/>
      <c r="S3491" s="25"/>
      <c r="T3491" s="25"/>
      <c r="U3491" s="25"/>
      <c r="V3491" s="25"/>
      <c r="W3491" s="25"/>
      <c r="X3491" s="25"/>
      <c r="Y3491" s="25"/>
      <c r="Z3491" s="25"/>
    </row>
    <row r="3492" spans="1:26" ht="15.75" customHeight="1" x14ac:dyDescent="0.55000000000000004">
      <c r="A3492" s="2" t="s">
        <v>3</v>
      </c>
      <c r="B3492" s="2" t="s">
        <v>4</v>
      </c>
      <c r="C3492" s="2" t="s">
        <v>5</v>
      </c>
      <c r="D3492" s="2" t="s">
        <v>6</v>
      </c>
      <c r="E3492" s="2" t="s">
        <v>7</v>
      </c>
      <c r="F3492" s="3" t="s">
        <v>8</v>
      </c>
      <c r="G3492" s="2" t="s">
        <v>9</v>
      </c>
      <c r="H3492" s="26"/>
      <c r="I3492" s="24" t="s">
        <v>418</v>
      </c>
      <c r="J3492" s="25"/>
      <c r="K3492" s="25"/>
      <c r="L3492" s="25"/>
      <c r="M3492" s="25"/>
      <c r="N3492" s="25"/>
      <c r="O3492" s="25"/>
      <c r="P3492" s="25"/>
      <c r="Q3492" s="25"/>
      <c r="R3492" s="25"/>
      <c r="S3492" s="25"/>
      <c r="T3492" s="25"/>
      <c r="U3492" s="25"/>
      <c r="V3492" s="25"/>
      <c r="W3492" s="25"/>
      <c r="X3492" s="25"/>
      <c r="Y3492" s="25"/>
      <c r="Z3492" s="25"/>
    </row>
    <row r="3493" spans="1:26" ht="15.75" customHeight="1" x14ac:dyDescent="0.75">
      <c r="A3493" s="5">
        <v>1</v>
      </c>
      <c r="B3493" s="27" t="s">
        <v>68</v>
      </c>
      <c r="C3493" s="28" t="s">
        <v>543</v>
      </c>
      <c r="D3493" s="27" t="s">
        <v>12</v>
      </c>
      <c r="E3493" s="27">
        <v>2</v>
      </c>
      <c r="F3493" s="8">
        <v>293000</v>
      </c>
      <c r="G3493" s="9">
        <f t="shared" ref="G3493:G3495" si="216">IFERROR(E3493*F3493,0)</f>
        <v>586000</v>
      </c>
      <c r="H3493" s="29"/>
      <c r="I3493" s="24" t="s">
        <v>418</v>
      </c>
      <c r="J3493" s="25"/>
      <c r="K3493" s="25"/>
      <c r="L3493" s="25"/>
      <c r="M3493" s="25"/>
      <c r="N3493" s="25"/>
      <c r="O3493" s="25"/>
      <c r="P3493" s="25"/>
      <c r="Q3493" s="25"/>
      <c r="R3493" s="25"/>
      <c r="S3493" s="25"/>
      <c r="T3493" s="25"/>
      <c r="U3493" s="25"/>
      <c r="V3493" s="25"/>
      <c r="W3493" s="25"/>
      <c r="X3493" s="25"/>
      <c r="Y3493" s="25"/>
      <c r="Z3493" s="25"/>
    </row>
    <row r="3494" spans="1:26" ht="15.75" customHeight="1" x14ac:dyDescent="0.75">
      <c r="A3494" s="5">
        <v>2</v>
      </c>
      <c r="B3494" s="30" t="s">
        <v>35</v>
      </c>
      <c r="C3494" s="31" t="s">
        <v>544</v>
      </c>
      <c r="D3494" s="30" t="s">
        <v>14</v>
      </c>
      <c r="E3494" s="30">
        <v>1.94</v>
      </c>
      <c r="F3494" s="11">
        <v>435000</v>
      </c>
      <c r="G3494" s="9">
        <f t="shared" si="216"/>
        <v>843900</v>
      </c>
      <c r="H3494" s="29"/>
      <c r="I3494" s="24" t="s">
        <v>418</v>
      </c>
      <c r="J3494" s="25"/>
      <c r="K3494" s="25"/>
      <c r="L3494" s="25"/>
      <c r="M3494" s="25"/>
      <c r="N3494" s="25"/>
      <c r="O3494" s="25"/>
      <c r="P3494" s="25"/>
      <c r="Q3494" s="25"/>
      <c r="R3494" s="25"/>
      <c r="S3494" s="25"/>
      <c r="T3494" s="25"/>
      <c r="U3494" s="25"/>
      <c r="V3494" s="25"/>
      <c r="W3494" s="25"/>
      <c r="X3494" s="25"/>
      <c r="Y3494" s="25"/>
      <c r="Z3494" s="25"/>
    </row>
    <row r="3495" spans="1:26" ht="15.75" customHeight="1" x14ac:dyDescent="0.75">
      <c r="A3495" s="5">
        <v>3</v>
      </c>
      <c r="B3495" s="12" t="s">
        <v>15</v>
      </c>
      <c r="C3495" s="29"/>
      <c r="D3495" s="29"/>
      <c r="E3495" s="29"/>
      <c r="F3495" s="29"/>
      <c r="G3495" s="13">
        <f t="shared" si="216"/>
        <v>0</v>
      </c>
      <c r="H3495" s="29"/>
      <c r="I3495" s="24" t="s">
        <v>418</v>
      </c>
      <c r="J3495" s="25"/>
      <c r="K3495" s="25"/>
      <c r="L3495" s="25"/>
      <c r="M3495" s="25"/>
      <c r="N3495" s="25"/>
      <c r="O3495" s="25"/>
      <c r="P3495" s="25"/>
      <c r="Q3495" s="25"/>
      <c r="R3495" s="25"/>
      <c r="S3495" s="25"/>
      <c r="T3495" s="25"/>
      <c r="U3495" s="25"/>
      <c r="V3495" s="25"/>
      <c r="W3495" s="25"/>
      <c r="X3495" s="25"/>
      <c r="Y3495" s="25"/>
      <c r="Z3495" s="25"/>
    </row>
    <row r="3496" spans="1:26" ht="15.75" customHeight="1" x14ac:dyDescent="0.75">
      <c r="A3496" s="39" t="s">
        <v>16</v>
      </c>
      <c r="B3496" s="40"/>
      <c r="C3496" s="40"/>
      <c r="D3496" s="40"/>
      <c r="E3496" s="40"/>
      <c r="F3496" s="40"/>
      <c r="G3496" s="41"/>
      <c r="H3496" s="14">
        <f>SUM(G3493:G3495)</f>
        <v>1429900</v>
      </c>
      <c r="I3496" s="24" t="s">
        <v>418</v>
      </c>
      <c r="J3496" s="25"/>
      <c r="K3496" s="25"/>
      <c r="L3496" s="25"/>
      <c r="M3496" s="25"/>
      <c r="N3496" s="25"/>
      <c r="O3496" s="25"/>
      <c r="P3496" s="25"/>
      <c r="Q3496" s="25"/>
      <c r="R3496" s="25"/>
      <c r="S3496" s="25"/>
      <c r="T3496" s="25"/>
      <c r="U3496" s="25"/>
      <c r="V3496" s="25"/>
      <c r="W3496" s="25"/>
      <c r="X3496" s="25"/>
      <c r="Y3496" s="25"/>
      <c r="Z3496" s="25"/>
    </row>
    <row r="3497" spans="1:26" ht="15.75" customHeight="1" x14ac:dyDescent="0.75">
      <c r="A3497" s="39" t="s">
        <v>17</v>
      </c>
      <c r="B3497" s="40"/>
      <c r="C3497" s="40"/>
      <c r="D3497" s="40"/>
      <c r="E3497" s="40"/>
      <c r="F3497" s="40"/>
      <c r="G3497" s="41"/>
      <c r="H3497" s="14">
        <f>MAX(0,H3496-648000)</f>
        <v>781900</v>
      </c>
      <c r="I3497" s="24" t="s">
        <v>418</v>
      </c>
      <c r="J3497" s="25"/>
      <c r="K3497" s="25"/>
      <c r="L3497" s="25"/>
      <c r="M3497" s="25"/>
      <c r="N3497" s="25"/>
      <c r="O3497" s="25"/>
      <c r="P3497" s="25"/>
      <c r="Q3497" s="25"/>
      <c r="R3497" s="25"/>
      <c r="S3497" s="25"/>
      <c r="T3497" s="25"/>
      <c r="U3497" s="25"/>
      <c r="V3497" s="25"/>
      <c r="W3497" s="25"/>
      <c r="X3497" s="25"/>
      <c r="Y3497" s="25"/>
      <c r="Z3497" s="25"/>
    </row>
    <row r="3498" spans="1:26" ht="15.75" customHeight="1" x14ac:dyDescent="0.75">
      <c r="A3498" s="42" t="s">
        <v>18</v>
      </c>
      <c r="B3498" s="40"/>
      <c r="C3498" s="40"/>
      <c r="D3498" s="40"/>
      <c r="E3498" s="40"/>
      <c r="F3498" s="40"/>
      <c r="G3498" s="41"/>
      <c r="H3498" s="15">
        <v>649000</v>
      </c>
      <c r="I3498" s="24" t="s">
        <v>418</v>
      </c>
      <c r="J3498" s="25"/>
      <c r="K3498" s="25"/>
      <c r="L3498" s="25"/>
      <c r="M3498" s="25"/>
      <c r="N3498" s="25"/>
      <c r="O3498" s="25"/>
      <c r="P3498" s="25"/>
      <c r="Q3498" s="25"/>
      <c r="R3498" s="25"/>
      <c r="S3498" s="25"/>
      <c r="T3498" s="25"/>
      <c r="U3498" s="25"/>
      <c r="V3498" s="25"/>
      <c r="W3498" s="25"/>
      <c r="X3498" s="25"/>
      <c r="Y3498" s="25"/>
      <c r="Z3498" s="25"/>
    </row>
    <row r="3499" spans="1:26" ht="15.75" customHeight="1" x14ac:dyDescent="0.75">
      <c r="A3499" s="43" t="s">
        <v>19</v>
      </c>
      <c r="B3499" s="40"/>
      <c r="C3499" s="40"/>
      <c r="D3499" s="40"/>
      <c r="E3499" s="40"/>
      <c r="F3499" s="40"/>
      <c r="G3499" s="40"/>
      <c r="H3499" s="41"/>
      <c r="I3499" s="24" t="s">
        <v>418</v>
      </c>
      <c r="J3499" s="25"/>
      <c r="K3499" s="25"/>
      <c r="L3499" s="25"/>
      <c r="M3499" s="25"/>
      <c r="N3499" s="25"/>
      <c r="O3499" s="25"/>
      <c r="P3499" s="25"/>
      <c r="Q3499" s="25"/>
      <c r="R3499" s="25"/>
      <c r="S3499" s="25"/>
      <c r="T3499" s="25"/>
      <c r="U3499" s="25"/>
      <c r="V3499" s="25"/>
      <c r="W3499" s="25"/>
      <c r="X3499" s="25"/>
      <c r="Y3499" s="25"/>
      <c r="Z3499" s="25"/>
    </row>
    <row r="3500" spans="1:26" ht="15.75" customHeight="1" x14ac:dyDescent="0.45">
      <c r="A3500" s="25"/>
      <c r="B3500" s="25"/>
      <c r="C3500" s="25"/>
      <c r="D3500" s="25"/>
      <c r="E3500" s="25"/>
      <c r="F3500" s="25"/>
      <c r="G3500" s="25"/>
      <c r="H3500" s="25"/>
      <c r="I3500" s="24" t="s">
        <v>418</v>
      </c>
      <c r="J3500" s="25"/>
      <c r="K3500" s="25"/>
      <c r="L3500" s="25"/>
      <c r="M3500" s="25"/>
      <c r="N3500" s="25"/>
      <c r="O3500" s="25"/>
      <c r="P3500" s="25"/>
      <c r="Q3500" s="25"/>
      <c r="R3500" s="25"/>
      <c r="S3500" s="25"/>
      <c r="T3500" s="25"/>
      <c r="U3500" s="25"/>
      <c r="V3500" s="25"/>
      <c r="W3500" s="25"/>
      <c r="X3500" s="25"/>
      <c r="Y3500" s="25"/>
      <c r="Z3500" s="25"/>
    </row>
    <row r="3501" spans="1:26" ht="15.75" customHeight="1" x14ac:dyDescent="0.45">
      <c r="A3501" s="25"/>
      <c r="B3501" s="25"/>
      <c r="C3501" s="25"/>
      <c r="D3501" s="25"/>
      <c r="E3501" s="25"/>
      <c r="F3501" s="25"/>
      <c r="G3501" s="25"/>
      <c r="H3501" s="25"/>
      <c r="I3501" s="24" t="s">
        <v>418</v>
      </c>
      <c r="J3501" s="25"/>
      <c r="K3501" s="25"/>
      <c r="L3501" s="25"/>
      <c r="M3501" s="25"/>
      <c r="N3501" s="25"/>
      <c r="O3501" s="25"/>
      <c r="P3501" s="25"/>
      <c r="Q3501" s="25"/>
      <c r="R3501" s="25"/>
      <c r="S3501" s="25"/>
      <c r="T3501" s="25"/>
      <c r="U3501" s="25"/>
      <c r="V3501" s="25"/>
      <c r="W3501" s="25"/>
      <c r="X3501" s="25"/>
      <c r="Y3501" s="25"/>
      <c r="Z3501" s="25"/>
    </row>
    <row r="3502" spans="1:26" ht="15.75" customHeight="1" x14ac:dyDescent="0.45">
      <c r="A3502" s="25"/>
      <c r="B3502" s="25"/>
      <c r="C3502" s="25"/>
      <c r="D3502" s="25"/>
      <c r="E3502" s="25"/>
      <c r="F3502" s="25"/>
      <c r="G3502" s="25"/>
      <c r="H3502" s="25"/>
      <c r="I3502" s="24" t="s">
        <v>418</v>
      </c>
      <c r="J3502" s="25"/>
      <c r="K3502" s="25"/>
      <c r="L3502" s="25"/>
      <c r="M3502" s="25"/>
      <c r="N3502" s="25"/>
      <c r="O3502" s="25"/>
      <c r="P3502" s="25"/>
      <c r="Q3502" s="25"/>
      <c r="R3502" s="25"/>
      <c r="S3502" s="25"/>
      <c r="T3502" s="25"/>
      <c r="U3502" s="25"/>
      <c r="V3502" s="25"/>
      <c r="W3502" s="25"/>
      <c r="X3502" s="25"/>
      <c r="Y3502" s="25"/>
      <c r="Z3502" s="25"/>
    </row>
    <row r="3503" spans="1:26" ht="15.75" customHeight="1" x14ac:dyDescent="0.45">
      <c r="A3503" s="25"/>
      <c r="B3503" s="25"/>
      <c r="C3503" s="25"/>
      <c r="D3503" s="25"/>
      <c r="E3503" s="25"/>
      <c r="F3503" s="25"/>
      <c r="G3503" s="25"/>
      <c r="H3503" s="25"/>
      <c r="I3503" s="24" t="s">
        <v>418</v>
      </c>
      <c r="J3503" s="25"/>
      <c r="K3503" s="25"/>
      <c r="L3503" s="25"/>
      <c r="M3503" s="25"/>
      <c r="N3503" s="25"/>
      <c r="O3503" s="25"/>
      <c r="P3503" s="25"/>
      <c r="Q3503" s="25"/>
      <c r="R3503" s="25"/>
      <c r="S3503" s="25"/>
      <c r="T3503" s="25"/>
      <c r="U3503" s="25"/>
      <c r="V3503" s="25"/>
      <c r="W3503" s="25"/>
      <c r="X3503" s="25"/>
      <c r="Y3503" s="25"/>
      <c r="Z3503" s="25"/>
    </row>
    <row r="3504" spans="1:26" ht="15.75" customHeight="1" x14ac:dyDescent="0.45">
      <c r="A3504" s="25"/>
      <c r="B3504" s="25"/>
      <c r="C3504" s="25"/>
      <c r="D3504" s="25"/>
      <c r="E3504" s="25"/>
      <c r="F3504" s="25"/>
      <c r="G3504" s="25"/>
      <c r="H3504" s="25"/>
      <c r="I3504" s="24" t="s">
        <v>418</v>
      </c>
      <c r="J3504" s="25"/>
      <c r="K3504" s="25"/>
      <c r="L3504" s="25"/>
      <c r="M3504" s="25"/>
      <c r="N3504" s="25"/>
      <c r="O3504" s="25"/>
      <c r="P3504" s="25"/>
      <c r="Q3504" s="25"/>
      <c r="R3504" s="25"/>
      <c r="S3504" s="25"/>
      <c r="T3504" s="25"/>
      <c r="U3504" s="25"/>
      <c r="V3504" s="25"/>
      <c r="W3504" s="25"/>
      <c r="X3504" s="25"/>
      <c r="Y3504" s="25"/>
      <c r="Z3504" s="25"/>
    </row>
    <row r="3505" spans="1:26" ht="15.75" customHeight="1" x14ac:dyDescent="0.75">
      <c r="A3505" s="43" t="s">
        <v>0</v>
      </c>
      <c r="B3505" s="40"/>
      <c r="C3505" s="40"/>
      <c r="D3505" s="40"/>
      <c r="E3505" s="40"/>
      <c r="F3505" s="40"/>
      <c r="G3505" s="40"/>
      <c r="H3505" s="41"/>
      <c r="I3505" s="24" t="s">
        <v>418</v>
      </c>
      <c r="J3505" s="25"/>
      <c r="K3505" s="25"/>
      <c r="L3505" s="25"/>
      <c r="M3505" s="25"/>
      <c r="N3505" s="25"/>
      <c r="O3505" s="25"/>
      <c r="P3505" s="25"/>
      <c r="Q3505" s="25"/>
      <c r="R3505" s="25"/>
      <c r="S3505" s="25"/>
      <c r="T3505" s="25"/>
      <c r="U3505" s="25"/>
      <c r="V3505" s="25"/>
      <c r="W3505" s="25"/>
      <c r="X3505" s="25"/>
      <c r="Y3505" s="25"/>
      <c r="Z3505" s="25"/>
    </row>
    <row r="3506" spans="1:26" ht="15.75" customHeight="1" x14ac:dyDescent="0.75">
      <c r="A3506" s="43" t="s">
        <v>545</v>
      </c>
      <c r="B3506" s="40"/>
      <c r="C3506" s="40"/>
      <c r="D3506" s="40"/>
      <c r="E3506" s="40"/>
      <c r="F3506" s="40"/>
      <c r="G3506" s="40"/>
      <c r="H3506" s="41"/>
      <c r="I3506" s="24" t="s">
        <v>418</v>
      </c>
      <c r="J3506" s="25"/>
      <c r="K3506" s="25"/>
      <c r="L3506" s="25"/>
      <c r="M3506" s="25"/>
      <c r="N3506" s="25"/>
      <c r="O3506" s="25"/>
      <c r="P3506" s="25"/>
      <c r="Q3506" s="25"/>
      <c r="R3506" s="25"/>
      <c r="S3506" s="25"/>
      <c r="T3506" s="25"/>
      <c r="U3506" s="25"/>
      <c r="V3506" s="25"/>
      <c r="W3506" s="25"/>
      <c r="X3506" s="25"/>
      <c r="Y3506" s="25"/>
      <c r="Z3506" s="25"/>
    </row>
    <row r="3507" spans="1:26" ht="15.75" customHeight="1" x14ac:dyDescent="0.55000000000000004">
      <c r="A3507" s="2" t="s">
        <v>3</v>
      </c>
      <c r="B3507" s="2" t="s">
        <v>4</v>
      </c>
      <c r="C3507" s="2" t="s">
        <v>5</v>
      </c>
      <c r="D3507" s="2" t="s">
        <v>6</v>
      </c>
      <c r="E3507" s="2" t="s">
        <v>7</v>
      </c>
      <c r="F3507" s="3" t="s">
        <v>8</v>
      </c>
      <c r="G3507" s="2" t="s">
        <v>9</v>
      </c>
      <c r="H3507" s="26"/>
      <c r="I3507" s="24" t="s">
        <v>418</v>
      </c>
      <c r="J3507" s="25"/>
      <c r="K3507" s="25"/>
      <c r="L3507" s="25"/>
      <c r="M3507" s="25"/>
      <c r="N3507" s="25"/>
      <c r="O3507" s="25"/>
      <c r="P3507" s="25"/>
      <c r="Q3507" s="25"/>
      <c r="R3507" s="25"/>
      <c r="S3507" s="25"/>
      <c r="T3507" s="25"/>
      <c r="U3507" s="25"/>
      <c r="V3507" s="25"/>
      <c r="W3507" s="25"/>
      <c r="X3507" s="25"/>
      <c r="Y3507" s="25"/>
      <c r="Z3507" s="25"/>
    </row>
    <row r="3508" spans="1:26" ht="15.75" customHeight="1" x14ac:dyDescent="0.75">
      <c r="A3508" s="5">
        <v>1</v>
      </c>
      <c r="B3508" s="27" t="s">
        <v>203</v>
      </c>
      <c r="C3508" s="28" t="s">
        <v>546</v>
      </c>
      <c r="D3508" s="27" t="s">
        <v>12</v>
      </c>
      <c r="E3508" s="27">
        <v>2</v>
      </c>
      <c r="F3508" s="8">
        <v>293000</v>
      </c>
      <c r="G3508" s="9">
        <f t="shared" ref="G3508:G3510" si="217">IFERROR(E3508*F3508,0)</f>
        <v>586000</v>
      </c>
      <c r="H3508" s="29"/>
      <c r="I3508" s="24" t="s">
        <v>418</v>
      </c>
      <c r="J3508" s="25"/>
      <c r="K3508" s="25"/>
      <c r="L3508" s="25"/>
      <c r="M3508" s="25"/>
      <c r="N3508" s="25"/>
      <c r="O3508" s="25"/>
      <c r="P3508" s="25"/>
      <c r="Q3508" s="25"/>
      <c r="R3508" s="25"/>
      <c r="S3508" s="25"/>
      <c r="T3508" s="25"/>
      <c r="U3508" s="25"/>
      <c r="V3508" s="25"/>
      <c r="W3508" s="25"/>
      <c r="X3508" s="25"/>
      <c r="Y3508" s="25"/>
      <c r="Z3508" s="25"/>
    </row>
    <row r="3509" spans="1:26" ht="15.75" customHeight="1" x14ac:dyDescent="0.75">
      <c r="A3509" s="5">
        <v>2</v>
      </c>
      <c r="B3509" s="30" t="s">
        <v>150</v>
      </c>
      <c r="C3509" s="31" t="s">
        <v>547</v>
      </c>
      <c r="D3509" s="30" t="s">
        <v>14</v>
      </c>
      <c r="E3509" s="30">
        <v>1.5</v>
      </c>
      <c r="F3509" s="11">
        <v>435000</v>
      </c>
      <c r="G3509" s="9">
        <f t="shared" si="217"/>
        <v>652500</v>
      </c>
      <c r="H3509" s="29"/>
      <c r="I3509" s="24" t="s">
        <v>418</v>
      </c>
      <c r="J3509" s="25"/>
      <c r="K3509" s="25"/>
      <c r="L3509" s="25"/>
      <c r="M3509" s="25"/>
      <c r="N3509" s="25"/>
      <c r="O3509" s="25"/>
      <c r="P3509" s="25"/>
      <c r="Q3509" s="25"/>
      <c r="R3509" s="25"/>
      <c r="S3509" s="25"/>
      <c r="T3509" s="25"/>
      <c r="U3509" s="25"/>
      <c r="V3509" s="25"/>
      <c r="W3509" s="25"/>
      <c r="X3509" s="25"/>
      <c r="Y3509" s="25"/>
      <c r="Z3509" s="25"/>
    </row>
    <row r="3510" spans="1:26" ht="15.75" customHeight="1" x14ac:dyDescent="0.75">
      <c r="A3510" s="5">
        <v>3</v>
      </c>
      <c r="B3510" s="12" t="s">
        <v>15</v>
      </c>
      <c r="C3510" s="29"/>
      <c r="D3510" s="29"/>
      <c r="E3510" s="29"/>
      <c r="F3510" s="29"/>
      <c r="G3510" s="13">
        <f t="shared" si="217"/>
        <v>0</v>
      </c>
      <c r="H3510" s="29"/>
      <c r="I3510" s="24" t="s">
        <v>418</v>
      </c>
      <c r="J3510" s="25"/>
      <c r="K3510" s="25"/>
      <c r="L3510" s="25"/>
      <c r="M3510" s="25"/>
      <c r="N3510" s="25"/>
      <c r="O3510" s="25"/>
      <c r="P3510" s="25"/>
      <c r="Q3510" s="25"/>
      <c r="R3510" s="25"/>
      <c r="S3510" s="25"/>
      <c r="T3510" s="25"/>
      <c r="U3510" s="25"/>
      <c r="V3510" s="25"/>
      <c r="W3510" s="25"/>
      <c r="X3510" s="25"/>
      <c r="Y3510" s="25"/>
      <c r="Z3510" s="25"/>
    </row>
    <row r="3511" spans="1:26" ht="15.75" customHeight="1" x14ac:dyDescent="0.75">
      <c r="A3511" s="39" t="s">
        <v>16</v>
      </c>
      <c r="B3511" s="40"/>
      <c r="C3511" s="40"/>
      <c r="D3511" s="40"/>
      <c r="E3511" s="40"/>
      <c r="F3511" s="40"/>
      <c r="G3511" s="41"/>
      <c r="H3511" s="14">
        <f>SUM(G3508:G3510)</f>
        <v>1238500</v>
      </c>
      <c r="I3511" s="24" t="s">
        <v>418</v>
      </c>
      <c r="J3511" s="25"/>
      <c r="K3511" s="25"/>
      <c r="L3511" s="25"/>
      <c r="M3511" s="25"/>
      <c r="N3511" s="25"/>
      <c r="O3511" s="25"/>
      <c r="P3511" s="25"/>
      <c r="Q3511" s="25"/>
      <c r="R3511" s="25"/>
      <c r="S3511" s="25"/>
      <c r="T3511" s="25"/>
      <c r="U3511" s="25"/>
      <c r="V3511" s="25"/>
      <c r="W3511" s="25"/>
      <c r="X3511" s="25"/>
      <c r="Y3511" s="25"/>
      <c r="Z3511" s="25"/>
    </row>
    <row r="3512" spans="1:26" ht="15.75" customHeight="1" x14ac:dyDescent="0.75">
      <c r="A3512" s="39" t="s">
        <v>17</v>
      </c>
      <c r="B3512" s="40"/>
      <c r="C3512" s="40"/>
      <c r="D3512" s="40"/>
      <c r="E3512" s="40"/>
      <c r="F3512" s="40"/>
      <c r="G3512" s="41"/>
      <c r="H3512" s="14">
        <f>MAX(0,H3511-648000)</f>
        <v>590500</v>
      </c>
      <c r="I3512" s="24" t="s">
        <v>418</v>
      </c>
      <c r="J3512" s="25"/>
      <c r="K3512" s="25"/>
      <c r="L3512" s="25"/>
      <c r="M3512" s="25"/>
      <c r="N3512" s="25"/>
      <c r="O3512" s="25"/>
      <c r="P3512" s="25"/>
      <c r="Q3512" s="25"/>
      <c r="R3512" s="25"/>
      <c r="S3512" s="25"/>
      <c r="T3512" s="25"/>
      <c r="U3512" s="25"/>
      <c r="V3512" s="25"/>
      <c r="W3512" s="25"/>
      <c r="X3512" s="25"/>
      <c r="Y3512" s="25"/>
      <c r="Z3512" s="25"/>
    </row>
    <row r="3513" spans="1:26" ht="15.75" customHeight="1" x14ac:dyDescent="0.75">
      <c r="A3513" s="42" t="s">
        <v>18</v>
      </c>
      <c r="B3513" s="40"/>
      <c r="C3513" s="40"/>
      <c r="D3513" s="40"/>
      <c r="E3513" s="40"/>
      <c r="F3513" s="40"/>
      <c r="G3513" s="41"/>
      <c r="H3513" s="15">
        <v>649000</v>
      </c>
      <c r="I3513" s="24" t="s">
        <v>418</v>
      </c>
      <c r="J3513" s="25"/>
      <c r="K3513" s="25"/>
      <c r="L3513" s="25"/>
      <c r="M3513" s="25"/>
      <c r="N3513" s="25"/>
      <c r="O3513" s="25"/>
      <c r="P3513" s="25"/>
      <c r="Q3513" s="25"/>
      <c r="R3513" s="25"/>
      <c r="S3513" s="25"/>
      <c r="T3513" s="25"/>
      <c r="U3513" s="25"/>
      <c r="V3513" s="25"/>
      <c r="W3513" s="25"/>
      <c r="X3513" s="25"/>
      <c r="Y3513" s="25"/>
      <c r="Z3513" s="25"/>
    </row>
    <row r="3514" spans="1:26" ht="15.75" customHeight="1" x14ac:dyDescent="0.75">
      <c r="A3514" s="43" t="s">
        <v>19</v>
      </c>
      <c r="B3514" s="40"/>
      <c r="C3514" s="40"/>
      <c r="D3514" s="40"/>
      <c r="E3514" s="40"/>
      <c r="F3514" s="40"/>
      <c r="G3514" s="40"/>
      <c r="H3514" s="41"/>
      <c r="I3514" s="24" t="s">
        <v>418</v>
      </c>
      <c r="J3514" s="25"/>
      <c r="K3514" s="25"/>
      <c r="L3514" s="25"/>
      <c r="M3514" s="25"/>
      <c r="N3514" s="25"/>
      <c r="O3514" s="25"/>
      <c r="P3514" s="25"/>
      <c r="Q3514" s="25"/>
      <c r="R3514" s="25"/>
      <c r="S3514" s="25"/>
      <c r="T3514" s="25"/>
      <c r="U3514" s="25"/>
      <c r="V3514" s="25"/>
      <c r="W3514" s="25"/>
      <c r="X3514" s="25"/>
      <c r="Y3514" s="25"/>
      <c r="Z3514" s="25"/>
    </row>
    <row r="3515" spans="1:26" ht="15.75" customHeight="1" x14ac:dyDescent="0.45">
      <c r="A3515" s="25"/>
      <c r="B3515" s="25"/>
      <c r="C3515" s="25"/>
      <c r="D3515" s="25"/>
      <c r="E3515" s="25"/>
      <c r="F3515" s="25"/>
      <c r="G3515" s="25"/>
      <c r="H3515" s="25"/>
      <c r="I3515" s="24" t="s">
        <v>418</v>
      </c>
      <c r="J3515" s="25"/>
      <c r="K3515" s="25"/>
      <c r="L3515" s="25"/>
      <c r="M3515" s="25"/>
      <c r="N3515" s="25"/>
      <c r="O3515" s="25"/>
      <c r="P3515" s="25"/>
      <c r="Q3515" s="25"/>
      <c r="R3515" s="25"/>
      <c r="S3515" s="25"/>
      <c r="T3515" s="25"/>
      <c r="U3515" s="25"/>
      <c r="V3515" s="25"/>
      <c r="W3515" s="25"/>
      <c r="X3515" s="25"/>
      <c r="Y3515" s="25"/>
      <c r="Z3515" s="25"/>
    </row>
    <row r="3516" spans="1:26" ht="15.75" customHeight="1" x14ac:dyDescent="0.45">
      <c r="A3516" s="25"/>
      <c r="B3516" s="25"/>
      <c r="C3516" s="25"/>
      <c r="D3516" s="25"/>
      <c r="E3516" s="25"/>
      <c r="F3516" s="25"/>
      <c r="G3516" s="25"/>
      <c r="H3516" s="25"/>
      <c r="I3516" s="24" t="s">
        <v>418</v>
      </c>
      <c r="J3516" s="25"/>
      <c r="K3516" s="25"/>
      <c r="L3516" s="25"/>
      <c r="M3516" s="25"/>
      <c r="N3516" s="25"/>
      <c r="O3516" s="25"/>
      <c r="P3516" s="25"/>
      <c r="Q3516" s="25"/>
      <c r="R3516" s="25"/>
      <c r="S3516" s="25"/>
      <c r="T3516" s="25"/>
      <c r="U3516" s="25"/>
      <c r="V3516" s="25"/>
      <c r="W3516" s="25"/>
      <c r="X3516" s="25"/>
      <c r="Y3516" s="25"/>
      <c r="Z3516" s="25"/>
    </row>
    <row r="3517" spans="1:26" ht="15.75" customHeight="1" x14ac:dyDescent="0.45">
      <c r="A3517" s="25"/>
      <c r="B3517" s="25"/>
      <c r="C3517" s="25"/>
      <c r="D3517" s="25"/>
      <c r="E3517" s="25"/>
      <c r="F3517" s="25"/>
      <c r="G3517" s="25"/>
      <c r="H3517" s="25"/>
      <c r="I3517" s="24" t="s">
        <v>418</v>
      </c>
      <c r="J3517" s="25"/>
      <c r="K3517" s="25"/>
      <c r="L3517" s="25"/>
      <c r="M3517" s="25"/>
      <c r="N3517" s="25"/>
      <c r="O3517" s="25"/>
      <c r="P3517" s="25"/>
      <c r="Q3517" s="25"/>
      <c r="R3517" s="25"/>
      <c r="S3517" s="25"/>
      <c r="T3517" s="25"/>
      <c r="U3517" s="25"/>
      <c r="V3517" s="25"/>
      <c r="W3517" s="25"/>
      <c r="X3517" s="25"/>
      <c r="Y3517" s="25"/>
      <c r="Z3517" s="25"/>
    </row>
    <row r="3518" spans="1:26" ht="15.75" customHeight="1" x14ac:dyDescent="0.45">
      <c r="A3518" s="25"/>
      <c r="B3518" s="25"/>
      <c r="C3518" s="25"/>
      <c r="D3518" s="25"/>
      <c r="E3518" s="25"/>
      <c r="F3518" s="25"/>
      <c r="G3518" s="25"/>
      <c r="H3518" s="25"/>
      <c r="I3518" s="24" t="s">
        <v>418</v>
      </c>
      <c r="J3518" s="25"/>
      <c r="K3518" s="25"/>
      <c r="L3518" s="25"/>
      <c r="M3518" s="25"/>
      <c r="N3518" s="25"/>
      <c r="O3518" s="25"/>
      <c r="P3518" s="25"/>
      <c r="Q3518" s="25"/>
      <c r="R3518" s="25"/>
      <c r="S3518" s="25"/>
      <c r="T3518" s="25"/>
      <c r="U3518" s="25"/>
      <c r="V3518" s="25"/>
      <c r="W3518" s="25"/>
      <c r="X3518" s="25"/>
      <c r="Y3518" s="25"/>
      <c r="Z3518" s="25"/>
    </row>
    <row r="3519" spans="1:26" ht="15.75" customHeight="1" x14ac:dyDescent="0.45">
      <c r="A3519" s="25"/>
      <c r="B3519" s="25"/>
      <c r="C3519" s="25"/>
      <c r="D3519" s="25"/>
      <c r="E3519" s="25"/>
      <c r="F3519" s="25"/>
      <c r="G3519" s="25"/>
      <c r="H3519" s="25"/>
      <c r="I3519" s="24" t="s">
        <v>418</v>
      </c>
      <c r="J3519" s="25"/>
      <c r="K3519" s="25"/>
      <c r="L3519" s="25"/>
      <c r="M3519" s="25"/>
      <c r="N3519" s="25"/>
      <c r="O3519" s="25"/>
      <c r="P3519" s="25"/>
      <c r="Q3519" s="25"/>
      <c r="R3519" s="25"/>
      <c r="S3519" s="25"/>
      <c r="T3519" s="25"/>
      <c r="U3519" s="25"/>
      <c r="V3519" s="25"/>
      <c r="W3519" s="25"/>
      <c r="X3519" s="25"/>
      <c r="Y3519" s="25"/>
      <c r="Z3519" s="25"/>
    </row>
    <row r="3520" spans="1:26" ht="15.75" customHeight="1" x14ac:dyDescent="0.75">
      <c r="A3520" s="43" t="s">
        <v>0</v>
      </c>
      <c r="B3520" s="40"/>
      <c r="C3520" s="40"/>
      <c r="D3520" s="40"/>
      <c r="E3520" s="40"/>
      <c r="F3520" s="40"/>
      <c r="G3520" s="40"/>
      <c r="H3520" s="41"/>
      <c r="I3520" s="24" t="s">
        <v>418</v>
      </c>
      <c r="J3520" s="25"/>
      <c r="K3520" s="25"/>
      <c r="L3520" s="25"/>
      <c r="M3520" s="25"/>
      <c r="N3520" s="25"/>
      <c r="O3520" s="25"/>
      <c r="P3520" s="25"/>
      <c r="Q3520" s="25"/>
      <c r="R3520" s="25"/>
      <c r="S3520" s="25"/>
      <c r="T3520" s="25"/>
      <c r="U3520" s="25"/>
      <c r="V3520" s="25"/>
      <c r="W3520" s="25"/>
      <c r="X3520" s="25"/>
      <c r="Y3520" s="25"/>
      <c r="Z3520" s="25"/>
    </row>
    <row r="3521" spans="1:26" ht="15.75" customHeight="1" x14ac:dyDescent="0.75">
      <c r="A3521" s="43" t="s">
        <v>548</v>
      </c>
      <c r="B3521" s="40"/>
      <c r="C3521" s="40"/>
      <c r="D3521" s="40"/>
      <c r="E3521" s="40"/>
      <c r="F3521" s="40"/>
      <c r="G3521" s="40"/>
      <c r="H3521" s="41"/>
      <c r="I3521" s="24" t="s">
        <v>418</v>
      </c>
      <c r="J3521" s="25"/>
      <c r="K3521" s="25"/>
      <c r="L3521" s="25"/>
      <c r="M3521" s="25"/>
      <c r="N3521" s="25"/>
      <c r="O3521" s="25"/>
      <c r="P3521" s="25"/>
      <c r="Q3521" s="25"/>
      <c r="R3521" s="25"/>
      <c r="S3521" s="25"/>
      <c r="T3521" s="25"/>
      <c r="U3521" s="25"/>
      <c r="V3521" s="25"/>
      <c r="W3521" s="25"/>
      <c r="X3521" s="25"/>
      <c r="Y3521" s="25"/>
      <c r="Z3521" s="25"/>
    </row>
    <row r="3522" spans="1:26" ht="15.75" customHeight="1" x14ac:dyDescent="0.55000000000000004">
      <c r="A3522" s="2" t="s">
        <v>3</v>
      </c>
      <c r="B3522" s="2" t="s">
        <v>4</v>
      </c>
      <c r="C3522" s="2" t="s">
        <v>5</v>
      </c>
      <c r="D3522" s="2" t="s">
        <v>6</v>
      </c>
      <c r="E3522" s="2" t="s">
        <v>7</v>
      </c>
      <c r="F3522" s="3" t="s">
        <v>8</v>
      </c>
      <c r="G3522" s="2" t="s">
        <v>9</v>
      </c>
      <c r="H3522" s="26"/>
      <c r="I3522" s="24" t="s">
        <v>418</v>
      </c>
      <c r="J3522" s="25"/>
      <c r="K3522" s="25"/>
      <c r="L3522" s="25"/>
      <c r="M3522" s="25"/>
      <c r="N3522" s="25"/>
      <c r="O3522" s="25"/>
      <c r="P3522" s="25"/>
      <c r="Q3522" s="25"/>
      <c r="R3522" s="25"/>
      <c r="S3522" s="25"/>
      <c r="T3522" s="25"/>
      <c r="U3522" s="25"/>
      <c r="V3522" s="25"/>
      <c r="W3522" s="25"/>
      <c r="X3522" s="25"/>
      <c r="Y3522" s="25"/>
      <c r="Z3522" s="25"/>
    </row>
    <row r="3523" spans="1:26" ht="15.75" customHeight="1" x14ac:dyDescent="0.75">
      <c r="A3523" s="5">
        <v>1</v>
      </c>
      <c r="B3523" s="27" t="s">
        <v>203</v>
      </c>
      <c r="C3523" s="28" t="s">
        <v>546</v>
      </c>
      <c r="D3523" s="27" t="s">
        <v>12</v>
      </c>
      <c r="E3523" s="27">
        <v>2</v>
      </c>
      <c r="F3523" s="8">
        <v>293000</v>
      </c>
      <c r="G3523" s="9">
        <f t="shared" ref="G3523:G3525" si="218">IFERROR(E3523*F3523,0)</f>
        <v>586000</v>
      </c>
      <c r="H3523" s="29"/>
      <c r="I3523" s="24" t="s">
        <v>418</v>
      </c>
      <c r="J3523" s="25"/>
      <c r="K3523" s="25"/>
      <c r="L3523" s="25"/>
      <c r="M3523" s="25"/>
      <c r="N3523" s="25"/>
      <c r="O3523" s="25"/>
      <c r="P3523" s="25"/>
      <c r="Q3523" s="25"/>
      <c r="R3523" s="25"/>
      <c r="S3523" s="25"/>
      <c r="T3523" s="25"/>
      <c r="U3523" s="25"/>
      <c r="V3523" s="25"/>
      <c r="W3523" s="25"/>
      <c r="X3523" s="25"/>
      <c r="Y3523" s="25"/>
      <c r="Z3523" s="25"/>
    </row>
    <row r="3524" spans="1:26" ht="15.75" customHeight="1" x14ac:dyDescent="0.75">
      <c r="A3524" s="5">
        <v>2</v>
      </c>
      <c r="B3524" s="30" t="s">
        <v>21</v>
      </c>
      <c r="C3524" s="31" t="s">
        <v>549</v>
      </c>
      <c r="D3524" s="30" t="s">
        <v>14</v>
      </c>
      <c r="E3524" s="30">
        <v>1.45</v>
      </c>
      <c r="F3524" s="11">
        <v>435000</v>
      </c>
      <c r="G3524" s="9">
        <f t="shared" si="218"/>
        <v>630750</v>
      </c>
      <c r="H3524" s="29"/>
      <c r="I3524" s="24" t="s">
        <v>418</v>
      </c>
      <c r="J3524" s="25"/>
      <c r="K3524" s="25"/>
      <c r="L3524" s="25"/>
      <c r="M3524" s="25"/>
      <c r="N3524" s="25"/>
      <c r="O3524" s="25"/>
      <c r="P3524" s="25"/>
      <c r="Q3524" s="25"/>
      <c r="R3524" s="25"/>
      <c r="S3524" s="25"/>
      <c r="T3524" s="25"/>
      <c r="U3524" s="25"/>
      <c r="V3524" s="25"/>
      <c r="W3524" s="25"/>
      <c r="X3524" s="25"/>
      <c r="Y3524" s="25"/>
      <c r="Z3524" s="25"/>
    </row>
    <row r="3525" spans="1:26" ht="15.75" customHeight="1" x14ac:dyDescent="0.75">
      <c r="A3525" s="5">
        <v>3</v>
      </c>
      <c r="B3525" s="12" t="s">
        <v>15</v>
      </c>
      <c r="C3525" s="29"/>
      <c r="D3525" s="29"/>
      <c r="E3525" s="29"/>
      <c r="F3525" s="29"/>
      <c r="G3525" s="13">
        <f t="shared" si="218"/>
        <v>0</v>
      </c>
      <c r="H3525" s="29"/>
      <c r="I3525" s="24" t="s">
        <v>418</v>
      </c>
      <c r="J3525" s="25"/>
      <c r="K3525" s="25"/>
      <c r="L3525" s="25"/>
      <c r="M3525" s="25"/>
      <c r="N3525" s="25"/>
      <c r="O3525" s="25"/>
      <c r="P3525" s="25"/>
      <c r="Q3525" s="25"/>
      <c r="R3525" s="25"/>
      <c r="S3525" s="25"/>
      <c r="T3525" s="25"/>
      <c r="U3525" s="25"/>
      <c r="V3525" s="25"/>
      <c r="W3525" s="25"/>
      <c r="X3525" s="25"/>
      <c r="Y3525" s="25"/>
      <c r="Z3525" s="25"/>
    </row>
    <row r="3526" spans="1:26" ht="15.75" customHeight="1" x14ac:dyDescent="0.75">
      <c r="A3526" s="39" t="s">
        <v>16</v>
      </c>
      <c r="B3526" s="40"/>
      <c r="C3526" s="40"/>
      <c r="D3526" s="40"/>
      <c r="E3526" s="40"/>
      <c r="F3526" s="40"/>
      <c r="G3526" s="41"/>
      <c r="H3526" s="14">
        <f>SUM(G3523:G3525)</f>
        <v>1216750</v>
      </c>
      <c r="I3526" s="24" t="s">
        <v>418</v>
      </c>
      <c r="J3526" s="25"/>
      <c r="K3526" s="25"/>
      <c r="L3526" s="25"/>
      <c r="M3526" s="25"/>
      <c r="N3526" s="25"/>
      <c r="O3526" s="25"/>
      <c r="P3526" s="25"/>
      <c r="Q3526" s="25"/>
      <c r="R3526" s="25"/>
      <c r="S3526" s="25"/>
      <c r="T3526" s="25"/>
      <c r="U3526" s="25"/>
      <c r="V3526" s="25"/>
      <c r="W3526" s="25"/>
      <c r="X3526" s="25"/>
      <c r="Y3526" s="25"/>
      <c r="Z3526" s="25"/>
    </row>
    <row r="3527" spans="1:26" ht="15.75" customHeight="1" x14ac:dyDescent="0.75">
      <c r="A3527" s="39" t="s">
        <v>17</v>
      </c>
      <c r="B3527" s="40"/>
      <c r="C3527" s="40"/>
      <c r="D3527" s="40"/>
      <c r="E3527" s="40"/>
      <c r="F3527" s="40"/>
      <c r="G3527" s="41"/>
      <c r="H3527" s="14">
        <f>MAX(0,H3526-648000)</f>
        <v>568750</v>
      </c>
      <c r="I3527" s="24" t="s">
        <v>418</v>
      </c>
      <c r="J3527" s="25"/>
      <c r="K3527" s="25"/>
      <c r="L3527" s="25"/>
      <c r="M3527" s="25"/>
      <c r="N3527" s="25"/>
      <c r="O3527" s="25"/>
      <c r="P3527" s="25"/>
      <c r="Q3527" s="25"/>
      <c r="R3527" s="25"/>
      <c r="S3527" s="25"/>
      <c r="T3527" s="25"/>
      <c r="U3527" s="25"/>
      <c r="V3527" s="25"/>
      <c r="W3527" s="25"/>
      <c r="X3527" s="25"/>
      <c r="Y3527" s="25"/>
      <c r="Z3527" s="25"/>
    </row>
    <row r="3528" spans="1:26" ht="15.75" customHeight="1" x14ac:dyDescent="0.75">
      <c r="A3528" s="42" t="s">
        <v>18</v>
      </c>
      <c r="B3528" s="40"/>
      <c r="C3528" s="40"/>
      <c r="D3528" s="40"/>
      <c r="E3528" s="40"/>
      <c r="F3528" s="40"/>
      <c r="G3528" s="41"/>
      <c r="H3528" s="15">
        <v>649000</v>
      </c>
      <c r="I3528" s="24" t="s">
        <v>418</v>
      </c>
      <c r="J3528" s="25"/>
      <c r="K3528" s="25"/>
      <c r="L3528" s="25"/>
      <c r="M3528" s="25"/>
      <c r="N3528" s="25"/>
      <c r="O3528" s="25"/>
      <c r="P3528" s="25"/>
      <c r="Q3528" s="25"/>
      <c r="R3528" s="25"/>
      <c r="S3528" s="25"/>
      <c r="T3528" s="25"/>
      <c r="U3528" s="25"/>
      <c r="V3528" s="25"/>
      <c r="W3528" s="25"/>
      <c r="X3528" s="25"/>
      <c r="Y3528" s="25"/>
      <c r="Z3528" s="25"/>
    </row>
    <row r="3529" spans="1:26" ht="15.75" customHeight="1" x14ac:dyDescent="0.75">
      <c r="A3529" s="43" t="s">
        <v>19</v>
      </c>
      <c r="B3529" s="40"/>
      <c r="C3529" s="40"/>
      <c r="D3529" s="40"/>
      <c r="E3529" s="40"/>
      <c r="F3529" s="40"/>
      <c r="G3529" s="40"/>
      <c r="H3529" s="41"/>
      <c r="I3529" s="24" t="s">
        <v>418</v>
      </c>
      <c r="J3529" s="25"/>
      <c r="K3529" s="25"/>
      <c r="L3529" s="25"/>
      <c r="M3529" s="25"/>
      <c r="N3529" s="25"/>
      <c r="O3529" s="25"/>
      <c r="P3529" s="25"/>
      <c r="Q3529" s="25"/>
      <c r="R3529" s="25"/>
      <c r="S3529" s="25"/>
      <c r="T3529" s="25"/>
      <c r="U3529" s="25"/>
      <c r="V3529" s="25"/>
      <c r="W3529" s="25"/>
      <c r="X3529" s="25"/>
      <c r="Y3529" s="25"/>
      <c r="Z3529" s="25"/>
    </row>
    <row r="3530" spans="1:26" ht="15.75" customHeight="1" x14ac:dyDescent="0.45">
      <c r="A3530" s="25"/>
      <c r="B3530" s="25"/>
      <c r="C3530" s="25"/>
      <c r="D3530" s="25"/>
      <c r="E3530" s="25"/>
      <c r="F3530" s="25"/>
      <c r="G3530" s="25"/>
      <c r="H3530" s="25"/>
      <c r="I3530" s="24" t="s">
        <v>418</v>
      </c>
      <c r="J3530" s="25"/>
      <c r="K3530" s="25"/>
      <c r="L3530" s="25"/>
      <c r="M3530" s="25"/>
      <c r="N3530" s="25"/>
      <c r="O3530" s="25"/>
      <c r="P3530" s="25"/>
      <c r="Q3530" s="25"/>
      <c r="R3530" s="25"/>
      <c r="S3530" s="25"/>
      <c r="T3530" s="25"/>
      <c r="U3530" s="25"/>
      <c r="V3530" s="25"/>
      <c r="W3530" s="25"/>
      <c r="X3530" s="25"/>
      <c r="Y3530" s="25"/>
      <c r="Z3530" s="25"/>
    </row>
    <row r="3531" spans="1:26" ht="15.75" customHeight="1" x14ac:dyDescent="0.45">
      <c r="A3531" s="25"/>
      <c r="B3531" s="25"/>
      <c r="C3531" s="25"/>
      <c r="D3531" s="25"/>
      <c r="E3531" s="25"/>
      <c r="F3531" s="25"/>
      <c r="G3531" s="25"/>
      <c r="H3531" s="25"/>
      <c r="I3531" s="24" t="s">
        <v>418</v>
      </c>
      <c r="J3531" s="25"/>
      <c r="K3531" s="25"/>
      <c r="L3531" s="25"/>
      <c r="M3531" s="25"/>
      <c r="N3531" s="25"/>
      <c r="O3531" s="25"/>
      <c r="P3531" s="25"/>
      <c r="Q3531" s="25"/>
      <c r="R3531" s="25"/>
      <c r="S3531" s="25"/>
      <c r="T3531" s="25"/>
      <c r="U3531" s="25"/>
      <c r="V3531" s="25"/>
      <c r="W3531" s="25"/>
      <c r="X3531" s="25"/>
      <c r="Y3531" s="25"/>
      <c r="Z3531" s="25"/>
    </row>
    <row r="3532" spans="1:26" ht="15.75" customHeight="1" x14ac:dyDescent="0.45">
      <c r="A3532" s="25"/>
      <c r="B3532" s="25"/>
      <c r="C3532" s="25"/>
      <c r="D3532" s="25"/>
      <c r="E3532" s="25"/>
      <c r="F3532" s="25"/>
      <c r="G3532" s="25"/>
      <c r="H3532" s="25"/>
      <c r="I3532" s="24" t="s">
        <v>418</v>
      </c>
      <c r="J3532" s="25"/>
      <c r="K3532" s="25"/>
      <c r="L3532" s="25"/>
      <c r="M3532" s="25"/>
      <c r="N3532" s="25"/>
      <c r="O3532" s="25"/>
      <c r="P3532" s="25"/>
      <c r="Q3532" s="25"/>
      <c r="R3532" s="25"/>
      <c r="S3532" s="25"/>
      <c r="T3532" s="25"/>
      <c r="U3532" s="25"/>
      <c r="V3532" s="25"/>
      <c r="W3532" s="25"/>
      <c r="X3532" s="25"/>
      <c r="Y3532" s="25"/>
      <c r="Z3532" s="25"/>
    </row>
    <row r="3533" spans="1:26" ht="15.75" customHeight="1" x14ac:dyDescent="0.45">
      <c r="A3533" s="25"/>
      <c r="B3533" s="25"/>
      <c r="C3533" s="25"/>
      <c r="D3533" s="25"/>
      <c r="E3533" s="25"/>
      <c r="F3533" s="25"/>
      <c r="G3533" s="25"/>
      <c r="H3533" s="25"/>
      <c r="I3533" s="24" t="s">
        <v>418</v>
      </c>
      <c r="J3533" s="25"/>
      <c r="K3533" s="25"/>
      <c r="L3533" s="25"/>
      <c r="M3533" s="25"/>
      <c r="N3533" s="25"/>
      <c r="O3533" s="25"/>
      <c r="P3533" s="25"/>
      <c r="Q3533" s="25"/>
      <c r="R3533" s="25"/>
      <c r="S3533" s="25"/>
      <c r="T3533" s="25"/>
      <c r="U3533" s="25"/>
      <c r="V3533" s="25"/>
      <c r="W3533" s="25"/>
      <c r="X3533" s="25"/>
      <c r="Y3533" s="25"/>
      <c r="Z3533" s="25"/>
    </row>
    <row r="3534" spans="1:26" ht="15.75" customHeight="1" x14ac:dyDescent="0.75">
      <c r="A3534" s="43" t="s">
        <v>0</v>
      </c>
      <c r="B3534" s="40"/>
      <c r="C3534" s="40"/>
      <c r="D3534" s="40"/>
      <c r="E3534" s="40"/>
      <c r="F3534" s="40"/>
      <c r="G3534" s="40"/>
      <c r="H3534" s="41"/>
      <c r="I3534" s="24" t="s">
        <v>418</v>
      </c>
      <c r="J3534" s="25"/>
      <c r="K3534" s="25"/>
      <c r="L3534" s="25"/>
      <c r="M3534" s="25"/>
      <c r="N3534" s="25"/>
      <c r="O3534" s="25"/>
      <c r="P3534" s="25"/>
      <c r="Q3534" s="25"/>
      <c r="R3534" s="25"/>
      <c r="S3534" s="25"/>
      <c r="T3534" s="25"/>
      <c r="U3534" s="25"/>
      <c r="V3534" s="25"/>
      <c r="W3534" s="25"/>
      <c r="X3534" s="25"/>
      <c r="Y3534" s="25"/>
      <c r="Z3534" s="25"/>
    </row>
    <row r="3535" spans="1:26" ht="15.75" customHeight="1" x14ac:dyDescent="0.75">
      <c r="A3535" s="43" t="s">
        <v>550</v>
      </c>
      <c r="B3535" s="40"/>
      <c r="C3535" s="40"/>
      <c r="D3535" s="40"/>
      <c r="E3535" s="40"/>
      <c r="F3535" s="40"/>
      <c r="G3535" s="40"/>
      <c r="H3535" s="41"/>
      <c r="I3535" s="24" t="s">
        <v>418</v>
      </c>
      <c r="J3535" s="25"/>
      <c r="K3535" s="25"/>
      <c r="L3535" s="25"/>
      <c r="M3535" s="25"/>
      <c r="N3535" s="25"/>
      <c r="O3535" s="25"/>
      <c r="P3535" s="25"/>
      <c r="Q3535" s="25"/>
      <c r="R3535" s="25"/>
      <c r="S3535" s="25"/>
      <c r="T3535" s="25"/>
      <c r="U3535" s="25"/>
      <c r="V3535" s="25"/>
      <c r="W3535" s="25"/>
      <c r="X3535" s="25"/>
      <c r="Y3535" s="25"/>
      <c r="Z3535" s="25"/>
    </row>
    <row r="3536" spans="1:26" ht="15.75" customHeight="1" x14ac:dyDescent="0.55000000000000004">
      <c r="A3536" s="2" t="s">
        <v>3</v>
      </c>
      <c r="B3536" s="2" t="s">
        <v>4</v>
      </c>
      <c r="C3536" s="2" t="s">
        <v>5</v>
      </c>
      <c r="D3536" s="2" t="s">
        <v>6</v>
      </c>
      <c r="E3536" s="2" t="s">
        <v>7</v>
      </c>
      <c r="F3536" s="3" t="s">
        <v>8</v>
      </c>
      <c r="G3536" s="2" t="s">
        <v>9</v>
      </c>
      <c r="H3536" s="26"/>
      <c r="I3536" s="24" t="s">
        <v>418</v>
      </c>
      <c r="J3536" s="25"/>
      <c r="K3536" s="25"/>
      <c r="L3536" s="25"/>
      <c r="M3536" s="25"/>
      <c r="N3536" s="25"/>
      <c r="O3536" s="25"/>
      <c r="P3536" s="25"/>
      <c r="Q3536" s="25"/>
      <c r="R3536" s="25"/>
      <c r="S3536" s="25"/>
      <c r="T3536" s="25"/>
      <c r="U3536" s="25"/>
      <c r="V3536" s="25"/>
      <c r="W3536" s="25"/>
      <c r="X3536" s="25"/>
      <c r="Y3536" s="25"/>
      <c r="Z3536" s="25"/>
    </row>
    <row r="3537" spans="1:26" ht="15.75" customHeight="1" x14ac:dyDescent="0.75">
      <c r="A3537" s="5">
        <v>1</v>
      </c>
      <c r="B3537" s="27" t="s">
        <v>89</v>
      </c>
      <c r="C3537" s="28" t="s">
        <v>551</v>
      </c>
      <c r="D3537" s="27" t="s">
        <v>12</v>
      </c>
      <c r="E3537" s="27">
        <v>3</v>
      </c>
      <c r="F3537" s="8">
        <v>293000</v>
      </c>
      <c r="G3537" s="9">
        <f t="shared" ref="G3537:G3539" si="219">IFERROR(E3537*F3537,0)</f>
        <v>879000</v>
      </c>
      <c r="H3537" s="29"/>
      <c r="I3537" s="24" t="s">
        <v>418</v>
      </c>
      <c r="J3537" s="25"/>
      <c r="K3537" s="25"/>
      <c r="L3537" s="25"/>
      <c r="M3537" s="25"/>
      <c r="N3537" s="25"/>
      <c r="O3537" s="25"/>
      <c r="P3537" s="25"/>
      <c r="Q3537" s="25"/>
      <c r="R3537" s="25"/>
      <c r="S3537" s="25"/>
      <c r="T3537" s="25"/>
      <c r="U3537" s="25"/>
      <c r="V3537" s="25"/>
      <c r="W3537" s="25"/>
      <c r="X3537" s="25"/>
      <c r="Y3537" s="25"/>
      <c r="Z3537" s="25"/>
    </row>
    <row r="3538" spans="1:26" ht="15.75" customHeight="1" x14ac:dyDescent="0.75">
      <c r="A3538" s="5">
        <v>2</v>
      </c>
      <c r="B3538" s="30" t="s">
        <v>552</v>
      </c>
      <c r="C3538" s="31" t="s">
        <v>553</v>
      </c>
      <c r="D3538" s="30" t="s">
        <v>14</v>
      </c>
      <c r="E3538" s="30">
        <v>0.8</v>
      </c>
      <c r="F3538" s="11">
        <v>435000</v>
      </c>
      <c r="G3538" s="9">
        <f t="shared" si="219"/>
        <v>348000</v>
      </c>
      <c r="H3538" s="29"/>
      <c r="I3538" s="24" t="s">
        <v>418</v>
      </c>
      <c r="J3538" s="25"/>
      <c r="K3538" s="25"/>
      <c r="L3538" s="25"/>
      <c r="M3538" s="25"/>
      <c r="N3538" s="25"/>
      <c r="O3538" s="25"/>
      <c r="P3538" s="25"/>
      <c r="Q3538" s="25"/>
      <c r="R3538" s="25"/>
      <c r="S3538" s="25"/>
      <c r="T3538" s="25"/>
      <c r="U3538" s="25"/>
      <c r="V3538" s="25"/>
      <c r="W3538" s="25"/>
      <c r="X3538" s="25"/>
      <c r="Y3538" s="25"/>
      <c r="Z3538" s="25"/>
    </row>
    <row r="3539" spans="1:26" ht="15.75" customHeight="1" x14ac:dyDescent="0.75">
      <c r="A3539" s="5">
        <v>3</v>
      </c>
      <c r="B3539" s="12" t="s">
        <v>15</v>
      </c>
      <c r="C3539" s="29"/>
      <c r="D3539" s="29"/>
      <c r="E3539" s="29"/>
      <c r="F3539" s="29"/>
      <c r="G3539" s="13">
        <f t="shared" si="219"/>
        <v>0</v>
      </c>
      <c r="H3539" s="29"/>
      <c r="I3539" s="24" t="s">
        <v>418</v>
      </c>
      <c r="J3539" s="25"/>
      <c r="K3539" s="25"/>
      <c r="L3539" s="25"/>
      <c r="M3539" s="25"/>
      <c r="N3539" s="25"/>
      <c r="O3539" s="25"/>
      <c r="P3539" s="25"/>
      <c r="Q3539" s="25"/>
      <c r="R3539" s="25"/>
      <c r="S3539" s="25"/>
      <c r="T3539" s="25"/>
      <c r="U3539" s="25"/>
      <c r="V3539" s="25"/>
      <c r="W3539" s="25"/>
      <c r="X3539" s="25"/>
      <c r="Y3539" s="25"/>
      <c r="Z3539" s="25"/>
    </row>
    <row r="3540" spans="1:26" ht="15.75" customHeight="1" x14ac:dyDescent="0.75">
      <c r="A3540" s="39" t="s">
        <v>16</v>
      </c>
      <c r="B3540" s="40"/>
      <c r="C3540" s="40"/>
      <c r="D3540" s="40"/>
      <c r="E3540" s="40"/>
      <c r="F3540" s="40"/>
      <c r="G3540" s="41"/>
      <c r="H3540" s="14">
        <f>SUM(G3537:G3539)</f>
        <v>1227000</v>
      </c>
      <c r="I3540" s="24" t="s">
        <v>418</v>
      </c>
      <c r="J3540" s="25"/>
      <c r="K3540" s="25"/>
      <c r="L3540" s="25"/>
      <c r="M3540" s="25"/>
      <c r="N3540" s="25"/>
      <c r="O3540" s="25"/>
      <c r="P3540" s="25"/>
      <c r="Q3540" s="25"/>
      <c r="R3540" s="25"/>
      <c r="S3540" s="25"/>
      <c r="T3540" s="25"/>
      <c r="U3540" s="25"/>
      <c r="V3540" s="25"/>
      <c r="W3540" s="25"/>
      <c r="X3540" s="25"/>
      <c r="Y3540" s="25"/>
      <c r="Z3540" s="25"/>
    </row>
    <row r="3541" spans="1:26" ht="15.75" customHeight="1" x14ac:dyDescent="0.75">
      <c r="A3541" s="39" t="s">
        <v>17</v>
      </c>
      <c r="B3541" s="40"/>
      <c r="C3541" s="40"/>
      <c r="D3541" s="40"/>
      <c r="E3541" s="40"/>
      <c r="F3541" s="40"/>
      <c r="G3541" s="41"/>
      <c r="H3541" s="14">
        <f>MAX(0,H3540-648000)</f>
        <v>579000</v>
      </c>
      <c r="I3541" s="24" t="s">
        <v>418</v>
      </c>
      <c r="J3541" s="25"/>
      <c r="K3541" s="25"/>
      <c r="L3541" s="25"/>
      <c r="M3541" s="25"/>
      <c r="N3541" s="25"/>
      <c r="O3541" s="25"/>
      <c r="P3541" s="25"/>
      <c r="Q3541" s="25"/>
      <c r="R3541" s="25"/>
      <c r="S3541" s="25"/>
      <c r="T3541" s="25"/>
      <c r="U3541" s="25"/>
      <c r="V3541" s="25"/>
      <c r="W3541" s="25"/>
      <c r="X3541" s="25"/>
      <c r="Y3541" s="25"/>
      <c r="Z3541" s="25"/>
    </row>
    <row r="3542" spans="1:26" ht="15.75" customHeight="1" x14ac:dyDescent="0.75">
      <c r="A3542" s="42" t="s">
        <v>18</v>
      </c>
      <c r="B3542" s="40"/>
      <c r="C3542" s="40"/>
      <c r="D3542" s="40"/>
      <c r="E3542" s="40"/>
      <c r="F3542" s="40"/>
      <c r="G3542" s="41"/>
      <c r="H3542" s="15">
        <v>649000</v>
      </c>
      <c r="I3542" s="24" t="s">
        <v>418</v>
      </c>
      <c r="J3542" s="25"/>
      <c r="K3542" s="25"/>
      <c r="L3542" s="25"/>
      <c r="M3542" s="25"/>
      <c r="N3542" s="25"/>
      <c r="O3542" s="25"/>
      <c r="P3542" s="25"/>
      <c r="Q3542" s="25"/>
      <c r="R3542" s="25"/>
      <c r="S3542" s="25"/>
      <c r="T3542" s="25"/>
      <c r="U3542" s="25"/>
      <c r="V3542" s="25"/>
      <c r="W3542" s="25"/>
      <c r="X3542" s="25"/>
      <c r="Y3542" s="25"/>
      <c r="Z3542" s="25"/>
    </row>
    <row r="3543" spans="1:26" ht="15.75" customHeight="1" x14ac:dyDescent="0.75">
      <c r="A3543" s="43" t="s">
        <v>19</v>
      </c>
      <c r="B3543" s="40"/>
      <c r="C3543" s="40"/>
      <c r="D3543" s="40"/>
      <c r="E3543" s="40"/>
      <c r="F3543" s="40"/>
      <c r="G3543" s="40"/>
      <c r="H3543" s="41"/>
      <c r="I3543" s="24" t="s">
        <v>418</v>
      </c>
      <c r="J3543" s="25"/>
      <c r="K3543" s="25"/>
      <c r="L3543" s="25"/>
      <c r="M3543" s="25"/>
      <c r="N3543" s="25"/>
      <c r="O3543" s="25"/>
      <c r="P3543" s="25"/>
      <c r="Q3543" s="25"/>
      <c r="R3543" s="25"/>
      <c r="S3543" s="25"/>
      <c r="T3543" s="25"/>
      <c r="U3543" s="25"/>
      <c r="V3543" s="25"/>
      <c r="W3543" s="25"/>
      <c r="X3543" s="25"/>
      <c r="Y3543" s="25"/>
      <c r="Z3543" s="25"/>
    </row>
    <row r="3544" spans="1:26" ht="15.75" customHeight="1" x14ac:dyDescent="0.45">
      <c r="A3544" s="25"/>
      <c r="B3544" s="25"/>
      <c r="C3544" s="25"/>
      <c r="D3544" s="25"/>
      <c r="E3544" s="25"/>
      <c r="F3544" s="25"/>
      <c r="G3544" s="25"/>
      <c r="H3544" s="25"/>
      <c r="I3544" s="24" t="s">
        <v>418</v>
      </c>
      <c r="J3544" s="25"/>
      <c r="K3544" s="25"/>
      <c r="L3544" s="25"/>
      <c r="M3544" s="25"/>
      <c r="N3544" s="25"/>
      <c r="O3544" s="25"/>
      <c r="P3544" s="25"/>
      <c r="Q3544" s="25"/>
      <c r="R3544" s="25"/>
      <c r="S3544" s="25"/>
      <c r="T3544" s="25"/>
      <c r="U3544" s="25"/>
      <c r="V3544" s="25"/>
      <c r="W3544" s="25"/>
      <c r="X3544" s="25"/>
      <c r="Y3544" s="25"/>
      <c r="Z3544" s="25"/>
    </row>
    <row r="3545" spans="1:26" ht="15.75" customHeight="1" x14ac:dyDescent="0.45">
      <c r="A3545" s="25"/>
      <c r="B3545" s="25"/>
      <c r="C3545" s="25"/>
      <c r="D3545" s="25"/>
      <c r="E3545" s="25"/>
      <c r="F3545" s="25"/>
      <c r="G3545" s="25"/>
      <c r="H3545" s="25"/>
      <c r="I3545" s="24" t="s">
        <v>418</v>
      </c>
      <c r="J3545" s="25"/>
      <c r="K3545" s="25"/>
      <c r="L3545" s="25"/>
      <c r="M3545" s="25"/>
      <c r="N3545" s="25"/>
      <c r="O3545" s="25"/>
      <c r="P3545" s="25"/>
      <c r="Q3545" s="25"/>
      <c r="R3545" s="25"/>
      <c r="S3545" s="25"/>
      <c r="T3545" s="25"/>
      <c r="U3545" s="25"/>
      <c r="V3545" s="25"/>
      <c r="W3545" s="25"/>
      <c r="X3545" s="25"/>
      <c r="Y3545" s="25"/>
      <c r="Z3545" s="25"/>
    </row>
    <row r="3546" spans="1:26" ht="15.75" customHeight="1" x14ac:dyDescent="0.45">
      <c r="A3546" s="25"/>
      <c r="B3546" s="25"/>
      <c r="C3546" s="25"/>
      <c r="D3546" s="25"/>
      <c r="E3546" s="25"/>
      <c r="F3546" s="25"/>
      <c r="G3546" s="25"/>
      <c r="H3546" s="25"/>
      <c r="I3546" s="24" t="s">
        <v>418</v>
      </c>
      <c r="J3546" s="25"/>
      <c r="K3546" s="25"/>
      <c r="L3546" s="25"/>
      <c r="M3546" s="25"/>
      <c r="N3546" s="25"/>
      <c r="O3546" s="25"/>
      <c r="P3546" s="25"/>
      <c r="Q3546" s="25"/>
      <c r="R3546" s="25"/>
      <c r="S3546" s="25"/>
      <c r="T3546" s="25"/>
      <c r="U3546" s="25"/>
      <c r="V3546" s="25"/>
      <c r="W3546" s="25"/>
      <c r="X3546" s="25"/>
      <c r="Y3546" s="25"/>
      <c r="Z3546" s="25"/>
    </row>
    <row r="3547" spans="1:26" ht="15.75" customHeight="1" x14ac:dyDescent="0.45">
      <c r="A3547" s="25"/>
      <c r="B3547" s="25"/>
      <c r="C3547" s="25"/>
      <c r="D3547" s="25"/>
      <c r="E3547" s="25"/>
      <c r="F3547" s="25"/>
      <c r="G3547" s="25"/>
      <c r="H3547" s="25"/>
      <c r="I3547" s="24" t="s">
        <v>418</v>
      </c>
      <c r="J3547" s="25"/>
      <c r="K3547" s="25"/>
      <c r="L3547" s="25"/>
      <c r="M3547" s="25"/>
      <c r="N3547" s="25"/>
      <c r="O3547" s="25"/>
      <c r="P3547" s="25"/>
      <c r="Q3547" s="25"/>
      <c r="R3547" s="25"/>
      <c r="S3547" s="25"/>
      <c r="T3547" s="25"/>
      <c r="U3547" s="25"/>
      <c r="V3547" s="25"/>
      <c r="W3547" s="25"/>
      <c r="X3547" s="25"/>
      <c r="Y3547" s="25"/>
      <c r="Z3547" s="25"/>
    </row>
    <row r="3548" spans="1:26" ht="15.75" customHeight="1" x14ac:dyDescent="0.45">
      <c r="A3548" s="25"/>
      <c r="B3548" s="25"/>
      <c r="C3548" s="25"/>
      <c r="D3548" s="25"/>
      <c r="E3548" s="25"/>
      <c r="F3548" s="25"/>
      <c r="G3548" s="25"/>
      <c r="H3548" s="25"/>
      <c r="I3548" s="24" t="s">
        <v>418</v>
      </c>
      <c r="J3548" s="25"/>
      <c r="K3548" s="25"/>
      <c r="L3548" s="25"/>
      <c r="M3548" s="25"/>
      <c r="N3548" s="25"/>
      <c r="O3548" s="25"/>
      <c r="P3548" s="25"/>
      <c r="Q3548" s="25"/>
      <c r="R3548" s="25"/>
      <c r="S3548" s="25"/>
      <c r="T3548" s="25"/>
      <c r="U3548" s="25"/>
      <c r="V3548" s="25"/>
      <c r="W3548" s="25"/>
      <c r="X3548" s="25"/>
      <c r="Y3548" s="25"/>
      <c r="Z3548" s="25"/>
    </row>
    <row r="3549" spans="1:26" ht="15.75" customHeight="1" x14ac:dyDescent="0.75">
      <c r="A3549" s="43" t="s">
        <v>0</v>
      </c>
      <c r="B3549" s="40"/>
      <c r="C3549" s="40"/>
      <c r="D3549" s="40"/>
      <c r="E3549" s="40"/>
      <c r="F3549" s="40"/>
      <c r="G3549" s="40"/>
      <c r="H3549" s="41"/>
      <c r="I3549" s="24" t="s">
        <v>418</v>
      </c>
      <c r="J3549" s="25"/>
      <c r="K3549" s="25"/>
      <c r="L3549" s="25"/>
      <c r="M3549" s="25"/>
      <c r="N3549" s="25"/>
      <c r="O3549" s="25"/>
      <c r="P3549" s="25"/>
      <c r="Q3549" s="25"/>
      <c r="R3549" s="25"/>
      <c r="S3549" s="25"/>
      <c r="T3549" s="25"/>
      <c r="U3549" s="25"/>
      <c r="V3549" s="25"/>
      <c r="W3549" s="25"/>
      <c r="X3549" s="25"/>
      <c r="Y3549" s="25"/>
      <c r="Z3549" s="25"/>
    </row>
    <row r="3550" spans="1:26" ht="15.75" customHeight="1" x14ac:dyDescent="0.75">
      <c r="A3550" s="43" t="s">
        <v>554</v>
      </c>
      <c r="B3550" s="40"/>
      <c r="C3550" s="40"/>
      <c r="D3550" s="40"/>
      <c r="E3550" s="40"/>
      <c r="F3550" s="40"/>
      <c r="G3550" s="40"/>
      <c r="H3550" s="41"/>
      <c r="I3550" s="24" t="s">
        <v>418</v>
      </c>
      <c r="J3550" s="25"/>
      <c r="K3550" s="25"/>
      <c r="L3550" s="25"/>
      <c r="M3550" s="25"/>
      <c r="N3550" s="25"/>
      <c r="O3550" s="25"/>
      <c r="P3550" s="25"/>
      <c r="Q3550" s="25"/>
      <c r="R3550" s="25"/>
      <c r="S3550" s="25"/>
      <c r="T3550" s="25"/>
      <c r="U3550" s="25"/>
      <c r="V3550" s="25"/>
      <c r="W3550" s="25"/>
      <c r="X3550" s="25"/>
      <c r="Y3550" s="25"/>
      <c r="Z3550" s="25"/>
    </row>
    <row r="3551" spans="1:26" ht="15.75" customHeight="1" x14ac:dyDescent="0.55000000000000004">
      <c r="A3551" s="2" t="s">
        <v>3</v>
      </c>
      <c r="B3551" s="2" t="s">
        <v>4</v>
      </c>
      <c r="C3551" s="2" t="s">
        <v>5</v>
      </c>
      <c r="D3551" s="2" t="s">
        <v>6</v>
      </c>
      <c r="E3551" s="2" t="s">
        <v>7</v>
      </c>
      <c r="F3551" s="3" t="s">
        <v>8</v>
      </c>
      <c r="G3551" s="2" t="s">
        <v>9</v>
      </c>
      <c r="H3551" s="26"/>
      <c r="I3551" s="24" t="s">
        <v>418</v>
      </c>
      <c r="J3551" s="25"/>
      <c r="K3551" s="25"/>
      <c r="L3551" s="25"/>
      <c r="M3551" s="25"/>
      <c r="N3551" s="25"/>
      <c r="O3551" s="25"/>
      <c r="P3551" s="25"/>
      <c r="Q3551" s="25"/>
      <c r="R3551" s="25"/>
      <c r="S3551" s="25"/>
      <c r="T3551" s="25"/>
      <c r="U3551" s="25"/>
      <c r="V3551" s="25"/>
      <c r="W3551" s="25"/>
      <c r="X3551" s="25"/>
      <c r="Y3551" s="25"/>
      <c r="Z3551" s="25"/>
    </row>
    <row r="3552" spans="1:26" ht="15.75" customHeight="1" x14ac:dyDescent="0.75">
      <c r="A3552" s="5">
        <v>1</v>
      </c>
      <c r="B3552" s="27" t="s">
        <v>362</v>
      </c>
      <c r="C3552" s="28" t="s">
        <v>555</v>
      </c>
      <c r="D3552" s="27" t="s">
        <v>12</v>
      </c>
      <c r="E3552" s="27">
        <v>2</v>
      </c>
      <c r="F3552" s="8">
        <v>293000</v>
      </c>
      <c r="G3552" s="9">
        <f t="shared" ref="G3552:G3554" si="220">IFERROR(E3552*F3552,0)</f>
        <v>586000</v>
      </c>
      <c r="H3552" s="29"/>
      <c r="I3552" s="24" t="s">
        <v>418</v>
      </c>
      <c r="J3552" s="25"/>
      <c r="K3552" s="25"/>
      <c r="L3552" s="25"/>
      <c r="M3552" s="25"/>
      <c r="N3552" s="25"/>
      <c r="O3552" s="25"/>
      <c r="P3552" s="25"/>
      <c r="Q3552" s="25"/>
      <c r="R3552" s="25"/>
      <c r="S3552" s="25"/>
      <c r="T3552" s="25"/>
      <c r="U3552" s="25"/>
      <c r="V3552" s="25"/>
      <c r="W3552" s="25"/>
      <c r="X3552" s="25"/>
      <c r="Y3552" s="25"/>
      <c r="Z3552" s="25"/>
    </row>
    <row r="3553" spans="1:26" ht="15.75" customHeight="1" x14ac:dyDescent="0.75">
      <c r="A3553" s="5">
        <v>2</v>
      </c>
      <c r="B3553" s="30" t="s">
        <v>556</v>
      </c>
      <c r="C3553" s="31" t="s">
        <v>557</v>
      </c>
      <c r="D3553" s="30" t="s">
        <v>14</v>
      </c>
      <c r="E3553" s="30">
        <v>1.52</v>
      </c>
      <c r="F3553" s="11">
        <v>435000</v>
      </c>
      <c r="G3553" s="9">
        <f t="shared" si="220"/>
        <v>661200</v>
      </c>
      <c r="H3553" s="29"/>
      <c r="I3553" s="24" t="s">
        <v>418</v>
      </c>
      <c r="J3553" s="25"/>
      <c r="K3553" s="25"/>
      <c r="L3553" s="25"/>
      <c r="M3553" s="25"/>
      <c r="N3553" s="25"/>
      <c r="O3553" s="25"/>
      <c r="P3553" s="25"/>
      <c r="Q3553" s="25"/>
      <c r="R3553" s="25"/>
      <c r="S3553" s="25"/>
      <c r="T3553" s="25"/>
      <c r="U3553" s="25"/>
      <c r="V3553" s="25"/>
      <c r="W3553" s="25"/>
      <c r="X3553" s="25"/>
      <c r="Y3553" s="25"/>
      <c r="Z3553" s="25"/>
    </row>
    <row r="3554" spans="1:26" ht="15.75" customHeight="1" x14ac:dyDescent="0.75">
      <c r="A3554" s="5">
        <v>3</v>
      </c>
      <c r="B3554" s="12" t="s">
        <v>15</v>
      </c>
      <c r="C3554" s="29"/>
      <c r="D3554" s="29"/>
      <c r="E3554" s="29"/>
      <c r="F3554" s="29"/>
      <c r="G3554" s="13">
        <f t="shared" si="220"/>
        <v>0</v>
      </c>
      <c r="H3554" s="29"/>
      <c r="I3554" s="24" t="s">
        <v>418</v>
      </c>
      <c r="J3554" s="25"/>
      <c r="K3554" s="25"/>
      <c r="L3554" s="25"/>
      <c r="M3554" s="25"/>
      <c r="N3554" s="25"/>
      <c r="O3554" s="25"/>
      <c r="P3554" s="25"/>
      <c r="Q3554" s="25"/>
      <c r="R3554" s="25"/>
      <c r="S3554" s="25"/>
      <c r="T3554" s="25"/>
      <c r="U3554" s="25"/>
      <c r="V3554" s="25"/>
      <c r="W3554" s="25"/>
      <c r="X3554" s="25"/>
      <c r="Y3554" s="25"/>
      <c r="Z3554" s="25"/>
    </row>
    <row r="3555" spans="1:26" ht="15.75" customHeight="1" x14ac:dyDescent="0.75">
      <c r="A3555" s="39" t="s">
        <v>16</v>
      </c>
      <c r="B3555" s="40"/>
      <c r="C3555" s="40"/>
      <c r="D3555" s="40"/>
      <c r="E3555" s="40"/>
      <c r="F3555" s="40"/>
      <c r="G3555" s="41"/>
      <c r="H3555" s="14">
        <f>SUM(G3552:G3554)</f>
        <v>1247200</v>
      </c>
      <c r="I3555" s="24" t="s">
        <v>418</v>
      </c>
      <c r="J3555" s="25"/>
      <c r="K3555" s="25"/>
      <c r="L3555" s="25"/>
      <c r="M3555" s="25"/>
      <c r="N3555" s="25"/>
      <c r="O3555" s="25"/>
      <c r="P3555" s="25"/>
      <c r="Q3555" s="25"/>
      <c r="R3555" s="25"/>
      <c r="S3555" s="25"/>
      <c r="T3555" s="25"/>
      <c r="U3555" s="25"/>
      <c r="V3555" s="25"/>
      <c r="W3555" s="25"/>
      <c r="X3555" s="25"/>
      <c r="Y3555" s="25"/>
      <c r="Z3555" s="25"/>
    </row>
    <row r="3556" spans="1:26" ht="15.75" customHeight="1" x14ac:dyDescent="0.75">
      <c r="A3556" s="39" t="s">
        <v>17</v>
      </c>
      <c r="B3556" s="40"/>
      <c r="C3556" s="40"/>
      <c r="D3556" s="40"/>
      <c r="E3556" s="40"/>
      <c r="F3556" s="40"/>
      <c r="G3556" s="41"/>
      <c r="H3556" s="14">
        <f>MAX(0,H3555-648000)</f>
        <v>599200</v>
      </c>
      <c r="I3556" s="24" t="s">
        <v>418</v>
      </c>
      <c r="J3556" s="25"/>
      <c r="K3556" s="25"/>
      <c r="L3556" s="25"/>
      <c r="M3556" s="25"/>
      <c r="N3556" s="25"/>
      <c r="O3556" s="25"/>
      <c r="P3556" s="25"/>
      <c r="Q3556" s="25"/>
      <c r="R3556" s="25"/>
      <c r="S3556" s="25"/>
      <c r="T3556" s="25"/>
      <c r="U3556" s="25"/>
      <c r="V3556" s="25"/>
      <c r="W3556" s="25"/>
      <c r="X3556" s="25"/>
      <c r="Y3556" s="25"/>
      <c r="Z3556" s="25"/>
    </row>
    <row r="3557" spans="1:26" ht="15.75" customHeight="1" x14ac:dyDescent="0.75">
      <c r="A3557" s="42" t="s">
        <v>18</v>
      </c>
      <c r="B3557" s="40"/>
      <c r="C3557" s="40"/>
      <c r="D3557" s="40"/>
      <c r="E3557" s="40"/>
      <c r="F3557" s="40"/>
      <c r="G3557" s="41"/>
      <c r="H3557" s="15">
        <v>649000</v>
      </c>
      <c r="I3557" s="24" t="s">
        <v>418</v>
      </c>
      <c r="J3557" s="25"/>
      <c r="K3557" s="25"/>
      <c r="L3557" s="25"/>
      <c r="M3557" s="25"/>
      <c r="N3557" s="25"/>
      <c r="O3557" s="25"/>
      <c r="P3557" s="25"/>
      <c r="Q3557" s="25"/>
      <c r="R3557" s="25"/>
      <c r="S3557" s="25"/>
      <c r="T3557" s="25"/>
      <c r="U3557" s="25"/>
      <c r="V3557" s="25"/>
      <c r="W3557" s="25"/>
      <c r="X3557" s="25"/>
      <c r="Y3557" s="25"/>
      <c r="Z3557" s="25"/>
    </row>
    <row r="3558" spans="1:26" ht="15.75" customHeight="1" x14ac:dyDescent="0.75">
      <c r="A3558" s="43" t="s">
        <v>19</v>
      </c>
      <c r="B3558" s="40"/>
      <c r="C3558" s="40"/>
      <c r="D3558" s="40"/>
      <c r="E3558" s="40"/>
      <c r="F3558" s="40"/>
      <c r="G3558" s="40"/>
      <c r="H3558" s="41"/>
      <c r="I3558" s="24" t="s">
        <v>418</v>
      </c>
      <c r="J3558" s="25"/>
      <c r="K3558" s="25"/>
      <c r="L3558" s="25"/>
      <c r="M3558" s="25"/>
      <c r="N3558" s="25"/>
      <c r="O3558" s="25"/>
      <c r="P3558" s="25"/>
      <c r="Q3558" s="25"/>
      <c r="R3558" s="25"/>
      <c r="S3558" s="25"/>
      <c r="T3558" s="25"/>
      <c r="U3558" s="25"/>
      <c r="V3558" s="25"/>
      <c r="W3558" s="25"/>
      <c r="X3558" s="25"/>
      <c r="Y3558" s="25"/>
      <c r="Z3558" s="25"/>
    </row>
    <row r="3559" spans="1:26" ht="15.75" customHeight="1" x14ac:dyDescent="0.45">
      <c r="A3559" s="25"/>
      <c r="B3559" s="25"/>
      <c r="C3559" s="25"/>
      <c r="D3559" s="25"/>
      <c r="E3559" s="25"/>
      <c r="F3559" s="25"/>
      <c r="G3559" s="25"/>
      <c r="H3559" s="25"/>
      <c r="I3559" s="24" t="s">
        <v>418</v>
      </c>
      <c r="J3559" s="25"/>
      <c r="K3559" s="25"/>
      <c r="L3559" s="25"/>
      <c r="M3559" s="25"/>
      <c r="N3559" s="25"/>
      <c r="O3559" s="25"/>
      <c r="P3559" s="25"/>
      <c r="Q3559" s="25"/>
      <c r="R3559" s="25"/>
      <c r="S3559" s="25"/>
      <c r="T3559" s="25"/>
      <c r="U3559" s="25"/>
      <c r="V3559" s="25"/>
      <c r="W3559" s="25"/>
      <c r="X3559" s="25"/>
      <c r="Y3559" s="25"/>
      <c r="Z3559" s="25"/>
    </row>
    <row r="3560" spans="1:26" ht="15.75" customHeight="1" x14ac:dyDescent="0.45">
      <c r="A3560" s="25"/>
      <c r="B3560" s="25"/>
      <c r="C3560" s="25"/>
      <c r="D3560" s="25"/>
      <c r="E3560" s="25"/>
      <c r="F3560" s="25"/>
      <c r="G3560" s="25"/>
      <c r="H3560" s="25"/>
      <c r="I3560" s="24" t="s">
        <v>418</v>
      </c>
      <c r="J3560" s="25"/>
      <c r="K3560" s="25"/>
      <c r="L3560" s="25"/>
      <c r="M3560" s="25"/>
      <c r="N3560" s="25"/>
      <c r="O3560" s="25"/>
      <c r="P3560" s="25"/>
      <c r="Q3560" s="25"/>
      <c r="R3560" s="25"/>
      <c r="S3560" s="25"/>
      <c r="T3560" s="25"/>
      <c r="U3560" s="25"/>
      <c r="V3560" s="25"/>
      <c r="W3560" s="25"/>
      <c r="X3560" s="25"/>
      <c r="Y3560" s="25"/>
      <c r="Z3560" s="25"/>
    </row>
    <row r="3561" spans="1:26" ht="15.75" customHeight="1" x14ac:dyDescent="0.45">
      <c r="A3561" s="25"/>
      <c r="B3561" s="25"/>
      <c r="C3561" s="25"/>
      <c r="D3561" s="25"/>
      <c r="E3561" s="25"/>
      <c r="F3561" s="25"/>
      <c r="G3561" s="25"/>
      <c r="H3561" s="25"/>
      <c r="I3561" s="24" t="s">
        <v>418</v>
      </c>
      <c r="J3561" s="25"/>
      <c r="K3561" s="25"/>
      <c r="L3561" s="25"/>
      <c r="M3561" s="25"/>
      <c r="N3561" s="25"/>
      <c r="O3561" s="25"/>
      <c r="P3561" s="25"/>
      <c r="Q3561" s="25"/>
      <c r="R3561" s="25"/>
      <c r="S3561" s="25"/>
      <c r="T3561" s="25"/>
      <c r="U3561" s="25"/>
      <c r="V3561" s="25"/>
      <c r="W3561" s="25"/>
      <c r="X3561" s="25"/>
      <c r="Y3561" s="25"/>
      <c r="Z3561" s="25"/>
    </row>
    <row r="3562" spans="1:26" ht="15.75" customHeight="1" x14ac:dyDescent="0.45">
      <c r="A3562" s="25"/>
      <c r="B3562" s="25"/>
      <c r="C3562" s="25"/>
      <c r="D3562" s="25"/>
      <c r="E3562" s="25"/>
      <c r="F3562" s="25"/>
      <c r="G3562" s="25"/>
      <c r="H3562" s="25"/>
      <c r="I3562" s="24" t="s">
        <v>418</v>
      </c>
      <c r="J3562" s="25"/>
      <c r="K3562" s="25"/>
      <c r="L3562" s="25"/>
      <c r="M3562" s="25"/>
      <c r="N3562" s="25"/>
      <c r="O3562" s="25"/>
      <c r="P3562" s="25"/>
      <c r="Q3562" s="25"/>
      <c r="R3562" s="25"/>
      <c r="S3562" s="25"/>
      <c r="T3562" s="25"/>
      <c r="U3562" s="25"/>
      <c r="V3562" s="25"/>
      <c r="W3562" s="25"/>
      <c r="X3562" s="25"/>
      <c r="Y3562" s="25"/>
      <c r="Z3562" s="25"/>
    </row>
    <row r="3563" spans="1:26" ht="15.75" customHeight="1" x14ac:dyDescent="0.75">
      <c r="A3563" s="43" t="s">
        <v>0</v>
      </c>
      <c r="B3563" s="40"/>
      <c r="C3563" s="40"/>
      <c r="D3563" s="40"/>
      <c r="E3563" s="40"/>
      <c r="F3563" s="40"/>
      <c r="G3563" s="40"/>
      <c r="H3563" s="41"/>
      <c r="I3563" s="24" t="s">
        <v>418</v>
      </c>
      <c r="J3563" s="25"/>
      <c r="K3563" s="25"/>
      <c r="L3563" s="25"/>
      <c r="M3563" s="25"/>
      <c r="N3563" s="25"/>
      <c r="O3563" s="25"/>
      <c r="P3563" s="25"/>
      <c r="Q3563" s="25"/>
      <c r="R3563" s="25"/>
      <c r="S3563" s="25"/>
      <c r="T3563" s="25"/>
      <c r="U3563" s="25"/>
      <c r="V3563" s="25"/>
      <c r="W3563" s="25"/>
      <c r="X3563" s="25"/>
      <c r="Y3563" s="25"/>
      <c r="Z3563" s="25"/>
    </row>
    <row r="3564" spans="1:26" ht="15.75" customHeight="1" x14ac:dyDescent="0.75">
      <c r="A3564" s="43" t="s">
        <v>558</v>
      </c>
      <c r="B3564" s="40"/>
      <c r="C3564" s="40"/>
      <c r="D3564" s="40"/>
      <c r="E3564" s="40"/>
      <c r="F3564" s="40"/>
      <c r="G3564" s="40"/>
      <c r="H3564" s="41"/>
      <c r="I3564" s="24" t="s">
        <v>418</v>
      </c>
      <c r="J3564" s="25"/>
      <c r="K3564" s="25"/>
      <c r="L3564" s="25"/>
      <c r="M3564" s="25"/>
      <c r="N3564" s="25"/>
      <c r="O3564" s="25"/>
      <c r="P3564" s="25"/>
      <c r="Q3564" s="25"/>
      <c r="R3564" s="25"/>
      <c r="S3564" s="25"/>
      <c r="T3564" s="25"/>
      <c r="U3564" s="25"/>
      <c r="V3564" s="25"/>
      <c r="W3564" s="25"/>
      <c r="X3564" s="25"/>
      <c r="Y3564" s="25"/>
      <c r="Z3564" s="25"/>
    </row>
    <row r="3565" spans="1:26" ht="15.75" customHeight="1" x14ac:dyDescent="0.55000000000000004">
      <c r="A3565" s="2" t="s">
        <v>3</v>
      </c>
      <c r="B3565" s="2" t="s">
        <v>4</v>
      </c>
      <c r="C3565" s="2" t="s">
        <v>5</v>
      </c>
      <c r="D3565" s="2" t="s">
        <v>6</v>
      </c>
      <c r="E3565" s="2" t="s">
        <v>7</v>
      </c>
      <c r="F3565" s="3" t="s">
        <v>8</v>
      </c>
      <c r="G3565" s="2" t="s">
        <v>9</v>
      </c>
      <c r="H3565" s="26"/>
      <c r="I3565" s="24" t="s">
        <v>418</v>
      </c>
      <c r="J3565" s="25"/>
      <c r="K3565" s="25"/>
      <c r="L3565" s="25"/>
      <c r="M3565" s="25"/>
      <c r="N3565" s="25"/>
      <c r="O3565" s="25"/>
      <c r="P3565" s="25"/>
      <c r="Q3565" s="25"/>
      <c r="R3565" s="25"/>
      <c r="S3565" s="25"/>
      <c r="T3565" s="25"/>
      <c r="U3565" s="25"/>
      <c r="V3565" s="25"/>
      <c r="W3565" s="25"/>
      <c r="X3565" s="25"/>
      <c r="Y3565" s="25"/>
      <c r="Z3565" s="25"/>
    </row>
    <row r="3566" spans="1:26" ht="15.75" customHeight="1" x14ac:dyDescent="0.75">
      <c r="A3566" s="5">
        <v>1</v>
      </c>
      <c r="B3566" s="27" t="s">
        <v>203</v>
      </c>
      <c r="C3566" s="28" t="s">
        <v>559</v>
      </c>
      <c r="D3566" s="27" t="s">
        <v>12</v>
      </c>
      <c r="E3566" s="27">
        <v>2</v>
      </c>
      <c r="F3566" s="8">
        <v>293000</v>
      </c>
      <c r="G3566" s="9">
        <f t="shared" ref="G3566:G3568" si="221">IFERROR(E3566*F3566,0)</f>
        <v>586000</v>
      </c>
      <c r="H3566" s="29"/>
      <c r="I3566" s="24" t="s">
        <v>418</v>
      </c>
      <c r="J3566" s="25"/>
      <c r="K3566" s="25"/>
      <c r="L3566" s="25"/>
      <c r="M3566" s="25"/>
      <c r="N3566" s="25"/>
      <c r="O3566" s="25"/>
      <c r="P3566" s="25"/>
      <c r="Q3566" s="25"/>
      <c r="R3566" s="25"/>
      <c r="S3566" s="25"/>
      <c r="T3566" s="25"/>
      <c r="U3566" s="25"/>
      <c r="V3566" s="25"/>
      <c r="W3566" s="25"/>
      <c r="X3566" s="25"/>
      <c r="Y3566" s="25"/>
      <c r="Z3566" s="25"/>
    </row>
    <row r="3567" spans="1:26" ht="15.75" customHeight="1" x14ac:dyDescent="0.75">
      <c r="A3567" s="5">
        <v>2</v>
      </c>
      <c r="B3567" s="30" t="s">
        <v>560</v>
      </c>
      <c r="C3567" s="31" t="s">
        <v>561</v>
      </c>
      <c r="D3567" s="30" t="s">
        <v>14</v>
      </c>
      <c r="E3567" s="30">
        <v>1.7</v>
      </c>
      <c r="F3567" s="11">
        <v>435000</v>
      </c>
      <c r="G3567" s="9">
        <f t="shared" si="221"/>
        <v>739500</v>
      </c>
      <c r="H3567" s="29"/>
      <c r="I3567" s="24" t="s">
        <v>418</v>
      </c>
      <c r="J3567" s="25"/>
      <c r="K3567" s="25"/>
      <c r="L3567" s="25"/>
      <c r="M3567" s="25"/>
      <c r="N3567" s="25"/>
      <c r="O3567" s="25"/>
      <c r="P3567" s="25"/>
      <c r="Q3567" s="25"/>
      <c r="R3567" s="25"/>
      <c r="S3567" s="25"/>
      <c r="T3567" s="25"/>
      <c r="U3567" s="25"/>
      <c r="V3567" s="25"/>
      <c r="W3567" s="25"/>
      <c r="X3567" s="25"/>
      <c r="Y3567" s="25"/>
      <c r="Z3567" s="25"/>
    </row>
    <row r="3568" spans="1:26" ht="15.75" customHeight="1" x14ac:dyDescent="0.75">
      <c r="A3568" s="5">
        <v>3</v>
      </c>
      <c r="B3568" s="12" t="s">
        <v>15</v>
      </c>
      <c r="C3568" s="29"/>
      <c r="D3568" s="29"/>
      <c r="E3568" s="29"/>
      <c r="F3568" s="29"/>
      <c r="G3568" s="13">
        <f t="shared" si="221"/>
        <v>0</v>
      </c>
      <c r="H3568" s="29"/>
      <c r="I3568" s="24" t="s">
        <v>418</v>
      </c>
      <c r="J3568" s="25"/>
      <c r="K3568" s="25"/>
      <c r="L3568" s="25"/>
      <c r="M3568" s="25"/>
      <c r="N3568" s="25"/>
      <c r="O3568" s="25"/>
      <c r="P3568" s="25"/>
      <c r="Q3568" s="25"/>
      <c r="R3568" s="25"/>
      <c r="S3568" s="25"/>
      <c r="T3568" s="25"/>
      <c r="U3568" s="25"/>
      <c r="V3568" s="25"/>
      <c r="W3568" s="25"/>
      <c r="X3568" s="25"/>
      <c r="Y3568" s="25"/>
      <c r="Z3568" s="25"/>
    </row>
    <row r="3569" spans="1:26" ht="15.75" customHeight="1" x14ac:dyDescent="0.75">
      <c r="A3569" s="39" t="s">
        <v>16</v>
      </c>
      <c r="B3569" s="40"/>
      <c r="C3569" s="40"/>
      <c r="D3569" s="40"/>
      <c r="E3569" s="40"/>
      <c r="F3569" s="40"/>
      <c r="G3569" s="41"/>
      <c r="H3569" s="14">
        <f>SUM(G3566:G3568)</f>
        <v>1325500</v>
      </c>
      <c r="I3569" s="24" t="s">
        <v>418</v>
      </c>
      <c r="J3569" s="25"/>
      <c r="K3569" s="25"/>
      <c r="L3569" s="25"/>
      <c r="M3569" s="25"/>
      <c r="N3569" s="25"/>
      <c r="O3569" s="25"/>
      <c r="P3569" s="25"/>
      <c r="Q3569" s="25"/>
      <c r="R3569" s="25"/>
      <c r="S3569" s="25"/>
      <c r="T3569" s="25"/>
      <c r="U3569" s="25"/>
      <c r="V3569" s="25"/>
      <c r="W3569" s="25"/>
      <c r="X3569" s="25"/>
      <c r="Y3569" s="25"/>
      <c r="Z3569" s="25"/>
    </row>
    <row r="3570" spans="1:26" ht="15.75" customHeight="1" x14ac:dyDescent="0.75">
      <c r="A3570" s="39" t="s">
        <v>17</v>
      </c>
      <c r="B3570" s="40"/>
      <c r="C3570" s="40"/>
      <c r="D3570" s="40"/>
      <c r="E3570" s="40"/>
      <c r="F3570" s="40"/>
      <c r="G3570" s="41"/>
      <c r="H3570" s="14">
        <f>MAX(0,H3569-648000)</f>
        <v>677500</v>
      </c>
      <c r="I3570" s="24" t="s">
        <v>418</v>
      </c>
      <c r="J3570" s="25"/>
      <c r="K3570" s="25"/>
      <c r="L3570" s="25"/>
      <c r="M3570" s="25"/>
      <c r="N3570" s="25"/>
      <c r="O3570" s="25"/>
      <c r="P3570" s="25"/>
      <c r="Q3570" s="25"/>
      <c r="R3570" s="25"/>
      <c r="S3570" s="25"/>
      <c r="T3570" s="25"/>
      <c r="U3570" s="25"/>
      <c r="V3570" s="25"/>
      <c r="W3570" s="25"/>
      <c r="X3570" s="25"/>
      <c r="Y3570" s="25"/>
      <c r="Z3570" s="25"/>
    </row>
    <row r="3571" spans="1:26" ht="15.75" customHeight="1" x14ac:dyDescent="0.75">
      <c r="A3571" s="42" t="s">
        <v>18</v>
      </c>
      <c r="B3571" s="40"/>
      <c r="C3571" s="40"/>
      <c r="D3571" s="40"/>
      <c r="E3571" s="40"/>
      <c r="F3571" s="40"/>
      <c r="G3571" s="41"/>
      <c r="H3571" s="15">
        <v>649000</v>
      </c>
      <c r="I3571" s="24" t="s">
        <v>418</v>
      </c>
      <c r="J3571" s="25"/>
      <c r="K3571" s="25"/>
      <c r="L3571" s="25"/>
      <c r="M3571" s="25"/>
      <c r="N3571" s="25"/>
      <c r="O3571" s="25"/>
      <c r="P3571" s="25"/>
      <c r="Q3571" s="25"/>
      <c r="R3571" s="25"/>
      <c r="S3571" s="25"/>
      <c r="T3571" s="25"/>
      <c r="U3571" s="25"/>
      <c r="V3571" s="25"/>
      <c r="W3571" s="25"/>
      <c r="X3571" s="25"/>
      <c r="Y3571" s="25"/>
      <c r="Z3571" s="25"/>
    </row>
    <row r="3572" spans="1:26" ht="15.75" customHeight="1" x14ac:dyDescent="0.75">
      <c r="A3572" s="43" t="s">
        <v>19</v>
      </c>
      <c r="B3572" s="40"/>
      <c r="C3572" s="40"/>
      <c r="D3572" s="40"/>
      <c r="E3572" s="40"/>
      <c r="F3572" s="40"/>
      <c r="G3572" s="40"/>
      <c r="H3572" s="41"/>
      <c r="I3572" s="24" t="s">
        <v>418</v>
      </c>
      <c r="J3572" s="25"/>
      <c r="K3572" s="25"/>
      <c r="L3572" s="25"/>
      <c r="M3572" s="25"/>
      <c r="N3572" s="25"/>
      <c r="O3572" s="25"/>
      <c r="P3572" s="25"/>
      <c r="Q3572" s="25"/>
      <c r="R3572" s="25"/>
      <c r="S3572" s="25"/>
      <c r="T3572" s="25"/>
      <c r="U3572" s="25"/>
      <c r="V3572" s="25"/>
      <c r="W3572" s="25"/>
      <c r="X3572" s="25"/>
      <c r="Y3572" s="25"/>
      <c r="Z3572" s="25"/>
    </row>
    <row r="3573" spans="1:26" ht="15.75" customHeight="1" x14ac:dyDescent="0.45">
      <c r="A3573" s="25"/>
      <c r="B3573" s="25"/>
      <c r="C3573" s="25"/>
      <c r="D3573" s="25"/>
      <c r="E3573" s="25"/>
      <c r="F3573" s="25"/>
      <c r="G3573" s="25"/>
      <c r="H3573" s="25"/>
      <c r="I3573" s="24" t="s">
        <v>418</v>
      </c>
      <c r="J3573" s="25"/>
      <c r="K3573" s="25"/>
      <c r="L3573" s="25"/>
      <c r="M3573" s="25"/>
      <c r="N3573" s="25"/>
      <c r="O3573" s="25"/>
      <c r="P3573" s="25"/>
      <c r="Q3573" s="25"/>
      <c r="R3573" s="25"/>
      <c r="S3573" s="25"/>
      <c r="T3573" s="25"/>
      <c r="U3573" s="25"/>
      <c r="V3573" s="25"/>
      <c r="W3573" s="25"/>
      <c r="X3573" s="25"/>
      <c r="Y3573" s="25"/>
      <c r="Z3573" s="25"/>
    </row>
    <row r="3574" spans="1:26" ht="15.75" customHeight="1" x14ac:dyDescent="0.45">
      <c r="A3574" s="25"/>
      <c r="B3574" s="25"/>
      <c r="C3574" s="25"/>
      <c r="D3574" s="25"/>
      <c r="E3574" s="25"/>
      <c r="F3574" s="25"/>
      <c r="G3574" s="25"/>
      <c r="H3574" s="25"/>
      <c r="I3574" s="24" t="s">
        <v>418</v>
      </c>
      <c r="J3574" s="25"/>
      <c r="K3574" s="25"/>
      <c r="L3574" s="25"/>
      <c r="M3574" s="25"/>
      <c r="N3574" s="25"/>
      <c r="O3574" s="25"/>
      <c r="P3574" s="25"/>
      <c r="Q3574" s="25"/>
      <c r="R3574" s="25"/>
      <c r="S3574" s="25"/>
      <c r="T3574" s="25"/>
      <c r="U3574" s="25"/>
      <c r="V3574" s="25"/>
      <c r="W3574" s="25"/>
      <c r="X3574" s="25"/>
      <c r="Y3574" s="25"/>
      <c r="Z3574" s="25"/>
    </row>
    <row r="3575" spans="1:26" ht="15.75" customHeight="1" x14ac:dyDescent="0.45">
      <c r="A3575" s="25"/>
      <c r="B3575" s="25"/>
      <c r="C3575" s="25"/>
      <c r="D3575" s="25"/>
      <c r="E3575" s="25"/>
      <c r="F3575" s="25"/>
      <c r="G3575" s="25"/>
      <c r="H3575" s="25"/>
      <c r="I3575" s="24" t="s">
        <v>418</v>
      </c>
      <c r="J3575" s="25"/>
      <c r="K3575" s="25"/>
      <c r="L3575" s="25"/>
      <c r="M3575" s="25"/>
      <c r="N3575" s="25"/>
      <c r="O3575" s="25"/>
      <c r="P3575" s="25"/>
      <c r="Q3575" s="25"/>
      <c r="R3575" s="25"/>
      <c r="S3575" s="25"/>
      <c r="T3575" s="25"/>
      <c r="U3575" s="25"/>
      <c r="V3575" s="25"/>
      <c r="W3575" s="25"/>
      <c r="X3575" s="25"/>
      <c r="Y3575" s="25"/>
      <c r="Z3575" s="25"/>
    </row>
    <row r="3576" spans="1:26" ht="15.75" customHeight="1" x14ac:dyDescent="0.45">
      <c r="A3576" s="25"/>
      <c r="B3576" s="25"/>
      <c r="C3576" s="25"/>
      <c r="D3576" s="25"/>
      <c r="E3576" s="25"/>
      <c r="F3576" s="25"/>
      <c r="G3576" s="25"/>
      <c r="H3576" s="25"/>
      <c r="I3576" s="24" t="s">
        <v>418</v>
      </c>
      <c r="J3576" s="25"/>
      <c r="K3576" s="25"/>
      <c r="L3576" s="25"/>
      <c r="M3576" s="25"/>
      <c r="N3576" s="25"/>
      <c r="O3576" s="25"/>
      <c r="P3576" s="25"/>
      <c r="Q3576" s="25"/>
      <c r="R3576" s="25"/>
      <c r="S3576" s="25"/>
      <c r="T3576" s="25"/>
      <c r="U3576" s="25"/>
      <c r="V3576" s="25"/>
      <c r="W3576" s="25"/>
      <c r="X3576" s="25"/>
      <c r="Y3576" s="25"/>
      <c r="Z3576" s="25"/>
    </row>
    <row r="3577" spans="1:26" ht="15.75" customHeight="1" x14ac:dyDescent="0.45">
      <c r="A3577" s="25"/>
      <c r="B3577" s="25"/>
      <c r="C3577" s="25"/>
      <c r="D3577" s="25"/>
      <c r="E3577" s="25"/>
      <c r="F3577" s="25"/>
      <c r="G3577" s="25"/>
      <c r="H3577" s="25"/>
      <c r="I3577" s="24" t="s">
        <v>418</v>
      </c>
      <c r="J3577" s="25"/>
      <c r="K3577" s="25"/>
      <c r="L3577" s="25"/>
      <c r="M3577" s="25"/>
      <c r="N3577" s="25"/>
      <c r="O3577" s="25"/>
      <c r="P3577" s="25"/>
      <c r="Q3577" s="25"/>
      <c r="R3577" s="25"/>
      <c r="S3577" s="25"/>
      <c r="T3577" s="25"/>
      <c r="U3577" s="25"/>
      <c r="V3577" s="25"/>
      <c r="W3577" s="25"/>
      <c r="X3577" s="25"/>
      <c r="Y3577" s="25"/>
      <c r="Z3577" s="25"/>
    </row>
    <row r="3578" spans="1:26" ht="15.75" customHeight="1" x14ac:dyDescent="0.75">
      <c r="A3578" s="43" t="s">
        <v>0</v>
      </c>
      <c r="B3578" s="40"/>
      <c r="C3578" s="40"/>
      <c r="D3578" s="40"/>
      <c r="E3578" s="40"/>
      <c r="F3578" s="40"/>
      <c r="G3578" s="40"/>
      <c r="H3578" s="41"/>
      <c r="I3578" s="24" t="s">
        <v>418</v>
      </c>
      <c r="J3578" s="25"/>
      <c r="K3578" s="25"/>
      <c r="L3578" s="25"/>
      <c r="M3578" s="25"/>
      <c r="N3578" s="25"/>
      <c r="O3578" s="25"/>
      <c r="P3578" s="25"/>
      <c r="Q3578" s="25"/>
      <c r="R3578" s="25"/>
      <c r="S3578" s="25"/>
      <c r="T3578" s="25"/>
      <c r="U3578" s="25"/>
      <c r="V3578" s="25"/>
      <c r="W3578" s="25"/>
      <c r="X3578" s="25"/>
      <c r="Y3578" s="25"/>
      <c r="Z3578" s="25"/>
    </row>
    <row r="3579" spans="1:26" ht="15.75" customHeight="1" x14ac:dyDescent="0.75">
      <c r="A3579" s="43" t="s">
        <v>562</v>
      </c>
      <c r="B3579" s="40"/>
      <c r="C3579" s="40"/>
      <c r="D3579" s="40"/>
      <c r="E3579" s="40"/>
      <c r="F3579" s="40"/>
      <c r="G3579" s="40"/>
      <c r="H3579" s="41"/>
      <c r="I3579" s="24" t="s">
        <v>418</v>
      </c>
      <c r="J3579" s="25"/>
      <c r="K3579" s="25"/>
      <c r="L3579" s="25"/>
      <c r="M3579" s="25"/>
      <c r="N3579" s="25"/>
      <c r="O3579" s="25"/>
      <c r="P3579" s="25"/>
      <c r="Q3579" s="25"/>
      <c r="R3579" s="25"/>
      <c r="S3579" s="25"/>
      <c r="T3579" s="25"/>
      <c r="U3579" s="25"/>
      <c r="V3579" s="25"/>
      <c r="W3579" s="25"/>
      <c r="X3579" s="25"/>
      <c r="Y3579" s="25"/>
      <c r="Z3579" s="25"/>
    </row>
    <row r="3580" spans="1:26" ht="15.75" customHeight="1" x14ac:dyDescent="0.55000000000000004">
      <c r="A3580" s="2" t="s">
        <v>3</v>
      </c>
      <c r="B3580" s="2" t="s">
        <v>4</v>
      </c>
      <c r="C3580" s="2" t="s">
        <v>5</v>
      </c>
      <c r="D3580" s="2" t="s">
        <v>6</v>
      </c>
      <c r="E3580" s="2" t="s">
        <v>7</v>
      </c>
      <c r="F3580" s="3" t="s">
        <v>8</v>
      </c>
      <c r="G3580" s="2" t="s">
        <v>9</v>
      </c>
      <c r="H3580" s="26"/>
      <c r="I3580" s="24" t="s">
        <v>418</v>
      </c>
      <c r="J3580" s="25"/>
      <c r="K3580" s="25"/>
      <c r="L3580" s="25"/>
      <c r="M3580" s="25"/>
      <c r="N3580" s="25"/>
      <c r="O3580" s="25"/>
      <c r="P3580" s="25"/>
      <c r="Q3580" s="25"/>
      <c r="R3580" s="25"/>
      <c r="S3580" s="25"/>
      <c r="T3580" s="25"/>
      <c r="U3580" s="25"/>
      <c r="V3580" s="25"/>
      <c r="W3580" s="25"/>
      <c r="X3580" s="25"/>
      <c r="Y3580" s="25"/>
      <c r="Z3580" s="25"/>
    </row>
    <row r="3581" spans="1:26" ht="15.75" customHeight="1" x14ac:dyDescent="0.75">
      <c r="A3581" s="5">
        <v>1</v>
      </c>
      <c r="B3581" s="27" t="s">
        <v>203</v>
      </c>
      <c r="C3581" s="28" t="s">
        <v>563</v>
      </c>
      <c r="D3581" s="27" t="s">
        <v>12</v>
      </c>
      <c r="E3581" s="27">
        <v>2.2400000000000002</v>
      </c>
      <c r="F3581" s="8">
        <v>293000</v>
      </c>
      <c r="G3581" s="9">
        <f t="shared" ref="G3581:G3583" si="222">IFERROR(E3581*F3581,0)</f>
        <v>656320.00000000012</v>
      </c>
      <c r="H3581" s="29"/>
      <c r="I3581" s="24" t="s">
        <v>418</v>
      </c>
      <c r="J3581" s="25"/>
      <c r="K3581" s="25"/>
      <c r="L3581" s="25"/>
      <c r="M3581" s="25"/>
      <c r="N3581" s="25"/>
      <c r="O3581" s="25"/>
      <c r="P3581" s="25"/>
      <c r="Q3581" s="25"/>
      <c r="R3581" s="25"/>
      <c r="S3581" s="25"/>
      <c r="T3581" s="25"/>
      <c r="U3581" s="25"/>
      <c r="V3581" s="25"/>
      <c r="W3581" s="25"/>
      <c r="X3581" s="25"/>
      <c r="Y3581" s="25"/>
      <c r="Z3581" s="25"/>
    </row>
    <row r="3582" spans="1:26" ht="15.75" customHeight="1" x14ac:dyDescent="0.75">
      <c r="A3582" s="5">
        <v>2</v>
      </c>
      <c r="B3582" s="30" t="s">
        <v>13</v>
      </c>
      <c r="C3582" s="31" t="s">
        <v>564</v>
      </c>
      <c r="D3582" s="30" t="s">
        <v>14</v>
      </c>
      <c r="E3582" s="30">
        <v>1.27</v>
      </c>
      <c r="F3582" s="11">
        <v>435000</v>
      </c>
      <c r="G3582" s="9">
        <f t="shared" si="222"/>
        <v>552450</v>
      </c>
      <c r="H3582" s="29"/>
      <c r="I3582" s="24" t="s">
        <v>418</v>
      </c>
      <c r="J3582" s="25"/>
      <c r="K3582" s="25"/>
      <c r="L3582" s="25"/>
      <c r="M3582" s="25"/>
      <c r="N3582" s="25"/>
      <c r="O3582" s="25"/>
      <c r="P3582" s="25"/>
      <c r="Q3582" s="25"/>
      <c r="R3582" s="25"/>
      <c r="S3582" s="25"/>
      <c r="T3582" s="25"/>
      <c r="U3582" s="25"/>
      <c r="V3582" s="25"/>
      <c r="W3582" s="25"/>
      <c r="X3582" s="25"/>
      <c r="Y3582" s="25"/>
      <c r="Z3582" s="25"/>
    </row>
    <row r="3583" spans="1:26" ht="15.75" customHeight="1" x14ac:dyDescent="0.75">
      <c r="A3583" s="5">
        <v>3</v>
      </c>
      <c r="B3583" s="12" t="s">
        <v>15</v>
      </c>
      <c r="C3583" s="29"/>
      <c r="D3583" s="29"/>
      <c r="E3583" s="29"/>
      <c r="F3583" s="29"/>
      <c r="G3583" s="13">
        <f t="shared" si="222"/>
        <v>0</v>
      </c>
      <c r="H3583" s="29"/>
      <c r="I3583" s="24" t="s">
        <v>418</v>
      </c>
      <c r="J3583" s="25"/>
      <c r="K3583" s="25"/>
      <c r="L3583" s="25"/>
      <c r="M3583" s="25"/>
      <c r="N3583" s="25"/>
      <c r="O3583" s="25"/>
      <c r="P3583" s="25"/>
      <c r="Q3583" s="25"/>
      <c r="R3583" s="25"/>
      <c r="S3583" s="25"/>
      <c r="T3583" s="25"/>
      <c r="U3583" s="25"/>
      <c r="V3583" s="25"/>
      <c r="W3583" s="25"/>
      <c r="X3583" s="25"/>
      <c r="Y3583" s="25"/>
      <c r="Z3583" s="25"/>
    </row>
    <row r="3584" spans="1:26" ht="15.75" customHeight="1" x14ac:dyDescent="0.75">
      <c r="A3584" s="39" t="s">
        <v>16</v>
      </c>
      <c r="B3584" s="40"/>
      <c r="C3584" s="40"/>
      <c r="D3584" s="40"/>
      <c r="E3584" s="40"/>
      <c r="F3584" s="40"/>
      <c r="G3584" s="41"/>
      <c r="H3584" s="14">
        <f>SUM(G3581:G3583)</f>
        <v>1208770</v>
      </c>
      <c r="I3584" s="24" t="s">
        <v>418</v>
      </c>
      <c r="J3584" s="25"/>
      <c r="K3584" s="25"/>
      <c r="L3584" s="25"/>
      <c r="M3584" s="25"/>
      <c r="N3584" s="25"/>
      <c r="O3584" s="25"/>
      <c r="P3584" s="25"/>
      <c r="Q3584" s="25"/>
      <c r="R3584" s="25"/>
      <c r="S3584" s="25"/>
      <c r="T3584" s="25"/>
      <c r="U3584" s="25"/>
      <c r="V3584" s="25"/>
      <c r="W3584" s="25"/>
      <c r="X3584" s="25"/>
      <c r="Y3584" s="25"/>
      <c r="Z3584" s="25"/>
    </row>
    <row r="3585" spans="1:26" ht="15.75" customHeight="1" x14ac:dyDescent="0.75">
      <c r="A3585" s="39" t="s">
        <v>17</v>
      </c>
      <c r="B3585" s="40"/>
      <c r="C3585" s="40"/>
      <c r="D3585" s="40"/>
      <c r="E3585" s="40"/>
      <c r="F3585" s="40"/>
      <c r="G3585" s="41"/>
      <c r="H3585" s="14">
        <f>MAX(0,H3584-648000)</f>
        <v>560770</v>
      </c>
      <c r="I3585" s="24" t="s">
        <v>418</v>
      </c>
      <c r="J3585" s="25"/>
      <c r="K3585" s="25"/>
      <c r="L3585" s="25"/>
      <c r="M3585" s="25"/>
      <c r="N3585" s="25"/>
      <c r="O3585" s="25"/>
      <c r="P3585" s="25"/>
      <c r="Q3585" s="25"/>
      <c r="R3585" s="25"/>
      <c r="S3585" s="25"/>
      <c r="T3585" s="25"/>
      <c r="U3585" s="25"/>
      <c r="V3585" s="25"/>
      <c r="W3585" s="25"/>
      <c r="X3585" s="25"/>
      <c r="Y3585" s="25"/>
      <c r="Z3585" s="25"/>
    </row>
    <row r="3586" spans="1:26" ht="15.75" customHeight="1" x14ac:dyDescent="0.75">
      <c r="A3586" s="42" t="s">
        <v>18</v>
      </c>
      <c r="B3586" s="40"/>
      <c r="C3586" s="40"/>
      <c r="D3586" s="40"/>
      <c r="E3586" s="40"/>
      <c r="F3586" s="40"/>
      <c r="G3586" s="41"/>
      <c r="H3586" s="15">
        <v>649000</v>
      </c>
      <c r="I3586" s="24" t="s">
        <v>418</v>
      </c>
      <c r="J3586" s="25"/>
      <c r="K3586" s="25"/>
      <c r="L3586" s="25"/>
      <c r="M3586" s="25"/>
      <c r="N3586" s="25"/>
      <c r="O3586" s="25"/>
      <c r="P3586" s="25"/>
      <c r="Q3586" s="25"/>
      <c r="R3586" s="25"/>
      <c r="S3586" s="25"/>
      <c r="T3586" s="25"/>
      <c r="U3586" s="25"/>
      <c r="V3586" s="25"/>
      <c r="W3586" s="25"/>
      <c r="X3586" s="25"/>
      <c r="Y3586" s="25"/>
      <c r="Z3586" s="25"/>
    </row>
    <row r="3587" spans="1:26" ht="15.75" customHeight="1" x14ac:dyDescent="0.75">
      <c r="A3587" s="43" t="s">
        <v>19</v>
      </c>
      <c r="B3587" s="40"/>
      <c r="C3587" s="40"/>
      <c r="D3587" s="40"/>
      <c r="E3587" s="40"/>
      <c r="F3587" s="40"/>
      <c r="G3587" s="40"/>
      <c r="H3587" s="41"/>
      <c r="I3587" s="24" t="s">
        <v>418</v>
      </c>
      <c r="J3587" s="25"/>
      <c r="K3587" s="25"/>
      <c r="L3587" s="25"/>
      <c r="M3587" s="25"/>
      <c r="N3587" s="25"/>
      <c r="O3587" s="25"/>
      <c r="P3587" s="25"/>
      <c r="Q3587" s="25"/>
      <c r="R3587" s="25"/>
      <c r="S3587" s="25"/>
      <c r="T3587" s="25"/>
      <c r="U3587" s="25"/>
      <c r="V3587" s="25"/>
      <c r="W3587" s="25"/>
      <c r="X3587" s="25"/>
      <c r="Y3587" s="25"/>
      <c r="Z3587" s="25"/>
    </row>
    <row r="3588" spans="1:26" ht="15.75" customHeight="1" x14ac:dyDescent="0.45">
      <c r="A3588" s="25"/>
      <c r="B3588" s="25"/>
      <c r="C3588" s="25"/>
      <c r="D3588" s="25"/>
      <c r="E3588" s="25"/>
      <c r="F3588" s="25"/>
      <c r="G3588" s="25"/>
      <c r="H3588" s="25"/>
      <c r="I3588" s="24" t="s">
        <v>418</v>
      </c>
      <c r="J3588" s="25"/>
      <c r="K3588" s="25"/>
      <c r="L3588" s="25"/>
      <c r="M3588" s="25"/>
      <c r="N3588" s="25"/>
      <c r="O3588" s="25"/>
      <c r="P3588" s="25"/>
      <c r="Q3588" s="25"/>
      <c r="R3588" s="25"/>
      <c r="S3588" s="25"/>
      <c r="T3588" s="25"/>
      <c r="U3588" s="25"/>
      <c r="V3588" s="25"/>
      <c r="W3588" s="25"/>
      <c r="X3588" s="25"/>
      <c r="Y3588" s="25"/>
      <c r="Z3588" s="25"/>
    </row>
    <row r="3589" spans="1:26" ht="15.75" customHeight="1" x14ac:dyDescent="0.45">
      <c r="A3589" s="25"/>
      <c r="B3589" s="25"/>
      <c r="C3589" s="25"/>
      <c r="D3589" s="25"/>
      <c r="E3589" s="25"/>
      <c r="F3589" s="25"/>
      <c r="G3589" s="25"/>
      <c r="H3589" s="25"/>
      <c r="I3589" s="24" t="s">
        <v>418</v>
      </c>
      <c r="J3589" s="25"/>
      <c r="K3589" s="25"/>
      <c r="L3589" s="25"/>
      <c r="M3589" s="25"/>
      <c r="N3589" s="25"/>
      <c r="O3589" s="25"/>
      <c r="P3589" s="25"/>
      <c r="Q3589" s="25"/>
      <c r="R3589" s="25"/>
      <c r="S3589" s="25"/>
      <c r="T3589" s="25"/>
      <c r="U3589" s="25"/>
      <c r="V3589" s="25"/>
      <c r="W3589" s="25"/>
      <c r="X3589" s="25"/>
      <c r="Y3589" s="25"/>
      <c r="Z3589" s="25"/>
    </row>
    <row r="3590" spans="1:26" ht="15.75" customHeight="1" x14ac:dyDescent="0.45">
      <c r="A3590" s="25"/>
      <c r="B3590" s="25"/>
      <c r="C3590" s="25"/>
      <c r="D3590" s="25"/>
      <c r="E3590" s="25"/>
      <c r="F3590" s="25"/>
      <c r="G3590" s="25"/>
      <c r="H3590" s="25"/>
      <c r="I3590" s="24" t="s">
        <v>418</v>
      </c>
      <c r="J3590" s="25"/>
      <c r="K3590" s="25"/>
      <c r="L3590" s="25"/>
      <c r="M3590" s="25"/>
      <c r="N3590" s="25"/>
      <c r="O3590" s="25"/>
      <c r="P3590" s="25"/>
      <c r="Q3590" s="25"/>
      <c r="R3590" s="25"/>
      <c r="S3590" s="25"/>
      <c r="T3590" s="25"/>
      <c r="U3590" s="25"/>
      <c r="V3590" s="25"/>
      <c r="W3590" s="25"/>
      <c r="X3590" s="25"/>
      <c r="Y3590" s="25"/>
      <c r="Z3590" s="25"/>
    </row>
    <row r="3591" spans="1:26" ht="15.75" customHeight="1" x14ac:dyDescent="0.45">
      <c r="A3591" s="25"/>
      <c r="B3591" s="25"/>
      <c r="C3591" s="25"/>
      <c r="D3591" s="25"/>
      <c r="E3591" s="25"/>
      <c r="F3591" s="25"/>
      <c r="G3591" s="25"/>
      <c r="H3591" s="25"/>
      <c r="I3591" s="24" t="s">
        <v>418</v>
      </c>
      <c r="J3591" s="25"/>
      <c r="K3591" s="25"/>
      <c r="L3591" s="25"/>
      <c r="M3591" s="25"/>
      <c r="N3591" s="25"/>
      <c r="O3591" s="25"/>
      <c r="P3591" s="25"/>
      <c r="Q3591" s="25"/>
      <c r="R3591" s="25"/>
      <c r="S3591" s="25"/>
      <c r="T3591" s="25"/>
      <c r="U3591" s="25"/>
      <c r="V3591" s="25"/>
      <c r="W3591" s="25"/>
      <c r="X3591" s="25"/>
      <c r="Y3591" s="25"/>
      <c r="Z3591" s="25"/>
    </row>
    <row r="3592" spans="1:26" ht="15.75" customHeight="1" x14ac:dyDescent="0.45">
      <c r="A3592" s="25"/>
      <c r="B3592" s="25"/>
      <c r="C3592" s="25"/>
      <c r="D3592" s="25"/>
      <c r="E3592" s="25"/>
      <c r="F3592" s="25"/>
      <c r="G3592" s="25"/>
      <c r="H3592" s="25"/>
      <c r="I3592" s="24" t="s">
        <v>418</v>
      </c>
      <c r="J3592" s="25"/>
      <c r="K3592" s="25"/>
      <c r="L3592" s="25"/>
      <c r="M3592" s="25"/>
      <c r="N3592" s="25"/>
      <c r="O3592" s="25"/>
      <c r="P3592" s="25"/>
      <c r="Q3592" s="25"/>
      <c r="R3592" s="25"/>
      <c r="S3592" s="25"/>
      <c r="T3592" s="25"/>
      <c r="U3592" s="25"/>
      <c r="V3592" s="25"/>
      <c r="W3592" s="25"/>
      <c r="X3592" s="25"/>
      <c r="Y3592" s="25"/>
      <c r="Z3592" s="25"/>
    </row>
    <row r="3593" spans="1:26" ht="15.75" customHeight="1" x14ac:dyDescent="0.45">
      <c r="A3593" s="25"/>
      <c r="B3593" s="25"/>
      <c r="C3593" s="25"/>
      <c r="D3593" s="25"/>
      <c r="E3593" s="25"/>
      <c r="F3593" s="25"/>
      <c r="G3593" s="25"/>
      <c r="H3593" s="25"/>
      <c r="I3593" s="24" t="s">
        <v>418</v>
      </c>
      <c r="J3593" s="25"/>
      <c r="K3593" s="25"/>
      <c r="L3593" s="25"/>
      <c r="M3593" s="25"/>
      <c r="N3593" s="25"/>
      <c r="O3593" s="25"/>
      <c r="P3593" s="25"/>
      <c r="Q3593" s="25"/>
      <c r="R3593" s="25"/>
      <c r="S3593" s="25"/>
      <c r="T3593" s="25"/>
      <c r="U3593" s="25"/>
      <c r="V3593" s="25"/>
      <c r="W3593" s="25"/>
      <c r="X3593" s="25"/>
      <c r="Y3593" s="25"/>
      <c r="Z3593" s="25"/>
    </row>
    <row r="3594" spans="1:26" ht="15.75" customHeight="1" x14ac:dyDescent="0.45">
      <c r="A3594" s="25"/>
      <c r="B3594" s="25"/>
      <c r="C3594" s="25"/>
      <c r="D3594" s="25"/>
      <c r="E3594" s="25"/>
      <c r="F3594" s="25"/>
      <c r="G3594" s="25"/>
      <c r="H3594" s="25"/>
      <c r="I3594" s="24" t="s">
        <v>418</v>
      </c>
      <c r="J3594" s="25"/>
      <c r="K3594" s="25"/>
      <c r="L3594" s="25"/>
      <c r="M3594" s="25"/>
      <c r="N3594" s="25"/>
      <c r="O3594" s="25"/>
      <c r="P3594" s="25"/>
      <c r="Q3594" s="25"/>
      <c r="R3594" s="25"/>
      <c r="S3594" s="25"/>
      <c r="T3594" s="25"/>
      <c r="U3594" s="25"/>
      <c r="V3594" s="25"/>
      <c r="W3594" s="25"/>
      <c r="X3594" s="25"/>
      <c r="Y3594" s="25"/>
      <c r="Z3594" s="25"/>
    </row>
    <row r="3595" spans="1:26" ht="15.75" customHeight="1" x14ac:dyDescent="0.45">
      <c r="A3595" s="25"/>
      <c r="B3595" s="25"/>
      <c r="C3595" s="25"/>
      <c r="D3595" s="25"/>
      <c r="E3595" s="25"/>
      <c r="F3595" s="25"/>
      <c r="G3595" s="25"/>
      <c r="H3595" s="25"/>
      <c r="I3595" s="24" t="s">
        <v>418</v>
      </c>
      <c r="J3595" s="25"/>
      <c r="K3595" s="25"/>
      <c r="L3595" s="25"/>
      <c r="M3595" s="25"/>
      <c r="N3595" s="25"/>
      <c r="O3595" s="25"/>
      <c r="P3595" s="25"/>
      <c r="Q3595" s="25"/>
      <c r="R3595" s="25"/>
      <c r="S3595" s="25"/>
      <c r="T3595" s="25"/>
      <c r="U3595" s="25"/>
      <c r="V3595" s="25"/>
      <c r="W3595" s="25"/>
      <c r="X3595" s="25"/>
      <c r="Y3595" s="25"/>
      <c r="Z3595" s="25"/>
    </row>
    <row r="3596" spans="1:26" ht="15.75" customHeight="1" x14ac:dyDescent="0.75">
      <c r="A3596" s="43" t="s">
        <v>0</v>
      </c>
      <c r="B3596" s="40"/>
      <c r="C3596" s="40"/>
      <c r="D3596" s="40"/>
      <c r="E3596" s="40"/>
      <c r="F3596" s="40"/>
      <c r="G3596" s="40"/>
      <c r="H3596" s="41"/>
      <c r="I3596" s="24" t="s">
        <v>418</v>
      </c>
      <c r="J3596" s="25"/>
      <c r="K3596" s="25"/>
      <c r="L3596" s="25"/>
      <c r="M3596" s="25"/>
      <c r="N3596" s="25"/>
      <c r="O3596" s="25"/>
      <c r="P3596" s="25"/>
      <c r="Q3596" s="25"/>
      <c r="R3596" s="25"/>
      <c r="S3596" s="25"/>
      <c r="T3596" s="25"/>
      <c r="U3596" s="25"/>
      <c r="V3596" s="25"/>
      <c r="W3596" s="25"/>
      <c r="X3596" s="25"/>
      <c r="Y3596" s="25"/>
      <c r="Z3596" s="25"/>
    </row>
    <row r="3597" spans="1:26" ht="15.75" customHeight="1" x14ac:dyDescent="0.75">
      <c r="A3597" s="43" t="s">
        <v>565</v>
      </c>
      <c r="B3597" s="40"/>
      <c r="C3597" s="40"/>
      <c r="D3597" s="40"/>
      <c r="E3597" s="40"/>
      <c r="F3597" s="40"/>
      <c r="G3597" s="40"/>
      <c r="H3597" s="41"/>
      <c r="I3597" s="24" t="s">
        <v>418</v>
      </c>
      <c r="J3597" s="25"/>
      <c r="K3597" s="25"/>
      <c r="L3597" s="25"/>
      <c r="M3597" s="25"/>
      <c r="N3597" s="25"/>
      <c r="O3597" s="25"/>
      <c r="P3597" s="25"/>
      <c r="Q3597" s="25"/>
      <c r="R3597" s="25"/>
      <c r="S3597" s="25"/>
      <c r="T3597" s="25"/>
      <c r="U3597" s="25"/>
      <c r="V3597" s="25"/>
      <c r="W3597" s="25"/>
      <c r="X3597" s="25"/>
      <c r="Y3597" s="25"/>
      <c r="Z3597" s="25"/>
    </row>
    <row r="3598" spans="1:26" ht="15.75" customHeight="1" x14ac:dyDescent="0.55000000000000004">
      <c r="A3598" s="2" t="s">
        <v>3</v>
      </c>
      <c r="B3598" s="2" t="s">
        <v>4</v>
      </c>
      <c r="C3598" s="2" t="s">
        <v>5</v>
      </c>
      <c r="D3598" s="2" t="s">
        <v>6</v>
      </c>
      <c r="E3598" s="2" t="s">
        <v>7</v>
      </c>
      <c r="F3598" s="3" t="s">
        <v>8</v>
      </c>
      <c r="G3598" s="2" t="s">
        <v>9</v>
      </c>
      <c r="H3598" s="26"/>
      <c r="I3598" s="24" t="s">
        <v>418</v>
      </c>
      <c r="J3598" s="25"/>
      <c r="K3598" s="25"/>
      <c r="L3598" s="25"/>
      <c r="M3598" s="25"/>
      <c r="N3598" s="25"/>
      <c r="O3598" s="25"/>
      <c r="P3598" s="25"/>
      <c r="Q3598" s="25"/>
      <c r="R3598" s="25"/>
      <c r="S3598" s="25"/>
      <c r="T3598" s="25"/>
      <c r="U3598" s="25"/>
      <c r="V3598" s="25"/>
      <c r="W3598" s="25"/>
      <c r="X3598" s="25"/>
      <c r="Y3598" s="25"/>
      <c r="Z3598" s="25"/>
    </row>
    <row r="3599" spans="1:26" ht="15.75" customHeight="1" x14ac:dyDescent="0.75">
      <c r="A3599" s="5">
        <v>1</v>
      </c>
      <c r="B3599" s="27" t="s">
        <v>566</v>
      </c>
      <c r="C3599" s="28" t="s">
        <v>567</v>
      </c>
      <c r="D3599" s="27" t="s">
        <v>12</v>
      </c>
      <c r="E3599" s="27">
        <v>2</v>
      </c>
      <c r="F3599" s="8">
        <v>293000</v>
      </c>
      <c r="G3599" s="9">
        <f t="shared" ref="G3599:G3601" si="223">IFERROR(E3599*F3599,0)</f>
        <v>586000</v>
      </c>
      <c r="H3599" s="29"/>
      <c r="I3599" s="24" t="s">
        <v>418</v>
      </c>
      <c r="J3599" s="25"/>
      <c r="K3599" s="25"/>
      <c r="L3599" s="25"/>
      <c r="M3599" s="25"/>
      <c r="N3599" s="25"/>
      <c r="O3599" s="25"/>
      <c r="P3599" s="25"/>
      <c r="Q3599" s="25"/>
      <c r="R3599" s="25"/>
      <c r="S3599" s="25"/>
      <c r="T3599" s="25"/>
      <c r="U3599" s="25"/>
      <c r="V3599" s="25"/>
      <c r="W3599" s="25"/>
      <c r="X3599" s="25"/>
      <c r="Y3599" s="25"/>
      <c r="Z3599" s="25"/>
    </row>
    <row r="3600" spans="1:26" ht="15.75" customHeight="1" x14ac:dyDescent="0.75">
      <c r="A3600" s="5">
        <v>2</v>
      </c>
      <c r="B3600" s="30" t="s">
        <v>21</v>
      </c>
      <c r="C3600" s="31" t="s">
        <v>568</v>
      </c>
      <c r="D3600" s="30" t="s">
        <v>14</v>
      </c>
      <c r="E3600" s="30">
        <v>1.53</v>
      </c>
      <c r="F3600" s="11">
        <v>435000</v>
      </c>
      <c r="G3600" s="9">
        <f t="shared" si="223"/>
        <v>665550</v>
      </c>
      <c r="H3600" s="29"/>
      <c r="I3600" s="24" t="s">
        <v>418</v>
      </c>
      <c r="J3600" s="25"/>
      <c r="K3600" s="25"/>
      <c r="L3600" s="25"/>
      <c r="M3600" s="25"/>
      <c r="N3600" s="25"/>
      <c r="O3600" s="25"/>
      <c r="P3600" s="25"/>
      <c r="Q3600" s="25"/>
      <c r="R3600" s="25"/>
      <c r="S3600" s="25"/>
      <c r="T3600" s="25"/>
      <c r="U3600" s="25"/>
      <c r="V3600" s="25"/>
      <c r="W3600" s="25"/>
      <c r="X3600" s="25"/>
      <c r="Y3600" s="25"/>
      <c r="Z3600" s="25"/>
    </row>
    <row r="3601" spans="1:26" ht="15.75" customHeight="1" x14ac:dyDescent="0.75">
      <c r="A3601" s="5">
        <v>3</v>
      </c>
      <c r="B3601" s="12" t="s">
        <v>15</v>
      </c>
      <c r="C3601" s="29"/>
      <c r="D3601" s="29"/>
      <c r="E3601" s="29"/>
      <c r="F3601" s="29"/>
      <c r="G3601" s="13">
        <f t="shared" si="223"/>
        <v>0</v>
      </c>
      <c r="H3601" s="29"/>
      <c r="I3601" s="24" t="s">
        <v>418</v>
      </c>
      <c r="J3601" s="25"/>
      <c r="K3601" s="25"/>
      <c r="L3601" s="25"/>
      <c r="M3601" s="25"/>
      <c r="N3601" s="25"/>
      <c r="O3601" s="25"/>
      <c r="P3601" s="25"/>
      <c r="Q3601" s="25"/>
      <c r="R3601" s="25"/>
      <c r="S3601" s="25"/>
      <c r="T3601" s="25"/>
      <c r="U3601" s="25"/>
      <c r="V3601" s="25"/>
      <c r="W3601" s="25"/>
      <c r="X3601" s="25"/>
      <c r="Y3601" s="25"/>
      <c r="Z3601" s="25"/>
    </row>
    <row r="3602" spans="1:26" ht="15.75" customHeight="1" x14ac:dyDescent="0.75">
      <c r="A3602" s="39" t="s">
        <v>16</v>
      </c>
      <c r="B3602" s="40"/>
      <c r="C3602" s="40"/>
      <c r="D3602" s="40"/>
      <c r="E3602" s="40"/>
      <c r="F3602" s="40"/>
      <c r="G3602" s="41"/>
      <c r="H3602" s="14">
        <f>SUM(G3599:G3601)</f>
        <v>1251550</v>
      </c>
      <c r="I3602" s="24" t="s">
        <v>418</v>
      </c>
      <c r="J3602" s="25"/>
      <c r="K3602" s="25"/>
      <c r="L3602" s="25"/>
      <c r="M3602" s="25"/>
      <c r="N3602" s="25"/>
      <c r="O3602" s="25"/>
      <c r="P3602" s="25"/>
      <c r="Q3602" s="25"/>
      <c r="R3602" s="25"/>
      <c r="S3602" s="25"/>
      <c r="T3602" s="25"/>
      <c r="U3602" s="25"/>
      <c r="V3602" s="25"/>
      <c r="W3602" s="25"/>
      <c r="X3602" s="25"/>
      <c r="Y3602" s="25"/>
      <c r="Z3602" s="25"/>
    </row>
    <row r="3603" spans="1:26" ht="15.75" customHeight="1" x14ac:dyDescent="0.75">
      <c r="A3603" s="39" t="s">
        <v>17</v>
      </c>
      <c r="B3603" s="40"/>
      <c r="C3603" s="40"/>
      <c r="D3603" s="40"/>
      <c r="E3603" s="40"/>
      <c r="F3603" s="40"/>
      <c r="G3603" s="41"/>
      <c r="H3603" s="14">
        <f>MAX(0,H3602-648000)</f>
        <v>603550</v>
      </c>
      <c r="I3603" s="24" t="s">
        <v>418</v>
      </c>
      <c r="J3603" s="25"/>
      <c r="K3603" s="25"/>
      <c r="L3603" s="25"/>
      <c r="M3603" s="25"/>
      <c r="N3603" s="25"/>
      <c r="O3603" s="25"/>
      <c r="P3603" s="25"/>
      <c r="Q3603" s="25"/>
      <c r="R3603" s="25"/>
      <c r="S3603" s="25"/>
      <c r="T3603" s="25"/>
      <c r="U3603" s="25"/>
      <c r="V3603" s="25"/>
      <c r="W3603" s="25"/>
      <c r="X3603" s="25"/>
      <c r="Y3603" s="25"/>
      <c r="Z3603" s="25"/>
    </row>
    <row r="3604" spans="1:26" ht="15.75" customHeight="1" x14ac:dyDescent="0.75">
      <c r="A3604" s="42" t="s">
        <v>18</v>
      </c>
      <c r="B3604" s="40"/>
      <c r="C3604" s="40"/>
      <c r="D3604" s="40"/>
      <c r="E3604" s="40"/>
      <c r="F3604" s="40"/>
      <c r="G3604" s="41"/>
      <c r="H3604" s="15">
        <v>649000</v>
      </c>
      <c r="I3604" s="24" t="s">
        <v>418</v>
      </c>
      <c r="J3604" s="25"/>
      <c r="K3604" s="25"/>
      <c r="L3604" s="25"/>
      <c r="M3604" s="25"/>
      <c r="N3604" s="25"/>
      <c r="O3604" s="25"/>
      <c r="P3604" s="25"/>
      <c r="Q3604" s="25"/>
      <c r="R3604" s="25"/>
      <c r="S3604" s="25"/>
      <c r="T3604" s="25"/>
      <c r="U3604" s="25"/>
      <c r="V3604" s="25"/>
      <c r="W3604" s="25"/>
      <c r="X3604" s="25"/>
      <c r="Y3604" s="25"/>
      <c r="Z3604" s="25"/>
    </row>
    <row r="3605" spans="1:26" ht="15.75" customHeight="1" x14ac:dyDescent="0.75">
      <c r="A3605" s="43" t="s">
        <v>19</v>
      </c>
      <c r="B3605" s="40"/>
      <c r="C3605" s="40"/>
      <c r="D3605" s="40"/>
      <c r="E3605" s="40"/>
      <c r="F3605" s="40"/>
      <c r="G3605" s="40"/>
      <c r="H3605" s="41"/>
      <c r="I3605" s="24" t="s">
        <v>418</v>
      </c>
      <c r="J3605" s="25"/>
      <c r="K3605" s="25"/>
      <c r="L3605" s="25"/>
      <c r="M3605" s="25"/>
      <c r="N3605" s="25"/>
      <c r="O3605" s="25"/>
      <c r="P3605" s="25"/>
      <c r="Q3605" s="25"/>
      <c r="R3605" s="25"/>
      <c r="S3605" s="25"/>
      <c r="T3605" s="25"/>
      <c r="U3605" s="25"/>
      <c r="V3605" s="25"/>
      <c r="W3605" s="25"/>
      <c r="X3605" s="25"/>
      <c r="Y3605" s="25"/>
      <c r="Z3605" s="25"/>
    </row>
    <row r="3606" spans="1:26" ht="15.75" customHeight="1" x14ac:dyDescent="0.45">
      <c r="A3606" s="25"/>
      <c r="B3606" s="25"/>
      <c r="C3606" s="25"/>
      <c r="D3606" s="25"/>
      <c r="E3606" s="25"/>
      <c r="F3606" s="25"/>
      <c r="G3606" s="25"/>
      <c r="H3606" s="25"/>
      <c r="I3606" s="24" t="s">
        <v>418</v>
      </c>
      <c r="J3606" s="25"/>
      <c r="K3606" s="25"/>
      <c r="L3606" s="25"/>
      <c r="M3606" s="25"/>
      <c r="N3606" s="25"/>
      <c r="O3606" s="25"/>
      <c r="P3606" s="25"/>
      <c r="Q3606" s="25"/>
      <c r="R3606" s="25"/>
      <c r="S3606" s="25"/>
      <c r="T3606" s="25"/>
      <c r="U3606" s="25"/>
      <c r="V3606" s="25"/>
      <c r="W3606" s="25"/>
      <c r="X3606" s="25"/>
      <c r="Y3606" s="25"/>
      <c r="Z3606" s="25"/>
    </row>
    <row r="3607" spans="1:26" ht="15.75" customHeight="1" x14ac:dyDescent="0.45">
      <c r="A3607" s="25"/>
      <c r="B3607" s="25"/>
      <c r="C3607" s="25"/>
      <c r="D3607" s="25"/>
      <c r="E3607" s="25"/>
      <c r="F3607" s="25"/>
      <c r="G3607" s="25"/>
      <c r="H3607" s="25"/>
      <c r="I3607" s="24" t="s">
        <v>418</v>
      </c>
      <c r="J3607" s="25"/>
      <c r="K3607" s="25"/>
      <c r="L3607" s="25"/>
      <c r="M3607" s="25"/>
      <c r="N3607" s="25"/>
      <c r="O3607" s="25"/>
      <c r="P3607" s="25"/>
      <c r="Q3607" s="25"/>
      <c r="R3607" s="25"/>
      <c r="S3607" s="25"/>
      <c r="T3607" s="25"/>
      <c r="U3607" s="25"/>
      <c r="V3607" s="25"/>
      <c r="W3607" s="25"/>
      <c r="X3607" s="25"/>
      <c r="Y3607" s="25"/>
      <c r="Z3607" s="25"/>
    </row>
    <row r="3608" spans="1:26" ht="15.75" customHeight="1" x14ac:dyDescent="0.45">
      <c r="A3608" s="25"/>
      <c r="B3608" s="25"/>
      <c r="C3608" s="25"/>
      <c r="D3608" s="25"/>
      <c r="E3608" s="25"/>
      <c r="F3608" s="25"/>
      <c r="G3608" s="25"/>
      <c r="H3608" s="25"/>
      <c r="I3608" s="24" t="s">
        <v>418</v>
      </c>
      <c r="J3608" s="25"/>
      <c r="K3608" s="25"/>
      <c r="L3608" s="25"/>
      <c r="M3608" s="25"/>
      <c r="N3608" s="25"/>
      <c r="O3608" s="25"/>
      <c r="P3608" s="25"/>
      <c r="Q3608" s="25"/>
      <c r="R3608" s="25"/>
      <c r="S3608" s="25"/>
      <c r="T3608" s="25"/>
      <c r="U3608" s="25"/>
      <c r="V3608" s="25"/>
      <c r="W3608" s="25"/>
      <c r="X3608" s="25"/>
      <c r="Y3608" s="25"/>
      <c r="Z3608" s="25"/>
    </row>
    <row r="3609" spans="1:26" ht="15.75" customHeight="1" x14ac:dyDescent="0.45">
      <c r="A3609" s="25"/>
      <c r="B3609" s="25"/>
      <c r="C3609" s="25"/>
      <c r="D3609" s="25"/>
      <c r="E3609" s="25"/>
      <c r="F3609" s="25"/>
      <c r="G3609" s="25"/>
      <c r="H3609" s="25"/>
      <c r="I3609" s="24" t="s">
        <v>418</v>
      </c>
      <c r="J3609" s="25"/>
      <c r="K3609" s="25"/>
      <c r="L3609" s="25"/>
      <c r="M3609" s="25"/>
      <c r="N3609" s="25"/>
      <c r="O3609" s="25"/>
      <c r="P3609" s="25"/>
      <c r="Q3609" s="25"/>
      <c r="R3609" s="25"/>
      <c r="S3609" s="25"/>
      <c r="T3609" s="25"/>
      <c r="U3609" s="25"/>
      <c r="V3609" s="25"/>
      <c r="W3609" s="25"/>
      <c r="X3609" s="25"/>
      <c r="Y3609" s="25"/>
      <c r="Z3609" s="25"/>
    </row>
    <row r="3610" spans="1:26" ht="15.75" customHeight="1" x14ac:dyDescent="0.45">
      <c r="A3610" s="25"/>
      <c r="B3610" s="25"/>
      <c r="C3610" s="25"/>
      <c r="D3610" s="25"/>
      <c r="E3610" s="25"/>
      <c r="F3610" s="25"/>
      <c r="G3610" s="25"/>
      <c r="H3610" s="25"/>
      <c r="I3610" s="24" t="s">
        <v>418</v>
      </c>
      <c r="J3610" s="25"/>
      <c r="K3610" s="25"/>
      <c r="L3610" s="25"/>
      <c r="M3610" s="25"/>
      <c r="N3610" s="25"/>
      <c r="O3610" s="25"/>
      <c r="P3610" s="25"/>
      <c r="Q3610" s="25"/>
      <c r="R3610" s="25"/>
      <c r="S3610" s="25"/>
      <c r="T3610" s="25"/>
      <c r="U3610" s="25"/>
      <c r="V3610" s="25"/>
      <c r="W3610" s="25"/>
      <c r="X3610" s="25"/>
      <c r="Y3610" s="25"/>
      <c r="Z3610" s="25"/>
    </row>
    <row r="3611" spans="1:26" ht="15.75" customHeight="1" x14ac:dyDescent="0.45">
      <c r="A3611" s="25"/>
      <c r="B3611" s="25"/>
      <c r="C3611" s="25"/>
      <c r="D3611" s="25"/>
      <c r="E3611" s="25"/>
      <c r="F3611" s="25"/>
      <c r="G3611" s="25"/>
      <c r="H3611" s="25"/>
      <c r="I3611" s="24" t="s">
        <v>418</v>
      </c>
      <c r="J3611" s="25"/>
      <c r="K3611" s="25"/>
      <c r="L3611" s="25"/>
      <c r="M3611" s="25"/>
      <c r="N3611" s="25"/>
      <c r="O3611" s="25"/>
      <c r="P3611" s="25"/>
      <c r="Q3611" s="25"/>
      <c r="R3611" s="25"/>
      <c r="S3611" s="25"/>
      <c r="T3611" s="25"/>
      <c r="U3611" s="25"/>
      <c r="V3611" s="25"/>
      <c r="W3611" s="25"/>
      <c r="X3611" s="25"/>
      <c r="Y3611" s="25"/>
      <c r="Z3611" s="25"/>
    </row>
    <row r="3612" spans="1:26" ht="15.75" customHeight="1" x14ac:dyDescent="0.75">
      <c r="A3612" s="43" t="s">
        <v>0</v>
      </c>
      <c r="B3612" s="40"/>
      <c r="C3612" s="40"/>
      <c r="D3612" s="40"/>
      <c r="E3612" s="40"/>
      <c r="F3612" s="40"/>
      <c r="G3612" s="40"/>
      <c r="H3612" s="41"/>
      <c r="I3612" s="24" t="s">
        <v>418</v>
      </c>
      <c r="J3612" s="25"/>
      <c r="K3612" s="25"/>
      <c r="L3612" s="25"/>
      <c r="M3612" s="25"/>
      <c r="N3612" s="25"/>
      <c r="O3612" s="25"/>
      <c r="P3612" s="25"/>
      <c r="Q3612" s="25"/>
      <c r="R3612" s="25"/>
      <c r="S3612" s="25"/>
      <c r="T3612" s="25"/>
      <c r="U3612" s="25"/>
      <c r="V3612" s="25"/>
      <c r="W3612" s="25"/>
      <c r="X3612" s="25"/>
      <c r="Y3612" s="25"/>
      <c r="Z3612" s="25"/>
    </row>
    <row r="3613" spans="1:26" ht="15.75" customHeight="1" x14ac:dyDescent="0.75">
      <c r="A3613" s="43" t="s">
        <v>569</v>
      </c>
      <c r="B3613" s="40"/>
      <c r="C3613" s="40"/>
      <c r="D3613" s="40"/>
      <c r="E3613" s="40"/>
      <c r="F3613" s="40"/>
      <c r="G3613" s="40"/>
      <c r="H3613" s="41"/>
      <c r="I3613" s="24" t="s">
        <v>418</v>
      </c>
      <c r="J3613" s="25"/>
      <c r="K3613" s="25"/>
      <c r="L3613" s="25"/>
      <c r="M3613" s="25"/>
      <c r="N3613" s="25"/>
      <c r="O3613" s="25"/>
      <c r="P3613" s="25"/>
      <c r="Q3613" s="25"/>
      <c r="R3613" s="25"/>
      <c r="S3613" s="25"/>
      <c r="T3613" s="25"/>
      <c r="U3613" s="25"/>
      <c r="V3613" s="25"/>
      <c r="W3613" s="25"/>
      <c r="X3613" s="25"/>
      <c r="Y3613" s="25"/>
      <c r="Z3613" s="25"/>
    </row>
    <row r="3614" spans="1:26" ht="15.75" customHeight="1" x14ac:dyDescent="0.55000000000000004">
      <c r="A3614" s="2" t="s">
        <v>3</v>
      </c>
      <c r="B3614" s="2" t="s">
        <v>4</v>
      </c>
      <c r="C3614" s="2" t="s">
        <v>5</v>
      </c>
      <c r="D3614" s="2" t="s">
        <v>6</v>
      </c>
      <c r="E3614" s="2" t="s">
        <v>7</v>
      </c>
      <c r="F3614" s="3" t="s">
        <v>8</v>
      </c>
      <c r="G3614" s="2" t="s">
        <v>9</v>
      </c>
      <c r="H3614" s="26"/>
      <c r="I3614" s="24" t="s">
        <v>418</v>
      </c>
      <c r="J3614" s="25"/>
      <c r="K3614" s="25"/>
      <c r="L3614" s="25"/>
      <c r="M3614" s="25"/>
      <c r="N3614" s="25"/>
      <c r="O3614" s="25"/>
      <c r="P3614" s="25"/>
      <c r="Q3614" s="25"/>
      <c r="R3614" s="25"/>
      <c r="S3614" s="25"/>
      <c r="T3614" s="25"/>
      <c r="U3614" s="25"/>
      <c r="V3614" s="25"/>
      <c r="W3614" s="25"/>
      <c r="X3614" s="25"/>
      <c r="Y3614" s="25"/>
      <c r="Z3614" s="25"/>
    </row>
    <row r="3615" spans="1:26" ht="15.75" customHeight="1" x14ac:dyDescent="0.75">
      <c r="A3615" s="5">
        <v>1</v>
      </c>
      <c r="B3615" s="27" t="s">
        <v>158</v>
      </c>
      <c r="C3615" s="28" t="s">
        <v>538</v>
      </c>
      <c r="D3615" s="27" t="s">
        <v>12</v>
      </c>
      <c r="E3615" s="27">
        <v>2</v>
      </c>
      <c r="F3615" s="8">
        <v>293000</v>
      </c>
      <c r="G3615" s="9">
        <f t="shared" ref="G3615:G3617" si="224">IFERROR(E3615*F3615,0)</f>
        <v>586000</v>
      </c>
      <c r="H3615" s="29"/>
      <c r="I3615" s="24" t="s">
        <v>418</v>
      </c>
      <c r="J3615" s="25"/>
      <c r="K3615" s="25"/>
      <c r="L3615" s="25"/>
      <c r="M3615" s="25"/>
      <c r="N3615" s="25"/>
      <c r="O3615" s="25"/>
      <c r="P3615" s="25"/>
      <c r="Q3615" s="25"/>
      <c r="R3615" s="25"/>
      <c r="S3615" s="25"/>
      <c r="T3615" s="25"/>
      <c r="U3615" s="25"/>
      <c r="V3615" s="25"/>
      <c r="W3615" s="25"/>
      <c r="X3615" s="25"/>
      <c r="Y3615" s="25"/>
      <c r="Z3615" s="25"/>
    </row>
    <row r="3616" spans="1:26" ht="15.75" customHeight="1" x14ac:dyDescent="0.75">
      <c r="A3616" s="5">
        <v>2</v>
      </c>
      <c r="B3616" s="30" t="s">
        <v>47</v>
      </c>
      <c r="C3616" s="31" t="s">
        <v>570</v>
      </c>
      <c r="D3616" s="30" t="s">
        <v>14</v>
      </c>
      <c r="E3616" s="30">
        <v>1.2</v>
      </c>
      <c r="F3616" s="11">
        <v>435000</v>
      </c>
      <c r="G3616" s="9">
        <f t="shared" si="224"/>
        <v>522000</v>
      </c>
      <c r="H3616" s="29"/>
      <c r="I3616" s="24" t="s">
        <v>418</v>
      </c>
      <c r="J3616" s="25"/>
      <c r="K3616" s="25"/>
      <c r="L3616" s="25"/>
      <c r="M3616" s="25"/>
      <c r="N3616" s="25"/>
      <c r="O3616" s="25"/>
      <c r="P3616" s="25"/>
      <c r="Q3616" s="25"/>
      <c r="R3616" s="25"/>
      <c r="S3616" s="25"/>
      <c r="T3616" s="25"/>
      <c r="U3616" s="25"/>
      <c r="V3616" s="25"/>
      <c r="W3616" s="25"/>
      <c r="X3616" s="25"/>
      <c r="Y3616" s="25"/>
      <c r="Z3616" s="25"/>
    </row>
    <row r="3617" spans="1:26" ht="15.75" customHeight="1" x14ac:dyDescent="0.75">
      <c r="A3617" s="5">
        <v>3</v>
      </c>
      <c r="B3617" s="12" t="s">
        <v>15</v>
      </c>
      <c r="C3617" s="29"/>
      <c r="D3617" s="29"/>
      <c r="E3617" s="29"/>
      <c r="F3617" s="29"/>
      <c r="G3617" s="13">
        <f t="shared" si="224"/>
        <v>0</v>
      </c>
      <c r="H3617" s="29"/>
      <c r="I3617" s="24" t="s">
        <v>418</v>
      </c>
      <c r="J3617" s="25"/>
      <c r="K3617" s="25"/>
      <c r="L3617" s="25"/>
      <c r="M3617" s="25"/>
      <c r="N3617" s="25"/>
      <c r="O3617" s="25"/>
      <c r="P3617" s="25"/>
      <c r="Q3617" s="25"/>
      <c r="R3617" s="25"/>
      <c r="S3617" s="25"/>
      <c r="T3617" s="25"/>
      <c r="U3617" s="25"/>
      <c r="V3617" s="25"/>
      <c r="W3617" s="25"/>
      <c r="X3617" s="25"/>
      <c r="Y3617" s="25"/>
      <c r="Z3617" s="25"/>
    </row>
    <row r="3618" spans="1:26" ht="15.75" customHeight="1" x14ac:dyDescent="0.75">
      <c r="A3618" s="39" t="s">
        <v>16</v>
      </c>
      <c r="B3618" s="40"/>
      <c r="C3618" s="40"/>
      <c r="D3618" s="40"/>
      <c r="E3618" s="40"/>
      <c r="F3618" s="40"/>
      <c r="G3618" s="41"/>
      <c r="H3618" s="14">
        <f>SUM(G3615:G3617)</f>
        <v>1108000</v>
      </c>
      <c r="I3618" s="24" t="s">
        <v>418</v>
      </c>
      <c r="J3618" s="25"/>
      <c r="K3618" s="25"/>
      <c r="L3618" s="25"/>
      <c r="M3618" s="25"/>
      <c r="N3618" s="25"/>
      <c r="O3618" s="25"/>
      <c r="P3618" s="25"/>
      <c r="Q3618" s="25"/>
      <c r="R3618" s="25"/>
      <c r="S3618" s="25"/>
      <c r="T3618" s="25"/>
      <c r="U3618" s="25"/>
      <c r="V3618" s="25"/>
      <c r="W3618" s="25"/>
      <c r="X3618" s="25"/>
      <c r="Y3618" s="25"/>
      <c r="Z3618" s="25"/>
    </row>
    <row r="3619" spans="1:26" ht="15.75" customHeight="1" x14ac:dyDescent="0.75">
      <c r="A3619" s="39" t="s">
        <v>17</v>
      </c>
      <c r="B3619" s="40"/>
      <c r="C3619" s="40"/>
      <c r="D3619" s="40"/>
      <c r="E3619" s="40"/>
      <c r="F3619" s="40"/>
      <c r="G3619" s="41"/>
      <c r="H3619" s="14">
        <f>MAX(0,H3618-648000)</f>
        <v>460000</v>
      </c>
      <c r="I3619" s="24" t="s">
        <v>418</v>
      </c>
      <c r="J3619" s="25"/>
      <c r="K3619" s="25"/>
      <c r="L3619" s="25"/>
      <c r="M3619" s="25"/>
      <c r="N3619" s="25"/>
      <c r="O3619" s="25"/>
      <c r="P3619" s="25"/>
      <c r="Q3619" s="25"/>
      <c r="R3619" s="25"/>
      <c r="S3619" s="25"/>
      <c r="T3619" s="25"/>
      <c r="U3619" s="25"/>
      <c r="V3619" s="25"/>
      <c r="W3619" s="25"/>
      <c r="X3619" s="25"/>
      <c r="Y3619" s="25"/>
      <c r="Z3619" s="25"/>
    </row>
    <row r="3620" spans="1:26" ht="15.75" customHeight="1" x14ac:dyDescent="0.75">
      <c r="A3620" s="42" t="s">
        <v>18</v>
      </c>
      <c r="B3620" s="40"/>
      <c r="C3620" s="40"/>
      <c r="D3620" s="40"/>
      <c r="E3620" s="40"/>
      <c r="F3620" s="40"/>
      <c r="G3620" s="41"/>
      <c r="H3620" s="15">
        <v>649000</v>
      </c>
      <c r="I3620" s="24" t="s">
        <v>418</v>
      </c>
      <c r="J3620" s="25"/>
      <c r="K3620" s="25"/>
      <c r="L3620" s="25"/>
      <c r="M3620" s="25"/>
      <c r="N3620" s="25"/>
      <c r="O3620" s="25"/>
      <c r="P3620" s="25"/>
      <c r="Q3620" s="25"/>
      <c r="R3620" s="25"/>
      <c r="S3620" s="25"/>
      <c r="T3620" s="25"/>
      <c r="U3620" s="25"/>
      <c r="V3620" s="25"/>
      <c r="W3620" s="25"/>
      <c r="X3620" s="25"/>
      <c r="Y3620" s="25"/>
      <c r="Z3620" s="25"/>
    </row>
    <row r="3621" spans="1:26" ht="15.75" customHeight="1" x14ac:dyDescent="0.75">
      <c r="A3621" s="43" t="s">
        <v>19</v>
      </c>
      <c r="B3621" s="40"/>
      <c r="C3621" s="40"/>
      <c r="D3621" s="40"/>
      <c r="E3621" s="40"/>
      <c r="F3621" s="40"/>
      <c r="G3621" s="40"/>
      <c r="H3621" s="41"/>
      <c r="I3621" s="24" t="s">
        <v>418</v>
      </c>
      <c r="J3621" s="25"/>
      <c r="K3621" s="25"/>
      <c r="L3621" s="25"/>
      <c r="M3621" s="25"/>
      <c r="N3621" s="25"/>
      <c r="O3621" s="25"/>
      <c r="P3621" s="25"/>
      <c r="Q3621" s="25"/>
      <c r="R3621" s="25"/>
      <c r="S3621" s="25"/>
      <c r="T3621" s="25"/>
      <c r="U3621" s="25"/>
      <c r="V3621" s="25"/>
      <c r="W3621" s="25"/>
      <c r="X3621" s="25"/>
      <c r="Y3621" s="25"/>
      <c r="Z3621" s="25"/>
    </row>
    <row r="3622" spans="1:26" ht="15.75" customHeight="1" x14ac:dyDescent="0.45">
      <c r="A3622" s="25"/>
      <c r="B3622" s="25"/>
      <c r="C3622" s="25"/>
      <c r="D3622" s="25"/>
      <c r="E3622" s="25"/>
      <c r="F3622" s="25"/>
      <c r="G3622" s="25"/>
      <c r="H3622" s="25"/>
      <c r="I3622" s="24" t="s">
        <v>418</v>
      </c>
      <c r="J3622" s="25"/>
      <c r="K3622" s="25"/>
      <c r="L3622" s="25"/>
      <c r="M3622" s="25"/>
      <c r="N3622" s="25"/>
      <c r="O3622" s="25"/>
      <c r="P3622" s="25"/>
      <c r="Q3622" s="25"/>
      <c r="R3622" s="25"/>
      <c r="S3622" s="25"/>
      <c r="T3622" s="25"/>
      <c r="U3622" s="25"/>
      <c r="V3622" s="25"/>
      <c r="W3622" s="25"/>
      <c r="X3622" s="25"/>
      <c r="Y3622" s="25"/>
      <c r="Z3622" s="25"/>
    </row>
    <row r="3623" spans="1:26" ht="15.75" customHeight="1" x14ac:dyDescent="0.45">
      <c r="A3623" s="25"/>
      <c r="B3623" s="25"/>
      <c r="C3623" s="25"/>
      <c r="D3623" s="25"/>
      <c r="E3623" s="25"/>
      <c r="F3623" s="25"/>
      <c r="G3623" s="25"/>
      <c r="H3623" s="25"/>
      <c r="I3623" s="24" t="s">
        <v>418</v>
      </c>
      <c r="J3623" s="25"/>
      <c r="K3623" s="25"/>
      <c r="L3623" s="25"/>
      <c r="M3623" s="25"/>
      <c r="N3623" s="25"/>
      <c r="O3623" s="25"/>
      <c r="P3623" s="25"/>
      <c r="Q3623" s="25"/>
      <c r="R3623" s="25"/>
      <c r="S3623" s="25"/>
      <c r="T3623" s="25"/>
      <c r="U3623" s="25"/>
      <c r="V3623" s="25"/>
      <c r="W3623" s="25"/>
      <c r="X3623" s="25"/>
      <c r="Y3623" s="25"/>
      <c r="Z3623" s="25"/>
    </row>
    <row r="3624" spans="1:26" ht="15.75" customHeight="1" x14ac:dyDescent="0.45">
      <c r="A3624" s="25"/>
      <c r="B3624" s="25"/>
      <c r="C3624" s="25"/>
      <c r="D3624" s="25"/>
      <c r="E3624" s="25"/>
      <c r="F3624" s="25"/>
      <c r="G3624" s="25"/>
      <c r="H3624" s="25"/>
      <c r="I3624" s="24" t="s">
        <v>418</v>
      </c>
      <c r="J3624" s="25"/>
      <c r="K3624" s="25"/>
      <c r="L3624" s="25"/>
      <c r="M3624" s="25"/>
      <c r="N3624" s="25"/>
      <c r="O3624" s="25"/>
      <c r="P3624" s="25"/>
      <c r="Q3624" s="25"/>
      <c r="R3624" s="25"/>
      <c r="S3624" s="25"/>
      <c r="T3624" s="25"/>
      <c r="U3624" s="25"/>
      <c r="V3624" s="25"/>
      <c r="W3624" s="25"/>
      <c r="X3624" s="25"/>
      <c r="Y3624" s="25"/>
      <c r="Z3624" s="25"/>
    </row>
    <row r="3625" spans="1:26" ht="15.75" customHeight="1" x14ac:dyDescent="0.45">
      <c r="A3625" s="25"/>
      <c r="B3625" s="25"/>
      <c r="C3625" s="25"/>
      <c r="D3625" s="25"/>
      <c r="E3625" s="25"/>
      <c r="F3625" s="25"/>
      <c r="G3625" s="25"/>
      <c r="H3625" s="25"/>
      <c r="I3625" s="24" t="s">
        <v>418</v>
      </c>
      <c r="J3625" s="25"/>
      <c r="K3625" s="25"/>
      <c r="L3625" s="25"/>
      <c r="M3625" s="25"/>
      <c r="N3625" s="25"/>
      <c r="O3625" s="25"/>
      <c r="P3625" s="25"/>
      <c r="Q3625" s="25"/>
      <c r="R3625" s="25"/>
      <c r="S3625" s="25"/>
      <c r="T3625" s="25"/>
      <c r="U3625" s="25"/>
      <c r="V3625" s="25"/>
      <c r="W3625" s="25"/>
      <c r="X3625" s="25"/>
      <c r="Y3625" s="25"/>
      <c r="Z3625" s="25"/>
    </row>
    <row r="3626" spans="1:26" ht="15.75" customHeight="1" x14ac:dyDescent="0.75">
      <c r="A3626" s="43" t="s">
        <v>0</v>
      </c>
      <c r="B3626" s="40"/>
      <c r="C3626" s="40"/>
      <c r="D3626" s="40"/>
      <c r="E3626" s="40"/>
      <c r="F3626" s="40"/>
      <c r="G3626" s="40"/>
      <c r="H3626" s="41"/>
      <c r="I3626" s="24" t="s">
        <v>418</v>
      </c>
      <c r="J3626" s="25"/>
      <c r="K3626" s="25"/>
      <c r="L3626" s="25"/>
      <c r="M3626" s="25"/>
      <c r="N3626" s="25"/>
      <c r="O3626" s="25"/>
      <c r="P3626" s="25"/>
      <c r="Q3626" s="25"/>
      <c r="R3626" s="25"/>
      <c r="S3626" s="25"/>
      <c r="T3626" s="25"/>
      <c r="U3626" s="25"/>
      <c r="V3626" s="25"/>
      <c r="W3626" s="25"/>
      <c r="X3626" s="25"/>
      <c r="Y3626" s="25"/>
      <c r="Z3626" s="25"/>
    </row>
    <row r="3627" spans="1:26" ht="15.75" customHeight="1" x14ac:dyDescent="0.75">
      <c r="A3627" s="43" t="s">
        <v>571</v>
      </c>
      <c r="B3627" s="40"/>
      <c r="C3627" s="40"/>
      <c r="D3627" s="40"/>
      <c r="E3627" s="40"/>
      <c r="F3627" s="40"/>
      <c r="G3627" s="40"/>
      <c r="H3627" s="41"/>
      <c r="I3627" s="24" t="s">
        <v>418</v>
      </c>
      <c r="J3627" s="25"/>
      <c r="K3627" s="25"/>
      <c r="L3627" s="25"/>
      <c r="M3627" s="25"/>
      <c r="N3627" s="25"/>
      <c r="O3627" s="25"/>
      <c r="P3627" s="25"/>
      <c r="Q3627" s="25"/>
      <c r="R3627" s="25"/>
      <c r="S3627" s="25"/>
      <c r="T3627" s="25"/>
      <c r="U3627" s="25"/>
      <c r="V3627" s="25"/>
      <c r="W3627" s="25"/>
      <c r="X3627" s="25"/>
      <c r="Y3627" s="25"/>
      <c r="Z3627" s="25"/>
    </row>
    <row r="3628" spans="1:26" ht="15.75" customHeight="1" x14ac:dyDescent="0.55000000000000004">
      <c r="A3628" s="2" t="s">
        <v>3</v>
      </c>
      <c r="B3628" s="2" t="s">
        <v>4</v>
      </c>
      <c r="C3628" s="2" t="s">
        <v>5</v>
      </c>
      <c r="D3628" s="2" t="s">
        <v>6</v>
      </c>
      <c r="E3628" s="2" t="s">
        <v>7</v>
      </c>
      <c r="F3628" s="3" t="s">
        <v>8</v>
      </c>
      <c r="G3628" s="2" t="s">
        <v>9</v>
      </c>
      <c r="H3628" s="26"/>
      <c r="I3628" s="24" t="s">
        <v>418</v>
      </c>
      <c r="J3628" s="25"/>
      <c r="K3628" s="25"/>
      <c r="L3628" s="25"/>
      <c r="M3628" s="25"/>
      <c r="N3628" s="25"/>
      <c r="O3628" s="25"/>
      <c r="P3628" s="25"/>
      <c r="Q3628" s="25"/>
      <c r="R3628" s="25"/>
      <c r="S3628" s="25"/>
      <c r="T3628" s="25"/>
      <c r="U3628" s="25"/>
      <c r="V3628" s="25"/>
      <c r="W3628" s="25"/>
      <c r="X3628" s="25"/>
      <c r="Y3628" s="25"/>
      <c r="Z3628" s="25"/>
    </row>
    <row r="3629" spans="1:26" ht="15.75" customHeight="1" x14ac:dyDescent="0.75">
      <c r="A3629" s="5">
        <v>1</v>
      </c>
      <c r="B3629" s="27" t="s">
        <v>572</v>
      </c>
      <c r="C3629" s="28" t="s">
        <v>573</v>
      </c>
      <c r="D3629" s="27" t="s">
        <v>12</v>
      </c>
      <c r="E3629" s="27">
        <v>1.46</v>
      </c>
      <c r="F3629" s="8">
        <v>293000</v>
      </c>
      <c r="G3629" s="9">
        <f t="shared" ref="G3629:G3631" si="225">IFERROR(E3629*F3629,0)</f>
        <v>427780</v>
      </c>
      <c r="H3629" s="29"/>
      <c r="I3629" s="24" t="s">
        <v>418</v>
      </c>
      <c r="J3629" s="25"/>
      <c r="K3629" s="25"/>
      <c r="L3629" s="25"/>
      <c r="M3629" s="25"/>
      <c r="N3629" s="25"/>
      <c r="O3629" s="25"/>
      <c r="P3629" s="25"/>
      <c r="Q3629" s="25"/>
      <c r="R3629" s="25"/>
      <c r="S3629" s="25"/>
      <c r="T3629" s="25"/>
      <c r="U3629" s="25"/>
      <c r="V3629" s="25"/>
      <c r="W3629" s="25"/>
      <c r="X3629" s="25"/>
      <c r="Y3629" s="25"/>
      <c r="Z3629" s="25"/>
    </row>
    <row r="3630" spans="1:26" ht="15.75" customHeight="1" x14ac:dyDescent="0.75">
      <c r="A3630" s="5">
        <v>2</v>
      </c>
      <c r="B3630" s="30" t="s">
        <v>89</v>
      </c>
      <c r="C3630" s="31" t="s">
        <v>574</v>
      </c>
      <c r="D3630" s="30" t="s">
        <v>14</v>
      </c>
      <c r="E3630" s="30">
        <v>1.65</v>
      </c>
      <c r="F3630" s="11">
        <v>435000</v>
      </c>
      <c r="G3630" s="9">
        <f t="shared" si="225"/>
        <v>717750</v>
      </c>
      <c r="H3630" s="29"/>
      <c r="I3630" s="24" t="s">
        <v>418</v>
      </c>
      <c r="J3630" s="25"/>
      <c r="K3630" s="25"/>
      <c r="L3630" s="25"/>
      <c r="M3630" s="25"/>
      <c r="N3630" s="25"/>
      <c r="O3630" s="25"/>
      <c r="P3630" s="25"/>
      <c r="Q3630" s="25"/>
      <c r="R3630" s="25"/>
      <c r="S3630" s="25"/>
      <c r="T3630" s="25"/>
      <c r="U3630" s="25"/>
      <c r="V3630" s="25"/>
      <c r="W3630" s="25"/>
      <c r="X3630" s="25"/>
      <c r="Y3630" s="25"/>
      <c r="Z3630" s="25"/>
    </row>
    <row r="3631" spans="1:26" ht="15.75" customHeight="1" x14ac:dyDescent="0.75">
      <c r="A3631" s="5">
        <v>3</v>
      </c>
      <c r="B3631" s="12" t="s">
        <v>15</v>
      </c>
      <c r="C3631" s="29"/>
      <c r="D3631" s="29"/>
      <c r="E3631" s="29"/>
      <c r="F3631" s="29"/>
      <c r="G3631" s="13">
        <f t="shared" si="225"/>
        <v>0</v>
      </c>
      <c r="H3631" s="29"/>
      <c r="I3631" s="24" t="s">
        <v>418</v>
      </c>
      <c r="J3631" s="25"/>
      <c r="K3631" s="25"/>
      <c r="L3631" s="25"/>
      <c r="M3631" s="25"/>
      <c r="N3631" s="25"/>
      <c r="O3631" s="25"/>
      <c r="P3631" s="25"/>
      <c r="Q3631" s="25"/>
      <c r="R3631" s="25"/>
      <c r="S3631" s="25"/>
      <c r="T3631" s="25"/>
      <c r="U3631" s="25"/>
      <c r="V3631" s="25"/>
      <c r="W3631" s="25"/>
      <c r="X3631" s="25"/>
      <c r="Y3631" s="25"/>
      <c r="Z3631" s="25"/>
    </row>
    <row r="3632" spans="1:26" ht="15.75" customHeight="1" x14ac:dyDescent="0.75">
      <c r="A3632" s="39" t="s">
        <v>16</v>
      </c>
      <c r="B3632" s="40"/>
      <c r="C3632" s="40"/>
      <c r="D3632" s="40"/>
      <c r="E3632" s="40"/>
      <c r="F3632" s="40"/>
      <c r="G3632" s="41"/>
      <c r="H3632" s="14">
        <f>SUM(G3629:G3631)</f>
        <v>1145530</v>
      </c>
      <c r="I3632" s="24" t="s">
        <v>418</v>
      </c>
      <c r="J3632" s="25"/>
      <c r="K3632" s="25"/>
      <c r="L3632" s="25"/>
      <c r="M3632" s="25"/>
      <c r="N3632" s="25"/>
      <c r="O3632" s="25"/>
      <c r="P3632" s="25"/>
      <c r="Q3632" s="25"/>
      <c r="R3632" s="25"/>
      <c r="S3632" s="25"/>
      <c r="T3632" s="25"/>
      <c r="U3632" s="25"/>
      <c r="V3632" s="25"/>
      <c r="W3632" s="25"/>
      <c r="X3632" s="25"/>
      <c r="Y3632" s="25"/>
      <c r="Z3632" s="25"/>
    </row>
    <row r="3633" spans="1:26" ht="15.75" customHeight="1" x14ac:dyDescent="0.75">
      <c r="A3633" s="39" t="s">
        <v>17</v>
      </c>
      <c r="B3633" s="40"/>
      <c r="C3633" s="40"/>
      <c r="D3633" s="40"/>
      <c r="E3633" s="40"/>
      <c r="F3633" s="40"/>
      <c r="G3633" s="41"/>
      <c r="H3633" s="14">
        <f>MAX(0,H3632-648000)</f>
        <v>497530</v>
      </c>
      <c r="I3633" s="24" t="s">
        <v>418</v>
      </c>
      <c r="J3633" s="25"/>
      <c r="K3633" s="25"/>
      <c r="L3633" s="25"/>
      <c r="M3633" s="25"/>
      <c r="N3633" s="25"/>
      <c r="O3633" s="25"/>
      <c r="P3633" s="25"/>
      <c r="Q3633" s="25"/>
      <c r="R3633" s="25"/>
      <c r="S3633" s="25"/>
      <c r="T3633" s="25"/>
      <c r="U3633" s="25"/>
      <c r="V3633" s="25"/>
      <c r="W3633" s="25"/>
      <c r="X3633" s="25"/>
      <c r="Y3633" s="25"/>
      <c r="Z3633" s="25"/>
    </row>
    <row r="3634" spans="1:26" ht="15.75" customHeight="1" x14ac:dyDescent="0.75">
      <c r="A3634" s="42" t="s">
        <v>18</v>
      </c>
      <c r="B3634" s="40"/>
      <c r="C3634" s="40"/>
      <c r="D3634" s="40"/>
      <c r="E3634" s="40"/>
      <c r="F3634" s="40"/>
      <c r="G3634" s="41"/>
      <c r="H3634" s="15">
        <v>649000</v>
      </c>
      <c r="I3634" s="24" t="s">
        <v>418</v>
      </c>
      <c r="J3634" s="25"/>
      <c r="K3634" s="25"/>
      <c r="L3634" s="25"/>
      <c r="M3634" s="25"/>
      <c r="N3634" s="25"/>
      <c r="O3634" s="25"/>
      <c r="P3634" s="25"/>
      <c r="Q3634" s="25"/>
      <c r="R3634" s="25"/>
      <c r="S3634" s="25"/>
      <c r="T3634" s="25"/>
      <c r="U3634" s="25"/>
      <c r="V3634" s="25"/>
      <c r="W3634" s="25"/>
      <c r="X3634" s="25"/>
      <c r="Y3634" s="25"/>
      <c r="Z3634" s="25"/>
    </row>
    <row r="3635" spans="1:26" ht="15.75" customHeight="1" x14ac:dyDescent="0.75">
      <c r="A3635" s="43" t="s">
        <v>19</v>
      </c>
      <c r="B3635" s="40"/>
      <c r="C3635" s="40"/>
      <c r="D3635" s="40"/>
      <c r="E3635" s="40"/>
      <c r="F3635" s="40"/>
      <c r="G3635" s="40"/>
      <c r="H3635" s="41"/>
      <c r="I3635" s="24" t="s">
        <v>418</v>
      </c>
      <c r="J3635" s="25"/>
      <c r="K3635" s="25"/>
      <c r="L3635" s="25"/>
      <c r="M3635" s="25"/>
      <c r="N3635" s="25"/>
      <c r="O3635" s="25"/>
      <c r="P3635" s="25"/>
      <c r="Q3635" s="25"/>
      <c r="R3635" s="25"/>
      <c r="S3635" s="25"/>
      <c r="T3635" s="25"/>
      <c r="U3635" s="25"/>
      <c r="V3635" s="25"/>
      <c r="W3635" s="25"/>
      <c r="X3635" s="25"/>
      <c r="Y3635" s="25"/>
      <c r="Z3635" s="25"/>
    </row>
    <row r="3636" spans="1:26" ht="15.75" customHeight="1" x14ac:dyDescent="0.45">
      <c r="A3636" s="25"/>
      <c r="B3636" s="25"/>
      <c r="C3636" s="25"/>
      <c r="D3636" s="25"/>
      <c r="E3636" s="25"/>
      <c r="F3636" s="25"/>
      <c r="G3636" s="25"/>
      <c r="H3636" s="25"/>
      <c r="I3636" s="24" t="s">
        <v>418</v>
      </c>
      <c r="J3636" s="25"/>
      <c r="K3636" s="25"/>
      <c r="L3636" s="25"/>
      <c r="M3636" s="25"/>
      <c r="N3636" s="25"/>
      <c r="O3636" s="25"/>
      <c r="P3636" s="25"/>
      <c r="Q3636" s="25"/>
      <c r="R3636" s="25"/>
      <c r="S3636" s="25"/>
      <c r="T3636" s="25"/>
      <c r="U3636" s="25"/>
      <c r="V3636" s="25"/>
      <c r="W3636" s="25"/>
      <c r="X3636" s="25"/>
      <c r="Y3636" s="25"/>
      <c r="Z3636" s="25"/>
    </row>
    <row r="3637" spans="1:26" ht="15.75" customHeight="1" x14ac:dyDescent="0.45">
      <c r="A3637" s="25"/>
      <c r="B3637" s="25"/>
      <c r="C3637" s="25"/>
      <c r="D3637" s="25"/>
      <c r="E3637" s="25"/>
      <c r="F3637" s="25"/>
      <c r="G3637" s="25"/>
      <c r="H3637" s="25"/>
      <c r="I3637" s="24" t="s">
        <v>418</v>
      </c>
      <c r="J3637" s="25"/>
      <c r="K3637" s="25"/>
      <c r="L3637" s="25"/>
      <c r="M3637" s="25"/>
      <c r="N3637" s="25"/>
      <c r="O3637" s="25"/>
      <c r="P3637" s="25"/>
      <c r="Q3637" s="25"/>
      <c r="R3637" s="25"/>
      <c r="S3637" s="25"/>
      <c r="T3637" s="25"/>
      <c r="U3637" s="25"/>
      <c r="V3637" s="25"/>
      <c r="W3637" s="25"/>
      <c r="X3637" s="25"/>
      <c r="Y3637" s="25"/>
      <c r="Z3637" s="25"/>
    </row>
    <row r="3638" spans="1:26" ht="15.75" customHeight="1" x14ac:dyDescent="0.45">
      <c r="A3638" s="25"/>
      <c r="B3638" s="25"/>
      <c r="C3638" s="25"/>
      <c r="D3638" s="25"/>
      <c r="E3638" s="25"/>
      <c r="F3638" s="25"/>
      <c r="G3638" s="25"/>
      <c r="H3638" s="25"/>
      <c r="I3638" s="24" t="s">
        <v>418</v>
      </c>
      <c r="J3638" s="25"/>
      <c r="K3638" s="25"/>
      <c r="L3638" s="25"/>
      <c r="M3638" s="25"/>
      <c r="N3638" s="25"/>
      <c r="O3638" s="25"/>
      <c r="P3638" s="25"/>
      <c r="Q3638" s="25"/>
      <c r="R3638" s="25"/>
      <c r="S3638" s="25"/>
      <c r="T3638" s="25"/>
      <c r="U3638" s="25"/>
      <c r="V3638" s="25"/>
      <c r="W3638" s="25"/>
      <c r="X3638" s="25"/>
      <c r="Y3638" s="25"/>
      <c r="Z3638" s="25"/>
    </row>
    <row r="3639" spans="1:26" ht="15.75" customHeight="1" x14ac:dyDescent="0.45">
      <c r="A3639" s="25"/>
      <c r="B3639" s="25"/>
      <c r="C3639" s="25"/>
      <c r="D3639" s="25"/>
      <c r="E3639" s="25"/>
      <c r="F3639" s="25"/>
      <c r="G3639" s="25"/>
      <c r="H3639" s="25"/>
      <c r="I3639" s="24" t="s">
        <v>418</v>
      </c>
      <c r="J3639" s="25"/>
      <c r="K3639" s="25"/>
      <c r="L3639" s="25"/>
      <c r="M3639" s="25"/>
      <c r="N3639" s="25"/>
      <c r="O3639" s="25"/>
      <c r="P3639" s="25"/>
      <c r="Q3639" s="25"/>
      <c r="R3639" s="25"/>
      <c r="S3639" s="25"/>
      <c r="T3639" s="25"/>
      <c r="U3639" s="25"/>
      <c r="V3639" s="25"/>
      <c r="W3639" s="25"/>
      <c r="X3639" s="25"/>
      <c r="Y3639" s="25"/>
      <c r="Z3639" s="25"/>
    </row>
    <row r="3640" spans="1:26" ht="15.75" customHeight="1" x14ac:dyDescent="0.45">
      <c r="A3640" s="25"/>
      <c r="B3640" s="25"/>
      <c r="C3640" s="25"/>
      <c r="D3640" s="25"/>
      <c r="E3640" s="25"/>
      <c r="F3640" s="25"/>
      <c r="G3640" s="25"/>
      <c r="H3640" s="25"/>
      <c r="I3640" s="24" t="s">
        <v>418</v>
      </c>
      <c r="J3640" s="25"/>
      <c r="K3640" s="25"/>
      <c r="L3640" s="25"/>
      <c r="M3640" s="25"/>
      <c r="N3640" s="25"/>
      <c r="O3640" s="25"/>
      <c r="P3640" s="25"/>
      <c r="Q3640" s="25"/>
      <c r="R3640" s="25"/>
      <c r="S3640" s="25"/>
      <c r="T3640" s="25"/>
      <c r="U3640" s="25"/>
      <c r="V3640" s="25"/>
      <c r="W3640" s="25"/>
      <c r="X3640" s="25"/>
      <c r="Y3640" s="25"/>
      <c r="Z3640" s="25"/>
    </row>
    <row r="3641" spans="1:26" ht="15.75" customHeight="1" x14ac:dyDescent="0.45">
      <c r="A3641" s="25"/>
      <c r="B3641" s="25"/>
      <c r="C3641" s="25"/>
      <c r="D3641" s="25"/>
      <c r="E3641" s="25"/>
      <c r="F3641" s="25"/>
      <c r="G3641" s="25"/>
      <c r="H3641" s="25"/>
      <c r="I3641" s="24" t="s">
        <v>418</v>
      </c>
      <c r="J3641" s="25"/>
      <c r="K3641" s="25"/>
      <c r="L3641" s="25"/>
      <c r="M3641" s="25"/>
      <c r="N3641" s="25"/>
      <c r="O3641" s="25"/>
      <c r="P3641" s="25"/>
      <c r="Q3641" s="25"/>
      <c r="R3641" s="25"/>
      <c r="S3641" s="25"/>
      <c r="T3641" s="25"/>
      <c r="U3641" s="25"/>
      <c r="V3641" s="25"/>
      <c r="W3641" s="25"/>
      <c r="X3641" s="25"/>
      <c r="Y3641" s="25"/>
      <c r="Z3641" s="25"/>
    </row>
    <row r="3642" spans="1:26" ht="15.75" customHeight="1" x14ac:dyDescent="0.75">
      <c r="A3642" s="43" t="s">
        <v>0</v>
      </c>
      <c r="B3642" s="40"/>
      <c r="C3642" s="40"/>
      <c r="D3642" s="40"/>
      <c r="E3642" s="40"/>
      <c r="F3642" s="40"/>
      <c r="G3642" s="40"/>
      <c r="H3642" s="41"/>
      <c r="I3642" s="24" t="s">
        <v>418</v>
      </c>
      <c r="J3642" s="25"/>
      <c r="K3642" s="25"/>
      <c r="L3642" s="25"/>
      <c r="M3642" s="25"/>
      <c r="N3642" s="25"/>
      <c r="O3642" s="25"/>
      <c r="P3642" s="25"/>
      <c r="Q3642" s="25"/>
      <c r="R3642" s="25"/>
      <c r="S3642" s="25"/>
      <c r="T3642" s="25"/>
      <c r="U3642" s="25"/>
      <c r="V3642" s="25"/>
      <c r="W3642" s="25"/>
      <c r="X3642" s="25"/>
      <c r="Y3642" s="25"/>
      <c r="Z3642" s="25"/>
    </row>
    <row r="3643" spans="1:26" ht="15.75" customHeight="1" x14ac:dyDescent="0.75">
      <c r="A3643" s="43" t="s">
        <v>575</v>
      </c>
      <c r="B3643" s="40"/>
      <c r="C3643" s="40"/>
      <c r="D3643" s="40"/>
      <c r="E3643" s="40"/>
      <c r="F3643" s="40"/>
      <c r="G3643" s="40"/>
      <c r="H3643" s="41"/>
      <c r="I3643" s="24" t="s">
        <v>418</v>
      </c>
      <c r="J3643" s="25"/>
      <c r="K3643" s="25"/>
      <c r="L3643" s="25"/>
      <c r="M3643" s="25"/>
      <c r="N3643" s="25"/>
      <c r="O3643" s="25"/>
      <c r="P3643" s="25"/>
      <c r="Q3643" s="25"/>
      <c r="R3643" s="25"/>
      <c r="S3643" s="25"/>
      <c r="T3643" s="25"/>
      <c r="U3643" s="25"/>
      <c r="V3643" s="25"/>
      <c r="W3643" s="25"/>
      <c r="X3643" s="25"/>
      <c r="Y3643" s="25"/>
      <c r="Z3643" s="25"/>
    </row>
    <row r="3644" spans="1:26" ht="15.75" customHeight="1" x14ac:dyDescent="0.55000000000000004">
      <c r="A3644" s="2" t="s">
        <v>3</v>
      </c>
      <c r="B3644" s="2" t="s">
        <v>4</v>
      </c>
      <c r="C3644" s="2" t="s">
        <v>5</v>
      </c>
      <c r="D3644" s="2" t="s">
        <v>6</v>
      </c>
      <c r="E3644" s="2" t="s">
        <v>7</v>
      </c>
      <c r="F3644" s="3" t="s">
        <v>8</v>
      </c>
      <c r="G3644" s="2" t="s">
        <v>9</v>
      </c>
      <c r="H3644" s="26"/>
      <c r="I3644" s="24" t="s">
        <v>418</v>
      </c>
      <c r="J3644" s="25"/>
      <c r="K3644" s="25"/>
      <c r="L3644" s="25"/>
      <c r="M3644" s="25"/>
      <c r="N3644" s="25"/>
      <c r="O3644" s="25"/>
      <c r="P3644" s="25"/>
      <c r="Q3644" s="25"/>
      <c r="R3644" s="25"/>
      <c r="S3644" s="25"/>
      <c r="T3644" s="25"/>
      <c r="U3644" s="25"/>
      <c r="V3644" s="25"/>
      <c r="W3644" s="25"/>
      <c r="X3644" s="25"/>
      <c r="Y3644" s="25"/>
      <c r="Z3644" s="25"/>
    </row>
    <row r="3645" spans="1:26" ht="15.75" customHeight="1" x14ac:dyDescent="0.75">
      <c r="A3645" s="5">
        <v>1</v>
      </c>
      <c r="B3645" s="27" t="s">
        <v>27</v>
      </c>
      <c r="C3645" s="28" t="s">
        <v>468</v>
      </c>
      <c r="D3645" s="27" t="s">
        <v>12</v>
      </c>
      <c r="E3645" s="27">
        <v>2</v>
      </c>
      <c r="F3645" s="8">
        <v>293000</v>
      </c>
      <c r="G3645" s="9">
        <f t="shared" ref="G3645:G3647" si="226">IFERROR(E3645*F3645,0)</f>
        <v>586000</v>
      </c>
      <c r="H3645" s="29"/>
      <c r="I3645" s="24" t="s">
        <v>418</v>
      </c>
      <c r="J3645" s="25"/>
      <c r="K3645" s="25"/>
      <c r="L3645" s="25"/>
      <c r="M3645" s="25"/>
      <c r="N3645" s="25"/>
      <c r="O3645" s="25"/>
      <c r="P3645" s="25"/>
      <c r="Q3645" s="25"/>
      <c r="R3645" s="25"/>
      <c r="S3645" s="25"/>
      <c r="T3645" s="25"/>
      <c r="U3645" s="25"/>
      <c r="V3645" s="25"/>
      <c r="W3645" s="25"/>
      <c r="X3645" s="25"/>
      <c r="Y3645" s="25"/>
      <c r="Z3645" s="25"/>
    </row>
    <row r="3646" spans="1:26" ht="15.75" customHeight="1" x14ac:dyDescent="0.75">
      <c r="A3646" s="5">
        <v>2</v>
      </c>
      <c r="B3646" s="30" t="s">
        <v>311</v>
      </c>
      <c r="C3646" s="31" t="s">
        <v>576</v>
      </c>
      <c r="D3646" s="30" t="s">
        <v>14</v>
      </c>
      <c r="E3646" s="30">
        <v>1.5</v>
      </c>
      <c r="F3646" s="11">
        <v>435000</v>
      </c>
      <c r="G3646" s="9">
        <f t="shared" si="226"/>
        <v>652500</v>
      </c>
      <c r="H3646" s="29"/>
      <c r="I3646" s="24" t="s">
        <v>418</v>
      </c>
      <c r="J3646" s="25"/>
      <c r="K3646" s="25"/>
      <c r="L3646" s="25"/>
      <c r="M3646" s="25"/>
      <c r="N3646" s="25"/>
      <c r="O3646" s="25"/>
      <c r="P3646" s="25"/>
      <c r="Q3646" s="25"/>
      <c r="R3646" s="25"/>
      <c r="S3646" s="25"/>
      <c r="T3646" s="25"/>
      <c r="U3646" s="25"/>
      <c r="V3646" s="25"/>
      <c r="W3646" s="25"/>
      <c r="X3646" s="25"/>
      <c r="Y3646" s="25"/>
      <c r="Z3646" s="25"/>
    </row>
    <row r="3647" spans="1:26" ht="15.75" customHeight="1" x14ac:dyDescent="0.75">
      <c r="A3647" s="5">
        <v>3</v>
      </c>
      <c r="B3647" s="12" t="s">
        <v>15</v>
      </c>
      <c r="C3647" s="29"/>
      <c r="D3647" s="29"/>
      <c r="E3647" s="29"/>
      <c r="F3647" s="29"/>
      <c r="G3647" s="13">
        <f t="shared" si="226"/>
        <v>0</v>
      </c>
      <c r="H3647" s="29"/>
      <c r="I3647" s="24" t="s">
        <v>418</v>
      </c>
      <c r="J3647" s="25"/>
      <c r="K3647" s="25"/>
      <c r="L3647" s="25"/>
      <c r="M3647" s="25"/>
      <c r="N3647" s="25"/>
      <c r="O3647" s="25"/>
      <c r="P3647" s="25"/>
      <c r="Q3647" s="25"/>
      <c r="R3647" s="25"/>
      <c r="S3647" s="25"/>
      <c r="T3647" s="25"/>
      <c r="U3647" s="25"/>
      <c r="V3647" s="25"/>
      <c r="W3647" s="25"/>
      <c r="X3647" s="25"/>
      <c r="Y3647" s="25"/>
      <c r="Z3647" s="25"/>
    </row>
    <row r="3648" spans="1:26" ht="15.75" customHeight="1" x14ac:dyDescent="0.75">
      <c r="A3648" s="39" t="s">
        <v>16</v>
      </c>
      <c r="B3648" s="40"/>
      <c r="C3648" s="40"/>
      <c r="D3648" s="40"/>
      <c r="E3648" s="40"/>
      <c r="F3648" s="40"/>
      <c r="G3648" s="41"/>
      <c r="H3648" s="14">
        <f>SUM(G3645:G3647)</f>
        <v>1238500</v>
      </c>
      <c r="I3648" s="24" t="s">
        <v>418</v>
      </c>
      <c r="J3648" s="25"/>
      <c r="K3648" s="25"/>
      <c r="L3648" s="25"/>
      <c r="M3648" s="25"/>
      <c r="N3648" s="25"/>
      <c r="O3648" s="25"/>
      <c r="P3648" s="25"/>
      <c r="Q3648" s="25"/>
      <c r="R3648" s="25"/>
      <c r="S3648" s="25"/>
      <c r="T3648" s="25"/>
      <c r="U3648" s="25"/>
      <c r="V3648" s="25"/>
      <c r="W3648" s="25"/>
      <c r="X3648" s="25"/>
      <c r="Y3648" s="25"/>
      <c r="Z3648" s="25"/>
    </row>
    <row r="3649" spans="1:26" ht="15.75" customHeight="1" x14ac:dyDescent="0.75">
      <c r="A3649" s="39" t="s">
        <v>17</v>
      </c>
      <c r="B3649" s="40"/>
      <c r="C3649" s="40"/>
      <c r="D3649" s="40"/>
      <c r="E3649" s="40"/>
      <c r="F3649" s="40"/>
      <c r="G3649" s="41"/>
      <c r="H3649" s="14">
        <f>MAX(0,H3648-648000)</f>
        <v>590500</v>
      </c>
      <c r="I3649" s="24" t="s">
        <v>418</v>
      </c>
      <c r="J3649" s="25"/>
      <c r="K3649" s="25"/>
      <c r="L3649" s="25"/>
      <c r="M3649" s="25"/>
      <c r="N3649" s="25"/>
      <c r="O3649" s="25"/>
      <c r="P3649" s="25"/>
      <c r="Q3649" s="25"/>
      <c r="R3649" s="25"/>
      <c r="S3649" s="25"/>
      <c r="T3649" s="25"/>
      <c r="U3649" s="25"/>
      <c r="V3649" s="25"/>
      <c r="W3649" s="25"/>
      <c r="X3649" s="25"/>
      <c r="Y3649" s="25"/>
      <c r="Z3649" s="25"/>
    </row>
    <row r="3650" spans="1:26" ht="15.75" customHeight="1" x14ac:dyDescent="0.75">
      <c r="A3650" s="42" t="s">
        <v>18</v>
      </c>
      <c r="B3650" s="40"/>
      <c r="C3650" s="40"/>
      <c r="D3650" s="40"/>
      <c r="E3650" s="40"/>
      <c r="F3650" s="40"/>
      <c r="G3650" s="41"/>
      <c r="H3650" s="15">
        <v>649000</v>
      </c>
      <c r="I3650" s="24" t="s">
        <v>418</v>
      </c>
      <c r="J3650" s="25"/>
      <c r="K3650" s="25"/>
      <c r="L3650" s="25"/>
      <c r="M3650" s="25"/>
      <c r="N3650" s="25"/>
      <c r="O3650" s="25"/>
      <c r="P3650" s="25"/>
      <c r="Q3650" s="25"/>
      <c r="R3650" s="25"/>
      <c r="S3650" s="25"/>
      <c r="T3650" s="25"/>
      <c r="U3650" s="25"/>
      <c r="V3650" s="25"/>
      <c r="W3650" s="25"/>
      <c r="X3650" s="25"/>
      <c r="Y3650" s="25"/>
      <c r="Z3650" s="25"/>
    </row>
    <row r="3651" spans="1:26" ht="15.75" customHeight="1" x14ac:dyDescent="0.75">
      <c r="A3651" s="43" t="s">
        <v>19</v>
      </c>
      <c r="B3651" s="40"/>
      <c r="C3651" s="40"/>
      <c r="D3651" s="40"/>
      <c r="E3651" s="40"/>
      <c r="F3651" s="40"/>
      <c r="G3651" s="40"/>
      <c r="H3651" s="41"/>
      <c r="I3651" s="24" t="s">
        <v>418</v>
      </c>
      <c r="J3651" s="25"/>
      <c r="K3651" s="25"/>
      <c r="L3651" s="25"/>
      <c r="M3651" s="25"/>
      <c r="N3651" s="25"/>
      <c r="O3651" s="25"/>
      <c r="P3651" s="25"/>
      <c r="Q3651" s="25"/>
      <c r="R3651" s="25"/>
      <c r="S3651" s="25"/>
      <c r="T3651" s="25"/>
      <c r="U3651" s="25"/>
      <c r="V3651" s="25"/>
      <c r="W3651" s="25"/>
      <c r="X3651" s="25"/>
      <c r="Y3651" s="25"/>
      <c r="Z3651" s="25"/>
    </row>
    <row r="3652" spans="1:26" ht="15.75" customHeight="1" x14ac:dyDescent="0.45">
      <c r="A3652" s="25"/>
      <c r="B3652" s="25"/>
      <c r="C3652" s="25"/>
      <c r="D3652" s="25"/>
      <c r="E3652" s="25"/>
      <c r="F3652" s="25"/>
      <c r="G3652" s="25"/>
      <c r="H3652" s="25"/>
      <c r="I3652" s="24" t="s">
        <v>418</v>
      </c>
      <c r="J3652" s="25"/>
      <c r="K3652" s="25"/>
      <c r="L3652" s="25"/>
      <c r="M3652" s="25"/>
      <c r="N3652" s="25"/>
      <c r="O3652" s="25"/>
      <c r="P3652" s="25"/>
      <c r="Q3652" s="25"/>
      <c r="R3652" s="25"/>
      <c r="S3652" s="25"/>
      <c r="T3652" s="25"/>
      <c r="U3652" s="25"/>
      <c r="V3652" s="25"/>
      <c r="W3652" s="25"/>
      <c r="X3652" s="25"/>
      <c r="Y3652" s="25"/>
      <c r="Z3652" s="25"/>
    </row>
    <row r="3653" spans="1:26" ht="15.75" customHeight="1" x14ac:dyDescent="0.45">
      <c r="A3653" s="25"/>
      <c r="B3653" s="25"/>
      <c r="C3653" s="25"/>
      <c r="D3653" s="25"/>
      <c r="E3653" s="25"/>
      <c r="F3653" s="25"/>
      <c r="G3653" s="25"/>
      <c r="H3653" s="25"/>
      <c r="I3653" s="24" t="s">
        <v>418</v>
      </c>
      <c r="J3653" s="25"/>
      <c r="K3653" s="25"/>
      <c r="L3653" s="25"/>
      <c r="M3653" s="25"/>
      <c r="N3653" s="25"/>
      <c r="O3653" s="25"/>
      <c r="P3653" s="25"/>
      <c r="Q3653" s="25"/>
      <c r="R3653" s="25"/>
      <c r="S3653" s="25"/>
      <c r="T3653" s="25"/>
      <c r="U3653" s="25"/>
      <c r="V3653" s="25"/>
      <c r="W3653" s="25"/>
      <c r="X3653" s="25"/>
      <c r="Y3653" s="25"/>
      <c r="Z3653" s="25"/>
    </row>
    <row r="3654" spans="1:26" ht="15.75" customHeight="1" x14ac:dyDescent="0.45">
      <c r="A3654" s="25"/>
      <c r="B3654" s="25"/>
      <c r="C3654" s="25"/>
      <c r="D3654" s="25"/>
      <c r="E3654" s="25"/>
      <c r="F3654" s="25"/>
      <c r="G3654" s="25"/>
      <c r="H3654" s="25"/>
      <c r="I3654" s="24" t="s">
        <v>418</v>
      </c>
      <c r="J3654" s="25"/>
      <c r="K3654" s="25"/>
      <c r="L3654" s="25"/>
      <c r="M3654" s="25"/>
      <c r="N3654" s="25"/>
      <c r="O3654" s="25"/>
      <c r="P3654" s="25"/>
      <c r="Q3654" s="25"/>
      <c r="R3654" s="25"/>
      <c r="S3654" s="25"/>
      <c r="T3654" s="25"/>
      <c r="U3654" s="25"/>
      <c r="V3654" s="25"/>
      <c r="W3654" s="25"/>
      <c r="X3654" s="25"/>
      <c r="Y3654" s="25"/>
      <c r="Z3654" s="25"/>
    </row>
    <row r="3655" spans="1:26" ht="15.75" customHeight="1" x14ac:dyDescent="0.45">
      <c r="A3655" s="25"/>
      <c r="B3655" s="25"/>
      <c r="C3655" s="25"/>
      <c r="D3655" s="25"/>
      <c r="E3655" s="25"/>
      <c r="F3655" s="25"/>
      <c r="G3655" s="25"/>
      <c r="H3655" s="25"/>
      <c r="I3655" s="24" t="s">
        <v>418</v>
      </c>
      <c r="J3655" s="25"/>
      <c r="K3655" s="25"/>
      <c r="L3655" s="25"/>
      <c r="M3655" s="25"/>
      <c r="N3655" s="25"/>
      <c r="O3655" s="25"/>
      <c r="P3655" s="25"/>
      <c r="Q3655" s="25"/>
      <c r="R3655" s="25"/>
      <c r="S3655" s="25"/>
      <c r="T3655" s="25"/>
      <c r="U3655" s="25"/>
      <c r="V3655" s="25"/>
      <c r="W3655" s="25"/>
      <c r="X3655" s="25"/>
      <c r="Y3655" s="25"/>
      <c r="Z3655" s="25"/>
    </row>
    <row r="3656" spans="1:26" ht="15.75" customHeight="1" x14ac:dyDescent="0.45">
      <c r="A3656" s="25"/>
      <c r="B3656" s="25"/>
      <c r="C3656" s="25"/>
      <c r="D3656" s="25"/>
      <c r="E3656" s="25"/>
      <c r="F3656" s="25"/>
      <c r="G3656" s="25"/>
      <c r="H3656" s="25"/>
      <c r="I3656" s="24" t="s">
        <v>418</v>
      </c>
      <c r="J3656" s="25"/>
      <c r="K3656" s="25"/>
      <c r="L3656" s="25"/>
      <c r="M3656" s="25"/>
      <c r="N3656" s="25"/>
      <c r="O3656" s="25"/>
      <c r="P3656" s="25"/>
      <c r="Q3656" s="25"/>
      <c r="R3656" s="25"/>
      <c r="S3656" s="25"/>
      <c r="T3656" s="25"/>
      <c r="U3656" s="25"/>
      <c r="V3656" s="25"/>
      <c r="W3656" s="25"/>
      <c r="X3656" s="25"/>
      <c r="Y3656" s="25"/>
      <c r="Z3656" s="25"/>
    </row>
    <row r="3657" spans="1:26" ht="15.75" customHeight="1" x14ac:dyDescent="0.45">
      <c r="A3657" s="25"/>
      <c r="B3657" s="25"/>
      <c r="C3657" s="25"/>
      <c r="D3657" s="25"/>
      <c r="E3657" s="25"/>
      <c r="F3657" s="25"/>
      <c r="G3657" s="25"/>
      <c r="H3657" s="25"/>
      <c r="I3657" s="24" t="s">
        <v>418</v>
      </c>
      <c r="J3657" s="25"/>
      <c r="K3657" s="25"/>
      <c r="L3657" s="25"/>
      <c r="M3657" s="25"/>
      <c r="N3657" s="25"/>
      <c r="O3657" s="25"/>
      <c r="P3657" s="25"/>
      <c r="Q3657" s="25"/>
      <c r="R3657" s="25"/>
      <c r="S3657" s="25"/>
      <c r="T3657" s="25"/>
      <c r="U3657" s="25"/>
      <c r="V3657" s="25"/>
      <c r="W3657" s="25"/>
      <c r="X3657" s="25"/>
      <c r="Y3657" s="25"/>
      <c r="Z3657" s="25"/>
    </row>
    <row r="3658" spans="1:26" ht="15.75" customHeight="1" x14ac:dyDescent="0.75">
      <c r="A3658" s="43" t="s">
        <v>0</v>
      </c>
      <c r="B3658" s="40"/>
      <c r="C3658" s="40"/>
      <c r="D3658" s="40"/>
      <c r="E3658" s="40"/>
      <c r="F3658" s="40"/>
      <c r="G3658" s="40"/>
      <c r="H3658" s="41"/>
      <c r="I3658" s="24" t="s">
        <v>418</v>
      </c>
      <c r="J3658" s="25"/>
      <c r="K3658" s="25"/>
      <c r="L3658" s="25"/>
      <c r="M3658" s="25"/>
      <c r="N3658" s="25"/>
      <c r="O3658" s="25"/>
      <c r="P3658" s="25"/>
      <c r="Q3658" s="25"/>
      <c r="R3658" s="25"/>
      <c r="S3658" s="25"/>
      <c r="T3658" s="25"/>
      <c r="U3658" s="25"/>
      <c r="V3658" s="25"/>
      <c r="W3658" s="25"/>
      <c r="X3658" s="25"/>
      <c r="Y3658" s="25"/>
      <c r="Z3658" s="25"/>
    </row>
    <row r="3659" spans="1:26" ht="15.75" customHeight="1" x14ac:dyDescent="0.75">
      <c r="A3659" s="43" t="s">
        <v>577</v>
      </c>
      <c r="B3659" s="40"/>
      <c r="C3659" s="40"/>
      <c r="D3659" s="40"/>
      <c r="E3659" s="40"/>
      <c r="F3659" s="40"/>
      <c r="G3659" s="40"/>
      <c r="H3659" s="41"/>
      <c r="I3659" s="24" t="s">
        <v>418</v>
      </c>
      <c r="J3659" s="25"/>
      <c r="K3659" s="25"/>
      <c r="L3659" s="25"/>
      <c r="M3659" s="25"/>
      <c r="N3659" s="25"/>
      <c r="O3659" s="25"/>
      <c r="P3659" s="25"/>
      <c r="Q3659" s="25"/>
      <c r="R3659" s="25"/>
      <c r="S3659" s="25"/>
      <c r="T3659" s="25"/>
      <c r="U3659" s="25"/>
      <c r="V3659" s="25"/>
      <c r="W3659" s="25"/>
      <c r="X3659" s="25"/>
      <c r="Y3659" s="25"/>
      <c r="Z3659" s="25"/>
    </row>
    <row r="3660" spans="1:26" ht="15.75" customHeight="1" x14ac:dyDescent="0.55000000000000004">
      <c r="A3660" s="2" t="s">
        <v>3</v>
      </c>
      <c r="B3660" s="2" t="s">
        <v>4</v>
      </c>
      <c r="C3660" s="2" t="s">
        <v>5</v>
      </c>
      <c r="D3660" s="2" t="s">
        <v>6</v>
      </c>
      <c r="E3660" s="2" t="s">
        <v>7</v>
      </c>
      <c r="F3660" s="3" t="s">
        <v>8</v>
      </c>
      <c r="G3660" s="2" t="s">
        <v>9</v>
      </c>
      <c r="H3660" s="26"/>
      <c r="I3660" s="24" t="s">
        <v>418</v>
      </c>
      <c r="J3660" s="25"/>
      <c r="K3660" s="25"/>
      <c r="L3660" s="25"/>
      <c r="M3660" s="25"/>
      <c r="N3660" s="25"/>
      <c r="O3660" s="25"/>
      <c r="P3660" s="25"/>
      <c r="Q3660" s="25"/>
      <c r="R3660" s="25"/>
      <c r="S3660" s="25"/>
      <c r="T3660" s="25"/>
      <c r="U3660" s="25"/>
      <c r="V3660" s="25"/>
      <c r="W3660" s="25"/>
      <c r="X3660" s="25"/>
      <c r="Y3660" s="25"/>
      <c r="Z3660" s="25"/>
    </row>
    <row r="3661" spans="1:26" ht="15.75" customHeight="1" x14ac:dyDescent="0.75">
      <c r="A3661" s="5">
        <v>1</v>
      </c>
      <c r="B3661" s="27" t="s">
        <v>158</v>
      </c>
      <c r="C3661" s="28" t="s">
        <v>578</v>
      </c>
      <c r="D3661" s="27" t="s">
        <v>12</v>
      </c>
      <c r="E3661" s="27">
        <v>2</v>
      </c>
      <c r="F3661" s="8">
        <v>293000</v>
      </c>
      <c r="G3661" s="9">
        <f t="shared" ref="G3661:G3663" si="227">IFERROR(E3661*F3661,0)</f>
        <v>586000</v>
      </c>
      <c r="H3661" s="29"/>
      <c r="I3661" s="24" t="s">
        <v>418</v>
      </c>
      <c r="J3661" s="25"/>
      <c r="K3661" s="25"/>
      <c r="L3661" s="25"/>
      <c r="M3661" s="25"/>
      <c r="N3661" s="25"/>
      <c r="O3661" s="25"/>
      <c r="P3661" s="25"/>
      <c r="Q3661" s="25"/>
      <c r="R3661" s="25"/>
      <c r="S3661" s="25"/>
      <c r="T3661" s="25"/>
      <c r="U3661" s="25"/>
      <c r="V3661" s="25"/>
      <c r="W3661" s="25"/>
      <c r="X3661" s="25"/>
      <c r="Y3661" s="25"/>
      <c r="Z3661" s="25"/>
    </row>
    <row r="3662" spans="1:26" ht="15.75" customHeight="1" x14ac:dyDescent="0.75">
      <c r="A3662" s="5">
        <v>2</v>
      </c>
      <c r="B3662" s="30" t="s">
        <v>288</v>
      </c>
      <c r="C3662" s="31" t="s">
        <v>579</v>
      </c>
      <c r="D3662" s="30" t="s">
        <v>14</v>
      </c>
      <c r="E3662" s="30">
        <v>1.5</v>
      </c>
      <c r="F3662" s="11">
        <v>435000</v>
      </c>
      <c r="G3662" s="9">
        <f t="shared" si="227"/>
        <v>652500</v>
      </c>
      <c r="H3662" s="29"/>
      <c r="I3662" s="24" t="s">
        <v>418</v>
      </c>
      <c r="J3662" s="25"/>
      <c r="K3662" s="25"/>
      <c r="L3662" s="25"/>
      <c r="M3662" s="25"/>
      <c r="N3662" s="25"/>
      <c r="O3662" s="25"/>
      <c r="P3662" s="25"/>
      <c r="Q3662" s="25"/>
      <c r="R3662" s="25"/>
      <c r="S3662" s="25"/>
      <c r="T3662" s="25"/>
      <c r="U3662" s="25"/>
      <c r="V3662" s="25"/>
      <c r="W3662" s="25"/>
      <c r="X3662" s="25"/>
      <c r="Y3662" s="25"/>
      <c r="Z3662" s="25"/>
    </row>
    <row r="3663" spans="1:26" ht="15.75" customHeight="1" x14ac:dyDescent="0.75">
      <c r="A3663" s="5">
        <v>3</v>
      </c>
      <c r="B3663" s="12" t="s">
        <v>15</v>
      </c>
      <c r="C3663" s="29"/>
      <c r="D3663" s="29"/>
      <c r="E3663" s="29"/>
      <c r="F3663" s="29"/>
      <c r="G3663" s="13">
        <f t="shared" si="227"/>
        <v>0</v>
      </c>
      <c r="H3663" s="29"/>
      <c r="I3663" s="24" t="s">
        <v>418</v>
      </c>
      <c r="J3663" s="25"/>
      <c r="K3663" s="25"/>
      <c r="L3663" s="25"/>
      <c r="M3663" s="25"/>
      <c r="N3663" s="25"/>
      <c r="O3663" s="25"/>
      <c r="P3663" s="25"/>
      <c r="Q3663" s="25"/>
      <c r="R3663" s="25"/>
      <c r="S3663" s="25"/>
      <c r="T3663" s="25"/>
      <c r="U3663" s="25"/>
      <c r="V3663" s="25"/>
      <c r="W3663" s="25"/>
      <c r="X3663" s="25"/>
      <c r="Y3663" s="25"/>
      <c r="Z3663" s="25"/>
    </row>
    <row r="3664" spans="1:26" ht="15.75" customHeight="1" x14ac:dyDescent="0.75">
      <c r="A3664" s="39" t="s">
        <v>16</v>
      </c>
      <c r="B3664" s="40"/>
      <c r="C3664" s="40"/>
      <c r="D3664" s="40"/>
      <c r="E3664" s="40"/>
      <c r="F3664" s="40"/>
      <c r="G3664" s="41"/>
      <c r="H3664" s="14">
        <f>SUM(G3661:G3663)</f>
        <v>1238500</v>
      </c>
      <c r="I3664" s="24" t="s">
        <v>418</v>
      </c>
      <c r="J3664" s="25"/>
      <c r="K3664" s="25"/>
      <c r="L3664" s="25"/>
      <c r="M3664" s="25"/>
      <c r="N3664" s="25"/>
      <c r="O3664" s="25"/>
      <c r="P3664" s="25"/>
      <c r="Q3664" s="25"/>
      <c r="R3664" s="25"/>
      <c r="S3664" s="25"/>
      <c r="T3664" s="25"/>
      <c r="U3664" s="25"/>
      <c r="V3664" s="25"/>
      <c r="W3664" s="25"/>
      <c r="X3664" s="25"/>
      <c r="Y3664" s="25"/>
      <c r="Z3664" s="25"/>
    </row>
    <row r="3665" spans="1:26" ht="15.75" customHeight="1" x14ac:dyDescent="0.75">
      <c r="A3665" s="39" t="s">
        <v>580</v>
      </c>
      <c r="B3665" s="40"/>
      <c r="C3665" s="40"/>
      <c r="D3665" s="40"/>
      <c r="E3665" s="40"/>
      <c r="F3665" s="40"/>
      <c r="G3665" s="41"/>
      <c r="H3665" s="14">
        <f>MAX(0,H3664-648000)</f>
        <v>590500</v>
      </c>
      <c r="I3665" s="24" t="s">
        <v>418</v>
      </c>
      <c r="J3665" s="25"/>
      <c r="K3665" s="25"/>
      <c r="L3665" s="25"/>
      <c r="M3665" s="25"/>
      <c r="N3665" s="25"/>
      <c r="O3665" s="25"/>
      <c r="P3665" s="25"/>
      <c r="Q3665" s="25"/>
      <c r="R3665" s="25"/>
      <c r="S3665" s="25"/>
      <c r="T3665" s="25"/>
      <c r="U3665" s="25"/>
      <c r="V3665" s="25"/>
      <c r="W3665" s="25"/>
      <c r="X3665" s="25"/>
      <c r="Y3665" s="25"/>
      <c r="Z3665" s="25"/>
    </row>
    <row r="3666" spans="1:26" ht="15.75" customHeight="1" x14ac:dyDescent="0.75">
      <c r="A3666" s="42" t="s">
        <v>18</v>
      </c>
      <c r="B3666" s="40"/>
      <c r="C3666" s="40"/>
      <c r="D3666" s="40"/>
      <c r="E3666" s="40"/>
      <c r="F3666" s="40"/>
      <c r="G3666" s="41"/>
      <c r="H3666" s="15">
        <v>649000</v>
      </c>
      <c r="I3666" s="24" t="s">
        <v>418</v>
      </c>
      <c r="J3666" s="25"/>
      <c r="K3666" s="25"/>
      <c r="L3666" s="25"/>
      <c r="M3666" s="25"/>
      <c r="N3666" s="25"/>
      <c r="O3666" s="25"/>
      <c r="P3666" s="25"/>
      <c r="Q3666" s="25"/>
      <c r="R3666" s="25"/>
      <c r="S3666" s="25"/>
      <c r="T3666" s="25"/>
      <c r="U3666" s="25"/>
      <c r="V3666" s="25"/>
      <c r="W3666" s="25"/>
      <c r="X3666" s="25"/>
      <c r="Y3666" s="25"/>
      <c r="Z3666" s="25"/>
    </row>
    <row r="3667" spans="1:26" ht="15.75" customHeight="1" x14ac:dyDescent="0.75">
      <c r="A3667" s="43" t="s">
        <v>19</v>
      </c>
      <c r="B3667" s="40"/>
      <c r="C3667" s="40"/>
      <c r="D3667" s="40"/>
      <c r="E3667" s="40"/>
      <c r="F3667" s="40"/>
      <c r="G3667" s="40"/>
      <c r="H3667" s="41"/>
      <c r="I3667" s="24" t="s">
        <v>418</v>
      </c>
      <c r="J3667" s="25"/>
      <c r="K3667" s="25"/>
      <c r="L3667" s="25"/>
      <c r="M3667" s="25"/>
      <c r="N3667" s="25"/>
      <c r="O3667" s="25"/>
      <c r="P3667" s="25"/>
      <c r="Q3667" s="25"/>
      <c r="R3667" s="25"/>
      <c r="S3667" s="25"/>
      <c r="T3667" s="25"/>
      <c r="U3667" s="25"/>
      <c r="V3667" s="25"/>
      <c r="W3667" s="25"/>
      <c r="X3667" s="25"/>
      <c r="Y3667" s="25"/>
      <c r="Z3667" s="25"/>
    </row>
    <row r="3668" spans="1:26" ht="15.75" customHeight="1" x14ac:dyDescent="0.45">
      <c r="A3668" s="25"/>
      <c r="B3668" s="25"/>
      <c r="C3668" s="25"/>
      <c r="D3668" s="25"/>
      <c r="E3668" s="25"/>
      <c r="F3668" s="25"/>
      <c r="G3668" s="25"/>
      <c r="H3668" s="25"/>
      <c r="I3668" s="24" t="s">
        <v>418</v>
      </c>
      <c r="J3668" s="25"/>
      <c r="K3668" s="25"/>
      <c r="L3668" s="25"/>
      <c r="M3668" s="25"/>
      <c r="N3668" s="25"/>
      <c r="O3668" s="25"/>
      <c r="P3668" s="25"/>
      <c r="Q3668" s="25"/>
      <c r="R3668" s="25"/>
      <c r="S3668" s="25"/>
      <c r="T3668" s="25"/>
      <c r="U3668" s="25"/>
      <c r="V3668" s="25"/>
      <c r="W3668" s="25"/>
      <c r="X3668" s="25"/>
      <c r="Y3668" s="25"/>
      <c r="Z3668" s="25"/>
    </row>
    <row r="3669" spans="1:26" ht="15.75" customHeight="1" x14ac:dyDescent="0.45">
      <c r="A3669" s="25"/>
      <c r="B3669" s="25"/>
      <c r="C3669" s="25"/>
      <c r="D3669" s="25"/>
      <c r="E3669" s="25"/>
      <c r="F3669" s="25"/>
      <c r="G3669" s="25"/>
      <c r="H3669" s="25"/>
      <c r="I3669" s="24" t="s">
        <v>418</v>
      </c>
      <c r="J3669" s="25"/>
      <c r="K3669" s="25"/>
      <c r="L3669" s="25"/>
      <c r="M3669" s="25"/>
      <c r="N3669" s="25"/>
      <c r="O3669" s="25"/>
      <c r="P3669" s="25"/>
      <c r="Q3669" s="25"/>
      <c r="R3669" s="25"/>
      <c r="S3669" s="25"/>
      <c r="T3669" s="25"/>
      <c r="U3669" s="25"/>
      <c r="V3669" s="25"/>
      <c r="W3669" s="25"/>
      <c r="X3669" s="25"/>
      <c r="Y3669" s="25"/>
      <c r="Z3669" s="25"/>
    </row>
    <row r="3670" spans="1:26" ht="15.75" customHeight="1" x14ac:dyDescent="0.45">
      <c r="A3670" s="25"/>
      <c r="B3670" s="25"/>
      <c r="C3670" s="25"/>
      <c r="D3670" s="25"/>
      <c r="E3670" s="25"/>
      <c r="F3670" s="25"/>
      <c r="G3670" s="25"/>
      <c r="H3670" s="25"/>
      <c r="I3670" s="24" t="s">
        <v>418</v>
      </c>
      <c r="J3670" s="25"/>
      <c r="K3670" s="25"/>
      <c r="L3670" s="25"/>
      <c r="M3670" s="25"/>
      <c r="N3670" s="25"/>
      <c r="O3670" s="25"/>
      <c r="P3670" s="25"/>
      <c r="Q3670" s="25"/>
      <c r="R3670" s="25"/>
      <c r="S3670" s="25"/>
      <c r="T3670" s="25"/>
      <c r="U3670" s="25"/>
      <c r="V3670" s="25"/>
      <c r="W3670" s="25"/>
      <c r="X3670" s="25"/>
      <c r="Y3670" s="25"/>
      <c r="Z3670" s="25"/>
    </row>
    <row r="3671" spans="1:26" ht="15.75" customHeight="1" x14ac:dyDescent="0.45">
      <c r="A3671" s="25"/>
      <c r="B3671" s="25"/>
      <c r="C3671" s="25"/>
      <c r="D3671" s="25"/>
      <c r="E3671" s="25"/>
      <c r="F3671" s="25"/>
      <c r="G3671" s="25"/>
      <c r="H3671" s="25"/>
      <c r="I3671" s="24" t="s">
        <v>418</v>
      </c>
      <c r="J3671" s="25"/>
      <c r="K3671" s="25"/>
      <c r="L3671" s="25"/>
      <c r="M3671" s="25"/>
      <c r="N3671" s="25"/>
      <c r="O3671" s="25"/>
      <c r="P3671" s="25"/>
      <c r="Q3671" s="25"/>
      <c r="R3671" s="25"/>
      <c r="S3671" s="25"/>
      <c r="T3671" s="25"/>
      <c r="U3671" s="25"/>
      <c r="V3671" s="25"/>
      <c r="W3671" s="25"/>
      <c r="X3671" s="25"/>
      <c r="Y3671" s="25"/>
      <c r="Z3671" s="25"/>
    </row>
    <row r="3672" spans="1:26" ht="15.75" customHeight="1" x14ac:dyDescent="0.45">
      <c r="A3672" s="25"/>
      <c r="B3672" s="25"/>
      <c r="C3672" s="25"/>
      <c r="D3672" s="25"/>
      <c r="E3672" s="25"/>
      <c r="F3672" s="25"/>
      <c r="G3672" s="25"/>
      <c r="H3672" s="25"/>
      <c r="I3672" s="24" t="s">
        <v>418</v>
      </c>
      <c r="J3672" s="25"/>
      <c r="K3672" s="25"/>
      <c r="L3672" s="25"/>
      <c r="M3672" s="25"/>
      <c r="N3672" s="25"/>
      <c r="O3672" s="25"/>
      <c r="P3672" s="25"/>
      <c r="Q3672" s="25"/>
      <c r="R3672" s="25"/>
      <c r="S3672" s="25"/>
      <c r="T3672" s="25"/>
      <c r="U3672" s="25"/>
      <c r="V3672" s="25"/>
      <c r="W3672" s="25"/>
      <c r="X3672" s="25"/>
      <c r="Y3672" s="25"/>
      <c r="Z3672" s="25"/>
    </row>
    <row r="3673" spans="1:26" ht="15.75" customHeight="1" x14ac:dyDescent="0.75">
      <c r="A3673" s="43" t="s">
        <v>0</v>
      </c>
      <c r="B3673" s="40"/>
      <c r="C3673" s="40"/>
      <c r="D3673" s="40"/>
      <c r="E3673" s="40"/>
      <c r="F3673" s="40"/>
      <c r="G3673" s="40"/>
      <c r="H3673" s="41"/>
      <c r="I3673" s="24" t="s">
        <v>418</v>
      </c>
      <c r="J3673" s="25"/>
      <c r="K3673" s="25"/>
      <c r="L3673" s="25"/>
      <c r="M3673" s="25"/>
      <c r="N3673" s="25"/>
      <c r="O3673" s="25"/>
      <c r="P3673" s="25"/>
      <c r="Q3673" s="25"/>
      <c r="R3673" s="25"/>
      <c r="S3673" s="25"/>
      <c r="T3673" s="25"/>
      <c r="U3673" s="25"/>
      <c r="V3673" s="25"/>
      <c r="W3673" s="25"/>
      <c r="X3673" s="25"/>
      <c r="Y3673" s="25"/>
      <c r="Z3673" s="25"/>
    </row>
    <row r="3674" spans="1:26" ht="15.75" customHeight="1" x14ac:dyDescent="0.75">
      <c r="A3674" s="43" t="s">
        <v>581</v>
      </c>
      <c r="B3674" s="40"/>
      <c r="C3674" s="40"/>
      <c r="D3674" s="40"/>
      <c r="E3674" s="40"/>
      <c r="F3674" s="40"/>
      <c r="G3674" s="40"/>
      <c r="H3674" s="41"/>
      <c r="I3674" s="24" t="s">
        <v>418</v>
      </c>
      <c r="J3674" s="25"/>
      <c r="K3674" s="25"/>
      <c r="L3674" s="25"/>
      <c r="M3674" s="25"/>
      <c r="N3674" s="25"/>
      <c r="O3674" s="25"/>
      <c r="P3674" s="25"/>
      <c r="Q3674" s="25"/>
      <c r="R3674" s="25"/>
      <c r="S3674" s="25"/>
      <c r="T3674" s="25"/>
      <c r="U3674" s="25"/>
      <c r="V3674" s="25"/>
      <c r="W3674" s="25"/>
      <c r="X3674" s="25"/>
      <c r="Y3674" s="25"/>
      <c r="Z3674" s="25"/>
    </row>
    <row r="3675" spans="1:26" ht="15.75" customHeight="1" x14ac:dyDescent="0.55000000000000004">
      <c r="A3675" s="2" t="s">
        <v>3</v>
      </c>
      <c r="B3675" s="2" t="s">
        <v>4</v>
      </c>
      <c r="C3675" s="2" t="s">
        <v>5</v>
      </c>
      <c r="D3675" s="2" t="s">
        <v>6</v>
      </c>
      <c r="E3675" s="2" t="s">
        <v>7</v>
      </c>
      <c r="F3675" s="3" t="s">
        <v>8</v>
      </c>
      <c r="G3675" s="2" t="s">
        <v>9</v>
      </c>
      <c r="H3675" s="26"/>
      <c r="I3675" s="24" t="s">
        <v>418</v>
      </c>
      <c r="J3675" s="25"/>
      <c r="K3675" s="25"/>
      <c r="L3675" s="25"/>
      <c r="M3675" s="25"/>
      <c r="N3675" s="25"/>
      <c r="O3675" s="25"/>
      <c r="P3675" s="25"/>
      <c r="Q3675" s="25"/>
      <c r="R3675" s="25"/>
      <c r="S3675" s="25"/>
      <c r="T3675" s="25"/>
      <c r="U3675" s="25"/>
      <c r="V3675" s="25"/>
      <c r="W3675" s="25"/>
      <c r="X3675" s="25"/>
      <c r="Y3675" s="25"/>
      <c r="Z3675" s="25"/>
    </row>
    <row r="3676" spans="1:26" ht="15.75" customHeight="1" x14ac:dyDescent="0.75">
      <c r="A3676" s="5">
        <v>1</v>
      </c>
      <c r="B3676" s="27" t="s">
        <v>27</v>
      </c>
      <c r="C3676" s="28" t="s">
        <v>468</v>
      </c>
      <c r="D3676" s="27" t="s">
        <v>12</v>
      </c>
      <c r="E3676" s="27">
        <v>2</v>
      </c>
      <c r="F3676" s="8">
        <v>293000</v>
      </c>
      <c r="G3676" s="9">
        <f t="shared" ref="G3676:G3678" si="228">IFERROR(E3676*F3676,0)</f>
        <v>586000</v>
      </c>
      <c r="H3676" s="29"/>
      <c r="I3676" s="24" t="s">
        <v>418</v>
      </c>
      <c r="J3676" s="25"/>
      <c r="K3676" s="25"/>
      <c r="L3676" s="25"/>
      <c r="M3676" s="25"/>
      <c r="N3676" s="25"/>
      <c r="O3676" s="25"/>
      <c r="P3676" s="25"/>
      <c r="Q3676" s="25"/>
      <c r="R3676" s="25"/>
      <c r="S3676" s="25"/>
      <c r="T3676" s="25"/>
      <c r="U3676" s="25"/>
      <c r="V3676" s="25"/>
      <c r="W3676" s="25"/>
      <c r="X3676" s="25"/>
      <c r="Y3676" s="25"/>
      <c r="Z3676" s="25"/>
    </row>
    <row r="3677" spans="1:26" ht="15.75" customHeight="1" x14ac:dyDescent="0.75">
      <c r="A3677" s="5">
        <v>2</v>
      </c>
      <c r="B3677" s="30" t="s">
        <v>582</v>
      </c>
      <c r="C3677" s="31" t="s">
        <v>583</v>
      </c>
      <c r="D3677" s="30" t="s">
        <v>14</v>
      </c>
      <c r="E3677" s="30">
        <v>1.5</v>
      </c>
      <c r="F3677" s="11">
        <v>435000</v>
      </c>
      <c r="G3677" s="9">
        <f t="shared" si="228"/>
        <v>652500</v>
      </c>
      <c r="H3677" s="29"/>
      <c r="I3677" s="24" t="s">
        <v>418</v>
      </c>
      <c r="J3677" s="25"/>
      <c r="K3677" s="25"/>
      <c r="L3677" s="25"/>
      <c r="M3677" s="25"/>
      <c r="N3677" s="25"/>
      <c r="O3677" s="25"/>
      <c r="P3677" s="25"/>
      <c r="Q3677" s="25"/>
      <c r="R3677" s="25"/>
      <c r="S3677" s="25"/>
      <c r="T3677" s="25"/>
      <c r="U3677" s="25"/>
      <c r="V3677" s="25"/>
      <c r="W3677" s="25"/>
      <c r="X3677" s="25"/>
      <c r="Y3677" s="25"/>
      <c r="Z3677" s="25"/>
    </row>
    <row r="3678" spans="1:26" ht="15.75" customHeight="1" x14ac:dyDescent="0.75">
      <c r="A3678" s="5">
        <v>3</v>
      </c>
      <c r="B3678" s="12" t="s">
        <v>15</v>
      </c>
      <c r="C3678" s="29"/>
      <c r="D3678" s="29"/>
      <c r="E3678" s="29"/>
      <c r="F3678" s="29"/>
      <c r="G3678" s="13">
        <f t="shared" si="228"/>
        <v>0</v>
      </c>
      <c r="H3678" s="29"/>
      <c r="I3678" s="24" t="s">
        <v>418</v>
      </c>
      <c r="J3678" s="25"/>
      <c r="K3678" s="25"/>
      <c r="L3678" s="25"/>
      <c r="M3678" s="25"/>
      <c r="N3678" s="25"/>
      <c r="O3678" s="25"/>
      <c r="P3678" s="25"/>
      <c r="Q3678" s="25"/>
      <c r="R3678" s="25"/>
      <c r="S3678" s="25"/>
      <c r="T3678" s="25"/>
      <c r="U3678" s="25"/>
      <c r="V3678" s="25"/>
      <c r="W3678" s="25"/>
      <c r="X3678" s="25"/>
      <c r="Y3678" s="25"/>
      <c r="Z3678" s="25"/>
    </row>
    <row r="3679" spans="1:26" ht="15.75" customHeight="1" x14ac:dyDescent="0.75">
      <c r="A3679" s="39" t="s">
        <v>16</v>
      </c>
      <c r="B3679" s="40"/>
      <c r="C3679" s="40"/>
      <c r="D3679" s="40"/>
      <c r="E3679" s="40"/>
      <c r="F3679" s="40"/>
      <c r="G3679" s="41"/>
      <c r="H3679" s="14">
        <f>SUM(G3676:G3678)</f>
        <v>1238500</v>
      </c>
      <c r="I3679" s="24" t="s">
        <v>418</v>
      </c>
      <c r="J3679" s="25"/>
      <c r="K3679" s="25"/>
      <c r="L3679" s="25"/>
      <c r="M3679" s="25"/>
      <c r="N3679" s="25"/>
      <c r="O3679" s="25"/>
      <c r="P3679" s="25"/>
      <c r="Q3679" s="25"/>
      <c r="R3679" s="25"/>
      <c r="S3679" s="25"/>
      <c r="T3679" s="25"/>
      <c r="U3679" s="25"/>
      <c r="V3679" s="25"/>
      <c r="W3679" s="25"/>
      <c r="X3679" s="25"/>
      <c r="Y3679" s="25"/>
      <c r="Z3679" s="25"/>
    </row>
    <row r="3680" spans="1:26" ht="15.75" customHeight="1" x14ac:dyDescent="0.75">
      <c r="A3680" s="39" t="s">
        <v>17</v>
      </c>
      <c r="B3680" s="40"/>
      <c r="C3680" s="40"/>
      <c r="D3680" s="40"/>
      <c r="E3680" s="40"/>
      <c r="F3680" s="40"/>
      <c r="G3680" s="41"/>
      <c r="H3680" s="14">
        <f>MAX(0,H3679-648000)</f>
        <v>590500</v>
      </c>
      <c r="I3680" s="24" t="s">
        <v>418</v>
      </c>
      <c r="J3680" s="25"/>
      <c r="K3680" s="25"/>
      <c r="L3680" s="25"/>
      <c r="M3680" s="25"/>
      <c r="N3680" s="25"/>
      <c r="O3680" s="25"/>
      <c r="P3680" s="25"/>
      <c r="Q3680" s="25"/>
      <c r="R3680" s="25"/>
      <c r="S3680" s="25"/>
      <c r="T3680" s="25"/>
      <c r="U3680" s="25"/>
      <c r="V3680" s="25"/>
      <c r="W3680" s="25"/>
      <c r="X3680" s="25"/>
      <c r="Y3680" s="25"/>
      <c r="Z3680" s="25"/>
    </row>
    <row r="3681" spans="1:26" ht="15.75" customHeight="1" x14ac:dyDescent="0.75">
      <c r="A3681" s="42" t="s">
        <v>18</v>
      </c>
      <c r="B3681" s="40"/>
      <c r="C3681" s="40"/>
      <c r="D3681" s="40"/>
      <c r="E3681" s="40"/>
      <c r="F3681" s="40"/>
      <c r="G3681" s="41"/>
      <c r="H3681" s="15">
        <v>649000</v>
      </c>
      <c r="I3681" s="24" t="s">
        <v>418</v>
      </c>
      <c r="J3681" s="25"/>
      <c r="K3681" s="25"/>
      <c r="L3681" s="25"/>
      <c r="M3681" s="25"/>
      <c r="N3681" s="25"/>
      <c r="O3681" s="25"/>
      <c r="P3681" s="25"/>
      <c r="Q3681" s="25"/>
      <c r="R3681" s="25"/>
      <c r="S3681" s="25"/>
      <c r="T3681" s="25"/>
      <c r="U3681" s="25"/>
      <c r="V3681" s="25"/>
      <c r="W3681" s="25"/>
      <c r="X3681" s="25"/>
      <c r="Y3681" s="25"/>
      <c r="Z3681" s="25"/>
    </row>
    <row r="3682" spans="1:26" ht="15.75" customHeight="1" x14ac:dyDescent="0.75">
      <c r="A3682" s="43" t="s">
        <v>19</v>
      </c>
      <c r="B3682" s="40"/>
      <c r="C3682" s="40"/>
      <c r="D3682" s="40"/>
      <c r="E3682" s="40"/>
      <c r="F3682" s="40"/>
      <c r="G3682" s="40"/>
      <c r="H3682" s="41"/>
      <c r="I3682" s="24" t="s">
        <v>418</v>
      </c>
      <c r="J3682" s="25"/>
      <c r="K3682" s="25"/>
      <c r="L3682" s="25"/>
      <c r="M3682" s="25"/>
      <c r="N3682" s="25"/>
      <c r="O3682" s="25"/>
      <c r="P3682" s="25"/>
      <c r="Q3682" s="25"/>
      <c r="R3682" s="25"/>
      <c r="S3682" s="25"/>
      <c r="T3682" s="25"/>
      <c r="U3682" s="25"/>
      <c r="V3682" s="25"/>
      <c r="W3682" s="25"/>
      <c r="X3682" s="25"/>
      <c r="Y3682" s="25"/>
      <c r="Z3682" s="25"/>
    </row>
    <row r="3683" spans="1:26" ht="15.75" customHeight="1" x14ac:dyDescent="0.45">
      <c r="A3683" s="25"/>
      <c r="B3683" s="25"/>
      <c r="C3683" s="25"/>
      <c r="D3683" s="25"/>
      <c r="E3683" s="25"/>
      <c r="F3683" s="25"/>
      <c r="G3683" s="25"/>
      <c r="H3683" s="25"/>
      <c r="I3683" s="24" t="s">
        <v>418</v>
      </c>
      <c r="J3683" s="25"/>
      <c r="K3683" s="25"/>
      <c r="L3683" s="25"/>
      <c r="M3683" s="25"/>
      <c r="N3683" s="25"/>
      <c r="O3683" s="25"/>
      <c r="P3683" s="25"/>
      <c r="Q3683" s="25"/>
      <c r="R3683" s="25"/>
      <c r="S3683" s="25"/>
      <c r="T3683" s="25"/>
      <c r="U3683" s="25"/>
      <c r="V3683" s="25"/>
      <c r="W3683" s="25"/>
      <c r="X3683" s="25"/>
      <c r="Y3683" s="25"/>
      <c r="Z3683" s="25"/>
    </row>
    <row r="3684" spans="1:26" ht="15.75" customHeight="1" x14ac:dyDescent="0.45">
      <c r="A3684" s="25"/>
      <c r="B3684" s="25"/>
      <c r="C3684" s="25"/>
      <c r="D3684" s="25"/>
      <c r="E3684" s="25"/>
      <c r="F3684" s="25"/>
      <c r="G3684" s="25"/>
      <c r="H3684" s="25"/>
      <c r="I3684" s="24" t="s">
        <v>418</v>
      </c>
      <c r="J3684" s="25"/>
      <c r="K3684" s="25"/>
      <c r="L3684" s="25"/>
      <c r="M3684" s="25"/>
      <c r="N3684" s="25"/>
      <c r="O3684" s="25"/>
      <c r="P3684" s="25"/>
      <c r="Q3684" s="25"/>
      <c r="R3684" s="25"/>
      <c r="S3684" s="25"/>
      <c r="T3684" s="25"/>
      <c r="U3684" s="25"/>
      <c r="V3684" s="25"/>
      <c r="W3684" s="25"/>
      <c r="X3684" s="25"/>
      <c r="Y3684" s="25"/>
      <c r="Z3684" s="25"/>
    </row>
    <row r="3685" spans="1:26" ht="15.75" customHeight="1" x14ac:dyDescent="0.45">
      <c r="A3685" s="25"/>
      <c r="B3685" s="25"/>
      <c r="C3685" s="25"/>
      <c r="D3685" s="25"/>
      <c r="E3685" s="25"/>
      <c r="F3685" s="25"/>
      <c r="G3685" s="25"/>
      <c r="H3685" s="25"/>
      <c r="I3685" s="24" t="s">
        <v>418</v>
      </c>
      <c r="J3685" s="25"/>
      <c r="K3685" s="25"/>
      <c r="L3685" s="25"/>
      <c r="M3685" s="25"/>
      <c r="N3685" s="25"/>
      <c r="O3685" s="25"/>
      <c r="P3685" s="25"/>
      <c r="Q3685" s="25"/>
      <c r="R3685" s="25"/>
      <c r="S3685" s="25"/>
      <c r="T3685" s="25"/>
      <c r="U3685" s="25"/>
      <c r="V3685" s="25"/>
      <c r="W3685" s="25"/>
      <c r="X3685" s="25"/>
      <c r="Y3685" s="25"/>
      <c r="Z3685" s="25"/>
    </row>
    <row r="3686" spans="1:26" ht="15.75" customHeight="1" x14ac:dyDescent="0.45">
      <c r="A3686" s="25"/>
      <c r="B3686" s="25"/>
      <c r="C3686" s="25"/>
      <c r="D3686" s="25"/>
      <c r="E3686" s="25"/>
      <c r="F3686" s="25"/>
      <c r="G3686" s="25"/>
      <c r="H3686" s="25"/>
      <c r="I3686" s="24" t="s">
        <v>418</v>
      </c>
      <c r="J3686" s="25"/>
      <c r="K3686" s="25"/>
      <c r="L3686" s="25"/>
      <c r="M3686" s="25"/>
      <c r="N3686" s="25"/>
      <c r="O3686" s="25"/>
      <c r="P3686" s="25"/>
      <c r="Q3686" s="25"/>
      <c r="R3686" s="25"/>
      <c r="S3686" s="25"/>
      <c r="T3686" s="25"/>
      <c r="U3686" s="25"/>
      <c r="V3686" s="25"/>
      <c r="W3686" s="25"/>
      <c r="X3686" s="25"/>
      <c r="Y3686" s="25"/>
      <c r="Z3686" s="25"/>
    </row>
    <row r="3687" spans="1:26" ht="15.75" customHeight="1" x14ac:dyDescent="0.45">
      <c r="A3687" s="25"/>
      <c r="B3687" s="25"/>
      <c r="C3687" s="25"/>
      <c r="D3687" s="25"/>
      <c r="E3687" s="25"/>
      <c r="F3687" s="25"/>
      <c r="G3687" s="25"/>
      <c r="H3687" s="25"/>
      <c r="I3687" s="24" t="s">
        <v>418</v>
      </c>
      <c r="J3687" s="25"/>
      <c r="K3687" s="25"/>
      <c r="L3687" s="25"/>
      <c r="M3687" s="25"/>
      <c r="N3687" s="25"/>
      <c r="O3687" s="25"/>
      <c r="P3687" s="25"/>
      <c r="Q3687" s="25"/>
      <c r="R3687" s="25"/>
      <c r="S3687" s="25"/>
      <c r="T3687" s="25"/>
      <c r="U3687" s="25"/>
      <c r="V3687" s="25"/>
      <c r="W3687" s="25"/>
      <c r="X3687" s="25"/>
      <c r="Y3687" s="25"/>
      <c r="Z3687" s="25"/>
    </row>
    <row r="3688" spans="1:26" ht="15.75" customHeight="1" x14ac:dyDescent="0.75">
      <c r="A3688" s="43" t="s">
        <v>0</v>
      </c>
      <c r="B3688" s="40"/>
      <c r="C3688" s="40"/>
      <c r="D3688" s="40"/>
      <c r="E3688" s="40"/>
      <c r="F3688" s="40"/>
      <c r="G3688" s="40"/>
      <c r="H3688" s="41"/>
      <c r="I3688" s="24" t="s">
        <v>418</v>
      </c>
      <c r="J3688" s="25"/>
      <c r="K3688" s="25"/>
      <c r="L3688" s="25"/>
      <c r="M3688" s="25"/>
      <c r="N3688" s="25"/>
      <c r="O3688" s="25"/>
      <c r="P3688" s="25"/>
      <c r="Q3688" s="25"/>
      <c r="R3688" s="25"/>
      <c r="S3688" s="25"/>
      <c r="T3688" s="25"/>
      <c r="U3688" s="25"/>
      <c r="V3688" s="25"/>
      <c r="W3688" s="25"/>
      <c r="X3688" s="25"/>
      <c r="Y3688" s="25"/>
      <c r="Z3688" s="25"/>
    </row>
    <row r="3689" spans="1:26" ht="15.75" customHeight="1" x14ac:dyDescent="0.75">
      <c r="A3689" s="43" t="s">
        <v>584</v>
      </c>
      <c r="B3689" s="40"/>
      <c r="C3689" s="40"/>
      <c r="D3689" s="40"/>
      <c r="E3689" s="40"/>
      <c r="F3689" s="40"/>
      <c r="G3689" s="40"/>
      <c r="H3689" s="41"/>
      <c r="I3689" s="24" t="s">
        <v>418</v>
      </c>
      <c r="J3689" s="25"/>
      <c r="K3689" s="25"/>
      <c r="L3689" s="25"/>
      <c r="M3689" s="25"/>
      <c r="N3689" s="25"/>
      <c r="O3689" s="25"/>
      <c r="P3689" s="25"/>
      <c r="Q3689" s="25"/>
      <c r="R3689" s="25"/>
      <c r="S3689" s="25"/>
      <c r="T3689" s="25"/>
      <c r="U3689" s="25"/>
      <c r="V3689" s="25"/>
      <c r="W3689" s="25"/>
      <c r="X3689" s="25"/>
      <c r="Y3689" s="25"/>
      <c r="Z3689" s="25"/>
    </row>
    <row r="3690" spans="1:26" ht="15.75" customHeight="1" x14ac:dyDescent="0.55000000000000004">
      <c r="A3690" s="2" t="s">
        <v>3</v>
      </c>
      <c r="B3690" s="2" t="s">
        <v>4</v>
      </c>
      <c r="C3690" s="2" t="s">
        <v>5</v>
      </c>
      <c r="D3690" s="2" t="s">
        <v>6</v>
      </c>
      <c r="E3690" s="2" t="s">
        <v>7</v>
      </c>
      <c r="F3690" s="3" t="s">
        <v>8</v>
      </c>
      <c r="G3690" s="2" t="s">
        <v>9</v>
      </c>
      <c r="H3690" s="26"/>
      <c r="I3690" s="24" t="s">
        <v>418</v>
      </c>
      <c r="J3690" s="25"/>
      <c r="K3690" s="25"/>
      <c r="L3690" s="25"/>
      <c r="M3690" s="25"/>
      <c r="N3690" s="25"/>
      <c r="O3690" s="25"/>
      <c r="P3690" s="25"/>
      <c r="Q3690" s="25"/>
      <c r="R3690" s="25"/>
      <c r="S3690" s="25"/>
      <c r="T3690" s="25"/>
      <c r="U3690" s="25"/>
      <c r="V3690" s="25"/>
      <c r="W3690" s="25"/>
      <c r="X3690" s="25"/>
      <c r="Y3690" s="25"/>
      <c r="Z3690" s="25"/>
    </row>
    <row r="3691" spans="1:26" ht="15.75" customHeight="1" x14ac:dyDescent="0.75">
      <c r="A3691" s="5">
        <v>1</v>
      </c>
      <c r="B3691" s="27" t="s">
        <v>190</v>
      </c>
      <c r="C3691" s="28" t="s">
        <v>585</v>
      </c>
      <c r="D3691" s="27" t="s">
        <v>12</v>
      </c>
      <c r="E3691" s="27">
        <v>2</v>
      </c>
      <c r="F3691" s="8">
        <v>293000</v>
      </c>
      <c r="G3691" s="9">
        <f t="shared" ref="G3691:G3693" si="229">IFERROR(E3691*F3691,0)</f>
        <v>586000</v>
      </c>
      <c r="H3691" s="29"/>
      <c r="I3691" s="24" t="s">
        <v>418</v>
      </c>
      <c r="J3691" s="25"/>
      <c r="K3691" s="25"/>
      <c r="L3691" s="25"/>
      <c r="M3691" s="25"/>
      <c r="N3691" s="25"/>
      <c r="O3691" s="25"/>
      <c r="P3691" s="25"/>
      <c r="Q3691" s="25"/>
      <c r="R3691" s="25"/>
      <c r="S3691" s="25"/>
      <c r="T3691" s="25"/>
      <c r="U3691" s="25"/>
      <c r="V3691" s="25"/>
      <c r="W3691" s="25"/>
      <c r="X3691" s="25"/>
      <c r="Y3691" s="25"/>
      <c r="Z3691" s="25"/>
    </row>
    <row r="3692" spans="1:26" ht="15.75" customHeight="1" x14ac:dyDescent="0.75">
      <c r="A3692" s="5">
        <v>2</v>
      </c>
      <c r="B3692" s="30" t="s">
        <v>80</v>
      </c>
      <c r="C3692" s="31" t="s">
        <v>586</v>
      </c>
      <c r="D3692" s="30" t="s">
        <v>14</v>
      </c>
      <c r="E3692" s="30">
        <v>1.35</v>
      </c>
      <c r="F3692" s="11">
        <v>435000</v>
      </c>
      <c r="G3692" s="9">
        <f t="shared" si="229"/>
        <v>587250</v>
      </c>
      <c r="H3692" s="29"/>
      <c r="I3692" s="24" t="s">
        <v>418</v>
      </c>
      <c r="J3692" s="25"/>
      <c r="K3692" s="25"/>
      <c r="L3692" s="25"/>
      <c r="M3692" s="25"/>
      <c r="N3692" s="25"/>
      <c r="O3692" s="25"/>
      <c r="P3692" s="25"/>
      <c r="Q3692" s="25"/>
      <c r="R3692" s="25"/>
      <c r="S3692" s="25"/>
      <c r="T3692" s="25"/>
      <c r="U3692" s="25"/>
      <c r="V3692" s="25"/>
      <c r="W3692" s="25"/>
      <c r="X3692" s="25"/>
      <c r="Y3692" s="25"/>
      <c r="Z3692" s="25"/>
    </row>
    <row r="3693" spans="1:26" ht="15.75" customHeight="1" x14ac:dyDescent="0.75">
      <c r="A3693" s="5">
        <v>3</v>
      </c>
      <c r="B3693" s="12" t="s">
        <v>15</v>
      </c>
      <c r="C3693" s="29"/>
      <c r="D3693" s="29"/>
      <c r="E3693" s="29"/>
      <c r="F3693" s="29"/>
      <c r="G3693" s="13">
        <f t="shared" si="229"/>
        <v>0</v>
      </c>
      <c r="H3693" s="29"/>
      <c r="I3693" s="24" t="s">
        <v>418</v>
      </c>
      <c r="J3693" s="25"/>
      <c r="K3693" s="25"/>
      <c r="L3693" s="25"/>
      <c r="M3693" s="25"/>
      <c r="N3693" s="25"/>
      <c r="O3693" s="25"/>
      <c r="P3693" s="25"/>
      <c r="Q3693" s="25"/>
      <c r="R3693" s="25"/>
      <c r="S3693" s="25"/>
      <c r="T3693" s="25"/>
      <c r="U3693" s="25"/>
      <c r="V3693" s="25"/>
      <c r="W3693" s="25"/>
      <c r="X3693" s="25"/>
      <c r="Y3693" s="25"/>
      <c r="Z3693" s="25"/>
    </row>
    <row r="3694" spans="1:26" ht="15.75" customHeight="1" x14ac:dyDescent="0.75">
      <c r="A3694" s="39" t="s">
        <v>16</v>
      </c>
      <c r="B3694" s="40"/>
      <c r="C3694" s="40"/>
      <c r="D3694" s="40"/>
      <c r="E3694" s="40"/>
      <c r="F3694" s="40"/>
      <c r="G3694" s="41"/>
      <c r="H3694" s="14">
        <f>SUM(G3691:G3693)</f>
        <v>1173250</v>
      </c>
      <c r="I3694" s="24" t="s">
        <v>418</v>
      </c>
      <c r="J3694" s="25"/>
      <c r="K3694" s="25"/>
      <c r="L3694" s="25"/>
      <c r="M3694" s="25"/>
      <c r="N3694" s="25"/>
      <c r="O3694" s="25"/>
      <c r="P3694" s="25"/>
      <c r="Q3694" s="25"/>
      <c r="R3694" s="25"/>
      <c r="S3694" s="25"/>
      <c r="T3694" s="25"/>
      <c r="U3694" s="25"/>
      <c r="V3694" s="25"/>
      <c r="W3694" s="25"/>
      <c r="X3694" s="25"/>
      <c r="Y3694" s="25"/>
      <c r="Z3694" s="25"/>
    </row>
    <row r="3695" spans="1:26" ht="15.75" customHeight="1" x14ac:dyDescent="0.75">
      <c r="A3695" s="39" t="s">
        <v>17</v>
      </c>
      <c r="B3695" s="40"/>
      <c r="C3695" s="40"/>
      <c r="D3695" s="40"/>
      <c r="E3695" s="40"/>
      <c r="F3695" s="40"/>
      <c r="G3695" s="41"/>
      <c r="H3695" s="14">
        <f>MAX(0,H3694-648000)</f>
        <v>525250</v>
      </c>
      <c r="I3695" s="24" t="s">
        <v>418</v>
      </c>
      <c r="J3695" s="25"/>
      <c r="K3695" s="25"/>
      <c r="L3695" s="25"/>
      <c r="M3695" s="25"/>
      <c r="N3695" s="25"/>
      <c r="O3695" s="25"/>
      <c r="P3695" s="25"/>
      <c r="Q3695" s="25"/>
      <c r="R3695" s="25"/>
      <c r="S3695" s="25"/>
      <c r="T3695" s="25"/>
      <c r="U3695" s="25"/>
      <c r="V3695" s="25"/>
      <c r="W3695" s="25"/>
      <c r="X3695" s="25"/>
      <c r="Y3695" s="25"/>
      <c r="Z3695" s="25"/>
    </row>
    <row r="3696" spans="1:26" ht="15.75" customHeight="1" x14ac:dyDescent="0.75">
      <c r="A3696" s="42" t="s">
        <v>18</v>
      </c>
      <c r="B3696" s="40"/>
      <c r="C3696" s="40"/>
      <c r="D3696" s="40"/>
      <c r="E3696" s="40"/>
      <c r="F3696" s="40"/>
      <c r="G3696" s="41"/>
      <c r="H3696" s="15">
        <v>649000</v>
      </c>
      <c r="I3696" s="24" t="s">
        <v>418</v>
      </c>
      <c r="J3696" s="25"/>
      <c r="K3696" s="25"/>
      <c r="L3696" s="25"/>
      <c r="M3696" s="25"/>
      <c r="N3696" s="25"/>
      <c r="O3696" s="25"/>
      <c r="P3696" s="25"/>
      <c r="Q3696" s="25"/>
      <c r="R3696" s="25"/>
      <c r="S3696" s="25"/>
      <c r="T3696" s="25"/>
      <c r="U3696" s="25"/>
      <c r="V3696" s="25"/>
      <c r="W3696" s="25"/>
      <c r="X3696" s="25"/>
      <c r="Y3696" s="25"/>
      <c r="Z3696" s="25"/>
    </row>
    <row r="3697" spans="1:26" ht="15.75" customHeight="1" x14ac:dyDescent="0.75">
      <c r="A3697" s="43" t="s">
        <v>19</v>
      </c>
      <c r="B3697" s="40"/>
      <c r="C3697" s="40"/>
      <c r="D3697" s="40"/>
      <c r="E3697" s="40"/>
      <c r="F3697" s="40"/>
      <c r="G3697" s="40"/>
      <c r="H3697" s="41"/>
      <c r="I3697" s="24" t="s">
        <v>418</v>
      </c>
      <c r="J3697" s="25"/>
      <c r="K3697" s="25"/>
      <c r="L3697" s="25"/>
      <c r="M3697" s="25"/>
      <c r="N3697" s="25"/>
      <c r="O3697" s="25"/>
      <c r="P3697" s="25"/>
      <c r="Q3697" s="25"/>
      <c r="R3697" s="25"/>
      <c r="S3697" s="25"/>
      <c r="T3697" s="25"/>
      <c r="U3697" s="25"/>
      <c r="V3697" s="25"/>
      <c r="W3697" s="25"/>
      <c r="X3697" s="25"/>
      <c r="Y3697" s="25"/>
      <c r="Z3697" s="25"/>
    </row>
    <row r="3698" spans="1:26" ht="15.75" customHeight="1" x14ac:dyDescent="0.45">
      <c r="A3698" s="25"/>
      <c r="B3698" s="25"/>
      <c r="C3698" s="25"/>
      <c r="D3698" s="25"/>
      <c r="E3698" s="25"/>
      <c r="F3698" s="25"/>
      <c r="G3698" s="25"/>
      <c r="H3698" s="25"/>
      <c r="I3698" s="24" t="s">
        <v>418</v>
      </c>
      <c r="J3698" s="25"/>
      <c r="K3698" s="25"/>
      <c r="L3698" s="25"/>
      <c r="M3698" s="25"/>
      <c r="N3698" s="25"/>
      <c r="O3698" s="25"/>
      <c r="P3698" s="25"/>
      <c r="Q3698" s="25"/>
      <c r="R3698" s="25"/>
      <c r="S3698" s="25"/>
      <c r="T3698" s="25"/>
      <c r="U3698" s="25"/>
      <c r="V3698" s="25"/>
      <c r="W3698" s="25"/>
      <c r="X3698" s="25"/>
      <c r="Y3698" s="25"/>
      <c r="Z3698" s="25"/>
    </row>
    <row r="3699" spans="1:26" ht="15.75" customHeight="1" x14ac:dyDescent="0.45">
      <c r="A3699" s="25"/>
      <c r="B3699" s="25"/>
      <c r="C3699" s="25"/>
      <c r="D3699" s="25"/>
      <c r="E3699" s="25"/>
      <c r="F3699" s="25"/>
      <c r="G3699" s="25"/>
      <c r="H3699" s="25"/>
      <c r="I3699" s="24" t="s">
        <v>418</v>
      </c>
      <c r="J3699" s="25"/>
      <c r="K3699" s="25"/>
      <c r="L3699" s="25"/>
      <c r="M3699" s="25"/>
      <c r="N3699" s="25"/>
      <c r="O3699" s="25"/>
      <c r="P3699" s="25"/>
      <c r="Q3699" s="25"/>
      <c r="R3699" s="25"/>
      <c r="S3699" s="25"/>
      <c r="T3699" s="25"/>
      <c r="U3699" s="25"/>
      <c r="V3699" s="25"/>
      <c r="W3699" s="25"/>
      <c r="X3699" s="25"/>
      <c r="Y3699" s="25"/>
      <c r="Z3699" s="25"/>
    </row>
    <row r="3700" spans="1:26" ht="15.75" customHeight="1" x14ac:dyDescent="0.45">
      <c r="A3700" s="25"/>
      <c r="B3700" s="25"/>
      <c r="C3700" s="25"/>
      <c r="D3700" s="25"/>
      <c r="E3700" s="25"/>
      <c r="F3700" s="25"/>
      <c r="G3700" s="25"/>
      <c r="H3700" s="25"/>
      <c r="I3700" s="24" t="s">
        <v>418</v>
      </c>
      <c r="J3700" s="25"/>
      <c r="K3700" s="25"/>
      <c r="L3700" s="25"/>
      <c r="M3700" s="25"/>
      <c r="N3700" s="25"/>
      <c r="O3700" s="25"/>
      <c r="P3700" s="25"/>
      <c r="Q3700" s="25"/>
      <c r="R3700" s="25"/>
      <c r="S3700" s="25"/>
      <c r="T3700" s="25"/>
      <c r="U3700" s="25"/>
      <c r="V3700" s="25"/>
      <c r="W3700" s="25"/>
      <c r="X3700" s="25"/>
      <c r="Y3700" s="25"/>
      <c r="Z3700" s="25"/>
    </row>
    <row r="3701" spans="1:26" ht="15.75" customHeight="1" x14ac:dyDescent="0.45">
      <c r="A3701" s="25"/>
      <c r="B3701" s="25"/>
      <c r="C3701" s="25"/>
      <c r="D3701" s="25"/>
      <c r="E3701" s="25"/>
      <c r="F3701" s="25"/>
      <c r="G3701" s="25"/>
      <c r="H3701" s="25"/>
      <c r="I3701" s="24" t="s">
        <v>418</v>
      </c>
      <c r="J3701" s="25"/>
      <c r="K3701" s="25"/>
      <c r="L3701" s="25"/>
      <c r="M3701" s="25"/>
      <c r="N3701" s="25"/>
      <c r="O3701" s="25"/>
      <c r="P3701" s="25"/>
      <c r="Q3701" s="25"/>
      <c r="R3701" s="25"/>
      <c r="S3701" s="25"/>
      <c r="T3701" s="25"/>
      <c r="U3701" s="25"/>
      <c r="V3701" s="25"/>
      <c r="W3701" s="25"/>
      <c r="X3701" s="25"/>
      <c r="Y3701" s="25"/>
      <c r="Z3701" s="25"/>
    </row>
    <row r="3702" spans="1:26" ht="15.75" customHeight="1" x14ac:dyDescent="0.45">
      <c r="A3702" s="25"/>
      <c r="B3702" s="25"/>
      <c r="C3702" s="25"/>
      <c r="D3702" s="25"/>
      <c r="E3702" s="25"/>
      <c r="F3702" s="25"/>
      <c r="G3702" s="25"/>
      <c r="H3702" s="25"/>
      <c r="I3702" s="24" t="s">
        <v>418</v>
      </c>
      <c r="J3702" s="25"/>
      <c r="K3702" s="25"/>
      <c r="L3702" s="25"/>
      <c r="M3702" s="25"/>
      <c r="N3702" s="25"/>
      <c r="O3702" s="25"/>
      <c r="P3702" s="25"/>
      <c r="Q3702" s="25"/>
      <c r="R3702" s="25"/>
      <c r="S3702" s="25"/>
      <c r="T3702" s="25"/>
      <c r="U3702" s="25"/>
      <c r="V3702" s="25"/>
      <c r="W3702" s="25"/>
      <c r="X3702" s="25"/>
      <c r="Y3702" s="25"/>
      <c r="Z3702" s="25"/>
    </row>
    <row r="3703" spans="1:26" ht="15.75" customHeight="1" x14ac:dyDescent="0.75">
      <c r="A3703" s="43" t="s">
        <v>0</v>
      </c>
      <c r="B3703" s="40"/>
      <c r="C3703" s="40"/>
      <c r="D3703" s="40"/>
      <c r="E3703" s="40"/>
      <c r="F3703" s="40"/>
      <c r="G3703" s="40"/>
      <c r="H3703" s="41"/>
      <c r="I3703" s="24" t="s">
        <v>418</v>
      </c>
      <c r="J3703" s="25"/>
      <c r="K3703" s="25"/>
      <c r="L3703" s="25"/>
      <c r="M3703" s="25"/>
      <c r="N3703" s="25"/>
      <c r="O3703" s="25"/>
      <c r="P3703" s="25"/>
      <c r="Q3703" s="25"/>
      <c r="R3703" s="25"/>
      <c r="S3703" s="25"/>
      <c r="T3703" s="25"/>
      <c r="U3703" s="25"/>
      <c r="V3703" s="25"/>
      <c r="W3703" s="25"/>
      <c r="X3703" s="25"/>
      <c r="Y3703" s="25"/>
      <c r="Z3703" s="25"/>
    </row>
    <row r="3704" spans="1:26" ht="15.75" customHeight="1" x14ac:dyDescent="0.75">
      <c r="A3704" s="43" t="s">
        <v>587</v>
      </c>
      <c r="B3704" s="40"/>
      <c r="C3704" s="40"/>
      <c r="D3704" s="40"/>
      <c r="E3704" s="40"/>
      <c r="F3704" s="40"/>
      <c r="G3704" s="40"/>
      <c r="H3704" s="41"/>
      <c r="I3704" s="24" t="s">
        <v>418</v>
      </c>
      <c r="J3704" s="25"/>
      <c r="K3704" s="25"/>
      <c r="L3704" s="25"/>
      <c r="M3704" s="25"/>
      <c r="N3704" s="25"/>
      <c r="O3704" s="25"/>
      <c r="P3704" s="25"/>
      <c r="Q3704" s="25"/>
      <c r="R3704" s="25"/>
      <c r="S3704" s="25"/>
      <c r="T3704" s="25"/>
      <c r="U3704" s="25"/>
      <c r="V3704" s="25"/>
      <c r="W3704" s="25"/>
      <c r="X3704" s="25"/>
      <c r="Y3704" s="25"/>
      <c r="Z3704" s="25"/>
    </row>
    <row r="3705" spans="1:26" ht="15.75" customHeight="1" x14ac:dyDescent="0.55000000000000004">
      <c r="A3705" s="2" t="s">
        <v>3</v>
      </c>
      <c r="B3705" s="2" t="s">
        <v>4</v>
      </c>
      <c r="C3705" s="2" t="s">
        <v>5</v>
      </c>
      <c r="D3705" s="2" t="s">
        <v>6</v>
      </c>
      <c r="E3705" s="2" t="s">
        <v>7</v>
      </c>
      <c r="F3705" s="3" t="s">
        <v>8</v>
      </c>
      <c r="G3705" s="2" t="s">
        <v>9</v>
      </c>
      <c r="H3705" s="26"/>
      <c r="I3705" s="24" t="s">
        <v>418</v>
      </c>
      <c r="J3705" s="25"/>
      <c r="K3705" s="25"/>
      <c r="L3705" s="25"/>
      <c r="M3705" s="25"/>
      <c r="N3705" s="25"/>
      <c r="O3705" s="25"/>
      <c r="P3705" s="25"/>
      <c r="Q3705" s="25"/>
      <c r="R3705" s="25"/>
      <c r="S3705" s="25"/>
      <c r="T3705" s="25"/>
      <c r="U3705" s="25"/>
      <c r="V3705" s="25"/>
      <c r="W3705" s="25"/>
      <c r="X3705" s="25"/>
      <c r="Y3705" s="25"/>
      <c r="Z3705" s="25"/>
    </row>
    <row r="3706" spans="1:26" ht="15.75" customHeight="1" x14ac:dyDescent="0.75">
      <c r="A3706" s="5">
        <v>1</v>
      </c>
      <c r="B3706" s="27" t="s">
        <v>588</v>
      </c>
      <c r="C3706" s="28" t="s">
        <v>420</v>
      </c>
      <c r="D3706" s="27" t="s">
        <v>12</v>
      </c>
      <c r="E3706" s="27">
        <v>1.35</v>
      </c>
      <c r="F3706" s="8">
        <v>293000</v>
      </c>
      <c r="G3706" s="9">
        <f t="shared" ref="G3706:G3708" si="230">IFERROR(E3706*F3706,0)</f>
        <v>395550</v>
      </c>
      <c r="H3706" s="29"/>
      <c r="I3706" s="24" t="s">
        <v>418</v>
      </c>
      <c r="J3706" s="25"/>
      <c r="K3706" s="25"/>
      <c r="L3706" s="25"/>
      <c r="M3706" s="25"/>
      <c r="N3706" s="25"/>
      <c r="O3706" s="25"/>
      <c r="P3706" s="25"/>
      <c r="Q3706" s="25"/>
      <c r="R3706" s="25"/>
      <c r="S3706" s="25"/>
      <c r="T3706" s="25"/>
      <c r="U3706" s="25"/>
      <c r="V3706" s="25"/>
      <c r="W3706" s="25"/>
      <c r="X3706" s="25"/>
      <c r="Y3706" s="25"/>
      <c r="Z3706" s="25"/>
    </row>
    <row r="3707" spans="1:26" ht="15.75" customHeight="1" x14ac:dyDescent="0.75">
      <c r="A3707" s="5">
        <v>2</v>
      </c>
      <c r="B3707" s="30" t="s">
        <v>57</v>
      </c>
      <c r="C3707" s="31" t="s">
        <v>589</v>
      </c>
      <c r="D3707" s="30" t="s">
        <v>14</v>
      </c>
      <c r="E3707" s="30">
        <v>2.2999999999999998</v>
      </c>
      <c r="F3707" s="11">
        <v>435000</v>
      </c>
      <c r="G3707" s="9">
        <f t="shared" si="230"/>
        <v>1000499.9999999999</v>
      </c>
      <c r="H3707" s="29"/>
      <c r="I3707" s="24" t="s">
        <v>418</v>
      </c>
      <c r="J3707" s="25"/>
      <c r="K3707" s="25"/>
      <c r="L3707" s="25"/>
      <c r="M3707" s="25"/>
      <c r="N3707" s="25"/>
      <c r="O3707" s="25"/>
      <c r="P3707" s="25"/>
      <c r="Q3707" s="25"/>
      <c r="R3707" s="25"/>
      <c r="S3707" s="25"/>
      <c r="T3707" s="25"/>
      <c r="U3707" s="25"/>
      <c r="V3707" s="25"/>
      <c r="W3707" s="25"/>
      <c r="X3707" s="25"/>
      <c r="Y3707" s="25"/>
      <c r="Z3707" s="25"/>
    </row>
    <row r="3708" spans="1:26" ht="15.75" customHeight="1" x14ac:dyDescent="0.75">
      <c r="A3708" s="5">
        <v>3</v>
      </c>
      <c r="B3708" s="12" t="s">
        <v>15</v>
      </c>
      <c r="C3708" s="29"/>
      <c r="D3708" s="29"/>
      <c r="E3708" s="29"/>
      <c r="F3708" s="29"/>
      <c r="G3708" s="13">
        <f t="shared" si="230"/>
        <v>0</v>
      </c>
      <c r="H3708" s="29"/>
      <c r="I3708" s="24" t="s">
        <v>418</v>
      </c>
      <c r="J3708" s="25"/>
      <c r="K3708" s="25"/>
      <c r="L3708" s="25"/>
      <c r="M3708" s="25"/>
      <c r="N3708" s="25"/>
      <c r="O3708" s="25"/>
      <c r="P3708" s="25"/>
      <c r="Q3708" s="25"/>
      <c r="R3708" s="25"/>
      <c r="S3708" s="25"/>
      <c r="T3708" s="25"/>
      <c r="U3708" s="25"/>
      <c r="V3708" s="25"/>
      <c r="W3708" s="25"/>
      <c r="X3708" s="25"/>
      <c r="Y3708" s="25"/>
      <c r="Z3708" s="25"/>
    </row>
    <row r="3709" spans="1:26" ht="15.75" customHeight="1" x14ac:dyDescent="0.75">
      <c r="A3709" s="39" t="s">
        <v>16</v>
      </c>
      <c r="B3709" s="40"/>
      <c r="C3709" s="40"/>
      <c r="D3709" s="40"/>
      <c r="E3709" s="40"/>
      <c r="F3709" s="40"/>
      <c r="G3709" s="41"/>
      <c r="H3709" s="14">
        <f>SUM(G3706:G3708)</f>
        <v>1396050</v>
      </c>
      <c r="I3709" s="24" t="s">
        <v>418</v>
      </c>
      <c r="J3709" s="25"/>
      <c r="K3709" s="25"/>
      <c r="L3709" s="25"/>
      <c r="M3709" s="25"/>
      <c r="N3709" s="25"/>
      <c r="O3709" s="25"/>
      <c r="P3709" s="25"/>
      <c r="Q3709" s="25"/>
      <c r="R3709" s="25"/>
      <c r="S3709" s="25"/>
      <c r="T3709" s="25"/>
      <c r="U3709" s="25"/>
      <c r="V3709" s="25"/>
      <c r="W3709" s="25"/>
      <c r="X3709" s="25"/>
      <c r="Y3709" s="25"/>
      <c r="Z3709" s="25"/>
    </row>
    <row r="3710" spans="1:26" ht="15.75" customHeight="1" x14ac:dyDescent="0.75">
      <c r="A3710" s="39" t="s">
        <v>17</v>
      </c>
      <c r="B3710" s="40"/>
      <c r="C3710" s="40"/>
      <c r="D3710" s="40"/>
      <c r="E3710" s="40"/>
      <c r="F3710" s="40"/>
      <c r="G3710" s="41"/>
      <c r="H3710" s="14">
        <f>MAX(0,H3709-648000)</f>
        <v>748050</v>
      </c>
      <c r="I3710" s="24" t="s">
        <v>418</v>
      </c>
      <c r="J3710" s="25"/>
      <c r="K3710" s="25"/>
      <c r="L3710" s="25"/>
      <c r="M3710" s="25"/>
      <c r="N3710" s="25"/>
      <c r="O3710" s="25"/>
      <c r="P3710" s="25"/>
      <c r="Q3710" s="25"/>
      <c r="R3710" s="25"/>
      <c r="S3710" s="25"/>
      <c r="T3710" s="25"/>
      <c r="U3710" s="25"/>
      <c r="V3710" s="25"/>
      <c r="W3710" s="25"/>
      <c r="X3710" s="25"/>
      <c r="Y3710" s="25"/>
      <c r="Z3710" s="25"/>
    </row>
    <row r="3711" spans="1:26" ht="15.75" customHeight="1" x14ac:dyDescent="0.75">
      <c r="A3711" s="42" t="s">
        <v>18</v>
      </c>
      <c r="B3711" s="40"/>
      <c r="C3711" s="40"/>
      <c r="D3711" s="40"/>
      <c r="E3711" s="40"/>
      <c r="F3711" s="40"/>
      <c r="G3711" s="41"/>
      <c r="H3711" s="15">
        <v>649000</v>
      </c>
      <c r="I3711" s="24" t="s">
        <v>418</v>
      </c>
      <c r="J3711" s="25"/>
      <c r="K3711" s="25"/>
      <c r="L3711" s="25"/>
      <c r="M3711" s="25"/>
      <c r="N3711" s="25"/>
      <c r="O3711" s="25"/>
      <c r="P3711" s="25"/>
      <c r="Q3711" s="25"/>
      <c r="R3711" s="25"/>
      <c r="S3711" s="25"/>
      <c r="T3711" s="25"/>
      <c r="U3711" s="25"/>
      <c r="V3711" s="25"/>
      <c r="W3711" s="25"/>
      <c r="X3711" s="25"/>
      <c r="Y3711" s="25"/>
      <c r="Z3711" s="25"/>
    </row>
    <row r="3712" spans="1:26" ht="15.75" customHeight="1" x14ac:dyDescent="0.75">
      <c r="A3712" s="43" t="s">
        <v>19</v>
      </c>
      <c r="B3712" s="40"/>
      <c r="C3712" s="40"/>
      <c r="D3712" s="40"/>
      <c r="E3712" s="40"/>
      <c r="F3712" s="40"/>
      <c r="G3712" s="40"/>
      <c r="H3712" s="41"/>
      <c r="I3712" s="24" t="s">
        <v>418</v>
      </c>
      <c r="J3712" s="25"/>
      <c r="K3712" s="25"/>
      <c r="L3712" s="25"/>
      <c r="M3712" s="25"/>
      <c r="N3712" s="25"/>
      <c r="O3712" s="25"/>
      <c r="P3712" s="25"/>
      <c r="Q3712" s="25"/>
      <c r="R3712" s="25"/>
      <c r="S3712" s="25"/>
      <c r="T3712" s="25"/>
      <c r="U3712" s="25"/>
      <c r="V3712" s="25"/>
      <c r="W3712" s="25"/>
      <c r="X3712" s="25"/>
      <c r="Y3712" s="25"/>
      <c r="Z3712" s="25"/>
    </row>
    <row r="3713" spans="1:26" ht="15.75" customHeight="1" x14ac:dyDescent="0.45">
      <c r="A3713" s="25"/>
      <c r="B3713" s="25"/>
      <c r="C3713" s="25"/>
      <c r="D3713" s="25"/>
      <c r="E3713" s="25"/>
      <c r="F3713" s="25"/>
      <c r="G3713" s="25"/>
      <c r="H3713" s="25"/>
      <c r="I3713" s="24" t="s">
        <v>418</v>
      </c>
      <c r="J3713" s="25"/>
      <c r="K3713" s="25"/>
      <c r="L3713" s="25"/>
      <c r="M3713" s="25"/>
      <c r="N3713" s="25"/>
      <c r="O3713" s="25"/>
      <c r="P3713" s="25"/>
      <c r="Q3713" s="25"/>
      <c r="R3713" s="25"/>
      <c r="S3713" s="25"/>
      <c r="T3713" s="25"/>
      <c r="U3713" s="25"/>
      <c r="V3713" s="25"/>
      <c r="W3713" s="25"/>
      <c r="X3713" s="25"/>
      <c r="Y3713" s="25"/>
      <c r="Z3713" s="25"/>
    </row>
    <row r="3714" spans="1:26" ht="15.75" customHeight="1" x14ac:dyDescent="0.45">
      <c r="A3714" s="25"/>
      <c r="B3714" s="25"/>
      <c r="C3714" s="25"/>
      <c r="D3714" s="25"/>
      <c r="E3714" s="25"/>
      <c r="F3714" s="25"/>
      <c r="G3714" s="25"/>
      <c r="H3714" s="25"/>
      <c r="I3714" s="24" t="s">
        <v>418</v>
      </c>
      <c r="J3714" s="25"/>
      <c r="K3714" s="25"/>
      <c r="L3714" s="25"/>
      <c r="M3714" s="25"/>
      <c r="N3714" s="25"/>
      <c r="O3714" s="25"/>
      <c r="P3714" s="25"/>
      <c r="Q3714" s="25"/>
      <c r="R3714" s="25"/>
      <c r="S3714" s="25"/>
      <c r="T3714" s="25"/>
      <c r="U3714" s="25"/>
      <c r="V3714" s="25"/>
      <c r="W3714" s="25"/>
      <c r="X3714" s="25"/>
      <c r="Y3714" s="25"/>
      <c r="Z3714" s="25"/>
    </row>
    <row r="3715" spans="1:26" ht="15.75" customHeight="1" x14ac:dyDescent="0.45">
      <c r="A3715" s="25"/>
      <c r="B3715" s="25"/>
      <c r="C3715" s="25"/>
      <c r="D3715" s="25"/>
      <c r="E3715" s="25"/>
      <c r="F3715" s="25"/>
      <c r="G3715" s="25"/>
      <c r="H3715" s="25"/>
      <c r="I3715" s="24" t="s">
        <v>418</v>
      </c>
      <c r="J3715" s="25"/>
      <c r="K3715" s="25"/>
      <c r="L3715" s="25"/>
      <c r="M3715" s="25"/>
      <c r="N3715" s="25"/>
      <c r="O3715" s="25"/>
      <c r="P3715" s="25"/>
      <c r="Q3715" s="25"/>
      <c r="R3715" s="25"/>
      <c r="S3715" s="25"/>
      <c r="T3715" s="25"/>
      <c r="U3715" s="25"/>
      <c r="V3715" s="25"/>
      <c r="W3715" s="25"/>
      <c r="X3715" s="25"/>
      <c r="Y3715" s="25"/>
      <c r="Z3715" s="25"/>
    </row>
    <row r="3716" spans="1:26" ht="15.75" customHeight="1" x14ac:dyDescent="0.45">
      <c r="A3716" s="25"/>
      <c r="B3716" s="25"/>
      <c r="C3716" s="25"/>
      <c r="D3716" s="25"/>
      <c r="E3716" s="25"/>
      <c r="F3716" s="25"/>
      <c r="G3716" s="25"/>
      <c r="H3716" s="25"/>
      <c r="I3716" s="24" t="s">
        <v>418</v>
      </c>
      <c r="J3716" s="25"/>
      <c r="K3716" s="25"/>
      <c r="L3716" s="25"/>
      <c r="M3716" s="25"/>
      <c r="N3716" s="25"/>
      <c r="O3716" s="25"/>
      <c r="P3716" s="25"/>
      <c r="Q3716" s="25"/>
      <c r="R3716" s="25"/>
      <c r="S3716" s="25"/>
      <c r="T3716" s="25"/>
      <c r="U3716" s="25"/>
      <c r="V3716" s="25"/>
      <c r="W3716" s="25"/>
      <c r="X3716" s="25"/>
      <c r="Y3716" s="25"/>
      <c r="Z3716" s="25"/>
    </row>
    <row r="3717" spans="1:26" ht="15.75" customHeight="1" x14ac:dyDescent="0.75">
      <c r="A3717" s="43" t="s">
        <v>0</v>
      </c>
      <c r="B3717" s="40"/>
      <c r="C3717" s="40"/>
      <c r="D3717" s="40"/>
      <c r="E3717" s="40"/>
      <c r="F3717" s="40"/>
      <c r="G3717" s="40"/>
      <c r="H3717" s="41"/>
      <c r="I3717" s="24" t="s">
        <v>418</v>
      </c>
      <c r="J3717" s="25"/>
      <c r="K3717" s="25"/>
      <c r="L3717" s="25"/>
      <c r="M3717" s="25"/>
      <c r="N3717" s="25"/>
      <c r="O3717" s="25"/>
      <c r="P3717" s="25"/>
      <c r="Q3717" s="25"/>
      <c r="R3717" s="25"/>
      <c r="S3717" s="25"/>
      <c r="T3717" s="25"/>
      <c r="U3717" s="25"/>
      <c r="V3717" s="25"/>
      <c r="W3717" s="25"/>
      <c r="X3717" s="25"/>
      <c r="Y3717" s="25"/>
      <c r="Z3717" s="25"/>
    </row>
    <row r="3718" spans="1:26" ht="15.75" customHeight="1" x14ac:dyDescent="0.75">
      <c r="A3718" s="43" t="s">
        <v>590</v>
      </c>
      <c r="B3718" s="40"/>
      <c r="C3718" s="40"/>
      <c r="D3718" s="40"/>
      <c r="E3718" s="40"/>
      <c r="F3718" s="40"/>
      <c r="G3718" s="40"/>
      <c r="H3718" s="41"/>
      <c r="I3718" s="24" t="s">
        <v>418</v>
      </c>
      <c r="J3718" s="25"/>
      <c r="K3718" s="25"/>
      <c r="L3718" s="25"/>
      <c r="M3718" s="25"/>
      <c r="N3718" s="25"/>
      <c r="O3718" s="25"/>
      <c r="P3718" s="25"/>
      <c r="Q3718" s="25"/>
      <c r="R3718" s="25"/>
      <c r="S3718" s="25"/>
      <c r="T3718" s="25"/>
      <c r="U3718" s="25"/>
      <c r="V3718" s="25"/>
      <c r="W3718" s="25"/>
      <c r="X3718" s="25"/>
      <c r="Y3718" s="25"/>
      <c r="Z3718" s="25"/>
    </row>
    <row r="3719" spans="1:26" ht="15.75" customHeight="1" x14ac:dyDescent="0.55000000000000004">
      <c r="A3719" s="2" t="s">
        <v>3</v>
      </c>
      <c r="B3719" s="2" t="s">
        <v>4</v>
      </c>
      <c r="C3719" s="2" t="s">
        <v>5</v>
      </c>
      <c r="D3719" s="2" t="s">
        <v>6</v>
      </c>
      <c r="E3719" s="2" t="s">
        <v>7</v>
      </c>
      <c r="F3719" s="3" t="s">
        <v>8</v>
      </c>
      <c r="G3719" s="2" t="s">
        <v>9</v>
      </c>
      <c r="H3719" s="26"/>
      <c r="I3719" s="24" t="s">
        <v>418</v>
      </c>
      <c r="J3719" s="25"/>
      <c r="K3719" s="25"/>
      <c r="L3719" s="25"/>
      <c r="M3719" s="25"/>
      <c r="N3719" s="25"/>
      <c r="O3719" s="25"/>
      <c r="P3719" s="25"/>
      <c r="Q3719" s="25"/>
      <c r="R3719" s="25"/>
      <c r="S3719" s="25"/>
      <c r="T3719" s="25"/>
      <c r="U3719" s="25"/>
      <c r="V3719" s="25"/>
      <c r="W3719" s="25"/>
      <c r="X3719" s="25"/>
      <c r="Y3719" s="25"/>
      <c r="Z3719" s="25"/>
    </row>
    <row r="3720" spans="1:26" ht="15.75" customHeight="1" x14ac:dyDescent="0.75">
      <c r="A3720" s="5">
        <v>1</v>
      </c>
      <c r="B3720" s="32" t="s">
        <v>591</v>
      </c>
      <c r="C3720" s="28" t="s">
        <v>592</v>
      </c>
      <c r="D3720" s="27" t="s">
        <v>12</v>
      </c>
      <c r="E3720" s="27">
        <v>2</v>
      </c>
      <c r="F3720" s="8">
        <v>293000</v>
      </c>
      <c r="G3720" s="9">
        <f t="shared" ref="G3720:G3722" si="231">IFERROR(E3720*F3720,0)</f>
        <v>586000</v>
      </c>
      <c r="H3720" s="29"/>
      <c r="I3720" s="24" t="s">
        <v>418</v>
      </c>
      <c r="J3720" s="25"/>
      <c r="K3720" s="25"/>
      <c r="L3720" s="25"/>
      <c r="M3720" s="25"/>
      <c r="N3720" s="25"/>
      <c r="O3720" s="25"/>
      <c r="P3720" s="25"/>
      <c r="Q3720" s="25"/>
      <c r="R3720" s="25"/>
      <c r="S3720" s="25"/>
      <c r="T3720" s="25"/>
      <c r="U3720" s="25"/>
      <c r="V3720" s="25"/>
      <c r="W3720" s="25"/>
      <c r="X3720" s="25"/>
      <c r="Y3720" s="25"/>
      <c r="Z3720" s="25"/>
    </row>
    <row r="3721" spans="1:26" ht="15.75" customHeight="1" x14ac:dyDescent="0.75">
      <c r="A3721" s="5">
        <v>2</v>
      </c>
      <c r="B3721" s="30" t="s">
        <v>51</v>
      </c>
      <c r="C3721" s="31" t="s">
        <v>593</v>
      </c>
      <c r="D3721" s="30" t="s">
        <v>14</v>
      </c>
      <c r="E3721" s="30">
        <v>1.45</v>
      </c>
      <c r="F3721" s="11">
        <v>435000</v>
      </c>
      <c r="G3721" s="9">
        <f t="shared" si="231"/>
        <v>630750</v>
      </c>
      <c r="H3721" s="29"/>
      <c r="I3721" s="24" t="s">
        <v>418</v>
      </c>
      <c r="J3721" s="25"/>
      <c r="K3721" s="25"/>
      <c r="L3721" s="25"/>
      <c r="M3721" s="25"/>
      <c r="N3721" s="25"/>
      <c r="O3721" s="25"/>
      <c r="P3721" s="25"/>
      <c r="Q3721" s="25"/>
      <c r="R3721" s="25"/>
      <c r="S3721" s="25"/>
      <c r="T3721" s="25"/>
      <c r="U3721" s="25"/>
      <c r="V3721" s="25"/>
      <c r="W3721" s="25"/>
      <c r="X3721" s="25"/>
      <c r="Y3721" s="25"/>
      <c r="Z3721" s="25"/>
    </row>
    <row r="3722" spans="1:26" ht="15.75" customHeight="1" x14ac:dyDescent="0.75">
      <c r="A3722" s="5">
        <v>3</v>
      </c>
      <c r="B3722" s="12" t="s">
        <v>15</v>
      </c>
      <c r="C3722" s="29"/>
      <c r="D3722" s="29"/>
      <c r="E3722" s="29"/>
      <c r="F3722" s="29"/>
      <c r="G3722" s="13">
        <f t="shared" si="231"/>
        <v>0</v>
      </c>
      <c r="H3722" s="29"/>
      <c r="I3722" s="24" t="s">
        <v>418</v>
      </c>
      <c r="J3722" s="25"/>
      <c r="K3722" s="25"/>
      <c r="L3722" s="25"/>
      <c r="M3722" s="25"/>
      <c r="N3722" s="25"/>
      <c r="O3722" s="25"/>
      <c r="P3722" s="25"/>
      <c r="Q3722" s="25"/>
      <c r="R3722" s="25"/>
      <c r="S3722" s="25"/>
      <c r="T3722" s="25"/>
      <c r="U3722" s="25"/>
      <c r="V3722" s="25"/>
      <c r="W3722" s="25"/>
      <c r="X3722" s="25"/>
      <c r="Y3722" s="25"/>
      <c r="Z3722" s="25"/>
    </row>
    <row r="3723" spans="1:26" ht="15.75" customHeight="1" x14ac:dyDescent="0.75">
      <c r="A3723" s="39" t="s">
        <v>16</v>
      </c>
      <c r="B3723" s="40"/>
      <c r="C3723" s="40"/>
      <c r="D3723" s="40"/>
      <c r="E3723" s="40"/>
      <c r="F3723" s="40"/>
      <c r="G3723" s="41"/>
      <c r="H3723" s="14">
        <f>SUM(G3720:G3722)</f>
        <v>1216750</v>
      </c>
      <c r="I3723" s="24" t="s">
        <v>418</v>
      </c>
      <c r="J3723" s="25"/>
      <c r="K3723" s="25"/>
      <c r="L3723" s="25"/>
      <c r="M3723" s="25"/>
      <c r="N3723" s="25"/>
      <c r="O3723" s="25"/>
      <c r="P3723" s="25"/>
      <c r="Q3723" s="25"/>
      <c r="R3723" s="25"/>
      <c r="S3723" s="25"/>
      <c r="T3723" s="25"/>
      <c r="U3723" s="25"/>
      <c r="V3723" s="25"/>
      <c r="W3723" s="25"/>
      <c r="X3723" s="25"/>
      <c r="Y3723" s="25"/>
      <c r="Z3723" s="25"/>
    </row>
    <row r="3724" spans="1:26" ht="15.75" customHeight="1" x14ac:dyDescent="0.75">
      <c r="A3724" s="39" t="s">
        <v>17</v>
      </c>
      <c r="B3724" s="40"/>
      <c r="C3724" s="40"/>
      <c r="D3724" s="40"/>
      <c r="E3724" s="40"/>
      <c r="F3724" s="40"/>
      <c r="G3724" s="41"/>
      <c r="H3724" s="14">
        <f>MAX(0,H3723-648000)</f>
        <v>568750</v>
      </c>
      <c r="I3724" s="24" t="s">
        <v>418</v>
      </c>
      <c r="J3724" s="25"/>
      <c r="K3724" s="25"/>
      <c r="L3724" s="25"/>
      <c r="M3724" s="25"/>
      <c r="N3724" s="25"/>
      <c r="O3724" s="25"/>
      <c r="P3724" s="25"/>
      <c r="Q3724" s="25"/>
      <c r="R3724" s="25"/>
      <c r="S3724" s="25"/>
      <c r="T3724" s="25"/>
      <c r="U3724" s="25"/>
      <c r="V3724" s="25"/>
      <c r="W3724" s="25"/>
      <c r="X3724" s="25"/>
      <c r="Y3724" s="25"/>
      <c r="Z3724" s="25"/>
    </row>
    <row r="3725" spans="1:26" ht="15.75" customHeight="1" x14ac:dyDescent="0.75">
      <c r="A3725" s="42" t="s">
        <v>18</v>
      </c>
      <c r="B3725" s="40"/>
      <c r="C3725" s="40"/>
      <c r="D3725" s="40"/>
      <c r="E3725" s="40"/>
      <c r="F3725" s="40"/>
      <c r="G3725" s="41"/>
      <c r="H3725" s="15">
        <v>649000</v>
      </c>
      <c r="I3725" s="24" t="s">
        <v>418</v>
      </c>
      <c r="J3725" s="25"/>
      <c r="K3725" s="25"/>
      <c r="L3725" s="25"/>
      <c r="M3725" s="25"/>
      <c r="N3725" s="25"/>
      <c r="O3725" s="25"/>
      <c r="P3725" s="25"/>
      <c r="Q3725" s="25"/>
      <c r="R3725" s="25"/>
      <c r="S3725" s="25"/>
      <c r="T3725" s="25"/>
      <c r="U3725" s="25"/>
      <c r="V3725" s="25"/>
      <c r="W3725" s="25"/>
      <c r="X3725" s="25"/>
      <c r="Y3725" s="25"/>
      <c r="Z3725" s="25"/>
    </row>
    <row r="3726" spans="1:26" ht="15.75" customHeight="1" x14ac:dyDescent="0.75">
      <c r="A3726" s="43" t="s">
        <v>19</v>
      </c>
      <c r="B3726" s="40"/>
      <c r="C3726" s="40"/>
      <c r="D3726" s="40"/>
      <c r="E3726" s="40"/>
      <c r="F3726" s="40"/>
      <c r="G3726" s="40"/>
      <c r="H3726" s="41"/>
      <c r="I3726" s="24" t="s">
        <v>418</v>
      </c>
      <c r="J3726" s="25"/>
      <c r="K3726" s="25"/>
      <c r="L3726" s="25"/>
      <c r="M3726" s="25"/>
      <c r="N3726" s="25"/>
      <c r="O3726" s="25"/>
      <c r="P3726" s="25"/>
      <c r="Q3726" s="25"/>
      <c r="R3726" s="25"/>
      <c r="S3726" s="25"/>
      <c r="T3726" s="25"/>
      <c r="U3726" s="25"/>
      <c r="V3726" s="25"/>
      <c r="W3726" s="25"/>
      <c r="X3726" s="25"/>
      <c r="Y3726" s="25"/>
      <c r="Z3726" s="25"/>
    </row>
    <row r="3727" spans="1:26" ht="15.75" customHeight="1" x14ac:dyDescent="0.45">
      <c r="A3727" s="25"/>
      <c r="B3727" s="25"/>
      <c r="C3727" s="25"/>
      <c r="D3727" s="25"/>
      <c r="E3727" s="25"/>
      <c r="F3727" s="25"/>
      <c r="G3727" s="25"/>
      <c r="H3727" s="25"/>
      <c r="I3727" s="24" t="s">
        <v>418</v>
      </c>
      <c r="J3727" s="25"/>
      <c r="K3727" s="25"/>
      <c r="L3727" s="25"/>
      <c r="M3727" s="25"/>
      <c r="N3727" s="25"/>
      <c r="O3727" s="25"/>
      <c r="P3727" s="25"/>
      <c r="Q3727" s="25"/>
      <c r="R3727" s="25"/>
      <c r="S3727" s="25"/>
      <c r="T3727" s="25"/>
      <c r="U3727" s="25"/>
      <c r="V3727" s="25"/>
      <c r="W3727" s="25"/>
      <c r="X3727" s="25"/>
      <c r="Y3727" s="25"/>
      <c r="Z3727" s="25"/>
    </row>
    <row r="3728" spans="1:26" ht="15.75" customHeight="1" x14ac:dyDescent="0.45">
      <c r="A3728" s="25"/>
      <c r="B3728" s="25"/>
      <c r="C3728" s="25"/>
      <c r="D3728" s="25"/>
      <c r="E3728" s="25"/>
      <c r="F3728" s="25"/>
      <c r="G3728" s="25"/>
      <c r="H3728" s="25"/>
      <c r="I3728" s="24" t="s">
        <v>418</v>
      </c>
      <c r="J3728" s="25"/>
      <c r="K3728" s="25"/>
      <c r="L3728" s="25"/>
      <c r="M3728" s="25"/>
      <c r="N3728" s="25"/>
      <c r="O3728" s="25"/>
      <c r="P3728" s="25"/>
      <c r="Q3728" s="25"/>
      <c r="R3728" s="25"/>
      <c r="S3728" s="25"/>
      <c r="T3728" s="25"/>
      <c r="U3728" s="25"/>
      <c r="V3728" s="25"/>
      <c r="W3728" s="25"/>
      <c r="X3728" s="25"/>
      <c r="Y3728" s="25"/>
      <c r="Z3728" s="25"/>
    </row>
    <row r="3729" spans="1:26" ht="15.75" customHeight="1" x14ac:dyDescent="0.45">
      <c r="A3729" s="25"/>
      <c r="B3729" s="25"/>
      <c r="C3729" s="25"/>
      <c r="D3729" s="25"/>
      <c r="E3729" s="25"/>
      <c r="F3729" s="25"/>
      <c r="G3729" s="25"/>
      <c r="H3729" s="25"/>
      <c r="I3729" s="24" t="s">
        <v>418</v>
      </c>
      <c r="J3729" s="25"/>
      <c r="K3729" s="25"/>
      <c r="L3729" s="25"/>
      <c r="M3729" s="25"/>
      <c r="N3729" s="25"/>
      <c r="O3729" s="25"/>
      <c r="P3729" s="25"/>
      <c r="Q3729" s="25"/>
      <c r="R3729" s="25"/>
      <c r="S3729" s="25"/>
      <c r="T3729" s="25"/>
      <c r="U3729" s="25"/>
      <c r="V3729" s="25"/>
      <c r="W3729" s="25"/>
      <c r="X3729" s="25"/>
      <c r="Y3729" s="25"/>
      <c r="Z3729" s="25"/>
    </row>
    <row r="3730" spans="1:26" ht="15.75" customHeight="1" x14ac:dyDescent="0.45">
      <c r="A3730" s="25"/>
      <c r="B3730" s="25"/>
      <c r="C3730" s="25"/>
      <c r="D3730" s="25"/>
      <c r="E3730" s="25"/>
      <c r="F3730" s="25"/>
      <c r="G3730" s="25"/>
      <c r="H3730" s="25"/>
      <c r="I3730" s="24" t="s">
        <v>418</v>
      </c>
      <c r="J3730" s="25"/>
      <c r="K3730" s="25"/>
      <c r="L3730" s="25"/>
      <c r="M3730" s="25"/>
      <c r="N3730" s="25"/>
      <c r="O3730" s="25"/>
      <c r="P3730" s="25"/>
      <c r="Q3730" s="25"/>
      <c r="R3730" s="25"/>
      <c r="S3730" s="25"/>
      <c r="T3730" s="25"/>
      <c r="U3730" s="25"/>
      <c r="V3730" s="25"/>
      <c r="W3730" s="25"/>
      <c r="X3730" s="25"/>
      <c r="Y3730" s="25"/>
      <c r="Z3730" s="25"/>
    </row>
    <row r="3731" spans="1:26" ht="15.75" customHeight="1" x14ac:dyDescent="0.45">
      <c r="A3731" s="25"/>
      <c r="B3731" s="25"/>
      <c r="C3731" s="25"/>
      <c r="D3731" s="25"/>
      <c r="E3731" s="25"/>
      <c r="F3731" s="25"/>
      <c r="G3731" s="25"/>
      <c r="H3731" s="25"/>
      <c r="I3731" s="24" t="s">
        <v>418</v>
      </c>
      <c r="J3731" s="25"/>
      <c r="K3731" s="25"/>
      <c r="L3731" s="25"/>
      <c r="M3731" s="25"/>
      <c r="N3731" s="25"/>
      <c r="O3731" s="25"/>
      <c r="P3731" s="25"/>
      <c r="Q3731" s="25"/>
      <c r="R3731" s="25"/>
      <c r="S3731" s="25"/>
      <c r="T3731" s="25"/>
      <c r="U3731" s="25"/>
      <c r="V3731" s="25"/>
      <c r="W3731" s="25"/>
      <c r="X3731" s="25"/>
      <c r="Y3731" s="25"/>
      <c r="Z3731" s="25"/>
    </row>
    <row r="3732" spans="1:26" ht="15.75" customHeight="1" x14ac:dyDescent="0.75">
      <c r="A3732" s="43" t="s">
        <v>0</v>
      </c>
      <c r="B3732" s="40"/>
      <c r="C3732" s="40"/>
      <c r="D3732" s="40"/>
      <c r="E3732" s="40"/>
      <c r="F3732" s="40"/>
      <c r="G3732" s="40"/>
      <c r="H3732" s="41"/>
      <c r="I3732" s="24" t="s">
        <v>418</v>
      </c>
      <c r="J3732" s="25"/>
      <c r="K3732" s="25"/>
      <c r="L3732" s="25"/>
      <c r="M3732" s="25"/>
      <c r="N3732" s="25"/>
      <c r="O3732" s="25"/>
      <c r="P3732" s="25"/>
      <c r="Q3732" s="25"/>
      <c r="R3732" s="25"/>
      <c r="S3732" s="25"/>
      <c r="T3732" s="25"/>
      <c r="U3732" s="25"/>
      <c r="V3732" s="25"/>
      <c r="W3732" s="25"/>
      <c r="X3732" s="25"/>
      <c r="Y3732" s="25"/>
      <c r="Z3732" s="25"/>
    </row>
    <row r="3733" spans="1:26" ht="15.75" customHeight="1" x14ac:dyDescent="0.75">
      <c r="A3733" s="43" t="s">
        <v>594</v>
      </c>
      <c r="B3733" s="40"/>
      <c r="C3733" s="40"/>
      <c r="D3733" s="40"/>
      <c r="E3733" s="40"/>
      <c r="F3733" s="40"/>
      <c r="G3733" s="40"/>
      <c r="H3733" s="41"/>
      <c r="I3733" s="24" t="s">
        <v>418</v>
      </c>
      <c r="J3733" s="25"/>
      <c r="K3733" s="25"/>
      <c r="L3733" s="25"/>
      <c r="M3733" s="25"/>
      <c r="N3733" s="25"/>
      <c r="O3733" s="25"/>
      <c r="P3733" s="25"/>
      <c r="Q3733" s="25"/>
      <c r="R3733" s="25"/>
      <c r="S3733" s="25"/>
      <c r="T3733" s="25"/>
      <c r="U3733" s="25"/>
      <c r="V3733" s="25"/>
      <c r="W3733" s="25"/>
      <c r="X3733" s="25"/>
      <c r="Y3733" s="25"/>
      <c r="Z3733" s="25"/>
    </row>
    <row r="3734" spans="1:26" ht="15.75" customHeight="1" x14ac:dyDescent="0.55000000000000004">
      <c r="A3734" s="2" t="s">
        <v>3</v>
      </c>
      <c r="B3734" s="2" t="s">
        <v>4</v>
      </c>
      <c r="C3734" s="2" t="s">
        <v>5</v>
      </c>
      <c r="D3734" s="2" t="s">
        <v>6</v>
      </c>
      <c r="E3734" s="2" t="s">
        <v>7</v>
      </c>
      <c r="F3734" s="3" t="s">
        <v>8</v>
      </c>
      <c r="G3734" s="2" t="s">
        <v>9</v>
      </c>
      <c r="H3734" s="26"/>
      <c r="I3734" s="24" t="s">
        <v>418</v>
      </c>
      <c r="J3734" s="25"/>
      <c r="K3734" s="25"/>
      <c r="L3734" s="25"/>
      <c r="M3734" s="25"/>
      <c r="N3734" s="25"/>
      <c r="O3734" s="25"/>
      <c r="P3734" s="25"/>
      <c r="Q3734" s="25"/>
      <c r="R3734" s="25"/>
      <c r="S3734" s="25"/>
      <c r="T3734" s="25"/>
      <c r="U3734" s="25"/>
      <c r="V3734" s="25"/>
      <c r="W3734" s="25"/>
      <c r="X3734" s="25"/>
      <c r="Y3734" s="25"/>
      <c r="Z3734" s="25"/>
    </row>
    <row r="3735" spans="1:26" ht="15.75" customHeight="1" x14ac:dyDescent="0.75">
      <c r="A3735" s="5">
        <v>1</v>
      </c>
      <c r="B3735" s="27" t="s">
        <v>595</v>
      </c>
      <c r="C3735" s="28" t="s">
        <v>468</v>
      </c>
      <c r="D3735" s="27" t="s">
        <v>12</v>
      </c>
      <c r="E3735" s="27">
        <v>2</v>
      </c>
      <c r="F3735" s="8">
        <v>293000</v>
      </c>
      <c r="G3735" s="9">
        <f t="shared" ref="G3735:G3737" si="232">IFERROR(E3735*F3735,0)</f>
        <v>586000</v>
      </c>
      <c r="H3735" s="29"/>
      <c r="I3735" s="24" t="s">
        <v>418</v>
      </c>
      <c r="J3735" s="25"/>
      <c r="K3735" s="25"/>
      <c r="L3735" s="25"/>
      <c r="M3735" s="25"/>
      <c r="N3735" s="25"/>
      <c r="O3735" s="25"/>
      <c r="P3735" s="25"/>
      <c r="Q3735" s="25"/>
      <c r="R3735" s="25"/>
      <c r="S3735" s="25"/>
      <c r="T3735" s="25"/>
      <c r="U3735" s="25"/>
      <c r="V3735" s="25"/>
      <c r="W3735" s="25"/>
      <c r="X3735" s="25"/>
      <c r="Y3735" s="25"/>
      <c r="Z3735" s="25"/>
    </row>
    <row r="3736" spans="1:26" ht="15.75" customHeight="1" x14ac:dyDescent="0.75">
      <c r="A3736" s="5">
        <v>2</v>
      </c>
      <c r="B3736" s="30" t="s">
        <v>98</v>
      </c>
      <c r="C3736" s="31" t="s">
        <v>538</v>
      </c>
      <c r="D3736" s="30" t="s">
        <v>14</v>
      </c>
      <c r="E3736" s="30">
        <v>1.7</v>
      </c>
      <c r="F3736" s="11">
        <v>435000</v>
      </c>
      <c r="G3736" s="9">
        <f t="shared" si="232"/>
        <v>739500</v>
      </c>
      <c r="H3736" s="29"/>
      <c r="I3736" s="24" t="s">
        <v>418</v>
      </c>
      <c r="J3736" s="25"/>
      <c r="K3736" s="25"/>
      <c r="L3736" s="25"/>
      <c r="M3736" s="25"/>
      <c r="N3736" s="25"/>
      <c r="O3736" s="25"/>
      <c r="P3736" s="25"/>
      <c r="Q3736" s="25"/>
      <c r="R3736" s="25"/>
      <c r="S3736" s="25"/>
      <c r="T3736" s="25"/>
      <c r="U3736" s="25"/>
      <c r="V3736" s="25"/>
      <c r="W3736" s="25"/>
      <c r="X3736" s="25"/>
      <c r="Y3736" s="25"/>
      <c r="Z3736" s="25"/>
    </row>
    <row r="3737" spans="1:26" ht="15.75" customHeight="1" x14ac:dyDescent="0.75">
      <c r="A3737" s="5">
        <v>3</v>
      </c>
      <c r="B3737" s="12" t="s">
        <v>15</v>
      </c>
      <c r="C3737" s="29"/>
      <c r="D3737" s="29"/>
      <c r="E3737" s="29"/>
      <c r="F3737" s="29"/>
      <c r="G3737" s="13">
        <f t="shared" si="232"/>
        <v>0</v>
      </c>
      <c r="H3737" s="29"/>
      <c r="I3737" s="24" t="s">
        <v>418</v>
      </c>
      <c r="J3737" s="25"/>
      <c r="K3737" s="25"/>
      <c r="L3737" s="25"/>
      <c r="M3737" s="25"/>
      <c r="N3737" s="25"/>
      <c r="O3737" s="25"/>
      <c r="P3737" s="25"/>
      <c r="Q3737" s="25"/>
      <c r="R3737" s="25"/>
      <c r="S3737" s="25"/>
      <c r="T3737" s="25"/>
      <c r="U3737" s="25"/>
      <c r="V3737" s="25"/>
      <c r="W3737" s="25"/>
      <c r="X3737" s="25"/>
      <c r="Y3737" s="25"/>
      <c r="Z3737" s="25"/>
    </row>
    <row r="3738" spans="1:26" ht="15.75" customHeight="1" x14ac:dyDescent="0.75">
      <c r="A3738" s="39" t="s">
        <v>16</v>
      </c>
      <c r="B3738" s="40"/>
      <c r="C3738" s="40"/>
      <c r="D3738" s="40"/>
      <c r="E3738" s="40"/>
      <c r="F3738" s="40"/>
      <c r="G3738" s="41"/>
      <c r="H3738" s="14">
        <f>SUM(G3735:G3737)</f>
        <v>1325500</v>
      </c>
      <c r="I3738" s="24" t="s">
        <v>418</v>
      </c>
      <c r="J3738" s="25"/>
      <c r="K3738" s="25"/>
      <c r="L3738" s="25"/>
      <c r="M3738" s="25"/>
      <c r="N3738" s="25"/>
      <c r="O3738" s="25"/>
      <c r="P3738" s="25"/>
      <c r="Q3738" s="25"/>
      <c r="R3738" s="25"/>
      <c r="S3738" s="25"/>
      <c r="T3738" s="25"/>
      <c r="U3738" s="25"/>
      <c r="V3738" s="25"/>
      <c r="W3738" s="25"/>
      <c r="X3738" s="25"/>
      <c r="Y3738" s="25"/>
      <c r="Z3738" s="25"/>
    </row>
    <row r="3739" spans="1:26" ht="15.75" customHeight="1" x14ac:dyDescent="0.75">
      <c r="A3739" s="39" t="s">
        <v>17</v>
      </c>
      <c r="B3739" s="40"/>
      <c r="C3739" s="40"/>
      <c r="D3739" s="40"/>
      <c r="E3739" s="40"/>
      <c r="F3739" s="40"/>
      <c r="G3739" s="41"/>
      <c r="H3739" s="14">
        <f>MAX(0,H3738-648000)</f>
        <v>677500</v>
      </c>
      <c r="I3739" s="24" t="s">
        <v>418</v>
      </c>
      <c r="J3739" s="25"/>
      <c r="K3739" s="25"/>
      <c r="L3739" s="25"/>
      <c r="M3739" s="25"/>
      <c r="N3739" s="25"/>
      <c r="O3739" s="25"/>
      <c r="P3739" s="25"/>
      <c r="Q3739" s="25"/>
      <c r="R3739" s="25"/>
      <c r="S3739" s="25"/>
      <c r="T3739" s="25"/>
      <c r="U3739" s="25"/>
      <c r="V3739" s="25"/>
      <c r="W3739" s="25"/>
      <c r="X3739" s="25"/>
      <c r="Y3739" s="25"/>
      <c r="Z3739" s="25"/>
    </row>
    <row r="3740" spans="1:26" ht="15.75" customHeight="1" x14ac:dyDescent="0.75">
      <c r="A3740" s="42" t="s">
        <v>18</v>
      </c>
      <c r="B3740" s="40"/>
      <c r="C3740" s="40"/>
      <c r="D3740" s="40"/>
      <c r="E3740" s="40"/>
      <c r="F3740" s="40"/>
      <c r="G3740" s="41"/>
      <c r="H3740" s="15">
        <v>649000</v>
      </c>
      <c r="I3740" s="24" t="s">
        <v>418</v>
      </c>
      <c r="J3740" s="25"/>
      <c r="K3740" s="25"/>
      <c r="L3740" s="25"/>
      <c r="M3740" s="25"/>
      <c r="N3740" s="25"/>
      <c r="O3740" s="25"/>
      <c r="P3740" s="25"/>
      <c r="Q3740" s="25"/>
      <c r="R3740" s="25"/>
      <c r="S3740" s="25"/>
      <c r="T3740" s="25"/>
      <c r="U3740" s="25"/>
      <c r="V3740" s="25"/>
      <c r="W3740" s="25"/>
      <c r="X3740" s="25"/>
      <c r="Y3740" s="25"/>
      <c r="Z3740" s="25"/>
    </row>
    <row r="3741" spans="1:26" ht="15.75" customHeight="1" x14ac:dyDescent="0.75">
      <c r="A3741" s="43" t="s">
        <v>19</v>
      </c>
      <c r="B3741" s="40"/>
      <c r="C3741" s="40"/>
      <c r="D3741" s="40"/>
      <c r="E3741" s="40"/>
      <c r="F3741" s="40"/>
      <c r="G3741" s="40"/>
      <c r="H3741" s="41"/>
      <c r="I3741" s="24" t="s">
        <v>418</v>
      </c>
      <c r="J3741" s="25"/>
      <c r="K3741" s="25"/>
      <c r="L3741" s="25"/>
      <c r="M3741" s="25"/>
      <c r="N3741" s="25"/>
      <c r="O3741" s="25"/>
      <c r="P3741" s="25"/>
      <c r="Q3741" s="25"/>
      <c r="R3741" s="25"/>
      <c r="S3741" s="25"/>
      <c r="T3741" s="25"/>
      <c r="U3741" s="25"/>
      <c r="V3741" s="25"/>
      <c r="W3741" s="25"/>
      <c r="X3741" s="25"/>
      <c r="Y3741" s="25"/>
      <c r="Z3741" s="25"/>
    </row>
    <row r="3742" spans="1:26" ht="15.75" customHeight="1" x14ac:dyDescent="0.45">
      <c r="A3742" s="25"/>
      <c r="B3742" s="25"/>
      <c r="C3742" s="25"/>
      <c r="D3742" s="25"/>
      <c r="E3742" s="25"/>
      <c r="F3742" s="25"/>
      <c r="G3742" s="25"/>
      <c r="H3742" s="25"/>
      <c r="I3742" s="24" t="s">
        <v>418</v>
      </c>
      <c r="J3742" s="25"/>
      <c r="K3742" s="25"/>
      <c r="L3742" s="25"/>
      <c r="M3742" s="25"/>
      <c r="N3742" s="25"/>
      <c r="O3742" s="25"/>
      <c r="P3742" s="25"/>
      <c r="Q3742" s="25"/>
      <c r="R3742" s="25"/>
      <c r="S3742" s="25"/>
      <c r="T3742" s="25"/>
      <c r="U3742" s="25"/>
      <c r="V3742" s="25"/>
      <c r="W3742" s="25"/>
      <c r="X3742" s="25"/>
      <c r="Y3742" s="25"/>
      <c r="Z3742" s="25"/>
    </row>
    <row r="3743" spans="1:26" ht="15.75" customHeight="1" x14ac:dyDescent="0.45">
      <c r="A3743" s="25"/>
      <c r="B3743" s="25"/>
      <c r="C3743" s="25"/>
      <c r="D3743" s="25"/>
      <c r="E3743" s="25"/>
      <c r="F3743" s="25"/>
      <c r="G3743" s="25"/>
      <c r="H3743" s="25"/>
      <c r="I3743" s="24" t="s">
        <v>418</v>
      </c>
      <c r="J3743" s="25"/>
      <c r="K3743" s="25"/>
      <c r="L3743" s="25"/>
      <c r="M3743" s="25"/>
      <c r="N3743" s="25"/>
      <c r="O3743" s="25"/>
      <c r="P3743" s="25"/>
      <c r="Q3743" s="25"/>
      <c r="R3743" s="25"/>
      <c r="S3743" s="25"/>
      <c r="T3743" s="25"/>
      <c r="U3743" s="25"/>
      <c r="V3743" s="25"/>
      <c r="W3743" s="25"/>
      <c r="X3743" s="25"/>
      <c r="Y3743" s="25"/>
      <c r="Z3743" s="25"/>
    </row>
    <row r="3744" spans="1:26" ht="15.75" customHeight="1" x14ac:dyDescent="0.45">
      <c r="A3744" s="25"/>
      <c r="B3744" s="25"/>
      <c r="C3744" s="25"/>
      <c r="D3744" s="25"/>
      <c r="E3744" s="25"/>
      <c r="F3744" s="25"/>
      <c r="G3744" s="25"/>
      <c r="H3744" s="25"/>
      <c r="I3744" s="24" t="s">
        <v>418</v>
      </c>
      <c r="J3744" s="25"/>
      <c r="K3744" s="25"/>
      <c r="L3744" s="25"/>
      <c r="M3744" s="25"/>
      <c r="N3744" s="25"/>
      <c r="O3744" s="25"/>
      <c r="P3744" s="25"/>
      <c r="Q3744" s="25"/>
      <c r="R3744" s="25"/>
      <c r="S3744" s="25"/>
      <c r="T3744" s="25"/>
      <c r="U3744" s="25"/>
      <c r="V3744" s="25"/>
      <c r="W3744" s="25"/>
      <c r="X3744" s="25"/>
      <c r="Y3744" s="25"/>
      <c r="Z3744" s="25"/>
    </row>
    <row r="3745" spans="1:26" ht="15.75" customHeight="1" x14ac:dyDescent="0.45">
      <c r="A3745" s="25"/>
      <c r="B3745" s="25"/>
      <c r="C3745" s="25"/>
      <c r="D3745" s="25"/>
      <c r="E3745" s="25"/>
      <c r="F3745" s="25"/>
      <c r="G3745" s="25"/>
      <c r="H3745" s="25"/>
      <c r="I3745" s="24" t="s">
        <v>418</v>
      </c>
      <c r="J3745" s="25"/>
      <c r="K3745" s="25"/>
      <c r="L3745" s="25"/>
      <c r="M3745" s="25"/>
      <c r="N3745" s="25"/>
      <c r="O3745" s="25"/>
      <c r="P3745" s="25"/>
      <c r="Q3745" s="25"/>
      <c r="R3745" s="25"/>
      <c r="S3745" s="25"/>
      <c r="T3745" s="25"/>
      <c r="U3745" s="25"/>
      <c r="V3745" s="25"/>
      <c r="W3745" s="25"/>
      <c r="X3745" s="25"/>
      <c r="Y3745" s="25"/>
      <c r="Z3745" s="25"/>
    </row>
    <row r="3746" spans="1:26" ht="15.75" customHeight="1" x14ac:dyDescent="0.45">
      <c r="A3746" s="25"/>
      <c r="B3746" s="25"/>
      <c r="C3746" s="25"/>
      <c r="D3746" s="25"/>
      <c r="E3746" s="25"/>
      <c r="F3746" s="25"/>
      <c r="G3746" s="25"/>
      <c r="H3746" s="25"/>
      <c r="I3746" s="24" t="s">
        <v>418</v>
      </c>
      <c r="J3746" s="25"/>
      <c r="K3746" s="25"/>
      <c r="L3746" s="25"/>
      <c r="M3746" s="25"/>
      <c r="N3746" s="25"/>
      <c r="O3746" s="25"/>
      <c r="P3746" s="25"/>
      <c r="Q3746" s="25"/>
      <c r="R3746" s="25"/>
      <c r="S3746" s="25"/>
      <c r="T3746" s="25"/>
      <c r="U3746" s="25"/>
      <c r="V3746" s="25"/>
      <c r="W3746" s="25"/>
      <c r="X3746" s="25"/>
      <c r="Y3746" s="25"/>
      <c r="Z3746" s="25"/>
    </row>
    <row r="3747" spans="1:26" ht="15.75" customHeight="1" x14ac:dyDescent="0.75">
      <c r="A3747" s="43" t="s">
        <v>0</v>
      </c>
      <c r="B3747" s="40"/>
      <c r="C3747" s="40"/>
      <c r="D3747" s="40"/>
      <c r="E3747" s="40"/>
      <c r="F3747" s="40"/>
      <c r="G3747" s="40"/>
      <c r="H3747" s="41"/>
      <c r="I3747" s="24" t="s">
        <v>418</v>
      </c>
      <c r="J3747" s="25"/>
      <c r="K3747" s="25"/>
      <c r="L3747" s="25"/>
      <c r="M3747" s="25"/>
      <c r="N3747" s="25"/>
      <c r="O3747" s="25"/>
      <c r="P3747" s="25"/>
      <c r="Q3747" s="25"/>
      <c r="R3747" s="25"/>
      <c r="S3747" s="25"/>
      <c r="T3747" s="25"/>
      <c r="U3747" s="25"/>
      <c r="V3747" s="25"/>
      <c r="W3747" s="25"/>
      <c r="X3747" s="25"/>
      <c r="Y3747" s="25"/>
      <c r="Z3747" s="25"/>
    </row>
    <row r="3748" spans="1:26" ht="15.75" customHeight="1" x14ac:dyDescent="0.75">
      <c r="A3748" s="43" t="s">
        <v>596</v>
      </c>
      <c r="B3748" s="40"/>
      <c r="C3748" s="40"/>
      <c r="D3748" s="40"/>
      <c r="E3748" s="40"/>
      <c r="F3748" s="40"/>
      <c r="G3748" s="40"/>
      <c r="H3748" s="41"/>
      <c r="I3748" s="24" t="s">
        <v>418</v>
      </c>
      <c r="J3748" s="25"/>
      <c r="K3748" s="25"/>
      <c r="L3748" s="25"/>
      <c r="M3748" s="25"/>
      <c r="N3748" s="25"/>
      <c r="O3748" s="25"/>
      <c r="P3748" s="25"/>
      <c r="Q3748" s="25"/>
      <c r="R3748" s="25"/>
      <c r="S3748" s="25"/>
      <c r="T3748" s="25"/>
      <c r="U3748" s="25"/>
      <c r="V3748" s="25"/>
      <c r="W3748" s="25"/>
      <c r="X3748" s="25"/>
      <c r="Y3748" s="25"/>
      <c r="Z3748" s="25"/>
    </row>
    <row r="3749" spans="1:26" ht="15.75" customHeight="1" x14ac:dyDescent="0.55000000000000004">
      <c r="A3749" s="2" t="s">
        <v>3</v>
      </c>
      <c r="B3749" s="2" t="s">
        <v>4</v>
      </c>
      <c r="C3749" s="2" t="s">
        <v>5</v>
      </c>
      <c r="D3749" s="2" t="s">
        <v>6</v>
      </c>
      <c r="E3749" s="2" t="s">
        <v>7</v>
      </c>
      <c r="F3749" s="3" t="s">
        <v>8</v>
      </c>
      <c r="G3749" s="2" t="s">
        <v>9</v>
      </c>
      <c r="H3749" s="26"/>
      <c r="I3749" s="24" t="s">
        <v>418</v>
      </c>
      <c r="J3749" s="25"/>
      <c r="K3749" s="25"/>
      <c r="L3749" s="25"/>
      <c r="M3749" s="25"/>
      <c r="N3749" s="25"/>
      <c r="O3749" s="25"/>
      <c r="P3749" s="25"/>
      <c r="Q3749" s="25"/>
      <c r="R3749" s="25"/>
      <c r="S3749" s="25"/>
      <c r="T3749" s="25"/>
      <c r="U3749" s="25"/>
      <c r="V3749" s="25"/>
      <c r="W3749" s="25"/>
      <c r="X3749" s="25"/>
      <c r="Y3749" s="25"/>
      <c r="Z3749" s="25"/>
    </row>
    <row r="3750" spans="1:26" ht="15.75" customHeight="1" x14ac:dyDescent="0.75">
      <c r="A3750" s="5">
        <v>1</v>
      </c>
      <c r="B3750" s="27" t="s">
        <v>70</v>
      </c>
      <c r="C3750" s="28" t="s">
        <v>597</v>
      </c>
      <c r="D3750" s="27" t="s">
        <v>12</v>
      </c>
      <c r="E3750" s="27">
        <v>1.2</v>
      </c>
      <c r="F3750" s="8">
        <v>293000</v>
      </c>
      <c r="G3750" s="9">
        <f t="shared" ref="G3750:G3752" si="233">IFERROR(E3750*F3750,0)</f>
        <v>351600</v>
      </c>
      <c r="H3750" s="29"/>
      <c r="I3750" s="24" t="s">
        <v>418</v>
      </c>
      <c r="J3750" s="25"/>
      <c r="K3750" s="25"/>
      <c r="L3750" s="25"/>
      <c r="M3750" s="25"/>
      <c r="N3750" s="25"/>
      <c r="O3750" s="25"/>
      <c r="P3750" s="25"/>
      <c r="Q3750" s="25"/>
      <c r="R3750" s="25"/>
      <c r="S3750" s="25"/>
      <c r="T3750" s="25"/>
      <c r="U3750" s="25"/>
      <c r="V3750" s="25"/>
      <c r="W3750" s="25"/>
      <c r="X3750" s="25"/>
      <c r="Y3750" s="25"/>
      <c r="Z3750" s="25"/>
    </row>
    <row r="3751" spans="1:26" ht="15.75" customHeight="1" x14ac:dyDescent="0.75">
      <c r="A3751" s="5">
        <v>2</v>
      </c>
      <c r="B3751" s="30" t="s">
        <v>21</v>
      </c>
      <c r="C3751" s="31" t="s">
        <v>598</v>
      </c>
      <c r="D3751" s="30" t="s">
        <v>14</v>
      </c>
      <c r="E3751" s="30">
        <v>2.1</v>
      </c>
      <c r="F3751" s="11">
        <v>435000</v>
      </c>
      <c r="G3751" s="9">
        <f t="shared" si="233"/>
        <v>913500</v>
      </c>
      <c r="H3751" s="29"/>
      <c r="I3751" s="24" t="s">
        <v>418</v>
      </c>
      <c r="J3751" s="25"/>
      <c r="K3751" s="25"/>
      <c r="L3751" s="25"/>
      <c r="M3751" s="25"/>
      <c r="N3751" s="25"/>
      <c r="O3751" s="25"/>
      <c r="P3751" s="25"/>
      <c r="Q3751" s="25"/>
      <c r="R3751" s="25"/>
      <c r="S3751" s="25"/>
      <c r="T3751" s="25"/>
      <c r="U3751" s="25"/>
      <c r="V3751" s="25"/>
      <c r="W3751" s="25"/>
      <c r="X3751" s="25"/>
      <c r="Y3751" s="25"/>
      <c r="Z3751" s="25"/>
    </row>
    <row r="3752" spans="1:26" ht="15.75" customHeight="1" x14ac:dyDescent="0.75">
      <c r="A3752" s="5">
        <v>3</v>
      </c>
      <c r="B3752" s="12" t="s">
        <v>15</v>
      </c>
      <c r="C3752" s="29"/>
      <c r="D3752" s="29"/>
      <c r="E3752" s="29"/>
      <c r="F3752" s="29"/>
      <c r="G3752" s="13">
        <f t="shared" si="233"/>
        <v>0</v>
      </c>
      <c r="H3752" s="29"/>
      <c r="I3752" s="24" t="s">
        <v>418</v>
      </c>
      <c r="J3752" s="25"/>
      <c r="K3752" s="25"/>
      <c r="L3752" s="25"/>
      <c r="M3752" s="25"/>
      <c r="N3752" s="25"/>
      <c r="O3752" s="25"/>
      <c r="P3752" s="25"/>
      <c r="Q3752" s="25"/>
      <c r="R3752" s="25"/>
      <c r="S3752" s="25"/>
      <c r="T3752" s="25"/>
      <c r="U3752" s="25"/>
      <c r="V3752" s="25"/>
      <c r="W3752" s="25"/>
      <c r="X3752" s="25"/>
      <c r="Y3752" s="25"/>
      <c r="Z3752" s="25"/>
    </row>
    <row r="3753" spans="1:26" ht="15.75" customHeight="1" x14ac:dyDescent="0.75">
      <c r="A3753" s="39" t="s">
        <v>16</v>
      </c>
      <c r="B3753" s="40"/>
      <c r="C3753" s="40"/>
      <c r="D3753" s="40"/>
      <c r="E3753" s="40"/>
      <c r="F3753" s="40"/>
      <c r="G3753" s="41"/>
      <c r="H3753" s="14">
        <f>SUM(G3750:G3752)</f>
        <v>1265100</v>
      </c>
      <c r="I3753" s="24" t="s">
        <v>418</v>
      </c>
      <c r="J3753" s="25"/>
      <c r="K3753" s="25"/>
      <c r="L3753" s="25"/>
      <c r="M3753" s="25"/>
      <c r="N3753" s="25"/>
      <c r="O3753" s="25"/>
      <c r="P3753" s="25"/>
      <c r="Q3753" s="25"/>
      <c r="R3753" s="25"/>
      <c r="S3753" s="25"/>
      <c r="T3753" s="25"/>
      <c r="U3753" s="25"/>
      <c r="V3753" s="25"/>
      <c r="W3753" s="25"/>
      <c r="X3753" s="25"/>
      <c r="Y3753" s="25"/>
      <c r="Z3753" s="25"/>
    </row>
    <row r="3754" spans="1:26" ht="15.75" customHeight="1" x14ac:dyDescent="0.75">
      <c r="A3754" s="39" t="s">
        <v>17</v>
      </c>
      <c r="B3754" s="40"/>
      <c r="C3754" s="40"/>
      <c r="D3754" s="40"/>
      <c r="E3754" s="40"/>
      <c r="F3754" s="40"/>
      <c r="G3754" s="41"/>
      <c r="H3754" s="14">
        <f>MAX(0,H3753-648000)</f>
        <v>617100</v>
      </c>
      <c r="I3754" s="24" t="s">
        <v>418</v>
      </c>
      <c r="J3754" s="25"/>
      <c r="K3754" s="25"/>
      <c r="L3754" s="25"/>
      <c r="M3754" s="25"/>
      <c r="N3754" s="25"/>
      <c r="O3754" s="25"/>
      <c r="P3754" s="25"/>
      <c r="Q3754" s="25"/>
      <c r="R3754" s="25"/>
      <c r="S3754" s="25"/>
      <c r="T3754" s="25"/>
      <c r="U3754" s="25"/>
      <c r="V3754" s="25"/>
      <c r="W3754" s="25"/>
      <c r="X3754" s="25"/>
      <c r="Y3754" s="25"/>
      <c r="Z3754" s="25"/>
    </row>
    <row r="3755" spans="1:26" ht="15.75" customHeight="1" x14ac:dyDescent="0.75">
      <c r="A3755" s="42" t="s">
        <v>18</v>
      </c>
      <c r="B3755" s="40"/>
      <c r="C3755" s="40"/>
      <c r="D3755" s="40"/>
      <c r="E3755" s="40"/>
      <c r="F3755" s="40"/>
      <c r="G3755" s="41"/>
      <c r="H3755" s="15">
        <v>649000</v>
      </c>
      <c r="I3755" s="24" t="s">
        <v>418</v>
      </c>
      <c r="J3755" s="25"/>
      <c r="K3755" s="25"/>
      <c r="L3755" s="25"/>
      <c r="M3755" s="25"/>
      <c r="N3755" s="25"/>
      <c r="O3755" s="25"/>
      <c r="P3755" s="25"/>
      <c r="Q3755" s="25"/>
      <c r="R3755" s="25"/>
      <c r="S3755" s="25"/>
      <c r="T3755" s="25"/>
      <c r="U3755" s="25"/>
      <c r="V3755" s="25"/>
      <c r="W3755" s="25"/>
      <c r="X3755" s="25"/>
      <c r="Y3755" s="25"/>
      <c r="Z3755" s="25"/>
    </row>
    <row r="3756" spans="1:26" ht="15.75" customHeight="1" x14ac:dyDescent="0.75">
      <c r="A3756" s="43" t="s">
        <v>19</v>
      </c>
      <c r="B3756" s="40"/>
      <c r="C3756" s="40"/>
      <c r="D3756" s="40"/>
      <c r="E3756" s="40"/>
      <c r="F3756" s="40"/>
      <c r="G3756" s="40"/>
      <c r="H3756" s="41"/>
      <c r="I3756" s="24" t="s">
        <v>418</v>
      </c>
      <c r="J3756" s="25"/>
      <c r="K3756" s="25"/>
      <c r="L3756" s="25"/>
      <c r="M3756" s="25"/>
      <c r="N3756" s="25"/>
      <c r="O3756" s="25"/>
      <c r="P3756" s="25"/>
      <c r="Q3756" s="25"/>
      <c r="R3756" s="25"/>
      <c r="S3756" s="25"/>
      <c r="T3756" s="25"/>
      <c r="U3756" s="25"/>
      <c r="V3756" s="25"/>
      <c r="W3756" s="25"/>
      <c r="X3756" s="25"/>
      <c r="Y3756" s="25"/>
      <c r="Z3756" s="25"/>
    </row>
    <row r="3757" spans="1:26" ht="15.75" customHeight="1" x14ac:dyDescent="0.45">
      <c r="A3757" s="25"/>
      <c r="B3757" s="25"/>
      <c r="C3757" s="25"/>
      <c r="D3757" s="25"/>
      <c r="E3757" s="25"/>
      <c r="F3757" s="25"/>
      <c r="G3757" s="25"/>
      <c r="H3757" s="25"/>
      <c r="I3757" s="24" t="s">
        <v>418</v>
      </c>
      <c r="J3757" s="25"/>
      <c r="K3757" s="25"/>
      <c r="L3757" s="25"/>
      <c r="M3757" s="25"/>
      <c r="N3757" s="25"/>
      <c r="O3757" s="25"/>
      <c r="P3757" s="25"/>
      <c r="Q3757" s="25"/>
      <c r="R3757" s="25"/>
      <c r="S3757" s="25"/>
      <c r="T3757" s="25"/>
      <c r="U3757" s="25"/>
      <c r="V3757" s="25"/>
      <c r="W3757" s="25"/>
      <c r="X3757" s="25"/>
      <c r="Y3757" s="25"/>
      <c r="Z3757" s="25"/>
    </row>
    <row r="3758" spans="1:26" ht="15.75" customHeight="1" x14ac:dyDescent="0.45">
      <c r="A3758" s="25"/>
      <c r="B3758" s="25"/>
      <c r="C3758" s="25"/>
      <c r="D3758" s="25"/>
      <c r="E3758" s="25"/>
      <c r="F3758" s="25"/>
      <c r="G3758" s="25"/>
      <c r="H3758" s="25"/>
      <c r="I3758" s="24" t="s">
        <v>418</v>
      </c>
      <c r="J3758" s="25"/>
      <c r="K3758" s="25"/>
      <c r="L3758" s="25"/>
      <c r="M3758" s="25"/>
      <c r="N3758" s="25"/>
      <c r="O3758" s="25"/>
      <c r="P3758" s="25"/>
      <c r="Q3758" s="25"/>
      <c r="R3758" s="25"/>
      <c r="S3758" s="25"/>
      <c r="T3758" s="25"/>
      <c r="U3758" s="25"/>
      <c r="V3758" s="25"/>
      <c r="W3758" s="25"/>
      <c r="X3758" s="25"/>
      <c r="Y3758" s="25"/>
      <c r="Z3758" s="25"/>
    </row>
    <row r="3759" spans="1:26" ht="15.75" customHeight="1" x14ac:dyDescent="0.45">
      <c r="A3759" s="25"/>
      <c r="B3759" s="25"/>
      <c r="C3759" s="25"/>
      <c r="D3759" s="25"/>
      <c r="E3759" s="25"/>
      <c r="F3759" s="25"/>
      <c r="G3759" s="25"/>
      <c r="H3759" s="25"/>
      <c r="I3759" s="24" t="s">
        <v>418</v>
      </c>
      <c r="J3759" s="25"/>
      <c r="K3759" s="25"/>
      <c r="L3759" s="25"/>
      <c r="M3759" s="25"/>
      <c r="N3759" s="25"/>
      <c r="O3759" s="25"/>
      <c r="P3759" s="25"/>
      <c r="Q3759" s="25"/>
      <c r="R3759" s="25"/>
      <c r="S3759" s="25"/>
      <c r="T3759" s="25"/>
      <c r="U3759" s="25"/>
      <c r="V3759" s="25"/>
      <c r="W3759" s="25"/>
      <c r="X3759" s="25"/>
      <c r="Y3759" s="25"/>
      <c r="Z3759" s="25"/>
    </row>
    <row r="3760" spans="1:26" ht="15.75" customHeight="1" x14ac:dyDescent="0.45">
      <c r="A3760" s="25"/>
      <c r="B3760" s="25"/>
      <c r="C3760" s="25"/>
      <c r="D3760" s="25"/>
      <c r="E3760" s="25"/>
      <c r="F3760" s="25"/>
      <c r="G3760" s="25"/>
      <c r="H3760" s="25"/>
      <c r="I3760" s="24" t="s">
        <v>418</v>
      </c>
      <c r="J3760" s="25"/>
      <c r="K3760" s="25"/>
      <c r="L3760" s="25"/>
      <c r="M3760" s="25"/>
      <c r="N3760" s="25"/>
      <c r="O3760" s="25"/>
      <c r="P3760" s="25"/>
      <c r="Q3760" s="25"/>
      <c r="R3760" s="25"/>
      <c r="S3760" s="25"/>
      <c r="T3760" s="25"/>
      <c r="U3760" s="25"/>
      <c r="V3760" s="25"/>
      <c r="W3760" s="25"/>
      <c r="X3760" s="25"/>
      <c r="Y3760" s="25"/>
      <c r="Z3760" s="25"/>
    </row>
    <row r="3761" spans="1:26" ht="15.75" customHeight="1" x14ac:dyDescent="0.45">
      <c r="A3761" s="25"/>
      <c r="B3761" s="25"/>
      <c r="C3761" s="25"/>
      <c r="D3761" s="25"/>
      <c r="E3761" s="25"/>
      <c r="F3761" s="25"/>
      <c r="G3761" s="25"/>
      <c r="H3761" s="25"/>
      <c r="I3761" s="24" t="s">
        <v>418</v>
      </c>
      <c r="J3761" s="25"/>
      <c r="K3761" s="25"/>
      <c r="L3761" s="25"/>
      <c r="M3761" s="25"/>
      <c r="N3761" s="25"/>
      <c r="O3761" s="25"/>
      <c r="P3761" s="25"/>
      <c r="Q3761" s="25"/>
      <c r="R3761" s="25"/>
      <c r="S3761" s="25"/>
      <c r="T3761" s="25"/>
      <c r="U3761" s="25"/>
      <c r="V3761" s="25"/>
      <c r="W3761" s="25"/>
      <c r="X3761" s="25"/>
      <c r="Y3761" s="25"/>
      <c r="Z3761" s="25"/>
    </row>
    <row r="3762" spans="1:26" ht="15.75" customHeight="1" x14ac:dyDescent="0.45">
      <c r="A3762" s="25"/>
      <c r="B3762" s="25"/>
      <c r="C3762" s="25"/>
      <c r="D3762" s="25"/>
      <c r="E3762" s="25"/>
      <c r="F3762" s="25"/>
      <c r="G3762" s="25"/>
      <c r="H3762" s="25"/>
      <c r="I3762" s="24" t="s">
        <v>418</v>
      </c>
      <c r="J3762" s="25"/>
      <c r="K3762" s="25"/>
      <c r="L3762" s="25"/>
      <c r="M3762" s="25"/>
      <c r="N3762" s="25"/>
      <c r="O3762" s="25"/>
      <c r="P3762" s="25"/>
      <c r="Q3762" s="25"/>
      <c r="R3762" s="25"/>
      <c r="S3762" s="25"/>
      <c r="T3762" s="25"/>
      <c r="U3762" s="25"/>
      <c r="V3762" s="25"/>
      <c r="W3762" s="25"/>
      <c r="X3762" s="25"/>
      <c r="Y3762" s="25"/>
      <c r="Z3762" s="25"/>
    </row>
    <row r="3763" spans="1:26" ht="15.75" customHeight="1" x14ac:dyDescent="0.45">
      <c r="A3763" s="25"/>
      <c r="B3763" s="25"/>
      <c r="C3763" s="25"/>
      <c r="D3763" s="25"/>
      <c r="E3763" s="25"/>
      <c r="F3763" s="25"/>
      <c r="G3763" s="25"/>
      <c r="H3763" s="25"/>
      <c r="I3763" s="24" t="s">
        <v>418</v>
      </c>
      <c r="J3763" s="25"/>
      <c r="K3763" s="25"/>
      <c r="L3763" s="25"/>
      <c r="M3763" s="25"/>
      <c r="N3763" s="25"/>
      <c r="O3763" s="25"/>
      <c r="P3763" s="25"/>
      <c r="Q3763" s="25"/>
      <c r="R3763" s="25"/>
      <c r="S3763" s="25"/>
      <c r="T3763" s="25"/>
      <c r="U3763" s="25"/>
      <c r="V3763" s="25"/>
      <c r="W3763" s="25"/>
      <c r="X3763" s="25"/>
      <c r="Y3763" s="25"/>
      <c r="Z3763" s="25"/>
    </row>
    <row r="3764" spans="1:26" ht="15.75" customHeight="1" x14ac:dyDescent="0.75">
      <c r="A3764" s="43" t="s">
        <v>0</v>
      </c>
      <c r="B3764" s="40"/>
      <c r="C3764" s="40"/>
      <c r="D3764" s="40"/>
      <c r="E3764" s="40"/>
      <c r="F3764" s="40"/>
      <c r="G3764" s="40"/>
      <c r="H3764" s="41"/>
      <c r="I3764" s="24" t="s">
        <v>418</v>
      </c>
      <c r="J3764" s="25"/>
      <c r="K3764" s="25"/>
      <c r="L3764" s="25"/>
      <c r="M3764" s="25"/>
      <c r="N3764" s="25"/>
      <c r="O3764" s="25"/>
      <c r="P3764" s="25"/>
      <c r="Q3764" s="25"/>
      <c r="R3764" s="25"/>
      <c r="S3764" s="25"/>
      <c r="T3764" s="25"/>
      <c r="U3764" s="25"/>
      <c r="V3764" s="25"/>
      <c r="W3764" s="25"/>
      <c r="X3764" s="25"/>
      <c r="Y3764" s="25"/>
      <c r="Z3764" s="25"/>
    </row>
    <row r="3765" spans="1:26" ht="15.75" customHeight="1" x14ac:dyDescent="0.75">
      <c r="A3765" s="43" t="s">
        <v>599</v>
      </c>
      <c r="B3765" s="40"/>
      <c r="C3765" s="40"/>
      <c r="D3765" s="40"/>
      <c r="E3765" s="40"/>
      <c r="F3765" s="40"/>
      <c r="G3765" s="40"/>
      <c r="H3765" s="41"/>
      <c r="I3765" s="24" t="s">
        <v>418</v>
      </c>
      <c r="J3765" s="25"/>
      <c r="K3765" s="25"/>
      <c r="L3765" s="25"/>
      <c r="M3765" s="25"/>
      <c r="N3765" s="25"/>
      <c r="O3765" s="25"/>
      <c r="P3765" s="25"/>
      <c r="Q3765" s="25"/>
      <c r="R3765" s="25"/>
      <c r="S3765" s="25"/>
      <c r="T3765" s="25"/>
      <c r="U3765" s="25"/>
      <c r="V3765" s="25"/>
      <c r="W3765" s="25"/>
      <c r="X3765" s="25"/>
      <c r="Y3765" s="25"/>
      <c r="Z3765" s="25"/>
    </row>
    <row r="3766" spans="1:26" ht="15.75" customHeight="1" x14ac:dyDescent="0.55000000000000004">
      <c r="A3766" s="2" t="s">
        <v>3</v>
      </c>
      <c r="B3766" s="2" t="s">
        <v>4</v>
      </c>
      <c r="C3766" s="2" t="s">
        <v>5</v>
      </c>
      <c r="D3766" s="2" t="s">
        <v>6</v>
      </c>
      <c r="E3766" s="2" t="s">
        <v>7</v>
      </c>
      <c r="F3766" s="3" t="s">
        <v>8</v>
      </c>
      <c r="G3766" s="2" t="s">
        <v>9</v>
      </c>
      <c r="H3766" s="26"/>
      <c r="I3766" s="24" t="s">
        <v>418</v>
      </c>
      <c r="J3766" s="25"/>
      <c r="K3766" s="25"/>
      <c r="L3766" s="25"/>
      <c r="M3766" s="25"/>
      <c r="N3766" s="25"/>
      <c r="O3766" s="25"/>
      <c r="P3766" s="25"/>
      <c r="Q3766" s="25"/>
      <c r="R3766" s="25"/>
      <c r="S3766" s="25"/>
      <c r="T3766" s="25"/>
      <c r="U3766" s="25"/>
      <c r="V3766" s="25"/>
      <c r="W3766" s="25"/>
      <c r="X3766" s="25"/>
      <c r="Y3766" s="25"/>
      <c r="Z3766" s="25"/>
    </row>
    <row r="3767" spans="1:26" ht="15.75" customHeight="1" x14ac:dyDescent="0.75">
      <c r="A3767" s="5">
        <v>1</v>
      </c>
      <c r="B3767" s="27" t="s">
        <v>600</v>
      </c>
      <c r="C3767" s="28" t="s">
        <v>601</v>
      </c>
      <c r="D3767" s="27" t="s">
        <v>12</v>
      </c>
      <c r="E3767" s="27">
        <v>3</v>
      </c>
      <c r="F3767" s="8">
        <v>293000</v>
      </c>
      <c r="G3767" s="9">
        <f t="shared" ref="G3767:G3769" si="234">IFERROR(E3767*F3767,0)</f>
        <v>879000</v>
      </c>
      <c r="H3767" s="29"/>
      <c r="I3767" s="24" t="s">
        <v>418</v>
      </c>
      <c r="J3767" s="25"/>
      <c r="K3767" s="25"/>
      <c r="L3767" s="25"/>
      <c r="M3767" s="25"/>
      <c r="N3767" s="25"/>
      <c r="O3767" s="25"/>
      <c r="P3767" s="25"/>
      <c r="Q3767" s="25"/>
      <c r="R3767" s="25"/>
      <c r="S3767" s="25"/>
      <c r="T3767" s="25"/>
      <c r="U3767" s="25"/>
      <c r="V3767" s="25"/>
      <c r="W3767" s="25"/>
      <c r="X3767" s="25"/>
      <c r="Y3767" s="25"/>
      <c r="Z3767" s="25"/>
    </row>
    <row r="3768" spans="1:26" ht="15.75" customHeight="1" x14ac:dyDescent="0.75">
      <c r="A3768" s="5">
        <v>2</v>
      </c>
      <c r="B3768" s="30" t="s">
        <v>262</v>
      </c>
      <c r="C3768" s="31" t="s">
        <v>602</v>
      </c>
      <c r="D3768" s="30" t="s">
        <v>14</v>
      </c>
      <c r="E3768" s="30">
        <v>0.46</v>
      </c>
      <c r="F3768" s="11">
        <v>435000</v>
      </c>
      <c r="G3768" s="9">
        <f t="shared" si="234"/>
        <v>200100</v>
      </c>
      <c r="H3768" s="29"/>
      <c r="I3768" s="24" t="s">
        <v>418</v>
      </c>
      <c r="J3768" s="25"/>
      <c r="K3768" s="25"/>
      <c r="L3768" s="25"/>
      <c r="M3768" s="25"/>
      <c r="N3768" s="25"/>
      <c r="O3768" s="25"/>
      <c r="P3768" s="25"/>
      <c r="Q3768" s="25"/>
      <c r="R3768" s="25"/>
      <c r="S3768" s="25"/>
      <c r="T3768" s="25"/>
      <c r="U3768" s="25"/>
      <c r="V3768" s="25"/>
      <c r="W3768" s="25"/>
      <c r="X3768" s="25"/>
      <c r="Y3768" s="25"/>
      <c r="Z3768" s="25"/>
    </row>
    <row r="3769" spans="1:26" ht="15.75" customHeight="1" x14ac:dyDescent="0.75">
      <c r="A3769" s="5">
        <v>3</v>
      </c>
      <c r="B3769" s="12" t="s">
        <v>15</v>
      </c>
      <c r="C3769" s="29"/>
      <c r="D3769" s="29"/>
      <c r="E3769" s="29"/>
      <c r="F3769" s="29"/>
      <c r="G3769" s="13">
        <f t="shared" si="234"/>
        <v>0</v>
      </c>
      <c r="H3769" s="29"/>
      <c r="I3769" s="24" t="s">
        <v>418</v>
      </c>
      <c r="J3769" s="25"/>
      <c r="K3769" s="25"/>
      <c r="L3769" s="25"/>
      <c r="M3769" s="25"/>
      <c r="N3769" s="25"/>
      <c r="O3769" s="25"/>
      <c r="P3769" s="25"/>
      <c r="Q3769" s="25"/>
      <c r="R3769" s="25"/>
      <c r="S3769" s="25"/>
      <c r="T3769" s="25"/>
      <c r="U3769" s="25"/>
      <c r="V3769" s="25"/>
      <c r="W3769" s="25"/>
      <c r="X3769" s="25"/>
      <c r="Y3769" s="25"/>
      <c r="Z3769" s="25"/>
    </row>
    <row r="3770" spans="1:26" ht="15.75" customHeight="1" x14ac:dyDescent="0.75">
      <c r="A3770" s="39" t="s">
        <v>16</v>
      </c>
      <c r="B3770" s="40"/>
      <c r="C3770" s="40"/>
      <c r="D3770" s="40"/>
      <c r="E3770" s="40"/>
      <c r="F3770" s="40"/>
      <c r="G3770" s="41"/>
      <c r="H3770" s="14">
        <f>SUM(G3767:G3769)</f>
        <v>1079100</v>
      </c>
      <c r="I3770" s="24" t="s">
        <v>418</v>
      </c>
      <c r="J3770" s="25"/>
      <c r="K3770" s="25"/>
      <c r="L3770" s="25"/>
      <c r="M3770" s="25"/>
      <c r="N3770" s="25"/>
      <c r="O3770" s="25"/>
      <c r="P3770" s="25"/>
      <c r="Q3770" s="25"/>
      <c r="R3770" s="25"/>
      <c r="S3770" s="25"/>
      <c r="T3770" s="25"/>
      <c r="U3770" s="25"/>
      <c r="V3770" s="25"/>
      <c r="W3770" s="25"/>
      <c r="X3770" s="25"/>
      <c r="Y3770" s="25"/>
      <c r="Z3770" s="25"/>
    </row>
    <row r="3771" spans="1:26" ht="15.75" customHeight="1" x14ac:dyDescent="0.75">
      <c r="A3771" s="39" t="s">
        <v>17</v>
      </c>
      <c r="B3771" s="40"/>
      <c r="C3771" s="40"/>
      <c r="D3771" s="40"/>
      <c r="E3771" s="40"/>
      <c r="F3771" s="40"/>
      <c r="G3771" s="41"/>
      <c r="H3771" s="14">
        <f>MAX(0,H3770-648000)</f>
        <v>431100</v>
      </c>
      <c r="I3771" s="24" t="s">
        <v>418</v>
      </c>
      <c r="J3771" s="25"/>
      <c r="K3771" s="25"/>
      <c r="L3771" s="25"/>
      <c r="M3771" s="25"/>
      <c r="N3771" s="25"/>
      <c r="O3771" s="25"/>
      <c r="P3771" s="25"/>
      <c r="Q3771" s="25"/>
      <c r="R3771" s="25"/>
      <c r="S3771" s="25"/>
      <c r="T3771" s="25"/>
      <c r="U3771" s="25"/>
      <c r="V3771" s="25"/>
      <c r="W3771" s="25"/>
      <c r="X3771" s="25"/>
      <c r="Y3771" s="25"/>
      <c r="Z3771" s="25"/>
    </row>
    <row r="3772" spans="1:26" ht="15.75" customHeight="1" x14ac:dyDescent="0.75">
      <c r="A3772" s="42" t="s">
        <v>18</v>
      </c>
      <c r="B3772" s="40"/>
      <c r="C3772" s="40"/>
      <c r="D3772" s="40"/>
      <c r="E3772" s="40"/>
      <c r="F3772" s="40"/>
      <c r="G3772" s="41"/>
      <c r="H3772" s="15">
        <v>649000</v>
      </c>
      <c r="I3772" s="24" t="s">
        <v>418</v>
      </c>
      <c r="J3772" s="25"/>
      <c r="K3772" s="25"/>
      <c r="L3772" s="25"/>
      <c r="M3772" s="25"/>
      <c r="N3772" s="25"/>
      <c r="O3772" s="25"/>
      <c r="P3772" s="25"/>
      <c r="Q3772" s="25"/>
      <c r="R3772" s="25"/>
      <c r="S3772" s="25"/>
      <c r="T3772" s="25"/>
      <c r="U3772" s="25"/>
      <c r="V3772" s="25"/>
      <c r="W3772" s="25"/>
      <c r="X3772" s="25"/>
      <c r="Y3772" s="25"/>
      <c r="Z3772" s="25"/>
    </row>
    <row r="3773" spans="1:26" ht="15.75" customHeight="1" x14ac:dyDescent="0.75">
      <c r="A3773" s="43" t="s">
        <v>19</v>
      </c>
      <c r="B3773" s="40"/>
      <c r="C3773" s="40"/>
      <c r="D3773" s="40"/>
      <c r="E3773" s="40"/>
      <c r="F3773" s="40"/>
      <c r="G3773" s="40"/>
      <c r="H3773" s="41"/>
      <c r="I3773" s="24" t="s">
        <v>418</v>
      </c>
      <c r="J3773" s="25"/>
      <c r="K3773" s="25"/>
      <c r="L3773" s="25"/>
      <c r="M3773" s="25"/>
      <c r="N3773" s="25"/>
      <c r="O3773" s="25"/>
      <c r="P3773" s="25"/>
      <c r="Q3773" s="25"/>
      <c r="R3773" s="25"/>
      <c r="S3773" s="25"/>
      <c r="T3773" s="25"/>
      <c r="U3773" s="25"/>
      <c r="V3773" s="25"/>
      <c r="W3773" s="25"/>
      <c r="X3773" s="25"/>
      <c r="Y3773" s="25"/>
      <c r="Z3773" s="25"/>
    </row>
    <row r="3774" spans="1:26" ht="15.75" customHeight="1" x14ac:dyDescent="0.45">
      <c r="A3774" s="25"/>
      <c r="B3774" s="25"/>
      <c r="C3774" s="25"/>
      <c r="D3774" s="25"/>
      <c r="E3774" s="25"/>
      <c r="F3774" s="25"/>
      <c r="G3774" s="25"/>
      <c r="H3774" s="25"/>
      <c r="I3774" s="24" t="s">
        <v>418</v>
      </c>
      <c r="J3774" s="25"/>
      <c r="K3774" s="25"/>
      <c r="L3774" s="25"/>
      <c r="M3774" s="25"/>
      <c r="N3774" s="25"/>
      <c r="O3774" s="25"/>
      <c r="P3774" s="25"/>
      <c r="Q3774" s="25"/>
      <c r="R3774" s="25"/>
      <c r="S3774" s="25"/>
      <c r="T3774" s="25"/>
      <c r="U3774" s="25"/>
      <c r="V3774" s="25"/>
      <c r="W3774" s="25"/>
      <c r="X3774" s="25"/>
      <c r="Y3774" s="25"/>
      <c r="Z3774" s="25"/>
    </row>
    <row r="3775" spans="1:26" ht="15.75" customHeight="1" x14ac:dyDescent="0.45">
      <c r="A3775" s="25"/>
      <c r="B3775" s="25"/>
      <c r="C3775" s="25"/>
      <c r="D3775" s="25"/>
      <c r="E3775" s="25"/>
      <c r="F3775" s="25"/>
      <c r="G3775" s="25"/>
      <c r="H3775" s="25"/>
      <c r="I3775" s="24" t="s">
        <v>418</v>
      </c>
      <c r="J3775" s="25"/>
      <c r="K3775" s="25"/>
      <c r="L3775" s="25"/>
      <c r="M3775" s="25"/>
      <c r="N3775" s="25"/>
      <c r="O3775" s="25"/>
      <c r="P3775" s="25"/>
      <c r="Q3775" s="25"/>
      <c r="R3775" s="25"/>
      <c r="S3775" s="25"/>
      <c r="T3775" s="25"/>
      <c r="U3775" s="25"/>
      <c r="V3775" s="25"/>
      <c r="W3775" s="25"/>
      <c r="X3775" s="25"/>
      <c r="Y3775" s="25"/>
      <c r="Z3775" s="25"/>
    </row>
    <row r="3776" spans="1:26" ht="15.75" customHeight="1" x14ac:dyDescent="0.45">
      <c r="A3776" s="25"/>
      <c r="B3776" s="25"/>
      <c r="C3776" s="25"/>
      <c r="D3776" s="25"/>
      <c r="E3776" s="25"/>
      <c r="F3776" s="25"/>
      <c r="G3776" s="25"/>
      <c r="H3776" s="25"/>
      <c r="I3776" s="24" t="s">
        <v>418</v>
      </c>
      <c r="J3776" s="25"/>
      <c r="K3776" s="25"/>
      <c r="L3776" s="25"/>
      <c r="M3776" s="25"/>
      <c r="N3776" s="25"/>
      <c r="O3776" s="25"/>
      <c r="P3776" s="25"/>
      <c r="Q3776" s="25"/>
      <c r="R3776" s="25"/>
      <c r="S3776" s="25"/>
      <c r="T3776" s="25"/>
      <c r="U3776" s="25"/>
      <c r="V3776" s="25"/>
      <c r="W3776" s="25"/>
      <c r="X3776" s="25"/>
      <c r="Y3776" s="25"/>
      <c r="Z3776" s="25"/>
    </row>
    <row r="3777" spans="1:26" ht="15.75" customHeight="1" x14ac:dyDescent="0.45">
      <c r="A3777" s="25"/>
      <c r="B3777" s="25"/>
      <c r="C3777" s="25"/>
      <c r="D3777" s="25"/>
      <c r="E3777" s="25"/>
      <c r="F3777" s="25"/>
      <c r="G3777" s="25"/>
      <c r="H3777" s="25"/>
      <c r="I3777" s="24" t="s">
        <v>418</v>
      </c>
      <c r="J3777" s="25"/>
      <c r="K3777" s="25"/>
      <c r="L3777" s="25"/>
      <c r="M3777" s="25"/>
      <c r="N3777" s="25"/>
      <c r="O3777" s="25"/>
      <c r="P3777" s="25"/>
      <c r="Q3777" s="25"/>
      <c r="R3777" s="25"/>
      <c r="S3777" s="25"/>
      <c r="T3777" s="25"/>
      <c r="U3777" s="25"/>
      <c r="V3777" s="25"/>
      <c r="W3777" s="25"/>
      <c r="X3777" s="25"/>
      <c r="Y3777" s="25"/>
      <c r="Z3777" s="25"/>
    </row>
    <row r="3778" spans="1:26" ht="15.75" customHeight="1" x14ac:dyDescent="0.75">
      <c r="A3778" s="43" t="s">
        <v>0</v>
      </c>
      <c r="B3778" s="40"/>
      <c r="C3778" s="40"/>
      <c r="D3778" s="40"/>
      <c r="E3778" s="40"/>
      <c r="F3778" s="40"/>
      <c r="G3778" s="40"/>
      <c r="H3778" s="41"/>
      <c r="I3778" s="24" t="s">
        <v>418</v>
      </c>
      <c r="J3778" s="25"/>
      <c r="K3778" s="25"/>
      <c r="L3778" s="25"/>
      <c r="M3778" s="25"/>
      <c r="N3778" s="25"/>
      <c r="O3778" s="25"/>
      <c r="P3778" s="25"/>
      <c r="Q3778" s="25"/>
      <c r="R3778" s="25"/>
      <c r="S3778" s="25"/>
      <c r="T3778" s="25"/>
      <c r="U3778" s="25"/>
      <c r="V3778" s="25"/>
      <c r="W3778" s="25"/>
      <c r="X3778" s="25"/>
      <c r="Y3778" s="25"/>
      <c r="Z3778" s="25"/>
    </row>
    <row r="3779" spans="1:26" ht="15.75" customHeight="1" x14ac:dyDescent="0.75">
      <c r="A3779" s="43" t="s">
        <v>603</v>
      </c>
      <c r="B3779" s="40"/>
      <c r="C3779" s="40"/>
      <c r="D3779" s="40"/>
      <c r="E3779" s="40"/>
      <c r="F3779" s="40"/>
      <c r="G3779" s="40"/>
      <c r="H3779" s="41"/>
      <c r="I3779" s="24" t="s">
        <v>418</v>
      </c>
      <c r="J3779" s="25"/>
      <c r="K3779" s="25"/>
      <c r="L3779" s="25"/>
      <c r="M3779" s="25"/>
      <c r="N3779" s="25"/>
      <c r="O3779" s="25"/>
      <c r="P3779" s="25"/>
      <c r="Q3779" s="25"/>
      <c r="R3779" s="25"/>
      <c r="S3779" s="25"/>
      <c r="T3779" s="25"/>
      <c r="U3779" s="25"/>
      <c r="V3779" s="25"/>
      <c r="W3779" s="25"/>
      <c r="X3779" s="25"/>
      <c r="Y3779" s="25"/>
      <c r="Z3779" s="25"/>
    </row>
    <row r="3780" spans="1:26" ht="15.75" customHeight="1" x14ac:dyDescent="0.55000000000000004">
      <c r="A3780" s="2" t="s">
        <v>3</v>
      </c>
      <c r="B3780" s="2" t="s">
        <v>4</v>
      </c>
      <c r="C3780" s="2" t="s">
        <v>5</v>
      </c>
      <c r="D3780" s="2" t="s">
        <v>6</v>
      </c>
      <c r="E3780" s="2" t="s">
        <v>7</v>
      </c>
      <c r="F3780" s="3" t="s">
        <v>8</v>
      </c>
      <c r="G3780" s="2" t="s">
        <v>9</v>
      </c>
      <c r="H3780" s="26"/>
      <c r="I3780" s="24" t="s">
        <v>418</v>
      </c>
      <c r="J3780" s="25"/>
      <c r="K3780" s="25"/>
      <c r="L3780" s="25"/>
      <c r="M3780" s="25"/>
      <c r="N3780" s="25"/>
      <c r="O3780" s="25"/>
      <c r="P3780" s="25"/>
      <c r="Q3780" s="25"/>
      <c r="R3780" s="25"/>
      <c r="S3780" s="25"/>
      <c r="T3780" s="25"/>
      <c r="U3780" s="25"/>
      <c r="V3780" s="25"/>
      <c r="W3780" s="25"/>
      <c r="X3780" s="25"/>
      <c r="Y3780" s="25"/>
      <c r="Z3780" s="25"/>
    </row>
    <row r="3781" spans="1:26" ht="15.75" customHeight="1" x14ac:dyDescent="0.75">
      <c r="A3781" s="5">
        <v>1</v>
      </c>
      <c r="B3781" s="27" t="s">
        <v>604</v>
      </c>
      <c r="C3781" s="28" t="s">
        <v>605</v>
      </c>
      <c r="D3781" s="27" t="s">
        <v>12</v>
      </c>
      <c r="E3781" s="27">
        <v>1.73</v>
      </c>
      <c r="F3781" s="8">
        <v>293000</v>
      </c>
      <c r="G3781" s="9">
        <f t="shared" ref="G3781:G3783" si="235">IFERROR(E3781*F3781,0)</f>
        <v>506890</v>
      </c>
      <c r="H3781" s="29"/>
      <c r="I3781" s="24" t="s">
        <v>418</v>
      </c>
      <c r="J3781" s="25"/>
      <c r="K3781" s="25"/>
      <c r="L3781" s="25"/>
      <c r="M3781" s="25"/>
      <c r="N3781" s="25"/>
      <c r="O3781" s="25"/>
      <c r="P3781" s="25"/>
      <c r="Q3781" s="25"/>
      <c r="R3781" s="25"/>
      <c r="S3781" s="25"/>
      <c r="T3781" s="25"/>
      <c r="U3781" s="25"/>
      <c r="V3781" s="25"/>
      <c r="W3781" s="25"/>
      <c r="X3781" s="25"/>
      <c r="Y3781" s="25"/>
      <c r="Z3781" s="25"/>
    </row>
    <row r="3782" spans="1:26" ht="15.75" customHeight="1" x14ac:dyDescent="0.75">
      <c r="A3782" s="5">
        <v>2</v>
      </c>
      <c r="B3782" s="30" t="s">
        <v>606</v>
      </c>
      <c r="C3782" s="31" t="s">
        <v>607</v>
      </c>
      <c r="D3782" s="30" t="s">
        <v>14</v>
      </c>
      <c r="E3782" s="30">
        <v>1.66</v>
      </c>
      <c r="F3782" s="11">
        <v>435000</v>
      </c>
      <c r="G3782" s="9">
        <f t="shared" si="235"/>
        <v>722100</v>
      </c>
      <c r="H3782" s="29"/>
      <c r="I3782" s="24" t="s">
        <v>418</v>
      </c>
      <c r="J3782" s="25"/>
      <c r="K3782" s="25"/>
      <c r="L3782" s="25"/>
      <c r="M3782" s="25"/>
      <c r="N3782" s="25"/>
      <c r="O3782" s="25"/>
      <c r="P3782" s="25"/>
      <c r="Q3782" s="25"/>
      <c r="R3782" s="25"/>
      <c r="S3782" s="25"/>
      <c r="T3782" s="25"/>
      <c r="U3782" s="25"/>
      <c r="V3782" s="25"/>
      <c r="W3782" s="25"/>
      <c r="X3782" s="25"/>
      <c r="Y3782" s="25"/>
      <c r="Z3782" s="25"/>
    </row>
    <row r="3783" spans="1:26" ht="15.75" customHeight="1" x14ac:dyDescent="0.75">
      <c r="A3783" s="5">
        <v>3</v>
      </c>
      <c r="B3783" s="12" t="s">
        <v>15</v>
      </c>
      <c r="C3783" s="29"/>
      <c r="D3783" s="29"/>
      <c r="E3783" s="29"/>
      <c r="F3783" s="29"/>
      <c r="G3783" s="13">
        <f t="shared" si="235"/>
        <v>0</v>
      </c>
      <c r="H3783" s="29"/>
      <c r="I3783" s="24" t="s">
        <v>418</v>
      </c>
      <c r="J3783" s="25"/>
      <c r="K3783" s="25"/>
      <c r="L3783" s="25"/>
      <c r="M3783" s="25"/>
      <c r="N3783" s="25"/>
      <c r="O3783" s="25"/>
      <c r="P3783" s="25"/>
      <c r="Q3783" s="25"/>
      <c r="R3783" s="25"/>
      <c r="S3783" s="25"/>
      <c r="T3783" s="25"/>
      <c r="U3783" s="25"/>
      <c r="V3783" s="25"/>
      <c r="W3783" s="25"/>
      <c r="X3783" s="25"/>
      <c r="Y3783" s="25"/>
      <c r="Z3783" s="25"/>
    </row>
    <row r="3784" spans="1:26" ht="15.75" customHeight="1" x14ac:dyDescent="0.75">
      <c r="A3784" s="39" t="s">
        <v>16</v>
      </c>
      <c r="B3784" s="40"/>
      <c r="C3784" s="40"/>
      <c r="D3784" s="40"/>
      <c r="E3784" s="40"/>
      <c r="F3784" s="40"/>
      <c r="G3784" s="41"/>
      <c r="H3784" s="14">
        <f>SUM(G3781:G3783)</f>
        <v>1228990</v>
      </c>
      <c r="I3784" s="24" t="s">
        <v>418</v>
      </c>
      <c r="J3784" s="25"/>
      <c r="K3784" s="25"/>
      <c r="L3784" s="25"/>
      <c r="M3784" s="25"/>
      <c r="N3784" s="25"/>
      <c r="O3784" s="25"/>
      <c r="P3784" s="25"/>
      <c r="Q3784" s="25"/>
      <c r="R3784" s="25"/>
      <c r="S3784" s="25"/>
      <c r="T3784" s="25"/>
      <c r="U3784" s="25"/>
      <c r="V3784" s="25"/>
      <c r="W3784" s="25"/>
      <c r="X3784" s="25"/>
      <c r="Y3784" s="25"/>
      <c r="Z3784" s="25"/>
    </row>
    <row r="3785" spans="1:26" ht="15.75" customHeight="1" x14ac:dyDescent="0.75">
      <c r="A3785" s="39" t="s">
        <v>17</v>
      </c>
      <c r="B3785" s="40"/>
      <c r="C3785" s="40"/>
      <c r="D3785" s="40"/>
      <c r="E3785" s="40"/>
      <c r="F3785" s="40"/>
      <c r="G3785" s="41"/>
      <c r="H3785" s="14">
        <f>MAX(0,H3784-648000)</f>
        <v>580990</v>
      </c>
      <c r="I3785" s="24" t="s">
        <v>418</v>
      </c>
      <c r="J3785" s="25"/>
      <c r="K3785" s="25"/>
      <c r="L3785" s="25"/>
      <c r="M3785" s="25"/>
      <c r="N3785" s="25"/>
      <c r="O3785" s="25"/>
      <c r="P3785" s="25"/>
      <c r="Q3785" s="25"/>
      <c r="R3785" s="25"/>
      <c r="S3785" s="25"/>
      <c r="T3785" s="25"/>
      <c r="U3785" s="25"/>
      <c r="V3785" s="25"/>
      <c r="W3785" s="25"/>
      <c r="X3785" s="25"/>
      <c r="Y3785" s="25"/>
      <c r="Z3785" s="25"/>
    </row>
    <row r="3786" spans="1:26" ht="15.75" customHeight="1" x14ac:dyDescent="0.75">
      <c r="A3786" s="42" t="s">
        <v>18</v>
      </c>
      <c r="B3786" s="40"/>
      <c r="C3786" s="40"/>
      <c r="D3786" s="40"/>
      <c r="E3786" s="40"/>
      <c r="F3786" s="40"/>
      <c r="G3786" s="41"/>
      <c r="H3786" s="15">
        <v>649000</v>
      </c>
      <c r="I3786" s="24" t="s">
        <v>418</v>
      </c>
      <c r="J3786" s="25"/>
      <c r="K3786" s="25"/>
      <c r="L3786" s="25"/>
      <c r="M3786" s="25"/>
      <c r="N3786" s="25"/>
      <c r="O3786" s="25"/>
      <c r="P3786" s="25"/>
      <c r="Q3786" s="25"/>
      <c r="R3786" s="25"/>
      <c r="S3786" s="25"/>
      <c r="T3786" s="25"/>
      <c r="U3786" s="25"/>
      <c r="V3786" s="25"/>
      <c r="W3786" s="25"/>
      <c r="X3786" s="25"/>
      <c r="Y3786" s="25"/>
      <c r="Z3786" s="25"/>
    </row>
    <row r="3787" spans="1:26" ht="15.75" customHeight="1" x14ac:dyDescent="0.75">
      <c r="A3787" s="43" t="s">
        <v>19</v>
      </c>
      <c r="B3787" s="40"/>
      <c r="C3787" s="40"/>
      <c r="D3787" s="40"/>
      <c r="E3787" s="40"/>
      <c r="F3787" s="40"/>
      <c r="G3787" s="40"/>
      <c r="H3787" s="41"/>
      <c r="I3787" s="24" t="s">
        <v>418</v>
      </c>
      <c r="J3787" s="25"/>
      <c r="K3787" s="25"/>
      <c r="L3787" s="25"/>
      <c r="M3787" s="25"/>
      <c r="N3787" s="25"/>
      <c r="O3787" s="25"/>
      <c r="P3787" s="25"/>
      <c r="Q3787" s="25"/>
      <c r="R3787" s="25"/>
      <c r="S3787" s="25"/>
      <c r="T3787" s="25"/>
      <c r="U3787" s="25"/>
      <c r="V3787" s="25"/>
      <c r="W3787" s="25"/>
      <c r="X3787" s="25"/>
      <c r="Y3787" s="25"/>
      <c r="Z3787" s="25"/>
    </row>
    <row r="3788" spans="1:26" ht="15.75" customHeight="1" x14ac:dyDescent="0.45">
      <c r="A3788" s="25"/>
      <c r="B3788" s="25"/>
      <c r="C3788" s="25"/>
      <c r="D3788" s="25"/>
      <c r="E3788" s="25"/>
      <c r="F3788" s="25"/>
      <c r="G3788" s="25"/>
      <c r="H3788" s="25"/>
      <c r="I3788" s="24" t="s">
        <v>418</v>
      </c>
      <c r="J3788" s="25"/>
      <c r="K3788" s="25"/>
      <c r="L3788" s="25"/>
      <c r="M3788" s="25"/>
      <c r="N3788" s="25"/>
      <c r="O3788" s="25"/>
      <c r="P3788" s="25"/>
      <c r="Q3788" s="25"/>
      <c r="R3788" s="25"/>
      <c r="S3788" s="25"/>
      <c r="T3788" s="25"/>
      <c r="U3788" s="25"/>
      <c r="V3788" s="25"/>
      <c r="W3788" s="25"/>
      <c r="X3788" s="25"/>
      <c r="Y3788" s="25"/>
      <c r="Z3788" s="25"/>
    </row>
    <row r="3789" spans="1:26" ht="15.75" customHeight="1" x14ac:dyDescent="0.45">
      <c r="A3789" s="25"/>
      <c r="B3789" s="25"/>
      <c r="C3789" s="25"/>
      <c r="D3789" s="25"/>
      <c r="E3789" s="25"/>
      <c r="F3789" s="25"/>
      <c r="G3789" s="25"/>
      <c r="H3789" s="25"/>
      <c r="I3789" s="24" t="s">
        <v>418</v>
      </c>
      <c r="J3789" s="25"/>
      <c r="K3789" s="25"/>
      <c r="L3789" s="25"/>
      <c r="M3789" s="25"/>
      <c r="N3789" s="25"/>
      <c r="O3789" s="25"/>
      <c r="P3789" s="25"/>
      <c r="Q3789" s="25"/>
      <c r="R3789" s="25"/>
      <c r="S3789" s="25"/>
      <c r="T3789" s="25"/>
      <c r="U3789" s="25"/>
      <c r="V3789" s="25"/>
      <c r="W3789" s="25"/>
      <c r="X3789" s="25"/>
      <c r="Y3789" s="25"/>
      <c r="Z3789" s="25"/>
    </row>
    <row r="3790" spans="1:26" ht="15.75" customHeight="1" x14ac:dyDescent="0.45">
      <c r="A3790" s="25"/>
      <c r="B3790" s="25"/>
      <c r="C3790" s="25"/>
      <c r="D3790" s="25"/>
      <c r="E3790" s="25"/>
      <c r="F3790" s="25"/>
      <c r="G3790" s="25"/>
      <c r="H3790" s="25"/>
      <c r="I3790" s="24" t="s">
        <v>418</v>
      </c>
      <c r="J3790" s="25"/>
      <c r="K3790" s="25"/>
      <c r="L3790" s="25"/>
      <c r="M3790" s="25"/>
      <c r="N3790" s="25"/>
      <c r="O3790" s="25"/>
      <c r="P3790" s="25"/>
      <c r="Q3790" s="25"/>
      <c r="R3790" s="25"/>
      <c r="S3790" s="25"/>
      <c r="T3790" s="25"/>
      <c r="U3790" s="25"/>
      <c r="V3790" s="25"/>
      <c r="W3790" s="25"/>
      <c r="X3790" s="25"/>
      <c r="Y3790" s="25"/>
      <c r="Z3790" s="25"/>
    </row>
    <row r="3791" spans="1:26" ht="15.75" customHeight="1" x14ac:dyDescent="0.45">
      <c r="A3791" s="25"/>
      <c r="B3791" s="25"/>
      <c r="C3791" s="25"/>
      <c r="D3791" s="25"/>
      <c r="E3791" s="25"/>
      <c r="F3791" s="25"/>
      <c r="G3791" s="25"/>
      <c r="H3791" s="25"/>
      <c r="I3791" s="24" t="s">
        <v>418</v>
      </c>
      <c r="J3791" s="25"/>
      <c r="K3791" s="25"/>
      <c r="L3791" s="25"/>
      <c r="M3791" s="25"/>
      <c r="N3791" s="25"/>
      <c r="O3791" s="25"/>
      <c r="P3791" s="25"/>
      <c r="Q3791" s="25"/>
      <c r="R3791" s="25"/>
      <c r="S3791" s="25"/>
      <c r="T3791" s="25"/>
      <c r="U3791" s="25"/>
      <c r="V3791" s="25"/>
      <c r="W3791" s="25"/>
      <c r="X3791" s="25"/>
      <c r="Y3791" s="25"/>
      <c r="Z3791" s="25"/>
    </row>
    <row r="3792" spans="1:26" ht="15.75" customHeight="1" x14ac:dyDescent="0.45">
      <c r="A3792" s="25"/>
      <c r="B3792" s="25"/>
      <c r="C3792" s="25"/>
      <c r="D3792" s="25"/>
      <c r="E3792" s="25"/>
      <c r="F3792" s="25"/>
      <c r="G3792" s="25"/>
      <c r="H3792" s="25"/>
      <c r="I3792" s="24" t="s">
        <v>418</v>
      </c>
      <c r="J3792" s="25"/>
      <c r="K3792" s="25"/>
      <c r="L3792" s="25"/>
      <c r="M3792" s="25"/>
      <c r="N3792" s="25"/>
      <c r="O3792" s="25"/>
      <c r="P3792" s="25"/>
      <c r="Q3792" s="25"/>
      <c r="R3792" s="25"/>
      <c r="S3792" s="25"/>
      <c r="T3792" s="25"/>
      <c r="U3792" s="25"/>
      <c r="V3792" s="25"/>
      <c r="W3792" s="25"/>
      <c r="X3792" s="25"/>
      <c r="Y3792" s="25"/>
      <c r="Z3792" s="25"/>
    </row>
    <row r="3793" spans="1:26" ht="15.75" customHeight="1" x14ac:dyDescent="0.75">
      <c r="A3793" s="43" t="s">
        <v>0</v>
      </c>
      <c r="B3793" s="40"/>
      <c r="C3793" s="40"/>
      <c r="D3793" s="40"/>
      <c r="E3793" s="40"/>
      <c r="F3793" s="40"/>
      <c r="G3793" s="40"/>
      <c r="H3793" s="41"/>
      <c r="I3793" s="24" t="s">
        <v>418</v>
      </c>
      <c r="J3793" s="25"/>
      <c r="K3793" s="25"/>
      <c r="L3793" s="25"/>
      <c r="M3793" s="25"/>
      <c r="N3793" s="25"/>
      <c r="O3793" s="25"/>
      <c r="P3793" s="25"/>
      <c r="Q3793" s="25"/>
      <c r="R3793" s="25"/>
      <c r="S3793" s="25"/>
      <c r="T3793" s="25"/>
      <c r="U3793" s="25"/>
      <c r="V3793" s="25"/>
      <c r="W3793" s="25"/>
      <c r="X3793" s="25"/>
      <c r="Y3793" s="25"/>
      <c r="Z3793" s="25"/>
    </row>
    <row r="3794" spans="1:26" ht="15.75" customHeight="1" x14ac:dyDescent="0.75">
      <c r="A3794" s="43" t="s">
        <v>608</v>
      </c>
      <c r="B3794" s="40"/>
      <c r="C3794" s="40"/>
      <c r="D3794" s="40"/>
      <c r="E3794" s="40"/>
      <c r="F3794" s="40"/>
      <c r="G3794" s="40"/>
      <c r="H3794" s="41"/>
      <c r="I3794" s="24" t="s">
        <v>418</v>
      </c>
      <c r="J3794" s="25"/>
      <c r="K3794" s="25"/>
      <c r="L3794" s="25"/>
      <c r="M3794" s="25"/>
      <c r="N3794" s="25"/>
      <c r="O3794" s="25"/>
      <c r="P3794" s="25"/>
      <c r="Q3794" s="25"/>
      <c r="R3794" s="25"/>
      <c r="S3794" s="25"/>
      <c r="T3794" s="25"/>
      <c r="U3794" s="25"/>
      <c r="V3794" s="25"/>
      <c r="W3794" s="25"/>
      <c r="X3794" s="25"/>
      <c r="Y3794" s="25"/>
      <c r="Z3794" s="25"/>
    </row>
    <row r="3795" spans="1:26" ht="15.75" customHeight="1" x14ac:dyDescent="0.55000000000000004">
      <c r="A3795" s="2" t="s">
        <v>3</v>
      </c>
      <c r="B3795" s="2" t="s">
        <v>4</v>
      </c>
      <c r="C3795" s="2" t="s">
        <v>5</v>
      </c>
      <c r="D3795" s="2" t="s">
        <v>6</v>
      </c>
      <c r="E3795" s="2" t="s">
        <v>7</v>
      </c>
      <c r="F3795" s="3" t="s">
        <v>8</v>
      </c>
      <c r="G3795" s="2" t="s">
        <v>9</v>
      </c>
      <c r="H3795" s="26"/>
      <c r="I3795" s="24" t="s">
        <v>418</v>
      </c>
      <c r="J3795" s="25"/>
      <c r="K3795" s="25"/>
      <c r="L3795" s="25"/>
      <c r="M3795" s="25"/>
      <c r="N3795" s="25"/>
      <c r="O3795" s="25"/>
      <c r="P3795" s="25"/>
      <c r="Q3795" s="25"/>
      <c r="R3795" s="25"/>
      <c r="S3795" s="25"/>
      <c r="T3795" s="25"/>
      <c r="U3795" s="25"/>
      <c r="V3795" s="25"/>
      <c r="W3795" s="25"/>
      <c r="X3795" s="25"/>
      <c r="Y3795" s="25"/>
      <c r="Z3795" s="25"/>
    </row>
    <row r="3796" spans="1:26" ht="15.75" customHeight="1" x14ac:dyDescent="0.75">
      <c r="A3796" s="5">
        <v>1</v>
      </c>
      <c r="B3796" s="27" t="s">
        <v>87</v>
      </c>
      <c r="C3796" s="28" t="s">
        <v>609</v>
      </c>
      <c r="D3796" s="27" t="s">
        <v>12</v>
      </c>
      <c r="E3796" s="27">
        <v>1.8</v>
      </c>
      <c r="F3796" s="8">
        <v>293000</v>
      </c>
      <c r="G3796" s="9">
        <f t="shared" ref="G3796:G3798" si="236">IFERROR(E3796*F3796,0)</f>
        <v>527400</v>
      </c>
      <c r="H3796" s="29"/>
      <c r="I3796" s="24" t="s">
        <v>418</v>
      </c>
      <c r="J3796" s="25"/>
      <c r="K3796" s="25"/>
      <c r="L3796" s="25"/>
      <c r="M3796" s="25"/>
      <c r="N3796" s="25"/>
      <c r="O3796" s="25"/>
      <c r="P3796" s="25"/>
      <c r="Q3796" s="25"/>
      <c r="R3796" s="25"/>
      <c r="S3796" s="25"/>
      <c r="T3796" s="25"/>
      <c r="U3796" s="25"/>
      <c r="V3796" s="25"/>
      <c r="W3796" s="25"/>
      <c r="X3796" s="25"/>
      <c r="Y3796" s="25"/>
      <c r="Z3796" s="25"/>
    </row>
    <row r="3797" spans="1:26" ht="15.75" customHeight="1" x14ac:dyDescent="0.75">
      <c r="A3797" s="5">
        <v>2</v>
      </c>
      <c r="B3797" s="30" t="s">
        <v>288</v>
      </c>
      <c r="C3797" s="31" t="s">
        <v>610</v>
      </c>
      <c r="D3797" s="30" t="s">
        <v>14</v>
      </c>
      <c r="E3797" s="30">
        <v>1.8</v>
      </c>
      <c r="F3797" s="11">
        <v>435000</v>
      </c>
      <c r="G3797" s="9">
        <f t="shared" si="236"/>
        <v>783000</v>
      </c>
      <c r="H3797" s="29"/>
      <c r="I3797" s="24" t="s">
        <v>418</v>
      </c>
      <c r="J3797" s="25"/>
      <c r="K3797" s="25"/>
      <c r="L3797" s="25"/>
      <c r="M3797" s="25"/>
      <c r="N3797" s="25"/>
      <c r="O3797" s="25"/>
      <c r="P3797" s="25"/>
      <c r="Q3797" s="25"/>
      <c r="R3797" s="25"/>
      <c r="S3797" s="25"/>
      <c r="T3797" s="25"/>
      <c r="U3797" s="25"/>
      <c r="V3797" s="25"/>
      <c r="W3797" s="25"/>
      <c r="X3797" s="25"/>
      <c r="Y3797" s="25"/>
      <c r="Z3797" s="25"/>
    </row>
    <row r="3798" spans="1:26" ht="15.75" customHeight="1" x14ac:dyDescent="0.75">
      <c r="A3798" s="5">
        <v>3</v>
      </c>
      <c r="B3798" s="12" t="s">
        <v>15</v>
      </c>
      <c r="C3798" s="29"/>
      <c r="D3798" s="29"/>
      <c r="E3798" s="29"/>
      <c r="F3798" s="29"/>
      <c r="G3798" s="13">
        <f t="shared" si="236"/>
        <v>0</v>
      </c>
      <c r="H3798" s="29"/>
      <c r="I3798" s="24" t="s">
        <v>418</v>
      </c>
      <c r="J3798" s="25"/>
      <c r="K3798" s="25"/>
      <c r="L3798" s="25"/>
      <c r="M3798" s="25"/>
      <c r="N3798" s="25"/>
      <c r="O3798" s="25"/>
      <c r="P3798" s="25"/>
      <c r="Q3798" s="25"/>
      <c r="R3798" s="25"/>
      <c r="S3798" s="25"/>
      <c r="T3798" s="25"/>
      <c r="U3798" s="25"/>
      <c r="V3798" s="25"/>
      <c r="W3798" s="25"/>
      <c r="X3798" s="25"/>
      <c r="Y3798" s="25"/>
      <c r="Z3798" s="25"/>
    </row>
    <row r="3799" spans="1:26" ht="15.75" customHeight="1" x14ac:dyDescent="0.75">
      <c r="A3799" s="39" t="s">
        <v>16</v>
      </c>
      <c r="B3799" s="40"/>
      <c r="C3799" s="40"/>
      <c r="D3799" s="40"/>
      <c r="E3799" s="40"/>
      <c r="F3799" s="40"/>
      <c r="G3799" s="41"/>
      <c r="H3799" s="14">
        <f>SUM(G3796:G3798)</f>
        <v>1310400</v>
      </c>
      <c r="I3799" s="24" t="s">
        <v>418</v>
      </c>
      <c r="J3799" s="25"/>
      <c r="K3799" s="25"/>
      <c r="L3799" s="25"/>
      <c r="M3799" s="25"/>
      <c r="N3799" s="25"/>
      <c r="O3799" s="25"/>
      <c r="P3799" s="25"/>
      <c r="Q3799" s="25"/>
      <c r="R3799" s="25"/>
      <c r="S3799" s="25"/>
      <c r="T3799" s="25"/>
      <c r="U3799" s="25"/>
      <c r="V3799" s="25"/>
      <c r="W3799" s="25"/>
      <c r="X3799" s="25"/>
      <c r="Y3799" s="25"/>
      <c r="Z3799" s="25"/>
    </row>
    <row r="3800" spans="1:26" ht="15.75" customHeight="1" x14ac:dyDescent="0.75">
      <c r="A3800" s="39" t="s">
        <v>17</v>
      </c>
      <c r="B3800" s="40"/>
      <c r="C3800" s="40"/>
      <c r="D3800" s="40"/>
      <c r="E3800" s="40"/>
      <c r="F3800" s="40"/>
      <c r="G3800" s="41"/>
      <c r="H3800" s="14">
        <f>MAX(0,H3799-648000)</f>
        <v>662400</v>
      </c>
      <c r="I3800" s="24" t="s">
        <v>418</v>
      </c>
      <c r="J3800" s="25"/>
      <c r="K3800" s="25"/>
      <c r="L3800" s="25"/>
      <c r="M3800" s="25"/>
      <c r="N3800" s="25"/>
      <c r="O3800" s="25"/>
      <c r="P3800" s="25"/>
      <c r="Q3800" s="25"/>
      <c r="R3800" s="25"/>
      <c r="S3800" s="25"/>
      <c r="T3800" s="25"/>
      <c r="U3800" s="25"/>
      <c r="V3800" s="25"/>
      <c r="W3800" s="25"/>
      <c r="X3800" s="25"/>
      <c r="Y3800" s="25"/>
      <c r="Z3800" s="25"/>
    </row>
    <row r="3801" spans="1:26" ht="15.75" customHeight="1" x14ac:dyDescent="0.75">
      <c r="A3801" s="42" t="s">
        <v>18</v>
      </c>
      <c r="B3801" s="40"/>
      <c r="C3801" s="40"/>
      <c r="D3801" s="40"/>
      <c r="E3801" s="40"/>
      <c r="F3801" s="40"/>
      <c r="G3801" s="41"/>
      <c r="H3801" s="15">
        <v>649000</v>
      </c>
      <c r="I3801" s="24" t="s">
        <v>418</v>
      </c>
      <c r="J3801" s="25"/>
      <c r="K3801" s="25"/>
      <c r="L3801" s="25"/>
      <c r="M3801" s="25"/>
      <c r="N3801" s="25"/>
      <c r="O3801" s="25"/>
      <c r="P3801" s="25"/>
      <c r="Q3801" s="25"/>
      <c r="R3801" s="25"/>
      <c r="S3801" s="25"/>
      <c r="T3801" s="25"/>
      <c r="U3801" s="25"/>
      <c r="V3801" s="25"/>
      <c r="W3801" s="25"/>
      <c r="X3801" s="25"/>
      <c r="Y3801" s="25"/>
      <c r="Z3801" s="25"/>
    </row>
    <row r="3802" spans="1:26" ht="15.75" customHeight="1" x14ac:dyDescent="0.75">
      <c r="A3802" s="43" t="s">
        <v>19</v>
      </c>
      <c r="B3802" s="40"/>
      <c r="C3802" s="40"/>
      <c r="D3802" s="40"/>
      <c r="E3802" s="40"/>
      <c r="F3802" s="40"/>
      <c r="G3802" s="40"/>
      <c r="H3802" s="41"/>
      <c r="I3802" s="24" t="s">
        <v>418</v>
      </c>
      <c r="J3802" s="25"/>
      <c r="K3802" s="25"/>
      <c r="L3802" s="25"/>
      <c r="M3802" s="25"/>
      <c r="N3802" s="25"/>
      <c r="O3802" s="25"/>
      <c r="P3802" s="25"/>
      <c r="Q3802" s="25"/>
      <c r="R3802" s="25"/>
      <c r="S3802" s="25"/>
      <c r="T3802" s="25"/>
      <c r="U3802" s="25"/>
      <c r="V3802" s="25"/>
      <c r="W3802" s="25"/>
      <c r="X3802" s="25"/>
      <c r="Y3802" s="25"/>
      <c r="Z3802" s="25"/>
    </row>
    <row r="3803" spans="1:26" ht="15.75" customHeight="1" x14ac:dyDescent="0.45">
      <c r="A3803" s="25"/>
      <c r="B3803" s="25"/>
      <c r="C3803" s="25"/>
      <c r="D3803" s="25"/>
      <c r="E3803" s="25"/>
      <c r="F3803" s="25"/>
      <c r="G3803" s="25"/>
      <c r="H3803" s="25"/>
      <c r="I3803" s="24" t="s">
        <v>418</v>
      </c>
      <c r="J3803" s="25"/>
      <c r="K3803" s="25"/>
      <c r="L3803" s="25"/>
      <c r="M3803" s="25"/>
      <c r="N3803" s="25"/>
      <c r="O3803" s="25"/>
      <c r="P3803" s="25"/>
      <c r="Q3803" s="25"/>
      <c r="R3803" s="25"/>
      <c r="S3803" s="25"/>
      <c r="T3803" s="25"/>
      <c r="U3803" s="25"/>
      <c r="V3803" s="25"/>
      <c r="W3803" s="25"/>
      <c r="X3803" s="25"/>
      <c r="Y3803" s="25"/>
      <c r="Z3803" s="25"/>
    </row>
    <row r="3804" spans="1:26" ht="15.75" customHeight="1" x14ac:dyDescent="0.45">
      <c r="A3804" s="25"/>
      <c r="B3804" s="25"/>
      <c r="C3804" s="25"/>
      <c r="D3804" s="25"/>
      <c r="E3804" s="25"/>
      <c r="F3804" s="25"/>
      <c r="G3804" s="25"/>
      <c r="H3804" s="25"/>
      <c r="I3804" s="24" t="s">
        <v>418</v>
      </c>
      <c r="J3804" s="25"/>
      <c r="K3804" s="25"/>
      <c r="L3804" s="25"/>
      <c r="M3804" s="25"/>
      <c r="N3804" s="25"/>
      <c r="O3804" s="25"/>
      <c r="P3804" s="25"/>
      <c r="Q3804" s="25"/>
      <c r="R3804" s="25"/>
      <c r="S3804" s="25"/>
      <c r="T3804" s="25"/>
      <c r="U3804" s="25"/>
      <c r="V3804" s="25"/>
      <c r="W3804" s="25"/>
      <c r="X3804" s="25"/>
      <c r="Y3804" s="25"/>
      <c r="Z3804" s="25"/>
    </row>
    <row r="3805" spans="1:26" ht="15.75" customHeight="1" x14ac:dyDescent="0.45">
      <c r="A3805" s="25"/>
      <c r="B3805" s="25"/>
      <c r="C3805" s="25"/>
      <c r="D3805" s="25"/>
      <c r="E3805" s="25"/>
      <c r="F3805" s="25"/>
      <c r="G3805" s="25"/>
      <c r="H3805" s="25"/>
      <c r="I3805" s="24" t="s">
        <v>418</v>
      </c>
      <c r="J3805" s="25"/>
      <c r="K3805" s="25"/>
      <c r="L3805" s="25"/>
      <c r="M3805" s="25"/>
      <c r="N3805" s="25"/>
      <c r="O3805" s="25"/>
      <c r="P3805" s="25"/>
      <c r="Q3805" s="25"/>
      <c r="R3805" s="25"/>
      <c r="S3805" s="25"/>
      <c r="T3805" s="25"/>
      <c r="U3805" s="25"/>
      <c r="V3805" s="25"/>
      <c r="W3805" s="25"/>
      <c r="X3805" s="25"/>
      <c r="Y3805" s="25"/>
      <c r="Z3805" s="25"/>
    </row>
    <row r="3806" spans="1:26" ht="15.75" customHeight="1" x14ac:dyDescent="0.45">
      <c r="A3806" s="25"/>
      <c r="B3806" s="25"/>
      <c r="C3806" s="25"/>
      <c r="D3806" s="25"/>
      <c r="E3806" s="25"/>
      <c r="F3806" s="25"/>
      <c r="G3806" s="25"/>
      <c r="H3806" s="25"/>
      <c r="I3806" s="24" t="s">
        <v>418</v>
      </c>
      <c r="J3806" s="25"/>
      <c r="K3806" s="25"/>
      <c r="L3806" s="25"/>
      <c r="M3806" s="25"/>
      <c r="N3806" s="25"/>
      <c r="O3806" s="25"/>
      <c r="P3806" s="25"/>
      <c r="Q3806" s="25"/>
      <c r="R3806" s="25"/>
      <c r="S3806" s="25"/>
      <c r="T3806" s="25"/>
      <c r="U3806" s="25"/>
      <c r="V3806" s="25"/>
      <c r="W3806" s="25"/>
      <c r="X3806" s="25"/>
      <c r="Y3806" s="25"/>
      <c r="Z3806" s="25"/>
    </row>
    <row r="3807" spans="1:26" ht="15.75" customHeight="1" x14ac:dyDescent="0.45">
      <c r="A3807" s="25"/>
      <c r="B3807" s="25"/>
      <c r="C3807" s="25"/>
      <c r="D3807" s="25"/>
      <c r="E3807" s="25"/>
      <c r="F3807" s="25"/>
      <c r="G3807" s="25"/>
      <c r="H3807" s="25"/>
      <c r="I3807" s="24" t="s">
        <v>418</v>
      </c>
      <c r="J3807" s="25"/>
      <c r="K3807" s="25"/>
      <c r="L3807" s="25"/>
      <c r="M3807" s="25"/>
      <c r="N3807" s="25"/>
      <c r="O3807" s="25"/>
      <c r="P3807" s="25"/>
      <c r="Q3807" s="25"/>
      <c r="R3807" s="25"/>
      <c r="S3807" s="25"/>
      <c r="T3807" s="25"/>
      <c r="U3807" s="25"/>
      <c r="V3807" s="25"/>
      <c r="W3807" s="25"/>
      <c r="X3807" s="25"/>
      <c r="Y3807" s="25"/>
      <c r="Z3807" s="25"/>
    </row>
    <row r="3808" spans="1:26" ht="15.75" customHeight="1" x14ac:dyDescent="0.75">
      <c r="A3808" s="43" t="s">
        <v>0</v>
      </c>
      <c r="B3808" s="40"/>
      <c r="C3808" s="40"/>
      <c r="D3808" s="40"/>
      <c r="E3808" s="40"/>
      <c r="F3808" s="40"/>
      <c r="G3808" s="40"/>
      <c r="H3808" s="41"/>
      <c r="I3808" s="24" t="s">
        <v>418</v>
      </c>
      <c r="J3808" s="25"/>
      <c r="K3808" s="25"/>
      <c r="L3808" s="25"/>
      <c r="M3808" s="25"/>
      <c r="N3808" s="25"/>
      <c r="O3808" s="25"/>
      <c r="P3808" s="25"/>
      <c r="Q3808" s="25"/>
      <c r="R3808" s="25"/>
      <c r="S3808" s="25"/>
      <c r="T3808" s="25"/>
      <c r="U3808" s="25"/>
      <c r="V3808" s="25"/>
      <c r="W3808" s="25"/>
      <c r="X3808" s="25"/>
      <c r="Y3808" s="25"/>
      <c r="Z3808" s="25"/>
    </row>
    <row r="3809" spans="1:26" ht="15.75" customHeight="1" x14ac:dyDescent="0.75">
      <c r="A3809" s="43" t="s">
        <v>611</v>
      </c>
      <c r="B3809" s="40"/>
      <c r="C3809" s="40"/>
      <c r="D3809" s="40"/>
      <c r="E3809" s="40"/>
      <c r="F3809" s="40"/>
      <c r="G3809" s="40"/>
      <c r="H3809" s="41"/>
      <c r="I3809" s="24" t="s">
        <v>418</v>
      </c>
      <c r="J3809" s="25"/>
      <c r="K3809" s="25"/>
      <c r="L3809" s="25"/>
      <c r="M3809" s="25"/>
      <c r="N3809" s="25"/>
      <c r="O3809" s="25"/>
      <c r="P3809" s="25"/>
      <c r="Q3809" s="25"/>
      <c r="R3809" s="25"/>
      <c r="S3809" s="25"/>
      <c r="T3809" s="25"/>
      <c r="U3809" s="25"/>
      <c r="V3809" s="25"/>
      <c r="W3809" s="25"/>
      <c r="X3809" s="25"/>
      <c r="Y3809" s="25"/>
      <c r="Z3809" s="25"/>
    </row>
    <row r="3810" spans="1:26" ht="15.75" customHeight="1" x14ac:dyDescent="0.55000000000000004">
      <c r="A3810" s="2" t="s">
        <v>3</v>
      </c>
      <c r="B3810" s="2" t="s">
        <v>4</v>
      </c>
      <c r="C3810" s="2" t="s">
        <v>5</v>
      </c>
      <c r="D3810" s="2" t="s">
        <v>6</v>
      </c>
      <c r="E3810" s="2" t="s">
        <v>7</v>
      </c>
      <c r="F3810" s="3" t="s">
        <v>8</v>
      </c>
      <c r="G3810" s="2" t="s">
        <v>9</v>
      </c>
      <c r="H3810" s="26"/>
      <c r="I3810" s="24" t="s">
        <v>418</v>
      </c>
      <c r="J3810" s="25"/>
      <c r="K3810" s="25"/>
      <c r="L3810" s="25"/>
      <c r="M3810" s="25"/>
      <c r="N3810" s="25"/>
      <c r="O3810" s="25"/>
      <c r="P3810" s="25"/>
      <c r="Q3810" s="25"/>
      <c r="R3810" s="25"/>
      <c r="S3810" s="25"/>
      <c r="T3810" s="25"/>
      <c r="U3810" s="25"/>
      <c r="V3810" s="25"/>
      <c r="W3810" s="25"/>
      <c r="X3810" s="25"/>
      <c r="Y3810" s="25"/>
      <c r="Z3810" s="25"/>
    </row>
    <row r="3811" spans="1:26" ht="15.75" customHeight="1" x14ac:dyDescent="0.75">
      <c r="A3811" s="5">
        <v>1</v>
      </c>
      <c r="B3811" s="27" t="s">
        <v>612</v>
      </c>
      <c r="C3811" s="28" t="s">
        <v>613</v>
      </c>
      <c r="D3811" s="27" t="s">
        <v>12</v>
      </c>
      <c r="E3811" s="27">
        <v>2.15</v>
      </c>
      <c r="F3811" s="8">
        <v>293000</v>
      </c>
      <c r="G3811" s="9">
        <f t="shared" ref="G3811:G3813" si="237">IFERROR(E3811*F3811,0)</f>
        <v>629950</v>
      </c>
      <c r="H3811" s="29"/>
      <c r="I3811" s="24" t="s">
        <v>418</v>
      </c>
      <c r="J3811" s="25"/>
      <c r="K3811" s="25"/>
      <c r="L3811" s="25"/>
      <c r="M3811" s="25"/>
      <c r="N3811" s="25"/>
      <c r="O3811" s="25"/>
      <c r="P3811" s="25"/>
      <c r="Q3811" s="25"/>
      <c r="R3811" s="25"/>
      <c r="S3811" s="25"/>
      <c r="T3811" s="25"/>
      <c r="U3811" s="25"/>
      <c r="V3811" s="25"/>
      <c r="W3811" s="25"/>
      <c r="X3811" s="25"/>
      <c r="Y3811" s="25"/>
      <c r="Z3811" s="25"/>
    </row>
    <row r="3812" spans="1:26" ht="15.75" customHeight="1" x14ac:dyDescent="0.75">
      <c r="A3812" s="5">
        <v>2</v>
      </c>
      <c r="B3812" s="30" t="s">
        <v>21</v>
      </c>
      <c r="C3812" s="31" t="s">
        <v>614</v>
      </c>
      <c r="D3812" s="30" t="s">
        <v>14</v>
      </c>
      <c r="E3812" s="30">
        <v>1.26</v>
      </c>
      <c r="F3812" s="11">
        <v>435000</v>
      </c>
      <c r="G3812" s="9">
        <f t="shared" si="237"/>
        <v>548100</v>
      </c>
      <c r="H3812" s="29"/>
      <c r="I3812" s="24" t="s">
        <v>418</v>
      </c>
      <c r="J3812" s="25"/>
      <c r="K3812" s="25"/>
      <c r="L3812" s="25"/>
      <c r="M3812" s="25"/>
      <c r="N3812" s="25"/>
      <c r="O3812" s="25"/>
      <c r="P3812" s="25"/>
      <c r="Q3812" s="25"/>
      <c r="R3812" s="25"/>
      <c r="S3812" s="25"/>
      <c r="T3812" s="25"/>
      <c r="U3812" s="25"/>
      <c r="V3812" s="25"/>
      <c r="W3812" s="25"/>
      <c r="X3812" s="25"/>
      <c r="Y3812" s="25"/>
      <c r="Z3812" s="25"/>
    </row>
    <row r="3813" spans="1:26" ht="15.75" customHeight="1" x14ac:dyDescent="0.75">
      <c r="A3813" s="5">
        <v>3</v>
      </c>
      <c r="B3813" s="12" t="s">
        <v>15</v>
      </c>
      <c r="C3813" s="29"/>
      <c r="D3813" s="29"/>
      <c r="E3813" s="29"/>
      <c r="F3813" s="29"/>
      <c r="G3813" s="13">
        <f t="shared" si="237"/>
        <v>0</v>
      </c>
      <c r="H3813" s="29"/>
      <c r="I3813" s="24" t="s">
        <v>418</v>
      </c>
      <c r="J3813" s="25"/>
      <c r="K3813" s="25"/>
      <c r="L3813" s="25"/>
      <c r="M3813" s="25"/>
      <c r="N3813" s="25"/>
      <c r="O3813" s="25"/>
      <c r="P3813" s="25"/>
      <c r="Q3813" s="25"/>
      <c r="R3813" s="25"/>
      <c r="S3813" s="25"/>
      <c r="T3813" s="25"/>
      <c r="U3813" s="25"/>
      <c r="V3813" s="25"/>
      <c r="W3813" s="25"/>
      <c r="X3813" s="25"/>
      <c r="Y3813" s="25"/>
      <c r="Z3813" s="25"/>
    </row>
    <row r="3814" spans="1:26" ht="15.75" customHeight="1" x14ac:dyDescent="0.75">
      <c r="A3814" s="39" t="s">
        <v>16</v>
      </c>
      <c r="B3814" s="40"/>
      <c r="C3814" s="40"/>
      <c r="D3814" s="40"/>
      <c r="E3814" s="40"/>
      <c r="F3814" s="40"/>
      <c r="G3814" s="41"/>
      <c r="H3814" s="14">
        <f>SUM(G3811:G3813)</f>
        <v>1178050</v>
      </c>
      <c r="I3814" s="24" t="s">
        <v>418</v>
      </c>
      <c r="J3814" s="25"/>
      <c r="K3814" s="25"/>
      <c r="L3814" s="25"/>
      <c r="M3814" s="25"/>
      <c r="N3814" s="25"/>
      <c r="O3814" s="25"/>
      <c r="P3814" s="25"/>
      <c r="Q3814" s="25"/>
      <c r="R3814" s="25"/>
      <c r="S3814" s="25"/>
      <c r="T3814" s="25"/>
      <c r="U3814" s="25"/>
      <c r="V3814" s="25"/>
      <c r="W3814" s="25"/>
      <c r="X3814" s="25"/>
      <c r="Y3814" s="25"/>
      <c r="Z3814" s="25"/>
    </row>
    <row r="3815" spans="1:26" ht="15.75" customHeight="1" x14ac:dyDescent="0.75">
      <c r="A3815" s="39" t="s">
        <v>17</v>
      </c>
      <c r="B3815" s="40"/>
      <c r="C3815" s="40"/>
      <c r="D3815" s="40"/>
      <c r="E3815" s="40"/>
      <c r="F3815" s="40"/>
      <c r="G3815" s="41"/>
      <c r="H3815" s="14">
        <f>MAX(0,H3814-648000)</f>
        <v>530050</v>
      </c>
      <c r="I3815" s="24" t="s">
        <v>418</v>
      </c>
      <c r="J3815" s="25"/>
      <c r="K3815" s="25"/>
      <c r="L3815" s="25"/>
      <c r="M3815" s="25"/>
      <c r="N3815" s="25"/>
      <c r="O3815" s="25"/>
      <c r="P3815" s="25"/>
      <c r="Q3815" s="25"/>
      <c r="R3815" s="25"/>
      <c r="S3815" s="25"/>
      <c r="T3815" s="25"/>
      <c r="U3815" s="25"/>
      <c r="V3815" s="25"/>
      <c r="W3815" s="25"/>
      <c r="X3815" s="25"/>
      <c r="Y3815" s="25"/>
      <c r="Z3815" s="25"/>
    </row>
    <row r="3816" spans="1:26" ht="15.75" customHeight="1" x14ac:dyDescent="0.75">
      <c r="A3816" s="42" t="s">
        <v>18</v>
      </c>
      <c r="B3816" s="40"/>
      <c r="C3816" s="40"/>
      <c r="D3816" s="40"/>
      <c r="E3816" s="40"/>
      <c r="F3816" s="40"/>
      <c r="G3816" s="41"/>
      <c r="H3816" s="15">
        <v>649000</v>
      </c>
      <c r="I3816" s="24" t="s">
        <v>418</v>
      </c>
      <c r="J3816" s="25"/>
      <c r="K3816" s="25"/>
      <c r="L3816" s="25"/>
      <c r="M3816" s="25"/>
      <c r="N3816" s="25"/>
      <c r="O3816" s="25"/>
      <c r="P3816" s="25"/>
      <c r="Q3816" s="25"/>
      <c r="R3816" s="25"/>
      <c r="S3816" s="25"/>
      <c r="T3816" s="25"/>
      <c r="U3816" s="25"/>
      <c r="V3816" s="25"/>
      <c r="W3816" s="25"/>
      <c r="X3816" s="25"/>
      <c r="Y3816" s="25"/>
      <c r="Z3816" s="25"/>
    </row>
    <row r="3817" spans="1:26" ht="15.75" customHeight="1" x14ac:dyDescent="0.75">
      <c r="A3817" s="43" t="s">
        <v>19</v>
      </c>
      <c r="B3817" s="40"/>
      <c r="C3817" s="40"/>
      <c r="D3817" s="40"/>
      <c r="E3817" s="40"/>
      <c r="F3817" s="40"/>
      <c r="G3817" s="40"/>
      <c r="H3817" s="41"/>
      <c r="I3817" s="24" t="s">
        <v>418</v>
      </c>
      <c r="J3817" s="25"/>
      <c r="K3817" s="25"/>
      <c r="L3817" s="25"/>
      <c r="M3817" s="25"/>
      <c r="N3817" s="25"/>
      <c r="O3817" s="25"/>
      <c r="P3817" s="25"/>
      <c r="Q3817" s="25"/>
      <c r="R3817" s="25"/>
      <c r="S3817" s="25"/>
      <c r="T3817" s="25"/>
      <c r="U3817" s="25"/>
      <c r="V3817" s="25"/>
      <c r="W3817" s="25"/>
      <c r="X3817" s="25"/>
      <c r="Y3817" s="25"/>
      <c r="Z3817" s="25"/>
    </row>
    <row r="3818" spans="1:26" ht="15.75" customHeight="1" x14ac:dyDescent="0.45">
      <c r="A3818" s="25"/>
      <c r="B3818" s="25"/>
      <c r="C3818" s="25"/>
      <c r="D3818" s="25"/>
      <c r="E3818" s="25"/>
      <c r="F3818" s="25"/>
      <c r="G3818" s="25"/>
      <c r="H3818" s="25"/>
      <c r="I3818" s="24" t="s">
        <v>418</v>
      </c>
      <c r="J3818" s="25"/>
      <c r="K3818" s="25"/>
      <c r="L3818" s="25"/>
      <c r="M3818" s="25"/>
      <c r="N3818" s="25"/>
      <c r="O3818" s="25"/>
      <c r="P3818" s="25"/>
      <c r="Q3818" s="25"/>
      <c r="R3818" s="25"/>
      <c r="S3818" s="25"/>
      <c r="T3818" s="25"/>
      <c r="U3818" s="25"/>
      <c r="V3818" s="25"/>
      <c r="W3818" s="25"/>
      <c r="X3818" s="25"/>
      <c r="Y3818" s="25"/>
      <c r="Z3818" s="25"/>
    </row>
    <row r="3819" spans="1:26" ht="15.75" customHeight="1" x14ac:dyDescent="0.45">
      <c r="A3819" s="25"/>
      <c r="B3819" s="25"/>
      <c r="C3819" s="25"/>
      <c r="D3819" s="25"/>
      <c r="E3819" s="25"/>
      <c r="F3819" s="25"/>
      <c r="G3819" s="25"/>
      <c r="H3819" s="25"/>
      <c r="I3819" s="24" t="s">
        <v>418</v>
      </c>
      <c r="J3819" s="25"/>
      <c r="K3819" s="25"/>
      <c r="L3819" s="25"/>
      <c r="M3819" s="25"/>
      <c r="N3819" s="25"/>
      <c r="O3819" s="25"/>
      <c r="P3819" s="25"/>
      <c r="Q3819" s="25"/>
      <c r="R3819" s="25"/>
      <c r="S3819" s="25"/>
      <c r="T3819" s="25"/>
      <c r="U3819" s="25"/>
      <c r="V3819" s="25"/>
      <c r="W3819" s="25"/>
      <c r="X3819" s="25"/>
      <c r="Y3819" s="25"/>
      <c r="Z3819" s="25"/>
    </row>
    <row r="3820" spans="1:26" ht="15.75" customHeight="1" x14ac:dyDescent="0.45">
      <c r="A3820" s="25"/>
      <c r="B3820" s="25"/>
      <c r="C3820" s="25"/>
      <c r="D3820" s="25"/>
      <c r="E3820" s="25"/>
      <c r="F3820" s="25"/>
      <c r="G3820" s="25"/>
      <c r="H3820" s="25"/>
      <c r="I3820" s="24" t="s">
        <v>418</v>
      </c>
      <c r="J3820" s="25"/>
      <c r="K3820" s="25"/>
      <c r="L3820" s="25"/>
      <c r="M3820" s="25"/>
      <c r="N3820" s="25"/>
      <c r="O3820" s="25"/>
      <c r="P3820" s="25"/>
      <c r="Q3820" s="25"/>
      <c r="R3820" s="25"/>
      <c r="S3820" s="25"/>
      <c r="T3820" s="25"/>
      <c r="U3820" s="25"/>
      <c r="V3820" s="25"/>
      <c r="W3820" s="25"/>
      <c r="X3820" s="25"/>
      <c r="Y3820" s="25"/>
      <c r="Z3820" s="25"/>
    </row>
    <row r="3821" spans="1:26" ht="15.75" customHeight="1" x14ac:dyDescent="0.45">
      <c r="A3821" s="25"/>
      <c r="B3821" s="25"/>
      <c r="C3821" s="25"/>
      <c r="D3821" s="25"/>
      <c r="E3821" s="25"/>
      <c r="F3821" s="25"/>
      <c r="G3821" s="25"/>
      <c r="H3821" s="25"/>
      <c r="I3821" s="24" t="s">
        <v>418</v>
      </c>
      <c r="J3821" s="25"/>
      <c r="K3821" s="25"/>
      <c r="L3821" s="25"/>
      <c r="M3821" s="25"/>
      <c r="N3821" s="25"/>
      <c r="O3821" s="25"/>
      <c r="P3821" s="25"/>
      <c r="Q3821" s="25"/>
      <c r="R3821" s="25"/>
      <c r="S3821" s="25"/>
      <c r="T3821" s="25"/>
      <c r="U3821" s="25"/>
      <c r="V3821" s="25"/>
      <c r="W3821" s="25"/>
      <c r="X3821" s="25"/>
      <c r="Y3821" s="25"/>
      <c r="Z3821" s="25"/>
    </row>
    <row r="3822" spans="1:26" ht="15.75" customHeight="1" x14ac:dyDescent="0.45">
      <c r="A3822" s="25"/>
      <c r="B3822" s="25"/>
      <c r="C3822" s="25"/>
      <c r="D3822" s="25"/>
      <c r="E3822" s="25"/>
      <c r="F3822" s="25"/>
      <c r="G3822" s="25"/>
      <c r="H3822" s="25"/>
      <c r="I3822" s="24" t="s">
        <v>418</v>
      </c>
      <c r="J3822" s="25"/>
      <c r="K3822" s="25"/>
      <c r="L3822" s="25"/>
      <c r="M3822" s="25"/>
      <c r="N3822" s="25"/>
      <c r="O3822" s="25"/>
      <c r="P3822" s="25"/>
      <c r="Q3822" s="25"/>
      <c r="R3822" s="25"/>
      <c r="S3822" s="25"/>
      <c r="T3822" s="25"/>
      <c r="U3822" s="25"/>
      <c r="V3822" s="25"/>
      <c r="W3822" s="25"/>
      <c r="X3822" s="25"/>
      <c r="Y3822" s="25"/>
      <c r="Z3822" s="25"/>
    </row>
    <row r="3823" spans="1:26" ht="15.75" customHeight="1" x14ac:dyDescent="0.45">
      <c r="A3823" s="25"/>
      <c r="B3823" s="25"/>
      <c r="C3823" s="25"/>
      <c r="D3823" s="25"/>
      <c r="E3823" s="25"/>
      <c r="F3823" s="25"/>
      <c r="G3823" s="25"/>
      <c r="H3823" s="25"/>
      <c r="I3823" s="24" t="s">
        <v>418</v>
      </c>
      <c r="J3823" s="25"/>
      <c r="K3823" s="25"/>
      <c r="L3823" s="25"/>
      <c r="M3823" s="25"/>
      <c r="N3823" s="25"/>
      <c r="O3823" s="25"/>
      <c r="P3823" s="25"/>
      <c r="Q3823" s="25"/>
      <c r="R3823" s="25"/>
      <c r="S3823" s="25"/>
      <c r="T3823" s="25"/>
      <c r="U3823" s="25"/>
      <c r="V3823" s="25"/>
      <c r="W3823" s="25"/>
      <c r="X3823" s="25"/>
      <c r="Y3823" s="25"/>
      <c r="Z3823" s="25"/>
    </row>
    <row r="3824" spans="1:26" ht="15.75" customHeight="1" x14ac:dyDescent="0.45">
      <c r="A3824" s="25"/>
      <c r="B3824" s="25"/>
      <c r="C3824" s="25"/>
      <c r="D3824" s="25"/>
      <c r="E3824" s="25"/>
      <c r="F3824" s="25"/>
      <c r="G3824" s="25"/>
      <c r="H3824" s="25"/>
      <c r="I3824" s="24" t="s">
        <v>418</v>
      </c>
      <c r="J3824" s="25"/>
      <c r="K3824" s="25"/>
      <c r="L3824" s="25"/>
      <c r="M3824" s="25"/>
      <c r="N3824" s="25"/>
      <c r="O3824" s="25"/>
      <c r="P3824" s="25"/>
      <c r="Q3824" s="25"/>
      <c r="R3824" s="25"/>
      <c r="S3824" s="25"/>
      <c r="T3824" s="25"/>
      <c r="U3824" s="25"/>
      <c r="V3824" s="25"/>
      <c r="W3824" s="25"/>
      <c r="X3824" s="25"/>
      <c r="Y3824" s="25"/>
      <c r="Z3824" s="25"/>
    </row>
    <row r="3825" spans="1:26" ht="15.75" customHeight="1" x14ac:dyDescent="0.75">
      <c r="A3825" s="43" t="s">
        <v>0</v>
      </c>
      <c r="B3825" s="40"/>
      <c r="C3825" s="40"/>
      <c r="D3825" s="40"/>
      <c r="E3825" s="40"/>
      <c r="F3825" s="40"/>
      <c r="G3825" s="40"/>
      <c r="H3825" s="41"/>
      <c r="I3825" s="24" t="s">
        <v>418</v>
      </c>
      <c r="J3825" s="25"/>
      <c r="K3825" s="25"/>
      <c r="L3825" s="25"/>
      <c r="M3825" s="25"/>
      <c r="N3825" s="25"/>
      <c r="O3825" s="25"/>
      <c r="P3825" s="25"/>
      <c r="Q3825" s="25"/>
      <c r="R3825" s="25"/>
      <c r="S3825" s="25"/>
      <c r="T3825" s="25"/>
      <c r="U3825" s="25"/>
      <c r="V3825" s="25"/>
      <c r="W3825" s="25"/>
      <c r="X3825" s="25"/>
      <c r="Y3825" s="25"/>
      <c r="Z3825" s="25"/>
    </row>
    <row r="3826" spans="1:26" ht="15.75" customHeight="1" x14ac:dyDescent="0.75">
      <c r="A3826" s="43" t="s">
        <v>615</v>
      </c>
      <c r="B3826" s="40"/>
      <c r="C3826" s="40"/>
      <c r="D3826" s="40"/>
      <c r="E3826" s="40"/>
      <c r="F3826" s="40"/>
      <c r="G3826" s="40"/>
      <c r="H3826" s="41"/>
      <c r="I3826" s="24" t="s">
        <v>418</v>
      </c>
      <c r="J3826" s="25"/>
      <c r="K3826" s="25"/>
      <c r="L3826" s="25"/>
      <c r="M3826" s="25"/>
      <c r="N3826" s="25"/>
      <c r="O3826" s="25"/>
      <c r="P3826" s="25"/>
      <c r="Q3826" s="25"/>
      <c r="R3826" s="25"/>
      <c r="S3826" s="25"/>
      <c r="T3826" s="25"/>
      <c r="U3826" s="25"/>
      <c r="V3826" s="25"/>
      <c r="W3826" s="25"/>
      <c r="X3826" s="25"/>
      <c r="Y3826" s="25"/>
      <c r="Z3826" s="25"/>
    </row>
    <row r="3827" spans="1:26" ht="15.75" customHeight="1" x14ac:dyDescent="0.55000000000000004">
      <c r="A3827" s="2" t="s">
        <v>3</v>
      </c>
      <c r="B3827" s="2" t="s">
        <v>4</v>
      </c>
      <c r="C3827" s="2" t="s">
        <v>5</v>
      </c>
      <c r="D3827" s="2" t="s">
        <v>6</v>
      </c>
      <c r="E3827" s="2" t="s">
        <v>7</v>
      </c>
      <c r="F3827" s="3" t="s">
        <v>8</v>
      </c>
      <c r="G3827" s="2" t="s">
        <v>9</v>
      </c>
      <c r="H3827" s="26"/>
      <c r="I3827" s="24" t="s">
        <v>418</v>
      </c>
      <c r="J3827" s="25"/>
      <c r="K3827" s="25"/>
      <c r="L3827" s="25"/>
      <c r="M3827" s="25"/>
      <c r="N3827" s="25"/>
      <c r="O3827" s="25"/>
      <c r="P3827" s="25"/>
      <c r="Q3827" s="25"/>
      <c r="R3827" s="25"/>
      <c r="S3827" s="25"/>
      <c r="T3827" s="25"/>
      <c r="U3827" s="25"/>
      <c r="V3827" s="25"/>
      <c r="W3827" s="25"/>
      <c r="X3827" s="25"/>
      <c r="Y3827" s="25"/>
      <c r="Z3827" s="25"/>
    </row>
    <row r="3828" spans="1:26" ht="15.75" customHeight="1" x14ac:dyDescent="0.75">
      <c r="A3828" s="5">
        <v>1</v>
      </c>
      <c r="B3828" s="27" t="s">
        <v>108</v>
      </c>
      <c r="C3828" s="28" t="s">
        <v>616</v>
      </c>
      <c r="D3828" s="27" t="s">
        <v>12</v>
      </c>
      <c r="E3828" s="27">
        <v>0.55000000000000004</v>
      </c>
      <c r="F3828" s="8">
        <v>293000</v>
      </c>
      <c r="G3828" s="9">
        <f t="shared" ref="G3828:G3830" si="238">IFERROR(E3828*F3828,0)</f>
        <v>161150</v>
      </c>
      <c r="H3828" s="29"/>
      <c r="I3828" s="24" t="s">
        <v>418</v>
      </c>
      <c r="J3828" s="25"/>
      <c r="K3828" s="25"/>
      <c r="L3828" s="25"/>
      <c r="M3828" s="25"/>
      <c r="N3828" s="25"/>
      <c r="O3828" s="25"/>
      <c r="P3828" s="25"/>
      <c r="Q3828" s="25"/>
      <c r="R3828" s="25"/>
      <c r="S3828" s="25"/>
      <c r="T3828" s="25"/>
      <c r="U3828" s="25"/>
      <c r="V3828" s="25"/>
      <c r="W3828" s="25"/>
      <c r="X3828" s="25"/>
      <c r="Y3828" s="25"/>
      <c r="Z3828" s="25"/>
    </row>
    <row r="3829" spans="1:26" ht="15.75" customHeight="1" x14ac:dyDescent="0.75">
      <c r="A3829" s="5">
        <v>2</v>
      </c>
      <c r="B3829" s="30" t="s">
        <v>21</v>
      </c>
      <c r="C3829" s="31" t="s">
        <v>617</v>
      </c>
      <c r="D3829" s="30" t="s">
        <v>14</v>
      </c>
      <c r="E3829" s="30">
        <v>2.8</v>
      </c>
      <c r="F3829" s="11">
        <v>435000</v>
      </c>
      <c r="G3829" s="9">
        <f t="shared" si="238"/>
        <v>1218000</v>
      </c>
      <c r="H3829" s="29"/>
      <c r="I3829" s="24" t="s">
        <v>418</v>
      </c>
      <c r="J3829" s="25"/>
      <c r="K3829" s="25"/>
      <c r="L3829" s="25"/>
      <c r="M3829" s="25"/>
      <c r="N3829" s="25"/>
      <c r="O3829" s="25"/>
      <c r="P3829" s="25"/>
      <c r="Q3829" s="25"/>
      <c r="R3829" s="25"/>
      <c r="S3829" s="25"/>
      <c r="T3829" s="25"/>
      <c r="U3829" s="25"/>
      <c r="V3829" s="25"/>
      <c r="W3829" s="25"/>
      <c r="X3829" s="25"/>
      <c r="Y3829" s="25"/>
      <c r="Z3829" s="25"/>
    </row>
    <row r="3830" spans="1:26" ht="15.75" customHeight="1" x14ac:dyDescent="0.75">
      <c r="A3830" s="5">
        <v>3</v>
      </c>
      <c r="B3830" s="12" t="s">
        <v>15</v>
      </c>
      <c r="C3830" s="29"/>
      <c r="D3830" s="29"/>
      <c r="E3830" s="29"/>
      <c r="F3830" s="29"/>
      <c r="G3830" s="13">
        <f t="shared" si="238"/>
        <v>0</v>
      </c>
      <c r="H3830" s="29"/>
      <c r="I3830" s="24" t="s">
        <v>418</v>
      </c>
      <c r="J3830" s="25"/>
      <c r="K3830" s="25"/>
      <c r="L3830" s="25"/>
      <c r="M3830" s="25"/>
      <c r="N3830" s="25"/>
      <c r="O3830" s="25"/>
      <c r="P3830" s="25"/>
      <c r="Q3830" s="25"/>
      <c r="R3830" s="25"/>
      <c r="S3830" s="25"/>
      <c r="T3830" s="25"/>
      <c r="U3830" s="25"/>
      <c r="V3830" s="25"/>
      <c r="W3830" s="25"/>
      <c r="X3830" s="25"/>
      <c r="Y3830" s="25"/>
      <c r="Z3830" s="25"/>
    </row>
    <row r="3831" spans="1:26" ht="15.75" customHeight="1" x14ac:dyDescent="0.75">
      <c r="A3831" s="39" t="s">
        <v>16</v>
      </c>
      <c r="B3831" s="40"/>
      <c r="C3831" s="40"/>
      <c r="D3831" s="40"/>
      <c r="E3831" s="40"/>
      <c r="F3831" s="40"/>
      <c r="G3831" s="41"/>
      <c r="H3831" s="14">
        <f>SUM(G3828:G3830)</f>
        <v>1379150</v>
      </c>
      <c r="I3831" s="24" t="s">
        <v>418</v>
      </c>
      <c r="J3831" s="25"/>
      <c r="K3831" s="25"/>
      <c r="L3831" s="25"/>
      <c r="M3831" s="25"/>
      <c r="N3831" s="25"/>
      <c r="O3831" s="25"/>
      <c r="P3831" s="25"/>
      <c r="Q3831" s="25"/>
      <c r="R3831" s="25"/>
      <c r="S3831" s="25"/>
      <c r="T3831" s="25"/>
      <c r="U3831" s="25"/>
      <c r="V3831" s="25"/>
      <c r="W3831" s="25"/>
      <c r="X3831" s="25"/>
      <c r="Y3831" s="25"/>
      <c r="Z3831" s="25"/>
    </row>
    <row r="3832" spans="1:26" ht="15.75" customHeight="1" x14ac:dyDescent="0.75">
      <c r="A3832" s="39" t="s">
        <v>17</v>
      </c>
      <c r="B3832" s="40"/>
      <c r="C3832" s="40"/>
      <c r="D3832" s="40"/>
      <c r="E3832" s="40"/>
      <c r="F3832" s="40"/>
      <c r="G3832" s="41"/>
      <c r="H3832" s="14">
        <f>MAX(0,H3831-648000)</f>
        <v>731150</v>
      </c>
      <c r="I3832" s="24" t="s">
        <v>418</v>
      </c>
      <c r="J3832" s="25"/>
      <c r="K3832" s="25"/>
      <c r="L3832" s="25"/>
      <c r="M3832" s="25"/>
      <c r="N3832" s="25"/>
      <c r="O3832" s="25"/>
      <c r="P3832" s="25"/>
      <c r="Q3832" s="25"/>
      <c r="R3832" s="25"/>
      <c r="S3832" s="25"/>
      <c r="T3832" s="25"/>
      <c r="U3832" s="25"/>
      <c r="V3832" s="25"/>
      <c r="W3832" s="25"/>
      <c r="X3832" s="25"/>
      <c r="Y3832" s="25"/>
      <c r="Z3832" s="25"/>
    </row>
    <row r="3833" spans="1:26" ht="15.75" customHeight="1" x14ac:dyDescent="0.75">
      <c r="A3833" s="42" t="s">
        <v>18</v>
      </c>
      <c r="B3833" s="40"/>
      <c r="C3833" s="40"/>
      <c r="D3833" s="40"/>
      <c r="E3833" s="40"/>
      <c r="F3833" s="40"/>
      <c r="G3833" s="41"/>
      <c r="H3833" s="15">
        <v>649000</v>
      </c>
      <c r="I3833" s="24" t="s">
        <v>418</v>
      </c>
      <c r="J3833" s="25"/>
      <c r="K3833" s="25"/>
      <c r="L3833" s="25"/>
      <c r="M3833" s="25"/>
      <c r="N3833" s="25"/>
      <c r="O3833" s="25"/>
      <c r="P3833" s="25"/>
      <c r="Q3833" s="25"/>
      <c r="R3833" s="25"/>
      <c r="S3833" s="25"/>
      <c r="T3833" s="25"/>
      <c r="U3833" s="25"/>
      <c r="V3833" s="25"/>
      <c r="W3833" s="25"/>
      <c r="X3833" s="25"/>
      <c r="Y3833" s="25"/>
      <c r="Z3833" s="25"/>
    </row>
    <row r="3834" spans="1:26" ht="15.75" customHeight="1" x14ac:dyDescent="0.75">
      <c r="A3834" s="43" t="s">
        <v>19</v>
      </c>
      <c r="B3834" s="40"/>
      <c r="C3834" s="40"/>
      <c r="D3834" s="40"/>
      <c r="E3834" s="40"/>
      <c r="F3834" s="40"/>
      <c r="G3834" s="40"/>
      <c r="H3834" s="41"/>
      <c r="I3834" s="24" t="s">
        <v>418</v>
      </c>
      <c r="J3834" s="25"/>
      <c r="K3834" s="25"/>
      <c r="L3834" s="25"/>
      <c r="M3834" s="25"/>
      <c r="N3834" s="25"/>
      <c r="O3834" s="25"/>
      <c r="P3834" s="25"/>
      <c r="Q3834" s="25"/>
      <c r="R3834" s="25"/>
      <c r="S3834" s="25"/>
      <c r="T3834" s="25"/>
      <c r="U3834" s="25"/>
      <c r="V3834" s="25"/>
      <c r="W3834" s="25"/>
      <c r="X3834" s="25"/>
      <c r="Y3834" s="25"/>
      <c r="Z3834" s="25"/>
    </row>
    <row r="3835" spans="1:26" ht="15.75" customHeight="1" x14ac:dyDescent="0.45">
      <c r="A3835" s="25"/>
      <c r="B3835" s="25"/>
      <c r="C3835" s="25"/>
      <c r="D3835" s="25"/>
      <c r="E3835" s="25"/>
      <c r="F3835" s="25"/>
      <c r="G3835" s="25"/>
      <c r="H3835" s="25"/>
      <c r="I3835" s="24" t="s">
        <v>418</v>
      </c>
      <c r="J3835" s="25"/>
      <c r="K3835" s="25"/>
      <c r="L3835" s="25"/>
      <c r="M3835" s="25"/>
      <c r="N3835" s="25"/>
      <c r="O3835" s="25"/>
      <c r="P3835" s="25"/>
      <c r="Q3835" s="25"/>
      <c r="R3835" s="25"/>
      <c r="S3835" s="25"/>
      <c r="T3835" s="25"/>
      <c r="U3835" s="25"/>
      <c r="V3835" s="25"/>
      <c r="W3835" s="25"/>
      <c r="X3835" s="25"/>
      <c r="Y3835" s="25"/>
      <c r="Z3835" s="25"/>
    </row>
    <row r="3836" spans="1:26" ht="15.75" customHeight="1" x14ac:dyDescent="0.45">
      <c r="A3836" s="25"/>
      <c r="B3836" s="25"/>
      <c r="C3836" s="25"/>
      <c r="D3836" s="25"/>
      <c r="E3836" s="25"/>
      <c r="F3836" s="25"/>
      <c r="G3836" s="25"/>
      <c r="H3836" s="25"/>
      <c r="I3836" s="24" t="s">
        <v>418</v>
      </c>
      <c r="J3836" s="25"/>
      <c r="K3836" s="25"/>
      <c r="L3836" s="25"/>
      <c r="M3836" s="25"/>
      <c r="N3836" s="25"/>
      <c r="O3836" s="25"/>
      <c r="P3836" s="25"/>
      <c r="Q3836" s="25"/>
      <c r="R3836" s="25"/>
      <c r="S3836" s="25"/>
      <c r="T3836" s="25"/>
      <c r="U3836" s="25"/>
      <c r="V3836" s="25"/>
      <c r="W3836" s="25"/>
      <c r="X3836" s="25"/>
      <c r="Y3836" s="25"/>
      <c r="Z3836" s="25"/>
    </row>
    <row r="3837" spans="1:26" ht="15.75" customHeight="1" x14ac:dyDescent="0.45">
      <c r="A3837" s="25"/>
      <c r="B3837" s="25"/>
      <c r="C3837" s="25"/>
      <c r="D3837" s="25"/>
      <c r="E3837" s="25"/>
      <c r="F3837" s="25"/>
      <c r="G3837" s="25"/>
      <c r="H3837" s="25"/>
      <c r="I3837" s="24" t="s">
        <v>418</v>
      </c>
      <c r="J3837" s="25"/>
      <c r="K3837" s="25"/>
      <c r="L3837" s="25"/>
      <c r="M3837" s="25"/>
      <c r="N3837" s="25"/>
      <c r="O3837" s="25"/>
      <c r="P3837" s="25"/>
      <c r="Q3837" s="25"/>
      <c r="R3837" s="25"/>
      <c r="S3837" s="25"/>
      <c r="T3837" s="25"/>
      <c r="U3837" s="25"/>
      <c r="V3837" s="25"/>
      <c r="W3837" s="25"/>
      <c r="X3837" s="25"/>
      <c r="Y3837" s="25"/>
      <c r="Z3837" s="25"/>
    </row>
    <row r="3838" spans="1:26" ht="15.75" customHeight="1" x14ac:dyDescent="0.45">
      <c r="A3838" s="25"/>
      <c r="B3838" s="25"/>
      <c r="C3838" s="25"/>
      <c r="D3838" s="25"/>
      <c r="E3838" s="25"/>
      <c r="F3838" s="25"/>
      <c r="G3838" s="25"/>
      <c r="H3838" s="25"/>
      <c r="I3838" s="24" t="s">
        <v>418</v>
      </c>
      <c r="J3838" s="25"/>
      <c r="K3838" s="25"/>
      <c r="L3838" s="25"/>
      <c r="M3838" s="25"/>
      <c r="N3838" s="25"/>
      <c r="O3838" s="25"/>
      <c r="P3838" s="25"/>
      <c r="Q3838" s="25"/>
      <c r="R3838" s="25"/>
      <c r="S3838" s="25"/>
      <c r="T3838" s="25"/>
      <c r="U3838" s="25"/>
      <c r="V3838" s="25"/>
      <c r="W3838" s="25"/>
      <c r="X3838" s="25"/>
      <c r="Y3838" s="25"/>
      <c r="Z3838" s="25"/>
    </row>
    <row r="3839" spans="1:26" ht="15.75" customHeight="1" x14ac:dyDescent="0.75">
      <c r="A3839" s="43" t="s">
        <v>0</v>
      </c>
      <c r="B3839" s="40"/>
      <c r="C3839" s="40"/>
      <c r="D3839" s="40"/>
      <c r="E3839" s="40"/>
      <c r="F3839" s="40"/>
      <c r="G3839" s="40"/>
      <c r="H3839" s="41"/>
      <c r="I3839" s="24" t="s">
        <v>418</v>
      </c>
      <c r="J3839" s="25"/>
      <c r="K3839" s="25"/>
      <c r="L3839" s="25"/>
      <c r="M3839" s="25"/>
      <c r="N3839" s="25"/>
      <c r="O3839" s="25"/>
      <c r="P3839" s="25"/>
      <c r="Q3839" s="25"/>
      <c r="R3839" s="25"/>
      <c r="S3839" s="25"/>
      <c r="T3839" s="25"/>
      <c r="U3839" s="25"/>
      <c r="V3839" s="25"/>
      <c r="W3839" s="25"/>
      <c r="X3839" s="25"/>
      <c r="Y3839" s="25"/>
      <c r="Z3839" s="25"/>
    </row>
    <row r="3840" spans="1:26" ht="15.75" customHeight="1" x14ac:dyDescent="0.75">
      <c r="A3840" s="43" t="s">
        <v>618</v>
      </c>
      <c r="B3840" s="40"/>
      <c r="C3840" s="40"/>
      <c r="D3840" s="40"/>
      <c r="E3840" s="40"/>
      <c r="F3840" s="40"/>
      <c r="G3840" s="40"/>
      <c r="H3840" s="41"/>
      <c r="I3840" s="24" t="s">
        <v>418</v>
      </c>
      <c r="J3840" s="25"/>
      <c r="K3840" s="25"/>
      <c r="L3840" s="25"/>
      <c r="M3840" s="25"/>
      <c r="N3840" s="25"/>
      <c r="O3840" s="25"/>
      <c r="P3840" s="25"/>
      <c r="Q3840" s="25"/>
      <c r="R3840" s="25"/>
      <c r="S3840" s="25"/>
      <c r="T3840" s="25"/>
      <c r="U3840" s="25"/>
      <c r="V3840" s="25"/>
      <c r="W3840" s="25"/>
      <c r="X3840" s="25"/>
      <c r="Y3840" s="25"/>
      <c r="Z3840" s="25"/>
    </row>
    <row r="3841" spans="1:26" ht="15.75" customHeight="1" x14ac:dyDescent="0.55000000000000004">
      <c r="A3841" s="2" t="s">
        <v>3</v>
      </c>
      <c r="B3841" s="2" t="s">
        <v>4</v>
      </c>
      <c r="C3841" s="2" t="s">
        <v>5</v>
      </c>
      <c r="D3841" s="2" t="s">
        <v>6</v>
      </c>
      <c r="E3841" s="2" t="s">
        <v>7</v>
      </c>
      <c r="F3841" s="3" t="s">
        <v>8</v>
      </c>
      <c r="G3841" s="2" t="s">
        <v>9</v>
      </c>
      <c r="H3841" s="26"/>
      <c r="I3841" s="24" t="s">
        <v>418</v>
      </c>
      <c r="J3841" s="25"/>
      <c r="K3841" s="25"/>
      <c r="L3841" s="25"/>
      <c r="M3841" s="25"/>
      <c r="N3841" s="25"/>
      <c r="O3841" s="25"/>
      <c r="P3841" s="25"/>
      <c r="Q3841" s="25"/>
      <c r="R3841" s="25"/>
      <c r="S3841" s="25"/>
      <c r="T3841" s="25"/>
      <c r="U3841" s="25"/>
      <c r="V3841" s="25"/>
      <c r="W3841" s="25"/>
      <c r="X3841" s="25"/>
      <c r="Y3841" s="25"/>
      <c r="Z3841" s="25"/>
    </row>
    <row r="3842" spans="1:26" ht="15.75" customHeight="1" x14ac:dyDescent="0.75">
      <c r="A3842" s="5">
        <v>1</v>
      </c>
      <c r="B3842" s="27" t="s">
        <v>619</v>
      </c>
      <c r="C3842" s="28" t="s">
        <v>620</v>
      </c>
      <c r="D3842" s="27" t="s">
        <v>12</v>
      </c>
      <c r="E3842" s="27">
        <v>1.8</v>
      </c>
      <c r="F3842" s="8">
        <v>293000</v>
      </c>
      <c r="G3842" s="9">
        <f t="shared" ref="G3842:G3844" si="239">IFERROR(E3842*F3842,0)</f>
        <v>527400</v>
      </c>
      <c r="H3842" s="29"/>
      <c r="I3842" s="24" t="s">
        <v>418</v>
      </c>
      <c r="J3842" s="25"/>
      <c r="K3842" s="25"/>
      <c r="L3842" s="25"/>
      <c r="M3842" s="25"/>
      <c r="N3842" s="25"/>
      <c r="O3842" s="25"/>
      <c r="P3842" s="25"/>
      <c r="Q3842" s="25"/>
      <c r="R3842" s="25"/>
      <c r="S3842" s="25"/>
      <c r="T3842" s="25"/>
      <c r="U3842" s="25"/>
      <c r="V3842" s="25"/>
      <c r="W3842" s="25"/>
      <c r="X3842" s="25"/>
      <c r="Y3842" s="25"/>
      <c r="Z3842" s="25"/>
    </row>
    <row r="3843" spans="1:26" ht="15.75" customHeight="1" x14ac:dyDescent="0.75">
      <c r="A3843" s="5">
        <v>2</v>
      </c>
      <c r="B3843" s="30" t="s">
        <v>47</v>
      </c>
      <c r="C3843" s="31" t="s">
        <v>621</v>
      </c>
      <c r="D3843" s="30" t="s">
        <v>14</v>
      </c>
      <c r="E3843" s="30">
        <v>1.6</v>
      </c>
      <c r="F3843" s="11">
        <v>435000</v>
      </c>
      <c r="G3843" s="9">
        <f t="shared" si="239"/>
        <v>696000</v>
      </c>
      <c r="H3843" s="29"/>
      <c r="I3843" s="24" t="s">
        <v>418</v>
      </c>
      <c r="J3843" s="25"/>
      <c r="K3843" s="25"/>
      <c r="L3843" s="25"/>
      <c r="M3843" s="25"/>
      <c r="N3843" s="25"/>
      <c r="O3843" s="25"/>
      <c r="P3843" s="25"/>
      <c r="Q3843" s="25"/>
      <c r="R3843" s="25"/>
      <c r="S3843" s="25"/>
      <c r="T3843" s="25"/>
      <c r="U3843" s="25"/>
      <c r="V3843" s="25"/>
      <c r="W3843" s="25"/>
      <c r="X3843" s="25"/>
      <c r="Y3843" s="25"/>
      <c r="Z3843" s="25"/>
    </row>
    <row r="3844" spans="1:26" ht="15.75" customHeight="1" x14ac:dyDescent="0.75">
      <c r="A3844" s="5">
        <v>3</v>
      </c>
      <c r="B3844" s="12" t="s">
        <v>15</v>
      </c>
      <c r="C3844" s="29"/>
      <c r="D3844" s="29"/>
      <c r="E3844" s="29"/>
      <c r="F3844" s="29"/>
      <c r="G3844" s="13">
        <f t="shared" si="239"/>
        <v>0</v>
      </c>
      <c r="H3844" s="29"/>
      <c r="I3844" s="24" t="s">
        <v>418</v>
      </c>
      <c r="J3844" s="25"/>
      <c r="K3844" s="25"/>
      <c r="L3844" s="25"/>
      <c r="M3844" s="25"/>
      <c r="N3844" s="25"/>
      <c r="O3844" s="25"/>
      <c r="P3844" s="25"/>
      <c r="Q3844" s="25"/>
      <c r="R3844" s="25"/>
      <c r="S3844" s="25"/>
      <c r="T3844" s="25"/>
      <c r="U3844" s="25"/>
      <c r="V3844" s="25"/>
      <c r="W3844" s="25"/>
      <c r="X3844" s="25"/>
      <c r="Y3844" s="25"/>
      <c r="Z3844" s="25"/>
    </row>
    <row r="3845" spans="1:26" ht="15.75" customHeight="1" x14ac:dyDescent="0.75">
      <c r="A3845" s="39" t="s">
        <v>16</v>
      </c>
      <c r="B3845" s="40"/>
      <c r="C3845" s="40"/>
      <c r="D3845" s="40"/>
      <c r="E3845" s="40"/>
      <c r="F3845" s="40"/>
      <c r="G3845" s="41"/>
      <c r="H3845" s="14">
        <f>SUM(G3842:G3844)</f>
        <v>1223400</v>
      </c>
      <c r="I3845" s="24" t="s">
        <v>418</v>
      </c>
      <c r="J3845" s="25"/>
      <c r="K3845" s="25"/>
      <c r="L3845" s="25"/>
      <c r="M3845" s="25"/>
      <c r="N3845" s="25"/>
      <c r="O3845" s="25"/>
      <c r="P3845" s="25"/>
      <c r="Q3845" s="25"/>
      <c r="R3845" s="25"/>
      <c r="S3845" s="25"/>
      <c r="T3845" s="25"/>
      <c r="U3845" s="25"/>
      <c r="V3845" s="25"/>
      <c r="W3845" s="25"/>
      <c r="X3845" s="25"/>
      <c r="Y3845" s="25"/>
      <c r="Z3845" s="25"/>
    </row>
    <row r="3846" spans="1:26" ht="15.75" customHeight="1" x14ac:dyDescent="0.75">
      <c r="A3846" s="39" t="s">
        <v>17</v>
      </c>
      <c r="B3846" s="40"/>
      <c r="C3846" s="40"/>
      <c r="D3846" s="40"/>
      <c r="E3846" s="40"/>
      <c r="F3846" s="40"/>
      <c r="G3846" s="41"/>
      <c r="H3846" s="14">
        <f>MAX(0,H3845-648000)</f>
        <v>575400</v>
      </c>
      <c r="I3846" s="24" t="s">
        <v>418</v>
      </c>
      <c r="J3846" s="25"/>
      <c r="K3846" s="25"/>
      <c r="L3846" s="25"/>
      <c r="M3846" s="25"/>
      <c r="N3846" s="25"/>
      <c r="O3846" s="25"/>
      <c r="P3846" s="25"/>
      <c r="Q3846" s="25"/>
      <c r="R3846" s="25"/>
      <c r="S3846" s="25"/>
      <c r="T3846" s="25"/>
      <c r="U3846" s="25"/>
      <c r="V3846" s="25"/>
      <c r="W3846" s="25"/>
      <c r="X3846" s="25"/>
      <c r="Y3846" s="25"/>
      <c r="Z3846" s="25"/>
    </row>
    <row r="3847" spans="1:26" ht="15.75" customHeight="1" x14ac:dyDescent="0.75">
      <c r="A3847" s="42" t="s">
        <v>18</v>
      </c>
      <c r="B3847" s="40"/>
      <c r="C3847" s="40"/>
      <c r="D3847" s="40"/>
      <c r="E3847" s="40"/>
      <c r="F3847" s="40"/>
      <c r="G3847" s="41"/>
      <c r="H3847" s="15">
        <v>649000</v>
      </c>
      <c r="I3847" s="24" t="s">
        <v>418</v>
      </c>
      <c r="J3847" s="25"/>
      <c r="K3847" s="25"/>
      <c r="L3847" s="25"/>
      <c r="M3847" s="25"/>
      <c r="N3847" s="25"/>
      <c r="O3847" s="25"/>
      <c r="P3847" s="25"/>
      <c r="Q3847" s="25"/>
      <c r="R3847" s="25"/>
      <c r="S3847" s="25"/>
      <c r="T3847" s="25"/>
      <c r="U3847" s="25"/>
      <c r="V3847" s="25"/>
      <c r="W3847" s="25"/>
      <c r="X3847" s="25"/>
      <c r="Y3847" s="25"/>
      <c r="Z3847" s="25"/>
    </row>
    <row r="3848" spans="1:26" ht="15.75" customHeight="1" x14ac:dyDescent="0.75">
      <c r="A3848" s="43" t="s">
        <v>19</v>
      </c>
      <c r="B3848" s="40"/>
      <c r="C3848" s="40"/>
      <c r="D3848" s="40"/>
      <c r="E3848" s="40"/>
      <c r="F3848" s="40"/>
      <c r="G3848" s="40"/>
      <c r="H3848" s="41"/>
      <c r="I3848" s="24" t="s">
        <v>418</v>
      </c>
      <c r="J3848" s="25"/>
      <c r="K3848" s="25"/>
      <c r="L3848" s="25"/>
      <c r="M3848" s="25"/>
      <c r="N3848" s="25"/>
      <c r="O3848" s="25"/>
      <c r="P3848" s="25"/>
      <c r="Q3848" s="25"/>
      <c r="R3848" s="25"/>
      <c r="S3848" s="25"/>
      <c r="T3848" s="25"/>
      <c r="U3848" s="25"/>
      <c r="V3848" s="25"/>
      <c r="W3848" s="25"/>
      <c r="X3848" s="25"/>
      <c r="Y3848" s="25"/>
      <c r="Z3848" s="25"/>
    </row>
    <row r="3849" spans="1:26" ht="15.75" customHeight="1" x14ac:dyDescent="0.45">
      <c r="A3849" s="25"/>
      <c r="B3849" s="25"/>
      <c r="C3849" s="25"/>
      <c r="D3849" s="25"/>
      <c r="E3849" s="25"/>
      <c r="F3849" s="25"/>
      <c r="G3849" s="25"/>
      <c r="H3849" s="25"/>
      <c r="I3849" s="24" t="s">
        <v>418</v>
      </c>
      <c r="J3849" s="25"/>
      <c r="K3849" s="25"/>
      <c r="L3849" s="25"/>
      <c r="M3849" s="25"/>
      <c r="N3849" s="25"/>
      <c r="O3849" s="25"/>
      <c r="P3849" s="25"/>
      <c r="Q3849" s="25"/>
      <c r="R3849" s="25"/>
      <c r="S3849" s="25"/>
      <c r="T3849" s="25"/>
      <c r="U3849" s="25"/>
      <c r="V3849" s="25"/>
      <c r="W3849" s="25"/>
      <c r="X3849" s="25"/>
      <c r="Y3849" s="25"/>
      <c r="Z3849" s="25"/>
    </row>
    <row r="3850" spans="1:26" ht="15.75" customHeight="1" x14ac:dyDescent="0.45">
      <c r="A3850" s="25"/>
      <c r="B3850" s="25"/>
      <c r="C3850" s="25"/>
      <c r="D3850" s="25"/>
      <c r="E3850" s="25"/>
      <c r="F3850" s="25"/>
      <c r="G3850" s="25"/>
      <c r="H3850" s="25"/>
      <c r="I3850" s="24" t="s">
        <v>418</v>
      </c>
      <c r="J3850" s="25"/>
      <c r="K3850" s="25"/>
      <c r="L3850" s="25"/>
      <c r="M3850" s="25"/>
      <c r="N3850" s="25"/>
      <c r="O3850" s="25"/>
      <c r="P3850" s="25"/>
      <c r="Q3850" s="25"/>
      <c r="R3850" s="25"/>
      <c r="S3850" s="25"/>
      <c r="T3850" s="25"/>
      <c r="U3850" s="25"/>
      <c r="V3850" s="25"/>
      <c r="W3850" s="25"/>
      <c r="X3850" s="25"/>
      <c r="Y3850" s="25"/>
      <c r="Z3850" s="25"/>
    </row>
    <row r="3851" spans="1:26" ht="15.75" customHeight="1" x14ac:dyDescent="0.45">
      <c r="A3851" s="25"/>
      <c r="B3851" s="25"/>
      <c r="C3851" s="25"/>
      <c r="D3851" s="25"/>
      <c r="E3851" s="25"/>
      <c r="F3851" s="25"/>
      <c r="G3851" s="25"/>
      <c r="H3851" s="25"/>
      <c r="I3851" s="24" t="s">
        <v>418</v>
      </c>
      <c r="J3851" s="25"/>
      <c r="K3851" s="25"/>
      <c r="L3851" s="25"/>
      <c r="M3851" s="25"/>
      <c r="N3851" s="25"/>
      <c r="O3851" s="25"/>
      <c r="P3851" s="25"/>
      <c r="Q3851" s="25"/>
      <c r="R3851" s="25"/>
      <c r="S3851" s="25"/>
      <c r="T3851" s="25"/>
      <c r="U3851" s="25"/>
      <c r="V3851" s="25"/>
      <c r="W3851" s="25"/>
      <c r="X3851" s="25"/>
      <c r="Y3851" s="25"/>
      <c r="Z3851" s="25"/>
    </row>
    <row r="3852" spans="1:26" ht="15.75" customHeight="1" x14ac:dyDescent="0.75">
      <c r="A3852" s="43" t="s">
        <v>0</v>
      </c>
      <c r="B3852" s="40"/>
      <c r="C3852" s="40"/>
      <c r="D3852" s="40"/>
      <c r="E3852" s="40"/>
      <c r="F3852" s="40"/>
      <c r="G3852" s="40"/>
      <c r="H3852" s="41"/>
      <c r="I3852" s="24" t="s">
        <v>418</v>
      </c>
      <c r="J3852" s="25"/>
      <c r="K3852" s="25"/>
      <c r="L3852" s="25"/>
      <c r="M3852" s="25"/>
      <c r="N3852" s="25"/>
      <c r="O3852" s="25"/>
      <c r="P3852" s="25"/>
      <c r="Q3852" s="25"/>
      <c r="R3852" s="25"/>
      <c r="S3852" s="25"/>
      <c r="T3852" s="25"/>
      <c r="U3852" s="25"/>
      <c r="V3852" s="25"/>
      <c r="W3852" s="25"/>
      <c r="X3852" s="25"/>
      <c r="Y3852" s="25"/>
      <c r="Z3852" s="25"/>
    </row>
    <row r="3853" spans="1:26" ht="15.75" customHeight="1" x14ac:dyDescent="0.75">
      <c r="A3853" s="43" t="s">
        <v>622</v>
      </c>
      <c r="B3853" s="40"/>
      <c r="C3853" s="40"/>
      <c r="D3853" s="40"/>
      <c r="E3853" s="40"/>
      <c r="F3853" s="40"/>
      <c r="G3853" s="40"/>
      <c r="H3853" s="41"/>
      <c r="I3853" s="24" t="s">
        <v>418</v>
      </c>
      <c r="J3853" s="25"/>
      <c r="K3853" s="25"/>
      <c r="L3853" s="25"/>
      <c r="M3853" s="25"/>
      <c r="N3853" s="25"/>
      <c r="O3853" s="25"/>
      <c r="P3853" s="25"/>
      <c r="Q3853" s="25"/>
      <c r="R3853" s="25"/>
      <c r="S3853" s="25"/>
      <c r="T3853" s="25"/>
      <c r="U3853" s="25"/>
      <c r="V3853" s="25"/>
      <c r="W3853" s="25"/>
      <c r="X3853" s="25"/>
      <c r="Y3853" s="25"/>
      <c r="Z3853" s="25"/>
    </row>
    <row r="3854" spans="1:26" ht="15.75" customHeight="1" x14ac:dyDescent="0.55000000000000004">
      <c r="A3854" s="2" t="s">
        <v>3</v>
      </c>
      <c r="B3854" s="2" t="s">
        <v>4</v>
      </c>
      <c r="C3854" s="2" t="s">
        <v>5</v>
      </c>
      <c r="D3854" s="2" t="s">
        <v>6</v>
      </c>
      <c r="E3854" s="2" t="s">
        <v>7</v>
      </c>
      <c r="F3854" s="3" t="s">
        <v>8</v>
      </c>
      <c r="G3854" s="2" t="s">
        <v>9</v>
      </c>
      <c r="H3854" s="26"/>
      <c r="I3854" s="24" t="s">
        <v>418</v>
      </c>
      <c r="J3854" s="25"/>
      <c r="K3854" s="25"/>
      <c r="L3854" s="25"/>
      <c r="M3854" s="25"/>
      <c r="N3854" s="25"/>
      <c r="O3854" s="25"/>
      <c r="P3854" s="25"/>
      <c r="Q3854" s="25"/>
      <c r="R3854" s="25"/>
      <c r="S3854" s="25"/>
      <c r="T3854" s="25"/>
      <c r="U3854" s="25"/>
      <c r="V3854" s="25"/>
      <c r="W3854" s="25"/>
      <c r="X3854" s="25"/>
      <c r="Y3854" s="25"/>
      <c r="Z3854" s="25"/>
    </row>
    <row r="3855" spans="1:26" ht="15.75" customHeight="1" x14ac:dyDescent="0.75">
      <c r="A3855" s="5">
        <v>1</v>
      </c>
      <c r="B3855" s="27" t="s">
        <v>150</v>
      </c>
      <c r="C3855" s="28" t="s">
        <v>623</v>
      </c>
      <c r="D3855" s="27" t="s">
        <v>12</v>
      </c>
      <c r="E3855" s="27">
        <v>1.5</v>
      </c>
      <c r="F3855" s="8">
        <v>293000</v>
      </c>
      <c r="G3855" s="9">
        <f t="shared" ref="G3855:G3857" si="240">IFERROR(E3855*F3855,0)</f>
        <v>439500</v>
      </c>
      <c r="H3855" s="29"/>
      <c r="I3855" s="24" t="s">
        <v>418</v>
      </c>
      <c r="J3855" s="25"/>
      <c r="K3855" s="25"/>
      <c r="L3855" s="25"/>
      <c r="M3855" s="25"/>
      <c r="N3855" s="25"/>
      <c r="O3855" s="25"/>
      <c r="P3855" s="25"/>
      <c r="Q3855" s="25"/>
      <c r="R3855" s="25"/>
      <c r="S3855" s="25"/>
      <c r="T3855" s="25"/>
      <c r="U3855" s="25"/>
      <c r="V3855" s="25"/>
      <c r="W3855" s="25"/>
      <c r="X3855" s="25"/>
      <c r="Y3855" s="25"/>
      <c r="Z3855" s="25"/>
    </row>
    <row r="3856" spans="1:26" ht="15.75" customHeight="1" x14ac:dyDescent="0.75">
      <c r="A3856" s="5">
        <v>2</v>
      </c>
      <c r="B3856" s="30" t="s">
        <v>624</v>
      </c>
      <c r="C3856" s="31" t="s">
        <v>625</v>
      </c>
      <c r="D3856" s="30" t="s">
        <v>14</v>
      </c>
      <c r="E3856" s="30">
        <v>2</v>
      </c>
      <c r="F3856" s="11">
        <v>435000</v>
      </c>
      <c r="G3856" s="9">
        <f t="shared" si="240"/>
        <v>870000</v>
      </c>
      <c r="H3856" s="29"/>
      <c r="I3856" s="24" t="s">
        <v>418</v>
      </c>
      <c r="J3856" s="25"/>
      <c r="K3856" s="25"/>
      <c r="L3856" s="25"/>
      <c r="M3856" s="25"/>
      <c r="N3856" s="25"/>
      <c r="O3856" s="25"/>
      <c r="P3856" s="25"/>
      <c r="Q3856" s="25"/>
      <c r="R3856" s="25"/>
      <c r="S3856" s="25"/>
      <c r="T3856" s="25"/>
      <c r="U3856" s="25"/>
      <c r="V3856" s="25"/>
      <c r="W3856" s="25"/>
      <c r="X3856" s="25"/>
      <c r="Y3856" s="25"/>
      <c r="Z3856" s="25"/>
    </row>
    <row r="3857" spans="1:26" ht="15.75" customHeight="1" x14ac:dyDescent="0.75">
      <c r="A3857" s="5">
        <v>3</v>
      </c>
      <c r="B3857" s="12" t="s">
        <v>15</v>
      </c>
      <c r="C3857" s="29"/>
      <c r="D3857" s="29"/>
      <c r="E3857" s="29"/>
      <c r="F3857" s="29"/>
      <c r="G3857" s="13">
        <f t="shared" si="240"/>
        <v>0</v>
      </c>
      <c r="H3857" s="29"/>
      <c r="I3857" s="24" t="s">
        <v>418</v>
      </c>
      <c r="J3857" s="25"/>
      <c r="K3857" s="25"/>
      <c r="L3857" s="25"/>
      <c r="M3857" s="25"/>
      <c r="N3857" s="25"/>
      <c r="O3857" s="25"/>
      <c r="P3857" s="25"/>
      <c r="Q3857" s="25"/>
      <c r="R3857" s="25"/>
      <c r="S3857" s="25"/>
      <c r="T3857" s="25"/>
      <c r="U3857" s="25"/>
      <c r="V3857" s="25"/>
      <c r="W3857" s="25"/>
      <c r="X3857" s="25"/>
      <c r="Y3857" s="25"/>
      <c r="Z3857" s="25"/>
    </row>
    <row r="3858" spans="1:26" ht="15.75" customHeight="1" x14ac:dyDescent="0.75">
      <c r="A3858" s="39" t="s">
        <v>16</v>
      </c>
      <c r="B3858" s="40"/>
      <c r="C3858" s="40"/>
      <c r="D3858" s="40"/>
      <c r="E3858" s="40"/>
      <c r="F3858" s="40"/>
      <c r="G3858" s="41"/>
      <c r="H3858" s="14">
        <f>SUM(G3855:G3857)</f>
        <v>1309500</v>
      </c>
      <c r="I3858" s="24" t="s">
        <v>418</v>
      </c>
      <c r="J3858" s="25"/>
      <c r="K3858" s="25"/>
      <c r="L3858" s="25"/>
      <c r="M3858" s="25"/>
      <c r="N3858" s="25"/>
      <c r="O3858" s="25"/>
      <c r="P3858" s="25"/>
      <c r="Q3858" s="25"/>
      <c r="R3858" s="25"/>
      <c r="S3858" s="25"/>
      <c r="T3858" s="25"/>
      <c r="U3858" s="25"/>
      <c r="V3858" s="25"/>
      <c r="W3858" s="25"/>
      <c r="X3858" s="25"/>
      <c r="Y3858" s="25"/>
      <c r="Z3858" s="25"/>
    </row>
    <row r="3859" spans="1:26" ht="15.75" customHeight="1" x14ac:dyDescent="0.75">
      <c r="A3859" s="39" t="s">
        <v>17</v>
      </c>
      <c r="B3859" s="40"/>
      <c r="C3859" s="40"/>
      <c r="D3859" s="40"/>
      <c r="E3859" s="40"/>
      <c r="F3859" s="40"/>
      <c r="G3859" s="41"/>
      <c r="H3859" s="14">
        <f>MAX(0,H3858-648000)</f>
        <v>661500</v>
      </c>
      <c r="I3859" s="24" t="s">
        <v>418</v>
      </c>
      <c r="J3859" s="25"/>
      <c r="K3859" s="25"/>
      <c r="L3859" s="25"/>
      <c r="M3859" s="25"/>
      <c r="N3859" s="25"/>
      <c r="O3859" s="25"/>
      <c r="P3859" s="25"/>
      <c r="Q3859" s="25"/>
      <c r="R3859" s="25"/>
      <c r="S3859" s="25"/>
      <c r="T3859" s="25"/>
      <c r="U3859" s="25"/>
      <c r="V3859" s="25"/>
      <c r="W3859" s="25"/>
      <c r="X3859" s="25"/>
      <c r="Y3859" s="25"/>
      <c r="Z3859" s="25"/>
    </row>
    <row r="3860" spans="1:26" ht="15.75" customHeight="1" x14ac:dyDescent="0.75">
      <c r="A3860" s="42" t="s">
        <v>18</v>
      </c>
      <c r="B3860" s="40"/>
      <c r="C3860" s="40"/>
      <c r="D3860" s="40"/>
      <c r="E3860" s="40"/>
      <c r="F3860" s="40"/>
      <c r="G3860" s="41"/>
      <c r="H3860" s="15">
        <v>649000</v>
      </c>
      <c r="I3860" s="24" t="s">
        <v>418</v>
      </c>
      <c r="J3860" s="25"/>
      <c r="K3860" s="25"/>
      <c r="L3860" s="25"/>
      <c r="M3860" s="25"/>
      <c r="N3860" s="25"/>
      <c r="O3860" s="25"/>
      <c r="P3860" s="25"/>
      <c r="Q3860" s="25"/>
      <c r="R3860" s="25"/>
      <c r="S3860" s="25"/>
      <c r="T3860" s="25"/>
      <c r="U3860" s="25"/>
      <c r="V3860" s="25"/>
      <c r="W3860" s="25"/>
      <c r="X3860" s="25"/>
      <c r="Y3860" s="25"/>
      <c r="Z3860" s="25"/>
    </row>
    <row r="3861" spans="1:26" ht="15.75" customHeight="1" x14ac:dyDescent="0.75">
      <c r="A3861" s="43" t="s">
        <v>19</v>
      </c>
      <c r="B3861" s="40"/>
      <c r="C3861" s="40"/>
      <c r="D3861" s="40"/>
      <c r="E3861" s="40"/>
      <c r="F3861" s="40"/>
      <c r="G3861" s="40"/>
      <c r="H3861" s="41"/>
      <c r="I3861" s="24" t="s">
        <v>418</v>
      </c>
      <c r="J3861" s="25"/>
      <c r="K3861" s="25"/>
      <c r="L3861" s="25"/>
      <c r="M3861" s="25"/>
      <c r="N3861" s="25"/>
      <c r="O3861" s="25"/>
      <c r="P3861" s="25"/>
      <c r="Q3861" s="25"/>
      <c r="R3861" s="25"/>
      <c r="S3861" s="25"/>
      <c r="T3861" s="25"/>
      <c r="U3861" s="25"/>
      <c r="V3861" s="25"/>
      <c r="W3861" s="25"/>
      <c r="X3861" s="25"/>
      <c r="Y3861" s="25"/>
      <c r="Z3861" s="25"/>
    </row>
    <row r="3862" spans="1:26" ht="15.75" customHeight="1" x14ac:dyDescent="0.45">
      <c r="A3862" s="25"/>
      <c r="B3862" s="25"/>
      <c r="C3862" s="25"/>
      <c r="D3862" s="25"/>
      <c r="E3862" s="25"/>
      <c r="F3862" s="25"/>
      <c r="G3862" s="25"/>
      <c r="H3862" s="25"/>
      <c r="I3862" s="24" t="s">
        <v>418</v>
      </c>
      <c r="J3862" s="25"/>
      <c r="K3862" s="25"/>
      <c r="L3862" s="25"/>
      <c r="M3862" s="25"/>
      <c r="N3862" s="25"/>
      <c r="O3862" s="25"/>
      <c r="P3862" s="25"/>
      <c r="Q3862" s="25"/>
      <c r="R3862" s="25"/>
      <c r="S3862" s="25"/>
      <c r="T3862" s="25"/>
      <c r="U3862" s="25"/>
      <c r="V3862" s="25"/>
      <c r="W3862" s="25"/>
      <c r="X3862" s="25"/>
      <c r="Y3862" s="25"/>
      <c r="Z3862" s="25"/>
    </row>
    <row r="3863" spans="1:26" ht="15.75" customHeight="1" x14ac:dyDescent="0.45">
      <c r="A3863" s="25"/>
      <c r="B3863" s="25"/>
      <c r="C3863" s="25"/>
      <c r="D3863" s="25"/>
      <c r="E3863" s="25"/>
      <c r="F3863" s="25"/>
      <c r="G3863" s="25"/>
      <c r="H3863" s="25"/>
      <c r="I3863" s="24" t="s">
        <v>418</v>
      </c>
      <c r="J3863" s="25"/>
      <c r="K3863" s="25"/>
      <c r="L3863" s="25"/>
      <c r="M3863" s="25"/>
      <c r="N3863" s="25"/>
      <c r="O3863" s="25"/>
      <c r="P3863" s="25"/>
      <c r="Q3863" s="25"/>
      <c r="R3863" s="25"/>
      <c r="S3863" s="25"/>
      <c r="T3863" s="25"/>
      <c r="U3863" s="25"/>
      <c r="V3863" s="25"/>
      <c r="W3863" s="25"/>
      <c r="X3863" s="25"/>
      <c r="Y3863" s="25"/>
      <c r="Z3863" s="25"/>
    </row>
    <row r="3864" spans="1:26" ht="15.75" customHeight="1" x14ac:dyDescent="0.45">
      <c r="A3864" s="25"/>
      <c r="B3864" s="25"/>
      <c r="C3864" s="25"/>
      <c r="D3864" s="25"/>
      <c r="E3864" s="25"/>
      <c r="F3864" s="25"/>
      <c r="G3864" s="25"/>
      <c r="H3864" s="25"/>
      <c r="I3864" s="24" t="s">
        <v>418</v>
      </c>
      <c r="J3864" s="25"/>
      <c r="K3864" s="25"/>
      <c r="L3864" s="25"/>
      <c r="M3864" s="25"/>
      <c r="N3864" s="25"/>
      <c r="O3864" s="25"/>
      <c r="P3864" s="25"/>
      <c r="Q3864" s="25"/>
      <c r="R3864" s="25"/>
      <c r="S3864" s="25"/>
      <c r="T3864" s="25"/>
      <c r="U3864" s="25"/>
      <c r="V3864" s="25"/>
      <c r="W3864" s="25"/>
      <c r="X3864" s="25"/>
      <c r="Y3864" s="25"/>
      <c r="Z3864" s="25"/>
    </row>
    <row r="3865" spans="1:26" ht="15.75" customHeight="1" x14ac:dyDescent="0.45">
      <c r="A3865" s="25"/>
      <c r="B3865" s="25"/>
      <c r="C3865" s="25"/>
      <c r="D3865" s="25"/>
      <c r="E3865" s="25"/>
      <c r="F3865" s="25"/>
      <c r="G3865" s="25"/>
      <c r="H3865" s="25"/>
      <c r="I3865" s="24" t="s">
        <v>418</v>
      </c>
      <c r="J3865" s="25"/>
      <c r="K3865" s="25"/>
      <c r="L3865" s="25"/>
      <c r="M3865" s="25"/>
      <c r="N3865" s="25"/>
      <c r="O3865" s="25"/>
      <c r="P3865" s="25"/>
      <c r="Q3865" s="25"/>
      <c r="R3865" s="25"/>
      <c r="S3865" s="25"/>
      <c r="T3865" s="25"/>
      <c r="U3865" s="25"/>
      <c r="V3865" s="25"/>
      <c r="W3865" s="25"/>
      <c r="X3865" s="25"/>
      <c r="Y3865" s="25"/>
      <c r="Z3865" s="25"/>
    </row>
    <row r="3866" spans="1:26" ht="15.75" customHeight="1" x14ac:dyDescent="0.75">
      <c r="A3866" s="43" t="s">
        <v>0</v>
      </c>
      <c r="B3866" s="40"/>
      <c r="C3866" s="40"/>
      <c r="D3866" s="40"/>
      <c r="E3866" s="40"/>
      <c r="F3866" s="40"/>
      <c r="G3866" s="40"/>
      <c r="H3866" s="41"/>
      <c r="I3866" s="24" t="s">
        <v>418</v>
      </c>
      <c r="J3866" s="25"/>
      <c r="K3866" s="25"/>
      <c r="L3866" s="25"/>
      <c r="M3866" s="25"/>
      <c r="N3866" s="25"/>
      <c r="O3866" s="25"/>
      <c r="P3866" s="25"/>
      <c r="Q3866" s="25"/>
      <c r="R3866" s="25"/>
      <c r="S3866" s="25"/>
      <c r="T3866" s="25"/>
      <c r="U3866" s="25"/>
      <c r="V3866" s="25"/>
      <c r="W3866" s="25"/>
      <c r="X3866" s="25"/>
      <c r="Y3866" s="25"/>
      <c r="Z3866" s="25"/>
    </row>
    <row r="3867" spans="1:26" ht="15.75" customHeight="1" x14ac:dyDescent="0.75">
      <c r="A3867" s="43" t="s">
        <v>626</v>
      </c>
      <c r="B3867" s="40"/>
      <c r="C3867" s="40"/>
      <c r="D3867" s="40"/>
      <c r="E3867" s="40"/>
      <c r="F3867" s="40"/>
      <c r="G3867" s="40"/>
      <c r="H3867" s="41"/>
      <c r="I3867" s="24" t="s">
        <v>418</v>
      </c>
      <c r="J3867" s="25"/>
      <c r="K3867" s="25"/>
      <c r="L3867" s="25"/>
      <c r="M3867" s="25"/>
      <c r="N3867" s="25"/>
      <c r="O3867" s="25"/>
      <c r="P3867" s="25"/>
      <c r="Q3867" s="25"/>
      <c r="R3867" s="25"/>
      <c r="S3867" s="25"/>
      <c r="T3867" s="25"/>
      <c r="U3867" s="25"/>
      <c r="V3867" s="25"/>
      <c r="W3867" s="25"/>
      <c r="X3867" s="25"/>
      <c r="Y3867" s="25"/>
      <c r="Z3867" s="25"/>
    </row>
    <row r="3868" spans="1:26" ht="15.75" customHeight="1" x14ac:dyDescent="0.55000000000000004">
      <c r="A3868" s="2" t="s">
        <v>3</v>
      </c>
      <c r="B3868" s="2" t="s">
        <v>4</v>
      </c>
      <c r="C3868" s="2" t="s">
        <v>5</v>
      </c>
      <c r="D3868" s="2" t="s">
        <v>6</v>
      </c>
      <c r="E3868" s="2" t="s">
        <v>7</v>
      </c>
      <c r="F3868" s="3" t="s">
        <v>8</v>
      </c>
      <c r="G3868" s="2" t="s">
        <v>9</v>
      </c>
      <c r="H3868" s="26"/>
      <c r="I3868" s="24" t="s">
        <v>418</v>
      </c>
      <c r="J3868" s="25"/>
      <c r="K3868" s="25"/>
      <c r="L3868" s="25"/>
      <c r="M3868" s="25"/>
      <c r="N3868" s="25"/>
      <c r="O3868" s="25"/>
      <c r="P3868" s="25"/>
      <c r="Q3868" s="25"/>
      <c r="R3868" s="25"/>
      <c r="S3868" s="25"/>
      <c r="T3868" s="25"/>
      <c r="U3868" s="25"/>
      <c r="V3868" s="25"/>
      <c r="W3868" s="25"/>
      <c r="X3868" s="25"/>
      <c r="Y3868" s="25"/>
      <c r="Z3868" s="25"/>
    </row>
    <row r="3869" spans="1:26" ht="15.75" customHeight="1" x14ac:dyDescent="0.75">
      <c r="A3869" s="5">
        <v>1</v>
      </c>
      <c r="B3869" s="27" t="s">
        <v>627</v>
      </c>
      <c r="C3869" s="28" t="s">
        <v>513</v>
      </c>
      <c r="D3869" s="27" t="s">
        <v>12</v>
      </c>
      <c r="E3869" s="27">
        <v>2</v>
      </c>
      <c r="F3869" s="8">
        <v>293000</v>
      </c>
      <c r="G3869" s="9">
        <f t="shared" ref="G3869:G3871" si="241">IFERROR(E3869*F3869,0)</f>
        <v>586000</v>
      </c>
      <c r="H3869" s="29"/>
      <c r="I3869" s="24" t="s">
        <v>418</v>
      </c>
      <c r="J3869" s="25"/>
      <c r="K3869" s="25"/>
      <c r="L3869" s="25"/>
      <c r="M3869" s="25"/>
      <c r="N3869" s="25"/>
      <c r="O3869" s="25"/>
      <c r="P3869" s="25"/>
      <c r="Q3869" s="25"/>
      <c r="R3869" s="25"/>
      <c r="S3869" s="25"/>
      <c r="T3869" s="25"/>
      <c r="U3869" s="25"/>
      <c r="V3869" s="25"/>
      <c r="W3869" s="25"/>
      <c r="X3869" s="25"/>
      <c r="Y3869" s="25"/>
      <c r="Z3869" s="25"/>
    </row>
    <row r="3870" spans="1:26" ht="15.75" customHeight="1" x14ac:dyDescent="0.75">
      <c r="A3870" s="5">
        <v>2</v>
      </c>
      <c r="B3870" s="30" t="s">
        <v>156</v>
      </c>
      <c r="C3870" s="31" t="s">
        <v>628</v>
      </c>
      <c r="D3870" s="30" t="s">
        <v>14</v>
      </c>
      <c r="E3870" s="30">
        <v>2</v>
      </c>
      <c r="F3870" s="11">
        <v>435000</v>
      </c>
      <c r="G3870" s="9">
        <f t="shared" si="241"/>
        <v>870000</v>
      </c>
      <c r="H3870" s="29"/>
      <c r="I3870" s="24" t="s">
        <v>418</v>
      </c>
      <c r="J3870" s="25"/>
      <c r="K3870" s="25"/>
      <c r="L3870" s="25"/>
      <c r="M3870" s="25"/>
      <c r="N3870" s="25"/>
      <c r="O3870" s="25"/>
      <c r="P3870" s="25"/>
      <c r="Q3870" s="25"/>
      <c r="R3870" s="25"/>
      <c r="S3870" s="25"/>
      <c r="T3870" s="25"/>
      <c r="U3870" s="25"/>
      <c r="V3870" s="25"/>
      <c r="W3870" s="25"/>
      <c r="X3870" s="25"/>
      <c r="Y3870" s="25"/>
      <c r="Z3870" s="25"/>
    </row>
    <row r="3871" spans="1:26" ht="15.75" customHeight="1" x14ac:dyDescent="0.75">
      <c r="A3871" s="5">
        <v>3</v>
      </c>
      <c r="B3871" s="12" t="s">
        <v>15</v>
      </c>
      <c r="C3871" s="29"/>
      <c r="D3871" s="29"/>
      <c r="E3871" s="29"/>
      <c r="F3871" s="29"/>
      <c r="G3871" s="13">
        <f t="shared" si="241"/>
        <v>0</v>
      </c>
      <c r="H3871" s="29"/>
      <c r="I3871" s="24" t="s">
        <v>418</v>
      </c>
      <c r="J3871" s="25"/>
      <c r="K3871" s="25"/>
      <c r="L3871" s="25"/>
      <c r="M3871" s="25"/>
      <c r="N3871" s="25"/>
      <c r="O3871" s="25"/>
      <c r="P3871" s="25"/>
      <c r="Q3871" s="25"/>
      <c r="R3871" s="25"/>
      <c r="S3871" s="25"/>
      <c r="T3871" s="25"/>
      <c r="U3871" s="25"/>
      <c r="V3871" s="25"/>
      <c r="W3871" s="25"/>
      <c r="X3871" s="25"/>
      <c r="Y3871" s="25"/>
      <c r="Z3871" s="25"/>
    </row>
    <row r="3872" spans="1:26" ht="15.75" customHeight="1" x14ac:dyDescent="0.75">
      <c r="A3872" s="39" t="s">
        <v>16</v>
      </c>
      <c r="B3872" s="40"/>
      <c r="C3872" s="40"/>
      <c r="D3872" s="40"/>
      <c r="E3872" s="40"/>
      <c r="F3872" s="40"/>
      <c r="G3872" s="41"/>
      <c r="H3872" s="14">
        <f>SUM(G3869:G3871)</f>
        <v>1456000</v>
      </c>
      <c r="I3872" s="24" t="s">
        <v>418</v>
      </c>
      <c r="J3872" s="25"/>
      <c r="K3872" s="25"/>
      <c r="L3872" s="25"/>
      <c r="M3872" s="25"/>
      <c r="N3872" s="25"/>
      <c r="O3872" s="25"/>
      <c r="P3872" s="25"/>
      <c r="Q3872" s="25"/>
      <c r="R3872" s="25"/>
      <c r="S3872" s="25"/>
      <c r="T3872" s="25"/>
      <c r="U3872" s="25"/>
      <c r="V3872" s="25"/>
      <c r="W3872" s="25"/>
      <c r="X3872" s="25"/>
      <c r="Y3872" s="25"/>
      <c r="Z3872" s="25"/>
    </row>
    <row r="3873" spans="1:26" ht="15.75" customHeight="1" x14ac:dyDescent="0.75">
      <c r="A3873" s="39" t="s">
        <v>17</v>
      </c>
      <c r="B3873" s="40"/>
      <c r="C3873" s="40"/>
      <c r="D3873" s="40"/>
      <c r="E3873" s="40"/>
      <c r="F3873" s="40"/>
      <c r="G3873" s="41"/>
      <c r="H3873" s="14">
        <f>MAX(0,H3872-648000)</f>
        <v>808000</v>
      </c>
      <c r="I3873" s="24" t="s">
        <v>418</v>
      </c>
      <c r="J3873" s="25"/>
      <c r="K3873" s="25"/>
      <c r="L3873" s="25"/>
      <c r="M3873" s="25"/>
      <c r="N3873" s="25"/>
      <c r="O3873" s="25"/>
      <c r="P3873" s="25"/>
      <c r="Q3873" s="25"/>
      <c r="R3873" s="25"/>
      <c r="S3873" s="25"/>
      <c r="T3873" s="25"/>
      <c r="U3873" s="25"/>
      <c r="V3873" s="25"/>
      <c r="W3873" s="25"/>
      <c r="X3873" s="25"/>
      <c r="Y3873" s="25"/>
      <c r="Z3873" s="25"/>
    </row>
    <row r="3874" spans="1:26" ht="15.75" customHeight="1" x14ac:dyDescent="0.75">
      <c r="A3874" s="42" t="s">
        <v>18</v>
      </c>
      <c r="B3874" s="40"/>
      <c r="C3874" s="40"/>
      <c r="D3874" s="40"/>
      <c r="E3874" s="40"/>
      <c r="F3874" s="40"/>
      <c r="G3874" s="41"/>
      <c r="H3874" s="15">
        <v>649000</v>
      </c>
      <c r="I3874" s="24" t="s">
        <v>418</v>
      </c>
      <c r="J3874" s="25"/>
      <c r="K3874" s="25"/>
      <c r="L3874" s="25"/>
      <c r="M3874" s="25"/>
      <c r="N3874" s="25"/>
      <c r="O3874" s="25"/>
      <c r="P3874" s="25"/>
      <c r="Q3874" s="25"/>
      <c r="R3874" s="25"/>
      <c r="S3874" s="25"/>
      <c r="T3874" s="25"/>
      <c r="U3874" s="25"/>
      <c r="V3874" s="25"/>
      <c r="W3874" s="25"/>
      <c r="X3874" s="25"/>
      <c r="Y3874" s="25"/>
      <c r="Z3874" s="25"/>
    </row>
    <row r="3875" spans="1:26" ht="15.75" customHeight="1" x14ac:dyDescent="0.75">
      <c r="A3875" s="43" t="s">
        <v>19</v>
      </c>
      <c r="B3875" s="40"/>
      <c r="C3875" s="40"/>
      <c r="D3875" s="40"/>
      <c r="E3875" s="40"/>
      <c r="F3875" s="40"/>
      <c r="G3875" s="40"/>
      <c r="H3875" s="41"/>
      <c r="I3875" s="24" t="s">
        <v>418</v>
      </c>
      <c r="J3875" s="25"/>
      <c r="K3875" s="25"/>
      <c r="L3875" s="25"/>
      <c r="M3875" s="25"/>
      <c r="N3875" s="25"/>
      <c r="O3875" s="25"/>
      <c r="P3875" s="25"/>
      <c r="Q3875" s="25"/>
      <c r="R3875" s="25"/>
      <c r="S3875" s="25"/>
      <c r="T3875" s="25"/>
      <c r="U3875" s="25"/>
      <c r="V3875" s="25"/>
      <c r="W3875" s="25"/>
      <c r="X3875" s="25"/>
      <c r="Y3875" s="25"/>
      <c r="Z3875" s="25"/>
    </row>
    <row r="3876" spans="1:26" ht="15.75" customHeight="1" x14ac:dyDescent="0.45">
      <c r="A3876" s="25"/>
      <c r="B3876" s="25"/>
      <c r="C3876" s="25"/>
      <c r="D3876" s="25"/>
      <c r="E3876" s="25"/>
      <c r="F3876" s="25"/>
      <c r="G3876" s="25"/>
      <c r="H3876" s="25"/>
      <c r="I3876" s="24" t="s">
        <v>418</v>
      </c>
      <c r="J3876" s="25"/>
      <c r="K3876" s="25"/>
      <c r="L3876" s="25"/>
      <c r="M3876" s="25"/>
      <c r="N3876" s="25"/>
      <c r="O3876" s="25"/>
      <c r="P3876" s="25"/>
      <c r="Q3876" s="25"/>
      <c r="R3876" s="25"/>
      <c r="S3876" s="25"/>
      <c r="T3876" s="25"/>
      <c r="U3876" s="25"/>
      <c r="V3876" s="25"/>
      <c r="W3876" s="25"/>
      <c r="X3876" s="25"/>
      <c r="Y3876" s="25"/>
      <c r="Z3876" s="25"/>
    </row>
    <row r="3877" spans="1:26" ht="15.75" customHeight="1" x14ac:dyDescent="0.45">
      <c r="A3877" s="25"/>
      <c r="B3877" s="25"/>
      <c r="C3877" s="25"/>
      <c r="D3877" s="25"/>
      <c r="E3877" s="25"/>
      <c r="F3877" s="25"/>
      <c r="G3877" s="25"/>
      <c r="H3877" s="25"/>
      <c r="I3877" s="24" t="s">
        <v>418</v>
      </c>
      <c r="J3877" s="25"/>
      <c r="K3877" s="25"/>
      <c r="L3877" s="25"/>
      <c r="M3877" s="25"/>
      <c r="N3877" s="25"/>
      <c r="O3877" s="25"/>
      <c r="P3877" s="25"/>
      <c r="Q3877" s="25"/>
      <c r="R3877" s="25"/>
      <c r="S3877" s="25"/>
      <c r="T3877" s="25"/>
      <c r="U3877" s="25"/>
      <c r="V3877" s="25"/>
      <c r="W3877" s="25"/>
      <c r="X3877" s="25"/>
      <c r="Y3877" s="25"/>
      <c r="Z3877" s="25"/>
    </row>
    <row r="3878" spans="1:26" ht="15.75" customHeight="1" x14ac:dyDescent="0.45">
      <c r="A3878" s="25"/>
      <c r="B3878" s="25"/>
      <c r="C3878" s="25"/>
      <c r="D3878" s="25"/>
      <c r="E3878" s="25"/>
      <c r="F3878" s="25"/>
      <c r="G3878" s="25"/>
      <c r="H3878" s="25"/>
      <c r="I3878" s="24" t="s">
        <v>418</v>
      </c>
      <c r="J3878" s="25"/>
      <c r="K3878" s="25"/>
      <c r="L3878" s="25"/>
      <c r="M3878" s="25"/>
      <c r="N3878" s="25"/>
      <c r="O3878" s="25"/>
      <c r="P3878" s="25"/>
      <c r="Q3878" s="25"/>
      <c r="R3878" s="25"/>
      <c r="S3878" s="25"/>
      <c r="T3878" s="25"/>
      <c r="U3878" s="25"/>
      <c r="V3878" s="25"/>
      <c r="W3878" s="25"/>
      <c r="X3878" s="25"/>
      <c r="Y3878" s="25"/>
      <c r="Z3878" s="25"/>
    </row>
    <row r="3879" spans="1:26" ht="15.75" customHeight="1" x14ac:dyDescent="0.45">
      <c r="A3879" s="25"/>
      <c r="B3879" s="25"/>
      <c r="C3879" s="25"/>
      <c r="D3879" s="25"/>
      <c r="E3879" s="25"/>
      <c r="F3879" s="25"/>
      <c r="G3879" s="25"/>
      <c r="H3879" s="25"/>
      <c r="I3879" s="24" t="s">
        <v>418</v>
      </c>
      <c r="J3879" s="25"/>
      <c r="K3879" s="25"/>
      <c r="L3879" s="25"/>
      <c r="M3879" s="25"/>
      <c r="N3879" s="25"/>
      <c r="O3879" s="25"/>
      <c r="P3879" s="25"/>
      <c r="Q3879" s="25"/>
      <c r="R3879" s="25"/>
      <c r="S3879" s="25"/>
      <c r="T3879" s="25"/>
      <c r="U3879" s="25"/>
      <c r="V3879" s="25"/>
      <c r="W3879" s="25"/>
      <c r="X3879" s="25"/>
      <c r="Y3879" s="25"/>
      <c r="Z3879" s="25"/>
    </row>
    <row r="3880" spans="1:26" ht="15.75" customHeight="1" x14ac:dyDescent="0.45">
      <c r="A3880" s="25"/>
      <c r="B3880" s="25"/>
      <c r="C3880" s="25"/>
      <c r="D3880" s="25"/>
      <c r="E3880" s="25"/>
      <c r="F3880" s="25"/>
      <c r="G3880" s="25"/>
      <c r="H3880" s="25"/>
      <c r="I3880" s="24" t="s">
        <v>418</v>
      </c>
      <c r="J3880" s="25"/>
      <c r="K3880" s="25"/>
      <c r="L3880" s="25"/>
      <c r="M3880" s="25"/>
      <c r="N3880" s="25"/>
      <c r="O3880" s="25"/>
      <c r="P3880" s="25"/>
      <c r="Q3880" s="25"/>
      <c r="R3880" s="25"/>
      <c r="S3880" s="25"/>
      <c r="T3880" s="25"/>
      <c r="U3880" s="25"/>
      <c r="V3880" s="25"/>
      <c r="W3880" s="25"/>
      <c r="X3880" s="25"/>
      <c r="Y3880" s="25"/>
      <c r="Z3880" s="25"/>
    </row>
    <row r="3881" spans="1:26" ht="15.75" customHeight="1" x14ac:dyDescent="0.45">
      <c r="A3881" s="25"/>
      <c r="B3881" s="25"/>
      <c r="C3881" s="25"/>
      <c r="D3881" s="25"/>
      <c r="E3881" s="25"/>
      <c r="F3881" s="25"/>
      <c r="G3881" s="25"/>
      <c r="H3881" s="25"/>
      <c r="I3881" s="24" t="s">
        <v>418</v>
      </c>
      <c r="J3881" s="25"/>
      <c r="K3881" s="25"/>
      <c r="L3881" s="25"/>
      <c r="M3881" s="25"/>
      <c r="N3881" s="25"/>
      <c r="O3881" s="25"/>
      <c r="P3881" s="25"/>
      <c r="Q3881" s="25"/>
      <c r="R3881" s="25"/>
      <c r="S3881" s="25"/>
      <c r="T3881" s="25"/>
      <c r="U3881" s="25"/>
      <c r="V3881" s="25"/>
      <c r="W3881" s="25"/>
      <c r="X3881" s="25"/>
      <c r="Y3881" s="25"/>
      <c r="Z3881" s="25"/>
    </row>
    <row r="3882" spans="1:26" ht="15.75" customHeight="1" x14ac:dyDescent="0.75">
      <c r="A3882" s="43" t="s">
        <v>0</v>
      </c>
      <c r="B3882" s="40"/>
      <c r="C3882" s="40"/>
      <c r="D3882" s="40"/>
      <c r="E3882" s="40"/>
      <c r="F3882" s="40"/>
      <c r="G3882" s="40"/>
      <c r="H3882" s="41"/>
      <c r="I3882" s="24" t="s">
        <v>418</v>
      </c>
      <c r="J3882" s="25"/>
      <c r="K3882" s="25"/>
      <c r="L3882" s="25"/>
      <c r="M3882" s="25"/>
      <c r="N3882" s="25"/>
      <c r="O3882" s="25"/>
      <c r="P3882" s="25"/>
      <c r="Q3882" s="25"/>
      <c r="R3882" s="25"/>
      <c r="S3882" s="25"/>
      <c r="T3882" s="25"/>
      <c r="U3882" s="25"/>
      <c r="V3882" s="25"/>
      <c r="W3882" s="25"/>
      <c r="X3882" s="25"/>
      <c r="Y3882" s="25"/>
      <c r="Z3882" s="25"/>
    </row>
    <row r="3883" spans="1:26" ht="15.75" customHeight="1" x14ac:dyDescent="0.75">
      <c r="A3883" s="43" t="s">
        <v>629</v>
      </c>
      <c r="B3883" s="40"/>
      <c r="C3883" s="40"/>
      <c r="D3883" s="40"/>
      <c r="E3883" s="40"/>
      <c r="F3883" s="40"/>
      <c r="G3883" s="40"/>
      <c r="H3883" s="41"/>
      <c r="I3883" s="24" t="s">
        <v>418</v>
      </c>
      <c r="J3883" s="25"/>
      <c r="K3883" s="25"/>
      <c r="L3883" s="25"/>
      <c r="M3883" s="25"/>
      <c r="N3883" s="25"/>
      <c r="O3883" s="25"/>
      <c r="P3883" s="25"/>
      <c r="Q3883" s="25"/>
      <c r="R3883" s="25"/>
      <c r="S3883" s="25"/>
      <c r="T3883" s="25"/>
      <c r="U3883" s="25"/>
      <c r="V3883" s="25"/>
      <c r="W3883" s="25"/>
      <c r="X3883" s="25"/>
      <c r="Y3883" s="25"/>
      <c r="Z3883" s="25"/>
    </row>
    <row r="3884" spans="1:26" ht="15.75" customHeight="1" x14ac:dyDescent="0.55000000000000004">
      <c r="A3884" s="2" t="s">
        <v>3</v>
      </c>
      <c r="B3884" s="2" t="s">
        <v>4</v>
      </c>
      <c r="C3884" s="2" t="s">
        <v>5</v>
      </c>
      <c r="D3884" s="2" t="s">
        <v>6</v>
      </c>
      <c r="E3884" s="2" t="s">
        <v>7</v>
      </c>
      <c r="F3884" s="3" t="s">
        <v>8</v>
      </c>
      <c r="G3884" s="2" t="s">
        <v>9</v>
      </c>
      <c r="H3884" s="26"/>
      <c r="I3884" s="24" t="s">
        <v>418</v>
      </c>
      <c r="J3884" s="25"/>
      <c r="K3884" s="25"/>
      <c r="L3884" s="25"/>
      <c r="M3884" s="25"/>
      <c r="N3884" s="25"/>
      <c r="O3884" s="25"/>
      <c r="P3884" s="25"/>
      <c r="Q3884" s="25"/>
      <c r="R3884" s="25"/>
      <c r="S3884" s="25"/>
      <c r="T3884" s="25"/>
      <c r="U3884" s="25"/>
      <c r="V3884" s="25"/>
      <c r="W3884" s="25"/>
      <c r="X3884" s="25"/>
      <c r="Y3884" s="25"/>
      <c r="Z3884" s="25"/>
    </row>
    <row r="3885" spans="1:26" ht="15.75" customHeight="1" x14ac:dyDescent="0.75">
      <c r="A3885" s="5">
        <v>1</v>
      </c>
      <c r="B3885" s="27" t="s">
        <v>27</v>
      </c>
      <c r="C3885" s="28" t="s">
        <v>630</v>
      </c>
      <c r="D3885" s="27" t="s">
        <v>12</v>
      </c>
      <c r="E3885" s="27">
        <v>2</v>
      </c>
      <c r="F3885" s="8">
        <v>293000</v>
      </c>
      <c r="G3885" s="9">
        <f t="shared" ref="G3885:G3887" si="242">IFERROR(E3885*F3885,0)</f>
        <v>586000</v>
      </c>
      <c r="H3885" s="29"/>
      <c r="I3885" s="24" t="s">
        <v>418</v>
      </c>
      <c r="J3885" s="25"/>
      <c r="K3885" s="25"/>
      <c r="L3885" s="25"/>
      <c r="M3885" s="25"/>
      <c r="N3885" s="25"/>
      <c r="O3885" s="25"/>
      <c r="P3885" s="25"/>
      <c r="Q3885" s="25"/>
      <c r="R3885" s="25"/>
      <c r="S3885" s="25"/>
      <c r="T3885" s="25"/>
      <c r="U3885" s="25"/>
      <c r="V3885" s="25"/>
      <c r="W3885" s="25"/>
      <c r="X3885" s="25"/>
      <c r="Y3885" s="25"/>
      <c r="Z3885" s="25"/>
    </row>
    <row r="3886" spans="1:26" ht="15.75" customHeight="1" x14ac:dyDescent="0.75">
      <c r="A3886" s="5">
        <v>2</v>
      </c>
      <c r="B3886" s="30" t="s">
        <v>80</v>
      </c>
      <c r="C3886" s="31" t="s">
        <v>631</v>
      </c>
      <c r="D3886" s="30" t="s">
        <v>14</v>
      </c>
      <c r="E3886" s="30">
        <v>1.45</v>
      </c>
      <c r="F3886" s="11">
        <v>435000</v>
      </c>
      <c r="G3886" s="9">
        <f t="shared" si="242"/>
        <v>630750</v>
      </c>
      <c r="H3886" s="29"/>
      <c r="I3886" s="24" t="s">
        <v>418</v>
      </c>
      <c r="J3886" s="25"/>
      <c r="K3886" s="25"/>
      <c r="L3886" s="25"/>
      <c r="M3886" s="25"/>
      <c r="N3886" s="25"/>
      <c r="O3886" s="25"/>
      <c r="P3886" s="25"/>
      <c r="Q3886" s="25"/>
      <c r="R3886" s="25"/>
      <c r="S3886" s="25"/>
      <c r="T3886" s="25"/>
      <c r="U3886" s="25"/>
      <c r="V3886" s="25"/>
      <c r="W3886" s="25"/>
      <c r="X3886" s="25"/>
      <c r="Y3886" s="25"/>
      <c r="Z3886" s="25"/>
    </row>
    <row r="3887" spans="1:26" ht="15.75" customHeight="1" x14ac:dyDescent="0.75">
      <c r="A3887" s="5">
        <v>3</v>
      </c>
      <c r="B3887" s="12" t="s">
        <v>15</v>
      </c>
      <c r="C3887" s="29"/>
      <c r="D3887" s="29"/>
      <c r="E3887" s="29"/>
      <c r="F3887" s="29"/>
      <c r="G3887" s="13">
        <f t="shared" si="242"/>
        <v>0</v>
      </c>
      <c r="H3887" s="29"/>
      <c r="I3887" s="24" t="s">
        <v>418</v>
      </c>
      <c r="J3887" s="25"/>
      <c r="K3887" s="25"/>
      <c r="L3887" s="25"/>
      <c r="M3887" s="25"/>
      <c r="N3887" s="25"/>
      <c r="O3887" s="25"/>
      <c r="P3887" s="25"/>
      <c r="Q3887" s="25"/>
      <c r="R3887" s="25"/>
      <c r="S3887" s="25"/>
      <c r="T3887" s="25"/>
      <c r="U3887" s="25"/>
      <c r="V3887" s="25"/>
      <c r="W3887" s="25"/>
      <c r="X3887" s="25"/>
      <c r="Y3887" s="25"/>
      <c r="Z3887" s="25"/>
    </row>
    <row r="3888" spans="1:26" ht="15.75" customHeight="1" x14ac:dyDescent="0.75">
      <c r="A3888" s="39" t="s">
        <v>16</v>
      </c>
      <c r="B3888" s="40"/>
      <c r="C3888" s="40"/>
      <c r="D3888" s="40"/>
      <c r="E3888" s="40"/>
      <c r="F3888" s="40"/>
      <c r="G3888" s="41"/>
      <c r="H3888" s="14">
        <f>SUM(G3885:G3887)</f>
        <v>1216750</v>
      </c>
      <c r="I3888" s="24" t="s">
        <v>418</v>
      </c>
      <c r="J3888" s="25"/>
      <c r="K3888" s="25"/>
      <c r="L3888" s="25"/>
      <c r="M3888" s="25"/>
      <c r="N3888" s="25"/>
      <c r="O3888" s="25"/>
      <c r="P3888" s="25"/>
      <c r="Q3888" s="25"/>
      <c r="R3888" s="25"/>
      <c r="S3888" s="25"/>
      <c r="T3888" s="25"/>
      <c r="U3888" s="25"/>
      <c r="V3888" s="25"/>
      <c r="W3888" s="25"/>
      <c r="X3888" s="25"/>
      <c r="Y3888" s="25"/>
      <c r="Z3888" s="25"/>
    </row>
    <row r="3889" spans="1:26" ht="15.75" customHeight="1" x14ac:dyDescent="0.75">
      <c r="A3889" s="39" t="s">
        <v>17</v>
      </c>
      <c r="B3889" s="40"/>
      <c r="C3889" s="40"/>
      <c r="D3889" s="40"/>
      <c r="E3889" s="40"/>
      <c r="F3889" s="40"/>
      <c r="G3889" s="41"/>
      <c r="H3889" s="14">
        <f>MAX(0,H3888-648000)</f>
        <v>568750</v>
      </c>
      <c r="I3889" s="24" t="s">
        <v>418</v>
      </c>
      <c r="J3889" s="25"/>
      <c r="K3889" s="25"/>
      <c r="L3889" s="25"/>
      <c r="M3889" s="25"/>
      <c r="N3889" s="25"/>
      <c r="O3889" s="25"/>
      <c r="P3889" s="25"/>
      <c r="Q3889" s="25"/>
      <c r="R3889" s="25"/>
      <c r="S3889" s="25"/>
      <c r="T3889" s="25"/>
      <c r="U3889" s="25"/>
      <c r="V3889" s="25"/>
      <c r="W3889" s="25"/>
      <c r="X3889" s="25"/>
      <c r="Y3889" s="25"/>
      <c r="Z3889" s="25"/>
    </row>
    <row r="3890" spans="1:26" ht="15.75" customHeight="1" x14ac:dyDescent="0.75">
      <c r="A3890" s="42" t="s">
        <v>18</v>
      </c>
      <c r="B3890" s="40"/>
      <c r="C3890" s="40"/>
      <c r="D3890" s="40"/>
      <c r="E3890" s="40"/>
      <c r="F3890" s="40"/>
      <c r="G3890" s="41"/>
      <c r="H3890" s="15">
        <v>649000</v>
      </c>
      <c r="I3890" s="24" t="s">
        <v>418</v>
      </c>
      <c r="J3890" s="25"/>
      <c r="K3890" s="25"/>
      <c r="L3890" s="25"/>
      <c r="M3890" s="25"/>
      <c r="N3890" s="25"/>
      <c r="O3890" s="25"/>
      <c r="P3890" s="25"/>
      <c r="Q3890" s="25"/>
      <c r="R3890" s="25"/>
      <c r="S3890" s="25"/>
      <c r="T3890" s="25"/>
      <c r="U3890" s="25"/>
      <c r="V3890" s="25"/>
      <c r="W3890" s="25"/>
      <c r="X3890" s="25"/>
      <c r="Y3890" s="25"/>
      <c r="Z3890" s="25"/>
    </row>
    <row r="3891" spans="1:26" ht="15.75" customHeight="1" x14ac:dyDescent="0.75">
      <c r="A3891" s="43" t="s">
        <v>19</v>
      </c>
      <c r="B3891" s="40"/>
      <c r="C3891" s="40"/>
      <c r="D3891" s="40"/>
      <c r="E3891" s="40"/>
      <c r="F3891" s="40"/>
      <c r="G3891" s="40"/>
      <c r="H3891" s="41"/>
      <c r="I3891" s="24" t="s">
        <v>418</v>
      </c>
      <c r="J3891" s="25"/>
      <c r="K3891" s="25"/>
      <c r="L3891" s="25"/>
      <c r="M3891" s="25"/>
      <c r="N3891" s="25"/>
      <c r="O3891" s="25"/>
      <c r="P3891" s="25"/>
      <c r="Q3891" s="25"/>
      <c r="R3891" s="25"/>
      <c r="S3891" s="25"/>
      <c r="T3891" s="25"/>
      <c r="U3891" s="25"/>
      <c r="V3891" s="25"/>
      <c r="W3891" s="25"/>
      <c r="X3891" s="25"/>
      <c r="Y3891" s="25"/>
      <c r="Z3891" s="25"/>
    </row>
    <row r="3892" spans="1:26" ht="15.75" customHeight="1" x14ac:dyDescent="0.45">
      <c r="A3892" s="25"/>
      <c r="B3892" s="25"/>
      <c r="C3892" s="25"/>
      <c r="D3892" s="25"/>
      <c r="E3892" s="25"/>
      <c r="F3892" s="25"/>
      <c r="G3892" s="25"/>
      <c r="H3892" s="25"/>
      <c r="I3892" s="24" t="s">
        <v>418</v>
      </c>
      <c r="J3892" s="25"/>
      <c r="K3892" s="25"/>
      <c r="L3892" s="25"/>
      <c r="M3892" s="25"/>
      <c r="N3892" s="25"/>
      <c r="O3892" s="25"/>
      <c r="P3892" s="25"/>
      <c r="Q3892" s="25"/>
      <c r="R3892" s="25"/>
      <c r="S3892" s="25"/>
      <c r="T3892" s="25"/>
      <c r="U3892" s="25"/>
      <c r="V3892" s="25"/>
      <c r="W3892" s="25"/>
      <c r="X3892" s="25"/>
      <c r="Y3892" s="25"/>
      <c r="Z3892" s="25"/>
    </row>
    <row r="3893" spans="1:26" ht="15.75" customHeight="1" x14ac:dyDescent="0.45">
      <c r="A3893" s="25"/>
      <c r="B3893" s="25"/>
      <c r="C3893" s="25"/>
      <c r="D3893" s="25"/>
      <c r="E3893" s="25"/>
      <c r="F3893" s="25"/>
      <c r="G3893" s="25"/>
      <c r="H3893" s="25"/>
      <c r="I3893" s="24" t="s">
        <v>418</v>
      </c>
      <c r="J3893" s="25"/>
      <c r="K3893" s="25"/>
      <c r="L3893" s="25"/>
      <c r="M3893" s="25"/>
      <c r="N3893" s="25"/>
      <c r="O3893" s="25"/>
      <c r="P3893" s="25"/>
      <c r="Q3893" s="25"/>
      <c r="R3893" s="25"/>
      <c r="S3893" s="25"/>
      <c r="T3893" s="25"/>
      <c r="U3893" s="25"/>
      <c r="V3893" s="25"/>
      <c r="W3893" s="25"/>
      <c r="X3893" s="25"/>
      <c r="Y3893" s="25"/>
      <c r="Z3893" s="25"/>
    </row>
    <row r="3894" spans="1:26" ht="15.75" customHeight="1" x14ac:dyDescent="0.45">
      <c r="A3894" s="25"/>
      <c r="B3894" s="25"/>
      <c r="C3894" s="25"/>
      <c r="D3894" s="25"/>
      <c r="E3894" s="25"/>
      <c r="F3894" s="25"/>
      <c r="G3894" s="25"/>
      <c r="H3894" s="25"/>
      <c r="I3894" s="24" t="s">
        <v>418</v>
      </c>
      <c r="J3894" s="25"/>
      <c r="K3894" s="25"/>
      <c r="L3894" s="25"/>
      <c r="M3894" s="25"/>
      <c r="N3894" s="25"/>
      <c r="O3894" s="25"/>
      <c r="P3894" s="25"/>
      <c r="Q3894" s="25"/>
      <c r="R3894" s="25"/>
      <c r="S3894" s="25"/>
      <c r="T3894" s="25"/>
      <c r="U3894" s="25"/>
      <c r="V3894" s="25"/>
      <c r="W3894" s="25"/>
      <c r="X3894" s="25"/>
      <c r="Y3894" s="25"/>
      <c r="Z3894" s="25"/>
    </row>
    <row r="3895" spans="1:26" ht="15.75" customHeight="1" x14ac:dyDescent="0.45">
      <c r="A3895" s="25"/>
      <c r="B3895" s="25"/>
      <c r="C3895" s="25"/>
      <c r="D3895" s="25"/>
      <c r="E3895" s="25"/>
      <c r="F3895" s="25"/>
      <c r="G3895" s="25"/>
      <c r="H3895" s="25"/>
      <c r="I3895" s="24" t="s">
        <v>418</v>
      </c>
      <c r="J3895" s="25"/>
      <c r="K3895" s="25"/>
      <c r="L3895" s="25"/>
      <c r="M3895" s="25"/>
      <c r="N3895" s="25"/>
      <c r="O3895" s="25"/>
      <c r="P3895" s="25"/>
      <c r="Q3895" s="25"/>
      <c r="R3895" s="25"/>
      <c r="S3895" s="25"/>
      <c r="T3895" s="25"/>
      <c r="U3895" s="25"/>
      <c r="V3895" s="25"/>
      <c r="W3895" s="25"/>
      <c r="X3895" s="25"/>
      <c r="Y3895" s="25"/>
      <c r="Z3895" s="25"/>
    </row>
    <row r="3896" spans="1:26" ht="15.75" customHeight="1" x14ac:dyDescent="0.45">
      <c r="A3896" s="25"/>
      <c r="B3896" s="25"/>
      <c r="C3896" s="25"/>
      <c r="D3896" s="25"/>
      <c r="E3896" s="25"/>
      <c r="F3896" s="25"/>
      <c r="G3896" s="25"/>
      <c r="H3896" s="25"/>
      <c r="I3896" s="24" t="s">
        <v>418</v>
      </c>
      <c r="J3896" s="25"/>
      <c r="K3896" s="25"/>
      <c r="L3896" s="25"/>
      <c r="M3896" s="25"/>
      <c r="N3896" s="25"/>
      <c r="O3896" s="25"/>
      <c r="P3896" s="25"/>
      <c r="Q3896" s="25"/>
      <c r="R3896" s="25"/>
      <c r="S3896" s="25"/>
      <c r="T3896" s="25"/>
      <c r="U3896" s="25"/>
      <c r="V3896" s="25"/>
      <c r="W3896" s="25"/>
      <c r="X3896" s="25"/>
      <c r="Y3896" s="25"/>
      <c r="Z3896" s="25"/>
    </row>
    <row r="3897" spans="1:26" ht="15.75" customHeight="1" x14ac:dyDescent="0.75">
      <c r="A3897" s="43" t="s">
        <v>0</v>
      </c>
      <c r="B3897" s="40"/>
      <c r="C3897" s="40"/>
      <c r="D3897" s="40"/>
      <c r="E3897" s="40"/>
      <c r="F3897" s="40"/>
      <c r="G3897" s="40"/>
      <c r="H3897" s="41"/>
      <c r="I3897" s="24" t="s">
        <v>418</v>
      </c>
      <c r="J3897" s="25"/>
      <c r="K3897" s="25"/>
      <c r="L3897" s="25"/>
      <c r="M3897" s="25"/>
      <c r="N3897" s="25"/>
      <c r="O3897" s="25"/>
      <c r="P3897" s="25"/>
      <c r="Q3897" s="25"/>
      <c r="R3897" s="25"/>
      <c r="S3897" s="25"/>
      <c r="T3897" s="25"/>
      <c r="U3897" s="25"/>
      <c r="V3897" s="25"/>
      <c r="W3897" s="25"/>
      <c r="X3897" s="25"/>
      <c r="Y3897" s="25"/>
      <c r="Z3897" s="25"/>
    </row>
    <row r="3898" spans="1:26" ht="15.75" customHeight="1" x14ac:dyDescent="0.75">
      <c r="A3898" s="43" t="s">
        <v>632</v>
      </c>
      <c r="B3898" s="40"/>
      <c r="C3898" s="40"/>
      <c r="D3898" s="40"/>
      <c r="E3898" s="40"/>
      <c r="F3898" s="40"/>
      <c r="G3898" s="40"/>
      <c r="H3898" s="41"/>
      <c r="I3898" s="24" t="s">
        <v>418</v>
      </c>
      <c r="J3898" s="25"/>
      <c r="K3898" s="25"/>
      <c r="L3898" s="25"/>
      <c r="M3898" s="25"/>
      <c r="N3898" s="25"/>
      <c r="O3898" s="25"/>
      <c r="P3898" s="25"/>
      <c r="Q3898" s="25"/>
      <c r="R3898" s="25"/>
      <c r="S3898" s="25"/>
      <c r="T3898" s="25"/>
      <c r="U3898" s="25"/>
      <c r="V3898" s="25"/>
      <c r="W3898" s="25"/>
      <c r="X3898" s="25"/>
      <c r="Y3898" s="25"/>
      <c r="Z3898" s="25"/>
    </row>
    <row r="3899" spans="1:26" ht="15.75" customHeight="1" x14ac:dyDescent="0.55000000000000004">
      <c r="A3899" s="2" t="s">
        <v>3</v>
      </c>
      <c r="B3899" s="2" t="s">
        <v>4</v>
      </c>
      <c r="C3899" s="2" t="s">
        <v>5</v>
      </c>
      <c r="D3899" s="2" t="s">
        <v>6</v>
      </c>
      <c r="E3899" s="2" t="s">
        <v>7</v>
      </c>
      <c r="F3899" s="3" t="s">
        <v>8</v>
      </c>
      <c r="G3899" s="2" t="s">
        <v>9</v>
      </c>
      <c r="H3899" s="26"/>
      <c r="I3899" s="24" t="s">
        <v>418</v>
      </c>
      <c r="J3899" s="25"/>
      <c r="K3899" s="25"/>
      <c r="L3899" s="25"/>
      <c r="M3899" s="25"/>
      <c r="N3899" s="25"/>
      <c r="O3899" s="25"/>
      <c r="P3899" s="25"/>
      <c r="Q3899" s="25"/>
      <c r="R3899" s="25"/>
      <c r="S3899" s="25"/>
      <c r="T3899" s="25"/>
      <c r="U3899" s="25"/>
      <c r="V3899" s="25"/>
      <c r="W3899" s="25"/>
      <c r="X3899" s="25"/>
      <c r="Y3899" s="25"/>
      <c r="Z3899" s="25"/>
    </row>
    <row r="3900" spans="1:26" ht="15.75" customHeight="1" x14ac:dyDescent="0.75">
      <c r="A3900" s="5">
        <v>1</v>
      </c>
      <c r="B3900" s="27" t="s">
        <v>612</v>
      </c>
      <c r="C3900" s="28" t="s">
        <v>633</v>
      </c>
      <c r="D3900" s="27" t="s">
        <v>12</v>
      </c>
      <c r="E3900" s="27">
        <v>1.96</v>
      </c>
      <c r="F3900" s="8">
        <v>293000</v>
      </c>
      <c r="G3900" s="9">
        <f t="shared" ref="G3900:G3902" si="243">IFERROR(E3900*F3900,0)</f>
        <v>574280</v>
      </c>
      <c r="H3900" s="29"/>
      <c r="I3900" s="24" t="s">
        <v>418</v>
      </c>
      <c r="J3900" s="25"/>
      <c r="K3900" s="25"/>
      <c r="L3900" s="25"/>
      <c r="M3900" s="25"/>
      <c r="N3900" s="25"/>
      <c r="O3900" s="25"/>
      <c r="P3900" s="25"/>
      <c r="Q3900" s="25"/>
      <c r="R3900" s="25"/>
      <c r="S3900" s="25"/>
      <c r="T3900" s="25"/>
      <c r="U3900" s="25"/>
      <c r="V3900" s="25"/>
      <c r="W3900" s="25"/>
      <c r="X3900" s="25"/>
      <c r="Y3900" s="25"/>
      <c r="Z3900" s="25"/>
    </row>
    <row r="3901" spans="1:26" ht="15.75" customHeight="1" x14ac:dyDescent="0.75">
      <c r="A3901" s="5">
        <v>2</v>
      </c>
      <c r="B3901" s="30" t="s">
        <v>634</v>
      </c>
      <c r="C3901" s="34">
        <v>2099</v>
      </c>
      <c r="D3901" s="30" t="s">
        <v>14</v>
      </c>
      <c r="E3901" s="30">
        <v>1.5</v>
      </c>
      <c r="F3901" s="11">
        <v>435000</v>
      </c>
      <c r="G3901" s="9">
        <f t="shared" si="243"/>
        <v>652500</v>
      </c>
      <c r="H3901" s="29"/>
      <c r="I3901" s="24" t="s">
        <v>418</v>
      </c>
      <c r="J3901" s="25"/>
      <c r="K3901" s="25"/>
      <c r="L3901" s="25"/>
      <c r="M3901" s="25"/>
      <c r="N3901" s="25"/>
      <c r="O3901" s="25"/>
      <c r="P3901" s="25"/>
      <c r="Q3901" s="25"/>
      <c r="R3901" s="25"/>
      <c r="S3901" s="25"/>
      <c r="T3901" s="25"/>
      <c r="U3901" s="25"/>
      <c r="V3901" s="25"/>
      <c r="W3901" s="25"/>
      <c r="X3901" s="25"/>
      <c r="Y3901" s="25"/>
      <c r="Z3901" s="25"/>
    </row>
    <row r="3902" spans="1:26" ht="15.75" customHeight="1" x14ac:dyDescent="0.75">
      <c r="A3902" s="5">
        <v>3</v>
      </c>
      <c r="B3902" s="12" t="s">
        <v>15</v>
      </c>
      <c r="C3902" s="29"/>
      <c r="D3902" s="29"/>
      <c r="E3902" s="29"/>
      <c r="F3902" s="29"/>
      <c r="G3902" s="13">
        <f t="shared" si="243"/>
        <v>0</v>
      </c>
      <c r="H3902" s="29"/>
      <c r="I3902" s="24" t="s">
        <v>418</v>
      </c>
      <c r="J3902" s="25"/>
      <c r="K3902" s="25"/>
      <c r="L3902" s="25"/>
      <c r="M3902" s="25"/>
      <c r="N3902" s="25"/>
      <c r="O3902" s="25"/>
      <c r="P3902" s="25"/>
      <c r="Q3902" s="25"/>
      <c r="R3902" s="25"/>
      <c r="S3902" s="25"/>
      <c r="T3902" s="25"/>
      <c r="U3902" s="25"/>
      <c r="V3902" s="25"/>
      <c r="W3902" s="25"/>
      <c r="X3902" s="25"/>
      <c r="Y3902" s="25"/>
      <c r="Z3902" s="25"/>
    </row>
    <row r="3903" spans="1:26" ht="15.75" customHeight="1" x14ac:dyDescent="0.75">
      <c r="A3903" s="39" t="s">
        <v>16</v>
      </c>
      <c r="B3903" s="40"/>
      <c r="C3903" s="40"/>
      <c r="D3903" s="40"/>
      <c r="E3903" s="40"/>
      <c r="F3903" s="40"/>
      <c r="G3903" s="41"/>
      <c r="H3903" s="14">
        <f>SUM(G3900:G3902)</f>
        <v>1226780</v>
      </c>
      <c r="I3903" s="24" t="s">
        <v>418</v>
      </c>
      <c r="J3903" s="25"/>
      <c r="K3903" s="25"/>
      <c r="L3903" s="25"/>
      <c r="M3903" s="25"/>
      <c r="N3903" s="25"/>
      <c r="O3903" s="25"/>
      <c r="P3903" s="25"/>
      <c r="Q3903" s="25"/>
      <c r="R3903" s="25"/>
      <c r="S3903" s="25"/>
      <c r="T3903" s="25"/>
      <c r="U3903" s="25"/>
      <c r="V3903" s="25"/>
      <c r="W3903" s="25"/>
      <c r="X3903" s="25"/>
      <c r="Y3903" s="25"/>
      <c r="Z3903" s="25"/>
    </row>
    <row r="3904" spans="1:26" ht="15.75" customHeight="1" x14ac:dyDescent="0.75">
      <c r="A3904" s="39" t="s">
        <v>17</v>
      </c>
      <c r="B3904" s="40"/>
      <c r="C3904" s="40"/>
      <c r="D3904" s="40"/>
      <c r="E3904" s="40"/>
      <c r="F3904" s="40"/>
      <c r="G3904" s="41"/>
      <c r="H3904" s="14">
        <f>MAX(0,H3903-648000)</f>
        <v>578780</v>
      </c>
      <c r="I3904" s="24" t="s">
        <v>418</v>
      </c>
      <c r="J3904" s="25"/>
      <c r="K3904" s="25"/>
      <c r="L3904" s="25"/>
      <c r="M3904" s="25"/>
      <c r="N3904" s="25"/>
      <c r="O3904" s="25"/>
      <c r="P3904" s="25"/>
      <c r="Q3904" s="25"/>
      <c r="R3904" s="25"/>
      <c r="S3904" s="25"/>
      <c r="T3904" s="25"/>
      <c r="U3904" s="25"/>
      <c r="V3904" s="25"/>
      <c r="W3904" s="25"/>
      <c r="X3904" s="25"/>
      <c r="Y3904" s="25"/>
      <c r="Z3904" s="25"/>
    </row>
    <row r="3905" spans="1:26" ht="15.75" customHeight="1" x14ac:dyDescent="0.75">
      <c r="A3905" s="42" t="s">
        <v>18</v>
      </c>
      <c r="B3905" s="40"/>
      <c r="C3905" s="40"/>
      <c r="D3905" s="40"/>
      <c r="E3905" s="40"/>
      <c r="F3905" s="40"/>
      <c r="G3905" s="41"/>
      <c r="H3905" s="15">
        <v>649000</v>
      </c>
      <c r="I3905" s="24" t="s">
        <v>418</v>
      </c>
      <c r="J3905" s="25"/>
      <c r="K3905" s="25"/>
      <c r="L3905" s="25"/>
      <c r="M3905" s="25"/>
      <c r="N3905" s="25"/>
      <c r="O3905" s="25"/>
      <c r="P3905" s="25"/>
      <c r="Q3905" s="25"/>
      <c r="R3905" s="25"/>
      <c r="S3905" s="25"/>
      <c r="T3905" s="25"/>
      <c r="U3905" s="25"/>
      <c r="V3905" s="25"/>
      <c r="W3905" s="25"/>
      <c r="X3905" s="25"/>
      <c r="Y3905" s="25"/>
      <c r="Z3905" s="25"/>
    </row>
    <row r="3906" spans="1:26" ht="15.75" customHeight="1" x14ac:dyDescent="0.75">
      <c r="A3906" s="43" t="s">
        <v>19</v>
      </c>
      <c r="B3906" s="40"/>
      <c r="C3906" s="40"/>
      <c r="D3906" s="40"/>
      <c r="E3906" s="40"/>
      <c r="F3906" s="40"/>
      <c r="G3906" s="40"/>
      <c r="H3906" s="41"/>
      <c r="I3906" s="24" t="s">
        <v>418</v>
      </c>
      <c r="J3906" s="25"/>
      <c r="K3906" s="25"/>
      <c r="L3906" s="25"/>
      <c r="M3906" s="25"/>
      <c r="N3906" s="25"/>
      <c r="O3906" s="25"/>
      <c r="P3906" s="25"/>
      <c r="Q3906" s="25"/>
      <c r="R3906" s="25"/>
      <c r="S3906" s="25"/>
      <c r="T3906" s="25"/>
      <c r="U3906" s="25"/>
      <c r="V3906" s="25"/>
      <c r="W3906" s="25"/>
      <c r="X3906" s="25"/>
      <c r="Y3906" s="25"/>
      <c r="Z3906" s="25"/>
    </row>
    <row r="3907" spans="1:26" ht="15.75" customHeight="1" x14ac:dyDescent="0.45">
      <c r="A3907" s="25"/>
      <c r="B3907" s="25"/>
      <c r="C3907" s="25"/>
      <c r="D3907" s="25"/>
      <c r="E3907" s="25"/>
      <c r="F3907" s="25"/>
      <c r="G3907" s="25"/>
      <c r="H3907" s="25"/>
      <c r="I3907" s="24" t="s">
        <v>418</v>
      </c>
      <c r="J3907" s="25"/>
      <c r="K3907" s="25"/>
      <c r="L3907" s="25"/>
      <c r="M3907" s="25"/>
      <c r="N3907" s="25"/>
      <c r="O3907" s="25"/>
      <c r="P3907" s="25"/>
      <c r="Q3907" s="25"/>
      <c r="R3907" s="25"/>
      <c r="S3907" s="25"/>
      <c r="T3907" s="25"/>
      <c r="U3907" s="25"/>
      <c r="V3907" s="25"/>
      <c r="W3907" s="25"/>
      <c r="X3907" s="25"/>
      <c r="Y3907" s="25"/>
      <c r="Z3907" s="25"/>
    </row>
    <row r="3908" spans="1:26" ht="15.75" customHeight="1" x14ac:dyDescent="0.45">
      <c r="A3908" s="25"/>
      <c r="B3908" s="25"/>
      <c r="C3908" s="25"/>
      <c r="D3908" s="25"/>
      <c r="E3908" s="25"/>
      <c r="F3908" s="25"/>
      <c r="G3908" s="25"/>
      <c r="H3908" s="25"/>
      <c r="I3908" s="24" t="s">
        <v>418</v>
      </c>
      <c r="J3908" s="25"/>
      <c r="K3908" s="25"/>
      <c r="L3908" s="25"/>
      <c r="M3908" s="25"/>
      <c r="N3908" s="25"/>
      <c r="O3908" s="25"/>
      <c r="P3908" s="25"/>
      <c r="Q3908" s="25"/>
      <c r="R3908" s="25"/>
      <c r="S3908" s="25"/>
      <c r="T3908" s="25"/>
      <c r="U3908" s="25"/>
      <c r="V3908" s="25"/>
      <c r="W3908" s="25"/>
      <c r="X3908" s="25"/>
      <c r="Y3908" s="25"/>
      <c r="Z3908" s="25"/>
    </row>
    <row r="3909" spans="1:26" ht="15.75" customHeight="1" x14ac:dyDescent="0.45">
      <c r="A3909" s="25"/>
      <c r="B3909" s="25"/>
      <c r="C3909" s="25"/>
      <c r="D3909" s="25"/>
      <c r="E3909" s="25"/>
      <c r="F3909" s="25"/>
      <c r="G3909" s="25"/>
      <c r="H3909" s="25"/>
      <c r="I3909" s="24" t="s">
        <v>418</v>
      </c>
      <c r="J3909" s="25"/>
      <c r="K3909" s="25"/>
      <c r="L3909" s="25"/>
      <c r="M3909" s="25"/>
      <c r="N3909" s="25"/>
      <c r="O3909" s="25"/>
      <c r="P3909" s="25"/>
      <c r="Q3909" s="25"/>
      <c r="R3909" s="25"/>
      <c r="S3909" s="25"/>
      <c r="T3909" s="25"/>
      <c r="U3909" s="25"/>
      <c r="V3909" s="25"/>
      <c r="W3909" s="25"/>
      <c r="X3909" s="25"/>
      <c r="Y3909" s="25"/>
      <c r="Z3909" s="25"/>
    </row>
    <row r="3910" spans="1:26" ht="15.75" customHeight="1" x14ac:dyDescent="0.45">
      <c r="A3910" s="25"/>
      <c r="B3910" s="25"/>
      <c r="C3910" s="25"/>
      <c r="D3910" s="25"/>
      <c r="E3910" s="25"/>
      <c r="F3910" s="25"/>
      <c r="G3910" s="25"/>
      <c r="H3910" s="25"/>
      <c r="I3910" s="24" t="s">
        <v>418</v>
      </c>
      <c r="J3910" s="25"/>
      <c r="K3910" s="25"/>
      <c r="L3910" s="25"/>
      <c r="M3910" s="25"/>
      <c r="N3910" s="25"/>
      <c r="O3910" s="25"/>
      <c r="P3910" s="25"/>
      <c r="Q3910" s="25"/>
      <c r="R3910" s="25"/>
      <c r="S3910" s="25"/>
      <c r="T3910" s="25"/>
      <c r="U3910" s="25"/>
      <c r="V3910" s="25"/>
      <c r="W3910" s="25"/>
      <c r="X3910" s="25"/>
      <c r="Y3910" s="25"/>
      <c r="Z3910" s="25"/>
    </row>
    <row r="3911" spans="1:26" ht="15.75" customHeight="1" x14ac:dyDescent="0.45">
      <c r="A3911" s="25"/>
      <c r="B3911" s="25"/>
      <c r="C3911" s="25"/>
      <c r="D3911" s="25"/>
      <c r="E3911" s="25"/>
      <c r="F3911" s="25"/>
      <c r="G3911" s="25"/>
      <c r="H3911" s="25"/>
      <c r="I3911" s="24" t="s">
        <v>418</v>
      </c>
      <c r="J3911" s="25"/>
      <c r="K3911" s="25"/>
      <c r="L3911" s="25"/>
      <c r="M3911" s="25"/>
      <c r="N3911" s="25"/>
      <c r="O3911" s="25"/>
      <c r="P3911" s="25"/>
      <c r="Q3911" s="25"/>
      <c r="R3911" s="25"/>
      <c r="S3911" s="25"/>
      <c r="T3911" s="25"/>
      <c r="U3911" s="25"/>
      <c r="V3911" s="25"/>
      <c r="W3911" s="25"/>
      <c r="X3911" s="25"/>
      <c r="Y3911" s="25"/>
      <c r="Z3911" s="25"/>
    </row>
    <row r="3912" spans="1:26" ht="15.75" customHeight="1" x14ac:dyDescent="0.45">
      <c r="A3912" s="25"/>
      <c r="B3912" s="25"/>
      <c r="C3912" s="25"/>
      <c r="D3912" s="25"/>
      <c r="E3912" s="25"/>
      <c r="F3912" s="25"/>
      <c r="G3912" s="25"/>
      <c r="H3912" s="25"/>
      <c r="I3912" s="24" t="s">
        <v>418</v>
      </c>
      <c r="J3912" s="25"/>
      <c r="K3912" s="25"/>
      <c r="L3912" s="25"/>
      <c r="M3912" s="25"/>
      <c r="N3912" s="25"/>
      <c r="O3912" s="25"/>
      <c r="P3912" s="25"/>
      <c r="Q3912" s="25"/>
      <c r="R3912" s="25"/>
      <c r="S3912" s="25"/>
      <c r="T3912" s="25"/>
      <c r="U3912" s="25"/>
      <c r="V3912" s="25"/>
      <c r="W3912" s="25"/>
      <c r="X3912" s="25"/>
      <c r="Y3912" s="25"/>
      <c r="Z3912" s="25"/>
    </row>
    <row r="3913" spans="1:26" ht="15.75" customHeight="1" x14ac:dyDescent="0.75">
      <c r="A3913" s="43" t="s">
        <v>0</v>
      </c>
      <c r="B3913" s="40"/>
      <c r="C3913" s="40"/>
      <c r="D3913" s="40"/>
      <c r="E3913" s="40"/>
      <c r="F3913" s="40"/>
      <c r="G3913" s="40"/>
      <c r="H3913" s="41"/>
      <c r="I3913" s="24" t="s">
        <v>418</v>
      </c>
      <c r="J3913" s="25"/>
      <c r="K3913" s="25"/>
      <c r="L3913" s="25"/>
      <c r="M3913" s="25"/>
      <c r="N3913" s="25"/>
      <c r="O3913" s="25"/>
      <c r="P3913" s="25"/>
      <c r="Q3913" s="25"/>
      <c r="R3913" s="25"/>
      <c r="S3913" s="25"/>
      <c r="T3913" s="25"/>
      <c r="U3913" s="25"/>
      <c r="V3913" s="25"/>
      <c r="W3913" s="25"/>
      <c r="X3913" s="25"/>
      <c r="Y3913" s="25"/>
      <c r="Z3913" s="25"/>
    </row>
    <row r="3914" spans="1:26" ht="15.75" customHeight="1" x14ac:dyDescent="0.75">
      <c r="A3914" s="43" t="s">
        <v>635</v>
      </c>
      <c r="B3914" s="40"/>
      <c r="C3914" s="40"/>
      <c r="D3914" s="40"/>
      <c r="E3914" s="40"/>
      <c r="F3914" s="40"/>
      <c r="G3914" s="40"/>
      <c r="H3914" s="41"/>
      <c r="I3914" s="24" t="s">
        <v>418</v>
      </c>
      <c r="J3914" s="25"/>
      <c r="K3914" s="25"/>
      <c r="L3914" s="25"/>
      <c r="M3914" s="25"/>
      <c r="N3914" s="25"/>
      <c r="O3914" s="25"/>
      <c r="P3914" s="25"/>
      <c r="Q3914" s="25"/>
      <c r="R3914" s="25"/>
      <c r="S3914" s="25"/>
      <c r="T3914" s="25"/>
      <c r="U3914" s="25"/>
      <c r="V3914" s="25"/>
      <c r="W3914" s="25"/>
      <c r="X3914" s="25"/>
      <c r="Y3914" s="25"/>
      <c r="Z3914" s="25"/>
    </row>
    <row r="3915" spans="1:26" ht="15.75" customHeight="1" x14ac:dyDescent="0.55000000000000004">
      <c r="A3915" s="2" t="s">
        <v>3</v>
      </c>
      <c r="B3915" s="2" t="s">
        <v>4</v>
      </c>
      <c r="C3915" s="2" t="s">
        <v>5</v>
      </c>
      <c r="D3915" s="2" t="s">
        <v>6</v>
      </c>
      <c r="E3915" s="2" t="s">
        <v>7</v>
      </c>
      <c r="F3915" s="3" t="s">
        <v>8</v>
      </c>
      <c r="G3915" s="2" t="s">
        <v>9</v>
      </c>
      <c r="H3915" s="26"/>
      <c r="I3915" s="24" t="s">
        <v>418</v>
      </c>
      <c r="J3915" s="25"/>
      <c r="K3915" s="25"/>
      <c r="L3915" s="25"/>
      <c r="M3915" s="25"/>
      <c r="N3915" s="25"/>
      <c r="O3915" s="25"/>
      <c r="P3915" s="25"/>
      <c r="Q3915" s="25"/>
      <c r="R3915" s="25"/>
      <c r="S3915" s="25"/>
      <c r="T3915" s="25"/>
      <c r="U3915" s="25"/>
      <c r="V3915" s="25"/>
      <c r="W3915" s="25"/>
      <c r="X3915" s="25"/>
      <c r="Y3915" s="25"/>
      <c r="Z3915" s="25"/>
    </row>
    <row r="3916" spans="1:26" ht="15.75" customHeight="1" x14ac:dyDescent="0.75">
      <c r="A3916" s="5">
        <v>1</v>
      </c>
      <c r="B3916" s="27" t="s">
        <v>27</v>
      </c>
      <c r="C3916" s="28" t="s">
        <v>636</v>
      </c>
      <c r="D3916" s="27" t="s">
        <v>12</v>
      </c>
      <c r="E3916" s="27">
        <v>2.19</v>
      </c>
      <c r="F3916" s="8">
        <v>293000</v>
      </c>
      <c r="G3916" s="9">
        <f t="shared" ref="G3916:G3918" si="244">IFERROR(E3916*F3916,0)</f>
        <v>641670</v>
      </c>
      <c r="H3916" s="29"/>
      <c r="I3916" s="24" t="s">
        <v>418</v>
      </c>
      <c r="J3916" s="25"/>
      <c r="K3916" s="25"/>
      <c r="L3916" s="25"/>
      <c r="M3916" s="25"/>
      <c r="N3916" s="25"/>
      <c r="O3916" s="25"/>
      <c r="P3916" s="25"/>
      <c r="Q3916" s="25"/>
      <c r="R3916" s="25"/>
      <c r="S3916" s="25"/>
      <c r="T3916" s="25"/>
      <c r="U3916" s="25"/>
      <c r="V3916" s="25"/>
      <c r="W3916" s="25"/>
      <c r="X3916" s="25"/>
      <c r="Y3916" s="25"/>
      <c r="Z3916" s="25"/>
    </row>
    <row r="3917" spans="1:26" ht="15.75" customHeight="1" x14ac:dyDescent="0.75">
      <c r="A3917" s="5">
        <v>2</v>
      </c>
      <c r="B3917" s="30" t="s">
        <v>161</v>
      </c>
      <c r="C3917" s="31" t="s">
        <v>637</v>
      </c>
      <c r="D3917" s="30" t="s">
        <v>14</v>
      </c>
      <c r="E3917" s="30">
        <v>1.39</v>
      </c>
      <c r="F3917" s="11">
        <v>435000</v>
      </c>
      <c r="G3917" s="9">
        <f t="shared" si="244"/>
        <v>604650</v>
      </c>
      <c r="H3917" s="29"/>
      <c r="I3917" s="24" t="s">
        <v>418</v>
      </c>
      <c r="J3917" s="25"/>
      <c r="K3917" s="25"/>
      <c r="L3917" s="25"/>
      <c r="M3917" s="25"/>
      <c r="N3917" s="25"/>
      <c r="O3917" s="25"/>
      <c r="P3917" s="25"/>
      <c r="Q3917" s="25"/>
      <c r="R3917" s="25"/>
      <c r="S3917" s="25"/>
      <c r="T3917" s="25"/>
      <c r="U3917" s="25"/>
      <c r="V3917" s="25"/>
      <c r="W3917" s="25"/>
      <c r="X3917" s="25"/>
      <c r="Y3917" s="25"/>
      <c r="Z3917" s="25"/>
    </row>
    <row r="3918" spans="1:26" ht="15.75" customHeight="1" x14ac:dyDescent="0.75">
      <c r="A3918" s="5">
        <v>3</v>
      </c>
      <c r="B3918" s="12" t="s">
        <v>15</v>
      </c>
      <c r="C3918" s="29"/>
      <c r="D3918" s="29"/>
      <c r="E3918" s="29"/>
      <c r="F3918" s="29"/>
      <c r="G3918" s="13">
        <f t="shared" si="244"/>
        <v>0</v>
      </c>
      <c r="H3918" s="29"/>
      <c r="I3918" s="24" t="s">
        <v>418</v>
      </c>
      <c r="J3918" s="25"/>
      <c r="K3918" s="25"/>
      <c r="L3918" s="25"/>
      <c r="M3918" s="25"/>
      <c r="N3918" s="25"/>
      <c r="O3918" s="25"/>
      <c r="P3918" s="25"/>
      <c r="Q3918" s="25"/>
      <c r="R3918" s="25"/>
      <c r="S3918" s="25"/>
      <c r="T3918" s="25"/>
      <c r="U3918" s="25"/>
      <c r="V3918" s="25"/>
      <c r="W3918" s="25"/>
      <c r="X3918" s="25"/>
      <c r="Y3918" s="25"/>
      <c r="Z3918" s="25"/>
    </row>
    <row r="3919" spans="1:26" ht="15.75" customHeight="1" x14ac:dyDescent="0.75">
      <c r="A3919" s="39" t="s">
        <v>16</v>
      </c>
      <c r="B3919" s="40"/>
      <c r="C3919" s="40"/>
      <c r="D3919" s="40"/>
      <c r="E3919" s="40"/>
      <c r="F3919" s="40"/>
      <c r="G3919" s="41"/>
      <c r="H3919" s="14">
        <f>SUM(G3916:G3918)</f>
        <v>1246320</v>
      </c>
      <c r="I3919" s="24" t="s">
        <v>418</v>
      </c>
      <c r="J3919" s="25"/>
      <c r="K3919" s="25"/>
      <c r="L3919" s="25"/>
      <c r="M3919" s="25"/>
      <c r="N3919" s="25"/>
      <c r="O3919" s="25"/>
      <c r="P3919" s="25"/>
      <c r="Q3919" s="25"/>
      <c r="R3919" s="25"/>
      <c r="S3919" s="25"/>
      <c r="T3919" s="25"/>
      <c r="U3919" s="25"/>
      <c r="V3919" s="25"/>
      <c r="W3919" s="25"/>
      <c r="X3919" s="25"/>
      <c r="Y3919" s="25"/>
      <c r="Z3919" s="25"/>
    </row>
    <row r="3920" spans="1:26" ht="15.75" customHeight="1" x14ac:dyDescent="0.75">
      <c r="A3920" s="39" t="s">
        <v>17</v>
      </c>
      <c r="B3920" s="40"/>
      <c r="C3920" s="40"/>
      <c r="D3920" s="40"/>
      <c r="E3920" s="40"/>
      <c r="F3920" s="40"/>
      <c r="G3920" s="41"/>
      <c r="H3920" s="14">
        <f>MAX(0,H3919-648000)</f>
        <v>598320</v>
      </c>
      <c r="I3920" s="24" t="s">
        <v>418</v>
      </c>
      <c r="J3920" s="25"/>
      <c r="K3920" s="25"/>
      <c r="L3920" s="25"/>
      <c r="M3920" s="25"/>
      <c r="N3920" s="25"/>
      <c r="O3920" s="25"/>
      <c r="P3920" s="25"/>
      <c r="Q3920" s="25"/>
      <c r="R3920" s="25"/>
      <c r="S3920" s="25"/>
      <c r="T3920" s="25"/>
      <c r="U3920" s="25"/>
      <c r="V3920" s="25"/>
      <c r="W3920" s="25"/>
      <c r="X3920" s="25"/>
      <c r="Y3920" s="25"/>
      <c r="Z3920" s="25"/>
    </row>
    <row r="3921" spans="1:26" ht="15.75" customHeight="1" x14ac:dyDescent="0.75">
      <c r="A3921" s="42" t="s">
        <v>18</v>
      </c>
      <c r="B3921" s="40"/>
      <c r="C3921" s="40"/>
      <c r="D3921" s="40"/>
      <c r="E3921" s="40"/>
      <c r="F3921" s="40"/>
      <c r="G3921" s="41"/>
      <c r="H3921" s="15">
        <v>649000</v>
      </c>
      <c r="I3921" s="24" t="s">
        <v>418</v>
      </c>
      <c r="J3921" s="25"/>
      <c r="K3921" s="25"/>
      <c r="L3921" s="25"/>
      <c r="M3921" s="25"/>
      <c r="N3921" s="25"/>
      <c r="O3921" s="25"/>
      <c r="P3921" s="25"/>
      <c r="Q3921" s="25"/>
      <c r="R3921" s="25"/>
      <c r="S3921" s="25"/>
      <c r="T3921" s="25"/>
      <c r="U3921" s="25"/>
      <c r="V3921" s="25"/>
      <c r="W3921" s="25"/>
      <c r="X3921" s="25"/>
      <c r="Y3921" s="25"/>
      <c r="Z3921" s="25"/>
    </row>
    <row r="3922" spans="1:26" ht="15.75" customHeight="1" x14ac:dyDescent="0.75">
      <c r="A3922" s="43" t="s">
        <v>19</v>
      </c>
      <c r="B3922" s="40"/>
      <c r="C3922" s="40"/>
      <c r="D3922" s="40"/>
      <c r="E3922" s="40"/>
      <c r="F3922" s="40"/>
      <c r="G3922" s="40"/>
      <c r="H3922" s="41"/>
      <c r="I3922" s="24" t="s">
        <v>418</v>
      </c>
      <c r="J3922" s="25"/>
      <c r="K3922" s="25"/>
      <c r="L3922" s="25"/>
      <c r="M3922" s="25"/>
      <c r="N3922" s="25"/>
      <c r="O3922" s="25"/>
      <c r="P3922" s="25"/>
      <c r="Q3922" s="25"/>
      <c r="R3922" s="25"/>
      <c r="S3922" s="25"/>
      <c r="T3922" s="25"/>
      <c r="U3922" s="25"/>
      <c r="V3922" s="25"/>
      <c r="W3922" s="25"/>
      <c r="X3922" s="25"/>
      <c r="Y3922" s="25"/>
      <c r="Z3922" s="25"/>
    </row>
    <row r="3923" spans="1:26" ht="15.75" customHeight="1" x14ac:dyDescent="0.45">
      <c r="A3923" s="25"/>
      <c r="B3923" s="25"/>
      <c r="C3923" s="25"/>
      <c r="D3923" s="25"/>
      <c r="E3923" s="25"/>
      <c r="F3923" s="25"/>
      <c r="G3923" s="25"/>
      <c r="H3923" s="25"/>
      <c r="I3923" s="24" t="s">
        <v>418</v>
      </c>
      <c r="J3923" s="25"/>
      <c r="K3923" s="25"/>
      <c r="L3923" s="25"/>
      <c r="M3923" s="25"/>
      <c r="N3923" s="25"/>
      <c r="O3923" s="25"/>
      <c r="P3923" s="25"/>
      <c r="Q3923" s="25"/>
      <c r="R3923" s="25"/>
      <c r="S3923" s="25"/>
      <c r="T3923" s="25"/>
      <c r="U3923" s="25"/>
      <c r="V3923" s="25"/>
      <c r="W3923" s="25"/>
      <c r="X3923" s="25"/>
      <c r="Y3923" s="25"/>
      <c r="Z3923" s="25"/>
    </row>
    <row r="3924" spans="1:26" ht="15.75" customHeight="1" x14ac:dyDescent="0.45">
      <c r="A3924" s="25"/>
      <c r="B3924" s="25"/>
      <c r="C3924" s="25"/>
      <c r="D3924" s="25"/>
      <c r="E3924" s="25"/>
      <c r="F3924" s="25"/>
      <c r="G3924" s="25"/>
      <c r="H3924" s="25"/>
      <c r="I3924" s="24" t="s">
        <v>418</v>
      </c>
      <c r="J3924" s="25"/>
      <c r="K3924" s="25"/>
      <c r="L3924" s="25"/>
      <c r="M3924" s="25"/>
      <c r="N3924" s="25"/>
      <c r="O3924" s="25"/>
      <c r="P3924" s="25"/>
      <c r="Q3924" s="25"/>
      <c r="R3924" s="25"/>
      <c r="S3924" s="25"/>
      <c r="T3924" s="25"/>
      <c r="U3924" s="25"/>
      <c r="V3924" s="25"/>
      <c r="W3924" s="25"/>
      <c r="X3924" s="25"/>
      <c r="Y3924" s="25"/>
      <c r="Z3924" s="25"/>
    </row>
    <row r="3925" spans="1:26" ht="15.75" customHeight="1" x14ac:dyDescent="0.45">
      <c r="A3925" s="25"/>
      <c r="B3925" s="25"/>
      <c r="C3925" s="25"/>
      <c r="D3925" s="25"/>
      <c r="E3925" s="25"/>
      <c r="F3925" s="25"/>
      <c r="G3925" s="25"/>
      <c r="H3925" s="25"/>
      <c r="I3925" s="24" t="s">
        <v>418</v>
      </c>
      <c r="J3925" s="25"/>
      <c r="K3925" s="25"/>
      <c r="L3925" s="25"/>
      <c r="M3925" s="25"/>
      <c r="N3925" s="25"/>
      <c r="O3925" s="25"/>
      <c r="P3925" s="25"/>
      <c r="Q3925" s="25"/>
      <c r="R3925" s="25"/>
      <c r="S3925" s="25"/>
      <c r="T3925" s="25"/>
      <c r="U3925" s="25"/>
      <c r="V3925" s="25"/>
      <c r="W3925" s="25"/>
      <c r="X3925" s="25"/>
      <c r="Y3925" s="25"/>
      <c r="Z3925" s="25"/>
    </row>
    <row r="3926" spans="1:26" ht="15.75" customHeight="1" x14ac:dyDescent="0.45">
      <c r="A3926" s="25"/>
      <c r="B3926" s="25"/>
      <c r="C3926" s="25"/>
      <c r="D3926" s="25"/>
      <c r="E3926" s="25"/>
      <c r="F3926" s="25"/>
      <c r="G3926" s="25"/>
      <c r="H3926" s="25"/>
      <c r="I3926" s="24" t="s">
        <v>418</v>
      </c>
      <c r="J3926" s="25"/>
      <c r="K3926" s="25"/>
      <c r="L3926" s="25"/>
      <c r="M3926" s="25"/>
      <c r="N3926" s="25"/>
      <c r="O3926" s="25"/>
      <c r="P3926" s="25"/>
      <c r="Q3926" s="25"/>
      <c r="R3926" s="25"/>
      <c r="S3926" s="25"/>
      <c r="T3926" s="25"/>
      <c r="U3926" s="25"/>
      <c r="V3926" s="25"/>
      <c r="W3926" s="25"/>
      <c r="X3926" s="25"/>
      <c r="Y3926" s="25"/>
      <c r="Z3926" s="25"/>
    </row>
    <row r="3927" spans="1:26" ht="15.75" customHeight="1" x14ac:dyDescent="0.45">
      <c r="A3927" s="25"/>
      <c r="B3927" s="25"/>
      <c r="C3927" s="25"/>
      <c r="D3927" s="25"/>
      <c r="E3927" s="25"/>
      <c r="F3927" s="25"/>
      <c r="G3927" s="25"/>
      <c r="H3927" s="25"/>
      <c r="I3927" s="24" t="s">
        <v>418</v>
      </c>
      <c r="J3927" s="25"/>
      <c r="K3927" s="25"/>
      <c r="L3927" s="25"/>
      <c r="M3927" s="25"/>
      <c r="N3927" s="25"/>
      <c r="O3927" s="25"/>
      <c r="P3927" s="25"/>
      <c r="Q3927" s="25"/>
      <c r="R3927" s="25"/>
      <c r="S3927" s="25"/>
      <c r="T3927" s="25"/>
      <c r="U3927" s="25"/>
      <c r="V3927" s="25"/>
      <c r="W3927" s="25"/>
      <c r="X3927" s="25"/>
      <c r="Y3927" s="25"/>
      <c r="Z3927" s="25"/>
    </row>
    <row r="3928" spans="1:26" ht="15.75" customHeight="1" x14ac:dyDescent="0.75">
      <c r="A3928" s="43" t="s">
        <v>0</v>
      </c>
      <c r="B3928" s="40"/>
      <c r="C3928" s="40"/>
      <c r="D3928" s="40"/>
      <c r="E3928" s="40"/>
      <c r="F3928" s="40"/>
      <c r="G3928" s="40"/>
      <c r="H3928" s="41"/>
      <c r="I3928" s="24" t="s">
        <v>418</v>
      </c>
      <c r="J3928" s="25"/>
      <c r="K3928" s="25"/>
      <c r="L3928" s="25"/>
      <c r="M3928" s="25"/>
      <c r="N3928" s="25"/>
      <c r="O3928" s="25"/>
      <c r="P3928" s="25"/>
      <c r="Q3928" s="25"/>
      <c r="R3928" s="25"/>
      <c r="S3928" s="25"/>
      <c r="T3928" s="25"/>
      <c r="U3928" s="25"/>
      <c r="V3928" s="25"/>
      <c r="W3928" s="25"/>
      <c r="X3928" s="25"/>
      <c r="Y3928" s="25"/>
      <c r="Z3928" s="25"/>
    </row>
    <row r="3929" spans="1:26" ht="15.75" customHeight="1" x14ac:dyDescent="0.75">
      <c r="A3929" s="43" t="s">
        <v>638</v>
      </c>
      <c r="B3929" s="40"/>
      <c r="C3929" s="40"/>
      <c r="D3929" s="40"/>
      <c r="E3929" s="40"/>
      <c r="F3929" s="40"/>
      <c r="G3929" s="40"/>
      <c r="H3929" s="41"/>
      <c r="I3929" s="24" t="s">
        <v>418</v>
      </c>
      <c r="J3929" s="25"/>
      <c r="K3929" s="25"/>
      <c r="L3929" s="25"/>
      <c r="M3929" s="25"/>
      <c r="N3929" s="25"/>
      <c r="O3929" s="25"/>
      <c r="P3929" s="25"/>
      <c r="Q3929" s="25"/>
      <c r="R3929" s="25"/>
      <c r="S3929" s="25"/>
      <c r="T3929" s="25"/>
      <c r="U3929" s="25"/>
      <c r="V3929" s="25"/>
      <c r="W3929" s="25"/>
      <c r="X3929" s="25"/>
      <c r="Y3929" s="25"/>
      <c r="Z3929" s="25"/>
    </row>
    <row r="3930" spans="1:26" ht="15.75" customHeight="1" x14ac:dyDescent="0.55000000000000004">
      <c r="A3930" s="2" t="s">
        <v>3</v>
      </c>
      <c r="B3930" s="2" t="s">
        <v>4</v>
      </c>
      <c r="C3930" s="2" t="s">
        <v>5</v>
      </c>
      <c r="D3930" s="2" t="s">
        <v>6</v>
      </c>
      <c r="E3930" s="2" t="s">
        <v>7</v>
      </c>
      <c r="F3930" s="3" t="s">
        <v>8</v>
      </c>
      <c r="G3930" s="2" t="s">
        <v>9</v>
      </c>
      <c r="H3930" s="26"/>
      <c r="I3930" s="24" t="s">
        <v>418</v>
      </c>
      <c r="J3930" s="25"/>
      <c r="K3930" s="25"/>
      <c r="L3930" s="25"/>
      <c r="M3930" s="25"/>
      <c r="N3930" s="25"/>
      <c r="O3930" s="25"/>
      <c r="P3930" s="25"/>
      <c r="Q3930" s="25"/>
      <c r="R3930" s="25"/>
      <c r="S3930" s="25"/>
      <c r="T3930" s="25"/>
      <c r="U3930" s="25"/>
      <c r="V3930" s="25"/>
      <c r="W3930" s="25"/>
      <c r="X3930" s="25"/>
      <c r="Y3930" s="25"/>
      <c r="Z3930" s="25"/>
    </row>
    <row r="3931" spans="1:26" ht="15.75" customHeight="1" x14ac:dyDescent="0.75">
      <c r="A3931" s="5">
        <v>1</v>
      </c>
      <c r="B3931" s="27" t="s">
        <v>112</v>
      </c>
      <c r="C3931" s="35">
        <v>7509</v>
      </c>
      <c r="D3931" s="27" t="s">
        <v>12</v>
      </c>
      <c r="E3931" s="27">
        <v>1.68</v>
      </c>
      <c r="F3931" s="8">
        <v>293000</v>
      </c>
      <c r="G3931" s="9">
        <f t="shared" ref="G3931:G3933" si="245">IFERROR(E3931*F3931,0)</f>
        <v>492240</v>
      </c>
      <c r="H3931" s="29"/>
      <c r="I3931" s="24" t="s">
        <v>418</v>
      </c>
      <c r="J3931" s="25"/>
      <c r="K3931" s="25"/>
      <c r="L3931" s="25"/>
      <c r="M3931" s="25"/>
      <c r="N3931" s="25"/>
      <c r="O3931" s="25"/>
      <c r="P3931" s="25"/>
      <c r="Q3931" s="25"/>
      <c r="R3931" s="25"/>
      <c r="S3931" s="25"/>
      <c r="T3931" s="25"/>
      <c r="U3931" s="25"/>
      <c r="V3931" s="25"/>
      <c r="W3931" s="25"/>
      <c r="X3931" s="25"/>
      <c r="Y3931" s="25"/>
      <c r="Z3931" s="25"/>
    </row>
    <row r="3932" spans="1:26" ht="15.75" customHeight="1" x14ac:dyDescent="0.75">
      <c r="A3932" s="5">
        <v>2</v>
      </c>
      <c r="B3932" s="30" t="s">
        <v>10</v>
      </c>
      <c r="C3932" s="34">
        <v>1111</v>
      </c>
      <c r="D3932" s="30" t="s">
        <v>14</v>
      </c>
      <c r="E3932" s="30">
        <v>1.66</v>
      </c>
      <c r="F3932" s="11">
        <v>435000</v>
      </c>
      <c r="G3932" s="9">
        <f t="shared" si="245"/>
        <v>722100</v>
      </c>
      <c r="H3932" s="29"/>
      <c r="I3932" s="24" t="s">
        <v>418</v>
      </c>
      <c r="J3932" s="25"/>
      <c r="K3932" s="25"/>
      <c r="L3932" s="25"/>
      <c r="M3932" s="25"/>
      <c r="N3932" s="25"/>
      <c r="O3932" s="25"/>
      <c r="P3932" s="25"/>
      <c r="Q3932" s="25"/>
      <c r="R3932" s="25"/>
      <c r="S3932" s="25"/>
      <c r="T3932" s="25"/>
      <c r="U3932" s="25"/>
      <c r="V3932" s="25"/>
      <c r="W3932" s="25"/>
      <c r="X3932" s="25"/>
      <c r="Y3932" s="25"/>
      <c r="Z3932" s="25"/>
    </row>
    <row r="3933" spans="1:26" ht="15.75" customHeight="1" x14ac:dyDescent="0.75">
      <c r="A3933" s="5">
        <v>3</v>
      </c>
      <c r="B3933" s="12" t="s">
        <v>15</v>
      </c>
      <c r="C3933" s="29"/>
      <c r="D3933" s="29"/>
      <c r="E3933" s="29"/>
      <c r="F3933" s="29"/>
      <c r="G3933" s="13">
        <f t="shared" si="245"/>
        <v>0</v>
      </c>
      <c r="H3933" s="29"/>
      <c r="I3933" s="24" t="s">
        <v>418</v>
      </c>
      <c r="J3933" s="25"/>
      <c r="K3933" s="25"/>
      <c r="L3933" s="25"/>
      <c r="M3933" s="25"/>
      <c r="N3933" s="25"/>
      <c r="O3933" s="25"/>
      <c r="P3933" s="25"/>
      <c r="Q3933" s="25"/>
      <c r="R3933" s="25"/>
      <c r="S3933" s="25"/>
      <c r="T3933" s="25"/>
      <c r="U3933" s="25"/>
      <c r="V3933" s="25"/>
      <c r="W3933" s="25"/>
      <c r="X3933" s="25"/>
      <c r="Y3933" s="25"/>
      <c r="Z3933" s="25"/>
    </row>
    <row r="3934" spans="1:26" ht="15.75" customHeight="1" x14ac:dyDescent="0.75">
      <c r="A3934" s="39" t="s">
        <v>16</v>
      </c>
      <c r="B3934" s="40"/>
      <c r="C3934" s="40"/>
      <c r="D3934" s="40"/>
      <c r="E3934" s="40"/>
      <c r="F3934" s="40"/>
      <c r="G3934" s="41"/>
      <c r="H3934" s="14">
        <f>SUM(G3931:G3933)</f>
        <v>1214340</v>
      </c>
      <c r="I3934" s="24" t="s">
        <v>418</v>
      </c>
      <c r="J3934" s="25"/>
      <c r="K3934" s="25"/>
      <c r="L3934" s="25"/>
      <c r="M3934" s="25"/>
      <c r="N3934" s="25"/>
      <c r="O3934" s="25"/>
      <c r="P3934" s="25"/>
      <c r="Q3934" s="25"/>
      <c r="R3934" s="25"/>
      <c r="S3934" s="25"/>
      <c r="T3934" s="25"/>
      <c r="U3934" s="25"/>
      <c r="V3934" s="25"/>
      <c r="W3934" s="25"/>
      <c r="X3934" s="25"/>
      <c r="Y3934" s="25"/>
      <c r="Z3934" s="25"/>
    </row>
    <row r="3935" spans="1:26" ht="15.75" customHeight="1" x14ac:dyDescent="0.75">
      <c r="A3935" s="39" t="s">
        <v>17</v>
      </c>
      <c r="B3935" s="40"/>
      <c r="C3935" s="40"/>
      <c r="D3935" s="40"/>
      <c r="E3935" s="40"/>
      <c r="F3935" s="40"/>
      <c r="G3935" s="41"/>
      <c r="H3935" s="14">
        <f>MAX(0,H3934-648000)</f>
        <v>566340</v>
      </c>
      <c r="I3935" s="24" t="s">
        <v>418</v>
      </c>
      <c r="J3935" s="25"/>
      <c r="K3935" s="25"/>
      <c r="L3935" s="25"/>
      <c r="M3935" s="25"/>
      <c r="N3935" s="25"/>
      <c r="O3935" s="25"/>
      <c r="P3935" s="25"/>
      <c r="Q3935" s="25"/>
      <c r="R3935" s="25"/>
      <c r="S3935" s="25"/>
      <c r="T3935" s="25"/>
      <c r="U3935" s="25"/>
      <c r="V3935" s="25"/>
      <c r="W3935" s="25"/>
      <c r="X3935" s="25"/>
      <c r="Y3935" s="25"/>
      <c r="Z3935" s="25"/>
    </row>
    <row r="3936" spans="1:26" ht="15.75" customHeight="1" x14ac:dyDescent="0.75">
      <c r="A3936" s="42" t="s">
        <v>18</v>
      </c>
      <c r="B3936" s="40"/>
      <c r="C3936" s="40"/>
      <c r="D3936" s="40"/>
      <c r="E3936" s="40"/>
      <c r="F3936" s="40"/>
      <c r="G3936" s="41"/>
      <c r="H3936" s="15">
        <v>649000</v>
      </c>
      <c r="I3936" s="24" t="s">
        <v>418</v>
      </c>
      <c r="J3936" s="25"/>
      <c r="K3936" s="25"/>
      <c r="L3936" s="25"/>
      <c r="M3936" s="25"/>
      <c r="N3936" s="25"/>
      <c r="O3936" s="25"/>
      <c r="P3936" s="25"/>
      <c r="Q3936" s="25"/>
      <c r="R3936" s="25"/>
      <c r="S3936" s="25"/>
      <c r="T3936" s="25"/>
      <c r="U3936" s="25"/>
      <c r="V3936" s="25"/>
      <c r="W3936" s="25"/>
      <c r="X3936" s="25"/>
      <c r="Y3936" s="25"/>
      <c r="Z3936" s="25"/>
    </row>
    <row r="3937" spans="1:26" ht="15.75" customHeight="1" x14ac:dyDescent="0.75">
      <c r="A3937" s="43" t="s">
        <v>19</v>
      </c>
      <c r="B3937" s="40"/>
      <c r="C3937" s="40"/>
      <c r="D3937" s="40"/>
      <c r="E3937" s="40"/>
      <c r="F3937" s="40"/>
      <c r="G3937" s="40"/>
      <c r="H3937" s="41"/>
      <c r="I3937" s="24" t="s">
        <v>418</v>
      </c>
      <c r="J3937" s="25"/>
      <c r="K3937" s="25"/>
      <c r="L3937" s="25"/>
      <c r="M3937" s="25"/>
      <c r="N3937" s="25"/>
      <c r="O3937" s="25"/>
      <c r="P3937" s="25"/>
      <c r="Q3937" s="25"/>
      <c r="R3937" s="25"/>
      <c r="S3937" s="25"/>
      <c r="T3937" s="25"/>
      <c r="U3937" s="25"/>
      <c r="V3937" s="25"/>
      <c r="W3937" s="25"/>
      <c r="X3937" s="25"/>
      <c r="Y3937" s="25"/>
      <c r="Z3937" s="25"/>
    </row>
    <row r="3938" spans="1:26" ht="15.75" customHeight="1" x14ac:dyDescent="0.45">
      <c r="A3938" s="25"/>
      <c r="B3938" s="25"/>
      <c r="C3938" s="25"/>
      <c r="D3938" s="25"/>
      <c r="E3938" s="25"/>
      <c r="F3938" s="25"/>
      <c r="G3938" s="25"/>
      <c r="H3938" s="25"/>
      <c r="I3938" s="24" t="s">
        <v>418</v>
      </c>
      <c r="J3938" s="25"/>
      <c r="K3938" s="25"/>
      <c r="L3938" s="25"/>
      <c r="M3938" s="25"/>
      <c r="N3938" s="25"/>
      <c r="O3938" s="25"/>
      <c r="P3938" s="25"/>
      <c r="Q3938" s="25"/>
      <c r="R3938" s="25"/>
      <c r="S3938" s="25"/>
      <c r="T3938" s="25"/>
      <c r="U3938" s="25"/>
      <c r="V3938" s="25"/>
      <c r="W3938" s="25"/>
      <c r="X3938" s="25"/>
      <c r="Y3938" s="25"/>
      <c r="Z3938" s="25"/>
    </row>
    <row r="3939" spans="1:26" ht="15.75" customHeight="1" x14ac:dyDescent="0.45">
      <c r="A3939" s="25"/>
      <c r="B3939" s="25"/>
      <c r="C3939" s="25"/>
      <c r="D3939" s="25"/>
      <c r="E3939" s="25"/>
      <c r="F3939" s="25"/>
      <c r="G3939" s="25"/>
      <c r="H3939" s="25"/>
      <c r="I3939" s="24" t="s">
        <v>418</v>
      </c>
      <c r="J3939" s="25"/>
      <c r="K3939" s="25"/>
      <c r="L3939" s="25"/>
      <c r="M3939" s="25"/>
      <c r="N3939" s="25"/>
      <c r="O3939" s="25"/>
      <c r="P3939" s="25"/>
      <c r="Q3939" s="25"/>
      <c r="R3939" s="25"/>
      <c r="S3939" s="25"/>
      <c r="T3939" s="25"/>
      <c r="U3939" s="25"/>
      <c r="V3939" s="25"/>
      <c r="W3939" s="25"/>
      <c r="X3939" s="25"/>
      <c r="Y3939" s="25"/>
      <c r="Z3939" s="25"/>
    </row>
    <row r="3940" spans="1:26" ht="15.75" customHeight="1" x14ac:dyDescent="0.45">
      <c r="A3940" s="25"/>
      <c r="B3940" s="25"/>
      <c r="C3940" s="25"/>
      <c r="D3940" s="25"/>
      <c r="E3940" s="25"/>
      <c r="F3940" s="25"/>
      <c r="G3940" s="25"/>
      <c r="H3940" s="25"/>
      <c r="I3940" s="24" t="s">
        <v>418</v>
      </c>
      <c r="J3940" s="25"/>
      <c r="K3940" s="25"/>
      <c r="L3940" s="25"/>
      <c r="M3940" s="25"/>
      <c r="N3940" s="25"/>
      <c r="O3940" s="25"/>
      <c r="P3940" s="25"/>
      <c r="Q3940" s="25"/>
      <c r="R3940" s="25"/>
      <c r="S3940" s="25"/>
      <c r="T3940" s="25"/>
      <c r="U3940" s="25"/>
      <c r="V3940" s="25"/>
      <c r="W3940" s="25"/>
      <c r="X3940" s="25"/>
      <c r="Y3940" s="25"/>
      <c r="Z3940" s="25"/>
    </row>
    <row r="3941" spans="1:26" ht="15.75" customHeight="1" x14ac:dyDescent="0.45">
      <c r="A3941" s="25"/>
      <c r="B3941" s="25"/>
      <c r="C3941" s="25"/>
      <c r="D3941" s="25"/>
      <c r="E3941" s="25"/>
      <c r="F3941" s="25"/>
      <c r="G3941" s="25"/>
      <c r="H3941" s="25"/>
      <c r="I3941" s="24" t="s">
        <v>418</v>
      </c>
      <c r="J3941" s="25"/>
      <c r="K3941" s="25"/>
      <c r="L3941" s="25"/>
      <c r="M3941" s="25"/>
      <c r="N3941" s="25"/>
      <c r="O3941" s="25"/>
      <c r="P3941" s="25"/>
      <c r="Q3941" s="25"/>
      <c r="R3941" s="25"/>
      <c r="S3941" s="25"/>
      <c r="T3941" s="25"/>
      <c r="U3941" s="25"/>
      <c r="V3941" s="25"/>
      <c r="W3941" s="25"/>
      <c r="X3941" s="25"/>
      <c r="Y3941" s="25"/>
      <c r="Z3941" s="25"/>
    </row>
    <row r="3942" spans="1:26" ht="15.75" customHeight="1" x14ac:dyDescent="0.45">
      <c r="A3942" s="25"/>
      <c r="B3942" s="25"/>
      <c r="C3942" s="25"/>
      <c r="D3942" s="25"/>
      <c r="E3942" s="25"/>
      <c r="F3942" s="25"/>
      <c r="G3942" s="25"/>
      <c r="H3942" s="25"/>
      <c r="I3942" s="24" t="s">
        <v>418</v>
      </c>
      <c r="J3942" s="25"/>
      <c r="K3942" s="25"/>
      <c r="L3942" s="25"/>
      <c r="M3942" s="25"/>
      <c r="N3942" s="25"/>
      <c r="O3942" s="25"/>
      <c r="P3942" s="25"/>
      <c r="Q3942" s="25"/>
      <c r="R3942" s="25"/>
      <c r="S3942" s="25"/>
      <c r="T3942" s="25"/>
      <c r="U3942" s="25"/>
      <c r="V3942" s="25"/>
      <c r="W3942" s="25"/>
      <c r="X3942" s="25"/>
      <c r="Y3942" s="25"/>
      <c r="Z3942" s="25"/>
    </row>
    <row r="3943" spans="1:26" ht="15.75" customHeight="1" x14ac:dyDescent="0.75">
      <c r="A3943" s="43" t="s">
        <v>0</v>
      </c>
      <c r="B3943" s="40"/>
      <c r="C3943" s="40"/>
      <c r="D3943" s="40"/>
      <c r="E3943" s="40"/>
      <c r="F3943" s="40"/>
      <c r="G3943" s="40"/>
      <c r="H3943" s="41"/>
      <c r="I3943" s="24" t="s">
        <v>418</v>
      </c>
      <c r="J3943" s="25"/>
      <c r="K3943" s="25"/>
      <c r="L3943" s="25"/>
      <c r="M3943" s="25"/>
      <c r="N3943" s="25"/>
      <c r="O3943" s="25"/>
      <c r="P3943" s="25"/>
      <c r="Q3943" s="25"/>
      <c r="R3943" s="25"/>
      <c r="S3943" s="25"/>
      <c r="T3943" s="25"/>
      <c r="U3943" s="25"/>
      <c r="V3943" s="25"/>
      <c r="W3943" s="25"/>
      <c r="X3943" s="25"/>
      <c r="Y3943" s="25"/>
      <c r="Z3943" s="25"/>
    </row>
    <row r="3944" spans="1:26" ht="15.75" customHeight="1" x14ac:dyDescent="0.75">
      <c r="A3944" s="43" t="s">
        <v>639</v>
      </c>
      <c r="B3944" s="40"/>
      <c r="C3944" s="40"/>
      <c r="D3944" s="40"/>
      <c r="E3944" s="40"/>
      <c r="F3944" s="40"/>
      <c r="G3944" s="40"/>
      <c r="H3944" s="41"/>
      <c r="I3944" s="24" t="s">
        <v>418</v>
      </c>
      <c r="J3944" s="25"/>
      <c r="K3944" s="25"/>
      <c r="L3944" s="25"/>
      <c r="M3944" s="25"/>
      <c r="N3944" s="25"/>
      <c r="O3944" s="25"/>
      <c r="P3944" s="25"/>
      <c r="Q3944" s="25"/>
      <c r="R3944" s="25"/>
      <c r="S3944" s="25"/>
      <c r="T3944" s="25"/>
      <c r="U3944" s="25"/>
      <c r="V3944" s="25"/>
      <c r="W3944" s="25"/>
      <c r="X3944" s="25"/>
      <c r="Y3944" s="25"/>
      <c r="Z3944" s="25"/>
    </row>
    <row r="3945" spans="1:26" ht="15.75" customHeight="1" x14ac:dyDescent="0.55000000000000004">
      <c r="A3945" s="2" t="s">
        <v>3</v>
      </c>
      <c r="B3945" s="2" t="s">
        <v>4</v>
      </c>
      <c r="C3945" s="2" t="s">
        <v>5</v>
      </c>
      <c r="D3945" s="2" t="s">
        <v>6</v>
      </c>
      <c r="E3945" s="2" t="s">
        <v>7</v>
      </c>
      <c r="F3945" s="3" t="s">
        <v>8</v>
      </c>
      <c r="G3945" s="2" t="s">
        <v>9</v>
      </c>
      <c r="H3945" s="26"/>
      <c r="I3945" s="24" t="s">
        <v>418</v>
      </c>
      <c r="J3945" s="25"/>
      <c r="K3945" s="25"/>
      <c r="L3945" s="25"/>
      <c r="M3945" s="25"/>
      <c r="N3945" s="25"/>
      <c r="O3945" s="25"/>
      <c r="P3945" s="25"/>
      <c r="Q3945" s="25"/>
      <c r="R3945" s="25"/>
      <c r="S3945" s="25"/>
      <c r="T3945" s="25"/>
      <c r="U3945" s="25"/>
      <c r="V3945" s="25"/>
      <c r="W3945" s="25"/>
      <c r="X3945" s="25"/>
      <c r="Y3945" s="25"/>
      <c r="Z3945" s="25"/>
    </row>
    <row r="3946" spans="1:26" ht="15.75" customHeight="1" x14ac:dyDescent="0.75">
      <c r="A3946" s="5">
        <v>1</v>
      </c>
      <c r="B3946" s="27" t="s">
        <v>27</v>
      </c>
      <c r="C3946" s="28" t="s">
        <v>468</v>
      </c>
      <c r="D3946" s="27" t="s">
        <v>12</v>
      </c>
      <c r="E3946" s="27">
        <v>2</v>
      </c>
      <c r="F3946" s="8">
        <v>293000</v>
      </c>
      <c r="G3946" s="9">
        <f t="shared" ref="G3946:G3948" si="246">IFERROR(E3946*F3946,0)</f>
        <v>586000</v>
      </c>
      <c r="H3946" s="29"/>
      <c r="I3946" s="24" t="s">
        <v>418</v>
      </c>
      <c r="J3946" s="25"/>
      <c r="K3946" s="25"/>
      <c r="L3946" s="25"/>
      <c r="M3946" s="25"/>
      <c r="N3946" s="25"/>
      <c r="O3946" s="25"/>
      <c r="P3946" s="25"/>
      <c r="Q3946" s="25"/>
      <c r="R3946" s="25"/>
      <c r="S3946" s="25"/>
      <c r="T3946" s="25"/>
      <c r="U3946" s="25"/>
      <c r="V3946" s="25"/>
      <c r="W3946" s="25"/>
      <c r="X3946" s="25"/>
      <c r="Y3946" s="25"/>
      <c r="Z3946" s="25"/>
    </row>
    <row r="3947" spans="1:26" ht="15.75" customHeight="1" x14ac:dyDescent="0.75">
      <c r="A3947" s="5">
        <v>2</v>
      </c>
      <c r="B3947" s="30" t="s">
        <v>300</v>
      </c>
      <c r="C3947" s="31" t="s">
        <v>640</v>
      </c>
      <c r="D3947" s="30" t="s">
        <v>14</v>
      </c>
      <c r="E3947" s="30">
        <v>1.5</v>
      </c>
      <c r="F3947" s="11">
        <v>435000</v>
      </c>
      <c r="G3947" s="9">
        <f t="shared" si="246"/>
        <v>652500</v>
      </c>
      <c r="H3947" s="29"/>
      <c r="I3947" s="24" t="s">
        <v>418</v>
      </c>
      <c r="J3947" s="25"/>
      <c r="K3947" s="25"/>
      <c r="L3947" s="25"/>
      <c r="M3947" s="25"/>
      <c r="N3947" s="25"/>
      <c r="O3947" s="25"/>
      <c r="P3947" s="25"/>
      <c r="Q3947" s="25"/>
      <c r="R3947" s="25"/>
      <c r="S3947" s="25"/>
      <c r="T3947" s="25"/>
      <c r="U3947" s="25"/>
      <c r="V3947" s="25"/>
      <c r="W3947" s="25"/>
      <c r="X3947" s="25"/>
      <c r="Y3947" s="25"/>
      <c r="Z3947" s="25"/>
    </row>
    <row r="3948" spans="1:26" ht="15.75" customHeight="1" x14ac:dyDescent="0.75">
      <c r="A3948" s="5">
        <v>3</v>
      </c>
      <c r="B3948" s="12" t="s">
        <v>15</v>
      </c>
      <c r="C3948" s="29"/>
      <c r="D3948" s="29"/>
      <c r="E3948" s="29"/>
      <c r="F3948" s="29"/>
      <c r="G3948" s="13">
        <f t="shared" si="246"/>
        <v>0</v>
      </c>
      <c r="H3948" s="29"/>
      <c r="I3948" s="24" t="s">
        <v>418</v>
      </c>
      <c r="J3948" s="25"/>
      <c r="K3948" s="25"/>
      <c r="L3948" s="25"/>
      <c r="M3948" s="25"/>
      <c r="N3948" s="25"/>
      <c r="O3948" s="25"/>
      <c r="P3948" s="25"/>
      <c r="Q3948" s="25"/>
      <c r="R3948" s="25"/>
      <c r="S3948" s="25"/>
      <c r="T3948" s="25"/>
      <c r="U3948" s="25"/>
      <c r="V3948" s="25"/>
      <c r="W3948" s="25"/>
      <c r="X3948" s="25"/>
      <c r="Y3948" s="25"/>
      <c r="Z3948" s="25"/>
    </row>
    <row r="3949" spans="1:26" ht="15.75" customHeight="1" x14ac:dyDescent="0.75">
      <c r="A3949" s="39" t="s">
        <v>16</v>
      </c>
      <c r="B3949" s="40"/>
      <c r="C3949" s="40"/>
      <c r="D3949" s="40"/>
      <c r="E3949" s="40"/>
      <c r="F3949" s="40"/>
      <c r="G3949" s="41"/>
      <c r="H3949" s="14">
        <f>SUM(G3946:G3948)</f>
        <v>1238500</v>
      </c>
      <c r="I3949" s="24" t="s">
        <v>418</v>
      </c>
      <c r="J3949" s="25"/>
      <c r="K3949" s="25"/>
      <c r="L3949" s="25"/>
      <c r="M3949" s="25"/>
      <c r="N3949" s="25"/>
      <c r="O3949" s="25"/>
      <c r="P3949" s="25"/>
      <c r="Q3949" s="25"/>
      <c r="R3949" s="25"/>
      <c r="S3949" s="25"/>
      <c r="T3949" s="25"/>
      <c r="U3949" s="25"/>
      <c r="V3949" s="25"/>
      <c r="W3949" s="25"/>
      <c r="X3949" s="25"/>
      <c r="Y3949" s="25"/>
      <c r="Z3949" s="25"/>
    </row>
    <row r="3950" spans="1:26" ht="15.75" customHeight="1" x14ac:dyDescent="0.75">
      <c r="A3950" s="39" t="s">
        <v>17</v>
      </c>
      <c r="B3950" s="40"/>
      <c r="C3950" s="40"/>
      <c r="D3950" s="40"/>
      <c r="E3950" s="40"/>
      <c r="F3950" s="40"/>
      <c r="G3950" s="41"/>
      <c r="H3950" s="14">
        <f>MAX(0,H3949-648000)</f>
        <v>590500</v>
      </c>
      <c r="I3950" s="24" t="s">
        <v>418</v>
      </c>
      <c r="J3950" s="25"/>
      <c r="K3950" s="25"/>
      <c r="L3950" s="25"/>
      <c r="M3950" s="25"/>
      <c r="N3950" s="25"/>
      <c r="O3950" s="25"/>
      <c r="P3950" s="25"/>
      <c r="Q3950" s="25"/>
      <c r="R3950" s="25"/>
      <c r="S3950" s="25"/>
      <c r="T3950" s="25"/>
      <c r="U3950" s="25"/>
      <c r="V3950" s="25"/>
      <c r="W3950" s="25"/>
      <c r="X3950" s="25"/>
      <c r="Y3950" s="25"/>
      <c r="Z3950" s="25"/>
    </row>
    <row r="3951" spans="1:26" ht="15.75" customHeight="1" x14ac:dyDescent="0.75">
      <c r="A3951" s="42" t="s">
        <v>18</v>
      </c>
      <c r="B3951" s="40"/>
      <c r="C3951" s="40"/>
      <c r="D3951" s="40"/>
      <c r="E3951" s="40"/>
      <c r="F3951" s="40"/>
      <c r="G3951" s="41"/>
      <c r="H3951" s="15">
        <v>649000</v>
      </c>
      <c r="I3951" s="24" t="s">
        <v>418</v>
      </c>
      <c r="J3951" s="25"/>
      <c r="K3951" s="25"/>
      <c r="L3951" s="25"/>
      <c r="M3951" s="25"/>
      <c r="N3951" s="25"/>
      <c r="O3951" s="25"/>
      <c r="P3951" s="25"/>
      <c r="Q3951" s="25"/>
      <c r="R3951" s="25"/>
      <c r="S3951" s="25"/>
      <c r="T3951" s="25"/>
      <c r="U3951" s="25"/>
      <c r="V3951" s="25"/>
      <c r="W3951" s="25"/>
      <c r="X3951" s="25"/>
      <c r="Y3951" s="25"/>
      <c r="Z3951" s="25"/>
    </row>
    <row r="3952" spans="1:26" ht="15.75" customHeight="1" x14ac:dyDescent="0.75">
      <c r="A3952" s="43" t="s">
        <v>19</v>
      </c>
      <c r="B3952" s="40"/>
      <c r="C3952" s="40"/>
      <c r="D3952" s="40"/>
      <c r="E3952" s="40"/>
      <c r="F3952" s="40"/>
      <c r="G3952" s="40"/>
      <c r="H3952" s="41"/>
      <c r="I3952" s="24" t="s">
        <v>418</v>
      </c>
      <c r="J3952" s="25"/>
      <c r="K3952" s="25"/>
      <c r="L3952" s="25"/>
      <c r="M3952" s="25"/>
      <c r="N3952" s="25"/>
      <c r="O3952" s="25"/>
      <c r="P3952" s="25"/>
      <c r="Q3952" s="25"/>
      <c r="R3952" s="25"/>
      <c r="S3952" s="25"/>
      <c r="T3952" s="25"/>
      <c r="U3952" s="25"/>
      <c r="V3952" s="25"/>
      <c r="W3952" s="25"/>
      <c r="X3952" s="25"/>
      <c r="Y3952" s="25"/>
      <c r="Z3952" s="25"/>
    </row>
    <row r="3953" spans="1:26" ht="15.75" customHeight="1" x14ac:dyDescent="0.45">
      <c r="A3953" s="25"/>
      <c r="B3953" s="25"/>
      <c r="C3953" s="25"/>
      <c r="D3953" s="25"/>
      <c r="E3953" s="25"/>
      <c r="F3953" s="25"/>
      <c r="G3953" s="25"/>
      <c r="H3953" s="25"/>
      <c r="I3953" s="24" t="s">
        <v>418</v>
      </c>
      <c r="J3953" s="25"/>
      <c r="K3953" s="25"/>
      <c r="L3953" s="25"/>
      <c r="M3953" s="25"/>
      <c r="N3953" s="25"/>
      <c r="O3953" s="25"/>
      <c r="P3953" s="25"/>
      <c r="Q3953" s="25"/>
      <c r="R3953" s="25"/>
      <c r="S3953" s="25"/>
      <c r="T3953" s="25"/>
      <c r="U3953" s="25"/>
      <c r="V3953" s="25"/>
      <c r="W3953" s="25"/>
      <c r="X3953" s="25"/>
      <c r="Y3953" s="25"/>
      <c r="Z3953" s="25"/>
    </row>
    <row r="3954" spans="1:26" ht="15.75" customHeight="1" x14ac:dyDescent="0.45">
      <c r="A3954" s="25"/>
      <c r="B3954" s="25"/>
      <c r="C3954" s="25"/>
      <c r="D3954" s="25"/>
      <c r="E3954" s="25"/>
      <c r="F3954" s="25"/>
      <c r="G3954" s="25"/>
      <c r="H3954" s="25"/>
      <c r="I3954" s="24" t="s">
        <v>418</v>
      </c>
      <c r="J3954" s="25"/>
      <c r="K3954" s="25"/>
      <c r="L3954" s="25"/>
      <c r="M3954" s="25"/>
      <c r="N3954" s="25"/>
      <c r="O3954" s="25"/>
      <c r="P3954" s="25"/>
      <c r="Q3954" s="25"/>
      <c r="R3954" s="25"/>
      <c r="S3954" s="25"/>
      <c r="T3954" s="25"/>
      <c r="U3954" s="25"/>
      <c r="V3954" s="25"/>
      <c r="W3954" s="25"/>
      <c r="X3954" s="25"/>
      <c r="Y3954" s="25"/>
      <c r="Z3954" s="25"/>
    </row>
    <row r="3955" spans="1:26" ht="15.75" customHeight="1" x14ac:dyDescent="0.45">
      <c r="A3955" s="25"/>
      <c r="B3955" s="25"/>
      <c r="C3955" s="25"/>
      <c r="D3955" s="25"/>
      <c r="E3955" s="25"/>
      <c r="F3955" s="25"/>
      <c r="G3955" s="25"/>
      <c r="H3955" s="25"/>
      <c r="I3955" s="24" t="s">
        <v>418</v>
      </c>
      <c r="J3955" s="25"/>
      <c r="K3955" s="25"/>
      <c r="L3955" s="25"/>
      <c r="M3955" s="25"/>
      <c r="N3955" s="25"/>
      <c r="O3955" s="25"/>
      <c r="P3955" s="25"/>
      <c r="Q3955" s="25"/>
      <c r="R3955" s="25"/>
      <c r="S3955" s="25"/>
      <c r="T3955" s="25"/>
      <c r="U3955" s="25"/>
      <c r="V3955" s="25"/>
      <c r="W3955" s="25"/>
      <c r="X3955" s="25"/>
      <c r="Y3955" s="25"/>
      <c r="Z3955" s="25"/>
    </row>
    <row r="3956" spans="1:26" ht="15.75" customHeight="1" x14ac:dyDescent="0.45">
      <c r="A3956" s="25"/>
      <c r="B3956" s="25"/>
      <c r="C3956" s="25"/>
      <c r="D3956" s="25"/>
      <c r="E3956" s="25"/>
      <c r="F3956" s="25"/>
      <c r="G3956" s="25"/>
      <c r="H3956" s="25"/>
      <c r="I3956" s="24" t="s">
        <v>418</v>
      </c>
      <c r="J3956" s="25"/>
      <c r="K3956" s="25"/>
      <c r="L3956" s="25"/>
      <c r="M3956" s="25"/>
      <c r="N3956" s="25"/>
      <c r="O3956" s="25"/>
      <c r="P3956" s="25"/>
      <c r="Q3956" s="25"/>
      <c r="R3956" s="25"/>
      <c r="S3956" s="25"/>
      <c r="T3956" s="25"/>
      <c r="U3956" s="25"/>
      <c r="V3956" s="25"/>
      <c r="W3956" s="25"/>
      <c r="X3956" s="25"/>
      <c r="Y3956" s="25"/>
      <c r="Z3956" s="25"/>
    </row>
    <row r="3957" spans="1:26" ht="15.75" customHeight="1" x14ac:dyDescent="0.45">
      <c r="A3957" s="25"/>
      <c r="B3957" s="25"/>
      <c r="C3957" s="25"/>
      <c r="D3957" s="25"/>
      <c r="E3957" s="25"/>
      <c r="F3957" s="25"/>
      <c r="G3957" s="25"/>
      <c r="H3957" s="25"/>
      <c r="I3957" s="24" t="s">
        <v>418</v>
      </c>
      <c r="J3957" s="25"/>
      <c r="K3957" s="25"/>
      <c r="L3957" s="25"/>
      <c r="M3957" s="25"/>
      <c r="N3957" s="25"/>
      <c r="O3957" s="25"/>
      <c r="P3957" s="25"/>
      <c r="Q3957" s="25"/>
      <c r="R3957" s="25"/>
      <c r="S3957" s="25"/>
      <c r="T3957" s="25"/>
      <c r="U3957" s="25"/>
      <c r="V3957" s="25"/>
      <c r="W3957" s="25"/>
      <c r="X3957" s="25"/>
      <c r="Y3957" s="25"/>
      <c r="Z3957" s="25"/>
    </row>
    <row r="3958" spans="1:26" ht="15.75" customHeight="1" x14ac:dyDescent="0.45">
      <c r="A3958" s="25"/>
      <c r="B3958" s="25"/>
      <c r="C3958" s="25"/>
      <c r="D3958" s="25"/>
      <c r="E3958" s="25"/>
      <c r="F3958" s="25"/>
      <c r="G3958" s="25"/>
      <c r="H3958" s="25"/>
      <c r="I3958" s="24" t="s">
        <v>418</v>
      </c>
      <c r="J3958" s="25"/>
      <c r="K3958" s="25"/>
      <c r="L3958" s="25"/>
      <c r="M3958" s="25"/>
      <c r="N3958" s="25"/>
      <c r="O3958" s="25"/>
      <c r="P3958" s="25"/>
      <c r="Q3958" s="25"/>
      <c r="R3958" s="25"/>
      <c r="S3958" s="25"/>
      <c r="T3958" s="25"/>
      <c r="U3958" s="25"/>
      <c r="V3958" s="25"/>
      <c r="W3958" s="25"/>
      <c r="X3958" s="25"/>
      <c r="Y3958" s="25"/>
      <c r="Z3958" s="25"/>
    </row>
    <row r="3959" spans="1:26" ht="15.75" customHeight="1" x14ac:dyDescent="0.75">
      <c r="A3959" s="43" t="s">
        <v>0</v>
      </c>
      <c r="B3959" s="40"/>
      <c r="C3959" s="40"/>
      <c r="D3959" s="40"/>
      <c r="E3959" s="40"/>
      <c r="F3959" s="40"/>
      <c r="G3959" s="40"/>
      <c r="H3959" s="41"/>
      <c r="I3959" s="24" t="s">
        <v>418</v>
      </c>
      <c r="J3959" s="25"/>
      <c r="K3959" s="25"/>
      <c r="L3959" s="25"/>
      <c r="M3959" s="25"/>
      <c r="N3959" s="25"/>
      <c r="O3959" s="25"/>
      <c r="P3959" s="25"/>
      <c r="Q3959" s="25"/>
      <c r="R3959" s="25"/>
      <c r="S3959" s="25"/>
      <c r="T3959" s="25"/>
      <c r="U3959" s="25"/>
      <c r="V3959" s="25"/>
      <c r="W3959" s="25"/>
      <c r="X3959" s="25"/>
      <c r="Y3959" s="25"/>
      <c r="Z3959" s="25"/>
    </row>
    <row r="3960" spans="1:26" ht="15.75" customHeight="1" x14ac:dyDescent="0.75">
      <c r="A3960" s="43" t="s">
        <v>641</v>
      </c>
      <c r="B3960" s="40"/>
      <c r="C3960" s="40"/>
      <c r="D3960" s="40"/>
      <c r="E3960" s="40"/>
      <c r="F3960" s="40"/>
      <c r="G3960" s="40"/>
      <c r="H3960" s="41"/>
      <c r="I3960" s="24" t="s">
        <v>418</v>
      </c>
      <c r="J3960" s="25"/>
      <c r="K3960" s="25"/>
      <c r="L3960" s="25"/>
      <c r="M3960" s="25"/>
      <c r="N3960" s="25"/>
      <c r="O3960" s="25"/>
      <c r="P3960" s="25"/>
      <c r="Q3960" s="25"/>
      <c r="R3960" s="25"/>
      <c r="S3960" s="25"/>
      <c r="T3960" s="25"/>
      <c r="U3960" s="25"/>
      <c r="V3960" s="25"/>
      <c r="W3960" s="25"/>
      <c r="X3960" s="25"/>
      <c r="Y3960" s="25"/>
      <c r="Z3960" s="25"/>
    </row>
    <row r="3961" spans="1:26" ht="15.75" customHeight="1" x14ac:dyDescent="0.55000000000000004">
      <c r="A3961" s="2" t="s">
        <v>3</v>
      </c>
      <c r="B3961" s="2" t="s">
        <v>4</v>
      </c>
      <c r="C3961" s="2" t="s">
        <v>5</v>
      </c>
      <c r="D3961" s="2" t="s">
        <v>6</v>
      </c>
      <c r="E3961" s="2" t="s">
        <v>7</v>
      </c>
      <c r="F3961" s="3" t="s">
        <v>8</v>
      </c>
      <c r="G3961" s="2" t="s">
        <v>9</v>
      </c>
      <c r="H3961" s="26"/>
      <c r="I3961" s="24" t="s">
        <v>418</v>
      </c>
      <c r="J3961" s="25"/>
      <c r="K3961" s="25"/>
      <c r="L3961" s="25"/>
      <c r="M3961" s="25"/>
      <c r="N3961" s="25"/>
      <c r="O3961" s="25"/>
      <c r="P3961" s="25"/>
      <c r="Q3961" s="25"/>
      <c r="R3961" s="25"/>
      <c r="S3961" s="25"/>
      <c r="T3961" s="25"/>
      <c r="U3961" s="25"/>
      <c r="V3961" s="25"/>
      <c r="W3961" s="25"/>
      <c r="X3961" s="25"/>
      <c r="Y3961" s="25"/>
      <c r="Z3961" s="25"/>
    </row>
    <row r="3962" spans="1:26" ht="15.75" customHeight="1" x14ac:dyDescent="0.75">
      <c r="A3962" s="5">
        <v>1</v>
      </c>
      <c r="B3962" s="27" t="s">
        <v>21</v>
      </c>
      <c r="C3962" s="28" t="s">
        <v>642</v>
      </c>
      <c r="D3962" s="27" t="s">
        <v>12</v>
      </c>
      <c r="E3962" s="27">
        <v>2</v>
      </c>
      <c r="F3962" s="8">
        <v>293000</v>
      </c>
      <c r="G3962" s="9">
        <f t="shared" ref="G3962:G3964" si="247">IFERROR(E3962*F3962,0)</f>
        <v>586000</v>
      </c>
      <c r="H3962" s="29"/>
      <c r="I3962" s="24" t="s">
        <v>418</v>
      </c>
      <c r="J3962" s="25"/>
      <c r="K3962" s="25"/>
      <c r="L3962" s="25"/>
      <c r="M3962" s="25"/>
      <c r="N3962" s="25"/>
      <c r="O3962" s="25"/>
      <c r="P3962" s="25"/>
      <c r="Q3962" s="25"/>
      <c r="R3962" s="25"/>
      <c r="S3962" s="25"/>
      <c r="T3962" s="25"/>
      <c r="U3962" s="25"/>
      <c r="V3962" s="25"/>
      <c r="W3962" s="25"/>
      <c r="X3962" s="25"/>
      <c r="Y3962" s="25"/>
      <c r="Z3962" s="25"/>
    </row>
    <row r="3963" spans="1:26" ht="15.75" customHeight="1" x14ac:dyDescent="0.75">
      <c r="A3963" s="5">
        <v>2</v>
      </c>
      <c r="B3963" s="30" t="s">
        <v>643</v>
      </c>
      <c r="C3963" s="31" t="s">
        <v>644</v>
      </c>
      <c r="D3963" s="30" t="s">
        <v>14</v>
      </c>
      <c r="E3963" s="30">
        <v>1.48</v>
      </c>
      <c r="F3963" s="11">
        <v>435000</v>
      </c>
      <c r="G3963" s="9">
        <f t="shared" si="247"/>
        <v>643800</v>
      </c>
      <c r="H3963" s="29"/>
      <c r="I3963" s="24" t="s">
        <v>418</v>
      </c>
      <c r="J3963" s="25"/>
      <c r="K3963" s="25"/>
      <c r="L3963" s="25"/>
      <c r="M3963" s="25"/>
      <c r="N3963" s="25"/>
      <c r="O3963" s="25"/>
      <c r="P3963" s="25"/>
      <c r="Q3963" s="25"/>
      <c r="R3963" s="25"/>
      <c r="S3963" s="25"/>
      <c r="T3963" s="25"/>
      <c r="U3963" s="25"/>
      <c r="V3963" s="25"/>
      <c r="W3963" s="25"/>
      <c r="X3963" s="25"/>
      <c r="Y3963" s="25"/>
      <c r="Z3963" s="25"/>
    </row>
    <row r="3964" spans="1:26" ht="15.75" customHeight="1" x14ac:dyDescent="0.75">
      <c r="A3964" s="5">
        <v>3</v>
      </c>
      <c r="B3964" s="12" t="s">
        <v>15</v>
      </c>
      <c r="C3964" s="29"/>
      <c r="D3964" s="29"/>
      <c r="E3964" s="29"/>
      <c r="F3964" s="29"/>
      <c r="G3964" s="13">
        <f t="shared" si="247"/>
        <v>0</v>
      </c>
      <c r="H3964" s="29"/>
      <c r="I3964" s="24" t="s">
        <v>418</v>
      </c>
      <c r="J3964" s="25"/>
      <c r="K3964" s="25"/>
      <c r="L3964" s="25"/>
      <c r="M3964" s="25"/>
      <c r="N3964" s="25"/>
      <c r="O3964" s="25"/>
      <c r="P3964" s="25"/>
      <c r="Q3964" s="25"/>
      <c r="R3964" s="25"/>
      <c r="S3964" s="25"/>
      <c r="T3964" s="25"/>
      <c r="U3964" s="25"/>
      <c r="V3964" s="25"/>
      <c r="W3964" s="25"/>
      <c r="X3964" s="25"/>
      <c r="Y3964" s="25"/>
      <c r="Z3964" s="25"/>
    </row>
    <row r="3965" spans="1:26" ht="15.75" customHeight="1" x14ac:dyDescent="0.75">
      <c r="A3965" s="39" t="s">
        <v>16</v>
      </c>
      <c r="B3965" s="40"/>
      <c r="C3965" s="40"/>
      <c r="D3965" s="40"/>
      <c r="E3965" s="40"/>
      <c r="F3965" s="40"/>
      <c r="G3965" s="41"/>
      <c r="H3965" s="14">
        <f>SUM(G3962:G3964)</f>
        <v>1229800</v>
      </c>
      <c r="I3965" s="24" t="s">
        <v>418</v>
      </c>
      <c r="J3965" s="25"/>
      <c r="K3965" s="25"/>
      <c r="L3965" s="25"/>
      <c r="M3965" s="25"/>
      <c r="N3965" s="25"/>
      <c r="O3965" s="25"/>
      <c r="P3965" s="25"/>
      <c r="Q3965" s="25"/>
      <c r="R3965" s="25"/>
      <c r="S3965" s="25"/>
      <c r="T3965" s="25"/>
      <c r="U3965" s="25"/>
      <c r="V3965" s="25"/>
      <c r="W3965" s="25"/>
      <c r="X3965" s="25"/>
      <c r="Y3965" s="25"/>
      <c r="Z3965" s="25"/>
    </row>
    <row r="3966" spans="1:26" ht="15.75" customHeight="1" x14ac:dyDescent="0.75">
      <c r="A3966" s="39" t="s">
        <v>17</v>
      </c>
      <c r="B3966" s="40"/>
      <c r="C3966" s="40"/>
      <c r="D3966" s="40"/>
      <c r="E3966" s="40"/>
      <c r="F3966" s="40"/>
      <c r="G3966" s="41"/>
      <c r="H3966" s="14">
        <f>MAX(0,H3965-648000)</f>
        <v>581800</v>
      </c>
      <c r="I3966" s="24" t="s">
        <v>418</v>
      </c>
      <c r="J3966" s="25"/>
      <c r="K3966" s="25"/>
      <c r="L3966" s="25"/>
      <c r="M3966" s="25"/>
      <c r="N3966" s="25"/>
      <c r="O3966" s="25"/>
      <c r="P3966" s="25"/>
      <c r="Q3966" s="25"/>
      <c r="R3966" s="25"/>
      <c r="S3966" s="25"/>
      <c r="T3966" s="25"/>
      <c r="U3966" s="25"/>
      <c r="V3966" s="25"/>
      <c r="W3966" s="25"/>
      <c r="X3966" s="25"/>
      <c r="Y3966" s="25"/>
      <c r="Z3966" s="25"/>
    </row>
    <row r="3967" spans="1:26" ht="15.75" customHeight="1" x14ac:dyDescent="0.75">
      <c r="A3967" s="42" t="s">
        <v>18</v>
      </c>
      <c r="B3967" s="40"/>
      <c r="C3967" s="40"/>
      <c r="D3967" s="40"/>
      <c r="E3967" s="40"/>
      <c r="F3967" s="40"/>
      <c r="G3967" s="41"/>
      <c r="H3967" s="15">
        <v>649000</v>
      </c>
      <c r="I3967" s="24" t="s">
        <v>418</v>
      </c>
      <c r="J3967" s="25"/>
      <c r="K3967" s="25"/>
      <c r="L3967" s="25"/>
      <c r="M3967" s="25"/>
      <c r="N3967" s="25"/>
      <c r="O3967" s="25"/>
      <c r="P3967" s="25"/>
      <c r="Q3967" s="25"/>
      <c r="R3967" s="25"/>
      <c r="S3967" s="25"/>
      <c r="T3967" s="25"/>
      <c r="U3967" s="25"/>
      <c r="V3967" s="25"/>
      <c r="W3967" s="25"/>
      <c r="X3967" s="25"/>
      <c r="Y3967" s="25"/>
      <c r="Z3967" s="25"/>
    </row>
    <row r="3968" spans="1:26" ht="15.75" customHeight="1" x14ac:dyDescent="0.75">
      <c r="A3968" s="43" t="s">
        <v>19</v>
      </c>
      <c r="B3968" s="40"/>
      <c r="C3968" s="40"/>
      <c r="D3968" s="40"/>
      <c r="E3968" s="40"/>
      <c r="F3968" s="40"/>
      <c r="G3968" s="40"/>
      <c r="H3968" s="41"/>
      <c r="I3968" s="24" t="s">
        <v>418</v>
      </c>
      <c r="J3968" s="25"/>
      <c r="K3968" s="25"/>
      <c r="L3968" s="25"/>
      <c r="M3968" s="25"/>
      <c r="N3968" s="25"/>
      <c r="O3968" s="25"/>
      <c r="P3968" s="25"/>
      <c r="Q3968" s="25"/>
      <c r="R3968" s="25"/>
      <c r="S3968" s="25"/>
      <c r="T3968" s="25"/>
      <c r="U3968" s="25"/>
      <c r="V3968" s="25"/>
      <c r="W3968" s="25"/>
      <c r="X3968" s="25"/>
      <c r="Y3968" s="25"/>
      <c r="Z3968" s="25"/>
    </row>
    <row r="3969" spans="1:26" ht="15.75" customHeight="1" x14ac:dyDescent="0.45">
      <c r="A3969" s="25"/>
      <c r="B3969" s="25"/>
      <c r="C3969" s="25"/>
      <c r="D3969" s="25"/>
      <c r="E3969" s="25"/>
      <c r="F3969" s="25"/>
      <c r="G3969" s="25"/>
      <c r="H3969" s="25"/>
      <c r="I3969" s="24" t="s">
        <v>418</v>
      </c>
      <c r="J3969" s="25"/>
      <c r="K3969" s="25"/>
      <c r="L3969" s="25"/>
      <c r="M3969" s="25"/>
      <c r="N3969" s="25"/>
      <c r="O3969" s="25"/>
      <c r="P3969" s="25"/>
      <c r="Q3969" s="25"/>
      <c r="R3969" s="25"/>
      <c r="S3969" s="25"/>
      <c r="T3969" s="25"/>
      <c r="U3969" s="25"/>
      <c r="V3969" s="25"/>
      <c r="W3969" s="25"/>
      <c r="X3969" s="25"/>
      <c r="Y3969" s="25"/>
      <c r="Z3969" s="25"/>
    </row>
    <row r="3970" spans="1:26" ht="15.75" customHeight="1" x14ac:dyDescent="0.45">
      <c r="A3970" s="25"/>
      <c r="B3970" s="25"/>
      <c r="C3970" s="25"/>
      <c r="D3970" s="25"/>
      <c r="E3970" s="25"/>
      <c r="F3970" s="25"/>
      <c r="G3970" s="25"/>
      <c r="H3970" s="25"/>
      <c r="I3970" s="24" t="s">
        <v>418</v>
      </c>
      <c r="J3970" s="25"/>
      <c r="K3970" s="25"/>
      <c r="L3970" s="25"/>
      <c r="M3970" s="25"/>
      <c r="N3970" s="25"/>
      <c r="O3970" s="25"/>
      <c r="P3970" s="25"/>
      <c r="Q3970" s="25"/>
      <c r="R3970" s="25"/>
      <c r="S3970" s="25"/>
      <c r="T3970" s="25"/>
      <c r="U3970" s="25"/>
      <c r="V3970" s="25"/>
      <c r="W3970" s="25"/>
      <c r="X3970" s="25"/>
      <c r="Y3970" s="25"/>
      <c r="Z3970" s="25"/>
    </row>
    <row r="3971" spans="1:26" ht="15.75" customHeight="1" x14ac:dyDescent="0.45">
      <c r="A3971" s="25"/>
      <c r="B3971" s="25"/>
      <c r="C3971" s="25"/>
      <c r="D3971" s="25"/>
      <c r="E3971" s="25"/>
      <c r="F3971" s="25"/>
      <c r="G3971" s="25"/>
      <c r="H3971" s="25"/>
      <c r="I3971" s="24" t="s">
        <v>418</v>
      </c>
      <c r="J3971" s="25"/>
      <c r="K3971" s="25"/>
      <c r="L3971" s="25"/>
      <c r="M3971" s="25"/>
      <c r="N3971" s="25"/>
      <c r="O3971" s="25"/>
      <c r="P3971" s="25"/>
      <c r="Q3971" s="25"/>
      <c r="R3971" s="25"/>
      <c r="S3971" s="25"/>
      <c r="T3971" s="25"/>
      <c r="U3971" s="25"/>
      <c r="V3971" s="25"/>
      <c r="W3971" s="25"/>
      <c r="X3971" s="25"/>
      <c r="Y3971" s="25"/>
      <c r="Z3971" s="25"/>
    </row>
    <row r="3972" spans="1:26" ht="15.75" customHeight="1" x14ac:dyDescent="0.45">
      <c r="A3972" s="25"/>
      <c r="B3972" s="25"/>
      <c r="C3972" s="25"/>
      <c r="D3972" s="25"/>
      <c r="E3972" s="25"/>
      <c r="F3972" s="25"/>
      <c r="G3972" s="25"/>
      <c r="H3972" s="25"/>
      <c r="I3972" s="24" t="s">
        <v>418</v>
      </c>
      <c r="J3972" s="25"/>
      <c r="K3972" s="25"/>
      <c r="L3972" s="25"/>
      <c r="M3972" s="25"/>
      <c r="N3972" s="25"/>
      <c r="O3972" s="25"/>
      <c r="P3972" s="25"/>
      <c r="Q3972" s="25"/>
      <c r="R3972" s="25"/>
      <c r="S3972" s="25"/>
      <c r="T3972" s="25"/>
      <c r="U3972" s="25"/>
      <c r="V3972" s="25"/>
      <c r="W3972" s="25"/>
      <c r="X3972" s="25"/>
      <c r="Y3972" s="25"/>
      <c r="Z3972" s="25"/>
    </row>
    <row r="3973" spans="1:26" ht="15.75" customHeight="1" x14ac:dyDescent="0.45">
      <c r="A3973" s="25"/>
      <c r="B3973" s="25"/>
      <c r="C3973" s="25"/>
      <c r="D3973" s="25"/>
      <c r="E3973" s="25"/>
      <c r="F3973" s="25"/>
      <c r="G3973" s="25"/>
      <c r="H3973" s="25"/>
      <c r="I3973" s="24" t="s">
        <v>418</v>
      </c>
      <c r="J3973" s="25"/>
      <c r="K3973" s="25"/>
      <c r="L3973" s="25"/>
      <c r="M3973" s="25"/>
      <c r="N3973" s="25"/>
      <c r="O3973" s="25"/>
      <c r="P3973" s="25"/>
      <c r="Q3973" s="25"/>
      <c r="R3973" s="25"/>
      <c r="S3973" s="25"/>
      <c r="T3973" s="25"/>
      <c r="U3973" s="25"/>
      <c r="V3973" s="25"/>
      <c r="W3973" s="25"/>
      <c r="X3973" s="25"/>
      <c r="Y3973" s="25"/>
      <c r="Z3973" s="25"/>
    </row>
    <row r="3974" spans="1:26" ht="15.75" customHeight="1" x14ac:dyDescent="0.45">
      <c r="A3974" s="25"/>
      <c r="B3974" s="25"/>
      <c r="C3974" s="25"/>
      <c r="D3974" s="25"/>
      <c r="E3974" s="25"/>
      <c r="F3974" s="25"/>
      <c r="G3974" s="25"/>
      <c r="H3974" s="25"/>
      <c r="I3974" s="24" t="s">
        <v>418</v>
      </c>
      <c r="J3974" s="25"/>
      <c r="K3974" s="25"/>
      <c r="L3974" s="25"/>
      <c r="M3974" s="25"/>
      <c r="N3974" s="25"/>
      <c r="O3974" s="25"/>
      <c r="P3974" s="25"/>
      <c r="Q3974" s="25"/>
      <c r="R3974" s="25"/>
      <c r="S3974" s="25"/>
      <c r="T3974" s="25"/>
      <c r="U3974" s="25"/>
      <c r="V3974" s="25"/>
      <c r="W3974" s="25"/>
      <c r="X3974" s="25"/>
      <c r="Y3974" s="25"/>
      <c r="Z3974" s="25"/>
    </row>
    <row r="3975" spans="1:26" ht="15.75" customHeight="1" x14ac:dyDescent="0.45">
      <c r="A3975" s="25"/>
      <c r="B3975" s="25"/>
      <c r="C3975" s="25"/>
      <c r="D3975" s="25"/>
      <c r="E3975" s="25"/>
      <c r="F3975" s="25"/>
      <c r="G3975" s="25"/>
      <c r="H3975" s="25"/>
      <c r="I3975" s="24" t="s">
        <v>418</v>
      </c>
      <c r="J3975" s="25"/>
      <c r="K3975" s="25"/>
      <c r="L3975" s="25"/>
      <c r="M3975" s="25"/>
      <c r="N3975" s="25"/>
      <c r="O3975" s="25"/>
      <c r="P3975" s="25"/>
      <c r="Q3975" s="25"/>
      <c r="R3975" s="25"/>
      <c r="S3975" s="25"/>
      <c r="T3975" s="25"/>
      <c r="U3975" s="25"/>
      <c r="V3975" s="25"/>
      <c r="W3975" s="25"/>
      <c r="X3975" s="25"/>
      <c r="Y3975" s="25"/>
      <c r="Z3975" s="25"/>
    </row>
    <row r="3976" spans="1:26" ht="15.75" customHeight="1" x14ac:dyDescent="0.75">
      <c r="A3976" s="43" t="s">
        <v>0</v>
      </c>
      <c r="B3976" s="40"/>
      <c r="C3976" s="40"/>
      <c r="D3976" s="40"/>
      <c r="E3976" s="40"/>
      <c r="F3976" s="40"/>
      <c r="G3976" s="40"/>
      <c r="H3976" s="41"/>
      <c r="I3976" s="24" t="s">
        <v>418</v>
      </c>
      <c r="J3976" s="25"/>
      <c r="K3976" s="25"/>
      <c r="L3976" s="25"/>
      <c r="M3976" s="25"/>
      <c r="N3976" s="25"/>
      <c r="O3976" s="25"/>
      <c r="P3976" s="25"/>
      <c r="Q3976" s="25"/>
      <c r="R3976" s="25"/>
      <c r="S3976" s="25"/>
      <c r="T3976" s="25"/>
      <c r="U3976" s="25"/>
      <c r="V3976" s="25"/>
      <c r="W3976" s="25"/>
      <c r="X3976" s="25"/>
      <c r="Y3976" s="25"/>
      <c r="Z3976" s="25"/>
    </row>
    <row r="3977" spans="1:26" ht="15.75" customHeight="1" x14ac:dyDescent="0.75">
      <c r="A3977" s="43" t="s">
        <v>645</v>
      </c>
      <c r="B3977" s="40"/>
      <c r="C3977" s="40"/>
      <c r="D3977" s="40"/>
      <c r="E3977" s="40"/>
      <c r="F3977" s="40"/>
      <c r="G3977" s="40"/>
      <c r="H3977" s="41"/>
      <c r="I3977" s="24" t="s">
        <v>418</v>
      </c>
      <c r="J3977" s="25"/>
      <c r="K3977" s="25"/>
      <c r="L3977" s="25"/>
      <c r="M3977" s="25"/>
      <c r="N3977" s="25"/>
      <c r="O3977" s="25"/>
      <c r="P3977" s="25"/>
      <c r="Q3977" s="25"/>
      <c r="R3977" s="25"/>
      <c r="S3977" s="25"/>
      <c r="T3977" s="25"/>
      <c r="U3977" s="25"/>
      <c r="V3977" s="25"/>
      <c r="W3977" s="25"/>
      <c r="X3977" s="25"/>
      <c r="Y3977" s="25"/>
      <c r="Z3977" s="25"/>
    </row>
    <row r="3978" spans="1:26" ht="15.75" customHeight="1" x14ac:dyDescent="0.55000000000000004">
      <c r="A3978" s="2" t="s">
        <v>3</v>
      </c>
      <c r="B3978" s="2" t="s">
        <v>4</v>
      </c>
      <c r="C3978" s="2" t="s">
        <v>5</v>
      </c>
      <c r="D3978" s="2" t="s">
        <v>6</v>
      </c>
      <c r="E3978" s="2" t="s">
        <v>7</v>
      </c>
      <c r="F3978" s="3" t="s">
        <v>8</v>
      </c>
      <c r="G3978" s="2" t="s">
        <v>9</v>
      </c>
      <c r="H3978" s="26"/>
      <c r="I3978" s="24" t="s">
        <v>418</v>
      </c>
      <c r="J3978" s="25"/>
      <c r="K3978" s="25"/>
      <c r="L3978" s="25"/>
      <c r="M3978" s="25"/>
      <c r="N3978" s="25"/>
      <c r="O3978" s="25"/>
      <c r="P3978" s="25"/>
      <c r="Q3978" s="25"/>
      <c r="R3978" s="25"/>
      <c r="S3978" s="25"/>
      <c r="T3978" s="25"/>
      <c r="U3978" s="25"/>
      <c r="V3978" s="25"/>
      <c r="W3978" s="25"/>
      <c r="X3978" s="25"/>
      <c r="Y3978" s="25"/>
      <c r="Z3978" s="25"/>
    </row>
    <row r="3979" spans="1:26" ht="15.75" customHeight="1" x14ac:dyDescent="0.75">
      <c r="A3979" s="5">
        <v>1</v>
      </c>
      <c r="B3979" s="27" t="s">
        <v>646</v>
      </c>
      <c r="C3979" s="28" t="s">
        <v>647</v>
      </c>
      <c r="D3979" s="27" t="s">
        <v>12</v>
      </c>
      <c r="E3979" s="27">
        <v>2</v>
      </c>
      <c r="F3979" s="8">
        <v>293000</v>
      </c>
      <c r="G3979" s="9">
        <f t="shared" ref="G3979:G3981" si="248">IFERROR(E3979*F3979,0)</f>
        <v>586000</v>
      </c>
      <c r="H3979" s="29"/>
      <c r="I3979" s="24" t="s">
        <v>418</v>
      </c>
      <c r="J3979" s="25"/>
      <c r="K3979" s="25"/>
      <c r="L3979" s="25"/>
      <c r="M3979" s="25"/>
      <c r="N3979" s="25"/>
      <c r="O3979" s="25"/>
      <c r="P3979" s="25"/>
      <c r="Q3979" s="25"/>
      <c r="R3979" s="25"/>
      <c r="S3979" s="25"/>
      <c r="T3979" s="25"/>
      <c r="U3979" s="25"/>
      <c r="V3979" s="25"/>
      <c r="W3979" s="25"/>
      <c r="X3979" s="25"/>
      <c r="Y3979" s="25"/>
      <c r="Z3979" s="25"/>
    </row>
    <row r="3980" spans="1:26" ht="15.75" customHeight="1" x14ac:dyDescent="0.75">
      <c r="A3980" s="5">
        <v>2</v>
      </c>
      <c r="B3980" s="30" t="s">
        <v>35</v>
      </c>
      <c r="C3980" s="31" t="s">
        <v>648</v>
      </c>
      <c r="D3980" s="30" t="s">
        <v>14</v>
      </c>
      <c r="E3980" s="30">
        <v>1.45</v>
      </c>
      <c r="F3980" s="11">
        <v>435000</v>
      </c>
      <c r="G3980" s="9">
        <f t="shared" si="248"/>
        <v>630750</v>
      </c>
      <c r="H3980" s="29"/>
      <c r="I3980" s="24" t="s">
        <v>418</v>
      </c>
      <c r="J3980" s="25"/>
      <c r="K3980" s="25"/>
      <c r="L3980" s="25"/>
      <c r="M3980" s="25"/>
      <c r="N3980" s="25"/>
      <c r="O3980" s="25"/>
      <c r="P3980" s="25"/>
      <c r="Q3980" s="25"/>
      <c r="R3980" s="25"/>
      <c r="S3980" s="25"/>
      <c r="T3980" s="25"/>
      <c r="U3980" s="25"/>
      <c r="V3980" s="25"/>
      <c r="W3980" s="25"/>
      <c r="X3980" s="25"/>
      <c r="Y3980" s="25"/>
      <c r="Z3980" s="25"/>
    </row>
    <row r="3981" spans="1:26" ht="15.75" customHeight="1" x14ac:dyDescent="0.75">
      <c r="A3981" s="5">
        <v>3</v>
      </c>
      <c r="B3981" s="12" t="s">
        <v>15</v>
      </c>
      <c r="C3981" s="29"/>
      <c r="D3981" s="29"/>
      <c r="E3981" s="29"/>
      <c r="F3981" s="29"/>
      <c r="G3981" s="13">
        <f t="shared" si="248"/>
        <v>0</v>
      </c>
      <c r="H3981" s="29"/>
      <c r="I3981" s="24" t="s">
        <v>418</v>
      </c>
      <c r="J3981" s="25"/>
      <c r="K3981" s="25"/>
      <c r="L3981" s="25"/>
      <c r="M3981" s="25"/>
      <c r="N3981" s="25"/>
      <c r="O3981" s="25"/>
      <c r="P3981" s="25"/>
      <c r="Q3981" s="25"/>
      <c r="R3981" s="25"/>
      <c r="S3981" s="25"/>
      <c r="T3981" s="25"/>
      <c r="U3981" s="25"/>
      <c r="V3981" s="25"/>
      <c r="W3981" s="25"/>
      <c r="X3981" s="25"/>
      <c r="Y3981" s="25"/>
      <c r="Z3981" s="25"/>
    </row>
    <row r="3982" spans="1:26" ht="15.75" customHeight="1" x14ac:dyDescent="0.75">
      <c r="A3982" s="39" t="s">
        <v>16</v>
      </c>
      <c r="B3982" s="40"/>
      <c r="C3982" s="40"/>
      <c r="D3982" s="40"/>
      <c r="E3982" s="40"/>
      <c r="F3982" s="40"/>
      <c r="G3982" s="41"/>
      <c r="H3982" s="14">
        <f>SUM(G3979:G3981)</f>
        <v>1216750</v>
      </c>
      <c r="I3982" s="24" t="s">
        <v>418</v>
      </c>
      <c r="J3982" s="25"/>
      <c r="K3982" s="25"/>
      <c r="L3982" s="25"/>
      <c r="M3982" s="25"/>
      <c r="N3982" s="25"/>
      <c r="O3982" s="25"/>
      <c r="P3982" s="25"/>
      <c r="Q3982" s="25"/>
      <c r="R3982" s="25"/>
      <c r="S3982" s="25"/>
      <c r="T3982" s="25"/>
      <c r="U3982" s="25"/>
      <c r="V3982" s="25"/>
      <c r="W3982" s="25"/>
      <c r="X3982" s="25"/>
      <c r="Y3982" s="25"/>
      <c r="Z3982" s="25"/>
    </row>
    <row r="3983" spans="1:26" ht="15.75" customHeight="1" x14ac:dyDescent="0.75">
      <c r="A3983" s="39" t="s">
        <v>17</v>
      </c>
      <c r="B3983" s="40"/>
      <c r="C3983" s="40"/>
      <c r="D3983" s="40"/>
      <c r="E3983" s="40"/>
      <c r="F3983" s="40"/>
      <c r="G3983" s="41"/>
      <c r="H3983" s="14">
        <f>MAX(0,H3982-648000)</f>
        <v>568750</v>
      </c>
      <c r="I3983" s="24" t="s">
        <v>418</v>
      </c>
      <c r="J3983" s="25"/>
      <c r="K3983" s="25"/>
      <c r="L3983" s="25"/>
      <c r="M3983" s="25"/>
      <c r="N3983" s="25"/>
      <c r="O3983" s="25"/>
      <c r="P3983" s="25"/>
      <c r="Q3983" s="25"/>
      <c r="R3983" s="25"/>
      <c r="S3983" s="25"/>
      <c r="T3983" s="25"/>
      <c r="U3983" s="25"/>
      <c r="V3983" s="25"/>
      <c r="W3983" s="25"/>
      <c r="X3983" s="25"/>
      <c r="Y3983" s="25"/>
      <c r="Z3983" s="25"/>
    </row>
    <row r="3984" spans="1:26" ht="15.75" customHeight="1" x14ac:dyDescent="0.75">
      <c r="A3984" s="42" t="s">
        <v>18</v>
      </c>
      <c r="B3984" s="40"/>
      <c r="C3984" s="40"/>
      <c r="D3984" s="40"/>
      <c r="E3984" s="40"/>
      <c r="F3984" s="40"/>
      <c r="G3984" s="41"/>
      <c r="H3984" s="15">
        <v>649000</v>
      </c>
      <c r="I3984" s="24" t="s">
        <v>418</v>
      </c>
      <c r="J3984" s="25"/>
      <c r="K3984" s="25"/>
      <c r="L3984" s="25"/>
      <c r="M3984" s="25"/>
      <c r="N3984" s="25"/>
      <c r="O3984" s="25"/>
      <c r="P3984" s="25"/>
      <c r="Q3984" s="25"/>
      <c r="R3984" s="25"/>
      <c r="S3984" s="25"/>
      <c r="T3984" s="25"/>
      <c r="U3984" s="25"/>
      <c r="V3984" s="25"/>
      <c r="W3984" s="25"/>
      <c r="X3984" s="25"/>
      <c r="Y3984" s="25"/>
      <c r="Z3984" s="25"/>
    </row>
    <row r="3985" spans="1:26" ht="15.75" customHeight="1" x14ac:dyDescent="0.75">
      <c r="A3985" s="43" t="s">
        <v>19</v>
      </c>
      <c r="B3985" s="40"/>
      <c r="C3985" s="40"/>
      <c r="D3985" s="40"/>
      <c r="E3985" s="40"/>
      <c r="F3985" s="40"/>
      <c r="G3985" s="40"/>
      <c r="H3985" s="41"/>
      <c r="I3985" s="24" t="s">
        <v>418</v>
      </c>
      <c r="J3985" s="25"/>
      <c r="K3985" s="25"/>
      <c r="L3985" s="25"/>
      <c r="M3985" s="25"/>
      <c r="N3985" s="25"/>
      <c r="O3985" s="25"/>
      <c r="P3985" s="25"/>
      <c r="Q3985" s="25"/>
      <c r="R3985" s="25"/>
      <c r="S3985" s="25"/>
      <c r="T3985" s="25"/>
      <c r="U3985" s="25"/>
      <c r="V3985" s="25"/>
      <c r="W3985" s="25"/>
      <c r="X3985" s="25"/>
      <c r="Y3985" s="25"/>
      <c r="Z3985" s="25"/>
    </row>
    <row r="3986" spans="1:26" ht="15.75" customHeight="1" x14ac:dyDescent="0.45">
      <c r="A3986" s="25"/>
      <c r="B3986" s="25"/>
      <c r="C3986" s="25"/>
      <c r="D3986" s="25"/>
      <c r="E3986" s="25"/>
      <c r="F3986" s="25"/>
      <c r="G3986" s="25"/>
      <c r="H3986" s="25"/>
      <c r="I3986" s="24" t="s">
        <v>418</v>
      </c>
      <c r="J3986" s="25"/>
      <c r="K3986" s="25"/>
      <c r="L3986" s="25"/>
      <c r="M3986" s="25"/>
      <c r="N3986" s="25"/>
      <c r="O3986" s="25"/>
      <c r="P3986" s="25"/>
      <c r="Q3986" s="25"/>
      <c r="R3986" s="25"/>
      <c r="S3986" s="25"/>
      <c r="T3986" s="25"/>
      <c r="U3986" s="25"/>
      <c r="V3986" s="25"/>
      <c r="W3986" s="25"/>
      <c r="X3986" s="25"/>
      <c r="Y3986" s="25"/>
      <c r="Z3986" s="25"/>
    </row>
    <row r="3987" spans="1:26" ht="15.75" customHeight="1" x14ac:dyDescent="0.45">
      <c r="A3987" s="25"/>
      <c r="B3987" s="25"/>
      <c r="C3987" s="25"/>
      <c r="D3987" s="25"/>
      <c r="E3987" s="25"/>
      <c r="F3987" s="25"/>
      <c r="G3987" s="25"/>
      <c r="H3987" s="25"/>
      <c r="I3987" s="24" t="s">
        <v>418</v>
      </c>
      <c r="J3987" s="25"/>
      <c r="K3987" s="25"/>
      <c r="L3987" s="25"/>
      <c r="M3987" s="25"/>
      <c r="N3987" s="25"/>
      <c r="O3987" s="25"/>
      <c r="P3987" s="25"/>
      <c r="Q3987" s="25"/>
      <c r="R3987" s="25"/>
      <c r="S3987" s="25"/>
      <c r="T3987" s="25"/>
      <c r="U3987" s="25"/>
      <c r="V3987" s="25"/>
      <c r="W3987" s="25"/>
      <c r="X3987" s="25"/>
      <c r="Y3987" s="25"/>
      <c r="Z3987" s="25"/>
    </row>
    <row r="3988" spans="1:26" ht="15.75" customHeight="1" x14ac:dyDescent="0.45">
      <c r="A3988" s="25"/>
      <c r="B3988" s="25"/>
      <c r="C3988" s="25"/>
      <c r="D3988" s="25"/>
      <c r="E3988" s="25"/>
      <c r="F3988" s="25"/>
      <c r="G3988" s="25"/>
      <c r="H3988" s="25"/>
      <c r="I3988" s="24" t="s">
        <v>418</v>
      </c>
      <c r="J3988" s="25"/>
      <c r="K3988" s="25"/>
      <c r="L3988" s="25"/>
      <c r="M3988" s="25"/>
      <c r="N3988" s="25"/>
      <c r="O3988" s="25"/>
      <c r="P3988" s="25"/>
      <c r="Q3988" s="25"/>
      <c r="R3988" s="25"/>
      <c r="S3988" s="25"/>
      <c r="T3988" s="25"/>
      <c r="U3988" s="25"/>
      <c r="V3988" s="25"/>
      <c r="W3988" s="25"/>
      <c r="X3988" s="25"/>
      <c r="Y3988" s="25"/>
      <c r="Z3988" s="25"/>
    </row>
    <row r="3989" spans="1:26" ht="15.75" customHeight="1" x14ac:dyDescent="0.45">
      <c r="A3989" s="25"/>
      <c r="B3989" s="25"/>
      <c r="C3989" s="25"/>
      <c r="D3989" s="25"/>
      <c r="E3989" s="25"/>
      <c r="F3989" s="25"/>
      <c r="G3989" s="25"/>
      <c r="H3989" s="25"/>
      <c r="I3989" s="24" t="s">
        <v>418</v>
      </c>
      <c r="J3989" s="25"/>
      <c r="K3989" s="25"/>
      <c r="L3989" s="25"/>
      <c r="M3989" s="25"/>
      <c r="N3989" s="25"/>
      <c r="O3989" s="25"/>
      <c r="P3989" s="25"/>
      <c r="Q3989" s="25"/>
      <c r="R3989" s="25"/>
      <c r="S3989" s="25"/>
      <c r="T3989" s="25"/>
      <c r="U3989" s="25"/>
      <c r="V3989" s="25"/>
      <c r="W3989" s="25"/>
      <c r="X3989" s="25"/>
      <c r="Y3989" s="25"/>
      <c r="Z3989" s="25"/>
    </row>
    <row r="3990" spans="1:26" ht="15.75" customHeight="1" x14ac:dyDescent="0.45">
      <c r="A3990" s="25"/>
      <c r="B3990" s="25"/>
      <c r="C3990" s="25"/>
      <c r="D3990" s="25"/>
      <c r="E3990" s="25"/>
      <c r="F3990" s="25"/>
      <c r="G3990" s="25"/>
      <c r="H3990" s="25"/>
      <c r="I3990" s="24" t="s">
        <v>418</v>
      </c>
      <c r="J3990" s="25"/>
      <c r="K3990" s="25"/>
      <c r="L3990" s="25"/>
      <c r="M3990" s="25"/>
      <c r="N3990" s="25"/>
      <c r="O3990" s="25"/>
      <c r="P3990" s="25"/>
      <c r="Q3990" s="25"/>
      <c r="R3990" s="25"/>
      <c r="S3990" s="25"/>
      <c r="T3990" s="25"/>
      <c r="U3990" s="25"/>
      <c r="V3990" s="25"/>
      <c r="W3990" s="25"/>
      <c r="X3990" s="25"/>
      <c r="Y3990" s="25"/>
      <c r="Z3990" s="25"/>
    </row>
    <row r="3991" spans="1:26" ht="15.75" customHeight="1" x14ac:dyDescent="0.75">
      <c r="A3991" s="43" t="s">
        <v>0</v>
      </c>
      <c r="B3991" s="40"/>
      <c r="C3991" s="40"/>
      <c r="D3991" s="40"/>
      <c r="E3991" s="40"/>
      <c r="F3991" s="40"/>
      <c r="G3991" s="40"/>
      <c r="H3991" s="41"/>
      <c r="I3991" s="24" t="s">
        <v>418</v>
      </c>
      <c r="J3991" s="25"/>
      <c r="K3991" s="25"/>
      <c r="L3991" s="25"/>
      <c r="M3991" s="25"/>
      <c r="N3991" s="25"/>
      <c r="O3991" s="25"/>
      <c r="P3991" s="25"/>
      <c r="Q3991" s="25"/>
      <c r="R3991" s="25"/>
      <c r="S3991" s="25"/>
      <c r="T3991" s="25"/>
      <c r="U3991" s="25"/>
      <c r="V3991" s="25"/>
      <c r="W3991" s="25"/>
      <c r="X3991" s="25"/>
      <c r="Y3991" s="25"/>
      <c r="Z3991" s="25"/>
    </row>
    <row r="3992" spans="1:26" ht="15.75" customHeight="1" x14ac:dyDescent="0.75">
      <c r="A3992" s="43" t="s">
        <v>649</v>
      </c>
      <c r="B3992" s="40"/>
      <c r="C3992" s="40"/>
      <c r="D3992" s="40"/>
      <c r="E3992" s="40"/>
      <c r="F3992" s="40"/>
      <c r="G3992" s="40"/>
      <c r="H3992" s="41"/>
      <c r="I3992" s="24" t="s">
        <v>418</v>
      </c>
      <c r="J3992" s="25"/>
      <c r="K3992" s="25"/>
      <c r="L3992" s="25"/>
      <c r="M3992" s="25"/>
      <c r="N3992" s="25"/>
      <c r="O3992" s="25"/>
      <c r="P3992" s="25"/>
      <c r="Q3992" s="25"/>
      <c r="R3992" s="25"/>
      <c r="S3992" s="25"/>
      <c r="T3992" s="25"/>
      <c r="U3992" s="25"/>
      <c r="V3992" s="25"/>
      <c r="W3992" s="25"/>
      <c r="X3992" s="25"/>
      <c r="Y3992" s="25"/>
      <c r="Z3992" s="25"/>
    </row>
    <row r="3993" spans="1:26" ht="15.75" customHeight="1" x14ac:dyDescent="0.55000000000000004">
      <c r="A3993" s="2" t="s">
        <v>3</v>
      </c>
      <c r="B3993" s="2" t="s">
        <v>4</v>
      </c>
      <c r="C3993" s="2" t="s">
        <v>5</v>
      </c>
      <c r="D3993" s="2" t="s">
        <v>6</v>
      </c>
      <c r="E3993" s="2" t="s">
        <v>7</v>
      </c>
      <c r="F3993" s="3" t="s">
        <v>8</v>
      </c>
      <c r="G3993" s="2" t="s">
        <v>9</v>
      </c>
      <c r="H3993" s="26"/>
      <c r="I3993" s="24" t="s">
        <v>418</v>
      </c>
      <c r="J3993" s="25"/>
      <c r="K3993" s="25"/>
      <c r="L3993" s="25"/>
      <c r="M3993" s="25"/>
      <c r="N3993" s="25"/>
      <c r="O3993" s="25"/>
      <c r="P3993" s="25"/>
      <c r="Q3993" s="25"/>
      <c r="R3993" s="25"/>
      <c r="S3993" s="25"/>
      <c r="T3993" s="25"/>
      <c r="U3993" s="25"/>
      <c r="V3993" s="25"/>
      <c r="W3993" s="25"/>
      <c r="X3993" s="25"/>
      <c r="Y3993" s="25"/>
      <c r="Z3993" s="25"/>
    </row>
    <row r="3994" spans="1:26" ht="15.75" customHeight="1" x14ac:dyDescent="0.75">
      <c r="A3994" s="5">
        <v>1</v>
      </c>
      <c r="B3994" s="27" t="s">
        <v>158</v>
      </c>
      <c r="C3994" s="28" t="s">
        <v>650</v>
      </c>
      <c r="D3994" s="27" t="s">
        <v>12</v>
      </c>
      <c r="E3994" s="27">
        <v>2</v>
      </c>
      <c r="F3994" s="8">
        <v>293000</v>
      </c>
      <c r="G3994" s="9">
        <f t="shared" ref="G3994:G3996" si="249">IFERROR(E3994*F3994,0)</f>
        <v>586000</v>
      </c>
      <c r="H3994" s="29"/>
      <c r="I3994" s="24" t="s">
        <v>418</v>
      </c>
      <c r="J3994" s="25"/>
      <c r="K3994" s="25"/>
      <c r="L3994" s="25"/>
      <c r="M3994" s="25"/>
      <c r="N3994" s="25"/>
      <c r="O3994" s="25"/>
      <c r="P3994" s="25"/>
      <c r="Q3994" s="25"/>
      <c r="R3994" s="25"/>
      <c r="S3994" s="25"/>
      <c r="T3994" s="25"/>
      <c r="U3994" s="25"/>
      <c r="V3994" s="25"/>
      <c r="W3994" s="25"/>
      <c r="X3994" s="25"/>
      <c r="Y3994" s="25"/>
      <c r="Z3994" s="25"/>
    </row>
    <row r="3995" spans="1:26" ht="15.75" customHeight="1" x14ac:dyDescent="0.75">
      <c r="A3995" s="5">
        <v>2</v>
      </c>
      <c r="B3995" s="30" t="s">
        <v>362</v>
      </c>
      <c r="C3995" s="34">
        <v>1735</v>
      </c>
      <c r="D3995" s="30" t="s">
        <v>14</v>
      </c>
      <c r="E3995" s="30">
        <v>1.5</v>
      </c>
      <c r="F3995" s="11">
        <v>435000</v>
      </c>
      <c r="G3995" s="9">
        <f t="shared" si="249"/>
        <v>652500</v>
      </c>
      <c r="H3995" s="29"/>
      <c r="I3995" s="24" t="s">
        <v>418</v>
      </c>
      <c r="J3995" s="25"/>
      <c r="K3995" s="25"/>
      <c r="L3995" s="25"/>
      <c r="M3995" s="25"/>
      <c r="N3995" s="25"/>
      <c r="O3995" s="25"/>
      <c r="P3995" s="25"/>
      <c r="Q3995" s="25"/>
      <c r="R3995" s="25"/>
      <c r="S3995" s="25"/>
      <c r="T3995" s="25"/>
      <c r="U3995" s="25"/>
      <c r="V3995" s="25"/>
      <c r="W3995" s="25"/>
      <c r="X3995" s="25"/>
      <c r="Y3995" s="25"/>
      <c r="Z3995" s="25"/>
    </row>
    <row r="3996" spans="1:26" ht="15.75" customHeight="1" x14ac:dyDescent="0.75">
      <c r="A3996" s="5">
        <v>3</v>
      </c>
      <c r="B3996" s="12" t="s">
        <v>15</v>
      </c>
      <c r="C3996" s="29"/>
      <c r="D3996" s="29"/>
      <c r="E3996" s="29"/>
      <c r="F3996" s="29"/>
      <c r="G3996" s="13">
        <f t="shared" si="249"/>
        <v>0</v>
      </c>
      <c r="H3996" s="29"/>
      <c r="I3996" s="24" t="s">
        <v>418</v>
      </c>
      <c r="J3996" s="25"/>
      <c r="K3996" s="25"/>
      <c r="L3996" s="25"/>
      <c r="M3996" s="25"/>
      <c r="N3996" s="25"/>
      <c r="O3996" s="25"/>
      <c r="P3996" s="25"/>
      <c r="Q3996" s="25"/>
      <c r="R3996" s="25"/>
      <c r="S3996" s="25"/>
      <c r="T3996" s="25"/>
      <c r="U3996" s="25"/>
      <c r="V3996" s="25"/>
      <c r="W3996" s="25"/>
      <c r="X3996" s="25"/>
      <c r="Y3996" s="25"/>
      <c r="Z3996" s="25"/>
    </row>
    <row r="3997" spans="1:26" ht="15.75" customHeight="1" x14ac:dyDescent="0.75">
      <c r="A3997" s="39" t="s">
        <v>16</v>
      </c>
      <c r="B3997" s="40"/>
      <c r="C3997" s="40"/>
      <c r="D3997" s="40"/>
      <c r="E3997" s="40"/>
      <c r="F3997" s="40"/>
      <c r="G3997" s="41"/>
      <c r="H3997" s="14">
        <f>SUM(G3994:G3996)</f>
        <v>1238500</v>
      </c>
      <c r="I3997" s="24" t="s">
        <v>418</v>
      </c>
      <c r="J3997" s="25"/>
      <c r="K3997" s="25"/>
      <c r="L3997" s="25"/>
      <c r="M3997" s="25"/>
      <c r="N3997" s="25"/>
      <c r="O3997" s="25"/>
      <c r="P3997" s="25"/>
      <c r="Q3997" s="25"/>
      <c r="R3997" s="25"/>
      <c r="S3997" s="25"/>
      <c r="T3997" s="25"/>
      <c r="U3997" s="25"/>
      <c r="V3997" s="25"/>
      <c r="W3997" s="25"/>
      <c r="X3997" s="25"/>
      <c r="Y3997" s="25"/>
      <c r="Z3997" s="25"/>
    </row>
    <row r="3998" spans="1:26" ht="15.75" customHeight="1" x14ac:dyDescent="0.75">
      <c r="A3998" s="39" t="s">
        <v>17</v>
      </c>
      <c r="B3998" s="40"/>
      <c r="C3998" s="40"/>
      <c r="D3998" s="40"/>
      <c r="E3998" s="40"/>
      <c r="F3998" s="40"/>
      <c r="G3998" s="41"/>
      <c r="H3998" s="14">
        <f>MAX(0,H3997-648000)</f>
        <v>590500</v>
      </c>
      <c r="I3998" s="24" t="s">
        <v>418</v>
      </c>
      <c r="J3998" s="25"/>
      <c r="K3998" s="25"/>
      <c r="L3998" s="25"/>
      <c r="M3998" s="25"/>
      <c r="N3998" s="25"/>
      <c r="O3998" s="25"/>
      <c r="P3998" s="25"/>
      <c r="Q3998" s="25"/>
      <c r="R3998" s="25"/>
      <c r="S3998" s="25"/>
      <c r="T3998" s="25"/>
      <c r="U3998" s="25"/>
      <c r="V3998" s="25"/>
      <c r="W3998" s="25"/>
      <c r="X3998" s="25"/>
      <c r="Y3998" s="25"/>
      <c r="Z3998" s="25"/>
    </row>
    <row r="3999" spans="1:26" ht="15.75" customHeight="1" x14ac:dyDescent="0.75">
      <c r="A3999" s="42" t="s">
        <v>18</v>
      </c>
      <c r="B3999" s="40"/>
      <c r="C3999" s="40"/>
      <c r="D3999" s="40"/>
      <c r="E3999" s="40"/>
      <c r="F3999" s="40"/>
      <c r="G3999" s="41"/>
      <c r="H3999" s="15">
        <v>649000</v>
      </c>
      <c r="I3999" s="24" t="s">
        <v>418</v>
      </c>
      <c r="J3999" s="25"/>
      <c r="K3999" s="25"/>
      <c r="L3999" s="25"/>
      <c r="M3999" s="25"/>
      <c r="N3999" s="25"/>
      <c r="O3999" s="25"/>
      <c r="P3999" s="25"/>
      <c r="Q3999" s="25"/>
      <c r="R3999" s="25"/>
      <c r="S3999" s="25"/>
      <c r="T3999" s="25"/>
      <c r="U3999" s="25"/>
      <c r="V3999" s="25"/>
      <c r="W3999" s="25"/>
      <c r="X3999" s="25"/>
      <c r="Y3999" s="25"/>
      <c r="Z3999" s="25"/>
    </row>
    <row r="4000" spans="1:26" ht="15.75" customHeight="1" x14ac:dyDescent="0.75">
      <c r="A4000" s="43" t="s">
        <v>19</v>
      </c>
      <c r="B4000" s="40"/>
      <c r="C4000" s="40"/>
      <c r="D4000" s="40"/>
      <c r="E4000" s="40"/>
      <c r="F4000" s="40"/>
      <c r="G4000" s="40"/>
      <c r="H4000" s="41"/>
      <c r="I4000" s="24" t="s">
        <v>418</v>
      </c>
      <c r="J4000" s="25"/>
      <c r="K4000" s="25"/>
      <c r="L4000" s="25"/>
      <c r="M4000" s="25"/>
      <c r="N4000" s="25"/>
      <c r="O4000" s="25"/>
      <c r="P4000" s="25"/>
      <c r="Q4000" s="25"/>
      <c r="R4000" s="25"/>
      <c r="S4000" s="25"/>
      <c r="T4000" s="25"/>
      <c r="U4000" s="25"/>
      <c r="V4000" s="25"/>
      <c r="W4000" s="25"/>
      <c r="X4000" s="25"/>
      <c r="Y4000" s="25"/>
      <c r="Z4000" s="25"/>
    </row>
    <row r="4001" spans="1:26" ht="15.75" customHeight="1" x14ac:dyDescent="0.45">
      <c r="A4001" s="25"/>
      <c r="B4001" s="25"/>
      <c r="C4001" s="25"/>
      <c r="D4001" s="25"/>
      <c r="E4001" s="25"/>
      <c r="F4001" s="25"/>
      <c r="G4001" s="25"/>
      <c r="H4001" s="25"/>
      <c r="I4001" s="24" t="s">
        <v>418</v>
      </c>
      <c r="J4001" s="25"/>
      <c r="K4001" s="25"/>
      <c r="L4001" s="25"/>
      <c r="M4001" s="25"/>
      <c r="N4001" s="25"/>
      <c r="O4001" s="25"/>
      <c r="P4001" s="25"/>
      <c r="Q4001" s="25"/>
      <c r="R4001" s="25"/>
      <c r="S4001" s="25"/>
      <c r="T4001" s="25"/>
      <c r="U4001" s="25"/>
      <c r="V4001" s="25"/>
      <c r="W4001" s="25"/>
      <c r="X4001" s="25"/>
      <c r="Y4001" s="25"/>
      <c r="Z4001" s="25"/>
    </row>
    <row r="4002" spans="1:26" ht="15.75" customHeight="1" x14ac:dyDescent="0.45">
      <c r="A4002" s="25"/>
      <c r="B4002" s="25"/>
      <c r="C4002" s="25"/>
      <c r="D4002" s="25"/>
      <c r="E4002" s="25"/>
      <c r="F4002" s="25"/>
      <c r="G4002" s="25"/>
      <c r="H4002" s="25"/>
      <c r="I4002" s="24" t="s">
        <v>418</v>
      </c>
      <c r="J4002" s="25"/>
      <c r="K4002" s="25"/>
      <c r="L4002" s="25"/>
      <c r="M4002" s="25"/>
      <c r="N4002" s="25"/>
      <c r="O4002" s="25"/>
      <c r="P4002" s="25"/>
      <c r="Q4002" s="25"/>
      <c r="R4002" s="25"/>
      <c r="S4002" s="25"/>
      <c r="T4002" s="25"/>
      <c r="U4002" s="25"/>
      <c r="V4002" s="25"/>
      <c r="W4002" s="25"/>
      <c r="X4002" s="25"/>
      <c r="Y4002" s="25"/>
      <c r="Z4002" s="25"/>
    </row>
    <row r="4003" spans="1:26" ht="15.75" customHeight="1" x14ac:dyDescent="0.45">
      <c r="A4003" s="25"/>
      <c r="B4003" s="25"/>
      <c r="C4003" s="25"/>
      <c r="D4003" s="25"/>
      <c r="E4003" s="25"/>
      <c r="F4003" s="25"/>
      <c r="G4003" s="25"/>
      <c r="H4003" s="25"/>
      <c r="I4003" s="24" t="s">
        <v>418</v>
      </c>
      <c r="J4003" s="25"/>
      <c r="K4003" s="25"/>
      <c r="L4003" s="25"/>
      <c r="M4003" s="25"/>
      <c r="N4003" s="25"/>
      <c r="O4003" s="25"/>
      <c r="P4003" s="25"/>
      <c r="Q4003" s="25"/>
      <c r="R4003" s="25"/>
      <c r="S4003" s="25"/>
      <c r="T4003" s="25"/>
      <c r="U4003" s="25"/>
      <c r="V4003" s="25"/>
      <c r="W4003" s="25"/>
      <c r="X4003" s="25"/>
      <c r="Y4003" s="25"/>
      <c r="Z4003" s="25"/>
    </row>
    <row r="4004" spans="1:26" ht="15.75" customHeight="1" x14ac:dyDescent="0.45">
      <c r="A4004" s="25"/>
      <c r="B4004" s="25"/>
      <c r="C4004" s="25"/>
      <c r="D4004" s="25"/>
      <c r="E4004" s="25"/>
      <c r="F4004" s="25"/>
      <c r="G4004" s="25"/>
      <c r="H4004" s="25"/>
      <c r="I4004" s="24" t="s">
        <v>418</v>
      </c>
      <c r="J4004" s="25"/>
      <c r="K4004" s="25"/>
      <c r="L4004" s="25"/>
      <c r="M4004" s="25"/>
      <c r="N4004" s="25"/>
      <c r="O4004" s="25"/>
      <c r="P4004" s="25"/>
      <c r="Q4004" s="25"/>
      <c r="R4004" s="25"/>
      <c r="S4004" s="25"/>
      <c r="T4004" s="25"/>
      <c r="U4004" s="25"/>
      <c r="V4004" s="25"/>
      <c r="W4004" s="25"/>
      <c r="X4004" s="25"/>
      <c r="Y4004" s="25"/>
      <c r="Z4004" s="25"/>
    </row>
    <row r="4005" spans="1:26" ht="15.75" customHeight="1" x14ac:dyDescent="0.45">
      <c r="A4005" s="25"/>
      <c r="B4005" s="25"/>
      <c r="C4005" s="25"/>
      <c r="D4005" s="25"/>
      <c r="E4005" s="25"/>
      <c r="F4005" s="25"/>
      <c r="G4005" s="25"/>
      <c r="H4005" s="25"/>
      <c r="I4005" s="24" t="s">
        <v>418</v>
      </c>
      <c r="J4005" s="25"/>
      <c r="K4005" s="25"/>
      <c r="L4005" s="25"/>
      <c r="M4005" s="25"/>
      <c r="N4005" s="25"/>
      <c r="O4005" s="25"/>
      <c r="P4005" s="25"/>
      <c r="Q4005" s="25"/>
      <c r="R4005" s="25"/>
      <c r="S4005" s="25"/>
      <c r="T4005" s="25"/>
      <c r="U4005" s="25"/>
      <c r="V4005" s="25"/>
      <c r="W4005" s="25"/>
      <c r="X4005" s="25"/>
      <c r="Y4005" s="25"/>
      <c r="Z4005" s="25"/>
    </row>
    <row r="4006" spans="1:26" ht="15.75" customHeight="1" x14ac:dyDescent="0.45">
      <c r="A4006" s="25"/>
      <c r="B4006" s="25"/>
      <c r="C4006" s="25"/>
      <c r="D4006" s="25"/>
      <c r="E4006" s="25"/>
      <c r="F4006" s="25"/>
      <c r="G4006" s="25"/>
      <c r="H4006" s="25"/>
      <c r="I4006" s="24" t="s">
        <v>418</v>
      </c>
      <c r="J4006" s="25"/>
      <c r="K4006" s="25"/>
      <c r="L4006" s="25"/>
      <c r="M4006" s="25"/>
      <c r="N4006" s="25"/>
      <c r="O4006" s="25"/>
      <c r="P4006" s="25"/>
      <c r="Q4006" s="25"/>
      <c r="R4006" s="25"/>
      <c r="S4006" s="25"/>
      <c r="T4006" s="25"/>
      <c r="U4006" s="25"/>
      <c r="V4006" s="25"/>
      <c r="W4006" s="25"/>
      <c r="X4006" s="25"/>
      <c r="Y4006" s="25"/>
      <c r="Z4006" s="25"/>
    </row>
    <row r="4007" spans="1:26" ht="15.75" customHeight="1" x14ac:dyDescent="0.45">
      <c r="A4007" s="25"/>
      <c r="B4007" s="25"/>
      <c r="C4007" s="25"/>
      <c r="D4007" s="25"/>
      <c r="E4007" s="25"/>
      <c r="F4007" s="25"/>
      <c r="G4007" s="25"/>
      <c r="H4007" s="25"/>
      <c r="I4007" s="24" t="s">
        <v>418</v>
      </c>
      <c r="J4007" s="25"/>
      <c r="K4007" s="25"/>
      <c r="L4007" s="25"/>
      <c r="M4007" s="25"/>
      <c r="N4007" s="25"/>
      <c r="O4007" s="25"/>
      <c r="P4007" s="25"/>
      <c r="Q4007" s="25"/>
      <c r="R4007" s="25"/>
      <c r="S4007" s="25"/>
      <c r="T4007" s="25"/>
      <c r="U4007" s="25"/>
      <c r="V4007" s="25"/>
      <c r="W4007" s="25"/>
      <c r="X4007" s="25"/>
      <c r="Y4007" s="25"/>
      <c r="Z4007" s="25"/>
    </row>
    <row r="4008" spans="1:26" ht="15.75" customHeight="1" x14ac:dyDescent="0.75">
      <c r="A4008" s="43" t="s">
        <v>0</v>
      </c>
      <c r="B4008" s="40"/>
      <c r="C4008" s="40"/>
      <c r="D4008" s="40"/>
      <c r="E4008" s="40"/>
      <c r="F4008" s="40"/>
      <c r="G4008" s="40"/>
      <c r="H4008" s="41"/>
      <c r="I4008" s="24" t="s">
        <v>418</v>
      </c>
      <c r="J4008" s="25"/>
      <c r="K4008" s="25"/>
      <c r="L4008" s="25"/>
      <c r="M4008" s="25"/>
      <c r="N4008" s="25"/>
      <c r="O4008" s="25"/>
      <c r="P4008" s="25"/>
      <c r="Q4008" s="25"/>
      <c r="R4008" s="25"/>
      <c r="S4008" s="25"/>
      <c r="T4008" s="25"/>
      <c r="U4008" s="25"/>
      <c r="V4008" s="25"/>
      <c r="W4008" s="25"/>
      <c r="X4008" s="25"/>
      <c r="Y4008" s="25"/>
      <c r="Z4008" s="25"/>
    </row>
    <row r="4009" spans="1:26" ht="15.75" customHeight="1" x14ac:dyDescent="0.75">
      <c r="A4009" s="43" t="s">
        <v>651</v>
      </c>
      <c r="B4009" s="40"/>
      <c r="C4009" s="40"/>
      <c r="D4009" s="40"/>
      <c r="E4009" s="40"/>
      <c r="F4009" s="40"/>
      <c r="G4009" s="40"/>
      <c r="H4009" s="41"/>
      <c r="I4009" s="24" t="s">
        <v>418</v>
      </c>
      <c r="J4009" s="25"/>
      <c r="K4009" s="25"/>
      <c r="L4009" s="25"/>
      <c r="M4009" s="25"/>
      <c r="N4009" s="25"/>
      <c r="O4009" s="25"/>
      <c r="P4009" s="25"/>
      <c r="Q4009" s="25"/>
      <c r="R4009" s="25"/>
      <c r="S4009" s="25"/>
      <c r="T4009" s="25"/>
      <c r="U4009" s="25"/>
      <c r="V4009" s="25"/>
      <c r="W4009" s="25"/>
      <c r="X4009" s="25"/>
      <c r="Y4009" s="25"/>
      <c r="Z4009" s="25"/>
    </row>
    <row r="4010" spans="1:26" ht="15.75" customHeight="1" x14ac:dyDescent="0.55000000000000004">
      <c r="A4010" s="2" t="s">
        <v>3</v>
      </c>
      <c r="B4010" s="2" t="s">
        <v>4</v>
      </c>
      <c r="C4010" s="2" t="s">
        <v>5</v>
      </c>
      <c r="D4010" s="2" t="s">
        <v>6</v>
      </c>
      <c r="E4010" s="2" t="s">
        <v>7</v>
      </c>
      <c r="F4010" s="3" t="s">
        <v>8</v>
      </c>
      <c r="G4010" s="2" t="s">
        <v>9</v>
      </c>
      <c r="H4010" s="26"/>
      <c r="I4010" s="24" t="s">
        <v>418</v>
      </c>
      <c r="J4010" s="25"/>
      <c r="K4010" s="25"/>
      <c r="L4010" s="25"/>
      <c r="M4010" s="25"/>
      <c r="N4010" s="25"/>
      <c r="O4010" s="25"/>
      <c r="P4010" s="25"/>
      <c r="Q4010" s="25"/>
      <c r="R4010" s="25"/>
      <c r="S4010" s="25"/>
      <c r="T4010" s="25"/>
      <c r="U4010" s="25"/>
      <c r="V4010" s="25"/>
      <c r="W4010" s="25"/>
      <c r="X4010" s="25"/>
      <c r="Y4010" s="25"/>
      <c r="Z4010" s="25"/>
    </row>
    <row r="4011" spans="1:26" ht="15.75" customHeight="1" x14ac:dyDescent="0.75">
      <c r="A4011" s="5">
        <v>1</v>
      </c>
      <c r="B4011" s="27" t="s">
        <v>68</v>
      </c>
      <c r="C4011" s="28" t="s">
        <v>543</v>
      </c>
      <c r="D4011" s="27" t="s">
        <v>12</v>
      </c>
      <c r="E4011" s="27">
        <v>2.33</v>
      </c>
      <c r="F4011" s="8">
        <v>293000</v>
      </c>
      <c r="G4011" s="9">
        <f t="shared" ref="G4011:G4013" si="250">IFERROR(E4011*F4011,0)</f>
        <v>682690</v>
      </c>
      <c r="H4011" s="29"/>
      <c r="I4011" s="24" t="s">
        <v>418</v>
      </c>
      <c r="J4011" s="25"/>
      <c r="K4011" s="25"/>
      <c r="L4011" s="25"/>
      <c r="M4011" s="25"/>
      <c r="N4011" s="25"/>
      <c r="O4011" s="25"/>
      <c r="P4011" s="25"/>
      <c r="Q4011" s="25"/>
      <c r="R4011" s="25"/>
      <c r="S4011" s="25"/>
      <c r="T4011" s="25"/>
      <c r="U4011" s="25"/>
      <c r="V4011" s="25"/>
      <c r="W4011" s="25"/>
      <c r="X4011" s="25"/>
      <c r="Y4011" s="25"/>
      <c r="Z4011" s="25"/>
    </row>
    <row r="4012" spans="1:26" ht="15.75" customHeight="1" x14ac:dyDescent="0.75">
      <c r="A4012" s="5">
        <v>2</v>
      </c>
      <c r="B4012" s="30" t="s">
        <v>103</v>
      </c>
      <c r="C4012" s="31" t="s">
        <v>652</v>
      </c>
      <c r="D4012" s="30" t="s">
        <v>14</v>
      </c>
      <c r="E4012" s="30">
        <v>1.27</v>
      </c>
      <c r="F4012" s="11">
        <v>435000</v>
      </c>
      <c r="G4012" s="9">
        <f t="shared" si="250"/>
        <v>552450</v>
      </c>
      <c r="H4012" s="29"/>
      <c r="I4012" s="24" t="s">
        <v>418</v>
      </c>
      <c r="J4012" s="25"/>
      <c r="K4012" s="25"/>
      <c r="L4012" s="25"/>
      <c r="M4012" s="25"/>
      <c r="N4012" s="25"/>
      <c r="O4012" s="25"/>
      <c r="P4012" s="25"/>
      <c r="Q4012" s="25"/>
      <c r="R4012" s="25"/>
      <c r="S4012" s="25"/>
      <c r="T4012" s="25"/>
      <c r="U4012" s="25"/>
      <c r="V4012" s="25"/>
      <c r="W4012" s="25"/>
      <c r="X4012" s="25"/>
      <c r="Y4012" s="25"/>
      <c r="Z4012" s="25"/>
    </row>
    <row r="4013" spans="1:26" ht="15.75" customHeight="1" x14ac:dyDescent="0.75">
      <c r="A4013" s="5">
        <v>3</v>
      </c>
      <c r="B4013" s="12" t="s">
        <v>15</v>
      </c>
      <c r="C4013" s="29"/>
      <c r="D4013" s="29"/>
      <c r="E4013" s="29"/>
      <c r="F4013" s="29"/>
      <c r="G4013" s="13">
        <f t="shared" si="250"/>
        <v>0</v>
      </c>
      <c r="H4013" s="29"/>
      <c r="I4013" s="24" t="s">
        <v>418</v>
      </c>
      <c r="J4013" s="25"/>
      <c r="K4013" s="25"/>
      <c r="L4013" s="25"/>
      <c r="M4013" s="25"/>
      <c r="N4013" s="25"/>
      <c r="O4013" s="25"/>
      <c r="P4013" s="25"/>
      <c r="Q4013" s="25"/>
      <c r="R4013" s="25"/>
      <c r="S4013" s="25"/>
      <c r="T4013" s="25"/>
      <c r="U4013" s="25"/>
      <c r="V4013" s="25"/>
      <c r="W4013" s="25"/>
      <c r="X4013" s="25"/>
      <c r="Y4013" s="25"/>
      <c r="Z4013" s="25"/>
    </row>
    <row r="4014" spans="1:26" ht="15.75" customHeight="1" x14ac:dyDescent="0.75">
      <c r="A4014" s="39" t="s">
        <v>16</v>
      </c>
      <c r="B4014" s="40"/>
      <c r="C4014" s="40"/>
      <c r="D4014" s="40"/>
      <c r="E4014" s="40"/>
      <c r="F4014" s="40"/>
      <c r="G4014" s="41"/>
      <c r="H4014" s="14">
        <f>SUM(G4011:G4013)</f>
        <v>1235140</v>
      </c>
      <c r="I4014" s="24" t="s">
        <v>418</v>
      </c>
      <c r="J4014" s="25"/>
      <c r="K4014" s="25"/>
      <c r="L4014" s="25"/>
      <c r="M4014" s="25"/>
      <c r="N4014" s="25"/>
      <c r="O4014" s="25"/>
      <c r="P4014" s="25"/>
      <c r="Q4014" s="25"/>
      <c r="R4014" s="25"/>
      <c r="S4014" s="25"/>
      <c r="T4014" s="25"/>
      <c r="U4014" s="25"/>
      <c r="V4014" s="25"/>
      <c r="W4014" s="25"/>
      <c r="X4014" s="25"/>
      <c r="Y4014" s="25"/>
      <c r="Z4014" s="25"/>
    </row>
    <row r="4015" spans="1:26" ht="15.75" customHeight="1" x14ac:dyDescent="0.75">
      <c r="A4015" s="39" t="s">
        <v>17</v>
      </c>
      <c r="B4015" s="40"/>
      <c r="C4015" s="40"/>
      <c r="D4015" s="40"/>
      <c r="E4015" s="40"/>
      <c r="F4015" s="40"/>
      <c r="G4015" s="41"/>
      <c r="H4015" s="14">
        <f>MAX(0,H4014-648000)</f>
        <v>587140</v>
      </c>
      <c r="I4015" s="24" t="s">
        <v>418</v>
      </c>
      <c r="J4015" s="25"/>
      <c r="K4015" s="25"/>
      <c r="L4015" s="25"/>
      <c r="M4015" s="25"/>
      <c r="N4015" s="25"/>
      <c r="O4015" s="25"/>
      <c r="P4015" s="25"/>
      <c r="Q4015" s="25"/>
      <c r="R4015" s="25"/>
      <c r="S4015" s="25"/>
      <c r="T4015" s="25"/>
      <c r="U4015" s="25"/>
      <c r="V4015" s="25"/>
      <c r="W4015" s="25"/>
      <c r="X4015" s="25"/>
      <c r="Y4015" s="25"/>
      <c r="Z4015" s="25"/>
    </row>
    <row r="4016" spans="1:26" ht="15.75" customHeight="1" x14ac:dyDescent="0.75">
      <c r="A4016" s="42" t="s">
        <v>18</v>
      </c>
      <c r="B4016" s="40"/>
      <c r="C4016" s="40"/>
      <c r="D4016" s="40"/>
      <c r="E4016" s="40"/>
      <c r="F4016" s="40"/>
      <c r="G4016" s="41"/>
      <c r="H4016" s="15">
        <v>649000</v>
      </c>
      <c r="I4016" s="24" t="s">
        <v>418</v>
      </c>
      <c r="J4016" s="25"/>
      <c r="K4016" s="25"/>
      <c r="L4016" s="25"/>
      <c r="M4016" s="25"/>
      <c r="N4016" s="25"/>
      <c r="O4016" s="25"/>
      <c r="P4016" s="25"/>
      <c r="Q4016" s="25"/>
      <c r="R4016" s="25"/>
      <c r="S4016" s="25"/>
      <c r="T4016" s="25"/>
      <c r="U4016" s="25"/>
      <c r="V4016" s="25"/>
      <c r="W4016" s="25"/>
      <c r="X4016" s="25"/>
      <c r="Y4016" s="25"/>
      <c r="Z4016" s="25"/>
    </row>
    <row r="4017" spans="1:26" ht="15.75" customHeight="1" x14ac:dyDescent="0.75">
      <c r="A4017" s="43" t="s">
        <v>19</v>
      </c>
      <c r="B4017" s="40"/>
      <c r="C4017" s="40"/>
      <c r="D4017" s="40"/>
      <c r="E4017" s="40"/>
      <c r="F4017" s="40"/>
      <c r="G4017" s="40"/>
      <c r="H4017" s="41"/>
      <c r="I4017" s="24" t="s">
        <v>418</v>
      </c>
      <c r="J4017" s="25"/>
      <c r="K4017" s="25"/>
      <c r="L4017" s="25"/>
      <c r="M4017" s="25"/>
      <c r="N4017" s="25"/>
      <c r="O4017" s="25"/>
      <c r="P4017" s="25"/>
      <c r="Q4017" s="25"/>
      <c r="R4017" s="25"/>
      <c r="S4017" s="25"/>
      <c r="T4017" s="25"/>
      <c r="U4017" s="25"/>
      <c r="V4017" s="25"/>
      <c r="W4017" s="25"/>
      <c r="X4017" s="25"/>
      <c r="Y4017" s="25"/>
      <c r="Z4017" s="25"/>
    </row>
    <row r="4018" spans="1:26" ht="15.75" customHeight="1" x14ac:dyDescent="0.45">
      <c r="A4018" s="25"/>
      <c r="B4018" s="25"/>
      <c r="C4018" s="25"/>
      <c r="D4018" s="25"/>
      <c r="E4018" s="25"/>
      <c r="F4018" s="25"/>
      <c r="G4018" s="25"/>
      <c r="H4018" s="25"/>
      <c r="I4018" s="24" t="s">
        <v>418</v>
      </c>
      <c r="J4018" s="25"/>
      <c r="K4018" s="25"/>
      <c r="L4018" s="25"/>
      <c r="M4018" s="25"/>
      <c r="N4018" s="25"/>
      <c r="O4018" s="25"/>
      <c r="P4018" s="25"/>
      <c r="Q4018" s="25"/>
      <c r="R4018" s="25"/>
      <c r="S4018" s="25"/>
      <c r="T4018" s="25"/>
      <c r="U4018" s="25"/>
      <c r="V4018" s="25"/>
      <c r="W4018" s="25"/>
      <c r="X4018" s="25"/>
      <c r="Y4018" s="25"/>
      <c r="Z4018" s="25"/>
    </row>
    <row r="4019" spans="1:26" ht="15.75" customHeight="1" x14ac:dyDescent="0.45">
      <c r="A4019" s="25"/>
      <c r="B4019" s="25"/>
      <c r="C4019" s="25"/>
      <c r="D4019" s="25"/>
      <c r="E4019" s="25"/>
      <c r="F4019" s="25"/>
      <c r="G4019" s="25"/>
      <c r="H4019" s="25"/>
      <c r="I4019" s="24" t="s">
        <v>418</v>
      </c>
      <c r="J4019" s="25"/>
      <c r="K4019" s="25"/>
      <c r="L4019" s="25"/>
      <c r="M4019" s="25"/>
      <c r="N4019" s="25"/>
      <c r="O4019" s="25"/>
      <c r="P4019" s="25"/>
      <c r="Q4019" s="25"/>
      <c r="R4019" s="25"/>
      <c r="S4019" s="25"/>
      <c r="T4019" s="25"/>
      <c r="U4019" s="25"/>
      <c r="V4019" s="25"/>
      <c r="W4019" s="25"/>
      <c r="X4019" s="25"/>
      <c r="Y4019" s="25"/>
      <c r="Z4019" s="25"/>
    </row>
    <row r="4020" spans="1:26" ht="15.75" customHeight="1" x14ac:dyDescent="0.45">
      <c r="A4020" s="25"/>
      <c r="B4020" s="25"/>
      <c r="C4020" s="25"/>
      <c r="D4020" s="25"/>
      <c r="E4020" s="25"/>
      <c r="F4020" s="25"/>
      <c r="G4020" s="25"/>
      <c r="H4020" s="25"/>
      <c r="I4020" s="24" t="s">
        <v>418</v>
      </c>
      <c r="J4020" s="25"/>
      <c r="K4020" s="25"/>
      <c r="L4020" s="25"/>
      <c r="M4020" s="25"/>
      <c r="N4020" s="25"/>
      <c r="O4020" s="25"/>
      <c r="P4020" s="25"/>
      <c r="Q4020" s="25"/>
      <c r="R4020" s="25"/>
      <c r="S4020" s="25"/>
      <c r="T4020" s="25"/>
      <c r="U4020" s="25"/>
      <c r="V4020" s="25"/>
      <c r="W4020" s="25"/>
      <c r="X4020" s="25"/>
      <c r="Y4020" s="25"/>
      <c r="Z4020" s="25"/>
    </row>
    <row r="4021" spans="1:26" ht="15.75" customHeight="1" x14ac:dyDescent="0.45">
      <c r="A4021" s="25"/>
      <c r="B4021" s="25"/>
      <c r="C4021" s="25"/>
      <c r="D4021" s="25"/>
      <c r="E4021" s="25"/>
      <c r="F4021" s="25"/>
      <c r="G4021" s="25"/>
      <c r="H4021" s="25"/>
      <c r="I4021" s="24" t="s">
        <v>418</v>
      </c>
      <c r="J4021" s="25"/>
      <c r="K4021" s="25"/>
      <c r="L4021" s="25"/>
      <c r="M4021" s="25"/>
      <c r="N4021" s="25"/>
      <c r="O4021" s="25"/>
      <c r="P4021" s="25"/>
      <c r="Q4021" s="25"/>
      <c r="R4021" s="25"/>
      <c r="S4021" s="25"/>
      <c r="T4021" s="25"/>
      <c r="U4021" s="25"/>
      <c r="V4021" s="25"/>
      <c r="W4021" s="25"/>
      <c r="X4021" s="25"/>
      <c r="Y4021" s="25"/>
      <c r="Z4021" s="25"/>
    </row>
    <row r="4022" spans="1:26" ht="15.75" customHeight="1" x14ac:dyDescent="0.45">
      <c r="A4022" s="25"/>
      <c r="B4022" s="25"/>
      <c r="C4022" s="25"/>
      <c r="D4022" s="25"/>
      <c r="E4022" s="25"/>
      <c r="F4022" s="25"/>
      <c r="G4022" s="25"/>
      <c r="H4022" s="25"/>
      <c r="I4022" s="24" t="s">
        <v>418</v>
      </c>
      <c r="J4022" s="25"/>
      <c r="K4022" s="25"/>
      <c r="L4022" s="25"/>
      <c r="M4022" s="25"/>
      <c r="N4022" s="25"/>
      <c r="O4022" s="25"/>
      <c r="P4022" s="25"/>
      <c r="Q4022" s="25"/>
      <c r="R4022" s="25"/>
      <c r="S4022" s="25"/>
      <c r="T4022" s="25"/>
      <c r="U4022" s="25"/>
      <c r="V4022" s="25"/>
      <c r="W4022" s="25"/>
      <c r="X4022" s="25"/>
      <c r="Y4022" s="25"/>
      <c r="Z4022" s="25"/>
    </row>
    <row r="4023" spans="1:26" ht="15.75" customHeight="1" x14ac:dyDescent="0.45">
      <c r="A4023" s="25"/>
      <c r="B4023" s="25"/>
      <c r="C4023" s="25"/>
      <c r="D4023" s="25"/>
      <c r="E4023" s="25"/>
      <c r="F4023" s="25"/>
      <c r="G4023" s="25"/>
      <c r="H4023" s="25"/>
      <c r="I4023" s="24" t="s">
        <v>418</v>
      </c>
      <c r="J4023" s="25"/>
      <c r="K4023" s="25"/>
      <c r="L4023" s="25"/>
      <c r="M4023" s="25"/>
      <c r="N4023" s="25"/>
      <c r="O4023" s="25"/>
      <c r="P4023" s="25"/>
      <c r="Q4023" s="25"/>
      <c r="R4023" s="25"/>
      <c r="S4023" s="25"/>
      <c r="T4023" s="25"/>
      <c r="U4023" s="25"/>
      <c r="V4023" s="25"/>
      <c r="W4023" s="25"/>
      <c r="X4023" s="25"/>
      <c r="Y4023" s="25"/>
      <c r="Z4023" s="25"/>
    </row>
    <row r="4024" spans="1:26" ht="15.75" customHeight="1" x14ac:dyDescent="0.75">
      <c r="A4024" s="43" t="s">
        <v>0</v>
      </c>
      <c r="B4024" s="40"/>
      <c r="C4024" s="40"/>
      <c r="D4024" s="40"/>
      <c r="E4024" s="40"/>
      <c r="F4024" s="40"/>
      <c r="G4024" s="40"/>
      <c r="H4024" s="41"/>
      <c r="I4024" s="24" t="s">
        <v>418</v>
      </c>
      <c r="J4024" s="25"/>
      <c r="K4024" s="25"/>
      <c r="L4024" s="25"/>
      <c r="M4024" s="25"/>
      <c r="N4024" s="25"/>
      <c r="O4024" s="25"/>
      <c r="P4024" s="25"/>
      <c r="Q4024" s="25"/>
      <c r="R4024" s="25"/>
      <c r="S4024" s="25"/>
      <c r="T4024" s="25"/>
      <c r="U4024" s="25"/>
      <c r="V4024" s="25"/>
      <c r="W4024" s="25"/>
      <c r="X4024" s="25"/>
      <c r="Y4024" s="25"/>
      <c r="Z4024" s="25"/>
    </row>
    <row r="4025" spans="1:26" ht="15.75" customHeight="1" x14ac:dyDescent="0.75">
      <c r="A4025" s="43" t="s">
        <v>653</v>
      </c>
      <c r="B4025" s="40"/>
      <c r="C4025" s="40"/>
      <c r="D4025" s="40"/>
      <c r="E4025" s="40"/>
      <c r="F4025" s="40"/>
      <c r="G4025" s="40"/>
      <c r="H4025" s="41"/>
      <c r="I4025" s="24" t="s">
        <v>418</v>
      </c>
      <c r="J4025" s="25"/>
      <c r="K4025" s="25"/>
      <c r="L4025" s="25"/>
      <c r="M4025" s="25"/>
      <c r="N4025" s="25"/>
      <c r="O4025" s="25"/>
      <c r="P4025" s="25"/>
      <c r="Q4025" s="25"/>
      <c r="R4025" s="25"/>
      <c r="S4025" s="25"/>
      <c r="T4025" s="25"/>
      <c r="U4025" s="25"/>
      <c r="V4025" s="25"/>
      <c r="W4025" s="25"/>
      <c r="X4025" s="25"/>
      <c r="Y4025" s="25"/>
      <c r="Z4025" s="25"/>
    </row>
    <row r="4026" spans="1:26" ht="15.75" customHeight="1" x14ac:dyDescent="0.55000000000000004">
      <c r="A4026" s="2" t="s">
        <v>3</v>
      </c>
      <c r="B4026" s="2" t="s">
        <v>4</v>
      </c>
      <c r="C4026" s="2" t="s">
        <v>5</v>
      </c>
      <c r="D4026" s="2" t="s">
        <v>6</v>
      </c>
      <c r="E4026" s="2" t="s">
        <v>7</v>
      </c>
      <c r="F4026" s="3" t="s">
        <v>8</v>
      </c>
      <c r="G4026" s="2" t="s">
        <v>9</v>
      </c>
      <c r="H4026" s="26"/>
      <c r="I4026" s="24" t="s">
        <v>418</v>
      </c>
      <c r="J4026" s="25"/>
      <c r="K4026" s="25"/>
      <c r="L4026" s="25"/>
      <c r="M4026" s="25"/>
      <c r="N4026" s="25"/>
      <c r="O4026" s="25"/>
      <c r="P4026" s="25"/>
      <c r="Q4026" s="25"/>
      <c r="R4026" s="25"/>
      <c r="S4026" s="25"/>
      <c r="T4026" s="25"/>
      <c r="U4026" s="25"/>
      <c r="V4026" s="25"/>
      <c r="W4026" s="25"/>
      <c r="X4026" s="25"/>
      <c r="Y4026" s="25"/>
      <c r="Z4026" s="25"/>
    </row>
    <row r="4027" spans="1:26" ht="15.75" customHeight="1" x14ac:dyDescent="0.75">
      <c r="A4027" s="5">
        <v>1</v>
      </c>
      <c r="B4027" s="27" t="s">
        <v>31</v>
      </c>
      <c r="C4027" s="28" t="s">
        <v>519</v>
      </c>
      <c r="D4027" s="27" t="s">
        <v>12</v>
      </c>
      <c r="E4027" s="27">
        <v>2</v>
      </c>
      <c r="F4027" s="8">
        <v>293000</v>
      </c>
      <c r="G4027" s="9">
        <f t="shared" ref="G4027:G4029" si="251">IFERROR(E4027*F4027,0)</f>
        <v>586000</v>
      </c>
      <c r="H4027" s="29"/>
      <c r="I4027" s="24" t="s">
        <v>418</v>
      </c>
      <c r="J4027" s="25"/>
      <c r="K4027" s="25"/>
      <c r="L4027" s="25"/>
      <c r="M4027" s="25"/>
      <c r="N4027" s="25"/>
      <c r="O4027" s="25"/>
      <c r="P4027" s="25"/>
      <c r="Q4027" s="25"/>
      <c r="R4027" s="25"/>
      <c r="S4027" s="25"/>
      <c r="T4027" s="25"/>
      <c r="U4027" s="25"/>
      <c r="V4027" s="25"/>
      <c r="W4027" s="25"/>
      <c r="X4027" s="25"/>
      <c r="Y4027" s="25"/>
      <c r="Z4027" s="25"/>
    </row>
    <row r="4028" spans="1:26" ht="15.75" customHeight="1" x14ac:dyDescent="0.75">
      <c r="A4028" s="5">
        <v>2</v>
      </c>
      <c r="B4028" s="30" t="s">
        <v>654</v>
      </c>
      <c r="C4028" s="31" t="s">
        <v>655</v>
      </c>
      <c r="D4028" s="30" t="s">
        <v>14</v>
      </c>
      <c r="E4028" s="30">
        <v>1.44</v>
      </c>
      <c r="F4028" s="11">
        <v>435000</v>
      </c>
      <c r="G4028" s="9">
        <f t="shared" si="251"/>
        <v>626400</v>
      </c>
      <c r="H4028" s="29"/>
      <c r="I4028" s="24" t="s">
        <v>418</v>
      </c>
      <c r="J4028" s="25"/>
      <c r="K4028" s="25"/>
      <c r="L4028" s="25"/>
      <c r="M4028" s="25"/>
      <c r="N4028" s="25"/>
      <c r="O4028" s="25"/>
      <c r="P4028" s="25"/>
      <c r="Q4028" s="25"/>
      <c r="R4028" s="25"/>
      <c r="S4028" s="25"/>
      <c r="T4028" s="25"/>
      <c r="U4028" s="25"/>
      <c r="V4028" s="25"/>
      <c r="W4028" s="25"/>
      <c r="X4028" s="25"/>
      <c r="Y4028" s="25"/>
      <c r="Z4028" s="25"/>
    </row>
    <row r="4029" spans="1:26" ht="15.75" customHeight="1" x14ac:dyDescent="0.75">
      <c r="A4029" s="5">
        <v>3</v>
      </c>
      <c r="B4029" s="12" t="s">
        <v>15</v>
      </c>
      <c r="C4029" s="29"/>
      <c r="D4029" s="29"/>
      <c r="E4029" s="29"/>
      <c r="F4029" s="29"/>
      <c r="G4029" s="13">
        <f t="shared" si="251"/>
        <v>0</v>
      </c>
      <c r="H4029" s="29"/>
      <c r="I4029" s="24" t="s">
        <v>418</v>
      </c>
      <c r="J4029" s="25"/>
      <c r="K4029" s="25"/>
      <c r="L4029" s="25"/>
      <c r="M4029" s="25"/>
      <c r="N4029" s="25"/>
      <c r="O4029" s="25"/>
      <c r="P4029" s="25"/>
      <c r="Q4029" s="25"/>
      <c r="R4029" s="25"/>
      <c r="S4029" s="25"/>
      <c r="T4029" s="25"/>
      <c r="U4029" s="25"/>
      <c r="V4029" s="25"/>
      <c r="W4029" s="25"/>
      <c r="X4029" s="25"/>
      <c r="Y4029" s="25"/>
      <c r="Z4029" s="25"/>
    </row>
    <row r="4030" spans="1:26" ht="15.75" customHeight="1" x14ac:dyDescent="0.75">
      <c r="A4030" s="39" t="s">
        <v>16</v>
      </c>
      <c r="B4030" s="40"/>
      <c r="C4030" s="40"/>
      <c r="D4030" s="40"/>
      <c r="E4030" s="40"/>
      <c r="F4030" s="40"/>
      <c r="G4030" s="41"/>
      <c r="H4030" s="14">
        <f>SUM(G4027:G4029)</f>
        <v>1212400</v>
      </c>
      <c r="I4030" s="24" t="s">
        <v>418</v>
      </c>
      <c r="J4030" s="25"/>
      <c r="K4030" s="25"/>
      <c r="L4030" s="25"/>
      <c r="M4030" s="25"/>
      <c r="N4030" s="25"/>
      <c r="O4030" s="25"/>
      <c r="P4030" s="25"/>
      <c r="Q4030" s="25"/>
      <c r="R4030" s="25"/>
      <c r="S4030" s="25"/>
      <c r="T4030" s="25"/>
      <c r="U4030" s="25"/>
      <c r="V4030" s="25"/>
      <c r="W4030" s="25"/>
      <c r="X4030" s="25"/>
      <c r="Y4030" s="25"/>
      <c r="Z4030" s="25"/>
    </row>
    <row r="4031" spans="1:26" ht="15.75" customHeight="1" x14ac:dyDescent="0.75">
      <c r="A4031" s="39" t="s">
        <v>17</v>
      </c>
      <c r="B4031" s="40"/>
      <c r="C4031" s="40"/>
      <c r="D4031" s="40"/>
      <c r="E4031" s="40"/>
      <c r="F4031" s="40"/>
      <c r="G4031" s="41"/>
      <c r="H4031" s="14">
        <f>MAX(0,H4030-648000)</f>
        <v>564400</v>
      </c>
      <c r="I4031" s="24" t="s">
        <v>418</v>
      </c>
      <c r="J4031" s="25"/>
      <c r="K4031" s="25"/>
      <c r="L4031" s="25"/>
      <c r="M4031" s="25"/>
      <c r="N4031" s="25"/>
      <c r="O4031" s="25"/>
      <c r="P4031" s="25"/>
      <c r="Q4031" s="25"/>
      <c r="R4031" s="25"/>
      <c r="S4031" s="25"/>
      <c r="T4031" s="25"/>
      <c r="U4031" s="25"/>
      <c r="V4031" s="25"/>
      <c r="W4031" s="25"/>
      <c r="X4031" s="25"/>
      <c r="Y4031" s="25"/>
      <c r="Z4031" s="25"/>
    </row>
    <row r="4032" spans="1:26" ht="15.75" customHeight="1" x14ac:dyDescent="0.75">
      <c r="A4032" s="42" t="s">
        <v>18</v>
      </c>
      <c r="B4032" s="40"/>
      <c r="C4032" s="40"/>
      <c r="D4032" s="40"/>
      <c r="E4032" s="40"/>
      <c r="F4032" s="40"/>
      <c r="G4032" s="41"/>
      <c r="H4032" s="15">
        <v>649000</v>
      </c>
      <c r="I4032" s="24" t="s">
        <v>418</v>
      </c>
      <c r="J4032" s="25"/>
      <c r="K4032" s="25"/>
      <c r="L4032" s="25"/>
      <c r="M4032" s="25"/>
      <c r="N4032" s="25"/>
      <c r="O4032" s="25"/>
      <c r="P4032" s="25"/>
      <c r="Q4032" s="25"/>
      <c r="R4032" s="25"/>
      <c r="S4032" s="25"/>
      <c r="T4032" s="25"/>
      <c r="U4032" s="25"/>
      <c r="V4032" s="25"/>
      <c r="W4032" s="25"/>
      <c r="X4032" s="25"/>
      <c r="Y4032" s="25"/>
      <c r="Z4032" s="25"/>
    </row>
    <row r="4033" spans="1:26" ht="15.75" customHeight="1" x14ac:dyDescent="0.75">
      <c r="A4033" s="43" t="s">
        <v>19</v>
      </c>
      <c r="B4033" s="40"/>
      <c r="C4033" s="40"/>
      <c r="D4033" s="40"/>
      <c r="E4033" s="40"/>
      <c r="F4033" s="40"/>
      <c r="G4033" s="40"/>
      <c r="H4033" s="41"/>
      <c r="I4033" s="24" t="s">
        <v>418</v>
      </c>
      <c r="J4033" s="25"/>
      <c r="K4033" s="25"/>
      <c r="L4033" s="25"/>
      <c r="M4033" s="25"/>
      <c r="N4033" s="25"/>
      <c r="O4033" s="25"/>
      <c r="P4033" s="25"/>
      <c r="Q4033" s="25"/>
      <c r="R4033" s="25"/>
      <c r="S4033" s="25"/>
      <c r="T4033" s="25"/>
      <c r="U4033" s="25"/>
      <c r="V4033" s="25"/>
      <c r="W4033" s="25"/>
      <c r="X4033" s="25"/>
      <c r="Y4033" s="25"/>
      <c r="Z4033" s="25"/>
    </row>
    <row r="4034" spans="1:26" ht="15.75" customHeight="1" x14ac:dyDescent="0.45">
      <c r="A4034" s="25"/>
      <c r="B4034" s="25"/>
      <c r="C4034" s="25"/>
      <c r="D4034" s="25"/>
      <c r="E4034" s="25"/>
      <c r="F4034" s="25"/>
      <c r="G4034" s="25"/>
      <c r="H4034" s="25"/>
      <c r="I4034" s="24" t="s">
        <v>418</v>
      </c>
      <c r="J4034" s="25"/>
      <c r="K4034" s="25"/>
      <c r="L4034" s="25"/>
      <c r="M4034" s="25"/>
      <c r="N4034" s="25"/>
      <c r="O4034" s="25"/>
      <c r="P4034" s="25"/>
      <c r="Q4034" s="25"/>
      <c r="R4034" s="25"/>
      <c r="S4034" s="25"/>
      <c r="T4034" s="25"/>
      <c r="U4034" s="25"/>
      <c r="V4034" s="25"/>
      <c r="W4034" s="25"/>
      <c r="X4034" s="25"/>
      <c r="Y4034" s="25"/>
      <c r="Z4034" s="25"/>
    </row>
    <row r="4035" spans="1:26" ht="15.75" customHeight="1" x14ac:dyDescent="0.45">
      <c r="A4035" s="25"/>
      <c r="B4035" s="25"/>
      <c r="C4035" s="25"/>
      <c r="D4035" s="25"/>
      <c r="E4035" s="25"/>
      <c r="F4035" s="25"/>
      <c r="G4035" s="25"/>
      <c r="H4035" s="25"/>
      <c r="I4035" s="24" t="s">
        <v>418</v>
      </c>
      <c r="J4035" s="25"/>
      <c r="K4035" s="25"/>
      <c r="L4035" s="25"/>
      <c r="M4035" s="25"/>
      <c r="N4035" s="25"/>
      <c r="O4035" s="25"/>
      <c r="P4035" s="25"/>
      <c r="Q4035" s="25"/>
      <c r="R4035" s="25"/>
      <c r="S4035" s="25"/>
      <c r="T4035" s="25"/>
      <c r="U4035" s="25"/>
      <c r="V4035" s="25"/>
      <c r="W4035" s="25"/>
      <c r="X4035" s="25"/>
      <c r="Y4035" s="25"/>
      <c r="Z4035" s="25"/>
    </row>
    <row r="4036" spans="1:26" ht="15.75" customHeight="1" x14ac:dyDescent="0.45">
      <c r="A4036" s="25"/>
      <c r="B4036" s="25"/>
      <c r="C4036" s="25"/>
      <c r="D4036" s="25"/>
      <c r="E4036" s="25"/>
      <c r="F4036" s="25"/>
      <c r="G4036" s="25"/>
      <c r="H4036" s="25"/>
      <c r="I4036" s="24" t="s">
        <v>418</v>
      </c>
      <c r="J4036" s="25"/>
      <c r="K4036" s="25"/>
      <c r="L4036" s="25"/>
      <c r="M4036" s="25"/>
      <c r="N4036" s="25"/>
      <c r="O4036" s="25"/>
      <c r="P4036" s="25"/>
      <c r="Q4036" s="25"/>
      <c r="R4036" s="25"/>
      <c r="S4036" s="25"/>
      <c r="T4036" s="25"/>
      <c r="U4036" s="25"/>
      <c r="V4036" s="25"/>
      <c r="W4036" s="25"/>
      <c r="X4036" s="25"/>
      <c r="Y4036" s="25"/>
      <c r="Z4036" s="25"/>
    </row>
    <row r="4037" spans="1:26" ht="15.75" customHeight="1" x14ac:dyDescent="0.45">
      <c r="A4037" s="25"/>
      <c r="B4037" s="25"/>
      <c r="C4037" s="25"/>
      <c r="D4037" s="25"/>
      <c r="E4037" s="25"/>
      <c r="F4037" s="25"/>
      <c r="G4037" s="25"/>
      <c r="H4037" s="25"/>
      <c r="I4037" s="24" t="s">
        <v>418</v>
      </c>
      <c r="J4037" s="25"/>
      <c r="K4037" s="25"/>
      <c r="L4037" s="25"/>
      <c r="M4037" s="25"/>
      <c r="N4037" s="25"/>
      <c r="O4037" s="25"/>
      <c r="P4037" s="25"/>
      <c r="Q4037" s="25"/>
      <c r="R4037" s="25"/>
      <c r="S4037" s="25"/>
      <c r="T4037" s="25"/>
      <c r="U4037" s="25"/>
      <c r="V4037" s="25"/>
      <c r="W4037" s="25"/>
      <c r="X4037" s="25"/>
      <c r="Y4037" s="25"/>
      <c r="Z4037" s="25"/>
    </row>
    <row r="4038" spans="1:26" ht="15.75" customHeight="1" x14ac:dyDescent="0.45">
      <c r="A4038" s="25"/>
      <c r="B4038" s="25"/>
      <c r="C4038" s="25"/>
      <c r="D4038" s="25"/>
      <c r="E4038" s="25"/>
      <c r="F4038" s="25"/>
      <c r="G4038" s="25"/>
      <c r="H4038" s="25"/>
      <c r="I4038" s="24" t="s">
        <v>418</v>
      </c>
      <c r="J4038" s="25"/>
      <c r="K4038" s="25"/>
      <c r="L4038" s="25"/>
      <c r="M4038" s="25"/>
      <c r="N4038" s="25"/>
      <c r="O4038" s="25"/>
      <c r="P4038" s="25"/>
      <c r="Q4038" s="25"/>
      <c r="R4038" s="25"/>
      <c r="S4038" s="25"/>
      <c r="T4038" s="25"/>
      <c r="U4038" s="25"/>
      <c r="V4038" s="25"/>
      <c r="W4038" s="25"/>
      <c r="X4038" s="25"/>
      <c r="Y4038" s="25"/>
      <c r="Z4038" s="25"/>
    </row>
    <row r="4039" spans="1:26" ht="15.75" customHeight="1" x14ac:dyDescent="0.45">
      <c r="A4039" s="25"/>
      <c r="B4039" s="25"/>
      <c r="C4039" s="25"/>
      <c r="D4039" s="25"/>
      <c r="E4039" s="25"/>
      <c r="F4039" s="25"/>
      <c r="G4039" s="25"/>
      <c r="H4039" s="25"/>
      <c r="I4039" s="24" t="s">
        <v>418</v>
      </c>
      <c r="J4039" s="25"/>
      <c r="K4039" s="25"/>
      <c r="L4039" s="25"/>
      <c r="M4039" s="25"/>
      <c r="N4039" s="25"/>
      <c r="O4039" s="25"/>
      <c r="P4039" s="25"/>
      <c r="Q4039" s="25"/>
      <c r="R4039" s="25"/>
      <c r="S4039" s="25"/>
      <c r="T4039" s="25"/>
      <c r="U4039" s="25"/>
      <c r="V4039" s="25"/>
      <c r="W4039" s="25"/>
      <c r="X4039" s="25"/>
      <c r="Y4039" s="25"/>
      <c r="Z4039" s="25"/>
    </row>
    <row r="4040" spans="1:26" ht="15.75" customHeight="1" x14ac:dyDescent="0.75">
      <c r="A4040" s="43" t="s">
        <v>0</v>
      </c>
      <c r="B4040" s="40"/>
      <c r="C4040" s="40"/>
      <c r="D4040" s="40"/>
      <c r="E4040" s="40"/>
      <c r="F4040" s="40"/>
      <c r="G4040" s="40"/>
      <c r="H4040" s="41"/>
      <c r="I4040" s="24" t="s">
        <v>418</v>
      </c>
      <c r="J4040" s="25"/>
      <c r="K4040" s="25"/>
      <c r="L4040" s="25"/>
      <c r="M4040" s="25"/>
      <c r="N4040" s="25"/>
      <c r="O4040" s="25"/>
      <c r="P4040" s="25"/>
      <c r="Q4040" s="25"/>
      <c r="R4040" s="25"/>
      <c r="S4040" s="25"/>
      <c r="T4040" s="25"/>
      <c r="U4040" s="25"/>
      <c r="V4040" s="25"/>
      <c r="W4040" s="25"/>
      <c r="X4040" s="25"/>
      <c r="Y4040" s="25"/>
      <c r="Z4040" s="25"/>
    </row>
    <row r="4041" spans="1:26" ht="15.75" customHeight="1" x14ac:dyDescent="0.75">
      <c r="A4041" s="43" t="s">
        <v>656</v>
      </c>
      <c r="B4041" s="40"/>
      <c r="C4041" s="40"/>
      <c r="D4041" s="40"/>
      <c r="E4041" s="40"/>
      <c r="F4041" s="40"/>
      <c r="G4041" s="40"/>
      <c r="H4041" s="41"/>
      <c r="I4041" s="24" t="s">
        <v>418</v>
      </c>
      <c r="J4041" s="25"/>
      <c r="K4041" s="25"/>
      <c r="L4041" s="25"/>
      <c r="M4041" s="25"/>
      <c r="N4041" s="25"/>
      <c r="O4041" s="25"/>
      <c r="P4041" s="25"/>
      <c r="Q4041" s="25"/>
      <c r="R4041" s="25"/>
      <c r="S4041" s="25"/>
      <c r="T4041" s="25"/>
      <c r="U4041" s="25"/>
      <c r="V4041" s="25"/>
      <c r="W4041" s="25"/>
      <c r="X4041" s="25"/>
      <c r="Y4041" s="25"/>
      <c r="Z4041" s="25"/>
    </row>
    <row r="4042" spans="1:26" ht="15.75" customHeight="1" x14ac:dyDescent="0.55000000000000004">
      <c r="A4042" s="2" t="s">
        <v>3</v>
      </c>
      <c r="B4042" s="2" t="s">
        <v>4</v>
      </c>
      <c r="C4042" s="2" t="s">
        <v>5</v>
      </c>
      <c r="D4042" s="2" t="s">
        <v>6</v>
      </c>
      <c r="E4042" s="2" t="s">
        <v>7</v>
      </c>
      <c r="F4042" s="3" t="s">
        <v>8</v>
      </c>
      <c r="G4042" s="2" t="s">
        <v>9</v>
      </c>
      <c r="H4042" s="26"/>
      <c r="I4042" s="24" t="s">
        <v>418</v>
      </c>
      <c r="J4042" s="25"/>
      <c r="K4042" s="25"/>
      <c r="L4042" s="25"/>
      <c r="M4042" s="25"/>
      <c r="N4042" s="25"/>
      <c r="O4042" s="25"/>
      <c r="P4042" s="25"/>
      <c r="Q4042" s="25"/>
      <c r="R4042" s="25"/>
      <c r="S4042" s="25"/>
      <c r="T4042" s="25"/>
      <c r="U4042" s="25"/>
      <c r="V4042" s="25"/>
      <c r="W4042" s="25"/>
      <c r="X4042" s="25"/>
      <c r="Y4042" s="25"/>
      <c r="Z4042" s="25"/>
    </row>
    <row r="4043" spans="1:26" ht="15.75" customHeight="1" x14ac:dyDescent="0.75">
      <c r="A4043" s="5">
        <v>1</v>
      </c>
      <c r="B4043" s="27" t="s">
        <v>68</v>
      </c>
      <c r="C4043" s="28" t="s">
        <v>657</v>
      </c>
      <c r="D4043" s="27" t="s">
        <v>12</v>
      </c>
      <c r="E4043" s="27">
        <v>1.6</v>
      </c>
      <c r="F4043" s="8">
        <v>293000</v>
      </c>
      <c r="G4043" s="9">
        <f t="shared" ref="G4043:G4045" si="252">IFERROR(E4043*F4043,0)</f>
        <v>468800</v>
      </c>
      <c r="H4043" s="29"/>
      <c r="I4043" s="24" t="s">
        <v>418</v>
      </c>
      <c r="J4043" s="25"/>
      <c r="K4043" s="25"/>
      <c r="L4043" s="25"/>
      <c r="M4043" s="25"/>
      <c r="N4043" s="25"/>
      <c r="O4043" s="25"/>
      <c r="P4043" s="25"/>
      <c r="Q4043" s="25"/>
      <c r="R4043" s="25"/>
      <c r="S4043" s="25"/>
      <c r="T4043" s="25"/>
      <c r="U4043" s="25"/>
      <c r="V4043" s="25"/>
      <c r="W4043" s="25"/>
      <c r="X4043" s="25"/>
      <c r="Y4043" s="25"/>
      <c r="Z4043" s="25"/>
    </row>
    <row r="4044" spans="1:26" ht="15.75" customHeight="1" x14ac:dyDescent="0.75">
      <c r="A4044" s="5">
        <v>2</v>
      </c>
      <c r="B4044" s="30" t="s">
        <v>459</v>
      </c>
      <c r="C4044" s="31" t="s">
        <v>658</v>
      </c>
      <c r="D4044" s="30" t="s">
        <v>14</v>
      </c>
      <c r="E4044" s="30">
        <v>1.93</v>
      </c>
      <c r="F4044" s="11">
        <v>435000</v>
      </c>
      <c r="G4044" s="9">
        <f t="shared" si="252"/>
        <v>839550</v>
      </c>
      <c r="H4044" s="29"/>
      <c r="I4044" s="24" t="s">
        <v>418</v>
      </c>
      <c r="J4044" s="25"/>
      <c r="K4044" s="25"/>
      <c r="L4044" s="25"/>
      <c r="M4044" s="25"/>
      <c r="N4044" s="25"/>
      <c r="O4044" s="25"/>
      <c r="P4044" s="25"/>
      <c r="Q4044" s="25"/>
      <c r="R4044" s="25"/>
      <c r="S4044" s="25"/>
      <c r="T4044" s="25"/>
      <c r="U4044" s="25"/>
      <c r="V4044" s="25"/>
      <c r="W4044" s="25"/>
      <c r="X4044" s="25"/>
      <c r="Y4044" s="25"/>
      <c r="Z4044" s="25"/>
    </row>
    <row r="4045" spans="1:26" ht="15.75" customHeight="1" x14ac:dyDescent="0.75">
      <c r="A4045" s="5">
        <v>3</v>
      </c>
      <c r="B4045" s="12" t="s">
        <v>15</v>
      </c>
      <c r="C4045" s="29"/>
      <c r="D4045" s="29"/>
      <c r="E4045" s="29"/>
      <c r="F4045" s="29"/>
      <c r="G4045" s="13">
        <f t="shared" si="252"/>
        <v>0</v>
      </c>
      <c r="H4045" s="29"/>
      <c r="I4045" s="24" t="s">
        <v>418</v>
      </c>
      <c r="J4045" s="25"/>
      <c r="K4045" s="25"/>
      <c r="L4045" s="25"/>
      <c r="M4045" s="25"/>
      <c r="N4045" s="25"/>
      <c r="O4045" s="25"/>
      <c r="P4045" s="25"/>
      <c r="Q4045" s="25"/>
      <c r="R4045" s="25"/>
      <c r="S4045" s="25"/>
      <c r="T4045" s="25"/>
      <c r="U4045" s="25"/>
      <c r="V4045" s="25"/>
      <c r="W4045" s="25"/>
      <c r="X4045" s="25"/>
      <c r="Y4045" s="25"/>
      <c r="Z4045" s="25"/>
    </row>
    <row r="4046" spans="1:26" ht="15.75" customHeight="1" x14ac:dyDescent="0.75">
      <c r="A4046" s="39" t="s">
        <v>16</v>
      </c>
      <c r="B4046" s="40"/>
      <c r="C4046" s="40"/>
      <c r="D4046" s="40"/>
      <c r="E4046" s="40"/>
      <c r="F4046" s="40"/>
      <c r="G4046" s="41"/>
      <c r="H4046" s="14">
        <f>SUM(G4043:G4045)</f>
        <v>1308350</v>
      </c>
      <c r="I4046" s="24" t="s">
        <v>418</v>
      </c>
      <c r="J4046" s="25"/>
      <c r="K4046" s="25"/>
      <c r="L4046" s="25"/>
      <c r="M4046" s="25"/>
      <c r="N4046" s="25"/>
      <c r="O4046" s="25"/>
      <c r="P4046" s="25"/>
      <c r="Q4046" s="25"/>
      <c r="R4046" s="25"/>
      <c r="S4046" s="25"/>
      <c r="T4046" s="25"/>
      <c r="U4046" s="25"/>
      <c r="V4046" s="25"/>
      <c r="W4046" s="25"/>
      <c r="X4046" s="25"/>
      <c r="Y4046" s="25"/>
      <c r="Z4046" s="25"/>
    </row>
    <row r="4047" spans="1:26" ht="15.75" customHeight="1" x14ac:dyDescent="0.75">
      <c r="A4047" s="39" t="s">
        <v>17</v>
      </c>
      <c r="B4047" s="40"/>
      <c r="C4047" s="40"/>
      <c r="D4047" s="40"/>
      <c r="E4047" s="40"/>
      <c r="F4047" s="40"/>
      <c r="G4047" s="41"/>
      <c r="H4047" s="14">
        <f>MAX(0,H4046-648000)</f>
        <v>660350</v>
      </c>
      <c r="I4047" s="24" t="s">
        <v>418</v>
      </c>
      <c r="J4047" s="25"/>
      <c r="K4047" s="25"/>
      <c r="L4047" s="25"/>
      <c r="M4047" s="25"/>
      <c r="N4047" s="25"/>
      <c r="O4047" s="25"/>
      <c r="P4047" s="25"/>
      <c r="Q4047" s="25"/>
      <c r="R4047" s="25"/>
      <c r="S4047" s="25"/>
      <c r="T4047" s="25"/>
      <c r="U4047" s="25"/>
      <c r="V4047" s="25"/>
      <c r="W4047" s="25"/>
      <c r="X4047" s="25"/>
      <c r="Y4047" s="25"/>
      <c r="Z4047" s="25"/>
    </row>
    <row r="4048" spans="1:26" ht="15.75" customHeight="1" x14ac:dyDescent="0.75">
      <c r="A4048" s="42" t="s">
        <v>18</v>
      </c>
      <c r="B4048" s="40"/>
      <c r="C4048" s="40"/>
      <c r="D4048" s="40"/>
      <c r="E4048" s="40"/>
      <c r="F4048" s="40"/>
      <c r="G4048" s="41"/>
      <c r="H4048" s="15">
        <v>649000</v>
      </c>
      <c r="I4048" s="24" t="s">
        <v>418</v>
      </c>
      <c r="J4048" s="25"/>
      <c r="K4048" s="25"/>
      <c r="L4048" s="25"/>
      <c r="M4048" s="25"/>
      <c r="N4048" s="25"/>
      <c r="O4048" s="25"/>
      <c r="P4048" s="25"/>
      <c r="Q4048" s="25"/>
      <c r="R4048" s="25"/>
      <c r="S4048" s="25"/>
      <c r="T4048" s="25"/>
      <c r="U4048" s="25"/>
      <c r="V4048" s="25"/>
      <c r="W4048" s="25"/>
      <c r="X4048" s="25"/>
      <c r="Y4048" s="25"/>
      <c r="Z4048" s="25"/>
    </row>
    <row r="4049" spans="1:26" ht="15.75" customHeight="1" x14ac:dyDescent="0.75">
      <c r="A4049" s="43" t="s">
        <v>19</v>
      </c>
      <c r="B4049" s="40"/>
      <c r="C4049" s="40"/>
      <c r="D4049" s="40"/>
      <c r="E4049" s="40"/>
      <c r="F4049" s="40"/>
      <c r="G4049" s="40"/>
      <c r="H4049" s="41"/>
      <c r="I4049" s="24" t="s">
        <v>418</v>
      </c>
      <c r="J4049" s="25"/>
      <c r="K4049" s="25"/>
      <c r="L4049" s="25"/>
      <c r="M4049" s="25"/>
      <c r="N4049" s="25"/>
      <c r="O4049" s="25"/>
      <c r="P4049" s="25"/>
      <c r="Q4049" s="25"/>
      <c r="R4049" s="25"/>
      <c r="S4049" s="25"/>
      <c r="T4049" s="25"/>
      <c r="U4049" s="25"/>
      <c r="V4049" s="25"/>
      <c r="W4049" s="25"/>
      <c r="X4049" s="25"/>
      <c r="Y4049" s="25"/>
      <c r="Z4049" s="25"/>
    </row>
    <row r="4050" spans="1:26" ht="15.75" customHeight="1" x14ac:dyDescent="0.45">
      <c r="A4050" s="25"/>
      <c r="B4050" s="25"/>
      <c r="C4050" s="25"/>
      <c r="D4050" s="25"/>
      <c r="E4050" s="25"/>
      <c r="F4050" s="25"/>
      <c r="G4050" s="25"/>
      <c r="H4050" s="25"/>
      <c r="I4050" s="24" t="s">
        <v>418</v>
      </c>
      <c r="J4050" s="25"/>
      <c r="K4050" s="25"/>
      <c r="L4050" s="25"/>
      <c r="M4050" s="25"/>
      <c r="N4050" s="25"/>
      <c r="O4050" s="25"/>
      <c r="P4050" s="25"/>
      <c r="Q4050" s="25"/>
      <c r="R4050" s="25"/>
      <c r="S4050" s="25"/>
      <c r="T4050" s="25"/>
      <c r="U4050" s="25"/>
      <c r="V4050" s="25"/>
      <c r="W4050" s="25"/>
      <c r="X4050" s="25"/>
      <c r="Y4050" s="25"/>
      <c r="Z4050" s="25"/>
    </row>
    <row r="4051" spans="1:26" ht="15.75" customHeight="1" x14ac:dyDescent="0.45">
      <c r="A4051" s="25"/>
      <c r="B4051" s="25"/>
      <c r="C4051" s="25"/>
      <c r="D4051" s="25"/>
      <c r="E4051" s="25"/>
      <c r="F4051" s="25"/>
      <c r="G4051" s="25"/>
      <c r="H4051" s="25"/>
      <c r="I4051" s="24" t="s">
        <v>418</v>
      </c>
      <c r="J4051" s="25"/>
      <c r="K4051" s="25"/>
      <c r="L4051" s="25"/>
      <c r="M4051" s="25"/>
      <c r="N4051" s="25"/>
      <c r="O4051" s="25"/>
      <c r="P4051" s="25"/>
      <c r="Q4051" s="25"/>
      <c r="R4051" s="25"/>
      <c r="S4051" s="25"/>
      <c r="T4051" s="25"/>
      <c r="U4051" s="25"/>
      <c r="V4051" s="25"/>
      <c r="W4051" s="25"/>
      <c r="X4051" s="25"/>
      <c r="Y4051" s="25"/>
      <c r="Z4051" s="25"/>
    </row>
    <row r="4052" spans="1:26" ht="15.75" customHeight="1" x14ac:dyDescent="0.45">
      <c r="A4052" s="25"/>
      <c r="B4052" s="25"/>
      <c r="C4052" s="25"/>
      <c r="D4052" s="25"/>
      <c r="E4052" s="25"/>
      <c r="F4052" s="25"/>
      <c r="G4052" s="25"/>
      <c r="H4052" s="25"/>
      <c r="I4052" s="24" t="s">
        <v>418</v>
      </c>
      <c r="J4052" s="25"/>
      <c r="K4052" s="25"/>
      <c r="L4052" s="25"/>
      <c r="M4052" s="25"/>
      <c r="N4052" s="25"/>
      <c r="O4052" s="25"/>
      <c r="P4052" s="25"/>
      <c r="Q4052" s="25"/>
      <c r="R4052" s="25"/>
      <c r="S4052" s="25"/>
      <c r="T4052" s="25"/>
      <c r="U4052" s="25"/>
      <c r="V4052" s="25"/>
      <c r="W4052" s="25"/>
      <c r="X4052" s="25"/>
      <c r="Y4052" s="25"/>
      <c r="Z4052" s="25"/>
    </row>
    <row r="4053" spans="1:26" ht="15.75" customHeight="1" x14ac:dyDescent="0.45">
      <c r="A4053" s="25"/>
      <c r="B4053" s="25"/>
      <c r="C4053" s="25"/>
      <c r="D4053" s="25"/>
      <c r="E4053" s="25"/>
      <c r="F4053" s="25"/>
      <c r="G4053" s="25"/>
      <c r="H4053" s="25"/>
      <c r="I4053" s="24" t="s">
        <v>418</v>
      </c>
      <c r="J4053" s="25"/>
      <c r="K4053" s="25"/>
      <c r="L4053" s="25"/>
      <c r="M4053" s="25"/>
      <c r="N4053" s="25"/>
      <c r="O4053" s="25"/>
      <c r="P4053" s="25"/>
      <c r="Q4053" s="25"/>
      <c r="R4053" s="25"/>
      <c r="S4053" s="25"/>
      <c r="T4053" s="25"/>
      <c r="U4053" s="25"/>
      <c r="V4053" s="25"/>
      <c r="W4053" s="25"/>
      <c r="X4053" s="25"/>
      <c r="Y4053" s="25"/>
      <c r="Z4053" s="25"/>
    </row>
    <row r="4054" spans="1:26" ht="15.75" customHeight="1" x14ac:dyDescent="0.45">
      <c r="A4054" s="25"/>
      <c r="B4054" s="25"/>
      <c r="C4054" s="25"/>
      <c r="D4054" s="25"/>
      <c r="E4054" s="25"/>
      <c r="F4054" s="25"/>
      <c r="G4054" s="25"/>
      <c r="H4054" s="25"/>
      <c r="I4054" s="24" t="s">
        <v>418</v>
      </c>
      <c r="J4054" s="25"/>
      <c r="K4054" s="25"/>
      <c r="L4054" s="25"/>
      <c r="M4054" s="25"/>
      <c r="N4054" s="25"/>
      <c r="O4054" s="25"/>
      <c r="P4054" s="25"/>
      <c r="Q4054" s="25"/>
      <c r="R4054" s="25"/>
      <c r="S4054" s="25"/>
      <c r="T4054" s="25"/>
      <c r="U4054" s="25"/>
      <c r="V4054" s="25"/>
      <c r="W4054" s="25"/>
      <c r="X4054" s="25"/>
      <c r="Y4054" s="25"/>
      <c r="Z4054" s="25"/>
    </row>
    <row r="4055" spans="1:26" ht="15.75" customHeight="1" x14ac:dyDescent="0.75">
      <c r="A4055" s="43" t="s">
        <v>0</v>
      </c>
      <c r="B4055" s="40"/>
      <c r="C4055" s="40"/>
      <c r="D4055" s="40"/>
      <c r="E4055" s="40"/>
      <c r="F4055" s="40"/>
      <c r="G4055" s="40"/>
      <c r="H4055" s="41"/>
      <c r="I4055" s="24" t="s">
        <v>418</v>
      </c>
      <c r="J4055" s="25"/>
      <c r="K4055" s="25"/>
      <c r="L4055" s="25"/>
      <c r="M4055" s="25"/>
      <c r="N4055" s="25"/>
      <c r="O4055" s="25"/>
      <c r="P4055" s="25"/>
      <c r="Q4055" s="25"/>
      <c r="R4055" s="25"/>
      <c r="S4055" s="25"/>
      <c r="T4055" s="25"/>
      <c r="U4055" s="25"/>
      <c r="V4055" s="25"/>
      <c r="W4055" s="25"/>
      <c r="X4055" s="25"/>
      <c r="Y4055" s="25"/>
      <c r="Z4055" s="25"/>
    </row>
    <row r="4056" spans="1:26" ht="15.75" customHeight="1" x14ac:dyDescent="0.75">
      <c r="A4056" s="43" t="s">
        <v>659</v>
      </c>
      <c r="B4056" s="40"/>
      <c r="C4056" s="40"/>
      <c r="D4056" s="40"/>
      <c r="E4056" s="40"/>
      <c r="F4056" s="40"/>
      <c r="G4056" s="40"/>
      <c r="H4056" s="41"/>
      <c r="I4056" s="24" t="s">
        <v>418</v>
      </c>
      <c r="J4056" s="25"/>
      <c r="K4056" s="25"/>
      <c r="L4056" s="25"/>
      <c r="M4056" s="25"/>
      <c r="N4056" s="25"/>
      <c r="O4056" s="25"/>
      <c r="P4056" s="25"/>
      <c r="Q4056" s="25"/>
      <c r="R4056" s="25"/>
      <c r="S4056" s="25"/>
      <c r="T4056" s="25"/>
      <c r="U4056" s="25"/>
      <c r="V4056" s="25"/>
      <c r="W4056" s="25"/>
      <c r="X4056" s="25"/>
      <c r="Y4056" s="25"/>
      <c r="Z4056" s="25"/>
    </row>
    <row r="4057" spans="1:26" ht="15.75" customHeight="1" x14ac:dyDescent="0.55000000000000004">
      <c r="A4057" s="2" t="s">
        <v>3</v>
      </c>
      <c r="B4057" s="2" t="s">
        <v>4</v>
      </c>
      <c r="C4057" s="2" t="s">
        <v>5</v>
      </c>
      <c r="D4057" s="2" t="s">
        <v>6</v>
      </c>
      <c r="E4057" s="2" t="s">
        <v>7</v>
      </c>
      <c r="F4057" s="3" t="s">
        <v>8</v>
      </c>
      <c r="G4057" s="2" t="s">
        <v>9</v>
      </c>
      <c r="H4057" s="26"/>
      <c r="I4057" s="24" t="s">
        <v>418</v>
      </c>
      <c r="J4057" s="25"/>
      <c r="K4057" s="25"/>
      <c r="L4057" s="25"/>
      <c r="M4057" s="25"/>
      <c r="N4057" s="25"/>
      <c r="O4057" s="25"/>
      <c r="P4057" s="25"/>
      <c r="Q4057" s="25"/>
      <c r="R4057" s="25"/>
      <c r="S4057" s="25"/>
      <c r="T4057" s="25"/>
      <c r="U4057" s="25"/>
      <c r="V4057" s="25"/>
      <c r="W4057" s="25"/>
      <c r="X4057" s="25"/>
      <c r="Y4057" s="25"/>
      <c r="Z4057" s="25"/>
    </row>
    <row r="4058" spans="1:26" ht="15.75" customHeight="1" x14ac:dyDescent="0.75">
      <c r="A4058" s="5">
        <v>1</v>
      </c>
      <c r="B4058" s="27" t="s">
        <v>203</v>
      </c>
      <c r="C4058" s="28" t="s">
        <v>660</v>
      </c>
      <c r="D4058" s="27" t="s">
        <v>12</v>
      </c>
      <c r="E4058" s="27">
        <v>2.23</v>
      </c>
      <c r="F4058" s="8">
        <v>293000</v>
      </c>
      <c r="G4058" s="9">
        <f t="shared" ref="G4058:G4060" si="253">IFERROR(E4058*F4058,0)</f>
        <v>653390</v>
      </c>
      <c r="H4058" s="29"/>
      <c r="I4058" s="24" t="s">
        <v>418</v>
      </c>
      <c r="J4058" s="25"/>
      <c r="K4058" s="25"/>
      <c r="L4058" s="25"/>
      <c r="M4058" s="25"/>
      <c r="N4058" s="25"/>
      <c r="O4058" s="25"/>
      <c r="P4058" s="25"/>
      <c r="Q4058" s="25"/>
      <c r="R4058" s="25"/>
      <c r="S4058" s="25"/>
      <c r="T4058" s="25"/>
      <c r="U4058" s="25"/>
      <c r="V4058" s="25"/>
      <c r="W4058" s="25"/>
      <c r="X4058" s="25"/>
      <c r="Y4058" s="25"/>
      <c r="Z4058" s="25"/>
    </row>
    <row r="4059" spans="1:26" ht="15.75" customHeight="1" x14ac:dyDescent="0.75">
      <c r="A4059" s="5">
        <v>2</v>
      </c>
      <c r="B4059" s="30" t="s">
        <v>661</v>
      </c>
      <c r="C4059" s="31" t="s">
        <v>662</v>
      </c>
      <c r="D4059" s="30" t="s">
        <v>14</v>
      </c>
      <c r="E4059" s="30">
        <v>1.29</v>
      </c>
      <c r="F4059" s="11">
        <v>435000</v>
      </c>
      <c r="G4059" s="9">
        <f t="shared" si="253"/>
        <v>561150</v>
      </c>
      <c r="H4059" s="29"/>
      <c r="I4059" s="24" t="s">
        <v>418</v>
      </c>
      <c r="J4059" s="25"/>
      <c r="K4059" s="25"/>
      <c r="L4059" s="25"/>
      <c r="M4059" s="25"/>
      <c r="N4059" s="25"/>
      <c r="O4059" s="25"/>
      <c r="P4059" s="25"/>
      <c r="Q4059" s="25"/>
      <c r="R4059" s="25"/>
      <c r="S4059" s="25"/>
      <c r="T4059" s="25"/>
      <c r="U4059" s="25"/>
      <c r="V4059" s="25"/>
      <c r="W4059" s="25"/>
      <c r="X4059" s="25"/>
      <c r="Y4059" s="25"/>
      <c r="Z4059" s="25"/>
    </row>
    <row r="4060" spans="1:26" ht="15.75" customHeight="1" x14ac:dyDescent="0.75">
      <c r="A4060" s="5">
        <v>3</v>
      </c>
      <c r="B4060" s="12" t="s">
        <v>15</v>
      </c>
      <c r="C4060" s="29"/>
      <c r="D4060" s="29"/>
      <c r="E4060" s="29"/>
      <c r="F4060" s="29"/>
      <c r="G4060" s="13">
        <f t="shared" si="253"/>
        <v>0</v>
      </c>
      <c r="H4060" s="29"/>
      <c r="I4060" s="24" t="s">
        <v>418</v>
      </c>
      <c r="J4060" s="25"/>
      <c r="K4060" s="25"/>
      <c r="L4060" s="25"/>
      <c r="M4060" s="25"/>
      <c r="N4060" s="25"/>
      <c r="O4060" s="25"/>
      <c r="P4060" s="25"/>
      <c r="Q4060" s="25"/>
      <c r="R4060" s="25"/>
      <c r="S4060" s="25"/>
      <c r="T4060" s="25"/>
      <c r="U4060" s="25"/>
      <c r="V4060" s="25"/>
      <c r="W4060" s="25"/>
      <c r="X4060" s="25"/>
      <c r="Y4060" s="25"/>
      <c r="Z4060" s="25"/>
    </row>
    <row r="4061" spans="1:26" ht="15.75" customHeight="1" x14ac:dyDescent="0.75">
      <c r="A4061" s="39" t="s">
        <v>16</v>
      </c>
      <c r="B4061" s="40"/>
      <c r="C4061" s="40"/>
      <c r="D4061" s="40"/>
      <c r="E4061" s="40"/>
      <c r="F4061" s="40"/>
      <c r="G4061" s="41"/>
      <c r="H4061" s="14">
        <f>SUM(G4058:G4060)</f>
        <v>1214540</v>
      </c>
      <c r="I4061" s="24" t="s">
        <v>418</v>
      </c>
      <c r="J4061" s="25"/>
      <c r="K4061" s="25"/>
      <c r="L4061" s="25"/>
      <c r="M4061" s="25"/>
      <c r="N4061" s="25"/>
      <c r="O4061" s="25"/>
      <c r="P4061" s="25"/>
      <c r="Q4061" s="25"/>
      <c r="R4061" s="25"/>
      <c r="S4061" s="25"/>
      <c r="T4061" s="25"/>
      <c r="U4061" s="25"/>
      <c r="V4061" s="25"/>
      <c r="W4061" s="25"/>
      <c r="X4061" s="25"/>
      <c r="Y4061" s="25"/>
      <c r="Z4061" s="25"/>
    </row>
    <row r="4062" spans="1:26" ht="15.75" customHeight="1" x14ac:dyDescent="0.75">
      <c r="A4062" s="39" t="s">
        <v>17</v>
      </c>
      <c r="B4062" s="40"/>
      <c r="C4062" s="40"/>
      <c r="D4062" s="40"/>
      <c r="E4062" s="40"/>
      <c r="F4062" s="40"/>
      <c r="G4062" s="41"/>
      <c r="H4062" s="14">
        <f>MAX(0,H4061-648000)</f>
        <v>566540</v>
      </c>
      <c r="I4062" s="24" t="s">
        <v>418</v>
      </c>
      <c r="J4062" s="25"/>
      <c r="K4062" s="25"/>
      <c r="L4062" s="25"/>
      <c r="M4062" s="25"/>
      <c r="N4062" s="25"/>
      <c r="O4062" s="25"/>
      <c r="P4062" s="25"/>
      <c r="Q4062" s="25"/>
      <c r="R4062" s="25"/>
      <c r="S4062" s="25"/>
      <c r="T4062" s="25"/>
      <c r="U4062" s="25"/>
      <c r="V4062" s="25"/>
      <c r="W4062" s="25"/>
      <c r="X4062" s="25"/>
      <c r="Y4062" s="25"/>
      <c r="Z4062" s="25"/>
    </row>
    <row r="4063" spans="1:26" ht="15.75" customHeight="1" x14ac:dyDescent="0.75">
      <c r="A4063" s="42" t="s">
        <v>18</v>
      </c>
      <c r="B4063" s="40"/>
      <c r="C4063" s="40"/>
      <c r="D4063" s="40"/>
      <c r="E4063" s="40"/>
      <c r="F4063" s="40"/>
      <c r="G4063" s="41"/>
      <c r="H4063" s="15">
        <v>649000</v>
      </c>
      <c r="I4063" s="24" t="s">
        <v>418</v>
      </c>
      <c r="J4063" s="25"/>
      <c r="K4063" s="25"/>
      <c r="L4063" s="25"/>
      <c r="M4063" s="25"/>
      <c r="N4063" s="25"/>
      <c r="O4063" s="25"/>
      <c r="P4063" s="25"/>
      <c r="Q4063" s="25"/>
      <c r="R4063" s="25"/>
      <c r="S4063" s="25"/>
      <c r="T4063" s="25"/>
      <c r="U4063" s="25"/>
      <c r="V4063" s="25"/>
      <c r="W4063" s="25"/>
      <c r="X4063" s="25"/>
      <c r="Y4063" s="25"/>
      <c r="Z4063" s="25"/>
    </row>
    <row r="4064" spans="1:26" ht="15.75" customHeight="1" x14ac:dyDescent="0.75">
      <c r="A4064" s="43" t="s">
        <v>19</v>
      </c>
      <c r="B4064" s="40"/>
      <c r="C4064" s="40"/>
      <c r="D4064" s="40"/>
      <c r="E4064" s="40"/>
      <c r="F4064" s="40"/>
      <c r="G4064" s="40"/>
      <c r="H4064" s="41"/>
      <c r="I4064" s="24" t="s">
        <v>418</v>
      </c>
      <c r="J4064" s="25"/>
      <c r="K4064" s="25"/>
      <c r="L4064" s="25"/>
      <c r="M4064" s="25"/>
      <c r="N4064" s="25"/>
      <c r="O4064" s="25"/>
      <c r="P4064" s="25"/>
      <c r="Q4064" s="25"/>
      <c r="R4064" s="25"/>
      <c r="S4064" s="25"/>
      <c r="T4064" s="25"/>
      <c r="U4064" s="25"/>
      <c r="V4064" s="25"/>
      <c r="W4064" s="25"/>
      <c r="X4064" s="25"/>
      <c r="Y4064" s="25"/>
      <c r="Z4064" s="25"/>
    </row>
    <row r="4065" spans="1:26" ht="15.75" customHeight="1" x14ac:dyDescent="0.45">
      <c r="A4065" s="25"/>
      <c r="B4065" s="25"/>
      <c r="C4065" s="25"/>
      <c r="D4065" s="25"/>
      <c r="E4065" s="25"/>
      <c r="F4065" s="25"/>
      <c r="G4065" s="25"/>
      <c r="H4065" s="25"/>
      <c r="I4065" s="24" t="s">
        <v>418</v>
      </c>
      <c r="J4065" s="25"/>
      <c r="K4065" s="25"/>
      <c r="L4065" s="25"/>
      <c r="M4065" s="25"/>
      <c r="N4065" s="25"/>
      <c r="O4065" s="25"/>
      <c r="P4065" s="25"/>
      <c r="Q4065" s="25"/>
      <c r="R4065" s="25"/>
      <c r="S4065" s="25"/>
      <c r="T4065" s="25"/>
      <c r="U4065" s="25"/>
      <c r="V4065" s="25"/>
      <c r="W4065" s="25"/>
      <c r="X4065" s="25"/>
      <c r="Y4065" s="25"/>
      <c r="Z4065" s="25"/>
    </row>
    <row r="4066" spans="1:26" ht="15.75" customHeight="1" x14ac:dyDescent="0.45">
      <c r="A4066" s="25"/>
      <c r="B4066" s="25"/>
      <c r="C4066" s="25"/>
      <c r="D4066" s="25"/>
      <c r="E4066" s="25"/>
      <c r="F4066" s="25"/>
      <c r="G4066" s="25"/>
      <c r="H4066" s="25"/>
      <c r="I4066" s="24" t="s">
        <v>418</v>
      </c>
      <c r="J4066" s="25"/>
      <c r="K4066" s="25"/>
      <c r="L4066" s="25"/>
      <c r="M4066" s="25"/>
      <c r="N4066" s="25"/>
      <c r="O4066" s="25"/>
      <c r="P4066" s="25"/>
      <c r="Q4066" s="25"/>
      <c r="R4066" s="25"/>
      <c r="S4066" s="25"/>
      <c r="T4066" s="25"/>
      <c r="U4066" s="25"/>
      <c r="V4066" s="25"/>
      <c r="W4066" s="25"/>
      <c r="X4066" s="25"/>
      <c r="Y4066" s="25"/>
      <c r="Z4066" s="25"/>
    </row>
    <row r="4067" spans="1:26" ht="15.75" customHeight="1" x14ac:dyDescent="0.45">
      <c r="A4067" s="25"/>
      <c r="B4067" s="25"/>
      <c r="C4067" s="25"/>
      <c r="D4067" s="25"/>
      <c r="E4067" s="25"/>
      <c r="F4067" s="25"/>
      <c r="G4067" s="25"/>
      <c r="H4067" s="25"/>
      <c r="I4067" s="24" t="s">
        <v>418</v>
      </c>
      <c r="J4067" s="25"/>
      <c r="K4067" s="25"/>
      <c r="L4067" s="25"/>
      <c r="M4067" s="25"/>
      <c r="N4067" s="25"/>
      <c r="O4067" s="25"/>
      <c r="P4067" s="25"/>
      <c r="Q4067" s="25"/>
      <c r="R4067" s="25"/>
      <c r="S4067" s="25"/>
      <c r="T4067" s="25"/>
      <c r="U4067" s="25"/>
      <c r="V4067" s="25"/>
      <c r="W4067" s="25"/>
      <c r="X4067" s="25"/>
      <c r="Y4067" s="25"/>
      <c r="Z4067" s="25"/>
    </row>
    <row r="4068" spans="1:26" ht="15.75" customHeight="1" x14ac:dyDescent="0.45">
      <c r="A4068" s="25"/>
      <c r="B4068" s="25"/>
      <c r="C4068" s="25"/>
      <c r="D4068" s="25"/>
      <c r="E4068" s="25"/>
      <c r="F4068" s="25"/>
      <c r="G4068" s="25"/>
      <c r="H4068" s="25"/>
      <c r="I4068" s="24" t="s">
        <v>418</v>
      </c>
      <c r="J4068" s="25"/>
      <c r="K4068" s="25"/>
      <c r="L4068" s="25"/>
      <c r="M4068" s="25"/>
      <c r="N4068" s="25"/>
      <c r="O4068" s="25"/>
      <c r="P4068" s="25"/>
      <c r="Q4068" s="25"/>
      <c r="R4068" s="25"/>
      <c r="S4068" s="25"/>
      <c r="T4068" s="25"/>
      <c r="U4068" s="25"/>
      <c r="V4068" s="25"/>
      <c r="W4068" s="25"/>
      <c r="X4068" s="25"/>
      <c r="Y4068" s="25"/>
      <c r="Z4068" s="25"/>
    </row>
    <row r="4069" spans="1:26" ht="15.75" customHeight="1" x14ac:dyDescent="0.45">
      <c r="A4069" s="25"/>
      <c r="B4069" s="25"/>
      <c r="C4069" s="25"/>
      <c r="D4069" s="25"/>
      <c r="E4069" s="25"/>
      <c r="F4069" s="25"/>
      <c r="G4069" s="25"/>
      <c r="H4069" s="25"/>
      <c r="I4069" s="24" t="s">
        <v>418</v>
      </c>
      <c r="J4069" s="25"/>
      <c r="K4069" s="25"/>
      <c r="L4069" s="25"/>
      <c r="M4069" s="25"/>
      <c r="N4069" s="25"/>
      <c r="O4069" s="25"/>
      <c r="P4069" s="25"/>
      <c r="Q4069" s="25"/>
      <c r="R4069" s="25"/>
      <c r="S4069" s="25"/>
      <c r="T4069" s="25"/>
      <c r="U4069" s="25"/>
      <c r="V4069" s="25"/>
      <c r="W4069" s="25"/>
      <c r="X4069" s="25"/>
      <c r="Y4069" s="25"/>
      <c r="Z4069" s="25"/>
    </row>
    <row r="4070" spans="1:26" ht="15.75" customHeight="1" x14ac:dyDescent="0.45">
      <c r="A4070" s="25"/>
      <c r="B4070" s="25"/>
      <c r="C4070" s="25"/>
      <c r="D4070" s="25"/>
      <c r="E4070" s="25"/>
      <c r="F4070" s="25"/>
      <c r="G4070" s="25"/>
      <c r="H4070" s="25"/>
      <c r="I4070" s="24" t="s">
        <v>418</v>
      </c>
      <c r="J4070" s="25"/>
      <c r="K4070" s="25"/>
      <c r="L4070" s="25"/>
      <c r="M4070" s="25"/>
      <c r="N4070" s="25"/>
      <c r="O4070" s="25"/>
      <c r="P4070" s="25"/>
      <c r="Q4070" s="25"/>
      <c r="R4070" s="25"/>
      <c r="S4070" s="25"/>
      <c r="T4070" s="25"/>
      <c r="U4070" s="25"/>
      <c r="V4070" s="25"/>
      <c r="W4070" s="25"/>
      <c r="X4070" s="25"/>
      <c r="Y4070" s="25"/>
      <c r="Z4070" s="25"/>
    </row>
    <row r="4071" spans="1:26" ht="15.75" customHeight="1" x14ac:dyDescent="0.75">
      <c r="A4071" s="43" t="s">
        <v>0</v>
      </c>
      <c r="B4071" s="40"/>
      <c r="C4071" s="40"/>
      <c r="D4071" s="40"/>
      <c r="E4071" s="40"/>
      <c r="F4071" s="40"/>
      <c r="G4071" s="40"/>
      <c r="H4071" s="41"/>
      <c r="I4071" s="24" t="s">
        <v>418</v>
      </c>
      <c r="J4071" s="25"/>
      <c r="K4071" s="25"/>
      <c r="L4071" s="25"/>
      <c r="M4071" s="25"/>
      <c r="N4071" s="25"/>
      <c r="O4071" s="25"/>
      <c r="P4071" s="25"/>
      <c r="Q4071" s="25"/>
      <c r="R4071" s="25"/>
      <c r="S4071" s="25"/>
      <c r="T4071" s="25"/>
      <c r="U4071" s="25"/>
      <c r="V4071" s="25"/>
      <c r="W4071" s="25"/>
      <c r="X4071" s="25"/>
      <c r="Y4071" s="25"/>
      <c r="Z4071" s="25"/>
    </row>
    <row r="4072" spans="1:26" ht="15.75" customHeight="1" x14ac:dyDescent="0.75">
      <c r="A4072" s="43" t="s">
        <v>663</v>
      </c>
      <c r="B4072" s="40"/>
      <c r="C4072" s="40"/>
      <c r="D4072" s="40"/>
      <c r="E4072" s="40"/>
      <c r="F4072" s="40"/>
      <c r="G4072" s="40"/>
      <c r="H4072" s="41"/>
      <c r="I4072" s="24" t="s">
        <v>418</v>
      </c>
      <c r="J4072" s="25"/>
      <c r="K4072" s="25"/>
      <c r="L4072" s="25"/>
      <c r="M4072" s="25"/>
      <c r="N4072" s="25"/>
      <c r="O4072" s="25"/>
      <c r="P4072" s="25"/>
      <c r="Q4072" s="25"/>
      <c r="R4072" s="25"/>
      <c r="S4072" s="25"/>
      <c r="T4072" s="25"/>
      <c r="U4072" s="25"/>
      <c r="V4072" s="25"/>
      <c r="W4072" s="25"/>
      <c r="X4072" s="25"/>
      <c r="Y4072" s="25"/>
      <c r="Z4072" s="25"/>
    </row>
    <row r="4073" spans="1:26" ht="15.75" customHeight="1" x14ac:dyDescent="0.55000000000000004">
      <c r="A4073" s="2" t="s">
        <v>3</v>
      </c>
      <c r="B4073" s="2" t="s">
        <v>4</v>
      </c>
      <c r="C4073" s="2" t="s">
        <v>5</v>
      </c>
      <c r="D4073" s="2" t="s">
        <v>6</v>
      </c>
      <c r="E4073" s="2" t="s">
        <v>7</v>
      </c>
      <c r="F4073" s="3" t="s">
        <v>8</v>
      </c>
      <c r="G4073" s="2" t="s">
        <v>9</v>
      </c>
      <c r="H4073" s="26"/>
      <c r="I4073" s="24" t="s">
        <v>418</v>
      </c>
      <c r="J4073" s="25"/>
      <c r="K4073" s="25"/>
      <c r="L4073" s="25"/>
      <c r="M4073" s="25"/>
      <c r="N4073" s="25"/>
      <c r="O4073" s="25"/>
      <c r="P4073" s="25"/>
      <c r="Q4073" s="25"/>
      <c r="R4073" s="25"/>
      <c r="S4073" s="25"/>
      <c r="T4073" s="25"/>
      <c r="U4073" s="25"/>
      <c r="V4073" s="25"/>
      <c r="W4073" s="25"/>
      <c r="X4073" s="25"/>
      <c r="Y4073" s="25"/>
      <c r="Z4073" s="25"/>
    </row>
    <row r="4074" spans="1:26" ht="15.75" customHeight="1" x14ac:dyDescent="0.75">
      <c r="A4074" s="5">
        <v>1</v>
      </c>
      <c r="B4074" s="27" t="s">
        <v>98</v>
      </c>
      <c r="C4074" s="28" t="s">
        <v>664</v>
      </c>
      <c r="D4074" s="27" t="s">
        <v>12</v>
      </c>
      <c r="E4074" s="27">
        <v>1.5</v>
      </c>
      <c r="F4074" s="8">
        <v>293000</v>
      </c>
      <c r="G4074" s="9">
        <f t="shared" ref="G4074:G4076" si="254">IFERROR(E4074*F4074,0)</f>
        <v>439500</v>
      </c>
      <c r="H4074" s="29"/>
      <c r="I4074" s="24" t="s">
        <v>418</v>
      </c>
      <c r="J4074" s="25"/>
      <c r="K4074" s="25"/>
      <c r="L4074" s="25"/>
      <c r="M4074" s="25"/>
      <c r="N4074" s="25"/>
      <c r="O4074" s="25"/>
      <c r="P4074" s="25"/>
      <c r="Q4074" s="25"/>
      <c r="R4074" s="25"/>
      <c r="S4074" s="25"/>
      <c r="T4074" s="25"/>
      <c r="U4074" s="25"/>
      <c r="V4074" s="25"/>
      <c r="W4074" s="25"/>
      <c r="X4074" s="25"/>
      <c r="Y4074" s="25"/>
      <c r="Z4074" s="25"/>
    </row>
    <row r="4075" spans="1:26" ht="15.75" customHeight="1" x14ac:dyDescent="0.75">
      <c r="A4075" s="5">
        <v>2</v>
      </c>
      <c r="B4075" s="30" t="s">
        <v>35</v>
      </c>
      <c r="C4075" s="31" t="s">
        <v>544</v>
      </c>
      <c r="D4075" s="30" t="s">
        <v>14</v>
      </c>
      <c r="E4075" s="30">
        <v>2</v>
      </c>
      <c r="F4075" s="11">
        <v>435000</v>
      </c>
      <c r="G4075" s="9">
        <f t="shared" si="254"/>
        <v>870000</v>
      </c>
      <c r="H4075" s="29"/>
      <c r="I4075" s="24" t="s">
        <v>418</v>
      </c>
      <c r="J4075" s="25"/>
      <c r="K4075" s="25"/>
      <c r="L4075" s="25"/>
      <c r="M4075" s="25"/>
      <c r="N4075" s="25"/>
      <c r="O4075" s="25"/>
      <c r="P4075" s="25"/>
      <c r="Q4075" s="25"/>
      <c r="R4075" s="25"/>
      <c r="S4075" s="25"/>
      <c r="T4075" s="25"/>
      <c r="U4075" s="25"/>
      <c r="V4075" s="25"/>
      <c r="W4075" s="25"/>
      <c r="X4075" s="25"/>
      <c r="Y4075" s="25"/>
      <c r="Z4075" s="25"/>
    </row>
    <row r="4076" spans="1:26" ht="15.75" customHeight="1" x14ac:dyDescent="0.75">
      <c r="A4076" s="5">
        <v>3</v>
      </c>
      <c r="B4076" s="12" t="s">
        <v>15</v>
      </c>
      <c r="C4076" s="29"/>
      <c r="D4076" s="29"/>
      <c r="E4076" s="29"/>
      <c r="F4076" s="29"/>
      <c r="G4076" s="13">
        <f t="shared" si="254"/>
        <v>0</v>
      </c>
      <c r="H4076" s="29"/>
      <c r="I4076" s="24" t="s">
        <v>418</v>
      </c>
      <c r="J4076" s="25"/>
      <c r="K4076" s="25"/>
      <c r="L4076" s="25"/>
      <c r="M4076" s="25"/>
      <c r="N4076" s="25"/>
      <c r="O4076" s="25"/>
      <c r="P4076" s="25"/>
      <c r="Q4076" s="25"/>
      <c r="R4076" s="25"/>
      <c r="S4076" s="25"/>
      <c r="T4076" s="25"/>
      <c r="U4076" s="25"/>
      <c r="V4076" s="25"/>
      <c r="W4076" s="25"/>
      <c r="X4076" s="25"/>
      <c r="Y4076" s="25"/>
      <c r="Z4076" s="25"/>
    </row>
    <row r="4077" spans="1:26" ht="15.75" customHeight="1" x14ac:dyDescent="0.75">
      <c r="A4077" s="39" t="s">
        <v>16</v>
      </c>
      <c r="B4077" s="40"/>
      <c r="C4077" s="40"/>
      <c r="D4077" s="40"/>
      <c r="E4077" s="40"/>
      <c r="F4077" s="40"/>
      <c r="G4077" s="41"/>
      <c r="H4077" s="14">
        <f>SUM(G4074:G4076)</f>
        <v>1309500</v>
      </c>
      <c r="I4077" s="24" t="s">
        <v>418</v>
      </c>
      <c r="J4077" s="25"/>
      <c r="K4077" s="25"/>
      <c r="L4077" s="25"/>
      <c r="M4077" s="25"/>
      <c r="N4077" s="25"/>
      <c r="O4077" s="25"/>
      <c r="P4077" s="25"/>
      <c r="Q4077" s="25"/>
      <c r="R4077" s="25"/>
      <c r="S4077" s="25"/>
      <c r="T4077" s="25"/>
      <c r="U4077" s="25"/>
      <c r="V4077" s="25"/>
      <c r="W4077" s="25"/>
      <c r="X4077" s="25"/>
      <c r="Y4077" s="25"/>
      <c r="Z4077" s="25"/>
    </row>
    <row r="4078" spans="1:26" ht="15.75" customHeight="1" x14ac:dyDescent="0.75">
      <c r="A4078" s="39" t="s">
        <v>17</v>
      </c>
      <c r="B4078" s="40"/>
      <c r="C4078" s="40"/>
      <c r="D4078" s="40"/>
      <c r="E4078" s="40"/>
      <c r="F4078" s="40"/>
      <c r="G4078" s="41"/>
      <c r="H4078" s="14">
        <f>MAX(0,H4077-648000)</f>
        <v>661500</v>
      </c>
      <c r="I4078" s="24" t="s">
        <v>418</v>
      </c>
      <c r="J4078" s="25"/>
      <c r="K4078" s="25"/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</row>
    <row r="4079" spans="1:26" ht="15.75" customHeight="1" x14ac:dyDescent="0.75">
      <c r="A4079" s="42" t="s">
        <v>18</v>
      </c>
      <c r="B4079" s="40"/>
      <c r="C4079" s="40"/>
      <c r="D4079" s="40"/>
      <c r="E4079" s="40"/>
      <c r="F4079" s="40"/>
      <c r="G4079" s="41"/>
      <c r="H4079" s="15">
        <v>649000</v>
      </c>
      <c r="I4079" s="24" t="s">
        <v>418</v>
      </c>
      <c r="J4079" s="25"/>
      <c r="K4079" s="25"/>
      <c r="L4079" s="25"/>
      <c r="M4079" s="25"/>
      <c r="N4079" s="25"/>
      <c r="O4079" s="25"/>
      <c r="P4079" s="25"/>
      <c r="Q4079" s="25"/>
      <c r="R4079" s="25"/>
      <c r="S4079" s="25"/>
      <c r="T4079" s="25"/>
      <c r="U4079" s="25"/>
      <c r="V4079" s="25"/>
      <c r="W4079" s="25"/>
      <c r="X4079" s="25"/>
      <c r="Y4079" s="25"/>
      <c r="Z4079" s="25"/>
    </row>
    <row r="4080" spans="1:26" ht="15.75" customHeight="1" x14ac:dyDescent="0.75">
      <c r="A4080" s="43" t="s">
        <v>19</v>
      </c>
      <c r="B4080" s="40"/>
      <c r="C4080" s="40"/>
      <c r="D4080" s="40"/>
      <c r="E4080" s="40"/>
      <c r="F4080" s="40"/>
      <c r="G4080" s="40"/>
      <c r="H4080" s="41"/>
      <c r="I4080" s="24" t="s">
        <v>418</v>
      </c>
      <c r="J4080" s="25"/>
      <c r="K4080" s="25"/>
      <c r="L4080" s="25"/>
      <c r="M4080" s="25"/>
      <c r="N4080" s="25"/>
      <c r="O4080" s="25"/>
      <c r="P4080" s="25"/>
      <c r="Q4080" s="25"/>
      <c r="R4080" s="25"/>
      <c r="S4080" s="25"/>
      <c r="T4080" s="25"/>
      <c r="U4080" s="25"/>
      <c r="V4080" s="25"/>
      <c r="W4080" s="25"/>
      <c r="X4080" s="25"/>
      <c r="Y4080" s="25"/>
      <c r="Z4080" s="25"/>
    </row>
    <row r="4081" spans="1:26" ht="15.75" customHeight="1" x14ac:dyDescent="0.45">
      <c r="A4081" s="25"/>
      <c r="B4081" s="25"/>
      <c r="C4081" s="25"/>
      <c r="D4081" s="25"/>
      <c r="E4081" s="25"/>
      <c r="F4081" s="25"/>
      <c r="G4081" s="25"/>
      <c r="H4081" s="25"/>
      <c r="I4081" s="24" t="s">
        <v>418</v>
      </c>
      <c r="J4081" s="25"/>
      <c r="K4081" s="25"/>
      <c r="L4081" s="25"/>
      <c r="M4081" s="25"/>
      <c r="N4081" s="25"/>
      <c r="O4081" s="25"/>
      <c r="P4081" s="25"/>
      <c r="Q4081" s="25"/>
      <c r="R4081" s="25"/>
      <c r="S4081" s="25"/>
      <c r="T4081" s="25"/>
      <c r="U4081" s="25"/>
      <c r="V4081" s="25"/>
      <c r="W4081" s="25"/>
      <c r="X4081" s="25"/>
      <c r="Y4081" s="25"/>
      <c r="Z4081" s="25"/>
    </row>
    <row r="4082" spans="1:26" ht="15.75" customHeight="1" x14ac:dyDescent="0.45">
      <c r="A4082" s="25"/>
      <c r="B4082" s="25"/>
      <c r="C4082" s="25"/>
      <c r="D4082" s="25"/>
      <c r="E4082" s="25"/>
      <c r="F4082" s="25"/>
      <c r="G4082" s="25"/>
      <c r="H4082" s="25"/>
      <c r="I4082" s="24" t="s">
        <v>418</v>
      </c>
      <c r="J4082" s="25"/>
      <c r="K4082" s="25"/>
      <c r="L4082" s="25"/>
      <c r="M4082" s="25"/>
      <c r="N4082" s="25"/>
      <c r="O4082" s="25"/>
      <c r="P4082" s="25"/>
      <c r="Q4082" s="25"/>
      <c r="R4082" s="25"/>
      <c r="S4082" s="25"/>
      <c r="T4082" s="25"/>
      <c r="U4082" s="25"/>
      <c r="V4082" s="25"/>
      <c r="W4082" s="25"/>
      <c r="X4082" s="25"/>
      <c r="Y4082" s="25"/>
      <c r="Z4082" s="25"/>
    </row>
    <row r="4083" spans="1:26" ht="15.75" customHeight="1" x14ac:dyDescent="0.45">
      <c r="A4083" s="25"/>
      <c r="B4083" s="25"/>
      <c r="C4083" s="25"/>
      <c r="D4083" s="25"/>
      <c r="E4083" s="25"/>
      <c r="F4083" s="25"/>
      <c r="G4083" s="25"/>
      <c r="H4083" s="25"/>
      <c r="I4083" s="24" t="s">
        <v>418</v>
      </c>
      <c r="J4083" s="25"/>
      <c r="K4083" s="25"/>
      <c r="L4083" s="25"/>
      <c r="M4083" s="25"/>
      <c r="N4083" s="25"/>
      <c r="O4083" s="25"/>
      <c r="P4083" s="25"/>
      <c r="Q4083" s="25"/>
      <c r="R4083" s="25"/>
      <c r="S4083" s="25"/>
      <c r="T4083" s="25"/>
      <c r="U4083" s="25"/>
      <c r="V4083" s="25"/>
      <c r="W4083" s="25"/>
      <c r="X4083" s="25"/>
      <c r="Y4083" s="25"/>
      <c r="Z4083" s="25"/>
    </row>
    <row r="4084" spans="1:26" ht="15.75" customHeight="1" x14ac:dyDescent="0.45">
      <c r="A4084" s="25"/>
      <c r="B4084" s="25"/>
      <c r="C4084" s="25"/>
      <c r="D4084" s="25"/>
      <c r="E4084" s="25"/>
      <c r="F4084" s="25"/>
      <c r="G4084" s="25"/>
      <c r="H4084" s="25"/>
      <c r="I4084" s="24" t="s">
        <v>418</v>
      </c>
      <c r="J4084" s="25"/>
      <c r="K4084" s="25"/>
      <c r="L4084" s="25"/>
      <c r="M4084" s="25"/>
      <c r="N4084" s="25"/>
      <c r="O4084" s="25"/>
      <c r="P4084" s="25"/>
      <c r="Q4084" s="25"/>
      <c r="R4084" s="25"/>
      <c r="S4084" s="25"/>
      <c r="T4084" s="25"/>
      <c r="U4084" s="25"/>
      <c r="V4084" s="25"/>
      <c r="W4084" s="25"/>
      <c r="X4084" s="25"/>
      <c r="Y4084" s="25"/>
      <c r="Z4084" s="25"/>
    </row>
    <row r="4085" spans="1:26" ht="15.75" customHeight="1" x14ac:dyDescent="0.45">
      <c r="A4085" s="25"/>
      <c r="B4085" s="25"/>
      <c r="C4085" s="25"/>
      <c r="D4085" s="25"/>
      <c r="E4085" s="25"/>
      <c r="F4085" s="25"/>
      <c r="G4085" s="25"/>
      <c r="H4085" s="25"/>
      <c r="I4085" s="24" t="s">
        <v>418</v>
      </c>
      <c r="J4085" s="25"/>
      <c r="K4085" s="25"/>
      <c r="L4085" s="25"/>
      <c r="M4085" s="25"/>
      <c r="N4085" s="25"/>
      <c r="O4085" s="25"/>
      <c r="P4085" s="25"/>
      <c r="Q4085" s="25"/>
      <c r="R4085" s="25"/>
      <c r="S4085" s="25"/>
      <c r="T4085" s="25"/>
      <c r="U4085" s="25"/>
      <c r="V4085" s="25"/>
      <c r="W4085" s="25"/>
      <c r="X4085" s="25"/>
      <c r="Y4085" s="25"/>
      <c r="Z4085" s="25"/>
    </row>
    <row r="4086" spans="1:26" ht="15.75" customHeight="1" x14ac:dyDescent="0.45">
      <c r="A4086" s="25"/>
      <c r="B4086" s="25"/>
      <c r="C4086" s="25"/>
      <c r="D4086" s="25"/>
      <c r="E4086" s="25"/>
      <c r="F4086" s="25"/>
      <c r="G4086" s="25"/>
      <c r="H4086" s="25"/>
      <c r="I4086" s="24" t="s">
        <v>418</v>
      </c>
      <c r="J4086" s="25"/>
      <c r="K4086" s="25"/>
      <c r="L4086" s="25"/>
      <c r="M4086" s="25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/>
      <c r="Z4086" s="25"/>
    </row>
    <row r="4087" spans="1:26" ht="15.75" customHeight="1" x14ac:dyDescent="0.45">
      <c r="A4087" s="25"/>
      <c r="B4087" s="25"/>
      <c r="C4087" s="25"/>
      <c r="D4087" s="25"/>
      <c r="E4087" s="25"/>
      <c r="F4087" s="25"/>
      <c r="G4087" s="25"/>
      <c r="H4087" s="25"/>
      <c r="I4087" s="24" t="s">
        <v>418</v>
      </c>
      <c r="J4087" s="25"/>
      <c r="K4087" s="25"/>
      <c r="L4087" s="25"/>
      <c r="M4087" s="25"/>
      <c r="N4087" s="25"/>
      <c r="O4087" s="25"/>
      <c r="P4087" s="25"/>
      <c r="Q4087" s="25"/>
      <c r="R4087" s="25"/>
      <c r="S4087" s="25"/>
      <c r="T4087" s="25"/>
      <c r="U4087" s="25"/>
      <c r="V4087" s="25"/>
      <c r="W4087" s="25"/>
      <c r="X4087" s="25"/>
      <c r="Y4087" s="25"/>
      <c r="Z4087" s="25"/>
    </row>
    <row r="4088" spans="1:26" ht="15.75" customHeight="1" x14ac:dyDescent="0.75">
      <c r="A4088" s="43" t="s">
        <v>0</v>
      </c>
      <c r="B4088" s="40"/>
      <c r="C4088" s="40"/>
      <c r="D4088" s="40"/>
      <c r="E4088" s="40"/>
      <c r="F4088" s="40"/>
      <c r="G4088" s="40"/>
      <c r="H4088" s="41"/>
      <c r="I4088" s="24" t="s">
        <v>418</v>
      </c>
      <c r="J4088" s="25"/>
      <c r="K4088" s="25"/>
      <c r="L4088" s="25"/>
      <c r="M4088" s="25"/>
      <c r="N4088" s="25"/>
      <c r="O4088" s="25"/>
      <c r="P4088" s="25"/>
      <c r="Q4088" s="25"/>
      <c r="R4088" s="25"/>
      <c r="S4088" s="25"/>
      <c r="T4088" s="25"/>
      <c r="U4088" s="25"/>
      <c r="V4088" s="25"/>
      <c r="W4088" s="25"/>
      <c r="X4088" s="25"/>
      <c r="Y4088" s="25"/>
      <c r="Z4088" s="25"/>
    </row>
    <row r="4089" spans="1:26" ht="15.75" customHeight="1" x14ac:dyDescent="0.75">
      <c r="A4089" s="43" t="s">
        <v>665</v>
      </c>
      <c r="B4089" s="40"/>
      <c r="C4089" s="40"/>
      <c r="D4089" s="40"/>
      <c r="E4089" s="40"/>
      <c r="F4089" s="40"/>
      <c r="G4089" s="40"/>
      <c r="H4089" s="41"/>
      <c r="I4089" s="24" t="s">
        <v>418</v>
      </c>
      <c r="J4089" s="25"/>
      <c r="K4089" s="25"/>
      <c r="L4089" s="25"/>
      <c r="M4089" s="25"/>
      <c r="N4089" s="25"/>
      <c r="O4089" s="25"/>
      <c r="P4089" s="25"/>
      <c r="Q4089" s="25"/>
      <c r="R4089" s="25"/>
      <c r="S4089" s="25"/>
      <c r="T4089" s="25"/>
      <c r="U4089" s="25"/>
      <c r="V4089" s="25"/>
      <c r="W4089" s="25"/>
      <c r="X4089" s="25"/>
      <c r="Y4089" s="25"/>
      <c r="Z4089" s="25"/>
    </row>
    <row r="4090" spans="1:26" ht="15.75" customHeight="1" x14ac:dyDescent="0.55000000000000004">
      <c r="A4090" s="2" t="s">
        <v>3</v>
      </c>
      <c r="B4090" s="2" t="s">
        <v>4</v>
      </c>
      <c r="C4090" s="2" t="s">
        <v>5</v>
      </c>
      <c r="D4090" s="2" t="s">
        <v>6</v>
      </c>
      <c r="E4090" s="2" t="s">
        <v>7</v>
      </c>
      <c r="F4090" s="3" t="s">
        <v>8</v>
      </c>
      <c r="G4090" s="2" t="s">
        <v>9</v>
      </c>
      <c r="H4090" s="26"/>
      <c r="I4090" s="24" t="s">
        <v>418</v>
      </c>
      <c r="J4090" s="25"/>
      <c r="K4090" s="25"/>
      <c r="L4090" s="25"/>
      <c r="M4090" s="25"/>
      <c r="N4090" s="25"/>
      <c r="O4090" s="25"/>
      <c r="P4090" s="25"/>
      <c r="Q4090" s="25"/>
      <c r="R4090" s="25"/>
      <c r="S4090" s="25"/>
      <c r="T4090" s="25"/>
      <c r="U4090" s="25"/>
      <c r="V4090" s="25"/>
      <c r="W4090" s="25"/>
      <c r="X4090" s="25"/>
      <c r="Y4090" s="25"/>
      <c r="Z4090" s="25"/>
    </row>
    <row r="4091" spans="1:26" ht="15.75" customHeight="1" x14ac:dyDescent="0.75">
      <c r="A4091" s="5">
        <v>1</v>
      </c>
      <c r="B4091" s="27" t="s">
        <v>35</v>
      </c>
      <c r="C4091" s="28" t="s">
        <v>666</v>
      </c>
      <c r="D4091" s="27" t="s">
        <v>12</v>
      </c>
      <c r="E4091" s="27">
        <v>1.5</v>
      </c>
      <c r="F4091" s="8">
        <v>293000</v>
      </c>
      <c r="G4091" s="9">
        <f t="shared" ref="G4091:G4093" si="255">IFERROR(E4091*F4091,0)</f>
        <v>439500</v>
      </c>
      <c r="H4091" s="29"/>
      <c r="I4091" s="24" t="s">
        <v>418</v>
      </c>
      <c r="J4091" s="25"/>
      <c r="K4091" s="25"/>
      <c r="L4091" s="25"/>
      <c r="M4091" s="25"/>
      <c r="N4091" s="25"/>
      <c r="O4091" s="25"/>
      <c r="P4091" s="25"/>
      <c r="Q4091" s="25"/>
      <c r="R4091" s="25"/>
      <c r="S4091" s="25"/>
      <c r="T4091" s="25"/>
      <c r="U4091" s="25"/>
      <c r="V4091" s="25"/>
      <c r="W4091" s="25"/>
      <c r="X4091" s="25"/>
      <c r="Y4091" s="25"/>
      <c r="Z4091" s="25"/>
    </row>
    <row r="4092" spans="1:26" ht="15.75" customHeight="1" x14ac:dyDescent="0.75">
      <c r="A4092" s="5">
        <v>2</v>
      </c>
      <c r="B4092" s="30" t="s">
        <v>362</v>
      </c>
      <c r="C4092" s="31" t="s">
        <v>667</v>
      </c>
      <c r="D4092" s="30" t="s">
        <v>14</v>
      </c>
      <c r="E4092" s="30">
        <v>1.7</v>
      </c>
      <c r="F4092" s="11">
        <v>435000</v>
      </c>
      <c r="G4092" s="9">
        <f t="shared" si="255"/>
        <v>739500</v>
      </c>
      <c r="H4092" s="29"/>
      <c r="I4092" s="24" t="s">
        <v>418</v>
      </c>
      <c r="J4092" s="25"/>
      <c r="K4092" s="25"/>
      <c r="L4092" s="25"/>
      <c r="M4092" s="25"/>
      <c r="N4092" s="25"/>
      <c r="O4092" s="25"/>
      <c r="P4092" s="25"/>
      <c r="Q4092" s="25"/>
      <c r="R4092" s="25"/>
      <c r="S4092" s="25"/>
      <c r="T4092" s="25"/>
      <c r="U4092" s="25"/>
      <c r="V4092" s="25"/>
      <c r="W4092" s="25"/>
      <c r="X4092" s="25"/>
      <c r="Y4092" s="25"/>
      <c r="Z4092" s="25"/>
    </row>
    <row r="4093" spans="1:26" ht="15.75" customHeight="1" x14ac:dyDescent="0.75">
      <c r="A4093" s="5">
        <v>3</v>
      </c>
      <c r="B4093" s="12" t="s">
        <v>15</v>
      </c>
      <c r="C4093" s="29"/>
      <c r="D4093" s="29"/>
      <c r="E4093" s="29"/>
      <c r="F4093" s="29"/>
      <c r="G4093" s="13">
        <f t="shared" si="255"/>
        <v>0</v>
      </c>
      <c r="H4093" s="29"/>
      <c r="I4093" s="24" t="s">
        <v>418</v>
      </c>
      <c r="J4093" s="25"/>
      <c r="K4093" s="25"/>
      <c r="L4093" s="25"/>
      <c r="M4093" s="25"/>
      <c r="N4093" s="25"/>
      <c r="O4093" s="25"/>
      <c r="P4093" s="25"/>
      <c r="Q4093" s="25"/>
      <c r="R4093" s="25"/>
      <c r="S4093" s="25"/>
      <c r="T4093" s="25"/>
      <c r="U4093" s="25"/>
      <c r="V4093" s="25"/>
      <c r="W4093" s="25"/>
      <c r="X4093" s="25"/>
      <c r="Y4093" s="25"/>
      <c r="Z4093" s="25"/>
    </row>
    <row r="4094" spans="1:26" ht="15.75" customHeight="1" x14ac:dyDescent="0.75">
      <c r="A4094" s="39" t="s">
        <v>16</v>
      </c>
      <c r="B4094" s="40"/>
      <c r="C4094" s="40"/>
      <c r="D4094" s="40"/>
      <c r="E4094" s="40"/>
      <c r="F4094" s="40"/>
      <c r="G4094" s="41"/>
      <c r="H4094" s="14">
        <f>SUM(G4091:G4093)</f>
        <v>1179000</v>
      </c>
      <c r="I4094" s="24" t="s">
        <v>418</v>
      </c>
      <c r="J4094" s="25"/>
      <c r="K4094" s="25"/>
      <c r="L4094" s="25"/>
      <c r="M4094" s="25"/>
      <c r="N4094" s="25"/>
      <c r="O4094" s="25"/>
      <c r="P4094" s="25"/>
      <c r="Q4094" s="25"/>
      <c r="R4094" s="25"/>
      <c r="S4094" s="25"/>
      <c r="T4094" s="25"/>
      <c r="U4094" s="25"/>
      <c r="V4094" s="25"/>
      <c r="W4094" s="25"/>
      <c r="X4094" s="25"/>
      <c r="Y4094" s="25"/>
      <c r="Z4094" s="25"/>
    </row>
    <row r="4095" spans="1:26" ht="15.75" customHeight="1" x14ac:dyDescent="0.75">
      <c r="A4095" s="39" t="s">
        <v>17</v>
      </c>
      <c r="B4095" s="40"/>
      <c r="C4095" s="40"/>
      <c r="D4095" s="40"/>
      <c r="E4095" s="40"/>
      <c r="F4095" s="40"/>
      <c r="G4095" s="41"/>
      <c r="H4095" s="14">
        <f>MAX(0,H4094-648000)</f>
        <v>531000</v>
      </c>
      <c r="I4095" s="24" t="s">
        <v>418</v>
      </c>
      <c r="J4095" s="25"/>
      <c r="K4095" s="25"/>
      <c r="L4095" s="25"/>
      <c r="M4095" s="25"/>
      <c r="N4095" s="25"/>
      <c r="O4095" s="25"/>
      <c r="P4095" s="25"/>
      <c r="Q4095" s="25"/>
      <c r="R4095" s="25"/>
      <c r="S4095" s="25"/>
      <c r="T4095" s="25"/>
      <c r="U4095" s="25"/>
      <c r="V4095" s="25"/>
      <c r="W4095" s="25"/>
      <c r="X4095" s="25"/>
      <c r="Y4095" s="25"/>
      <c r="Z4095" s="25"/>
    </row>
    <row r="4096" spans="1:26" ht="15.75" customHeight="1" x14ac:dyDescent="0.75">
      <c r="A4096" s="42" t="s">
        <v>18</v>
      </c>
      <c r="B4096" s="40"/>
      <c r="C4096" s="40"/>
      <c r="D4096" s="40"/>
      <c r="E4096" s="40"/>
      <c r="F4096" s="40"/>
      <c r="G4096" s="41"/>
      <c r="H4096" s="15">
        <v>649000</v>
      </c>
      <c r="I4096" s="24" t="s">
        <v>418</v>
      </c>
      <c r="J4096" s="25"/>
      <c r="K4096" s="25"/>
      <c r="L4096" s="25"/>
      <c r="M4096" s="25"/>
      <c r="N4096" s="25"/>
      <c r="O4096" s="25"/>
      <c r="P4096" s="25"/>
      <c r="Q4096" s="25"/>
      <c r="R4096" s="25"/>
      <c r="S4096" s="25"/>
      <c r="T4096" s="25"/>
      <c r="U4096" s="25"/>
      <c r="V4096" s="25"/>
      <c r="W4096" s="25"/>
      <c r="X4096" s="25"/>
      <c r="Y4096" s="25"/>
      <c r="Z4096" s="25"/>
    </row>
    <row r="4097" spans="1:26" ht="15.75" customHeight="1" x14ac:dyDescent="0.75">
      <c r="A4097" s="43" t="s">
        <v>19</v>
      </c>
      <c r="B4097" s="40"/>
      <c r="C4097" s="40"/>
      <c r="D4097" s="40"/>
      <c r="E4097" s="40"/>
      <c r="F4097" s="40"/>
      <c r="G4097" s="40"/>
      <c r="H4097" s="41"/>
      <c r="I4097" s="24" t="s">
        <v>418</v>
      </c>
      <c r="J4097" s="25"/>
      <c r="K4097" s="25"/>
      <c r="L4097" s="25"/>
      <c r="M4097" s="25"/>
      <c r="N4097" s="25"/>
      <c r="O4097" s="25"/>
      <c r="P4097" s="25"/>
      <c r="Q4097" s="25"/>
      <c r="R4097" s="25"/>
      <c r="S4097" s="25"/>
      <c r="T4097" s="25"/>
      <c r="U4097" s="25"/>
      <c r="V4097" s="25"/>
      <c r="W4097" s="25"/>
      <c r="X4097" s="25"/>
      <c r="Y4097" s="25"/>
      <c r="Z4097" s="25"/>
    </row>
    <row r="4098" spans="1:26" ht="15.75" customHeight="1" x14ac:dyDescent="0.45">
      <c r="A4098" s="25"/>
      <c r="B4098" s="25"/>
      <c r="C4098" s="25"/>
      <c r="D4098" s="25"/>
      <c r="E4098" s="25"/>
      <c r="F4098" s="25"/>
      <c r="G4098" s="25"/>
      <c r="H4098" s="25"/>
      <c r="I4098" s="24" t="s">
        <v>418</v>
      </c>
      <c r="J4098" s="25"/>
      <c r="K4098" s="25"/>
      <c r="L4098" s="25"/>
      <c r="M4098" s="25"/>
      <c r="N4098" s="25"/>
      <c r="O4098" s="25"/>
      <c r="P4098" s="25"/>
      <c r="Q4098" s="25"/>
      <c r="R4098" s="25"/>
      <c r="S4098" s="25"/>
      <c r="T4098" s="25"/>
      <c r="U4098" s="25"/>
      <c r="V4098" s="25"/>
      <c r="W4098" s="25"/>
      <c r="X4098" s="25"/>
      <c r="Y4098" s="25"/>
      <c r="Z4098" s="25"/>
    </row>
    <row r="4099" spans="1:26" ht="15.75" customHeight="1" x14ac:dyDescent="0.45">
      <c r="A4099" s="25"/>
      <c r="B4099" s="25"/>
      <c r="C4099" s="25"/>
      <c r="D4099" s="25"/>
      <c r="E4099" s="25"/>
      <c r="F4099" s="25"/>
      <c r="G4099" s="25"/>
      <c r="H4099" s="25"/>
      <c r="I4099" s="24" t="s">
        <v>418</v>
      </c>
      <c r="J4099" s="25"/>
      <c r="K4099" s="25"/>
      <c r="L4099" s="25"/>
      <c r="M4099" s="25"/>
      <c r="N4099" s="25"/>
      <c r="O4099" s="25"/>
      <c r="P4099" s="25"/>
      <c r="Q4099" s="25"/>
      <c r="R4099" s="25"/>
      <c r="S4099" s="25"/>
      <c r="T4099" s="25"/>
      <c r="U4099" s="25"/>
      <c r="V4099" s="25"/>
      <c r="W4099" s="25"/>
      <c r="X4099" s="25"/>
      <c r="Y4099" s="25"/>
      <c r="Z4099" s="25"/>
    </row>
    <row r="4100" spans="1:26" ht="15.75" customHeight="1" x14ac:dyDescent="0.45">
      <c r="A4100" s="25"/>
      <c r="B4100" s="25"/>
      <c r="C4100" s="25"/>
      <c r="D4100" s="25"/>
      <c r="E4100" s="25"/>
      <c r="F4100" s="25"/>
      <c r="G4100" s="25"/>
      <c r="H4100" s="25"/>
      <c r="I4100" s="24" t="s">
        <v>418</v>
      </c>
      <c r="J4100" s="25"/>
      <c r="K4100" s="25"/>
      <c r="L4100" s="25"/>
      <c r="M4100" s="25"/>
      <c r="N4100" s="25"/>
      <c r="O4100" s="25"/>
      <c r="P4100" s="25"/>
      <c r="Q4100" s="25"/>
      <c r="R4100" s="25"/>
      <c r="S4100" s="25"/>
      <c r="T4100" s="25"/>
      <c r="U4100" s="25"/>
      <c r="V4100" s="25"/>
      <c r="W4100" s="25"/>
      <c r="X4100" s="25"/>
      <c r="Y4100" s="25"/>
      <c r="Z4100" s="25"/>
    </row>
    <row r="4101" spans="1:26" ht="15.75" customHeight="1" x14ac:dyDescent="0.45">
      <c r="A4101" s="25"/>
      <c r="B4101" s="25"/>
      <c r="C4101" s="25"/>
      <c r="D4101" s="25"/>
      <c r="E4101" s="25"/>
      <c r="F4101" s="25"/>
      <c r="G4101" s="25"/>
      <c r="H4101" s="25"/>
      <c r="I4101" s="24" t="s">
        <v>418</v>
      </c>
      <c r="J4101" s="25"/>
      <c r="K4101" s="25"/>
      <c r="L4101" s="25"/>
      <c r="M4101" s="25"/>
      <c r="N4101" s="25"/>
      <c r="O4101" s="25"/>
      <c r="P4101" s="25"/>
      <c r="Q4101" s="25"/>
      <c r="R4101" s="25"/>
      <c r="S4101" s="25"/>
      <c r="T4101" s="25"/>
      <c r="U4101" s="25"/>
      <c r="V4101" s="25"/>
      <c r="W4101" s="25"/>
      <c r="X4101" s="25"/>
      <c r="Y4101" s="25"/>
      <c r="Z4101" s="25"/>
    </row>
    <row r="4102" spans="1:26" ht="15.75" customHeight="1" x14ac:dyDescent="0.45">
      <c r="A4102" s="25"/>
      <c r="B4102" s="25"/>
      <c r="C4102" s="25"/>
      <c r="D4102" s="25"/>
      <c r="E4102" s="25"/>
      <c r="F4102" s="25"/>
      <c r="G4102" s="25"/>
      <c r="H4102" s="25"/>
      <c r="I4102" s="24" t="s">
        <v>418</v>
      </c>
      <c r="J4102" s="25"/>
      <c r="K4102" s="25"/>
      <c r="L4102" s="25"/>
      <c r="M4102" s="25"/>
      <c r="N4102" s="25"/>
      <c r="O4102" s="25"/>
      <c r="P4102" s="25"/>
      <c r="Q4102" s="25"/>
      <c r="R4102" s="25"/>
      <c r="S4102" s="25"/>
      <c r="T4102" s="25"/>
      <c r="U4102" s="25"/>
      <c r="V4102" s="25"/>
      <c r="W4102" s="25"/>
      <c r="X4102" s="25"/>
      <c r="Y4102" s="25"/>
      <c r="Z4102" s="25"/>
    </row>
    <row r="4103" spans="1:26" ht="15.75" customHeight="1" x14ac:dyDescent="0.45">
      <c r="A4103" s="25"/>
      <c r="B4103" s="25"/>
      <c r="C4103" s="25"/>
      <c r="D4103" s="25"/>
      <c r="E4103" s="25"/>
      <c r="F4103" s="25"/>
      <c r="G4103" s="25"/>
      <c r="H4103" s="25"/>
      <c r="I4103" s="24" t="s">
        <v>418</v>
      </c>
      <c r="J4103" s="25"/>
      <c r="K4103" s="25"/>
      <c r="L4103" s="25"/>
      <c r="M4103" s="25"/>
      <c r="N4103" s="25"/>
      <c r="O4103" s="25"/>
      <c r="P4103" s="25"/>
      <c r="Q4103" s="25"/>
      <c r="R4103" s="25"/>
      <c r="S4103" s="25"/>
      <c r="T4103" s="25"/>
      <c r="U4103" s="25"/>
      <c r="V4103" s="25"/>
      <c r="W4103" s="25"/>
      <c r="X4103" s="25"/>
      <c r="Y4103" s="25"/>
      <c r="Z4103" s="25"/>
    </row>
    <row r="4104" spans="1:26" ht="15.75" customHeight="1" x14ac:dyDescent="0.45">
      <c r="A4104" s="25"/>
      <c r="B4104" s="25"/>
      <c r="C4104" s="25"/>
      <c r="D4104" s="25"/>
      <c r="E4104" s="25"/>
      <c r="F4104" s="25"/>
      <c r="G4104" s="25"/>
      <c r="H4104" s="25"/>
      <c r="I4104" s="24" t="s">
        <v>418</v>
      </c>
      <c r="J4104" s="25"/>
      <c r="K4104" s="25"/>
      <c r="L4104" s="25"/>
      <c r="M4104" s="25"/>
      <c r="N4104" s="25"/>
      <c r="O4104" s="25"/>
      <c r="P4104" s="25"/>
      <c r="Q4104" s="25"/>
      <c r="R4104" s="25"/>
      <c r="S4104" s="25"/>
      <c r="T4104" s="25"/>
      <c r="U4104" s="25"/>
      <c r="V4104" s="25"/>
      <c r="W4104" s="25"/>
      <c r="X4104" s="25"/>
      <c r="Y4104" s="25"/>
      <c r="Z4104" s="25"/>
    </row>
    <row r="4105" spans="1:26" ht="15.75" customHeight="1" x14ac:dyDescent="0.45">
      <c r="A4105" s="25"/>
      <c r="B4105" s="25"/>
      <c r="C4105" s="25"/>
      <c r="D4105" s="25"/>
      <c r="E4105" s="25"/>
      <c r="F4105" s="25"/>
      <c r="G4105" s="25"/>
      <c r="H4105" s="25"/>
      <c r="I4105" s="24" t="s">
        <v>418</v>
      </c>
      <c r="J4105" s="25"/>
      <c r="K4105" s="25"/>
      <c r="L4105" s="25"/>
      <c r="M4105" s="25"/>
      <c r="N4105" s="25"/>
      <c r="O4105" s="25"/>
      <c r="P4105" s="25"/>
      <c r="Q4105" s="25"/>
      <c r="R4105" s="25"/>
      <c r="S4105" s="25"/>
      <c r="T4105" s="25"/>
      <c r="U4105" s="25"/>
      <c r="V4105" s="25"/>
      <c r="W4105" s="25"/>
      <c r="X4105" s="25"/>
      <c r="Y4105" s="25"/>
      <c r="Z4105" s="25"/>
    </row>
    <row r="4106" spans="1:26" ht="15.75" customHeight="1" x14ac:dyDescent="0.75">
      <c r="A4106" s="43" t="s">
        <v>0</v>
      </c>
      <c r="B4106" s="40"/>
      <c r="C4106" s="40"/>
      <c r="D4106" s="40"/>
      <c r="E4106" s="40"/>
      <c r="F4106" s="40"/>
      <c r="G4106" s="40"/>
      <c r="H4106" s="41"/>
      <c r="I4106" s="24" t="s">
        <v>418</v>
      </c>
      <c r="J4106" s="25"/>
      <c r="K4106" s="25"/>
      <c r="L4106" s="25"/>
      <c r="M4106" s="25"/>
      <c r="N4106" s="25"/>
      <c r="O4106" s="25"/>
      <c r="P4106" s="25"/>
      <c r="Q4106" s="25"/>
      <c r="R4106" s="25"/>
      <c r="S4106" s="25"/>
      <c r="T4106" s="25"/>
      <c r="U4106" s="25"/>
      <c r="V4106" s="25"/>
      <c r="W4106" s="25"/>
      <c r="X4106" s="25"/>
      <c r="Y4106" s="25"/>
      <c r="Z4106" s="25"/>
    </row>
    <row r="4107" spans="1:26" ht="15.75" customHeight="1" x14ac:dyDescent="0.75">
      <c r="A4107" s="43" t="s">
        <v>668</v>
      </c>
      <c r="B4107" s="40"/>
      <c r="C4107" s="40"/>
      <c r="D4107" s="40"/>
      <c r="E4107" s="40"/>
      <c r="F4107" s="40"/>
      <c r="G4107" s="40"/>
      <c r="H4107" s="41"/>
      <c r="I4107" s="24" t="s">
        <v>418</v>
      </c>
      <c r="J4107" s="25"/>
      <c r="K4107" s="25"/>
      <c r="L4107" s="25"/>
      <c r="M4107" s="25"/>
      <c r="N4107" s="25"/>
      <c r="O4107" s="25"/>
      <c r="P4107" s="25"/>
      <c r="Q4107" s="25"/>
      <c r="R4107" s="25"/>
      <c r="S4107" s="25"/>
      <c r="T4107" s="25"/>
      <c r="U4107" s="25"/>
      <c r="V4107" s="25"/>
      <c r="W4107" s="25"/>
      <c r="X4107" s="25"/>
      <c r="Y4107" s="25"/>
      <c r="Z4107" s="25"/>
    </row>
    <row r="4108" spans="1:26" ht="15.75" customHeight="1" x14ac:dyDescent="0.55000000000000004">
      <c r="A4108" s="2" t="s">
        <v>3</v>
      </c>
      <c r="B4108" s="2" t="s">
        <v>4</v>
      </c>
      <c r="C4108" s="2" t="s">
        <v>5</v>
      </c>
      <c r="D4108" s="2" t="s">
        <v>6</v>
      </c>
      <c r="E4108" s="2" t="s">
        <v>7</v>
      </c>
      <c r="F4108" s="3" t="s">
        <v>8</v>
      </c>
      <c r="G4108" s="2" t="s">
        <v>9</v>
      </c>
      <c r="H4108" s="26"/>
      <c r="I4108" s="24" t="s">
        <v>418</v>
      </c>
      <c r="J4108" s="25"/>
      <c r="K4108" s="25"/>
      <c r="L4108" s="25"/>
      <c r="M4108" s="25"/>
      <c r="N4108" s="25"/>
      <c r="O4108" s="25"/>
      <c r="P4108" s="25"/>
      <c r="Q4108" s="25"/>
      <c r="R4108" s="25"/>
      <c r="S4108" s="25"/>
      <c r="T4108" s="25"/>
      <c r="U4108" s="25"/>
      <c r="V4108" s="25"/>
      <c r="W4108" s="25"/>
      <c r="X4108" s="25"/>
      <c r="Y4108" s="25"/>
      <c r="Z4108" s="25"/>
    </row>
    <row r="4109" spans="1:26" ht="15.75" customHeight="1" x14ac:dyDescent="0.75">
      <c r="A4109" s="5">
        <v>1</v>
      </c>
      <c r="B4109" s="27" t="s">
        <v>669</v>
      </c>
      <c r="C4109" s="28" t="s">
        <v>670</v>
      </c>
      <c r="D4109" s="27" t="s">
        <v>12</v>
      </c>
      <c r="E4109" s="27">
        <v>1.7</v>
      </c>
      <c r="F4109" s="8">
        <v>293000</v>
      </c>
      <c r="G4109" s="9">
        <f t="shared" ref="G4109:G4111" si="256">IFERROR(E4109*F4109,0)</f>
        <v>498100</v>
      </c>
      <c r="H4109" s="29"/>
      <c r="I4109" s="24" t="s">
        <v>418</v>
      </c>
      <c r="J4109" s="25"/>
      <c r="K4109" s="25"/>
      <c r="L4109" s="25"/>
      <c r="M4109" s="25"/>
      <c r="N4109" s="25"/>
      <c r="O4109" s="25"/>
      <c r="P4109" s="25"/>
      <c r="Q4109" s="25"/>
      <c r="R4109" s="25"/>
      <c r="S4109" s="25"/>
      <c r="T4109" s="25"/>
      <c r="U4109" s="25"/>
      <c r="V4109" s="25"/>
      <c r="W4109" s="25"/>
      <c r="X4109" s="25"/>
      <c r="Y4109" s="25"/>
      <c r="Z4109" s="25"/>
    </row>
    <row r="4110" spans="1:26" ht="15.75" customHeight="1" x14ac:dyDescent="0.75">
      <c r="A4110" s="5">
        <v>2</v>
      </c>
      <c r="B4110" s="30" t="s">
        <v>671</v>
      </c>
      <c r="C4110" s="31" t="s">
        <v>672</v>
      </c>
      <c r="D4110" s="30" t="s">
        <v>14</v>
      </c>
      <c r="E4110" s="30">
        <v>1.84</v>
      </c>
      <c r="F4110" s="11">
        <v>435000</v>
      </c>
      <c r="G4110" s="9">
        <f t="shared" si="256"/>
        <v>800400</v>
      </c>
      <c r="H4110" s="29"/>
      <c r="I4110" s="24" t="s">
        <v>418</v>
      </c>
      <c r="J4110" s="25"/>
      <c r="K4110" s="25"/>
      <c r="L4110" s="25"/>
      <c r="M4110" s="25"/>
      <c r="N4110" s="25"/>
      <c r="O4110" s="25"/>
      <c r="P4110" s="25"/>
      <c r="Q4110" s="25"/>
      <c r="R4110" s="25"/>
      <c r="S4110" s="25"/>
      <c r="T4110" s="25"/>
      <c r="U4110" s="25"/>
      <c r="V4110" s="25"/>
      <c r="W4110" s="25"/>
      <c r="X4110" s="25"/>
      <c r="Y4110" s="25"/>
      <c r="Z4110" s="25"/>
    </row>
    <row r="4111" spans="1:26" ht="15.75" customHeight="1" x14ac:dyDescent="0.75">
      <c r="A4111" s="5">
        <v>3</v>
      </c>
      <c r="B4111" s="12" t="s">
        <v>15</v>
      </c>
      <c r="C4111" s="29"/>
      <c r="D4111" s="29"/>
      <c r="E4111" s="29"/>
      <c r="F4111" s="29"/>
      <c r="G4111" s="13">
        <f t="shared" si="256"/>
        <v>0</v>
      </c>
      <c r="H4111" s="29"/>
      <c r="I4111" s="24" t="s">
        <v>418</v>
      </c>
      <c r="J4111" s="25"/>
      <c r="K4111" s="25"/>
      <c r="L4111" s="25"/>
      <c r="M4111" s="25"/>
      <c r="N4111" s="25"/>
      <c r="O4111" s="25"/>
      <c r="P4111" s="25"/>
      <c r="Q4111" s="25"/>
      <c r="R4111" s="25"/>
      <c r="S4111" s="25"/>
      <c r="T4111" s="25"/>
      <c r="U4111" s="25"/>
      <c r="V4111" s="25"/>
      <c r="W4111" s="25"/>
      <c r="X4111" s="25"/>
      <c r="Y4111" s="25"/>
      <c r="Z4111" s="25"/>
    </row>
    <row r="4112" spans="1:26" ht="15.75" customHeight="1" x14ac:dyDescent="0.75">
      <c r="A4112" s="39" t="s">
        <v>16</v>
      </c>
      <c r="B4112" s="40"/>
      <c r="C4112" s="40"/>
      <c r="D4112" s="40"/>
      <c r="E4112" s="40"/>
      <c r="F4112" s="40"/>
      <c r="G4112" s="41"/>
      <c r="H4112" s="14">
        <f>SUM(G4109:G4111)</f>
        <v>1298500</v>
      </c>
      <c r="I4112" s="24" t="s">
        <v>418</v>
      </c>
      <c r="J4112" s="25"/>
      <c r="K4112" s="25"/>
      <c r="L4112" s="25"/>
      <c r="M4112" s="25"/>
      <c r="N4112" s="25"/>
      <c r="O4112" s="25"/>
      <c r="P4112" s="25"/>
      <c r="Q4112" s="25"/>
      <c r="R4112" s="25"/>
      <c r="S4112" s="25"/>
      <c r="T4112" s="25"/>
      <c r="U4112" s="25"/>
      <c r="V4112" s="25"/>
      <c r="W4112" s="25"/>
      <c r="X4112" s="25"/>
      <c r="Y4112" s="25"/>
      <c r="Z4112" s="25"/>
    </row>
    <row r="4113" spans="1:26" ht="15.75" customHeight="1" x14ac:dyDescent="0.75">
      <c r="A4113" s="39" t="s">
        <v>17</v>
      </c>
      <c r="B4113" s="40"/>
      <c r="C4113" s="40"/>
      <c r="D4113" s="40"/>
      <c r="E4113" s="40"/>
      <c r="F4113" s="40"/>
      <c r="G4113" s="41"/>
      <c r="H4113" s="14">
        <f>MAX(0,H4112-648000)</f>
        <v>650500</v>
      </c>
      <c r="I4113" s="24" t="s">
        <v>418</v>
      </c>
      <c r="J4113" s="25"/>
      <c r="K4113" s="25"/>
      <c r="L4113" s="25"/>
      <c r="M4113" s="25"/>
      <c r="N4113" s="25"/>
      <c r="O4113" s="25"/>
      <c r="P4113" s="25"/>
      <c r="Q4113" s="25"/>
      <c r="R4113" s="25"/>
      <c r="S4113" s="25"/>
      <c r="T4113" s="25"/>
      <c r="U4113" s="25"/>
      <c r="V4113" s="25"/>
      <c r="W4113" s="25"/>
      <c r="X4113" s="25"/>
      <c r="Y4113" s="25"/>
      <c r="Z4113" s="25"/>
    </row>
    <row r="4114" spans="1:26" ht="15.75" customHeight="1" x14ac:dyDescent="0.75">
      <c r="A4114" s="42" t="s">
        <v>18</v>
      </c>
      <c r="B4114" s="40"/>
      <c r="C4114" s="40"/>
      <c r="D4114" s="40"/>
      <c r="E4114" s="40"/>
      <c r="F4114" s="40"/>
      <c r="G4114" s="41"/>
      <c r="H4114" s="15">
        <v>649000</v>
      </c>
      <c r="I4114" s="24" t="s">
        <v>418</v>
      </c>
      <c r="J4114" s="25"/>
      <c r="K4114" s="25"/>
      <c r="L4114" s="25"/>
      <c r="M4114" s="25"/>
      <c r="N4114" s="25"/>
      <c r="O4114" s="25"/>
      <c r="P4114" s="25"/>
      <c r="Q4114" s="25"/>
      <c r="R4114" s="25"/>
      <c r="S4114" s="25"/>
      <c r="T4114" s="25"/>
      <c r="U4114" s="25"/>
      <c r="V4114" s="25"/>
      <c r="W4114" s="25"/>
      <c r="X4114" s="25"/>
      <c r="Y4114" s="25"/>
      <c r="Z4114" s="25"/>
    </row>
    <row r="4115" spans="1:26" ht="15.75" customHeight="1" x14ac:dyDescent="0.75">
      <c r="A4115" s="43" t="s">
        <v>19</v>
      </c>
      <c r="B4115" s="40"/>
      <c r="C4115" s="40"/>
      <c r="D4115" s="40"/>
      <c r="E4115" s="40"/>
      <c r="F4115" s="40"/>
      <c r="G4115" s="40"/>
      <c r="H4115" s="41"/>
      <c r="I4115" s="24" t="s">
        <v>418</v>
      </c>
      <c r="J4115" s="25"/>
      <c r="K4115" s="25"/>
      <c r="L4115" s="25"/>
      <c r="M4115" s="25"/>
      <c r="N4115" s="25"/>
      <c r="O4115" s="25"/>
      <c r="P4115" s="25"/>
      <c r="Q4115" s="25"/>
      <c r="R4115" s="25"/>
      <c r="S4115" s="25"/>
      <c r="T4115" s="25"/>
      <c r="U4115" s="25"/>
      <c r="V4115" s="25"/>
      <c r="W4115" s="25"/>
      <c r="X4115" s="25"/>
      <c r="Y4115" s="25"/>
      <c r="Z4115" s="25"/>
    </row>
    <row r="4116" spans="1:26" ht="15.75" customHeight="1" x14ac:dyDescent="0.45">
      <c r="A4116" s="25"/>
      <c r="B4116" s="25"/>
      <c r="C4116" s="25"/>
      <c r="D4116" s="25"/>
      <c r="E4116" s="25"/>
      <c r="F4116" s="25"/>
      <c r="G4116" s="25"/>
      <c r="H4116" s="25"/>
      <c r="I4116" s="24" t="s">
        <v>418</v>
      </c>
      <c r="J4116" s="25"/>
      <c r="K4116" s="25"/>
      <c r="L4116" s="25"/>
      <c r="M4116" s="25"/>
      <c r="N4116" s="25"/>
      <c r="O4116" s="25"/>
      <c r="P4116" s="25"/>
      <c r="Q4116" s="25"/>
      <c r="R4116" s="25"/>
      <c r="S4116" s="25"/>
      <c r="T4116" s="25"/>
      <c r="U4116" s="25"/>
      <c r="V4116" s="25"/>
      <c r="W4116" s="25"/>
      <c r="X4116" s="25"/>
      <c r="Y4116" s="25"/>
      <c r="Z4116" s="25"/>
    </row>
    <row r="4117" spans="1:26" ht="15.75" customHeight="1" x14ac:dyDescent="0.45">
      <c r="A4117" s="25"/>
      <c r="B4117" s="25"/>
      <c r="C4117" s="25"/>
      <c r="D4117" s="25"/>
      <c r="E4117" s="25"/>
      <c r="F4117" s="25"/>
      <c r="G4117" s="25"/>
      <c r="H4117" s="25"/>
      <c r="I4117" s="24" t="s">
        <v>418</v>
      </c>
      <c r="J4117" s="25"/>
      <c r="K4117" s="25"/>
      <c r="L4117" s="25"/>
      <c r="M4117" s="25"/>
      <c r="N4117" s="25"/>
      <c r="O4117" s="25"/>
      <c r="P4117" s="25"/>
      <c r="Q4117" s="25"/>
      <c r="R4117" s="25"/>
      <c r="S4117" s="25"/>
      <c r="T4117" s="25"/>
      <c r="U4117" s="25"/>
      <c r="V4117" s="25"/>
      <c r="W4117" s="25"/>
      <c r="X4117" s="25"/>
      <c r="Y4117" s="25"/>
      <c r="Z4117" s="25"/>
    </row>
    <row r="4118" spans="1:26" ht="15.75" customHeight="1" x14ac:dyDescent="0.45">
      <c r="A4118" s="25"/>
      <c r="B4118" s="25"/>
      <c r="C4118" s="25"/>
      <c r="D4118" s="25"/>
      <c r="E4118" s="25"/>
      <c r="F4118" s="25"/>
      <c r="G4118" s="25"/>
      <c r="H4118" s="25"/>
      <c r="I4118" s="24" t="s">
        <v>418</v>
      </c>
      <c r="J4118" s="25"/>
      <c r="K4118" s="25"/>
      <c r="L4118" s="25"/>
      <c r="M4118" s="25"/>
      <c r="N4118" s="25"/>
      <c r="O4118" s="25"/>
      <c r="P4118" s="25"/>
      <c r="Q4118" s="25"/>
      <c r="R4118" s="25"/>
      <c r="S4118" s="25"/>
      <c r="T4118" s="25"/>
      <c r="U4118" s="25"/>
      <c r="V4118" s="25"/>
      <c r="W4118" s="25"/>
      <c r="X4118" s="25"/>
      <c r="Y4118" s="25"/>
      <c r="Z4118" s="25"/>
    </row>
    <row r="4119" spans="1:26" ht="15.75" customHeight="1" x14ac:dyDescent="0.45">
      <c r="A4119" s="25"/>
      <c r="B4119" s="25"/>
      <c r="C4119" s="25"/>
      <c r="D4119" s="25"/>
      <c r="E4119" s="25"/>
      <c r="F4119" s="25"/>
      <c r="G4119" s="25"/>
      <c r="H4119" s="25"/>
      <c r="I4119" s="24" t="s">
        <v>418</v>
      </c>
      <c r="J4119" s="25"/>
      <c r="K4119" s="25"/>
      <c r="L4119" s="25"/>
      <c r="M4119" s="25"/>
      <c r="N4119" s="25"/>
      <c r="O4119" s="25"/>
      <c r="P4119" s="25"/>
      <c r="Q4119" s="25"/>
      <c r="R4119" s="25"/>
      <c r="S4119" s="25"/>
      <c r="T4119" s="25"/>
      <c r="U4119" s="25"/>
      <c r="V4119" s="25"/>
      <c r="W4119" s="25"/>
      <c r="X4119" s="25"/>
      <c r="Y4119" s="25"/>
      <c r="Z4119" s="25"/>
    </row>
    <row r="4120" spans="1:26" ht="15.75" customHeight="1" x14ac:dyDescent="0.75">
      <c r="A4120" s="43" t="s">
        <v>0</v>
      </c>
      <c r="B4120" s="40"/>
      <c r="C4120" s="40"/>
      <c r="D4120" s="40"/>
      <c r="E4120" s="40"/>
      <c r="F4120" s="40"/>
      <c r="G4120" s="40"/>
      <c r="H4120" s="41"/>
      <c r="I4120" s="24" t="s">
        <v>418</v>
      </c>
      <c r="J4120" s="25"/>
      <c r="K4120" s="25"/>
      <c r="L4120" s="25"/>
      <c r="M4120" s="25"/>
      <c r="N4120" s="25"/>
      <c r="O4120" s="25"/>
      <c r="P4120" s="25"/>
      <c r="Q4120" s="25"/>
      <c r="R4120" s="25"/>
      <c r="S4120" s="25"/>
      <c r="T4120" s="25"/>
      <c r="U4120" s="25"/>
      <c r="V4120" s="25"/>
      <c r="W4120" s="25"/>
      <c r="X4120" s="25"/>
      <c r="Y4120" s="25"/>
      <c r="Z4120" s="25"/>
    </row>
    <row r="4121" spans="1:26" ht="15.75" customHeight="1" x14ac:dyDescent="0.75">
      <c r="A4121" s="43" t="s">
        <v>673</v>
      </c>
      <c r="B4121" s="40"/>
      <c r="C4121" s="40"/>
      <c r="D4121" s="40"/>
      <c r="E4121" s="40"/>
      <c r="F4121" s="40"/>
      <c r="G4121" s="40"/>
      <c r="H4121" s="41"/>
      <c r="I4121" s="24" t="s">
        <v>418</v>
      </c>
      <c r="J4121" s="25"/>
      <c r="K4121" s="25"/>
      <c r="L4121" s="25"/>
      <c r="M4121" s="25"/>
      <c r="N4121" s="25"/>
      <c r="O4121" s="25"/>
      <c r="P4121" s="25"/>
      <c r="Q4121" s="25"/>
      <c r="R4121" s="25"/>
      <c r="S4121" s="25"/>
      <c r="T4121" s="25"/>
      <c r="U4121" s="25"/>
      <c r="V4121" s="25"/>
      <c r="W4121" s="25"/>
      <c r="X4121" s="25"/>
      <c r="Y4121" s="25"/>
      <c r="Z4121" s="25"/>
    </row>
    <row r="4122" spans="1:26" ht="15.75" customHeight="1" x14ac:dyDescent="0.55000000000000004">
      <c r="A4122" s="2" t="s">
        <v>3</v>
      </c>
      <c r="B4122" s="2" t="s">
        <v>4</v>
      </c>
      <c r="C4122" s="2" t="s">
        <v>5</v>
      </c>
      <c r="D4122" s="2" t="s">
        <v>6</v>
      </c>
      <c r="E4122" s="2" t="s">
        <v>7</v>
      </c>
      <c r="F4122" s="3" t="s">
        <v>8</v>
      </c>
      <c r="G4122" s="2" t="s">
        <v>9</v>
      </c>
      <c r="H4122" s="26"/>
      <c r="I4122" s="24" t="s">
        <v>418</v>
      </c>
      <c r="J4122" s="25"/>
      <c r="K4122" s="25"/>
      <c r="L4122" s="25"/>
      <c r="M4122" s="25"/>
      <c r="N4122" s="25"/>
      <c r="O4122" s="25"/>
      <c r="P4122" s="25"/>
      <c r="Q4122" s="25"/>
      <c r="R4122" s="25"/>
      <c r="S4122" s="25"/>
      <c r="T4122" s="25"/>
      <c r="U4122" s="25"/>
      <c r="V4122" s="25"/>
      <c r="W4122" s="25"/>
      <c r="X4122" s="25"/>
      <c r="Y4122" s="25"/>
      <c r="Z4122" s="25"/>
    </row>
    <row r="4123" spans="1:26" ht="15.75" customHeight="1" x14ac:dyDescent="0.75">
      <c r="A4123" s="5">
        <v>1</v>
      </c>
      <c r="B4123" s="32" t="s">
        <v>674</v>
      </c>
      <c r="C4123" s="33" t="s">
        <v>675</v>
      </c>
      <c r="D4123" s="27" t="s">
        <v>12</v>
      </c>
      <c r="E4123" s="27">
        <v>1.65</v>
      </c>
      <c r="F4123" s="8">
        <v>293000</v>
      </c>
      <c r="G4123" s="9">
        <f t="shared" ref="G4123:G4125" si="257">IFERROR(E4123*F4123,0)</f>
        <v>483450</v>
      </c>
      <c r="H4123" s="29"/>
      <c r="I4123" s="24" t="s">
        <v>418</v>
      </c>
      <c r="J4123" s="25"/>
      <c r="K4123" s="25"/>
      <c r="L4123" s="25"/>
      <c r="M4123" s="25"/>
      <c r="N4123" s="25"/>
      <c r="O4123" s="25"/>
      <c r="P4123" s="25"/>
      <c r="Q4123" s="25"/>
      <c r="R4123" s="25"/>
      <c r="S4123" s="25"/>
      <c r="T4123" s="25"/>
      <c r="U4123" s="25"/>
      <c r="V4123" s="25"/>
      <c r="W4123" s="25"/>
      <c r="X4123" s="25"/>
      <c r="Y4123" s="25"/>
      <c r="Z4123" s="25"/>
    </row>
    <row r="4124" spans="1:26" ht="15.75" customHeight="1" x14ac:dyDescent="0.75">
      <c r="A4124" s="5">
        <v>2</v>
      </c>
      <c r="B4124" s="30" t="s">
        <v>671</v>
      </c>
      <c r="C4124" s="31" t="s">
        <v>676</v>
      </c>
      <c r="D4124" s="30" t="s">
        <v>14</v>
      </c>
      <c r="E4124" s="30">
        <v>1.64</v>
      </c>
      <c r="F4124" s="11">
        <v>435000</v>
      </c>
      <c r="G4124" s="9">
        <f t="shared" si="257"/>
        <v>713400</v>
      </c>
      <c r="H4124" s="29"/>
      <c r="I4124" s="24" t="s">
        <v>418</v>
      </c>
      <c r="J4124" s="25"/>
      <c r="K4124" s="25"/>
      <c r="L4124" s="25"/>
      <c r="M4124" s="25"/>
      <c r="N4124" s="25"/>
      <c r="O4124" s="25"/>
      <c r="P4124" s="25"/>
      <c r="Q4124" s="25"/>
      <c r="R4124" s="25"/>
      <c r="S4124" s="25"/>
      <c r="T4124" s="25"/>
      <c r="U4124" s="25"/>
      <c r="V4124" s="25"/>
      <c r="W4124" s="25"/>
      <c r="X4124" s="25"/>
      <c r="Y4124" s="25"/>
      <c r="Z4124" s="25"/>
    </row>
    <row r="4125" spans="1:26" ht="15.75" customHeight="1" x14ac:dyDescent="0.75">
      <c r="A4125" s="5">
        <v>3</v>
      </c>
      <c r="B4125" s="12" t="s">
        <v>15</v>
      </c>
      <c r="C4125" s="29"/>
      <c r="D4125" s="29"/>
      <c r="E4125" s="29"/>
      <c r="F4125" s="29"/>
      <c r="G4125" s="13">
        <f t="shared" si="257"/>
        <v>0</v>
      </c>
      <c r="H4125" s="29"/>
      <c r="I4125" s="24" t="s">
        <v>418</v>
      </c>
      <c r="J4125" s="25"/>
      <c r="K4125" s="25"/>
      <c r="L4125" s="25"/>
      <c r="M4125" s="25"/>
      <c r="N4125" s="25"/>
      <c r="O4125" s="25"/>
      <c r="P4125" s="25"/>
      <c r="Q4125" s="25"/>
      <c r="R4125" s="25"/>
      <c r="S4125" s="25"/>
      <c r="T4125" s="25"/>
      <c r="U4125" s="25"/>
      <c r="V4125" s="25"/>
      <c r="W4125" s="25"/>
      <c r="X4125" s="25"/>
      <c r="Y4125" s="25"/>
      <c r="Z4125" s="25"/>
    </row>
    <row r="4126" spans="1:26" ht="15.75" customHeight="1" x14ac:dyDescent="0.75">
      <c r="A4126" s="39" t="s">
        <v>16</v>
      </c>
      <c r="B4126" s="40"/>
      <c r="C4126" s="40"/>
      <c r="D4126" s="40"/>
      <c r="E4126" s="40"/>
      <c r="F4126" s="40"/>
      <c r="G4126" s="41"/>
      <c r="H4126" s="14">
        <f>SUM(G4123:G4125)</f>
        <v>1196850</v>
      </c>
      <c r="I4126" s="24" t="s">
        <v>418</v>
      </c>
      <c r="J4126" s="25"/>
      <c r="K4126" s="25"/>
      <c r="L4126" s="25"/>
      <c r="M4126" s="25"/>
      <c r="N4126" s="25"/>
      <c r="O4126" s="25"/>
      <c r="P4126" s="25"/>
      <c r="Q4126" s="25"/>
      <c r="R4126" s="25"/>
      <c r="S4126" s="25"/>
      <c r="T4126" s="25"/>
      <c r="U4126" s="25"/>
      <c r="V4126" s="25"/>
      <c r="W4126" s="25"/>
      <c r="X4126" s="25"/>
      <c r="Y4126" s="25"/>
      <c r="Z4126" s="25"/>
    </row>
    <row r="4127" spans="1:26" ht="15.75" customHeight="1" x14ac:dyDescent="0.75">
      <c r="A4127" s="39" t="s">
        <v>17</v>
      </c>
      <c r="B4127" s="40"/>
      <c r="C4127" s="40"/>
      <c r="D4127" s="40"/>
      <c r="E4127" s="40"/>
      <c r="F4127" s="40"/>
      <c r="G4127" s="41"/>
      <c r="H4127" s="14">
        <f>MAX(0,H4126-648000)</f>
        <v>548850</v>
      </c>
      <c r="I4127" s="24" t="s">
        <v>418</v>
      </c>
      <c r="J4127" s="25"/>
      <c r="K4127" s="25"/>
      <c r="L4127" s="25"/>
      <c r="M4127" s="25"/>
      <c r="N4127" s="25"/>
      <c r="O4127" s="25"/>
      <c r="P4127" s="25"/>
      <c r="Q4127" s="25"/>
      <c r="R4127" s="25"/>
      <c r="S4127" s="25"/>
      <c r="T4127" s="25"/>
      <c r="U4127" s="25"/>
      <c r="V4127" s="25"/>
      <c r="W4127" s="25"/>
      <c r="X4127" s="25"/>
      <c r="Y4127" s="25"/>
      <c r="Z4127" s="25"/>
    </row>
    <row r="4128" spans="1:26" ht="15.75" customHeight="1" x14ac:dyDescent="0.75">
      <c r="A4128" s="42" t="s">
        <v>18</v>
      </c>
      <c r="B4128" s="40"/>
      <c r="C4128" s="40"/>
      <c r="D4128" s="40"/>
      <c r="E4128" s="40"/>
      <c r="F4128" s="40"/>
      <c r="G4128" s="41"/>
      <c r="H4128" s="15">
        <v>649000</v>
      </c>
      <c r="I4128" s="24" t="s">
        <v>418</v>
      </c>
      <c r="J4128" s="25"/>
      <c r="K4128" s="25"/>
      <c r="L4128" s="25"/>
      <c r="M4128" s="25"/>
      <c r="N4128" s="25"/>
      <c r="O4128" s="25"/>
      <c r="P4128" s="25"/>
      <c r="Q4128" s="25"/>
      <c r="R4128" s="25"/>
      <c r="S4128" s="25"/>
      <c r="T4128" s="25"/>
      <c r="U4128" s="25"/>
      <c r="V4128" s="25"/>
      <c r="W4128" s="25"/>
      <c r="X4128" s="25"/>
      <c r="Y4128" s="25"/>
      <c r="Z4128" s="25"/>
    </row>
    <row r="4129" spans="1:26" ht="15.75" customHeight="1" x14ac:dyDescent="0.75">
      <c r="A4129" s="43" t="s">
        <v>19</v>
      </c>
      <c r="B4129" s="40"/>
      <c r="C4129" s="40"/>
      <c r="D4129" s="40"/>
      <c r="E4129" s="40"/>
      <c r="F4129" s="40"/>
      <c r="G4129" s="40"/>
      <c r="H4129" s="41"/>
      <c r="I4129" s="24" t="s">
        <v>418</v>
      </c>
      <c r="J4129" s="25"/>
      <c r="K4129" s="25"/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/>
      <c r="Z4129" s="25"/>
    </row>
    <row r="4130" spans="1:26" ht="15.75" customHeight="1" x14ac:dyDescent="0.45">
      <c r="A4130" s="25"/>
      <c r="B4130" s="25"/>
      <c r="C4130" s="25"/>
      <c r="D4130" s="25"/>
      <c r="E4130" s="25"/>
      <c r="F4130" s="25"/>
      <c r="G4130" s="25"/>
      <c r="H4130" s="25"/>
      <c r="I4130" s="24" t="s">
        <v>418</v>
      </c>
      <c r="J4130" s="25"/>
      <c r="K4130" s="25"/>
      <c r="L4130" s="25"/>
      <c r="M4130" s="25"/>
      <c r="N4130" s="25"/>
      <c r="O4130" s="25"/>
      <c r="P4130" s="25"/>
      <c r="Q4130" s="25"/>
      <c r="R4130" s="25"/>
      <c r="S4130" s="25"/>
      <c r="T4130" s="25"/>
      <c r="U4130" s="25"/>
      <c r="V4130" s="25"/>
      <c r="W4130" s="25"/>
      <c r="X4130" s="25"/>
      <c r="Y4130" s="25"/>
      <c r="Z4130" s="25"/>
    </row>
    <row r="4131" spans="1:26" ht="15.75" customHeight="1" x14ac:dyDescent="0.45">
      <c r="A4131" s="25"/>
      <c r="B4131" s="25"/>
      <c r="C4131" s="25"/>
      <c r="D4131" s="25"/>
      <c r="E4131" s="25"/>
      <c r="F4131" s="25"/>
      <c r="G4131" s="25"/>
      <c r="H4131" s="25"/>
      <c r="I4131" s="24" t="s">
        <v>418</v>
      </c>
      <c r="J4131" s="25"/>
      <c r="K4131" s="25"/>
      <c r="L4131" s="25"/>
      <c r="M4131" s="25"/>
      <c r="N4131" s="25"/>
      <c r="O4131" s="25"/>
      <c r="P4131" s="25"/>
      <c r="Q4131" s="25"/>
      <c r="R4131" s="25"/>
      <c r="S4131" s="25"/>
      <c r="T4131" s="25"/>
      <c r="U4131" s="25"/>
      <c r="V4131" s="25"/>
      <c r="W4131" s="25"/>
      <c r="X4131" s="25"/>
      <c r="Y4131" s="25"/>
      <c r="Z4131" s="25"/>
    </row>
    <row r="4132" spans="1:26" ht="15.75" customHeight="1" x14ac:dyDescent="0.45">
      <c r="A4132" s="25"/>
      <c r="B4132" s="25"/>
      <c r="C4132" s="25"/>
      <c r="D4132" s="25"/>
      <c r="E4132" s="25"/>
      <c r="F4132" s="25"/>
      <c r="G4132" s="25"/>
      <c r="H4132" s="25"/>
      <c r="I4132" s="24" t="s">
        <v>418</v>
      </c>
      <c r="J4132" s="25"/>
      <c r="K4132" s="25"/>
      <c r="L4132" s="25"/>
      <c r="M4132" s="25"/>
      <c r="N4132" s="25"/>
      <c r="O4132" s="25"/>
      <c r="P4132" s="25"/>
      <c r="Q4132" s="25"/>
      <c r="R4132" s="25"/>
      <c r="S4132" s="25"/>
      <c r="T4132" s="25"/>
      <c r="U4132" s="25"/>
      <c r="V4132" s="25"/>
      <c r="W4132" s="25"/>
      <c r="X4132" s="25"/>
      <c r="Y4132" s="25"/>
      <c r="Z4132" s="25"/>
    </row>
    <row r="4133" spans="1:26" ht="15.75" customHeight="1" x14ac:dyDescent="0.45">
      <c r="A4133" s="25"/>
      <c r="B4133" s="25"/>
      <c r="C4133" s="25"/>
      <c r="D4133" s="25"/>
      <c r="E4133" s="25"/>
      <c r="F4133" s="25"/>
      <c r="G4133" s="25"/>
      <c r="H4133" s="25"/>
      <c r="I4133" s="24" t="s">
        <v>418</v>
      </c>
      <c r="J4133" s="25"/>
      <c r="K4133" s="25"/>
      <c r="L4133" s="25"/>
      <c r="M4133" s="25"/>
      <c r="N4133" s="25"/>
      <c r="O4133" s="25"/>
      <c r="P4133" s="25"/>
      <c r="Q4133" s="25"/>
      <c r="R4133" s="25"/>
      <c r="S4133" s="25"/>
      <c r="T4133" s="25"/>
      <c r="U4133" s="25"/>
      <c r="V4133" s="25"/>
      <c r="W4133" s="25"/>
      <c r="X4133" s="25"/>
      <c r="Y4133" s="25"/>
      <c r="Z4133" s="25"/>
    </row>
    <row r="4134" spans="1:26" ht="15.75" customHeight="1" x14ac:dyDescent="0.45">
      <c r="A4134" s="25"/>
      <c r="B4134" s="25"/>
      <c r="C4134" s="25"/>
      <c r="D4134" s="25"/>
      <c r="E4134" s="25"/>
      <c r="F4134" s="25"/>
      <c r="G4134" s="25"/>
      <c r="H4134" s="25"/>
      <c r="I4134" s="24" t="s">
        <v>418</v>
      </c>
      <c r="J4134" s="25"/>
      <c r="K4134" s="25"/>
      <c r="L4134" s="25"/>
      <c r="M4134" s="25"/>
      <c r="N4134" s="25"/>
      <c r="O4134" s="25"/>
      <c r="P4134" s="25"/>
      <c r="Q4134" s="25"/>
      <c r="R4134" s="25"/>
      <c r="S4134" s="25"/>
      <c r="T4134" s="25"/>
      <c r="U4134" s="25"/>
      <c r="V4134" s="25"/>
      <c r="W4134" s="25"/>
      <c r="X4134" s="25"/>
      <c r="Y4134" s="25"/>
      <c r="Z4134" s="25"/>
    </row>
    <row r="4135" spans="1:26" ht="15.75" customHeight="1" x14ac:dyDescent="0.45">
      <c r="A4135" s="25"/>
      <c r="B4135" s="25"/>
      <c r="C4135" s="25"/>
      <c r="D4135" s="25"/>
      <c r="E4135" s="25"/>
      <c r="F4135" s="25"/>
      <c r="G4135" s="25"/>
      <c r="H4135" s="25"/>
      <c r="I4135" s="24" t="s">
        <v>418</v>
      </c>
      <c r="J4135" s="25"/>
      <c r="K4135" s="25"/>
      <c r="L4135" s="25"/>
      <c r="M4135" s="25"/>
      <c r="N4135" s="25"/>
      <c r="O4135" s="25"/>
      <c r="P4135" s="25"/>
      <c r="Q4135" s="25"/>
      <c r="R4135" s="25"/>
      <c r="S4135" s="25"/>
      <c r="T4135" s="25"/>
      <c r="U4135" s="25"/>
      <c r="V4135" s="25"/>
      <c r="W4135" s="25"/>
      <c r="X4135" s="25"/>
      <c r="Y4135" s="25"/>
      <c r="Z4135" s="25"/>
    </row>
    <row r="4136" spans="1:26" ht="15.75" customHeight="1" x14ac:dyDescent="0.75">
      <c r="A4136" s="43" t="s">
        <v>0</v>
      </c>
      <c r="B4136" s="40"/>
      <c r="C4136" s="40"/>
      <c r="D4136" s="40"/>
      <c r="E4136" s="40"/>
      <c r="F4136" s="40"/>
      <c r="G4136" s="40"/>
      <c r="H4136" s="41"/>
      <c r="I4136" s="24" t="s">
        <v>418</v>
      </c>
      <c r="J4136" s="25"/>
      <c r="K4136" s="25"/>
      <c r="L4136" s="25"/>
      <c r="M4136" s="25"/>
      <c r="N4136" s="25"/>
      <c r="O4136" s="25"/>
      <c r="P4136" s="25"/>
      <c r="Q4136" s="25"/>
      <c r="R4136" s="25"/>
      <c r="S4136" s="25"/>
      <c r="T4136" s="25"/>
      <c r="U4136" s="25"/>
      <c r="V4136" s="25"/>
      <c r="W4136" s="25"/>
      <c r="X4136" s="25"/>
      <c r="Y4136" s="25"/>
      <c r="Z4136" s="25"/>
    </row>
    <row r="4137" spans="1:26" ht="15.75" customHeight="1" x14ac:dyDescent="0.75">
      <c r="A4137" s="43" t="s">
        <v>677</v>
      </c>
      <c r="B4137" s="40"/>
      <c r="C4137" s="40"/>
      <c r="D4137" s="40"/>
      <c r="E4137" s="40"/>
      <c r="F4137" s="40"/>
      <c r="G4137" s="40"/>
      <c r="H4137" s="41"/>
      <c r="I4137" s="24" t="s">
        <v>418</v>
      </c>
      <c r="J4137" s="25"/>
      <c r="K4137" s="25"/>
      <c r="L4137" s="25"/>
      <c r="M4137" s="25"/>
      <c r="N4137" s="25"/>
      <c r="O4137" s="25"/>
      <c r="P4137" s="25"/>
      <c r="Q4137" s="25"/>
      <c r="R4137" s="25"/>
      <c r="S4137" s="25"/>
      <c r="T4137" s="25"/>
      <c r="U4137" s="25"/>
      <c r="V4137" s="25"/>
      <c r="W4137" s="25"/>
      <c r="X4137" s="25"/>
      <c r="Y4137" s="25"/>
      <c r="Z4137" s="25"/>
    </row>
    <row r="4138" spans="1:26" ht="15.75" customHeight="1" x14ac:dyDescent="0.55000000000000004">
      <c r="A4138" s="2" t="s">
        <v>3</v>
      </c>
      <c r="B4138" s="2" t="s">
        <v>4</v>
      </c>
      <c r="C4138" s="2" t="s">
        <v>5</v>
      </c>
      <c r="D4138" s="2" t="s">
        <v>6</v>
      </c>
      <c r="E4138" s="2" t="s">
        <v>7</v>
      </c>
      <c r="F4138" s="3" t="s">
        <v>8</v>
      </c>
      <c r="G4138" s="2" t="s">
        <v>9</v>
      </c>
      <c r="H4138" s="26"/>
      <c r="I4138" s="24" t="s">
        <v>418</v>
      </c>
      <c r="J4138" s="25"/>
      <c r="K4138" s="25"/>
      <c r="L4138" s="25"/>
      <c r="M4138" s="25"/>
      <c r="N4138" s="25"/>
      <c r="O4138" s="25"/>
      <c r="P4138" s="25"/>
      <c r="Q4138" s="25"/>
      <c r="R4138" s="25"/>
      <c r="S4138" s="25"/>
      <c r="T4138" s="25"/>
      <c r="U4138" s="25"/>
      <c r="V4138" s="25"/>
      <c r="W4138" s="25"/>
      <c r="X4138" s="25"/>
      <c r="Y4138" s="25"/>
      <c r="Z4138" s="25"/>
    </row>
    <row r="4139" spans="1:26" ht="15.75" customHeight="1" x14ac:dyDescent="0.75">
      <c r="A4139" s="5">
        <v>1</v>
      </c>
      <c r="B4139" s="27" t="s">
        <v>27</v>
      </c>
      <c r="C4139" s="28" t="s">
        <v>630</v>
      </c>
      <c r="D4139" s="27" t="s">
        <v>12</v>
      </c>
      <c r="E4139" s="27">
        <v>2</v>
      </c>
      <c r="F4139" s="8">
        <v>293000</v>
      </c>
      <c r="G4139" s="9">
        <f t="shared" ref="G4139:G4141" si="258">IFERROR(E4139*F4139,0)</f>
        <v>586000</v>
      </c>
      <c r="H4139" s="29"/>
      <c r="I4139" s="24" t="s">
        <v>418</v>
      </c>
      <c r="J4139" s="25"/>
      <c r="K4139" s="25"/>
      <c r="L4139" s="25"/>
      <c r="M4139" s="25"/>
      <c r="N4139" s="25"/>
      <c r="O4139" s="25"/>
      <c r="P4139" s="25"/>
      <c r="Q4139" s="25"/>
      <c r="R4139" s="25"/>
      <c r="S4139" s="25"/>
      <c r="T4139" s="25"/>
      <c r="U4139" s="25"/>
      <c r="V4139" s="25"/>
      <c r="W4139" s="25"/>
      <c r="X4139" s="25"/>
      <c r="Y4139" s="25"/>
      <c r="Z4139" s="25"/>
    </row>
    <row r="4140" spans="1:26" ht="15.75" customHeight="1" x14ac:dyDescent="0.75">
      <c r="A4140" s="5">
        <v>2</v>
      </c>
      <c r="B4140" s="30" t="s">
        <v>678</v>
      </c>
      <c r="C4140" s="31" t="s">
        <v>679</v>
      </c>
      <c r="D4140" s="30" t="s">
        <v>14</v>
      </c>
      <c r="E4140" s="30">
        <v>1.55</v>
      </c>
      <c r="F4140" s="11">
        <v>435000</v>
      </c>
      <c r="G4140" s="9">
        <f t="shared" si="258"/>
        <v>674250</v>
      </c>
      <c r="H4140" s="29"/>
      <c r="I4140" s="24" t="s">
        <v>418</v>
      </c>
      <c r="J4140" s="25"/>
      <c r="K4140" s="25"/>
      <c r="L4140" s="25"/>
      <c r="M4140" s="25"/>
      <c r="N4140" s="25"/>
      <c r="O4140" s="25"/>
      <c r="P4140" s="25"/>
      <c r="Q4140" s="25"/>
      <c r="R4140" s="25"/>
      <c r="S4140" s="25"/>
      <c r="T4140" s="25"/>
      <c r="U4140" s="25"/>
      <c r="V4140" s="25"/>
      <c r="W4140" s="25"/>
      <c r="X4140" s="25"/>
      <c r="Y4140" s="25"/>
      <c r="Z4140" s="25"/>
    </row>
    <row r="4141" spans="1:26" ht="15.75" customHeight="1" x14ac:dyDescent="0.75">
      <c r="A4141" s="5">
        <v>3</v>
      </c>
      <c r="B4141" s="12" t="s">
        <v>15</v>
      </c>
      <c r="C4141" s="29"/>
      <c r="D4141" s="29"/>
      <c r="E4141" s="29"/>
      <c r="F4141" s="29"/>
      <c r="G4141" s="13">
        <f t="shared" si="258"/>
        <v>0</v>
      </c>
      <c r="H4141" s="29"/>
      <c r="I4141" s="24" t="s">
        <v>418</v>
      </c>
      <c r="J4141" s="25"/>
      <c r="K4141" s="25"/>
      <c r="L4141" s="25"/>
      <c r="M4141" s="25"/>
      <c r="N4141" s="25"/>
      <c r="O4141" s="25"/>
      <c r="P4141" s="25"/>
      <c r="Q4141" s="25"/>
      <c r="R4141" s="25"/>
      <c r="S4141" s="25"/>
      <c r="T4141" s="25"/>
      <c r="U4141" s="25"/>
      <c r="V4141" s="25"/>
      <c r="W4141" s="25"/>
      <c r="X4141" s="25"/>
      <c r="Y4141" s="25"/>
      <c r="Z4141" s="25"/>
    </row>
    <row r="4142" spans="1:26" ht="15.75" customHeight="1" x14ac:dyDescent="0.75">
      <c r="A4142" s="39" t="s">
        <v>16</v>
      </c>
      <c r="B4142" s="40"/>
      <c r="C4142" s="40"/>
      <c r="D4142" s="40"/>
      <c r="E4142" s="40"/>
      <c r="F4142" s="40"/>
      <c r="G4142" s="41"/>
      <c r="H4142" s="14">
        <f>SUM(G4139:G4141)</f>
        <v>1260250</v>
      </c>
      <c r="I4142" s="24" t="s">
        <v>418</v>
      </c>
      <c r="J4142" s="25"/>
      <c r="K4142" s="25"/>
      <c r="L4142" s="25"/>
      <c r="M4142" s="25"/>
      <c r="N4142" s="25"/>
      <c r="O4142" s="25"/>
      <c r="P4142" s="25"/>
      <c r="Q4142" s="25"/>
      <c r="R4142" s="25"/>
      <c r="S4142" s="25"/>
      <c r="T4142" s="25"/>
      <c r="U4142" s="25"/>
      <c r="V4142" s="25"/>
      <c r="W4142" s="25"/>
      <c r="X4142" s="25"/>
      <c r="Y4142" s="25"/>
      <c r="Z4142" s="25"/>
    </row>
    <row r="4143" spans="1:26" ht="15.75" customHeight="1" x14ac:dyDescent="0.75">
      <c r="A4143" s="39" t="s">
        <v>17</v>
      </c>
      <c r="B4143" s="40"/>
      <c r="C4143" s="40"/>
      <c r="D4143" s="40"/>
      <c r="E4143" s="40"/>
      <c r="F4143" s="40"/>
      <c r="G4143" s="41"/>
      <c r="H4143" s="14">
        <f>MAX(0,H4142-648000)</f>
        <v>612250</v>
      </c>
      <c r="I4143" s="24" t="s">
        <v>418</v>
      </c>
      <c r="J4143" s="25"/>
      <c r="K4143" s="25"/>
      <c r="L4143" s="25"/>
      <c r="M4143" s="25"/>
      <c r="N4143" s="25"/>
      <c r="O4143" s="25"/>
      <c r="P4143" s="25"/>
      <c r="Q4143" s="25"/>
      <c r="R4143" s="25"/>
      <c r="S4143" s="25"/>
      <c r="T4143" s="25"/>
      <c r="U4143" s="25"/>
      <c r="V4143" s="25"/>
      <c r="W4143" s="25"/>
      <c r="X4143" s="25"/>
      <c r="Y4143" s="25"/>
      <c r="Z4143" s="25"/>
    </row>
    <row r="4144" spans="1:26" ht="15.75" customHeight="1" x14ac:dyDescent="0.75">
      <c r="A4144" s="42" t="s">
        <v>18</v>
      </c>
      <c r="B4144" s="40"/>
      <c r="C4144" s="40"/>
      <c r="D4144" s="40"/>
      <c r="E4144" s="40"/>
      <c r="F4144" s="40"/>
      <c r="G4144" s="41"/>
      <c r="H4144" s="15">
        <v>649000</v>
      </c>
      <c r="I4144" s="24" t="s">
        <v>418</v>
      </c>
      <c r="J4144" s="25"/>
      <c r="K4144" s="25"/>
      <c r="L4144" s="25"/>
      <c r="M4144" s="25"/>
      <c r="N4144" s="25"/>
      <c r="O4144" s="25"/>
      <c r="P4144" s="25"/>
      <c r="Q4144" s="25"/>
      <c r="R4144" s="25"/>
      <c r="S4144" s="25"/>
      <c r="T4144" s="25"/>
      <c r="U4144" s="25"/>
      <c r="V4144" s="25"/>
      <c r="W4144" s="25"/>
      <c r="X4144" s="25"/>
      <c r="Y4144" s="25"/>
      <c r="Z4144" s="25"/>
    </row>
    <row r="4145" spans="1:26" ht="15.75" customHeight="1" x14ac:dyDescent="0.75">
      <c r="A4145" s="43" t="s">
        <v>19</v>
      </c>
      <c r="B4145" s="40"/>
      <c r="C4145" s="40"/>
      <c r="D4145" s="40"/>
      <c r="E4145" s="40"/>
      <c r="F4145" s="40"/>
      <c r="G4145" s="40"/>
      <c r="H4145" s="41"/>
      <c r="I4145" s="24" t="s">
        <v>418</v>
      </c>
      <c r="J4145" s="25"/>
      <c r="K4145" s="25"/>
      <c r="L4145" s="25"/>
      <c r="M4145" s="25"/>
      <c r="N4145" s="25"/>
      <c r="O4145" s="25"/>
      <c r="P4145" s="25"/>
      <c r="Q4145" s="25"/>
      <c r="R4145" s="25"/>
      <c r="S4145" s="25"/>
      <c r="T4145" s="25"/>
      <c r="U4145" s="25"/>
      <c r="V4145" s="25"/>
      <c r="W4145" s="25"/>
      <c r="X4145" s="25"/>
      <c r="Y4145" s="25"/>
      <c r="Z4145" s="25"/>
    </row>
    <row r="4146" spans="1:26" ht="15.75" customHeight="1" x14ac:dyDescent="0.45">
      <c r="A4146" s="25"/>
      <c r="B4146" s="25"/>
      <c r="C4146" s="25"/>
      <c r="D4146" s="25"/>
      <c r="E4146" s="25"/>
      <c r="F4146" s="25"/>
      <c r="G4146" s="25"/>
      <c r="H4146" s="25"/>
      <c r="I4146" s="24" t="s">
        <v>418</v>
      </c>
      <c r="J4146" s="25"/>
      <c r="K4146" s="25"/>
      <c r="L4146" s="25"/>
      <c r="M4146" s="25"/>
      <c r="N4146" s="25"/>
      <c r="O4146" s="25"/>
      <c r="P4146" s="25"/>
      <c r="Q4146" s="25"/>
      <c r="R4146" s="25"/>
      <c r="S4146" s="25"/>
      <c r="T4146" s="25"/>
      <c r="U4146" s="25"/>
      <c r="V4146" s="25"/>
      <c r="W4146" s="25"/>
      <c r="X4146" s="25"/>
      <c r="Y4146" s="25"/>
      <c r="Z4146" s="25"/>
    </row>
    <row r="4147" spans="1:26" ht="15.75" customHeight="1" x14ac:dyDescent="0.45">
      <c r="A4147" s="25"/>
      <c r="B4147" s="25"/>
      <c r="C4147" s="25"/>
      <c r="D4147" s="25"/>
      <c r="E4147" s="25"/>
      <c r="F4147" s="25"/>
      <c r="G4147" s="25"/>
      <c r="H4147" s="25"/>
      <c r="I4147" s="24" t="s">
        <v>418</v>
      </c>
      <c r="J4147" s="25"/>
      <c r="K4147" s="25"/>
      <c r="L4147" s="25"/>
      <c r="M4147" s="25"/>
      <c r="N4147" s="25"/>
      <c r="O4147" s="25"/>
      <c r="P4147" s="25"/>
      <c r="Q4147" s="25"/>
      <c r="R4147" s="25"/>
      <c r="S4147" s="25"/>
      <c r="T4147" s="25"/>
      <c r="U4147" s="25"/>
      <c r="V4147" s="25"/>
      <c r="W4147" s="25"/>
      <c r="X4147" s="25"/>
      <c r="Y4147" s="25"/>
      <c r="Z4147" s="25"/>
    </row>
    <row r="4148" spans="1:26" ht="15.75" customHeight="1" x14ac:dyDescent="0.45">
      <c r="A4148" s="25"/>
      <c r="B4148" s="25"/>
      <c r="C4148" s="25"/>
      <c r="D4148" s="25"/>
      <c r="E4148" s="25"/>
      <c r="F4148" s="25"/>
      <c r="G4148" s="25"/>
      <c r="H4148" s="25"/>
      <c r="I4148" s="24" t="s">
        <v>418</v>
      </c>
      <c r="J4148" s="25"/>
      <c r="K4148" s="25"/>
      <c r="L4148" s="25"/>
      <c r="M4148" s="25"/>
      <c r="N4148" s="25"/>
      <c r="O4148" s="25"/>
      <c r="P4148" s="25"/>
      <c r="Q4148" s="25"/>
      <c r="R4148" s="25"/>
      <c r="S4148" s="25"/>
      <c r="T4148" s="25"/>
      <c r="U4148" s="25"/>
      <c r="V4148" s="25"/>
      <c r="W4148" s="25"/>
      <c r="X4148" s="25"/>
      <c r="Y4148" s="25"/>
      <c r="Z4148" s="25"/>
    </row>
    <row r="4149" spans="1:26" ht="15.75" customHeight="1" x14ac:dyDescent="0.45">
      <c r="A4149" s="25"/>
      <c r="B4149" s="25"/>
      <c r="C4149" s="25"/>
      <c r="D4149" s="25"/>
      <c r="E4149" s="25"/>
      <c r="F4149" s="25"/>
      <c r="G4149" s="25"/>
      <c r="H4149" s="25"/>
      <c r="I4149" s="24" t="s">
        <v>418</v>
      </c>
      <c r="J4149" s="25"/>
      <c r="K4149" s="25"/>
      <c r="L4149" s="25"/>
      <c r="M4149" s="25"/>
      <c r="N4149" s="25"/>
      <c r="O4149" s="25"/>
      <c r="P4149" s="25"/>
      <c r="Q4149" s="25"/>
      <c r="R4149" s="25"/>
      <c r="S4149" s="25"/>
      <c r="T4149" s="25"/>
      <c r="U4149" s="25"/>
      <c r="V4149" s="25"/>
      <c r="W4149" s="25"/>
      <c r="X4149" s="25"/>
      <c r="Y4149" s="25"/>
      <c r="Z4149" s="25"/>
    </row>
    <row r="4150" spans="1:26" ht="15.75" customHeight="1" x14ac:dyDescent="0.45">
      <c r="A4150" s="25"/>
      <c r="B4150" s="25"/>
      <c r="C4150" s="25"/>
      <c r="D4150" s="25"/>
      <c r="E4150" s="25"/>
      <c r="F4150" s="25"/>
      <c r="G4150" s="25"/>
      <c r="H4150" s="25"/>
      <c r="I4150" s="24" t="s">
        <v>418</v>
      </c>
      <c r="J4150" s="25"/>
      <c r="K4150" s="25"/>
      <c r="L4150" s="25"/>
      <c r="M4150" s="25"/>
      <c r="N4150" s="25"/>
      <c r="O4150" s="25"/>
      <c r="P4150" s="25"/>
      <c r="Q4150" s="25"/>
      <c r="R4150" s="25"/>
      <c r="S4150" s="25"/>
      <c r="T4150" s="25"/>
      <c r="U4150" s="25"/>
      <c r="V4150" s="25"/>
      <c r="W4150" s="25"/>
      <c r="X4150" s="25"/>
      <c r="Y4150" s="25"/>
      <c r="Z4150" s="25"/>
    </row>
    <row r="4151" spans="1:26" ht="15.75" customHeight="1" x14ac:dyDescent="0.45">
      <c r="A4151" s="25"/>
      <c r="B4151" s="25"/>
      <c r="C4151" s="25"/>
      <c r="D4151" s="25"/>
      <c r="E4151" s="25"/>
      <c r="F4151" s="25"/>
      <c r="G4151" s="25"/>
      <c r="H4151" s="25"/>
      <c r="I4151" s="24" t="s">
        <v>418</v>
      </c>
      <c r="J4151" s="25"/>
      <c r="K4151" s="25"/>
      <c r="L4151" s="25"/>
      <c r="M4151" s="25"/>
      <c r="N4151" s="25"/>
      <c r="O4151" s="25"/>
      <c r="P4151" s="25"/>
      <c r="Q4151" s="25"/>
      <c r="R4151" s="25"/>
      <c r="S4151" s="25"/>
      <c r="T4151" s="25"/>
      <c r="U4151" s="25"/>
      <c r="V4151" s="25"/>
      <c r="W4151" s="25"/>
      <c r="X4151" s="25"/>
      <c r="Y4151" s="25"/>
      <c r="Z4151" s="25"/>
    </row>
    <row r="4152" spans="1:26" ht="15.75" customHeight="1" x14ac:dyDescent="0.75">
      <c r="A4152" s="43" t="s">
        <v>0</v>
      </c>
      <c r="B4152" s="40"/>
      <c r="C4152" s="40"/>
      <c r="D4152" s="40"/>
      <c r="E4152" s="40"/>
      <c r="F4152" s="40"/>
      <c r="G4152" s="40"/>
      <c r="H4152" s="41"/>
      <c r="I4152" s="24" t="s">
        <v>418</v>
      </c>
      <c r="J4152" s="25"/>
      <c r="K4152" s="25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/>
      <c r="X4152" s="25"/>
      <c r="Y4152" s="25"/>
      <c r="Z4152" s="25"/>
    </row>
    <row r="4153" spans="1:26" ht="15.75" customHeight="1" x14ac:dyDescent="0.75">
      <c r="A4153" s="43" t="s">
        <v>680</v>
      </c>
      <c r="B4153" s="40"/>
      <c r="C4153" s="40"/>
      <c r="D4153" s="40"/>
      <c r="E4153" s="40"/>
      <c r="F4153" s="40"/>
      <c r="G4153" s="40"/>
      <c r="H4153" s="41"/>
      <c r="I4153" s="24" t="s">
        <v>418</v>
      </c>
      <c r="J4153" s="25"/>
      <c r="K4153" s="25"/>
      <c r="L4153" s="25"/>
      <c r="M4153" s="25"/>
      <c r="N4153" s="25"/>
      <c r="O4153" s="25"/>
      <c r="P4153" s="25"/>
      <c r="Q4153" s="25"/>
      <c r="R4153" s="25"/>
      <c r="S4153" s="25"/>
      <c r="T4153" s="25"/>
      <c r="U4153" s="25"/>
      <c r="V4153" s="25"/>
      <c r="W4153" s="25"/>
      <c r="X4153" s="25"/>
      <c r="Y4153" s="25"/>
      <c r="Z4153" s="25"/>
    </row>
    <row r="4154" spans="1:26" ht="15.75" customHeight="1" x14ac:dyDescent="0.55000000000000004">
      <c r="A4154" s="2" t="s">
        <v>3</v>
      </c>
      <c r="B4154" s="2" t="s">
        <v>4</v>
      </c>
      <c r="C4154" s="2" t="s">
        <v>5</v>
      </c>
      <c r="D4154" s="2" t="s">
        <v>6</v>
      </c>
      <c r="E4154" s="2" t="s">
        <v>7</v>
      </c>
      <c r="F4154" s="3" t="s">
        <v>8</v>
      </c>
      <c r="G4154" s="2" t="s">
        <v>9</v>
      </c>
      <c r="H4154" s="26"/>
      <c r="I4154" s="24" t="s">
        <v>418</v>
      </c>
      <c r="J4154" s="25"/>
      <c r="K4154" s="25"/>
      <c r="L4154" s="25"/>
      <c r="M4154" s="25"/>
      <c r="N4154" s="25"/>
      <c r="O4154" s="25"/>
      <c r="P4154" s="25"/>
      <c r="Q4154" s="25"/>
      <c r="R4154" s="25"/>
      <c r="S4154" s="25"/>
      <c r="T4154" s="25"/>
      <c r="U4154" s="25"/>
      <c r="V4154" s="25"/>
      <c r="W4154" s="25"/>
      <c r="X4154" s="25"/>
      <c r="Y4154" s="25"/>
      <c r="Z4154" s="25"/>
    </row>
    <row r="4155" spans="1:26" ht="15.75" customHeight="1" x14ac:dyDescent="0.75">
      <c r="A4155" s="5">
        <v>1</v>
      </c>
      <c r="B4155" s="27" t="s">
        <v>80</v>
      </c>
      <c r="C4155" s="28" t="s">
        <v>681</v>
      </c>
      <c r="D4155" s="27" t="s">
        <v>12</v>
      </c>
      <c r="E4155" s="27">
        <v>1.5</v>
      </c>
      <c r="F4155" s="8">
        <v>293000</v>
      </c>
      <c r="G4155" s="9">
        <f t="shared" ref="G4155:G4157" si="259">IFERROR(E4155*F4155,0)</f>
        <v>439500</v>
      </c>
      <c r="H4155" s="29"/>
      <c r="I4155" s="24" t="s">
        <v>418</v>
      </c>
      <c r="J4155" s="25"/>
      <c r="K4155" s="25"/>
      <c r="L4155" s="25"/>
      <c r="M4155" s="25"/>
      <c r="N4155" s="25"/>
      <c r="O4155" s="25"/>
      <c r="P4155" s="25"/>
      <c r="Q4155" s="25"/>
      <c r="R4155" s="25"/>
      <c r="S4155" s="25"/>
      <c r="T4155" s="25"/>
      <c r="U4155" s="25"/>
      <c r="V4155" s="25"/>
      <c r="W4155" s="25"/>
      <c r="X4155" s="25"/>
      <c r="Y4155" s="25"/>
      <c r="Z4155" s="25"/>
    </row>
    <row r="4156" spans="1:26" ht="15.75" customHeight="1" x14ac:dyDescent="0.75">
      <c r="A4156" s="5">
        <v>2</v>
      </c>
      <c r="B4156" s="30" t="s">
        <v>35</v>
      </c>
      <c r="C4156" s="31" t="s">
        <v>544</v>
      </c>
      <c r="D4156" s="30" t="s">
        <v>14</v>
      </c>
      <c r="E4156" s="30">
        <v>2</v>
      </c>
      <c r="F4156" s="11">
        <v>435000</v>
      </c>
      <c r="G4156" s="9">
        <f t="shared" si="259"/>
        <v>870000</v>
      </c>
      <c r="H4156" s="29"/>
      <c r="I4156" s="24" t="s">
        <v>418</v>
      </c>
      <c r="J4156" s="25"/>
      <c r="K4156" s="25"/>
      <c r="L4156" s="25"/>
      <c r="M4156" s="25"/>
      <c r="N4156" s="25"/>
      <c r="O4156" s="25"/>
      <c r="P4156" s="25"/>
      <c r="Q4156" s="25"/>
      <c r="R4156" s="25"/>
      <c r="S4156" s="25"/>
      <c r="T4156" s="25"/>
      <c r="U4156" s="25"/>
      <c r="V4156" s="25"/>
      <c r="W4156" s="25"/>
      <c r="X4156" s="25"/>
      <c r="Y4156" s="25"/>
      <c r="Z4156" s="25"/>
    </row>
    <row r="4157" spans="1:26" ht="15.75" customHeight="1" x14ac:dyDescent="0.75">
      <c r="A4157" s="5">
        <v>3</v>
      </c>
      <c r="B4157" s="12" t="s">
        <v>15</v>
      </c>
      <c r="C4157" s="29"/>
      <c r="D4157" s="29"/>
      <c r="E4157" s="29"/>
      <c r="F4157" s="29"/>
      <c r="G4157" s="13">
        <f t="shared" si="259"/>
        <v>0</v>
      </c>
      <c r="H4157" s="29"/>
      <c r="I4157" s="24" t="s">
        <v>418</v>
      </c>
      <c r="J4157" s="25"/>
      <c r="K4157" s="25"/>
      <c r="L4157" s="25"/>
      <c r="M4157" s="25"/>
      <c r="N4157" s="25"/>
      <c r="O4157" s="25"/>
      <c r="P4157" s="25"/>
      <c r="Q4157" s="25"/>
      <c r="R4157" s="25"/>
      <c r="S4157" s="25"/>
      <c r="T4157" s="25"/>
      <c r="U4157" s="25"/>
      <c r="V4157" s="25"/>
      <c r="W4157" s="25"/>
      <c r="X4157" s="25"/>
      <c r="Y4157" s="25"/>
      <c r="Z4157" s="25"/>
    </row>
    <row r="4158" spans="1:26" ht="15.75" customHeight="1" x14ac:dyDescent="0.75">
      <c r="A4158" s="39" t="s">
        <v>16</v>
      </c>
      <c r="B4158" s="40"/>
      <c r="C4158" s="40"/>
      <c r="D4158" s="40"/>
      <c r="E4158" s="40"/>
      <c r="F4158" s="40"/>
      <c r="G4158" s="41"/>
      <c r="H4158" s="14">
        <f>SUM(G4155:G4157)</f>
        <v>1309500</v>
      </c>
      <c r="I4158" s="24" t="s">
        <v>418</v>
      </c>
      <c r="J4158" s="25"/>
      <c r="K4158" s="25"/>
      <c r="L4158" s="25"/>
      <c r="M4158" s="25"/>
      <c r="N4158" s="25"/>
      <c r="O4158" s="25"/>
      <c r="P4158" s="25"/>
      <c r="Q4158" s="25"/>
      <c r="R4158" s="25"/>
      <c r="S4158" s="25"/>
      <c r="T4158" s="25"/>
      <c r="U4158" s="25"/>
      <c r="V4158" s="25"/>
      <c r="W4158" s="25"/>
      <c r="X4158" s="25"/>
      <c r="Y4158" s="25"/>
      <c r="Z4158" s="25"/>
    </row>
    <row r="4159" spans="1:26" ht="15.75" customHeight="1" x14ac:dyDescent="0.75">
      <c r="A4159" s="39" t="s">
        <v>17</v>
      </c>
      <c r="B4159" s="40"/>
      <c r="C4159" s="40"/>
      <c r="D4159" s="40"/>
      <c r="E4159" s="40"/>
      <c r="F4159" s="40"/>
      <c r="G4159" s="41"/>
      <c r="H4159" s="14">
        <f>MAX(0,H4158-648000)</f>
        <v>661500</v>
      </c>
      <c r="I4159" s="24" t="s">
        <v>418</v>
      </c>
      <c r="J4159" s="25"/>
      <c r="K4159" s="25"/>
      <c r="L4159" s="25"/>
      <c r="M4159" s="25"/>
      <c r="N4159" s="25"/>
      <c r="O4159" s="25"/>
      <c r="P4159" s="25"/>
      <c r="Q4159" s="25"/>
      <c r="R4159" s="25"/>
      <c r="S4159" s="25"/>
      <c r="T4159" s="25"/>
      <c r="U4159" s="25"/>
      <c r="V4159" s="25"/>
      <c r="W4159" s="25"/>
      <c r="X4159" s="25"/>
      <c r="Y4159" s="25"/>
      <c r="Z4159" s="25"/>
    </row>
    <row r="4160" spans="1:26" ht="15.75" customHeight="1" x14ac:dyDescent="0.75">
      <c r="A4160" s="42" t="s">
        <v>18</v>
      </c>
      <c r="B4160" s="40"/>
      <c r="C4160" s="40"/>
      <c r="D4160" s="40"/>
      <c r="E4160" s="40"/>
      <c r="F4160" s="40"/>
      <c r="G4160" s="41"/>
      <c r="H4160" s="15">
        <v>649000</v>
      </c>
      <c r="I4160" s="24" t="s">
        <v>418</v>
      </c>
      <c r="J4160" s="25"/>
      <c r="K4160" s="25"/>
      <c r="L4160" s="25"/>
      <c r="M4160" s="25"/>
      <c r="N4160" s="25"/>
      <c r="O4160" s="25"/>
      <c r="P4160" s="25"/>
      <c r="Q4160" s="25"/>
      <c r="R4160" s="25"/>
      <c r="S4160" s="25"/>
      <c r="T4160" s="25"/>
      <c r="U4160" s="25"/>
      <c r="V4160" s="25"/>
      <c r="W4160" s="25"/>
      <c r="X4160" s="25"/>
      <c r="Y4160" s="25"/>
      <c r="Z4160" s="25"/>
    </row>
    <row r="4161" spans="1:26" ht="15.75" customHeight="1" x14ac:dyDescent="0.75">
      <c r="A4161" s="43" t="s">
        <v>19</v>
      </c>
      <c r="B4161" s="40"/>
      <c r="C4161" s="40"/>
      <c r="D4161" s="40"/>
      <c r="E4161" s="40"/>
      <c r="F4161" s="40"/>
      <c r="G4161" s="40"/>
      <c r="H4161" s="41"/>
      <c r="I4161" s="24" t="s">
        <v>418</v>
      </c>
      <c r="J4161" s="25"/>
      <c r="K4161" s="25"/>
      <c r="L4161" s="25"/>
      <c r="M4161" s="25"/>
      <c r="N4161" s="25"/>
      <c r="O4161" s="25"/>
      <c r="P4161" s="25"/>
      <c r="Q4161" s="25"/>
      <c r="R4161" s="25"/>
      <c r="S4161" s="25"/>
      <c r="T4161" s="25"/>
      <c r="U4161" s="25"/>
      <c r="V4161" s="25"/>
      <c r="W4161" s="25"/>
      <c r="X4161" s="25"/>
      <c r="Y4161" s="25"/>
      <c r="Z4161" s="25"/>
    </row>
    <row r="4162" spans="1:26" ht="15.75" customHeight="1" x14ac:dyDescent="0.45">
      <c r="A4162" s="25"/>
      <c r="B4162" s="25"/>
      <c r="C4162" s="25"/>
      <c r="D4162" s="25"/>
      <c r="E4162" s="25"/>
      <c r="F4162" s="25"/>
      <c r="G4162" s="25"/>
      <c r="H4162" s="25"/>
      <c r="I4162" s="24" t="s">
        <v>418</v>
      </c>
      <c r="J4162" s="25"/>
      <c r="K4162" s="25"/>
      <c r="L4162" s="25"/>
      <c r="M4162" s="25"/>
      <c r="N4162" s="25"/>
      <c r="O4162" s="25"/>
      <c r="P4162" s="25"/>
      <c r="Q4162" s="25"/>
      <c r="R4162" s="25"/>
      <c r="S4162" s="25"/>
      <c r="T4162" s="25"/>
      <c r="U4162" s="25"/>
      <c r="V4162" s="25"/>
      <c r="W4162" s="25"/>
      <c r="X4162" s="25"/>
      <c r="Y4162" s="25"/>
      <c r="Z4162" s="25"/>
    </row>
    <row r="4163" spans="1:26" ht="15.75" customHeight="1" x14ac:dyDescent="0.45">
      <c r="A4163" s="25"/>
      <c r="B4163" s="25"/>
      <c r="C4163" s="25"/>
      <c r="D4163" s="25"/>
      <c r="E4163" s="25"/>
      <c r="F4163" s="25"/>
      <c r="G4163" s="25"/>
      <c r="H4163" s="25"/>
      <c r="I4163" s="24" t="s">
        <v>418</v>
      </c>
      <c r="J4163" s="25"/>
      <c r="K4163" s="25"/>
      <c r="L4163" s="25"/>
      <c r="M4163" s="25"/>
      <c r="N4163" s="25"/>
      <c r="O4163" s="25"/>
      <c r="P4163" s="25"/>
      <c r="Q4163" s="25"/>
      <c r="R4163" s="25"/>
      <c r="S4163" s="25"/>
      <c r="T4163" s="25"/>
      <c r="U4163" s="25"/>
      <c r="V4163" s="25"/>
      <c r="W4163" s="25"/>
      <c r="X4163" s="25"/>
      <c r="Y4163" s="25"/>
      <c r="Z4163" s="25"/>
    </row>
    <row r="4164" spans="1:26" ht="15.75" customHeight="1" x14ac:dyDescent="0.45">
      <c r="A4164" s="25"/>
      <c r="B4164" s="25"/>
      <c r="C4164" s="25"/>
      <c r="D4164" s="25"/>
      <c r="E4164" s="25"/>
      <c r="F4164" s="25"/>
      <c r="G4164" s="25"/>
      <c r="H4164" s="25"/>
      <c r="I4164" s="24" t="s">
        <v>418</v>
      </c>
      <c r="J4164" s="25"/>
      <c r="K4164" s="25"/>
      <c r="L4164" s="25"/>
      <c r="M4164" s="25"/>
      <c r="N4164" s="25"/>
      <c r="O4164" s="25"/>
      <c r="P4164" s="25"/>
      <c r="Q4164" s="25"/>
      <c r="R4164" s="25"/>
      <c r="S4164" s="25"/>
      <c r="T4164" s="25"/>
      <c r="U4164" s="25"/>
      <c r="V4164" s="25"/>
      <c r="W4164" s="25"/>
      <c r="X4164" s="25"/>
      <c r="Y4164" s="25"/>
      <c r="Z4164" s="25"/>
    </row>
    <row r="4165" spans="1:26" ht="15.75" customHeight="1" x14ac:dyDescent="0.45">
      <c r="A4165" s="25"/>
      <c r="B4165" s="25"/>
      <c r="C4165" s="25"/>
      <c r="D4165" s="25"/>
      <c r="E4165" s="25"/>
      <c r="F4165" s="25"/>
      <c r="G4165" s="25"/>
      <c r="H4165" s="25"/>
      <c r="I4165" s="24" t="s">
        <v>418</v>
      </c>
      <c r="J4165" s="25"/>
      <c r="K4165" s="25"/>
      <c r="L4165" s="25"/>
      <c r="M4165" s="25"/>
      <c r="N4165" s="25"/>
      <c r="O4165" s="25"/>
      <c r="P4165" s="25"/>
      <c r="Q4165" s="25"/>
      <c r="R4165" s="25"/>
      <c r="S4165" s="25"/>
      <c r="T4165" s="25"/>
      <c r="U4165" s="25"/>
      <c r="V4165" s="25"/>
      <c r="W4165" s="25"/>
      <c r="X4165" s="25"/>
      <c r="Y4165" s="25"/>
      <c r="Z4165" s="25"/>
    </row>
    <row r="4166" spans="1:26" ht="15.75" customHeight="1" x14ac:dyDescent="0.75">
      <c r="A4166" s="43" t="s">
        <v>0</v>
      </c>
      <c r="B4166" s="40"/>
      <c r="C4166" s="40"/>
      <c r="D4166" s="40"/>
      <c r="E4166" s="40"/>
      <c r="F4166" s="40"/>
      <c r="G4166" s="40"/>
      <c r="H4166" s="41"/>
      <c r="I4166" s="24" t="s">
        <v>418</v>
      </c>
      <c r="J4166" s="25"/>
      <c r="K4166" s="25"/>
      <c r="L4166" s="25"/>
      <c r="M4166" s="25"/>
      <c r="N4166" s="25"/>
      <c r="O4166" s="25"/>
      <c r="P4166" s="25"/>
      <c r="Q4166" s="25"/>
      <c r="R4166" s="25"/>
      <c r="S4166" s="25"/>
      <c r="T4166" s="25"/>
      <c r="U4166" s="25"/>
      <c r="V4166" s="25"/>
      <c r="W4166" s="25"/>
      <c r="X4166" s="25"/>
      <c r="Y4166" s="25"/>
      <c r="Z4166" s="25"/>
    </row>
    <row r="4167" spans="1:26" ht="15.75" customHeight="1" x14ac:dyDescent="0.75">
      <c r="A4167" s="43" t="s">
        <v>682</v>
      </c>
      <c r="B4167" s="40"/>
      <c r="C4167" s="40"/>
      <c r="D4167" s="40"/>
      <c r="E4167" s="40"/>
      <c r="F4167" s="40"/>
      <c r="G4167" s="40"/>
      <c r="H4167" s="41"/>
      <c r="I4167" s="24" t="s">
        <v>418</v>
      </c>
      <c r="J4167" s="25"/>
      <c r="K4167" s="25"/>
      <c r="L4167" s="25"/>
      <c r="M4167" s="25"/>
      <c r="N4167" s="25"/>
      <c r="O4167" s="25"/>
      <c r="P4167" s="25"/>
      <c r="Q4167" s="25"/>
      <c r="R4167" s="25"/>
      <c r="S4167" s="25"/>
      <c r="T4167" s="25"/>
      <c r="U4167" s="25"/>
      <c r="V4167" s="25"/>
      <c r="W4167" s="25"/>
      <c r="X4167" s="25"/>
      <c r="Y4167" s="25"/>
      <c r="Z4167" s="25"/>
    </row>
    <row r="4168" spans="1:26" ht="15.75" customHeight="1" x14ac:dyDescent="0.55000000000000004">
      <c r="A4168" s="2" t="s">
        <v>3</v>
      </c>
      <c r="B4168" s="2" t="s">
        <v>4</v>
      </c>
      <c r="C4168" s="2" t="s">
        <v>5</v>
      </c>
      <c r="D4168" s="2" t="s">
        <v>6</v>
      </c>
      <c r="E4168" s="2" t="s">
        <v>7</v>
      </c>
      <c r="F4168" s="3" t="s">
        <v>8</v>
      </c>
      <c r="G4168" s="2" t="s">
        <v>9</v>
      </c>
      <c r="H4168" s="26"/>
      <c r="I4168" s="24" t="s">
        <v>418</v>
      </c>
      <c r="J4168" s="25"/>
      <c r="K4168" s="25"/>
      <c r="L4168" s="25"/>
      <c r="M4168" s="25"/>
      <c r="N4168" s="25"/>
      <c r="O4168" s="25"/>
      <c r="P4168" s="25"/>
      <c r="Q4168" s="25"/>
      <c r="R4168" s="25"/>
      <c r="S4168" s="25"/>
      <c r="T4168" s="25"/>
      <c r="U4168" s="25"/>
      <c r="V4168" s="25"/>
      <c r="W4168" s="25"/>
      <c r="X4168" s="25"/>
      <c r="Y4168" s="25"/>
      <c r="Z4168" s="25"/>
    </row>
    <row r="4169" spans="1:26" ht="15.75" customHeight="1" x14ac:dyDescent="0.75">
      <c r="A4169" s="5">
        <v>1</v>
      </c>
      <c r="B4169" s="32" t="s">
        <v>21</v>
      </c>
      <c r="C4169" s="36" t="s">
        <v>683</v>
      </c>
      <c r="D4169" s="27" t="s">
        <v>12</v>
      </c>
      <c r="E4169" s="32">
        <v>1.8</v>
      </c>
      <c r="F4169" s="8">
        <v>293000</v>
      </c>
      <c r="G4169" s="9">
        <f t="shared" ref="G4169:G4171" si="260">IFERROR(E4169*F4169,0)</f>
        <v>527400</v>
      </c>
      <c r="H4169" s="29"/>
      <c r="I4169" s="24" t="s">
        <v>418</v>
      </c>
      <c r="J4169" s="25"/>
      <c r="K4169" s="25"/>
      <c r="L4169" s="25"/>
      <c r="M4169" s="25"/>
      <c r="N4169" s="25"/>
      <c r="O4169" s="25"/>
      <c r="P4169" s="25"/>
      <c r="Q4169" s="25"/>
      <c r="R4169" s="25"/>
      <c r="S4169" s="25"/>
      <c r="T4169" s="25"/>
      <c r="U4169" s="25"/>
      <c r="V4169" s="25"/>
      <c r="W4169" s="25"/>
      <c r="X4169" s="25"/>
      <c r="Y4169" s="25"/>
      <c r="Z4169" s="25"/>
    </row>
    <row r="4170" spans="1:26" ht="15.75" customHeight="1" x14ac:dyDescent="0.75">
      <c r="A4170" s="5">
        <v>2</v>
      </c>
      <c r="B4170" s="37" t="s">
        <v>684</v>
      </c>
      <c r="C4170" s="38" t="s">
        <v>685</v>
      </c>
      <c r="D4170" s="30" t="s">
        <v>14</v>
      </c>
      <c r="E4170" s="37">
        <v>1.6</v>
      </c>
      <c r="F4170" s="11">
        <v>435000</v>
      </c>
      <c r="G4170" s="9">
        <f t="shared" si="260"/>
        <v>696000</v>
      </c>
      <c r="H4170" s="29"/>
      <c r="I4170" s="24" t="s">
        <v>418</v>
      </c>
      <c r="J4170" s="25"/>
      <c r="K4170" s="25"/>
      <c r="L4170" s="25"/>
      <c r="M4170" s="25"/>
      <c r="N4170" s="25"/>
      <c r="O4170" s="25"/>
      <c r="P4170" s="25"/>
      <c r="Q4170" s="25"/>
      <c r="R4170" s="25"/>
      <c r="S4170" s="25"/>
      <c r="T4170" s="25"/>
      <c r="U4170" s="25"/>
      <c r="V4170" s="25"/>
      <c r="W4170" s="25"/>
      <c r="X4170" s="25"/>
      <c r="Y4170" s="25"/>
      <c r="Z4170" s="25"/>
    </row>
    <row r="4171" spans="1:26" ht="15.75" customHeight="1" x14ac:dyDescent="0.75">
      <c r="A4171" s="5">
        <v>3</v>
      </c>
      <c r="B4171" s="12" t="s">
        <v>15</v>
      </c>
      <c r="C4171" s="29"/>
      <c r="D4171" s="29"/>
      <c r="E4171" s="29"/>
      <c r="F4171" s="29"/>
      <c r="G4171" s="13">
        <f t="shared" si="260"/>
        <v>0</v>
      </c>
      <c r="H4171" s="29"/>
      <c r="I4171" s="24" t="s">
        <v>418</v>
      </c>
      <c r="J4171" s="25"/>
      <c r="K4171" s="25"/>
      <c r="L4171" s="25"/>
      <c r="M4171" s="25"/>
      <c r="N4171" s="25"/>
      <c r="O4171" s="25"/>
      <c r="P4171" s="25"/>
      <c r="Q4171" s="25"/>
      <c r="R4171" s="25"/>
      <c r="S4171" s="25"/>
      <c r="T4171" s="25"/>
      <c r="U4171" s="25"/>
      <c r="V4171" s="25"/>
      <c r="W4171" s="25"/>
      <c r="X4171" s="25"/>
      <c r="Y4171" s="25"/>
      <c r="Z4171" s="25"/>
    </row>
    <row r="4172" spans="1:26" ht="15.75" customHeight="1" x14ac:dyDescent="0.75">
      <c r="A4172" s="39" t="s">
        <v>16</v>
      </c>
      <c r="B4172" s="40"/>
      <c r="C4172" s="40"/>
      <c r="D4172" s="40"/>
      <c r="E4172" s="40"/>
      <c r="F4172" s="40"/>
      <c r="G4172" s="41"/>
      <c r="H4172" s="14">
        <f>SUM(G4169:G4171)</f>
        <v>1223400</v>
      </c>
      <c r="I4172" s="24" t="s">
        <v>418</v>
      </c>
      <c r="J4172" s="25"/>
      <c r="K4172" s="25"/>
      <c r="L4172" s="25"/>
      <c r="M4172" s="25"/>
      <c r="N4172" s="25"/>
      <c r="O4172" s="25"/>
      <c r="P4172" s="25"/>
      <c r="Q4172" s="25"/>
      <c r="R4172" s="25"/>
      <c r="S4172" s="25"/>
      <c r="T4172" s="25"/>
      <c r="U4172" s="25"/>
      <c r="V4172" s="25"/>
      <c r="W4172" s="25"/>
      <c r="X4172" s="25"/>
      <c r="Y4172" s="25"/>
      <c r="Z4172" s="25"/>
    </row>
    <row r="4173" spans="1:26" ht="15.75" customHeight="1" x14ac:dyDescent="0.75">
      <c r="A4173" s="39" t="s">
        <v>17</v>
      </c>
      <c r="B4173" s="40"/>
      <c r="C4173" s="40"/>
      <c r="D4173" s="40"/>
      <c r="E4173" s="40"/>
      <c r="F4173" s="40"/>
      <c r="G4173" s="41"/>
      <c r="H4173" s="14">
        <f>MAX(0,H4172-648000)</f>
        <v>575400</v>
      </c>
      <c r="I4173" s="24" t="s">
        <v>418</v>
      </c>
      <c r="J4173" s="25"/>
      <c r="K4173" s="25"/>
      <c r="L4173" s="25"/>
      <c r="M4173" s="25"/>
      <c r="N4173" s="25"/>
      <c r="O4173" s="25"/>
      <c r="P4173" s="25"/>
      <c r="Q4173" s="25"/>
      <c r="R4173" s="25"/>
      <c r="S4173" s="25"/>
      <c r="T4173" s="25"/>
      <c r="U4173" s="25"/>
      <c r="V4173" s="25"/>
      <c r="W4173" s="25"/>
      <c r="X4173" s="25"/>
      <c r="Y4173" s="25"/>
      <c r="Z4173" s="25"/>
    </row>
    <row r="4174" spans="1:26" ht="15.75" customHeight="1" x14ac:dyDescent="0.75">
      <c r="A4174" s="42" t="s">
        <v>18</v>
      </c>
      <c r="B4174" s="40"/>
      <c r="C4174" s="40"/>
      <c r="D4174" s="40"/>
      <c r="E4174" s="40"/>
      <c r="F4174" s="40"/>
      <c r="G4174" s="41"/>
      <c r="H4174" s="15">
        <v>649000</v>
      </c>
      <c r="I4174" s="24" t="s">
        <v>418</v>
      </c>
      <c r="J4174" s="25"/>
      <c r="K4174" s="25"/>
      <c r="L4174" s="25"/>
      <c r="M4174" s="25"/>
      <c r="N4174" s="25"/>
      <c r="O4174" s="25"/>
      <c r="P4174" s="25"/>
      <c r="Q4174" s="25"/>
      <c r="R4174" s="25"/>
      <c r="S4174" s="25"/>
      <c r="T4174" s="25"/>
      <c r="U4174" s="25"/>
      <c r="V4174" s="25"/>
      <c r="W4174" s="25"/>
      <c r="X4174" s="25"/>
      <c r="Y4174" s="25"/>
      <c r="Z4174" s="25"/>
    </row>
    <row r="4175" spans="1:26" ht="15.75" customHeight="1" x14ac:dyDescent="0.75">
      <c r="A4175" s="43" t="s">
        <v>19</v>
      </c>
      <c r="B4175" s="40"/>
      <c r="C4175" s="40"/>
      <c r="D4175" s="40"/>
      <c r="E4175" s="40"/>
      <c r="F4175" s="40"/>
      <c r="G4175" s="40"/>
      <c r="H4175" s="41"/>
      <c r="I4175" s="24" t="s">
        <v>418</v>
      </c>
      <c r="J4175" s="25"/>
      <c r="K4175" s="25"/>
      <c r="L4175" s="25"/>
      <c r="M4175" s="25"/>
      <c r="N4175" s="25"/>
      <c r="O4175" s="25"/>
      <c r="P4175" s="25"/>
      <c r="Q4175" s="25"/>
      <c r="R4175" s="25"/>
      <c r="S4175" s="25"/>
      <c r="T4175" s="25"/>
      <c r="U4175" s="25"/>
      <c r="V4175" s="25"/>
      <c r="W4175" s="25"/>
      <c r="X4175" s="25"/>
      <c r="Y4175" s="25"/>
      <c r="Z4175" s="25"/>
    </row>
    <row r="4176" spans="1:26" ht="15.75" customHeight="1" x14ac:dyDescent="0.45">
      <c r="A4176" s="25"/>
      <c r="B4176" s="25"/>
      <c r="C4176" s="25"/>
      <c r="D4176" s="25"/>
      <c r="E4176" s="25"/>
      <c r="F4176" s="25"/>
      <c r="G4176" s="25"/>
      <c r="H4176" s="25"/>
      <c r="I4176" s="24" t="s">
        <v>418</v>
      </c>
      <c r="J4176" s="25"/>
      <c r="K4176" s="25"/>
      <c r="L4176" s="25"/>
      <c r="M4176" s="25"/>
      <c r="N4176" s="25"/>
      <c r="O4176" s="25"/>
      <c r="P4176" s="25"/>
      <c r="Q4176" s="25"/>
      <c r="R4176" s="25"/>
      <c r="S4176" s="25"/>
      <c r="T4176" s="25"/>
      <c r="U4176" s="25"/>
      <c r="V4176" s="25"/>
      <c r="W4176" s="25"/>
      <c r="X4176" s="25"/>
      <c r="Y4176" s="25"/>
      <c r="Z4176" s="25"/>
    </row>
    <row r="4177" spans="1:26" ht="15.75" customHeight="1" x14ac:dyDescent="0.45">
      <c r="A4177" s="25"/>
      <c r="B4177" s="25"/>
      <c r="C4177" s="25"/>
      <c r="D4177" s="25"/>
      <c r="E4177" s="25"/>
      <c r="F4177" s="25"/>
      <c r="G4177" s="25"/>
      <c r="H4177" s="25"/>
      <c r="I4177" s="24" t="s">
        <v>418</v>
      </c>
      <c r="J4177" s="25"/>
      <c r="K4177" s="25"/>
      <c r="L4177" s="25"/>
      <c r="M4177" s="25"/>
      <c r="N4177" s="25"/>
      <c r="O4177" s="25"/>
      <c r="P4177" s="25"/>
      <c r="Q4177" s="25"/>
      <c r="R4177" s="25"/>
      <c r="S4177" s="25"/>
      <c r="T4177" s="25"/>
      <c r="U4177" s="25"/>
      <c r="V4177" s="25"/>
      <c r="W4177" s="25"/>
      <c r="X4177" s="25"/>
      <c r="Y4177" s="25"/>
      <c r="Z4177" s="25"/>
    </row>
    <row r="4178" spans="1:26" ht="15.75" customHeight="1" x14ac:dyDescent="0.45">
      <c r="A4178" s="25"/>
      <c r="B4178" s="25"/>
      <c r="C4178" s="25"/>
      <c r="D4178" s="25"/>
      <c r="E4178" s="25"/>
      <c r="F4178" s="25"/>
      <c r="G4178" s="25"/>
      <c r="H4178" s="25"/>
      <c r="I4178" s="24" t="s">
        <v>418</v>
      </c>
      <c r="J4178" s="25"/>
      <c r="K4178" s="25"/>
      <c r="L4178" s="25"/>
      <c r="M4178" s="25"/>
      <c r="N4178" s="25"/>
      <c r="O4178" s="25"/>
      <c r="P4178" s="25"/>
      <c r="Q4178" s="25"/>
      <c r="R4178" s="25"/>
      <c r="S4178" s="25"/>
      <c r="T4178" s="25"/>
      <c r="U4178" s="25"/>
      <c r="V4178" s="25"/>
      <c r="W4178" s="25"/>
      <c r="X4178" s="25"/>
      <c r="Y4178" s="25"/>
      <c r="Z4178" s="25"/>
    </row>
    <row r="4179" spans="1:26" ht="15.75" customHeight="1" x14ac:dyDescent="0.45">
      <c r="A4179" s="25"/>
      <c r="B4179" s="25"/>
      <c r="C4179" s="25"/>
      <c r="D4179" s="25"/>
      <c r="E4179" s="25"/>
      <c r="F4179" s="25"/>
      <c r="G4179" s="25"/>
      <c r="H4179" s="25"/>
      <c r="I4179" s="24" t="s">
        <v>418</v>
      </c>
      <c r="J4179" s="25"/>
      <c r="K4179" s="25"/>
      <c r="L4179" s="25"/>
      <c r="M4179" s="25"/>
      <c r="N4179" s="25"/>
      <c r="O4179" s="25"/>
      <c r="P4179" s="25"/>
      <c r="Q4179" s="25"/>
      <c r="R4179" s="25"/>
      <c r="S4179" s="25"/>
      <c r="T4179" s="25"/>
      <c r="U4179" s="25"/>
      <c r="V4179" s="25"/>
      <c r="W4179" s="25"/>
      <c r="X4179" s="25"/>
      <c r="Y4179" s="25"/>
      <c r="Z4179" s="25"/>
    </row>
    <row r="4180" spans="1:26" ht="15.75" customHeight="1" x14ac:dyDescent="0.45">
      <c r="A4180" s="25"/>
      <c r="B4180" s="25"/>
      <c r="C4180" s="25"/>
      <c r="D4180" s="25"/>
      <c r="E4180" s="25"/>
      <c r="F4180" s="25"/>
      <c r="G4180" s="25"/>
      <c r="H4180" s="25"/>
      <c r="I4180" s="24" t="s">
        <v>418</v>
      </c>
      <c r="J4180" s="25"/>
      <c r="K4180" s="25"/>
      <c r="L4180" s="25"/>
      <c r="M4180" s="25"/>
      <c r="N4180" s="25"/>
      <c r="O4180" s="25"/>
      <c r="P4180" s="25"/>
      <c r="Q4180" s="25"/>
      <c r="R4180" s="25"/>
      <c r="S4180" s="25"/>
      <c r="T4180" s="25"/>
      <c r="U4180" s="25"/>
      <c r="V4180" s="25"/>
      <c r="W4180" s="25"/>
      <c r="X4180" s="25"/>
      <c r="Y4180" s="25"/>
      <c r="Z4180" s="25"/>
    </row>
    <row r="4181" spans="1:26" ht="15.75" customHeight="1" x14ac:dyDescent="0.45">
      <c r="A4181" s="25"/>
      <c r="B4181" s="25"/>
      <c r="C4181" s="25"/>
      <c r="D4181" s="25"/>
      <c r="E4181" s="25"/>
      <c r="F4181" s="25"/>
      <c r="G4181" s="25"/>
      <c r="H4181" s="25"/>
      <c r="I4181" s="24" t="s">
        <v>418</v>
      </c>
      <c r="J4181" s="25"/>
      <c r="K4181" s="25"/>
      <c r="L4181" s="25"/>
      <c r="M4181" s="25"/>
      <c r="N4181" s="25"/>
      <c r="O4181" s="25"/>
      <c r="P4181" s="25"/>
      <c r="Q4181" s="25"/>
      <c r="R4181" s="25"/>
      <c r="S4181" s="25"/>
      <c r="T4181" s="25"/>
      <c r="U4181" s="25"/>
      <c r="V4181" s="25"/>
      <c r="W4181" s="25"/>
      <c r="X4181" s="25"/>
      <c r="Y4181" s="25"/>
      <c r="Z4181" s="25"/>
    </row>
    <row r="4182" spans="1:26" ht="15.75" customHeight="1" x14ac:dyDescent="0.45">
      <c r="A4182" s="25"/>
      <c r="B4182" s="25"/>
      <c r="C4182" s="25"/>
      <c r="D4182" s="25"/>
      <c r="E4182" s="25"/>
      <c r="F4182" s="25"/>
      <c r="G4182" s="25"/>
      <c r="H4182" s="25"/>
      <c r="I4182" s="24" t="s">
        <v>418</v>
      </c>
      <c r="J4182" s="25"/>
      <c r="K4182" s="25"/>
      <c r="L4182" s="25"/>
      <c r="M4182" s="25"/>
      <c r="N4182" s="25"/>
      <c r="O4182" s="25"/>
      <c r="P4182" s="25"/>
      <c r="Q4182" s="25"/>
      <c r="R4182" s="25"/>
      <c r="S4182" s="25"/>
      <c r="T4182" s="25"/>
      <c r="U4182" s="25"/>
      <c r="V4182" s="25"/>
      <c r="W4182" s="25"/>
      <c r="X4182" s="25"/>
      <c r="Y4182" s="25"/>
      <c r="Z4182" s="25"/>
    </row>
    <row r="4183" spans="1:26" ht="15.75" customHeight="1" x14ac:dyDescent="0.45">
      <c r="A4183" s="25"/>
      <c r="B4183" s="25"/>
      <c r="C4183" s="25"/>
      <c r="D4183" s="25"/>
      <c r="E4183" s="25"/>
      <c r="F4183" s="25"/>
      <c r="G4183" s="25"/>
      <c r="H4183" s="25"/>
      <c r="I4183" s="24" t="s">
        <v>418</v>
      </c>
      <c r="J4183" s="25"/>
      <c r="K4183" s="25"/>
      <c r="L4183" s="25"/>
      <c r="M4183" s="25"/>
      <c r="N4183" s="25"/>
      <c r="O4183" s="25"/>
      <c r="P4183" s="25"/>
      <c r="Q4183" s="25"/>
      <c r="R4183" s="25"/>
      <c r="S4183" s="25"/>
      <c r="T4183" s="25"/>
      <c r="U4183" s="25"/>
      <c r="V4183" s="25"/>
      <c r="W4183" s="25"/>
      <c r="X4183" s="25"/>
      <c r="Y4183" s="25"/>
      <c r="Z4183" s="25"/>
    </row>
    <row r="4184" spans="1:26" ht="15.75" customHeight="1" x14ac:dyDescent="0.45">
      <c r="A4184" s="25"/>
      <c r="B4184" s="25"/>
      <c r="C4184" s="25"/>
      <c r="D4184" s="25"/>
      <c r="E4184" s="25"/>
      <c r="F4184" s="25"/>
      <c r="G4184" s="25"/>
      <c r="H4184" s="25"/>
      <c r="I4184" s="24" t="s">
        <v>418</v>
      </c>
      <c r="J4184" s="25"/>
      <c r="K4184" s="25"/>
      <c r="L4184" s="25"/>
      <c r="M4184" s="25"/>
      <c r="N4184" s="25"/>
      <c r="O4184" s="25"/>
      <c r="P4184" s="25"/>
      <c r="Q4184" s="25"/>
      <c r="R4184" s="25"/>
      <c r="S4184" s="25"/>
      <c r="T4184" s="25"/>
      <c r="U4184" s="25"/>
      <c r="V4184" s="25"/>
      <c r="W4184" s="25"/>
      <c r="X4184" s="25"/>
      <c r="Y4184" s="25"/>
      <c r="Z4184" s="25"/>
    </row>
    <row r="4185" spans="1:26" ht="15.75" customHeight="1" x14ac:dyDescent="0.45">
      <c r="A4185" s="25"/>
      <c r="B4185" s="25"/>
      <c r="C4185" s="25"/>
      <c r="D4185" s="25"/>
      <c r="E4185" s="25"/>
      <c r="F4185" s="25"/>
      <c r="G4185" s="25"/>
      <c r="H4185" s="25"/>
      <c r="I4185" s="24" t="s">
        <v>418</v>
      </c>
      <c r="J4185" s="25"/>
      <c r="K4185" s="25"/>
      <c r="L4185" s="25"/>
      <c r="M4185" s="25"/>
      <c r="N4185" s="25"/>
      <c r="O4185" s="25"/>
      <c r="P4185" s="25"/>
      <c r="Q4185" s="25"/>
      <c r="R4185" s="25"/>
      <c r="S4185" s="25"/>
      <c r="T4185" s="25"/>
      <c r="U4185" s="25"/>
      <c r="V4185" s="25"/>
      <c r="W4185" s="25"/>
      <c r="X4185" s="25"/>
      <c r="Y4185" s="25"/>
      <c r="Z4185" s="25"/>
    </row>
    <row r="4186" spans="1:26" ht="15.75" customHeight="1" x14ac:dyDescent="0.45">
      <c r="A4186" s="25"/>
      <c r="B4186" s="25"/>
      <c r="C4186" s="25"/>
      <c r="D4186" s="25"/>
      <c r="E4186" s="25"/>
      <c r="F4186" s="25"/>
      <c r="G4186" s="25"/>
      <c r="H4186" s="25"/>
      <c r="I4186" s="24" t="s">
        <v>418</v>
      </c>
      <c r="J4186" s="25"/>
      <c r="K4186" s="25"/>
      <c r="L4186" s="25"/>
      <c r="M4186" s="25"/>
      <c r="N4186" s="25"/>
      <c r="O4186" s="25"/>
      <c r="P4186" s="25"/>
      <c r="Q4186" s="25"/>
      <c r="R4186" s="25"/>
      <c r="S4186" s="25"/>
      <c r="T4186" s="25"/>
      <c r="U4186" s="25"/>
      <c r="V4186" s="25"/>
      <c r="W4186" s="25"/>
      <c r="X4186" s="25"/>
      <c r="Y4186" s="25"/>
      <c r="Z4186" s="25"/>
    </row>
    <row r="4187" spans="1:26" ht="15.75" customHeight="1" x14ac:dyDescent="0.45">
      <c r="A4187" s="25"/>
      <c r="B4187" s="25"/>
      <c r="C4187" s="25"/>
      <c r="D4187" s="25"/>
      <c r="E4187" s="25"/>
      <c r="F4187" s="25"/>
      <c r="G4187" s="25"/>
      <c r="H4187" s="25"/>
      <c r="I4187" s="24" t="s">
        <v>418</v>
      </c>
      <c r="J4187" s="25"/>
      <c r="K4187" s="25"/>
      <c r="L4187" s="25"/>
      <c r="M4187" s="25"/>
      <c r="N4187" s="25"/>
      <c r="O4187" s="25"/>
      <c r="P4187" s="25"/>
      <c r="Q4187" s="25"/>
      <c r="R4187" s="25"/>
      <c r="S4187" s="25"/>
      <c r="T4187" s="25"/>
      <c r="U4187" s="25"/>
      <c r="V4187" s="25"/>
      <c r="W4187" s="25"/>
      <c r="X4187" s="25"/>
      <c r="Y4187" s="25"/>
      <c r="Z4187" s="25"/>
    </row>
    <row r="4188" spans="1:26" ht="15.75" customHeight="1" x14ac:dyDescent="0.45">
      <c r="A4188" s="25"/>
      <c r="B4188" s="25"/>
      <c r="C4188" s="25"/>
      <c r="D4188" s="25"/>
      <c r="E4188" s="25"/>
      <c r="F4188" s="25"/>
      <c r="G4188" s="25"/>
      <c r="H4188" s="25"/>
      <c r="I4188" s="24" t="s">
        <v>418</v>
      </c>
      <c r="J4188" s="25"/>
      <c r="K4188" s="25"/>
      <c r="L4188" s="25"/>
      <c r="M4188" s="25"/>
      <c r="N4188" s="25"/>
      <c r="O4188" s="25"/>
      <c r="P4188" s="25"/>
      <c r="Q4188" s="25"/>
      <c r="R4188" s="25"/>
      <c r="S4188" s="25"/>
      <c r="T4188" s="25"/>
      <c r="U4188" s="25"/>
      <c r="V4188" s="25"/>
      <c r="W4188" s="25"/>
      <c r="X4188" s="25"/>
      <c r="Y4188" s="25"/>
      <c r="Z4188" s="25"/>
    </row>
    <row r="4189" spans="1:26" ht="15.75" customHeight="1" x14ac:dyDescent="0.45">
      <c r="A4189" s="25"/>
      <c r="B4189" s="25"/>
      <c r="C4189" s="25"/>
      <c r="D4189" s="25"/>
      <c r="E4189" s="25"/>
      <c r="F4189" s="25"/>
      <c r="G4189" s="25"/>
      <c r="H4189" s="25"/>
      <c r="I4189" s="24" t="s">
        <v>418</v>
      </c>
      <c r="J4189" s="25"/>
      <c r="K4189" s="25"/>
      <c r="L4189" s="25"/>
      <c r="M4189" s="25"/>
      <c r="N4189" s="25"/>
      <c r="O4189" s="25"/>
      <c r="P4189" s="25"/>
      <c r="Q4189" s="25"/>
      <c r="R4189" s="25"/>
      <c r="S4189" s="25"/>
      <c r="T4189" s="25"/>
      <c r="U4189" s="25"/>
      <c r="V4189" s="25"/>
      <c r="W4189" s="25"/>
      <c r="X4189" s="25"/>
      <c r="Y4189" s="25"/>
      <c r="Z4189" s="25"/>
    </row>
    <row r="4190" spans="1:26" ht="15.75" customHeight="1" x14ac:dyDescent="0.45">
      <c r="A4190" s="25"/>
      <c r="B4190" s="25"/>
      <c r="C4190" s="25"/>
      <c r="D4190" s="25"/>
      <c r="E4190" s="25"/>
      <c r="F4190" s="25"/>
      <c r="G4190" s="25"/>
      <c r="H4190" s="25"/>
      <c r="I4190" s="24" t="s">
        <v>418</v>
      </c>
      <c r="J4190" s="25"/>
      <c r="K4190" s="25"/>
      <c r="L4190" s="25"/>
      <c r="M4190" s="25"/>
      <c r="N4190" s="25"/>
      <c r="O4190" s="25"/>
      <c r="P4190" s="25"/>
      <c r="Q4190" s="25"/>
      <c r="R4190" s="25"/>
      <c r="S4190" s="25"/>
      <c r="T4190" s="25"/>
      <c r="U4190" s="25"/>
      <c r="V4190" s="25"/>
      <c r="W4190" s="25"/>
      <c r="X4190" s="25"/>
      <c r="Y4190" s="25"/>
      <c r="Z4190" s="25"/>
    </row>
    <row r="4191" spans="1:26" ht="15.75" customHeight="1" x14ac:dyDescent="0.45">
      <c r="A4191" s="25"/>
      <c r="B4191" s="25"/>
      <c r="C4191" s="25"/>
      <c r="D4191" s="25"/>
      <c r="E4191" s="25"/>
      <c r="F4191" s="25"/>
      <c r="G4191" s="25"/>
      <c r="H4191" s="25"/>
      <c r="I4191" s="24" t="s">
        <v>418</v>
      </c>
      <c r="J4191" s="25"/>
      <c r="K4191" s="25"/>
      <c r="L4191" s="25"/>
      <c r="M4191" s="25"/>
      <c r="N4191" s="25"/>
      <c r="O4191" s="25"/>
      <c r="P4191" s="25"/>
      <c r="Q4191" s="25"/>
      <c r="R4191" s="25"/>
      <c r="S4191" s="25"/>
      <c r="T4191" s="25"/>
      <c r="U4191" s="25"/>
      <c r="V4191" s="25"/>
      <c r="W4191" s="25"/>
      <c r="X4191" s="25"/>
      <c r="Y4191" s="25"/>
      <c r="Z4191" s="25"/>
    </row>
    <row r="4192" spans="1:26" ht="15.75" customHeight="1" x14ac:dyDescent="0.75">
      <c r="A4192" s="43" t="s">
        <v>0</v>
      </c>
      <c r="B4192" s="40"/>
      <c r="C4192" s="40"/>
      <c r="D4192" s="40"/>
      <c r="E4192" s="40"/>
      <c r="F4192" s="40"/>
      <c r="G4192" s="40"/>
      <c r="H4192" s="41"/>
      <c r="I4192" s="24" t="s">
        <v>418</v>
      </c>
      <c r="J4192" s="25"/>
      <c r="K4192" s="25"/>
      <c r="L4192" s="25"/>
      <c r="M4192" s="25"/>
      <c r="N4192" s="25"/>
      <c r="O4192" s="25"/>
      <c r="P4192" s="25"/>
      <c r="Q4192" s="25"/>
      <c r="R4192" s="25"/>
      <c r="S4192" s="25"/>
      <c r="T4192" s="25"/>
      <c r="U4192" s="25"/>
      <c r="V4192" s="25"/>
      <c r="W4192" s="25"/>
      <c r="X4192" s="25"/>
      <c r="Y4192" s="25"/>
      <c r="Z4192" s="25"/>
    </row>
    <row r="4193" spans="1:26" ht="15.75" customHeight="1" x14ac:dyDescent="0.75">
      <c r="A4193" s="43" t="s">
        <v>686</v>
      </c>
      <c r="B4193" s="40"/>
      <c r="C4193" s="40"/>
      <c r="D4193" s="40"/>
      <c r="E4193" s="40"/>
      <c r="F4193" s="40"/>
      <c r="G4193" s="40"/>
      <c r="H4193" s="41"/>
      <c r="I4193" s="24" t="s">
        <v>418</v>
      </c>
      <c r="J4193" s="25"/>
      <c r="K4193" s="25"/>
      <c r="L4193" s="25"/>
      <c r="M4193" s="25"/>
      <c r="N4193" s="25"/>
      <c r="O4193" s="25"/>
      <c r="P4193" s="25"/>
      <c r="Q4193" s="25"/>
      <c r="R4193" s="25"/>
      <c r="S4193" s="25"/>
      <c r="T4193" s="25"/>
      <c r="U4193" s="25"/>
      <c r="V4193" s="25"/>
      <c r="W4193" s="25"/>
      <c r="X4193" s="25"/>
      <c r="Y4193" s="25"/>
      <c r="Z4193" s="25"/>
    </row>
    <row r="4194" spans="1:26" ht="15.75" customHeight="1" x14ac:dyDescent="0.45">
      <c r="A4194" s="26"/>
      <c r="B4194" s="26"/>
      <c r="C4194" s="26"/>
      <c r="D4194" s="26"/>
      <c r="E4194" s="26"/>
      <c r="F4194" s="26"/>
      <c r="G4194" s="26"/>
      <c r="H4194" s="26"/>
      <c r="I4194" s="24" t="s">
        <v>418</v>
      </c>
      <c r="J4194" s="25"/>
      <c r="K4194" s="25"/>
      <c r="L4194" s="25"/>
      <c r="M4194" s="25"/>
      <c r="N4194" s="25"/>
      <c r="O4194" s="25"/>
      <c r="P4194" s="25"/>
      <c r="Q4194" s="25"/>
      <c r="R4194" s="25"/>
      <c r="S4194" s="25"/>
      <c r="T4194" s="25"/>
      <c r="U4194" s="25"/>
      <c r="V4194" s="25"/>
      <c r="W4194" s="25"/>
      <c r="X4194" s="25"/>
      <c r="Y4194" s="25"/>
      <c r="Z4194" s="25"/>
    </row>
    <row r="4195" spans="1:26" ht="15.75" customHeight="1" x14ac:dyDescent="0.55000000000000004">
      <c r="A4195" s="2" t="s">
        <v>3</v>
      </c>
      <c r="B4195" s="2" t="s">
        <v>4</v>
      </c>
      <c r="C4195" s="2" t="s">
        <v>5</v>
      </c>
      <c r="D4195" s="2" t="s">
        <v>6</v>
      </c>
      <c r="E4195" s="2" t="s">
        <v>7</v>
      </c>
      <c r="F4195" s="3" t="s">
        <v>8</v>
      </c>
      <c r="G4195" s="2" t="s">
        <v>9</v>
      </c>
      <c r="H4195" s="26"/>
      <c r="I4195" s="24" t="s">
        <v>418</v>
      </c>
      <c r="J4195" s="25"/>
      <c r="K4195" s="25"/>
      <c r="L4195" s="25"/>
      <c r="M4195" s="25"/>
      <c r="N4195" s="25"/>
      <c r="O4195" s="25"/>
      <c r="P4195" s="25"/>
      <c r="Q4195" s="25"/>
      <c r="R4195" s="25"/>
      <c r="S4195" s="25"/>
      <c r="T4195" s="25"/>
      <c r="U4195" s="25"/>
      <c r="V4195" s="25"/>
      <c r="W4195" s="25"/>
      <c r="X4195" s="25"/>
      <c r="Y4195" s="25"/>
      <c r="Z4195" s="25"/>
    </row>
    <row r="4196" spans="1:26" ht="15.75" customHeight="1" x14ac:dyDescent="0.75">
      <c r="A4196" s="5">
        <v>1</v>
      </c>
      <c r="B4196" s="27" t="s">
        <v>687</v>
      </c>
      <c r="C4196" s="28" t="s">
        <v>513</v>
      </c>
      <c r="D4196" s="27" t="s">
        <v>12</v>
      </c>
      <c r="E4196" s="27">
        <v>2</v>
      </c>
      <c r="F4196" s="8">
        <v>293000</v>
      </c>
      <c r="G4196" s="9">
        <f t="shared" ref="G4196:G4198" si="261">IFERROR(E4196*F4196,0)</f>
        <v>586000</v>
      </c>
      <c r="H4196" s="29"/>
      <c r="I4196" s="24" t="s">
        <v>418</v>
      </c>
      <c r="J4196" s="25"/>
      <c r="K4196" s="25"/>
      <c r="L4196" s="25"/>
      <c r="M4196" s="25"/>
      <c r="N4196" s="25"/>
      <c r="O4196" s="25"/>
      <c r="P4196" s="25"/>
      <c r="Q4196" s="25"/>
      <c r="R4196" s="25"/>
      <c r="S4196" s="25"/>
      <c r="T4196" s="25"/>
      <c r="U4196" s="25"/>
      <c r="V4196" s="25"/>
      <c r="W4196" s="25"/>
      <c r="X4196" s="25"/>
      <c r="Y4196" s="25"/>
      <c r="Z4196" s="25"/>
    </row>
    <row r="4197" spans="1:26" ht="15.75" customHeight="1" x14ac:dyDescent="0.75">
      <c r="A4197" s="5">
        <v>2</v>
      </c>
      <c r="B4197" s="30" t="s">
        <v>103</v>
      </c>
      <c r="C4197" s="31" t="s">
        <v>688</v>
      </c>
      <c r="D4197" s="30" t="s">
        <v>14</v>
      </c>
      <c r="E4197" s="30">
        <v>1.6</v>
      </c>
      <c r="F4197" s="11">
        <v>435000</v>
      </c>
      <c r="G4197" s="9">
        <f t="shared" si="261"/>
        <v>696000</v>
      </c>
      <c r="H4197" s="29"/>
      <c r="I4197" s="24" t="s">
        <v>418</v>
      </c>
      <c r="J4197" s="25"/>
      <c r="K4197" s="25"/>
      <c r="L4197" s="25"/>
      <c r="M4197" s="25"/>
      <c r="N4197" s="25"/>
      <c r="O4197" s="25"/>
      <c r="P4197" s="25"/>
      <c r="Q4197" s="25"/>
      <c r="R4197" s="25"/>
      <c r="S4197" s="25"/>
      <c r="T4197" s="25"/>
      <c r="U4197" s="25"/>
      <c r="V4197" s="25"/>
      <c r="W4197" s="25"/>
      <c r="X4197" s="25"/>
      <c r="Y4197" s="25"/>
      <c r="Z4197" s="25"/>
    </row>
    <row r="4198" spans="1:26" ht="15.75" customHeight="1" x14ac:dyDescent="0.75">
      <c r="A4198" s="5">
        <v>3</v>
      </c>
      <c r="B4198" s="12" t="s">
        <v>15</v>
      </c>
      <c r="C4198" s="29"/>
      <c r="D4198" s="29"/>
      <c r="E4198" s="29"/>
      <c r="F4198" s="29"/>
      <c r="G4198" s="13">
        <f t="shared" si="261"/>
        <v>0</v>
      </c>
      <c r="H4198" s="29"/>
      <c r="I4198" s="24" t="s">
        <v>418</v>
      </c>
      <c r="J4198" s="25"/>
      <c r="K4198" s="25"/>
      <c r="L4198" s="25"/>
      <c r="M4198" s="25"/>
      <c r="N4198" s="25"/>
      <c r="O4198" s="25"/>
      <c r="P4198" s="25"/>
      <c r="Q4198" s="25"/>
      <c r="R4198" s="25"/>
      <c r="S4198" s="25"/>
      <c r="T4198" s="25"/>
      <c r="U4198" s="25"/>
      <c r="V4198" s="25"/>
      <c r="W4198" s="25"/>
      <c r="X4198" s="25"/>
      <c r="Y4198" s="25"/>
      <c r="Z4198" s="25"/>
    </row>
    <row r="4199" spans="1:26" ht="15.75" customHeight="1" x14ac:dyDescent="0.75">
      <c r="A4199" s="39" t="s">
        <v>16</v>
      </c>
      <c r="B4199" s="40"/>
      <c r="C4199" s="40"/>
      <c r="D4199" s="40"/>
      <c r="E4199" s="40"/>
      <c r="F4199" s="40"/>
      <c r="G4199" s="41"/>
      <c r="H4199" s="14">
        <f>SUM(G4196:G4198)</f>
        <v>1282000</v>
      </c>
      <c r="I4199" s="24" t="s">
        <v>418</v>
      </c>
      <c r="J4199" s="25"/>
      <c r="K4199" s="25"/>
      <c r="L4199" s="25"/>
      <c r="M4199" s="25"/>
      <c r="N4199" s="25"/>
      <c r="O4199" s="25"/>
      <c r="P4199" s="25"/>
      <c r="Q4199" s="25"/>
      <c r="R4199" s="25"/>
      <c r="S4199" s="25"/>
      <c r="T4199" s="25"/>
      <c r="U4199" s="25"/>
      <c r="V4199" s="25"/>
      <c r="W4199" s="25"/>
      <c r="X4199" s="25"/>
      <c r="Y4199" s="25"/>
      <c r="Z4199" s="25"/>
    </row>
    <row r="4200" spans="1:26" ht="15.75" customHeight="1" x14ac:dyDescent="0.75">
      <c r="A4200" s="39" t="s">
        <v>17</v>
      </c>
      <c r="B4200" s="40"/>
      <c r="C4200" s="40"/>
      <c r="D4200" s="40"/>
      <c r="E4200" s="40"/>
      <c r="F4200" s="40"/>
      <c r="G4200" s="41"/>
      <c r="H4200" s="14">
        <f>MAX(0,H4199-648000)</f>
        <v>634000</v>
      </c>
      <c r="I4200" s="24" t="s">
        <v>418</v>
      </c>
      <c r="J4200" s="25"/>
      <c r="K4200" s="25"/>
      <c r="L4200" s="25"/>
      <c r="M4200" s="25"/>
      <c r="N4200" s="25"/>
      <c r="O4200" s="25"/>
      <c r="P4200" s="25"/>
      <c r="Q4200" s="25"/>
      <c r="R4200" s="25"/>
      <c r="S4200" s="25"/>
      <c r="T4200" s="25"/>
      <c r="U4200" s="25"/>
      <c r="V4200" s="25"/>
      <c r="W4200" s="25"/>
      <c r="X4200" s="25"/>
      <c r="Y4200" s="25"/>
      <c r="Z4200" s="25"/>
    </row>
    <row r="4201" spans="1:26" ht="15.75" customHeight="1" x14ac:dyDescent="0.75">
      <c r="A4201" s="42" t="s">
        <v>18</v>
      </c>
      <c r="B4201" s="40"/>
      <c r="C4201" s="40"/>
      <c r="D4201" s="40"/>
      <c r="E4201" s="40"/>
      <c r="F4201" s="40"/>
      <c r="G4201" s="41"/>
      <c r="H4201" s="15">
        <v>649000</v>
      </c>
      <c r="I4201" s="24" t="s">
        <v>418</v>
      </c>
      <c r="J4201" s="25"/>
      <c r="K4201" s="25"/>
      <c r="L4201" s="25"/>
      <c r="M4201" s="25"/>
      <c r="N4201" s="25"/>
      <c r="O4201" s="25"/>
      <c r="P4201" s="25"/>
      <c r="Q4201" s="25"/>
      <c r="R4201" s="25"/>
      <c r="S4201" s="25"/>
      <c r="T4201" s="25"/>
      <c r="U4201" s="25"/>
      <c r="V4201" s="25"/>
      <c r="W4201" s="25"/>
      <c r="X4201" s="25"/>
      <c r="Y4201" s="25"/>
      <c r="Z4201" s="25"/>
    </row>
    <row r="4202" spans="1:26" ht="15.75" customHeight="1" x14ac:dyDescent="0.75">
      <c r="A4202" s="43" t="s">
        <v>19</v>
      </c>
      <c r="B4202" s="40"/>
      <c r="C4202" s="40"/>
      <c r="D4202" s="40"/>
      <c r="E4202" s="40"/>
      <c r="F4202" s="40"/>
      <c r="G4202" s="40"/>
      <c r="H4202" s="41"/>
      <c r="I4202" s="24" t="s">
        <v>418</v>
      </c>
      <c r="J4202" s="25"/>
      <c r="K4202" s="25"/>
      <c r="L4202" s="25"/>
      <c r="M4202" s="25"/>
      <c r="N4202" s="25"/>
      <c r="O4202" s="25"/>
      <c r="P4202" s="25"/>
      <c r="Q4202" s="25"/>
      <c r="R4202" s="25"/>
      <c r="S4202" s="25"/>
      <c r="T4202" s="25"/>
      <c r="U4202" s="25"/>
      <c r="V4202" s="25"/>
      <c r="W4202" s="25"/>
      <c r="X4202" s="25"/>
      <c r="Y4202" s="25"/>
      <c r="Z4202" s="25"/>
    </row>
    <row r="4203" spans="1:26" ht="15.75" customHeight="1" x14ac:dyDescent="0.45">
      <c r="A4203" s="25"/>
      <c r="B4203" s="25"/>
      <c r="C4203" s="25"/>
      <c r="D4203" s="25"/>
      <c r="E4203" s="25"/>
      <c r="F4203" s="25"/>
      <c r="G4203" s="25"/>
      <c r="H4203" s="25"/>
      <c r="I4203" s="24" t="s">
        <v>418</v>
      </c>
      <c r="J4203" s="25"/>
      <c r="K4203" s="25"/>
      <c r="L4203" s="25"/>
      <c r="M4203" s="25"/>
      <c r="N4203" s="25"/>
      <c r="O4203" s="25"/>
      <c r="P4203" s="25"/>
      <c r="Q4203" s="25"/>
      <c r="R4203" s="25"/>
      <c r="S4203" s="25"/>
      <c r="T4203" s="25"/>
      <c r="U4203" s="25"/>
      <c r="V4203" s="25"/>
      <c r="W4203" s="25"/>
      <c r="X4203" s="25"/>
      <c r="Y4203" s="25"/>
      <c r="Z4203" s="25"/>
    </row>
    <row r="4204" spans="1:26" ht="15.75" customHeight="1" x14ac:dyDescent="0.45">
      <c r="A4204" s="25"/>
      <c r="B4204" s="25"/>
      <c r="C4204" s="25"/>
      <c r="D4204" s="25"/>
      <c r="E4204" s="25"/>
      <c r="F4204" s="25"/>
      <c r="G4204" s="25"/>
      <c r="H4204" s="25"/>
      <c r="I4204" s="24" t="s">
        <v>418</v>
      </c>
      <c r="J4204" s="25"/>
      <c r="K4204" s="25"/>
      <c r="L4204" s="25"/>
      <c r="M4204" s="25"/>
      <c r="N4204" s="25"/>
      <c r="O4204" s="25"/>
      <c r="P4204" s="25"/>
      <c r="Q4204" s="25"/>
      <c r="R4204" s="25"/>
      <c r="S4204" s="25"/>
      <c r="T4204" s="25"/>
      <c r="U4204" s="25"/>
      <c r="V4204" s="25"/>
      <c r="W4204" s="25"/>
      <c r="X4204" s="25"/>
      <c r="Y4204" s="25"/>
      <c r="Z4204" s="25"/>
    </row>
    <row r="4205" spans="1:26" ht="15.75" customHeight="1" x14ac:dyDescent="0.45">
      <c r="A4205" s="25"/>
      <c r="B4205" s="25"/>
      <c r="C4205" s="25"/>
      <c r="D4205" s="25"/>
      <c r="E4205" s="25"/>
      <c r="F4205" s="25"/>
      <c r="G4205" s="25"/>
      <c r="H4205" s="25"/>
      <c r="I4205" s="24" t="s">
        <v>418</v>
      </c>
      <c r="J4205" s="25"/>
      <c r="K4205" s="25"/>
      <c r="L4205" s="25"/>
      <c r="M4205" s="25"/>
      <c r="N4205" s="25"/>
      <c r="O4205" s="25"/>
      <c r="P4205" s="25"/>
      <c r="Q4205" s="25"/>
      <c r="R4205" s="25"/>
      <c r="S4205" s="25"/>
      <c r="T4205" s="25"/>
      <c r="U4205" s="25"/>
      <c r="V4205" s="25"/>
      <c r="W4205" s="25"/>
      <c r="X4205" s="25"/>
      <c r="Y4205" s="25"/>
      <c r="Z4205" s="25"/>
    </row>
    <row r="4206" spans="1:26" ht="15.75" customHeight="1" x14ac:dyDescent="0.45">
      <c r="A4206" s="25"/>
      <c r="B4206" s="25"/>
      <c r="C4206" s="25"/>
      <c r="D4206" s="25"/>
      <c r="E4206" s="25"/>
      <c r="F4206" s="25"/>
      <c r="G4206" s="25"/>
      <c r="H4206" s="25"/>
      <c r="I4206" s="24" t="s">
        <v>418</v>
      </c>
      <c r="J4206" s="25"/>
      <c r="K4206" s="25"/>
      <c r="L4206" s="25"/>
      <c r="M4206" s="25"/>
      <c r="N4206" s="25"/>
      <c r="O4206" s="25"/>
      <c r="P4206" s="25"/>
      <c r="Q4206" s="25"/>
      <c r="R4206" s="25"/>
      <c r="S4206" s="25"/>
      <c r="T4206" s="25"/>
      <c r="U4206" s="25"/>
      <c r="V4206" s="25"/>
      <c r="W4206" s="25"/>
      <c r="X4206" s="25"/>
      <c r="Y4206" s="25"/>
      <c r="Z4206" s="25"/>
    </row>
    <row r="4207" spans="1:26" ht="15.75" customHeight="1" x14ac:dyDescent="0.75">
      <c r="A4207" s="43" t="s">
        <v>0</v>
      </c>
      <c r="B4207" s="40"/>
      <c r="C4207" s="40"/>
      <c r="D4207" s="40"/>
      <c r="E4207" s="40"/>
      <c r="F4207" s="40"/>
      <c r="G4207" s="40"/>
      <c r="H4207" s="41"/>
      <c r="I4207" s="24" t="s">
        <v>418</v>
      </c>
      <c r="J4207" s="25"/>
      <c r="K4207" s="25"/>
      <c r="L4207" s="25"/>
      <c r="M4207" s="25"/>
      <c r="N4207" s="25"/>
      <c r="O4207" s="25"/>
      <c r="P4207" s="25"/>
      <c r="Q4207" s="25"/>
      <c r="R4207" s="25"/>
      <c r="S4207" s="25"/>
      <c r="T4207" s="25"/>
      <c r="U4207" s="25"/>
      <c r="V4207" s="25"/>
      <c r="W4207" s="25"/>
      <c r="X4207" s="25"/>
      <c r="Y4207" s="25"/>
      <c r="Z4207" s="25"/>
    </row>
    <row r="4208" spans="1:26" ht="15.75" customHeight="1" x14ac:dyDescent="0.75">
      <c r="A4208" s="43" t="s">
        <v>689</v>
      </c>
      <c r="B4208" s="40"/>
      <c r="C4208" s="40"/>
      <c r="D4208" s="40"/>
      <c r="E4208" s="40"/>
      <c r="F4208" s="40"/>
      <c r="G4208" s="40"/>
      <c r="H4208" s="41"/>
      <c r="I4208" s="24" t="s">
        <v>418</v>
      </c>
      <c r="J4208" s="25"/>
      <c r="K4208" s="25"/>
      <c r="L4208" s="25"/>
      <c r="M4208" s="25"/>
      <c r="N4208" s="25"/>
      <c r="O4208" s="25"/>
      <c r="P4208" s="25"/>
      <c r="Q4208" s="25"/>
      <c r="R4208" s="25"/>
      <c r="S4208" s="25"/>
      <c r="T4208" s="25"/>
      <c r="U4208" s="25"/>
      <c r="V4208" s="25"/>
      <c r="W4208" s="25"/>
      <c r="X4208" s="25"/>
      <c r="Y4208" s="25"/>
      <c r="Z4208" s="25"/>
    </row>
    <row r="4209" spans="1:26" ht="15.75" customHeight="1" x14ac:dyDescent="0.55000000000000004">
      <c r="A4209" s="2" t="s">
        <v>3</v>
      </c>
      <c r="B4209" s="2" t="s">
        <v>4</v>
      </c>
      <c r="C4209" s="2" t="s">
        <v>5</v>
      </c>
      <c r="D4209" s="2" t="s">
        <v>6</v>
      </c>
      <c r="E4209" s="2" t="s">
        <v>7</v>
      </c>
      <c r="F4209" s="3" t="s">
        <v>8</v>
      </c>
      <c r="G4209" s="2" t="s">
        <v>9</v>
      </c>
      <c r="H4209" s="26"/>
      <c r="I4209" s="24" t="s">
        <v>418</v>
      </c>
      <c r="J4209" s="25"/>
      <c r="K4209" s="25"/>
      <c r="L4209" s="25"/>
      <c r="M4209" s="25"/>
      <c r="N4209" s="25"/>
      <c r="O4209" s="25"/>
      <c r="P4209" s="25"/>
      <c r="Q4209" s="25"/>
      <c r="R4209" s="25"/>
      <c r="S4209" s="25"/>
      <c r="T4209" s="25"/>
      <c r="U4209" s="25"/>
      <c r="V4209" s="25"/>
      <c r="W4209" s="25"/>
      <c r="X4209" s="25"/>
      <c r="Y4209" s="25"/>
      <c r="Z4209" s="25"/>
    </row>
    <row r="4210" spans="1:26" ht="15.75" customHeight="1" x14ac:dyDescent="0.75">
      <c r="A4210" s="5">
        <v>1</v>
      </c>
      <c r="B4210" s="27" t="s">
        <v>690</v>
      </c>
      <c r="C4210" s="28" t="s">
        <v>691</v>
      </c>
      <c r="D4210" s="27" t="s">
        <v>12</v>
      </c>
      <c r="E4210" s="27">
        <v>2.65</v>
      </c>
      <c r="F4210" s="8">
        <v>293000</v>
      </c>
      <c r="G4210" s="9">
        <f t="shared" ref="G4210:G4212" si="262">IFERROR(E4210*F4210,0)</f>
        <v>776450</v>
      </c>
      <c r="H4210" s="29"/>
      <c r="I4210" s="24" t="s">
        <v>418</v>
      </c>
      <c r="J4210" s="25"/>
      <c r="K4210" s="25"/>
      <c r="L4210" s="25"/>
      <c r="M4210" s="25"/>
      <c r="N4210" s="25"/>
      <c r="O4210" s="25"/>
      <c r="P4210" s="25"/>
      <c r="Q4210" s="25"/>
      <c r="R4210" s="25"/>
      <c r="S4210" s="25"/>
      <c r="T4210" s="25"/>
      <c r="U4210" s="25"/>
      <c r="V4210" s="25"/>
      <c r="W4210" s="25"/>
      <c r="X4210" s="25"/>
      <c r="Y4210" s="25"/>
      <c r="Z4210" s="25"/>
    </row>
    <row r="4211" spans="1:26" ht="15.75" customHeight="1" x14ac:dyDescent="0.75">
      <c r="A4211" s="5">
        <v>2</v>
      </c>
      <c r="B4211" s="30" t="s">
        <v>113</v>
      </c>
      <c r="C4211" s="31" t="s">
        <v>692</v>
      </c>
      <c r="D4211" s="30" t="s">
        <v>14</v>
      </c>
      <c r="E4211" s="30">
        <v>1.05</v>
      </c>
      <c r="F4211" s="11">
        <v>435000</v>
      </c>
      <c r="G4211" s="9">
        <f t="shared" si="262"/>
        <v>456750</v>
      </c>
      <c r="H4211" s="29"/>
      <c r="I4211" s="24" t="s">
        <v>418</v>
      </c>
      <c r="J4211" s="25"/>
      <c r="K4211" s="25"/>
      <c r="L4211" s="25"/>
      <c r="M4211" s="25"/>
      <c r="N4211" s="25"/>
      <c r="O4211" s="25"/>
      <c r="P4211" s="25"/>
      <c r="Q4211" s="25"/>
      <c r="R4211" s="25"/>
      <c r="S4211" s="25"/>
      <c r="T4211" s="25"/>
      <c r="U4211" s="25"/>
      <c r="V4211" s="25"/>
      <c r="W4211" s="25"/>
      <c r="X4211" s="25"/>
      <c r="Y4211" s="25"/>
      <c r="Z4211" s="25"/>
    </row>
    <row r="4212" spans="1:26" ht="15.75" customHeight="1" x14ac:dyDescent="0.75">
      <c r="A4212" s="5">
        <v>3</v>
      </c>
      <c r="B4212" s="12" t="s">
        <v>15</v>
      </c>
      <c r="C4212" s="29"/>
      <c r="D4212" s="29"/>
      <c r="E4212" s="29"/>
      <c r="F4212" s="29"/>
      <c r="G4212" s="13">
        <f t="shared" si="262"/>
        <v>0</v>
      </c>
      <c r="H4212" s="29"/>
      <c r="I4212" s="24" t="s">
        <v>418</v>
      </c>
      <c r="J4212" s="25"/>
      <c r="K4212" s="25"/>
      <c r="L4212" s="25"/>
      <c r="M4212" s="25"/>
      <c r="N4212" s="25"/>
      <c r="O4212" s="25"/>
      <c r="P4212" s="25"/>
      <c r="Q4212" s="25"/>
      <c r="R4212" s="25"/>
      <c r="S4212" s="25"/>
      <c r="T4212" s="25"/>
      <c r="U4212" s="25"/>
      <c r="V4212" s="25"/>
      <c r="W4212" s="25"/>
      <c r="X4212" s="25"/>
      <c r="Y4212" s="25"/>
      <c r="Z4212" s="25"/>
    </row>
    <row r="4213" spans="1:26" ht="15.75" customHeight="1" x14ac:dyDescent="0.75">
      <c r="A4213" s="39" t="s">
        <v>16</v>
      </c>
      <c r="B4213" s="40"/>
      <c r="C4213" s="40"/>
      <c r="D4213" s="40"/>
      <c r="E4213" s="40"/>
      <c r="F4213" s="40"/>
      <c r="G4213" s="41"/>
      <c r="H4213" s="14">
        <f>SUM(G4210:G4212)</f>
        <v>1233200</v>
      </c>
      <c r="I4213" s="24" t="s">
        <v>418</v>
      </c>
      <c r="J4213" s="25"/>
      <c r="K4213" s="25"/>
      <c r="L4213" s="25"/>
      <c r="M4213" s="25"/>
      <c r="N4213" s="25"/>
      <c r="O4213" s="25"/>
      <c r="P4213" s="25"/>
      <c r="Q4213" s="25"/>
      <c r="R4213" s="25"/>
      <c r="S4213" s="25"/>
      <c r="T4213" s="25"/>
      <c r="U4213" s="25"/>
      <c r="V4213" s="25"/>
      <c r="W4213" s="25"/>
      <c r="X4213" s="25"/>
      <c r="Y4213" s="25"/>
      <c r="Z4213" s="25"/>
    </row>
    <row r="4214" spans="1:26" ht="15.75" customHeight="1" x14ac:dyDescent="0.75">
      <c r="A4214" s="39" t="s">
        <v>17</v>
      </c>
      <c r="B4214" s="40"/>
      <c r="C4214" s="40"/>
      <c r="D4214" s="40"/>
      <c r="E4214" s="40"/>
      <c r="F4214" s="40"/>
      <c r="G4214" s="41"/>
      <c r="H4214" s="14">
        <f>MAX(0,H4213-648000)</f>
        <v>585200</v>
      </c>
      <c r="I4214" s="24" t="s">
        <v>418</v>
      </c>
      <c r="J4214" s="25"/>
      <c r="K4214" s="25"/>
      <c r="L4214" s="25"/>
      <c r="M4214" s="25"/>
      <c r="N4214" s="25"/>
      <c r="O4214" s="25"/>
      <c r="P4214" s="25"/>
      <c r="Q4214" s="25"/>
      <c r="R4214" s="25"/>
      <c r="S4214" s="25"/>
      <c r="T4214" s="25"/>
      <c r="U4214" s="25"/>
      <c r="V4214" s="25"/>
      <c r="W4214" s="25"/>
      <c r="X4214" s="25"/>
      <c r="Y4214" s="25"/>
      <c r="Z4214" s="25"/>
    </row>
    <row r="4215" spans="1:26" ht="15.75" customHeight="1" x14ac:dyDescent="0.75">
      <c r="A4215" s="42" t="s">
        <v>18</v>
      </c>
      <c r="B4215" s="40"/>
      <c r="C4215" s="40"/>
      <c r="D4215" s="40"/>
      <c r="E4215" s="40"/>
      <c r="F4215" s="40"/>
      <c r="G4215" s="41"/>
      <c r="H4215" s="15">
        <v>649000</v>
      </c>
      <c r="I4215" s="24" t="s">
        <v>418</v>
      </c>
      <c r="J4215" s="25"/>
      <c r="K4215" s="25"/>
      <c r="L4215" s="25"/>
      <c r="M4215" s="25"/>
      <c r="N4215" s="25"/>
      <c r="O4215" s="25"/>
      <c r="P4215" s="25"/>
      <c r="Q4215" s="25"/>
      <c r="R4215" s="25"/>
      <c r="S4215" s="25"/>
      <c r="T4215" s="25"/>
      <c r="U4215" s="25"/>
      <c r="V4215" s="25"/>
      <c r="W4215" s="25"/>
      <c r="X4215" s="25"/>
      <c r="Y4215" s="25"/>
      <c r="Z4215" s="25"/>
    </row>
    <row r="4216" spans="1:26" ht="15.75" customHeight="1" x14ac:dyDescent="0.75">
      <c r="A4216" s="43" t="s">
        <v>19</v>
      </c>
      <c r="B4216" s="40"/>
      <c r="C4216" s="40"/>
      <c r="D4216" s="40"/>
      <c r="E4216" s="40"/>
      <c r="F4216" s="40"/>
      <c r="G4216" s="40"/>
      <c r="H4216" s="41"/>
      <c r="I4216" s="24" t="s">
        <v>418</v>
      </c>
      <c r="J4216" s="25"/>
      <c r="K4216" s="25"/>
      <c r="L4216" s="25"/>
      <c r="M4216" s="25"/>
      <c r="N4216" s="25"/>
      <c r="O4216" s="25"/>
      <c r="P4216" s="25"/>
      <c r="Q4216" s="25"/>
      <c r="R4216" s="25"/>
      <c r="S4216" s="25"/>
      <c r="T4216" s="25"/>
      <c r="U4216" s="25"/>
      <c r="V4216" s="25"/>
      <c r="W4216" s="25"/>
      <c r="X4216" s="25"/>
      <c r="Y4216" s="25"/>
      <c r="Z4216" s="25"/>
    </row>
    <row r="4217" spans="1:26" ht="15.75" customHeight="1" x14ac:dyDescent="0.45">
      <c r="A4217" s="25"/>
      <c r="B4217" s="25"/>
      <c r="C4217" s="25"/>
      <c r="D4217" s="25"/>
      <c r="E4217" s="25"/>
      <c r="F4217" s="25"/>
      <c r="G4217" s="25"/>
      <c r="H4217" s="25"/>
      <c r="I4217" s="24" t="s">
        <v>418</v>
      </c>
      <c r="J4217" s="25"/>
      <c r="K4217" s="25"/>
      <c r="L4217" s="25"/>
      <c r="M4217" s="25"/>
      <c r="N4217" s="25"/>
      <c r="O4217" s="25"/>
      <c r="P4217" s="25"/>
      <c r="Q4217" s="25"/>
      <c r="R4217" s="25"/>
      <c r="S4217" s="25"/>
      <c r="T4217" s="25"/>
      <c r="U4217" s="25"/>
      <c r="V4217" s="25"/>
      <c r="W4217" s="25"/>
      <c r="X4217" s="25"/>
      <c r="Y4217" s="25"/>
      <c r="Z4217" s="25"/>
    </row>
    <row r="4218" spans="1:26" ht="15.75" customHeight="1" x14ac:dyDescent="0.45">
      <c r="A4218" s="25"/>
      <c r="B4218" s="25"/>
      <c r="C4218" s="25"/>
      <c r="D4218" s="25"/>
      <c r="E4218" s="25"/>
      <c r="F4218" s="25"/>
      <c r="G4218" s="25"/>
      <c r="H4218" s="25"/>
      <c r="I4218" s="24" t="s">
        <v>418</v>
      </c>
      <c r="J4218" s="25"/>
      <c r="K4218" s="25"/>
      <c r="L4218" s="25"/>
      <c r="M4218" s="25"/>
      <c r="N4218" s="25"/>
      <c r="O4218" s="25"/>
      <c r="P4218" s="25"/>
      <c r="Q4218" s="25"/>
      <c r="R4218" s="25"/>
      <c r="S4218" s="25"/>
      <c r="T4218" s="25"/>
      <c r="U4218" s="25"/>
      <c r="V4218" s="25"/>
      <c r="W4218" s="25"/>
      <c r="X4218" s="25"/>
      <c r="Y4218" s="25"/>
      <c r="Z4218" s="25"/>
    </row>
    <row r="4219" spans="1:26" ht="15.75" customHeight="1" x14ac:dyDescent="0.45">
      <c r="A4219" s="25"/>
      <c r="B4219" s="25"/>
      <c r="C4219" s="25"/>
      <c r="D4219" s="25"/>
      <c r="E4219" s="25"/>
      <c r="F4219" s="25"/>
      <c r="G4219" s="25"/>
      <c r="H4219" s="25"/>
      <c r="I4219" s="24" t="s">
        <v>418</v>
      </c>
      <c r="J4219" s="25"/>
      <c r="K4219" s="25"/>
      <c r="L4219" s="25"/>
      <c r="M4219" s="25"/>
      <c r="N4219" s="25"/>
      <c r="O4219" s="25"/>
      <c r="P4219" s="25"/>
      <c r="Q4219" s="25"/>
      <c r="R4219" s="25"/>
      <c r="S4219" s="25"/>
      <c r="T4219" s="25"/>
      <c r="U4219" s="25"/>
      <c r="V4219" s="25"/>
      <c r="W4219" s="25"/>
      <c r="X4219" s="25"/>
      <c r="Y4219" s="25"/>
      <c r="Z4219" s="25"/>
    </row>
    <row r="4220" spans="1:26" ht="15.75" customHeight="1" x14ac:dyDescent="0.45">
      <c r="A4220" s="25"/>
      <c r="B4220" s="25"/>
      <c r="C4220" s="25"/>
      <c r="D4220" s="25"/>
      <c r="E4220" s="25"/>
      <c r="F4220" s="25"/>
      <c r="G4220" s="25"/>
      <c r="H4220" s="25"/>
      <c r="I4220" s="24" t="s">
        <v>418</v>
      </c>
      <c r="J4220" s="25"/>
      <c r="K4220" s="25"/>
      <c r="L4220" s="25"/>
      <c r="M4220" s="25"/>
      <c r="N4220" s="25"/>
      <c r="O4220" s="25"/>
      <c r="P4220" s="25"/>
      <c r="Q4220" s="25"/>
      <c r="R4220" s="25"/>
      <c r="S4220" s="25"/>
      <c r="T4220" s="25"/>
      <c r="U4220" s="25"/>
      <c r="V4220" s="25"/>
      <c r="W4220" s="25"/>
      <c r="X4220" s="25"/>
      <c r="Y4220" s="25"/>
      <c r="Z4220" s="25"/>
    </row>
    <row r="4221" spans="1:26" ht="15.75" customHeight="1" x14ac:dyDescent="0.45">
      <c r="A4221" s="25"/>
      <c r="B4221" s="25"/>
      <c r="C4221" s="25"/>
      <c r="D4221" s="25"/>
      <c r="E4221" s="25"/>
      <c r="F4221" s="25"/>
      <c r="G4221" s="25"/>
      <c r="H4221" s="25"/>
      <c r="I4221" s="24" t="s">
        <v>418</v>
      </c>
      <c r="J4221" s="25"/>
      <c r="K4221" s="25"/>
      <c r="L4221" s="25"/>
      <c r="M4221" s="25"/>
      <c r="N4221" s="25"/>
      <c r="O4221" s="25"/>
      <c r="P4221" s="25"/>
      <c r="Q4221" s="25"/>
      <c r="R4221" s="25"/>
      <c r="S4221" s="25"/>
      <c r="T4221" s="25"/>
      <c r="U4221" s="25"/>
      <c r="V4221" s="25"/>
      <c r="W4221" s="25"/>
      <c r="X4221" s="25"/>
      <c r="Y4221" s="25"/>
      <c r="Z4221" s="25"/>
    </row>
    <row r="4222" spans="1:26" ht="15.75" customHeight="1" x14ac:dyDescent="0.45">
      <c r="A4222" s="25"/>
      <c r="B4222" s="25"/>
      <c r="C4222" s="25"/>
      <c r="D4222" s="25"/>
      <c r="E4222" s="25"/>
      <c r="F4222" s="25"/>
      <c r="G4222" s="25"/>
      <c r="H4222" s="25"/>
      <c r="I4222" s="24" t="s">
        <v>418</v>
      </c>
      <c r="J4222" s="25"/>
      <c r="K4222" s="25"/>
      <c r="L4222" s="25"/>
      <c r="M4222" s="25"/>
      <c r="N4222" s="25"/>
      <c r="O4222" s="25"/>
      <c r="P4222" s="25"/>
      <c r="Q4222" s="25"/>
      <c r="R4222" s="25"/>
      <c r="S4222" s="25"/>
      <c r="T4222" s="25"/>
      <c r="U4222" s="25"/>
      <c r="V4222" s="25"/>
      <c r="W4222" s="25"/>
      <c r="X4222" s="25"/>
      <c r="Y4222" s="25"/>
      <c r="Z4222" s="25"/>
    </row>
    <row r="4223" spans="1:26" ht="15.75" customHeight="1" x14ac:dyDescent="0.45">
      <c r="A4223" s="25"/>
      <c r="B4223" s="25"/>
      <c r="C4223" s="25"/>
      <c r="D4223" s="25"/>
      <c r="E4223" s="25"/>
      <c r="F4223" s="25"/>
      <c r="G4223" s="25"/>
      <c r="H4223" s="25"/>
      <c r="I4223" s="24" t="s">
        <v>418</v>
      </c>
      <c r="J4223" s="25"/>
      <c r="K4223" s="25"/>
      <c r="L4223" s="25"/>
      <c r="M4223" s="25"/>
      <c r="N4223" s="25"/>
      <c r="O4223" s="25"/>
      <c r="P4223" s="25"/>
      <c r="Q4223" s="25"/>
      <c r="R4223" s="25"/>
      <c r="S4223" s="25"/>
      <c r="T4223" s="25"/>
      <c r="U4223" s="25"/>
      <c r="V4223" s="25"/>
      <c r="W4223" s="25"/>
      <c r="X4223" s="25"/>
      <c r="Y4223" s="25"/>
      <c r="Z4223" s="25"/>
    </row>
    <row r="4224" spans="1:26" ht="15.75" customHeight="1" x14ac:dyDescent="0.45">
      <c r="A4224" s="25"/>
      <c r="B4224" s="25"/>
      <c r="C4224" s="25"/>
      <c r="D4224" s="25"/>
      <c r="E4224" s="25"/>
      <c r="F4224" s="25"/>
      <c r="G4224" s="25"/>
      <c r="H4224" s="25"/>
      <c r="I4224" s="24" t="s">
        <v>418</v>
      </c>
      <c r="J4224" s="25"/>
      <c r="K4224" s="25"/>
      <c r="L4224" s="25"/>
      <c r="M4224" s="25"/>
      <c r="N4224" s="25"/>
      <c r="O4224" s="25"/>
      <c r="P4224" s="25"/>
      <c r="Q4224" s="25"/>
      <c r="R4224" s="25"/>
      <c r="S4224" s="25"/>
      <c r="T4224" s="25"/>
      <c r="U4224" s="25"/>
      <c r="V4224" s="25"/>
      <c r="W4224" s="25"/>
      <c r="X4224" s="25"/>
      <c r="Y4224" s="25"/>
      <c r="Z4224" s="25"/>
    </row>
    <row r="4225" spans="1:26" ht="15.75" customHeight="1" x14ac:dyDescent="0.45">
      <c r="A4225" s="25"/>
      <c r="B4225" s="25"/>
      <c r="C4225" s="25"/>
      <c r="D4225" s="25"/>
      <c r="E4225" s="25"/>
      <c r="F4225" s="25"/>
      <c r="G4225" s="25"/>
      <c r="H4225" s="25"/>
      <c r="I4225" s="24" t="s">
        <v>418</v>
      </c>
      <c r="J4225" s="25"/>
      <c r="K4225" s="25"/>
      <c r="L4225" s="25"/>
      <c r="M4225" s="25"/>
      <c r="N4225" s="25"/>
      <c r="O4225" s="25"/>
      <c r="P4225" s="25"/>
      <c r="Q4225" s="25"/>
      <c r="R4225" s="25"/>
      <c r="S4225" s="25"/>
      <c r="T4225" s="25"/>
      <c r="U4225" s="25"/>
      <c r="V4225" s="25"/>
      <c r="W4225" s="25"/>
      <c r="X4225" s="25"/>
      <c r="Y4225" s="25"/>
      <c r="Z4225" s="25"/>
    </row>
    <row r="4226" spans="1:26" ht="15.75" customHeight="1" x14ac:dyDescent="0.75">
      <c r="A4226" s="43" t="s">
        <v>0</v>
      </c>
      <c r="B4226" s="40"/>
      <c r="C4226" s="40"/>
      <c r="D4226" s="40"/>
      <c r="E4226" s="40"/>
      <c r="F4226" s="40"/>
      <c r="G4226" s="40"/>
      <c r="H4226" s="41"/>
      <c r="I4226" s="24" t="s">
        <v>418</v>
      </c>
      <c r="J4226" s="25"/>
      <c r="K4226" s="25"/>
      <c r="L4226" s="25"/>
      <c r="M4226" s="25"/>
      <c r="N4226" s="25"/>
      <c r="O4226" s="25"/>
      <c r="P4226" s="25"/>
      <c r="Q4226" s="25"/>
      <c r="R4226" s="25"/>
      <c r="S4226" s="25"/>
      <c r="T4226" s="25"/>
      <c r="U4226" s="25"/>
      <c r="V4226" s="25"/>
      <c r="W4226" s="25"/>
      <c r="X4226" s="25"/>
      <c r="Y4226" s="25"/>
      <c r="Z4226" s="25"/>
    </row>
    <row r="4227" spans="1:26" ht="15.75" customHeight="1" x14ac:dyDescent="0.75">
      <c r="A4227" s="43" t="s">
        <v>693</v>
      </c>
      <c r="B4227" s="40"/>
      <c r="C4227" s="40"/>
      <c r="D4227" s="40"/>
      <c r="E4227" s="40"/>
      <c r="F4227" s="40"/>
      <c r="G4227" s="40"/>
      <c r="H4227" s="41"/>
      <c r="I4227" s="24" t="s">
        <v>418</v>
      </c>
      <c r="J4227" s="25"/>
      <c r="K4227" s="25"/>
      <c r="L4227" s="25"/>
      <c r="M4227" s="25"/>
      <c r="N4227" s="25"/>
      <c r="O4227" s="25"/>
      <c r="P4227" s="25"/>
      <c r="Q4227" s="25"/>
      <c r="R4227" s="25"/>
      <c r="S4227" s="25"/>
      <c r="T4227" s="25"/>
      <c r="U4227" s="25"/>
      <c r="V4227" s="25"/>
      <c r="W4227" s="25"/>
      <c r="X4227" s="25"/>
      <c r="Y4227" s="25"/>
      <c r="Z4227" s="25"/>
    </row>
    <row r="4228" spans="1:26" ht="15.75" customHeight="1" x14ac:dyDescent="0.55000000000000004">
      <c r="A4228" s="2" t="s">
        <v>3</v>
      </c>
      <c r="B4228" s="2" t="s">
        <v>4</v>
      </c>
      <c r="C4228" s="2" t="s">
        <v>5</v>
      </c>
      <c r="D4228" s="2" t="s">
        <v>6</v>
      </c>
      <c r="E4228" s="2" t="s">
        <v>7</v>
      </c>
      <c r="F4228" s="3" t="s">
        <v>8</v>
      </c>
      <c r="G4228" s="2" t="s">
        <v>9</v>
      </c>
      <c r="H4228" s="26"/>
      <c r="I4228" s="24" t="s">
        <v>418</v>
      </c>
      <c r="J4228" s="25"/>
      <c r="K4228" s="25"/>
      <c r="L4228" s="25"/>
      <c r="M4228" s="25"/>
      <c r="N4228" s="25"/>
      <c r="O4228" s="25"/>
      <c r="P4228" s="25"/>
      <c r="Q4228" s="25"/>
      <c r="R4228" s="25"/>
      <c r="S4228" s="25"/>
      <c r="T4228" s="25"/>
      <c r="U4228" s="25"/>
      <c r="V4228" s="25"/>
      <c r="W4228" s="25"/>
      <c r="X4228" s="25"/>
      <c r="Y4228" s="25"/>
      <c r="Z4228" s="25"/>
    </row>
    <row r="4229" spans="1:26" ht="15.75" customHeight="1" x14ac:dyDescent="0.75">
      <c r="A4229" s="5">
        <v>1</v>
      </c>
      <c r="B4229" s="27" t="s">
        <v>47</v>
      </c>
      <c r="C4229" s="28" t="s">
        <v>439</v>
      </c>
      <c r="D4229" s="27" t="s">
        <v>12</v>
      </c>
      <c r="E4229" s="27">
        <v>1.68</v>
      </c>
      <c r="F4229" s="8">
        <v>293000</v>
      </c>
      <c r="G4229" s="9">
        <f t="shared" ref="G4229:G4231" si="263">IFERROR(E4229*F4229,0)</f>
        <v>492240</v>
      </c>
      <c r="H4229" s="29"/>
      <c r="I4229" s="24" t="s">
        <v>418</v>
      </c>
      <c r="J4229" s="25"/>
      <c r="K4229" s="25"/>
      <c r="L4229" s="25"/>
      <c r="M4229" s="25"/>
      <c r="N4229" s="25"/>
      <c r="O4229" s="25"/>
      <c r="P4229" s="25"/>
      <c r="Q4229" s="25"/>
      <c r="R4229" s="25"/>
      <c r="S4229" s="25"/>
      <c r="T4229" s="25"/>
      <c r="U4229" s="25"/>
      <c r="V4229" s="25"/>
      <c r="W4229" s="25"/>
      <c r="X4229" s="25"/>
      <c r="Y4229" s="25"/>
      <c r="Z4229" s="25"/>
    </row>
    <row r="4230" spans="1:26" ht="15.75" customHeight="1" x14ac:dyDescent="0.75">
      <c r="A4230" s="5">
        <v>2</v>
      </c>
      <c r="B4230" s="30" t="s">
        <v>678</v>
      </c>
      <c r="C4230" s="31" t="s">
        <v>694</v>
      </c>
      <c r="D4230" s="30" t="s">
        <v>14</v>
      </c>
      <c r="E4230" s="30">
        <v>1.77</v>
      </c>
      <c r="F4230" s="11">
        <v>435000</v>
      </c>
      <c r="G4230" s="9">
        <f t="shared" si="263"/>
        <v>769950</v>
      </c>
      <c r="H4230" s="29"/>
      <c r="I4230" s="24" t="s">
        <v>418</v>
      </c>
      <c r="J4230" s="25"/>
      <c r="K4230" s="25"/>
      <c r="L4230" s="25"/>
      <c r="M4230" s="25"/>
      <c r="N4230" s="25"/>
      <c r="O4230" s="25"/>
      <c r="P4230" s="25"/>
      <c r="Q4230" s="25"/>
      <c r="R4230" s="25"/>
      <c r="S4230" s="25"/>
      <c r="T4230" s="25"/>
      <c r="U4230" s="25"/>
      <c r="V4230" s="25"/>
      <c r="W4230" s="25"/>
      <c r="X4230" s="25"/>
      <c r="Y4230" s="25"/>
      <c r="Z4230" s="25"/>
    </row>
    <row r="4231" spans="1:26" ht="15.75" customHeight="1" x14ac:dyDescent="0.75">
      <c r="A4231" s="5">
        <v>3</v>
      </c>
      <c r="B4231" s="12" t="s">
        <v>15</v>
      </c>
      <c r="C4231" s="29"/>
      <c r="D4231" s="29"/>
      <c r="E4231" s="29"/>
      <c r="F4231" s="29"/>
      <c r="G4231" s="13">
        <f t="shared" si="263"/>
        <v>0</v>
      </c>
      <c r="H4231" s="29"/>
      <c r="I4231" s="24" t="s">
        <v>418</v>
      </c>
      <c r="J4231" s="25"/>
      <c r="K4231" s="25"/>
      <c r="L4231" s="25"/>
      <c r="M4231" s="25"/>
      <c r="N4231" s="25"/>
      <c r="O4231" s="25"/>
      <c r="P4231" s="25"/>
      <c r="Q4231" s="25"/>
      <c r="R4231" s="25"/>
      <c r="S4231" s="25"/>
      <c r="T4231" s="25"/>
      <c r="U4231" s="25"/>
      <c r="V4231" s="25"/>
      <c r="W4231" s="25"/>
      <c r="X4231" s="25"/>
      <c r="Y4231" s="25"/>
      <c r="Z4231" s="25"/>
    </row>
    <row r="4232" spans="1:26" ht="15.75" customHeight="1" x14ac:dyDescent="0.75">
      <c r="A4232" s="39" t="s">
        <v>16</v>
      </c>
      <c r="B4232" s="40"/>
      <c r="C4232" s="40"/>
      <c r="D4232" s="40"/>
      <c r="E4232" s="40"/>
      <c r="F4232" s="40"/>
      <c r="G4232" s="41"/>
      <c r="H4232" s="14">
        <f>SUM(G4229:G4231)</f>
        <v>1262190</v>
      </c>
      <c r="I4232" s="24" t="s">
        <v>418</v>
      </c>
      <c r="J4232" s="25"/>
      <c r="K4232" s="25"/>
      <c r="L4232" s="25"/>
      <c r="M4232" s="25"/>
      <c r="N4232" s="25"/>
      <c r="O4232" s="25"/>
      <c r="P4232" s="25"/>
      <c r="Q4232" s="25"/>
      <c r="R4232" s="25"/>
      <c r="S4232" s="25"/>
      <c r="T4232" s="25"/>
      <c r="U4232" s="25"/>
      <c r="V4232" s="25"/>
      <c r="W4232" s="25"/>
      <c r="X4232" s="25"/>
      <c r="Y4232" s="25"/>
      <c r="Z4232" s="25"/>
    </row>
    <row r="4233" spans="1:26" ht="15.75" customHeight="1" x14ac:dyDescent="0.75">
      <c r="A4233" s="39" t="s">
        <v>17</v>
      </c>
      <c r="B4233" s="40"/>
      <c r="C4233" s="40"/>
      <c r="D4233" s="40"/>
      <c r="E4233" s="40"/>
      <c r="F4233" s="40"/>
      <c r="G4233" s="41"/>
      <c r="H4233" s="14">
        <f>MAX(0,H4232-648000)</f>
        <v>614190</v>
      </c>
      <c r="I4233" s="24" t="s">
        <v>418</v>
      </c>
      <c r="J4233" s="25"/>
      <c r="K4233" s="25"/>
      <c r="L4233" s="25"/>
      <c r="M4233" s="25"/>
      <c r="N4233" s="25"/>
      <c r="O4233" s="25"/>
      <c r="P4233" s="25"/>
      <c r="Q4233" s="25"/>
      <c r="R4233" s="25"/>
      <c r="S4233" s="25"/>
      <c r="T4233" s="25"/>
      <c r="U4233" s="25"/>
      <c r="V4233" s="25"/>
      <c r="W4233" s="25"/>
      <c r="X4233" s="25"/>
      <c r="Y4233" s="25"/>
      <c r="Z4233" s="25"/>
    </row>
    <row r="4234" spans="1:26" ht="15.75" customHeight="1" x14ac:dyDescent="0.75">
      <c r="A4234" s="42" t="s">
        <v>18</v>
      </c>
      <c r="B4234" s="40"/>
      <c r="C4234" s="40"/>
      <c r="D4234" s="40"/>
      <c r="E4234" s="40"/>
      <c r="F4234" s="40"/>
      <c r="G4234" s="41"/>
      <c r="H4234" s="15">
        <v>649000</v>
      </c>
      <c r="I4234" s="24" t="s">
        <v>418</v>
      </c>
      <c r="J4234" s="25"/>
      <c r="K4234" s="25"/>
      <c r="L4234" s="25"/>
      <c r="M4234" s="25"/>
      <c r="N4234" s="25"/>
      <c r="O4234" s="25"/>
      <c r="P4234" s="25"/>
      <c r="Q4234" s="25"/>
      <c r="R4234" s="25"/>
      <c r="S4234" s="25"/>
      <c r="T4234" s="25"/>
      <c r="U4234" s="25"/>
      <c r="V4234" s="25"/>
      <c r="W4234" s="25"/>
      <c r="X4234" s="25"/>
      <c r="Y4234" s="25"/>
      <c r="Z4234" s="25"/>
    </row>
    <row r="4235" spans="1:26" ht="15.75" customHeight="1" x14ac:dyDescent="0.75">
      <c r="A4235" s="43" t="s">
        <v>19</v>
      </c>
      <c r="B4235" s="40"/>
      <c r="C4235" s="40"/>
      <c r="D4235" s="40"/>
      <c r="E4235" s="40"/>
      <c r="F4235" s="40"/>
      <c r="G4235" s="40"/>
      <c r="H4235" s="41"/>
      <c r="I4235" s="24" t="s">
        <v>418</v>
      </c>
      <c r="J4235" s="25"/>
      <c r="K4235" s="25"/>
      <c r="L4235" s="25"/>
      <c r="M4235" s="25"/>
      <c r="N4235" s="25"/>
      <c r="O4235" s="25"/>
      <c r="P4235" s="25"/>
      <c r="Q4235" s="25"/>
      <c r="R4235" s="25"/>
      <c r="S4235" s="25"/>
      <c r="T4235" s="25"/>
      <c r="U4235" s="25"/>
      <c r="V4235" s="25"/>
      <c r="W4235" s="25"/>
      <c r="X4235" s="25"/>
      <c r="Y4235" s="25"/>
      <c r="Z4235" s="25"/>
    </row>
    <row r="4236" spans="1:26" ht="15.75" customHeight="1" x14ac:dyDescent="0.45">
      <c r="A4236" s="25"/>
      <c r="B4236" s="25"/>
      <c r="C4236" s="25"/>
      <c r="D4236" s="25"/>
      <c r="E4236" s="25"/>
      <c r="F4236" s="25"/>
      <c r="G4236" s="25"/>
      <c r="H4236" s="25"/>
      <c r="I4236" s="24" t="s">
        <v>418</v>
      </c>
      <c r="J4236" s="25"/>
      <c r="K4236" s="25"/>
      <c r="L4236" s="25"/>
      <c r="M4236" s="25"/>
      <c r="N4236" s="25"/>
      <c r="O4236" s="25"/>
      <c r="P4236" s="25"/>
      <c r="Q4236" s="25"/>
      <c r="R4236" s="25"/>
      <c r="S4236" s="25"/>
      <c r="T4236" s="25"/>
      <c r="U4236" s="25"/>
      <c r="V4236" s="25"/>
      <c r="W4236" s="25"/>
      <c r="X4236" s="25"/>
      <c r="Y4236" s="25"/>
      <c r="Z4236" s="25"/>
    </row>
    <row r="4237" spans="1:26" ht="15.75" customHeight="1" x14ac:dyDescent="0.45">
      <c r="A4237" s="25"/>
      <c r="B4237" s="25"/>
      <c r="C4237" s="25"/>
      <c r="D4237" s="25"/>
      <c r="E4237" s="25"/>
      <c r="F4237" s="25"/>
      <c r="G4237" s="25"/>
      <c r="H4237" s="25"/>
      <c r="I4237" s="24" t="s">
        <v>418</v>
      </c>
      <c r="J4237" s="25"/>
      <c r="K4237" s="25"/>
      <c r="L4237" s="25"/>
      <c r="M4237" s="25"/>
      <c r="N4237" s="25"/>
      <c r="O4237" s="25"/>
      <c r="P4237" s="25"/>
      <c r="Q4237" s="25"/>
      <c r="R4237" s="25"/>
      <c r="S4237" s="25"/>
      <c r="T4237" s="25"/>
      <c r="U4237" s="25"/>
      <c r="V4237" s="25"/>
      <c r="W4237" s="25"/>
      <c r="X4237" s="25"/>
      <c r="Y4237" s="25"/>
      <c r="Z4237" s="25"/>
    </row>
    <row r="4238" spans="1:26" ht="15.75" customHeight="1" x14ac:dyDescent="0.45">
      <c r="A4238" s="25"/>
      <c r="B4238" s="25"/>
      <c r="C4238" s="25"/>
      <c r="D4238" s="25"/>
      <c r="E4238" s="25"/>
      <c r="F4238" s="25"/>
      <c r="G4238" s="25"/>
      <c r="H4238" s="25"/>
      <c r="I4238" s="24" t="s">
        <v>418</v>
      </c>
      <c r="J4238" s="25"/>
      <c r="K4238" s="25"/>
      <c r="L4238" s="25"/>
      <c r="M4238" s="25"/>
      <c r="N4238" s="25"/>
      <c r="O4238" s="25"/>
      <c r="P4238" s="25"/>
      <c r="Q4238" s="25"/>
      <c r="R4238" s="25"/>
      <c r="S4238" s="25"/>
      <c r="T4238" s="25"/>
      <c r="U4238" s="25"/>
      <c r="V4238" s="25"/>
      <c r="W4238" s="25"/>
      <c r="X4238" s="25"/>
      <c r="Y4238" s="25"/>
      <c r="Z4238" s="25"/>
    </row>
    <row r="4239" spans="1:26" ht="15.75" customHeight="1" x14ac:dyDescent="0.45">
      <c r="A4239" s="25"/>
      <c r="B4239" s="25"/>
      <c r="C4239" s="25"/>
      <c r="D4239" s="25"/>
      <c r="E4239" s="25"/>
      <c r="F4239" s="25"/>
      <c r="G4239" s="25"/>
      <c r="H4239" s="25"/>
      <c r="I4239" s="24" t="s">
        <v>418</v>
      </c>
      <c r="J4239" s="25"/>
      <c r="K4239" s="25"/>
      <c r="L4239" s="25"/>
      <c r="M4239" s="25"/>
      <c r="N4239" s="25"/>
      <c r="O4239" s="25"/>
      <c r="P4239" s="25"/>
      <c r="Q4239" s="25"/>
      <c r="R4239" s="25"/>
      <c r="S4239" s="25"/>
      <c r="T4239" s="25"/>
      <c r="U4239" s="25"/>
      <c r="V4239" s="25"/>
      <c r="W4239" s="25"/>
      <c r="X4239" s="25"/>
      <c r="Y4239" s="25"/>
      <c r="Z4239" s="25"/>
    </row>
    <row r="4240" spans="1:26" ht="15.75" customHeight="1" x14ac:dyDescent="0.75">
      <c r="A4240" s="43" t="s">
        <v>0</v>
      </c>
      <c r="B4240" s="40"/>
      <c r="C4240" s="40"/>
      <c r="D4240" s="40"/>
      <c r="E4240" s="40"/>
      <c r="F4240" s="40"/>
      <c r="G4240" s="40"/>
      <c r="H4240" s="41"/>
      <c r="I4240" s="24" t="s">
        <v>418</v>
      </c>
      <c r="J4240" s="25"/>
      <c r="K4240" s="25"/>
      <c r="L4240" s="25"/>
      <c r="M4240" s="25"/>
      <c r="N4240" s="25"/>
      <c r="O4240" s="25"/>
      <c r="P4240" s="25"/>
      <c r="Q4240" s="25"/>
      <c r="R4240" s="25"/>
      <c r="S4240" s="25"/>
      <c r="T4240" s="25"/>
      <c r="U4240" s="25"/>
      <c r="V4240" s="25"/>
      <c r="W4240" s="25"/>
      <c r="X4240" s="25"/>
      <c r="Y4240" s="25"/>
      <c r="Z4240" s="25"/>
    </row>
    <row r="4241" spans="1:26" ht="15.75" customHeight="1" x14ac:dyDescent="0.75">
      <c r="A4241" s="43" t="s">
        <v>695</v>
      </c>
      <c r="B4241" s="40"/>
      <c r="C4241" s="40"/>
      <c r="D4241" s="40"/>
      <c r="E4241" s="40"/>
      <c r="F4241" s="40"/>
      <c r="G4241" s="40"/>
      <c r="H4241" s="41"/>
      <c r="I4241" s="24" t="s">
        <v>418</v>
      </c>
      <c r="J4241" s="25"/>
      <c r="K4241" s="25"/>
      <c r="L4241" s="25"/>
      <c r="M4241" s="25"/>
      <c r="N4241" s="25"/>
      <c r="O4241" s="25"/>
      <c r="P4241" s="25"/>
      <c r="Q4241" s="25"/>
      <c r="R4241" s="25"/>
      <c r="S4241" s="25"/>
      <c r="T4241" s="25"/>
      <c r="U4241" s="25"/>
      <c r="V4241" s="25"/>
      <c r="W4241" s="25"/>
      <c r="X4241" s="25"/>
      <c r="Y4241" s="25"/>
      <c r="Z4241" s="25"/>
    </row>
    <row r="4242" spans="1:26" ht="15.75" customHeight="1" x14ac:dyDescent="0.55000000000000004">
      <c r="A4242" s="2" t="s">
        <v>3</v>
      </c>
      <c r="B4242" s="2" t="s">
        <v>4</v>
      </c>
      <c r="C4242" s="2" t="s">
        <v>5</v>
      </c>
      <c r="D4242" s="2" t="s">
        <v>6</v>
      </c>
      <c r="E4242" s="2" t="s">
        <v>7</v>
      </c>
      <c r="F4242" s="3" t="s">
        <v>8</v>
      </c>
      <c r="G4242" s="2" t="s">
        <v>9</v>
      </c>
      <c r="H4242" s="26"/>
      <c r="I4242" s="24" t="s">
        <v>418</v>
      </c>
      <c r="J4242" s="25"/>
      <c r="K4242" s="25"/>
      <c r="L4242" s="25"/>
      <c r="M4242" s="25"/>
      <c r="N4242" s="25"/>
      <c r="O4242" s="25"/>
      <c r="P4242" s="25"/>
      <c r="Q4242" s="25"/>
      <c r="R4242" s="25"/>
      <c r="S4242" s="25"/>
      <c r="T4242" s="25"/>
      <c r="U4242" s="25"/>
      <c r="V4242" s="25"/>
      <c r="W4242" s="25"/>
      <c r="X4242" s="25"/>
      <c r="Y4242" s="25"/>
      <c r="Z4242" s="25"/>
    </row>
    <row r="4243" spans="1:26" ht="15.75" customHeight="1" x14ac:dyDescent="0.75">
      <c r="A4243" s="5">
        <v>1</v>
      </c>
      <c r="B4243" s="27" t="s">
        <v>696</v>
      </c>
      <c r="C4243" s="28" t="s">
        <v>697</v>
      </c>
      <c r="D4243" s="27" t="s">
        <v>12</v>
      </c>
      <c r="E4243" s="27">
        <v>1.5</v>
      </c>
      <c r="F4243" s="8">
        <v>293000</v>
      </c>
      <c r="G4243" s="9">
        <f t="shared" ref="G4243:G4245" si="264">IFERROR(E4243*F4243,0)</f>
        <v>439500</v>
      </c>
      <c r="H4243" s="29"/>
      <c r="I4243" s="24" t="s">
        <v>418</v>
      </c>
      <c r="J4243" s="25"/>
      <c r="K4243" s="25"/>
      <c r="L4243" s="25"/>
      <c r="M4243" s="25"/>
      <c r="N4243" s="25"/>
      <c r="O4243" s="25"/>
      <c r="P4243" s="25"/>
      <c r="Q4243" s="25"/>
      <c r="R4243" s="25"/>
      <c r="S4243" s="25"/>
      <c r="T4243" s="25"/>
      <c r="U4243" s="25"/>
      <c r="V4243" s="25"/>
      <c r="W4243" s="25"/>
      <c r="X4243" s="25"/>
      <c r="Y4243" s="25"/>
      <c r="Z4243" s="25"/>
    </row>
    <row r="4244" spans="1:26" ht="15.75" customHeight="1" x14ac:dyDescent="0.75">
      <c r="A4244" s="5">
        <v>2</v>
      </c>
      <c r="B4244" s="30" t="s">
        <v>35</v>
      </c>
      <c r="C4244" s="31" t="s">
        <v>698</v>
      </c>
      <c r="D4244" s="30" t="s">
        <v>14</v>
      </c>
      <c r="E4244" s="30">
        <v>1.96</v>
      </c>
      <c r="F4244" s="11">
        <v>435000</v>
      </c>
      <c r="G4244" s="9">
        <f t="shared" si="264"/>
        <v>852600</v>
      </c>
      <c r="H4244" s="29"/>
      <c r="I4244" s="24" t="s">
        <v>418</v>
      </c>
      <c r="J4244" s="25"/>
      <c r="K4244" s="25"/>
      <c r="L4244" s="25"/>
      <c r="M4244" s="25"/>
      <c r="N4244" s="25"/>
      <c r="O4244" s="25"/>
      <c r="P4244" s="25"/>
      <c r="Q4244" s="25"/>
      <c r="R4244" s="25"/>
      <c r="S4244" s="25"/>
      <c r="T4244" s="25"/>
      <c r="U4244" s="25"/>
      <c r="V4244" s="25"/>
      <c r="W4244" s="25"/>
      <c r="X4244" s="25"/>
      <c r="Y4244" s="25"/>
      <c r="Z4244" s="25"/>
    </row>
    <row r="4245" spans="1:26" ht="15.75" customHeight="1" x14ac:dyDescent="0.75">
      <c r="A4245" s="5">
        <v>3</v>
      </c>
      <c r="B4245" s="12" t="s">
        <v>15</v>
      </c>
      <c r="C4245" s="29"/>
      <c r="D4245" s="29"/>
      <c r="E4245" s="29"/>
      <c r="F4245" s="29"/>
      <c r="G4245" s="13">
        <f t="shared" si="264"/>
        <v>0</v>
      </c>
      <c r="H4245" s="29"/>
      <c r="I4245" s="24" t="s">
        <v>418</v>
      </c>
      <c r="J4245" s="25"/>
      <c r="K4245" s="25"/>
      <c r="L4245" s="25"/>
      <c r="M4245" s="25"/>
      <c r="N4245" s="25"/>
      <c r="O4245" s="25"/>
      <c r="P4245" s="25"/>
      <c r="Q4245" s="25"/>
      <c r="R4245" s="25"/>
      <c r="S4245" s="25"/>
      <c r="T4245" s="25"/>
      <c r="U4245" s="25"/>
      <c r="V4245" s="25"/>
      <c r="W4245" s="25"/>
      <c r="X4245" s="25"/>
      <c r="Y4245" s="25"/>
      <c r="Z4245" s="25"/>
    </row>
    <row r="4246" spans="1:26" ht="15.75" customHeight="1" x14ac:dyDescent="0.75">
      <c r="A4246" s="39" t="s">
        <v>16</v>
      </c>
      <c r="B4246" s="40"/>
      <c r="C4246" s="40"/>
      <c r="D4246" s="40"/>
      <c r="E4246" s="40"/>
      <c r="F4246" s="40"/>
      <c r="G4246" s="41"/>
      <c r="H4246" s="14">
        <f>SUM(G4243:G4245)</f>
        <v>1292100</v>
      </c>
      <c r="I4246" s="24" t="s">
        <v>418</v>
      </c>
      <c r="J4246" s="25"/>
      <c r="K4246" s="25"/>
      <c r="L4246" s="25"/>
      <c r="M4246" s="25"/>
      <c r="N4246" s="25"/>
      <c r="O4246" s="25"/>
      <c r="P4246" s="25"/>
      <c r="Q4246" s="25"/>
      <c r="R4246" s="25"/>
      <c r="S4246" s="25"/>
      <c r="T4246" s="25"/>
      <c r="U4246" s="25"/>
      <c r="V4246" s="25"/>
      <c r="W4246" s="25"/>
      <c r="X4246" s="25"/>
      <c r="Y4246" s="25"/>
      <c r="Z4246" s="25"/>
    </row>
    <row r="4247" spans="1:26" ht="15.75" customHeight="1" x14ac:dyDescent="0.75">
      <c r="A4247" s="39" t="s">
        <v>17</v>
      </c>
      <c r="B4247" s="40"/>
      <c r="C4247" s="40"/>
      <c r="D4247" s="40"/>
      <c r="E4247" s="40"/>
      <c r="F4247" s="40"/>
      <c r="G4247" s="41"/>
      <c r="H4247" s="14">
        <f>MAX(0,H4246-648000)</f>
        <v>644100</v>
      </c>
      <c r="I4247" s="24" t="s">
        <v>418</v>
      </c>
      <c r="J4247" s="25"/>
      <c r="K4247" s="25"/>
      <c r="L4247" s="25"/>
      <c r="M4247" s="25"/>
      <c r="N4247" s="25"/>
      <c r="O4247" s="25"/>
      <c r="P4247" s="25"/>
      <c r="Q4247" s="25"/>
      <c r="R4247" s="25"/>
      <c r="S4247" s="25"/>
      <c r="T4247" s="25"/>
      <c r="U4247" s="25"/>
      <c r="V4247" s="25"/>
      <c r="W4247" s="25"/>
      <c r="X4247" s="25"/>
      <c r="Y4247" s="25"/>
      <c r="Z4247" s="25"/>
    </row>
    <row r="4248" spans="1:26" ht="15.75" customHeight="1" x14ac:dyDescent="0.75">
      <c r="A4248" s="42" t="s">
        <v>18</v>
      </c>
      <c r="B4248" s="40"/>
      <c r="C4248" s="40"/>
      <c r="D4248" s="40"/>
      <c r="E4248" s="40"/>
      <c r="F4248" s="40"/>
      <c r="G4248" s="41"/>
      <c r="H4248" s="15">
        <v>649000</v>
      </c>
      <c r="I4248" s="24" t="s">
        <v>418</v>
      </c>
      <c r="J4248" s="25"/>
      <c r="K4248" s="25"/>
      <c r="L4248" s="25"/>
      <c r="M4248" s="25"/>
      <c r="N4248" s="25"/>
      <c r="O4248" s="25"/>
      <c r="P4248" s="25"/>
      <c r="Q4248" s="25"/>
      <c r="R4248" s="25"/>
      <c r="S4248" s="25"/>
      <c r="T4248" s="25"/>
      <c r="U4248" s="25"/>
      <c r="V4248" s="25"/>
      <c r="W4248" s="25"/>
      <c r="X4248" s="25"/>
      <c r="Y4248" s="25"/>
      <c r="Z4248" s="25"/>
    </row>
    <row r="4249" spans="1:26" ht="15.75" customHeight="1" x14ac:dyDescent="0.75">
      <c r="A4249" s="43" t="s">
        <v>19</v>
      </c>
      <c r="B4249" s="40"/>
      <c r="C4249" s="40"/>
      <c r="D4249" s="40"/>
      <c r="E4249" s="40"/>
      <c r="F4249" s="40"/>
      <c r="G4249" s="40"/>
      <c r="H4249" s="41"/>
      <c r="I4249" s="24" t="s">
        <v>418</v>
      </c>
      <c r="J4249" s="25"/>
      <c r="K4249" s="25"/>
      <c r="L4249" s="25"/>
      <c r="M4249" s="25"/>
      <c r="N4249" s="25"/>
      <c r="O4249" s="25"/>
      <c r="P4249" s="25"/>
      <c r="Q4249" s="25"/>
      <c r="R4249" s="25"/>
      <c r="S4249" s="25"/>
      <c r="T4249" s="25"/>
      <c r="U4249" s="25"/>
      <c r="V4249" s="25"/>
      <c r="W4249" s="25"/>
      <c r="X4249" s="25"/>
      <c r="Y4249" s="25"/>
      <c r="Z4249" s="25"/>
    </row>
    <row r="4250" spans="1:26" ht="15.75" customHeight="1" x14ac:dyDescent="0.45">
      <c r="A4250" s="25"/>
      <c r="B4250" s="25"/>
      <c r="C4250" s="25"/>
      <c r="D4250" s="25"/>
      <c r="E4250" s="25"/>
      <c r="F4250" s="25"/>
      <c r="G4250" s="25"/>
      <c r="H4250" s="25"/>
      <c r="I4250" s="24" t="s">
        <v>418</v>
      </c>
      <c r="J4250" s="25"/>
      <c r="K4250" s="25"/>
      <c r="L4250" s="25"/>
      <c r="M4250" s="25"/>
      <c r="N4250" s="25"/>
      <c r="O4250" s="25"/>
      <c r="P4250" s="25"/>
      <c r="Q4250" s="25"/>
      <c r="R4250" s="25"/>
      <c r="S4250" s="25"/>
      <c r="T4250" s="25"/>
      <c r="U4250" s="25"/>
      <c r="V4250" s="25"/>
      <c r="W4250" s="25"/>
      <c r="X4250" s="25"/>
      <c r="Y4250" s="25"/>
      <c r="Z4250" s="25"/>
    </row>
    <row r="4251" spans="1:26" ht="15.75" customHeight="1" x14ac:dyDescent="0.45">
      <c r="A4251" s="25"/>
      <c r="B4251" s="25"/>
      <c r="C4251" s="25"/>
      <c r="D4251" s="25"/>
      <c r="E4251" s="25"/>
      <c r="F4251" s="25"/>
      <c r="G4251" s="25"/>
      <c r="H4251" s="25"/>
      <c r="I4251" s="24" t="s">
        <v>418</v>
      </c>
      <c r="J4251" s="25"/>
      <c r="K4251" s="25"/>
      <c r="L4251" s="25"/>
      <c r="M4251" s="25"/>
      <c r="N4251" s="25"/>
      <c r="O4251" s="25"/>
      <c r="P4251" s="25"/>
      <c r="Q4251" s="25"/>
      <c r="R4251" s="25"/>
      <c r="S4251" s="25"/>
      <c r="T4251" s="25"/>
      <c r="U4251" s="25"/>
      <c r="V4251" s="25"/>
      <c r="W4251" s="25"/>
      <c r="X4251" s="25"/>
      <c r="Y4251" s="25"/>
      <c r="Z4251" s="25"/>
    </row>
    <row r="4252" spans="1:26" ht="15.75" customHeight="1" x14ac:dyDescent="0.45">
      <c r="A4252" s="25"/>
      <c r="B4252" s="25"/>
      <c r="C4252" s="25"/>
      <c r="D4252" s="25"/>
      <c r="E4252" s="25"/>
      <c r="F4252" s="25"/>
      <c r="G4252" s="25"/>
      <c r="H4252" s="25"/>
      <c r="I4252" s="24" t="s">
        <v>418</v>
      </c>
      <c r="J4252" s="25"/>
      <c r="K4252" s="25"/>
      <c r="L4252" s="25"/>
      <c r="M4252" s="25"/>
      <c r="N4252" s="25"/>
      <c r="O4252" s="25"/>
      <c r="P4252" s="25"/>
      <c r="Q4252" s="25"/>
      <c r="R4252" s="25"/>
      <c r="S4252" s="25"/>
      <c r="T4252" s="25"/>
      <c r="U4252" s="25"/>
      <c r="V4252" s="25"/>
      <c r="W4252" s="25"/>
      <c r="X4252" s="25"/>
      <c r="Y4252" s="25"/>
      <c r="Z4252" s="25"/>
    </row>
    <row r="4253" spans="1:26" ht="15.75" customHeight="1" x14ac:dyDescent="0.45">
      <c r="A4253" s="25"/>
      <c r="B4253" s="25"/>
      <c r="C4253" s="25"/>
      <c r="D4253" s="25"/>
      <c r="E4253" s="25"/>
      <c r="F4253" s="25"/>
      <c r="G4253" s="25"/>
      <c r="H4253" s="25"/>
      <c r="I4253" s="24" t="s">
        <v>418</v>
      </c>
      <c r="J4253" s="25"/>
      <c r="K4253" s="25"/>
      <c r="L4253" s="25"/>
      <c r="M4253" s="25"/>
      <c r="N4253" s="25"/>
      <c r="O4253" s="25"/>
      <c r="P4253" s="25"/>
      <c r="Q4253" s="25"/>
      <c r="R4253" s="25"/>
      <c r="S4253" s="25"/>
      <c r="T4253" s="25"/>
      <c r="U4253" s="25"/>
      <c r="V4253" s="25"/>
      <c r="W4253" s="25"/>
      <c r="X4253" s="25"/>
      <c r="Y4253" s="25"/>
      <c r="Z4253" s="25"/>
    </row>
    <row r="4254" spans="1:26" ht="15.75" customHeight="1" x14ac:dyDescent="0.45">
      <c r="A4254" s="25"/>
      <c r="B4254" s="25"/>
      <c r="C4254" s="25"/>
      <c r="D4254" s="25"/>
      <c r="E4254" s="25"/>
      <c r="F4254" s="25"/>
      <c r="G4254" s="25"/>
      <c r="H4254" s="25"/>
      <c r="I4254" s="24" t="s">
        <v>418</v>
      </c>
      <c r="J4254" s="25"/>
      <c r="K4254" s="25"/>
      <c r="L4254" s="25"/>
      <c r="M4254" s="25"/>
      <c r="N4254" s="25"/>
      <c r="O4254" s="25"/>
      <c r="P4254" s="25"/>
      <c r="Q4254" s="25"/>
      <c r="R4254" s="25"/>
      <c r="S4254" s="25"/>
      <c r="T4254" s="25"/>
      <c r="U4254" s="25"/>
      <c r="V4254" s="25"/>
      <c r="W4254" s="25"/>
      <c r="X4254" s="25"/>
      <c r="Y4254" s="25"/>
      <c r="Z4254" s="25"/>
    </row>
    <row r="4255" spans="1:26" ht="15.75" customHeight="1" x14ac:dyDescent="0.45">
      <c r="A4255" s="25"/>
      <c r="B4255" s="25"/>
      <c r="C4255" s="25"/>
      <c r="D4255" s="25"/>
      <c r="E4255" s="25"/>
      <c r="F4255" s="25"/>
      <c r="G4255" s="25"/>
      <c r="H4255" s="25"/>
      <c r="I4255" s="24" t="s">
        <v>418</v>
      </c>
      <c r="J4255" s="25"/>
      <c r="K4255" s="25"/>
      <c r="L4255" s="25"/>
      <c r="M4255" s="25"/>
      <c r="N4255" s="25"/>
      <c r="O4255" s="25"/>
      <c r="P4255" s="25"/>
      <c r="Q4255" s="25"/>
      <c r="R4255" s="25"/>
      <c r="S4255" s="25"/>
      <c r="T4255" s="25"/>
      <c r="U4255" s="25"/>
      <c r="V4255" s="25"/>
      <c r="W4255" s="25"/>
      <c r="X4255" s="25"/>
      <c r="Y4255" s="25"/>
      <c r="Z4255" s="25"/>
    </row>
    <row r="4256" spans="1:26" ht="15.75" customHeight="1" x14ac:dyDescent="0.75">
      <c r="A4256" s="43" t="s">
        <v>0</v>
      </c>
      <c r="B4256" s="40"/>
      <c r="C4256" s="40"/>
      <c r="D4256" s="40"/>
      <c r="E4256" s="40"/>
      <c r="F4256" s="40"/>
      <c r="G4256" s="40"/>
      <c r="H4256" s="41"/>
      <c r="I4256" s="24" t="s">
        <v>418</v>
      </c>
      <c r="J4256" s="25"/>
      <c r="K4256" s="25"/>
      <c r="L4256" s="25"/>
      <c r="M4256" s="25"/>
      <c r="N4256" s="25"/>
      <c r="O4256" s="25"/>
      <c r="P4256" s="25"/>
      <c r="Q4256" s="25"/>
      <c r="R4256" s="25"/>
      <c r="S4256" s="25"/>
      <c r="T4256" s="25"/>
      <c r="U4256" s="25"/>
      <c r="V4256" s="25"/>
      <c r="W4256" s="25"/>
      <c r="X4256" s="25"/>
      <c r="Y4256" s="25"/>
      <c r="Z4256" s="25"/>
    </row>
    <row r="4257" spans="1:26" ht="15.75" customHeight="1" x14ac:dyDescent="0.75">
      <c r="A4257" s="43" t="s">
        <v>699</v>
      </c>
      <c r="B4257" s="40"/>
      <c r="C4257" s="40"/>
      <c r="D4257" s="40"/>
      <c r="E4257" s="40"/>
      <c r="F4257" s="40"/>
      <c r="G4257" s="40"/>
      <c r="H4257" s="41"/>
      <c r="I4257" s="24" t="s">
        <v>418</v>
      </c>
      <c r="J4257" s="25"/>
      <c r="K4257" s="25"/>
      <c r="L4257" s="25"/>
      <c r="M4257" s="25"/>
      <c r="N4257" s="25"/>
      <c r="O4257" s="25"/>
      <c r="P4257" s="25"/>
      <c r="Q4257" s="25"/>
      <c r="R4257" s="25"/>
      <c r="S4257" s="25"/>
      <c r="T4257" s="25"/>
      <c r="U4257" s="25"/>
      <c r="V4257" s="25"/>
      <c r="W4257" s="25"/>
      <c r="X4257" s="25"/>
      <c r="Y4257" s="25"/>
      <c r="Z4257" s="25"/>
    </row>
    <row r="4258" spans="1:26" ht="15.75" customHeight="1" x14ac:dyDescent="0.55000000000000004">
      <c r="A4258" s="2" t="s">
        <v>3</v>
      </c>
      <c r="B4258" s="2" t="s">
        <v>4</v>
      </c>
      <c r="C4258" s="2" t="s">
        <v>5</v>
      </c>
      <c r="D4258" s="2" t="s">
        <v>6</v>
      </c>
      <c r="E4258" s="2" t="s">
        <v>7</v>
      </c>
      <c r="F4258" s="3" t="s">
        <v>8</v>
      </c>
      <c r="G4258" s="2" t="s">
        <v>9</v>
      </c>
      <c r="H4258" s="26"/>
      <c r="I4258" s="24" t="s">
        <v>418</v>
      </c>
      <c r="J4258" s="25"/>
      <c r="K4258" s="25"/>
      <c r="L4258" s="25"/>
      <c r="M4258" s="25"/>
      <c r="N4258" s="25"/>
      <c r="O4258" s="25"/>
      <c r="P4258" s="25"/>
      <c r="Q4258" s="25"/>
      <c r="R4258" s="25"/>
      <c r="S4258" s="25"/>
      <c r="T4258" s="25"/>
      <c r="U4258" s="25"/>
      <c r="V4258" s="25"/>
      <c r="W4258" s="25"/>
      <c r="X4258" s="25"/>
      <c r="Y4258" s="25"/>
      <c r="Z4258" s="25"/>
    </row>
    <row r="4259" spans="1:26" ht="15.75" customHeight="1" x14ac:dyDescent="0.75">
      <c r="A4259" s="5">
        <v>1</v>
      </c>
      <c r="B4259" s="27" t="s">
        <v>203</v>
      </c>
      <c r="C4259" s="28" t="s">
        <v>546</v>
      </c>
      <c r="D4259" s="27" t="s">
        <v>12</v>
      </c>
      <c r="E4259" s="27">
        <v>2</v>
      </c>
      <c r="F4259" s="8">
        <v>293000</v>
      </c>
      <c r="G4259" s="9">
        <f t="shared" ref="G4259:G4261" si="265">IFERROR(E4259*F4259,0)</f>
        <v>586000</v>
      </c>
      <c r="H4259" s="29"/>
      <c r="I4259" s="24" t="s">
        <v>418</v>
      </c>
      <c r="J4259" s="25"/>
      <c r="K4259" s="25"/>
      <c r="L4259" s="25"/>
      <c r="M4259" s="25"/>
      <c r="N4259" s="25"/>
      <c r="O4259" s="25"/>
      <c r="P4259" s="25"/>
      <c r="Q4259" s="25"/>
      <c r="R4259" s="25"/>
      <c r="S4259" s="25"/>
      <c r="T4259" s="25"/>
      <c r="U4259" s="25"/>
      <c r="V4259" s="25"/>
      <c r="W4259" s="25"/>
      <c r="X4259" s="25"/>
      <c r="Y4259" s="25"/>
      <c r="Z4259" s="25"/>
    </row>
    <row r="4260" spans="1:26" ht="15.75" customHeight="1" x14ac:dyDescent="0.75">
      <c r="A4260" s="5">
        <v>2</v>
      </c>
      <c r="B4260" s="30" t="s">
        <v>678</v>
      </c>
      <c r="C4260" s="31" t="s">
        <v>700</v>
      </c>
      <c r="D4260" s="30" t="s">
        <v>14</v>
      </c>
      <c r="E4260" s="30">
        <v>1.4</v>
      </c>
      <c r="F4260" s="11">
        <v>435000</v>
      </c>
      <c r="G4260" s="9">
        <f t="shared" si="265"/>
        <v>609000</v>
      </c>
      <c r="H4260" s="29"/>
      <c r="I4260" s="24" t="s">
        <v>418</v>
      </c>
      <c r="J4260" s="25"/>
      <c r="K4260" s="25"/>
      <c r="L4260" s="25"/>
      <c r="M4260" s="25"/>
      <c r="N4260" s="25"/>
      <c r="O4260" s="25"/>
      <c r="P4260" s="25"/>
      <c r="Q4260" s="25"/>
      <c r="R4260" s="25"/>
      <c r="S4260" s="25"/>
      <c r="T4260" s="25"/>
      <c r="U4260" s="25"/>
      <c r="V4260" s="25"/>
      <c r="W4260" s="25"/>
      <c r="X4260" s="25"/>
      <c r="Y4260" s="25"/>
      <c r="Z4260" s="25"/>
    </row>
    <row r="4261" spans="1:26" ht="15.75" customHeight="1" x14ac:dyDescent="0.75">
      <c r="A4261" s="5">
        <v>3</v>
      </c>
      <c r="B4261" s="12" t="s">
        <v>15</v>
      </c>
      <c r="C4261" s="29"/>
      <c r="D4261" s="29"/>
      <c r="E4261" s="29"/>
      <c r="F4261" s="29"/>
      <c r="G4261" s="13">
        <f t="shared" si="265"/>
        <v>0</v>
      </c>
      <c r="H4261" s="29"/>
      <c r="I4261" s="24" t="s">
        <v>418</v>
      </c>
      <c r="J4261" s="25"/>
      <c r="K4261" s="25"/>
      <c r="L4261" s="25"/>
      <c r="M4261" s="25"/>
      <c r="N4261" s="25"/>
      <c r="O4261" s="25"/>
      <c r="P4261" s="25"/>
      <c r="Q4261" s="25"/>
      <c r="R4261" s="25"/>
      <c r="S4261" s="25"/>
      <c r="T4261" s="25"/>
      <c r="U4261" s="25"/>
      <c r="V4261" s="25"/>
      <c r="W4261" s="25"/>
      <c r="X4261" s="25"/>
      <c r="Y4261" s="25"/>
      <c r="Z4261" s="25"/>
    </row>
    <row r="4262" spans="1:26" ht="15.75" customHeight="1" x14ac:dyDescent="0.75">
      <c r="A4262" s="39" t="s">
        <v>16</v>
      </c>
      <c r="B4262" s="40"/>
      <c r="C4262" s="40"/>
      <c r="D4262" s="40"/>
      <c r="E4262" s="40"/>
      <c r="F4262" s="40"/>
      <c r="G4262" s="41"/>
      <c r="H4262" s="14">
        <f>SUM(G4259:G4261)</f>
        <v>1195000</v>
      </c>
      <c r="I4262" s="24" t="s">
        <v>418</v>
      </c>
      <c r="J4262" s="25"/>
      <c r="K4262" s="25"/>
      <c r="L4262" s="25"/>
      <c r="M4262" s="25"/>
      <c r="N4262" s="25"/>
      <c r="O4262" s="25"/>
      <c r="P4262" s="25"/>
      <c r="Q4262" s="25"/>
      <c r="R4262" s="25"/>
      <c r="S4262" s="25"/>
      <c r="T4262" s="25"/>
      <c r="U4262" s="25"/>
      <c r="V4262" s="25"/>
      <c r="W4262" s="25"/>
      <c r="X4262" s="25"/>
      <c r="Y4262" s="25"/>
      <c r="Z4262" s="25"/>
    </row>
    <row r="4263" spans="1:26" ht="15.75" customHeight="1" x14ac:dyDescent="0.75">
      <c r="A4263" s="39" t="s">
        <v>17</v>
      </c>
      <c r="B4263" s="40"/>
      <c r="C4263" s="40"/>
      <c r="D4263" s="40"/>
      <c r="E4263" s="40"/>
      <c r="F4263" s="40"/>
      <c r="G4263" s="41"/>
      <c r="H4263" s="14">
        <f>MAX(0,H4262-648000)</f>
        <v>547000</v>
      </c>
      <c r="I4263" s="24" t="s">
        <v>418</v>
      </c>
      <c r="J4263" s="25"/>
      <c r="K4263" s="25"/>
      <c r="L4263" s="25"/>
      <c r="M4263" s="25"/>
      <c r="N4263" s="25"/>
      <c r="O4263" s="25"/>
      <c r="P4263" s="25"/>
      <c r="Q4263" s="25"/>
      <c r="R4263" s="25"/>
      <c r="S4263" s="25"/>
      <c r="T4263" s="25"/>
      <c r="U4263" s="25"/>
      <c r="V4263" s="25"/>
      <c r="W4263" s="25"/>
      <c r="X4263" s="25"/>
      <c r="Y4263" s="25"/>
      <c r="Z4263" s="25"/>
    </row>
    <row r="4264" spans="1:26" ht="15.75" customHeight="1" x14ac:dyDescent="0.75">
      <c r="A4264" s="42" t="s">
        <v>18</v>
      </c>
      <c r="B4264" s="40"/>
      <c r="C4264" s="40"/>
      <c r="D4264" s="40"/>
      <c r="E4264" s="40"/>
      <c r="F4264" s="40"/>
      <c r="G4264" s="41"/>
      <c r="H4264" s="15">
        <v>649000</v>
      </c>
      <c r="I4264" s="24" t="s">
        <v>418</v>
      </c>
      <c r="J4264" s="25"/>
      <c r="K4264" s="25"/>
      <c r="L4264" s="25"/>
      <c r="M4264" s="25"/>
      <c r="N4264" s="25"/>
      <c r="O4264" s="25"/>
      <c r="P4264" s="25"/>
      <c r="Q4264" s="25"/>
      <c r="R4264" s="25"/>
      <c r="S4264" s="25"/>
      <c r="T4264" s="25"/>
      <c r="U4264" s="25"/>
      <c r="V4264" s="25"/>
      <c r="W4264" s="25"/>
      <c r="X4264" s="25"/>
      <c r="Y4264" s="25"/>
      <c r="Z4264" s="25"/>
    </row>
    <row r="4265" spans="1:26" ht="15.75" customHeight="1" x14ac:dyDescent="0.75">
      <c r="A4265" s="43" t="s">
        <v>19</v>
      </c>
      <c r="B4265" s="40"/>
      <c r="C4265" s="40"/>
      <c r="D4265" s="40"/>
      <c r="E4265" s="40"/>
      <c r="F4265" s="40"/>
      <c r="G4265" s="40"/>
      <c r="H4265" s="41"/>
      <c r="I4265" s="24" t="s">
        <v>418</v>
      </c>
      <c r="J4265" s="25"/>
      <c r="K4265" s="25"/>
      <c r="L4265" s="25"/>
      <c r="M4265" s="25"/>
      <c r="N4265" s="25"/>
      <c r="O4265" s="25"/>
      <c r="P4265" s="25"/>
      <c r="Q4265" s="25"/>
      <c r="R4265" s="25"/>
      <c r="S4265" s="25"/>
      <c r="T4265" s="25"/>
      <c r="U4265" s="25"/>
      <c r="V4265" s="25"/>
      <c r="W4265" s="25"/>
      <c r="X4265" s="25"/>
      <c r="Y4265" s="25"/>
      <c r="Z4265" s="25"/>
    </row>
    <row r="4266" spans="1:26" ht="15.75" customHeight="1" x14ac:dyDescent="0.45">
      <c r="A4266" s="25"/>
      <c r="B4266" s="25"/>
      <c r="C4266" s="25"/>
      <c r="D4266" s="25"/>
      <c r="E4266" s="25"/>
      <c r="F4266" s="25"/>
      <c r="G4266" s="25"/>
      <c r="H4266" s="25"/>
      <c r="I4266" s="24" t="s">
        <v>418</v>
      </c>
      <c r="J4266" s="25"/>
      <c r="K4266" s="25"/>
      <c r="L4266" s="25"/>
      <c r="M4266" s="25"/>
      <c r="N4266" s="25"/>
      <c r="O4266" s="25"/>
      <c r="P4266" s="25"/>
      <c r="Q4266" s="25"/>
      <c r="R4266" s="25"/>
      <c r="S4266" s="25"/>
      <c r="T4266" s="25"/>
      <c r="U4266" s="25"/>
      <c r="V4266" s="25"/>
      <c r="W4266" s="25"/>
      <c r="X4266" s="25"/>
      <c r="Y4266" s="25"/>
      <c r="Z4266" s="25"/>
    </row>
    <row r="4267" spans="1:26" ht="15.75" customHeight="1" x14ac:dyDescent="0.45">
      <c r="A4267" s="25"/>
      <c r="B4267" s="25"/>
      <c r="C4267" s="25"/>
      <c r="D4267" s="25"/>
      <c r="E4267" s="25"/>
      <c r="F4267" s="25"/>
      <c r="G4267" s="25"/>
      <c r="H4267" s="25"/>
      <c r="I4267" s="24" t="s">
        <v>418</v>
      </c>
      <c r="J4267" s="25"/>
      <c r="K4267" s="25"/>
      <c r="L4267" s="25"/>
      <c r="M4267" s="25"/>
      <c r="N4267" s="25"/>
      <c r="O4267" s="25"/>
      <c r="P4267" s="25"/>
      <c r="Q4267" s="25"/>
      <c r="R4267" s="25"/>
      <c r="S4267" s="25"/>
      <c r="T4267" s="25"/>
      <c r="U4267" s="25"/>
      <c r="V4267" s="25"/>
      <c r="W4267" s="25"/>
      <c r="X4267" s="25"/>
      <c r="Y4267" s="25"/>
      <c r="Z4267" s="25"/>
    </row>
    <row r="4268" spans="1:26" ht="15.75" customHeight="1" x14ac:dyDescent="0.45">
      <c r="A4268" s="25"/>
      <c r="B4268" s="25"/>
      <c r="C4268" s="25"/>
      <c r="D4268" s="25"/>
      <c r="E4268" s="25"/>
      <c r="F4268" s="25"/>
      <c r="G4268" s="25"/>
      <c r="H4268" s="25"/>
      <c r="I4268" s="24" t="s">
        <v>418</v>
      </c>
      <c r="J4268" s="25"/>
      <c r="K4268" s="25"/>
      <c r="L4268" s="25"/>
      <c r="M4268" s="25"/>
      <c r="N4268" s="25"/>
      <c r="O4268" s="25"/>
      <c r="P4268" s="25"/>
      <c r="Q4268" s="25"/>
      <c r="R4268" s="25"/>
      <c r="S4268" s="25"/>
      <c r="T4268" s="25"/>
      <c r="U4268" s="25"/>
      <c r="V4268" s="25"/>
      <c r="W4268" s="25"/>
      <c r="X4268" s="25"/>
      <c r="Y4268" s="25"/>
      <c r="Z4268" s="25"/>
    </row>
    <row r="4269" spans="1:26" ht="15.75" customHeight="1" x14ac:dyDescent="0.45">
      <c r="A4269" s="25"/>
      <c r="B4269" s="25"/>
      <c r="C4269" s="25"/>
      <c r="D4269" s="25"/>
      <c r="E4269" s="25"/>
      <c r="F4269" s="25"/>
      <c r="G4269" s="25"/>
      <c r="H4269" s="25"/>
      <c r="I4269" s="24" t="s">
        <v>418</v>
      </c>
      <c r="J4269" s="25"/>
      <c r="K4269" s="25"/>
      <c r="L4269" s="25"/>
      <c r="M4269" s="25"/>
      <c r="N4269" s="25"/>
      <c r="O4269" s="25"/>
      <c r="P4269" s="25"/>
      <c r="Q4269" s="25"/>
      <c r="R4269" s="25"/>
      <c r="S4269" s="25"/>
      <c r="T4269" s="25"/>
      <c r="U4269" s="25"/>
      <c r="V4269" s="25"/>
      <c r="W4269" s="25"/>
      <c r="X4269" s="25"/>
      <c r="Y4269" s="25"/>
      <c r="Z4269" s="25"/>
    </row>
    <row r="4270" spans="1:26" ht="15.75" customHeight="1" x14ac:dyDescent="0.45">
      <c r="A4270" s="25"/>
      <c r="B4270" s="25"/>
      <c r="C4270" s="25"/>
      <c r="D4270" s="25"/>
      <c r="E4270" s="25"/>
      <c r="F4270" s="25"/>
      <c r="G4270" s="25"/>
      <c r="H4270" s="25"/>
      <c r="I4270" s="24" t="s">
        <v>418</v>
      </c>
      <c r="J4270" s="25"/>
      <c r="K4270" s="25"/>
      <c r="L4270" s="25"/>
      <c r="M4270" s="25"/>
      <c r="N4270" s="25"/>
      <c r="O4270" s="25"/>
      <c r="P4270" s="25"/>
      <c r="Q4270" s="25"/>
      <c r="R4270" s="25"/>
      <c r="S4270" s="25"/>
      <c r="T4270" s="25"/>
      <c r="U4270" s="25"/>
      <c r="V4270" s="25"/>
      <c r="W4270" s="25"/>
      <c r="X4270" s="25"/>
      <c r="Y4270" s="25"/>
      <c r="Z4270" s="25"/>
    </row>
    <row r="4271" spans="1:26" ht="15.75" customHeight="1" x14ac:dyDescent="0.45">
      <c r="A4271" s="25"/>
      <c r="B4271" s="25"/>
      <c r="C4271" s="25"/>
      <c r="D4271" s="25"/>
      <c r="E4271" s="25"/>
      <c r="F4271" s="25"/>
      <c r="G4271" s="25"/>
      <c r="H4271" s="25"/>
      <c r="I4271" s="24" t="s">
        <v>418</v>
      </c>
      <c r="J4271" s="25"/>
      <c r="K4271" s="25"/>
      <c r="L4271" s="25"/>
      <c r="M4271" s="25"/>
      <c r="N4271" s="25"/>
      <c r="O4271" s="25"/>
      <c r="P4271" s="25"/>
      <c r="Q4271" s="25"/>
      <c r="R4271" s="25"/>
      <c r="S4271" s="25"/>
      <c r="T4271" s="25"/>
      <c r="U4271" s="25"/>
      <c r="V4271" s="25"/>
      <c r="W4271" s="25"/>
      <c r="X4271" s="25"/>
      <c r="Y4271" s="25"/>
      <c r="Z4271" s="25"/>
    </row>
    <row r="4272" spans="1:26" ht="15.75" customHeight="1" x14ac:dyDescent="0.45">
      <c r="A4272" s="25"/>
      <c r="B4272" s="25"/>
      <c r="C4272" s="25"/>
      <c r="D4272" s="25"/>
      <c r="E4272" s="25"/>
      <c r="F4272" s="25"/>
      <c r="G4272" s="25"/>
      <c r="H4272" s="25"/>
      <c r="I4272" s="24" t="s">
        <v>418</v>
      </c>
      <c r="J4272" s="25"/>
      <c r="K4272" s="25"/>
      <c r="L4272" s="25"/>
      <c r="M4272" s="25"/>
      <c r="N4272" s="25"/>
      <c r="O4272" s="25"/>
      <c r="P4272" s="25"/>
      <c r="Q4272" s="25"/>
      <c r="R4272" s="25"/>
      <c r="S4272" s="25"/>
      <c r="T4272" s="25"/>
      <c r="U4272" s="25"/>
      <c r="V4272" s="25"/>
      <c r="W4272" s="25"/>
      <c r="X4272" s="25"/>
      <c r="Y4272" s="25"/>
      <c r="Z4272" s="25"/>
    </row>
    <row r="4273" spans="1:26" ht="15.75" customHeight="1" x14ac:dyDescent="0.75">
      <c r="A4273" s="43" t="s">
        <v>0</v>
      </c>
      <c r="B4273" s="40"/>
      <c r="C4273" s="40"/>
      <c r="D4273" s="40"/>
      <c r="E4273" s="40"/>
      <c r="F4273" s="40"/>
      <c r="G4273" s="40"/>
      <c r="H4273" s="41"/>
      <c r="I4273" s="24" t="s">
        <v>418</v>
      </c>
      <c r="J4273" s="25"/>
      <c r="K4273" s="25"/>
      <c r="L4273" s="25"/>
      <c r="M4273" s="25"/>
      <c r="N4273" s="25"/>
      <c r="O4273" s="25"/>
      <c r="P4273" s="25"/>
      <c r="Q4273" s="25"/>
      <c r="R4273" s="25"/>
      <c r="S4273" s="25"/>
      <c r="T4273" s="25"/>
      <c r="U4273" s="25"/>
      <c r="V4273" s="25"/>
      <c r="W4273" s="25"/>
      <c r="X4273" s="25"/>
      <c r="Y4273" s="25"/>
      <c r="Z4273" s="25"/>
    </row>
    <row r="4274" spans="1:26" ht="15.75" customHeight="1" x14ac:dyDescent="0.75">
      <c r="A4274" s="43" t="s">
        <v>701</v>
      </c>
      <c r="B4274" s="40"/>
      <c r="C4274" s="40"/>
      <c r="D4274" s="40"/>
      <c r="E4274" s="40"/>
      <c r="F4274" s="40"/>
      <c r="G4274" s="40"/>
      <c r="H4274" s="41"/>
      <c r="I4274" s="24" t="s">
        <v>418</v>
      </c>
      <c r="J4274" s="25"/>
      <c r="K4274" s="25"/>
      <c r="L4274" s="25"/>
      <c r="M4274" s="25"/>
      <c r="N4274" s="25"/>
      <c r="O4274" s="25"/>
      <c r="P4274" s="25"/>
      <c r="Q4274" s="25"/>
      <c r="R4274" s="25"/>
      <c r="S4274" s="25"/>
      <c r="T4274" s="25"/>
      <c r="U4274" s="25"/>
      <c r="V4274" s="25"/>
      <c r="W4274" s="25"/>
      <c r="X4274" s="25"/>
      <c r="Y4274" s="25"/>
      <c r="Z4274" s="25"/>
    </row>
    <row r="4275" spans="1:26" ht="15.75" customHeight="1" x14ac:dyDescent="0.55000000000000004">
      <c r="A4275" s="2" t="s">
        <v>3</v>
      </c>
      <c r="B4275" s="2" t="s">
        <v>4</v>
      </c>
      <c r="C4275" s="2" t="s">
        <v>5</v>
      </c>
      <c r="D4275" s="2" t="s">
        <v>6</v>
      </c>
      <c r="E4275" s="2" t="s">
        <v>7</v>
      </c>
      <c r="F4275" s="3" t="s">
        <v>8</v>
      </c>
      <c r="G4275" s="2" t="s">
        <v>9</v>
      </c>
      <c r="H4275" s="26"/>
      <c r="I4275" s="24" t="s">
        <v>418</v>
      </c>
      <c r="J4275" s="25"/>
      <c r="K4275" s="25"/>
      <c r="L4275" s="25"/>
      <c r="M4275" s="25"/>
      <c r="N4275" s="25"/>
      <c r="O4275" s="25"/>
      <c r="P4275" s="25"/>
      <c r="Q4275" s="25"/>
      <c r="R4275" s="25"/>
      <c r="S4275" s="25"/>
      <c r="T4275" s="25"/>
      <c r="U4275" s="25"/>
      <c r="V4275" s="25"/>
      <c r="W4275" s="25"/>
      <c r="X4275" s="25"/>
      <c r="Y4275" s="25"/>
      <c r="Z4275" s="25"/>
    </row>
    <row r="4276" spans="1:26" ht="15.75" customHeight="1" x14ac:dyDescent="0.75">
      <c r="A4276" s="5">
        <v>1</v>
      </c>
      <c r="B4276" s="27" t="s">
        <v>311</v>
      </c>
      <c r="C4276" s="28" t="s">
        <v>540</v>
      </c>
      <c r="D4276" s="27" t="s">
        <v>12</v>
      </c>
      <c r="E4276" s="27">
        <v>1.55</v>
      </c>
      <c r="F4276" s="8">
        <v>293000</v>
      </c>
      <c r="G4276" s="9">
        <f t="shared" ref="G4276:G4278" si="266">IFERROR(E4276*F4276,0)</f>
        <v>454150</v>
      </c>
      <c r="H4276" s="29"/>
      <c r="I4276" s="24" t="s">
        <v>418</v>
      </c>
      <c r="J4276" s="25"/>
      <c r="K4276" s="25"/>
      <c r="L4276" s="25"/>
      <c r="M4276" s="25"/>
      <c r="N4276" s="25"/>
      <c r="O4276" s="25"/>
      <c r="P4276" s="25"/>
      <c r="Q4276" s="25"/>
      <c r="R4276" s="25"/>
      <c r="S4276" s="25"/>
      <c r="T4276" s="25"/>
      <c r="U4276" s="25"/>
      <c r="V4276" s="25"/>
      <c r="W4276" s="25"/>
      <c r="X4276" s="25"/>
      <c r="Y4276" s="25"/>
      <c r="Z4276" s="25"/>
    </row>
    <row r="4277" spans="1:26" ht="15.75" customHeight="1" x14ac:dyDescent="0.75">
      <c r="A4277" s="5">
        <v>2</v>
      </c>
      <c r="B4277" s="30" t="s">
        <v>213</v>
      </c>
      <c r="C4277" s="34">
        <v>2705</v>
      </c>
      <c r="D4277" s="30" t="s">
        <v>14</v>
      </c>
      <c r="E4277" s="30">
        <v>2</v>
      </c>
      <c r="F4277" s="11">
        <v>435000</v>
      </c>
      <c r="G4277" s="9">
        <f t="shared" si="266"/>
        <v>870000</v>
      </c>
      <c r="H4277" s="29"/>
      <c r="I4277" s="24" t="s">
        <v>418</v>
      </c>
      <c r="J4277" s="25"/>
      <c r="K4277" s="25"/>
      <c r="L4277" s="25"/>
      <c r="M4277" s="25"/>
      <c r="N4277" s="25"/>
      <c r="O4277" s="25"/>
      <c r="P4277" s="25"/>
      <c r="Q4277" s="25"/>
      <c r="R4277" s="25"/>
      <c r="S4277" s="25"/>
      <c r="T4277" s="25"/>
      <c r="U4277" s="25"/>
      <c r="V4277" s="25"/>
      <c r="W4277" s="25"/>
      <c r="X4277" s="25"/>
      <c r="Y4277" s="25"/>
      <c r="Z4277" s="25"/>
    </row>
    <row r="4278" spans="1:26" ht="15.75" customHeight="1" x14ac:dyDescent="0.75">
      <c r="A4278" s="5">
        <v>3</v>
      </c>
      <c r="B4278" s="12" t="s">
        <v>15</v>
      </c>
      <c r="C4278" s="29"/>
      <c r="D4278" s="29"/>
      <c r="E4278" s="29"/>
      <c r="F4278" s="29"/>
      <c r="G4278" s="13">
        <f t="shared" si="266"/>
        <v>0</v>
      </c>
      <c r="H4278" s="29"/>
      <c r="I4278" s="24" t="s">
        <v>418</v>
      </c>
      <c r="J4278" s="25"/>
      <c r="K4278" s="25"/>
      <c r="L4278" s="25"/>
      <c r="M4278" s="25"/>
      <c r="N4278" s="25"/>
      <c r="O4278" s="25"/>
      <c r="P4278" s="25"/>
      <c r="Q4278" s="25"/>
      <c r="R4278" s="25"/>
      <c r="S4278" s="25"/>
      <c r="T4278" s="25"/>
      <c r="U4278" s="25"/>
      <c r="V4278" s="25"/>
      <c r="W4278" s="25"/>
      <c r="X4278" s="25"/>
      <c r="Y4278" s="25"/>
      <c r="Z4278" s="25"/>
    </row>
    <row r="4279" spans="1:26" ht="15.75" customHeight="1" x14ac:dyDescent="0.75">
      <c r="A4279" s="39" t="s">
        <v>16</v>
      </c>
      <c r="B4279" s="40"/>
      <c r="C4279" s="40"/>
      <c r="D4279" s="40"/>
      <c r="E4279" s="40"/>
      <c r="F4279" s="40"/>
      <c r="G4279" s="41"/>
      <c r="H4279" s="14">
        <f>SUM(G4276:G4278)</f>
        <v>1324150</v>
      </c>
      <c r="I4279" s="24" t="s">
        <v>418</v>
      </c>
      <c r="J4279" s="25"/>
      <c r="K4279" s="25"/>
      <c r="L4279" s="25"/>
      <c r="M4279" s="25"/>
      <c r="N4279" s="25"/>
      <c r="O4279" s="25"/>
      <c r="P4279" s="25"/>
      <c r="Q4279" s="25"/>
      <c r="R4279" s="25"/>
      <c r="S4279" s="25"/>
      <c r="T4279" s="25"/>
      <c r="U4279" s="25"/>
      <c r="V4279" s="25"/>
      <c r="W4279" s="25"/>
      <c r="X4279" s="25"/>
      <c r="Y4279" s="25"/>
      <c r="Z4279" s="25"/>
    </row>
    <row r="4280" spans="1:26" ht="15.75" customHeight="1" x14ac:dyDescent="0.75">
      <c r="A4280" s="39" t="s">
        <v>17</v>
      </c>
      <c r="B4280" s="40"/>
      <c r="C4280" s="40"/>
      <c r="D4280" s="40"/>
      <c r="E4280" s="40"/>
      <c r="F4280" s="40"/>
      <c r="G4280" s="41"/>
      <c r="H4280" s="14">
        <f>MAX(0,H4279-648000)</f>
        <v>676150</v>
      </c>
      <c r="I4280" s="24" t="s">
        <v>418</v>
      </c>
      <c r="J4280" s="25"/>
      <c r="K4280" s="25"/>
      <c r="L4280" s="25"/>
      <c r="M4280" s="25"/>
      <c r="N4280" s="25"/>
      <c r="O4280" s="25"/>
      <c r="P4280" s="25"/>
      <c r="Q4280" s="25"/>
      <c r="R4280" s="25"/>
      <c r="S4280" s="25"/>
      <c r="T4280" s="25"/>
      <c r="U4280" s="25"/>
      <c r="V4280" s="25"/>
      <c r="W4280" s="25"/>
      <c r="X4280" s="25"/>
      <c r="Y4280" s="25"/>
      <c r="Z4280" s="25"/>
    </row>
    <row r="4281" spans="1:26" ht="15.75" customHeight="1" x14ac:dyDescent="0.75">
      <c r="A4281" s="42" t="s">
        <v>18</v>
      </c>
      <c r="B4281" s="40"/>
      <c r="C4281" s="40"/>
      <c r="D4281" s="40"/>
      <c r="E4281" s="40"/>
      <c r="F4281" s="40"/>
      <c r="G4281" s="41"/>
      <c r="H4281" s="15">
        <v>649000</v>
      </c>
      <c r="I4281" s="24" t="s">
        <v>418</v>
      </c>
      <c r="J4281" s="25"/>
      <c r="K4281" s="25"/>
      <c r="L4281" s="25"/>
      <c r="M4281" s="25"/>
      <c r="N4281" s="25"/>
      <c r="O4281" s="25"/>
      <c r="P4281" s="25"/>
      <c r="Q4281" s="25"/>
      <c r="R4281" s="25"/>
      <c r="S4281" s="25"/>
      <c r="T4281" s="25"/>
      <c r="U4281" s="25"/>
      <c r="V4281" s="25"/>
      <c r="W4281" s="25"/>
      <c r="X4281" s="25"/>
      <c r="Y4281" s="25"/>
      <c r="Z4281" s="25"/>
    </row>
    <row r="4282" spans="1:26" ht="15.75" customHeight="1" x14ac:dyDescent="0.75">
      <c r="A4282" s="43" t="s">
        <v>19</v>
      </c>
      <c r="B4282" s="40"/>
      <c r="C4282" s="40"/>
      <c r="D4282" s="40"/>
      <c r="E4282" s="40"/>
      <c r="F4282" s="40"/>
      <c r="G4282" s="40"/>
      <c r="H4282" s="41"/>
      <c r="I4282" s="24" t="s">
        <v>418</v>
      </c>
      <c r="J4282" s="25"/>
      <c r="K4282" s="25"/>
      <c r="L4282" s="25"/>
      <c r="M4282" s="25"/>
      <c r="N4282" s="25"/>
      <c r="O4282" s="25"/>
      <c r="P4282" s="25"/>
      <c r="Q4282" s="25"/>
      <c r="R4282" s="25"/>
      <c r="S4282" s="25"/>
      <c r="T4282" s="25"/>
      <c r="U4282" s="25"/>
      <c r="V4282" s="25"/>
      <c r="W4282" s="25"/>
      <c r="X4282" s="25"/>
      <c r="Y4282" s="25"/>
      <c r="Z4282" s="25"/>
    </row>
    <row r="4283" spans="1:26" ht="15.75" customHeight="1" x14ac:dyDescent="0.45">
      <c r="A4283" s="25"/>
      <c r="B4283" s="25"/>
      <c r="C4283" s="25"/>
      <c r="D4283" s="25"/>
      <c r="E4283" s="25"/>
      <c r="F4283" s="25"/>
      <c r="G4283" s="25"/>
      <c r="H4283" s="25"/>
      <c r="I4283" s="24" t="s">
        <v>418</v>
      </c>
      <c r="J4283" s="25"/>
      <c r="K4283" s="25"/>
      <c r="L4283" s="25"/>
      <c r="M4283" s="25"/>
      <c r="N4283" s="25"/>
      <c r="O4283" s="25"/>
      <c r="P4283" s="25"/>
      <c r="Q4283" s="25"/>
      <c r="R4283" s="25"/>
      <c r="S4283" s="25"/>
      <c r="T4283" s="25"/>
      <c r="U4283" s="25"/>
      <c r="V4283" s="25"/>
      <c r="W4283" s="25"/>
      <c r="X4283" s="25"/>
      <c r="Y4283" s="25"/>
      <c r="Z4283" s="25"/>
    </row>
    <row r="4284" spans="1:26" ht="15.75" customHeight="1" x14ac:dyDescent="0.45">
      <c r="A4284" s="25"/>
      <c r="B4284" s="25"/>
      <c r="C4284" s="25"/>
      <c r="D4284" s="25"/>
      <c r="E4284" s="25"/>
      <c r="F4284" s="25"/>
      <c r="G4284" s="25"/>
      <c r="H4284" s="25"/>
      <c r="I4284" s="24" t="s">
        <v>418</v>
      </c>
      <c r="J4284" s="25"/>
      <c r="K4284" s="25"/>
      <c r="L4284" s="25"/>
      <c r="M4284" s="25"/>
      <c r="N4284" s="25"/>
      <c r="O4284" s="25"/>
      <c r="P4284" s="25"/>
      <c r="Q4284" s="25"/>
      <c r="R4284" s="25"/>
      <c r="S4284" s="25"/>
      <c r="T4284" s="25"/>
      <c r="U4284" s="25"/>
      <c r="V4284" s="25"/>
      <c r="W4284" s="25"/>
      <c r="X4284" s="25"/>
      <c r="Y4284" s="25"/>
      <c r="Z4284" s="25"/>
    </row>
    <row r="4285" spans="1:26" ht="15.75" customHeight="1" x14ac:dyDescent="0.45">
      <c r="A4285" s="25"/>
      <c r="B4285" s="25"/>
      <c r="C4285" s="25"/>
      <c r="D4285" s="25"/>
      <c r="E4285" s="25"/>
      <c r="F4285" s="25"/>
      <c r="G4285" s="25"/>
      <c r="H4285" s="25"/>
      <c r="I4285" s="24" t="s">
        <v>418</v>
      </c>
      <c r="J4285" s="25"/>
      <c r="K4285" s="25"/>
      <c r="L4285" s="25"/>
      <c r="M4285" s="25"/>
      <c r="N4285" s="25"/>
      <c r="O4285" s="25"/>
      <c r="P4285" s="25"/>
      <c r="Q4285" s="25"/>
      <c r="R4285" s="25"/>
      <c r="S4285" s="25"/>
      <c r="T4285" s="25"/>
      <c r="U4285" s="25"/>
      <c r="V4285" s="25"/>
      <c r="W4285" s="25"/>
      <c r="X4285" s="25"/>
      <c r="Y4285" s="25"/>
      <c r="Z4285" s="25"/>
    </row>
    <row r="4286" spans="1:26" ht="15.75" customHeight="1" x14ac:dyDescent="0.45">
      <c r="A4286" s="25"/>
      <c r="B4286" s="25"/>
      <c r="C4286" s="25"/>
      <c r="D4286" s="25"/>
      <c r="E4286" s="25"/>
      <c r="F4286" s="25"/>
      <c r="G4286" s="25"/>
      <c r="H4286" s="25"/>
      <c r="I4286" s="24" t="s">
        <v>418</v>
      </c>
      <c r="J4286" s="25"/>
      <c r="K4286" s="25"/>
      <c r="L4286" s="25"/>
      <c r="M4286" s="25"/>
      <c r="N4286" s="25"/>
      <c r="O4286" s="25"/>
      <c r="P4286" s="25"/>
      <c r="Q4286" s="25"/>
      <c r="R4286" s="25"/>
      <c r="S4286" s="25"/>
      <c r="T4286" s="25"/>
      <c r="U4286" s="25"/>
      <c r="V4286" s="25"/>
      <c r="W4286" s="25"/>
      <c r="X4286" s="25"/>
      <c r="Y4286" s="25"/>
      <c r="Z4286" s="25"/>
    </row>
    <row r="4287" spans="1:26" ht="15.75" customHeight="1" x14ac:dyDescent="0.45">
      <c r="A4287" s="25"/>
      <c r="B4287" s="25"/>
      <c r="C4287" s="25"/>
      <c r="D4287" s="25"/>
      <c r="E4287" s="25"/>
      <c r="F4287" s="25"/>
      <c r="G4287" s="25"/>
      <c r="H4287" s="25"/>
      <c r="I4287" s="24" t="s">
        <v>418</v>
      </c>
      <c r="J4287" s="25"/>
      <c r="K4287" s="25"/>
      <c r="L4287" s="25"/>
      <c r="M4287" s="25"/>
      <c r="N4287" s="25"/>
      <c r="O4287" s="25"/>
      <c r="P4287" s="25"/>
      <c r="Q4287" s="25"/>
      <c r="R4287" s="25"/>
      <c r="S4287" s="25"/>
      <c r="T4287" s="25"/>
      <c r="U4287" s="25"/>
      <c r="V4287" s="25"/>
      <c r="W4287" s="25"/>
      <c r="X4287" s="25"/>
      <c r="Y4287" s="25"/>
      <c r="Z4287" s="25"/>
    </row>
    <row r="4288" spans="1:26" ht="15.75" customHeight="1" x14ac:dyDescent="0.45">
      <c r="A4288" s="25"/>
      <c r="B4288" s="25"/>
      <c r="C4288" s="25"/>
      <c r="D4288" s="25"/>
      <c r="E4288" s="25"/>
      <c r="F4288" s="25"/>
      <c r="G4288" s="25"/>
      <c r="H4288" s="25"/>
      <c r="I4288" s="24" t="s">
        <v>418</v>
      </c>
      <c r="J4288" s="25"/>
      <c r="K4288" s="25"/>
      <c r="L4288" s="25"/>
      <c r="M4288" s="25"/>
      <c r="N4288" s="25"/>
      <c r="O4288" s="25"/>
      <c r="P4288" s="25"/>
      <c r="Q4288" s="25"/>
      <c r="R4288" s="25"/>
      <c r="S4288" s="25"/>
      <c r="T4288" s="25"/>
      <c r="U4288" s="25"/>
      <c r="V4288" s="25"/>
      <c r="W4288" s="25"/>
      <c r="X4288" s="25"/>
      <c r="Y4288" s="25"/>
      <c r="Z4288" s="25"/>
    </row>
    <row r="4289" spans="1:26" ht="15.75" customHeight="1" x14ac:dyDescent="0.45">
      <c r="A4289" s="25"/>
      <c r="B4289" s="25"/>
      <c r="C4289" s="25"/>
      <c r="D4289" s="25"/>
      <c r="E4289" s="25"/>
      <c r="F4289" s="25"/>
      <c r="G4289" s="25"/>
      <c r="H4289" s="25"/>
      <c r="I4289" s="24" t="s">
        <v>418</v>
      </c>
      <c r="J4289" s="25"/>
      <c r="K4289" s="25"/>
      <c r="L4289" s="25"/>
      <c r="M4289" s="25"/>
      <c r="N4289" s="25"/>
      <c r="O4289" s="25"/>
      <c r="P4289" s="25"/>
      <c r="Q4289" s="25"/>
      <c r="R4289" s="25"/>
      <c r="S4289" s="25"/>
      <c r="T4289" s="25"/>
      <c r="U4289" s="25"/>
      <c r="V4289" s="25"/>
      <c r="W4289" s="25"/>
      <c r="X4289" s="25"/>
      <c r="Y4289" s="25"/>
      <c r="Z4289" s="25"/>
    </row>
    <row r="4290" spans="1:26" ht="15.75" customHeight="1" x14ac:dyDescent="0.45">
      <c r="A4290" s="25"/>
      <c r="B4290" s="25"/>
      <c r="C4290" s="25"/>
      <c r="D4290" s="25"/>
      <c r="E4290" s="25"/>
      <c r="F4290" s="25"/>
      <c r="G4290" s="25"/>
      <c r="H4290" s="25"/>
      <c r="I4290" s="24" t="s">
        <v>418</v>
      </c>
      <c r="J4290" s="25"/>
      <c r="K4290" s="25"/>
      <c r="L4290" s="25"/>
      <c r="M4290" s="25"/>
      <c r="N4290" s="25"/>
      <c r="O4290" s="25"/>
      <c r="P4290" s="25"/>
      <c r="Q4290" s="25"/>
      <c r="R4290" s="25"/>
      <c r="S4290" s="25"/>
      <c r="T4290" s="25"/>
      <c r="U4290" s="25"/>
      <c r="V4290" s="25"/>
      <c r="W4290" s="25"/>
      <c r="X4290" s="25"/>
      <c r="Y4290" s="25"/>
      <c r="Z4290" s="25"/>
    </row>
    <row r="4291" spans="1:26" ht="15.75" customHeight="1" x14ac:dyDescent="0.75">
      <c r="A4291" s="43" t="s">
        <v>0</v>
      </c>
      <c r="B4291" s="40"/>
      <c r="C4291" s="40"/>
      <c r="D4291" s="40"/>
      <c r="E4291" s="40"/>
      <c r="F4291" s="40"/>
      <c r="G4291" s="40"/>
      <c r="H4291" s="41"/>
      <c r="I4291" s="24" t="s">
        <v>418</v>
      </c>
      <c r="J4291" s="25"/>
      <c r="K4291" s="25"/>
      <c r="L4291" s="25"/>
      <c r="M4291" s="25"/>
      <c r="N4291" s="25"/>
      <c r="O4291" s="25"/>
      <c r="P4291" s="25"/>
      <c r="Q4291" s="25"/>
      <c r="R4291" s="25"/>
      <c r="S4291" s="25"/>
      <c r="T4291" s="25"/>
      <c r="U4291" s="25"/>
      <c r="V4291" s="25"/>
      <c r="W4291" s="25"/>
      <c r="X4291" s="25"/>
      <c r="Y4291" s="25"/>
      <c r="Z4291" s="25"/>
    </row>
    <row r="4292" spans="1:26" ht="15.75" customHeight="1" x14ac:dyDescent="0.75">
      <c r="A4292" s="43" t="s">
        <v>702</v>
      </c>
      <c r="B4292" s="40"/>
      <c r="C4292" s="40"/>
      <c r="D4292" s="40"/>
      <c r="E4292" s="40"/>
      <c r="F4292" s="40"/>
      <c r="G4292" s="40"/>
      <c r="H4292" s="41"/>
      <c r="I4292" s="24" t="s">
        <v>418</v>
      </c>
      <c r="J4292" s="25"/>
      <c r="K4292" s="25"/>
      <c r="L4292" s="25"/>
      <c r="M4292" s="25"/>
      <c r="N4292" s="25"/>
      <c r="O4292" s="25"/>
      <c r="P4292" s="25"/>
      <c r="Q4292" s="25"/>
      <c r="R4292" s="25"/>
      <c r="S4292" s="25"/>
      <c r="T4292" s="25"/>
      <c r="U4292" s="25"/>
      <c r="V4292" s="25"/>
      <c r="W4292" s="25"/>
      <c r="X4292" s="25"/>
      <c r="Y4292" s="25"/>
      <c r="Z4292" s="25"/>
    </row>
    <row r="4293" spans="1:26" ht="15.75" customHeight="1" x14ac:dyDescent="0.55000000000000004">
      <c r="A4293" s="2" t="s">
        <v>3</v>
      </c>
      <c r="B4293" s="2" t="s">
        <v>4</v>
      </c>
      <c r="C4293" s="2" t="s">
        <v>5</v>
      </c>
      <c r="D4293" s="2" t="s">
        <v>6</v>
      </c>
      <c r="E4293" s="2" t="s">
        <v>7</v>
      </c>
      <c r="F4293" s="3" t="s">
        <v>8</v>
      </c>
      <c r="G4293" s="2" t="s">
        <v>9</v>
      </c>
      <c r="H4293" s="26"/>
      <c r="I4293" s="24" t="s">
        <v>418</v>
      </c>
      <c r="J4293" s="25"/>
      <c r="K4293" s="25"/>
      <c r="L4293" s="25"/>
      <c r="M4293" s="25"/>
      <c r="N4293" s="25"/>
      <c r="O4293" s="25"/>
      <c r="P4293" s="25"/>
      <c r="Q4293" s="25"/>
      <c r="R4293" s="25"/>
      <c r="S4293" s="25"/>
      <c r="T4293" s="25"/>
      <c r="U4293" s="25"/>
      <c r="V4293" s="25"/>
      <c r="W4293" s="25"/>
      <c r="X4293" s="25"/>
      <c r="Y4293" s="25"/>
      <c r="Z4293" s="25"/>
    </row>
    <row r="4294" spans="1:26" ht="15.75" customHeight="1" x14ac:dyDescent="0.75">
      <c r="A4294" s="5">
        <v>1</v>
      </c>
      <c r="B4294" s="27" t="s">
        <v>369</v>
      </c>
      <c r="C4294" s="28" t="s">
        <v>703</v>
      </c>
      <c r="D4294" s="27" t="s">
        <v>12</v>
      </c>
      <c r="E4294" s="27">
        <v>1.47</v>
      </c>
      <c r="F4294" s="8">
        <v>293000</v>
      </c>
      <c r="G4294" s="9">
        <f t="shared" ref="G4294:G4296" si="267">IFERROR(E4294*F4294,0)</f>
        <v>430710</v>
      </c>
      <c r="H4294" s="29"/>
      <c r="I4294" s="24" t="s">
        <v>418</v>
      </c>
      <c r="J4294" s="25"/>
      <c r="K4294" s="25"/>
      <c r="L4294" s="25"/>
      <c r="M4294" s="25"/>
      <c r="N4294" s="25"/>
      <c r="O4294" s="25"/>
      <c r="P4294" s="25"/>
      <c r="Q4294" s="25"/>
      <c r="R4294" s="25"/>
      <c r="S4294" s="25"/>
      <c r="T4294" s="25"/>
      <c r="U4294" s="25"/>
      <c r="V4294" s="25"/>
      <c r="W4294" s="25"/>
      <c r="X4294" s="25"/>
      <c r="Y4294" s="25"/>
      <c r="Z4294" s="25"/>
    </row>
    <row r="4295" spans="1:26" ht="15.75" customHeight="1" x14ac:dyDescent="0.75">
      <c r="A4295" s="5">
        <v>2</v>
      </c>
      <c r="B4295" s="30" t="s">
        <v>213</v>
      </c>
      <c r="C4295" s="31" t="s">
        <v>704</v>
      </c>
      <c r="D4295" s="30" t="s">
        <v>14</v>
      </c>
      <c r="E4295" s="30">
        <v>1.94</v>
      </c>
      <c r="F4295" s="11">
        <v>435000</v>
      </c>
      <c r="G4295" s="9">
        <f t="shared" si="267"/>
        <v>843900</v>
      </c>
      <c r="H4295" s="29"/>
      <c r="I4295" s="24" t="s">
        <v>418</v>
      </c>
      <c r="J4295" s="25"/>
      <c r="K4295" s="25"/>
      <c r="L4295" s="25"/>
      <c r="M4295" s="25"/>
      <c r="N4295" s="25"/>
      <c r="O4295" s="25"/>
      <c r="P4295" s="25"/>
      <c r="Q4295" s="25"/>
      <c r="R4295" s="25"/>
      <c r="S4295" s="25"/>
      <c r="T4295" s="25"/>
      <c r="U4295" s="25"/>
      <c r="V4295" s="25"/>
      <c r="W4295" s="25"/>
      <c r="X4295" s="25"/>
      <c r="Y4295" s="25"/>
      <c r="Z4295" s="25"/>
    </row>
    <row r="4296" spans="1:26" ht="15.75" customHeight="1" x14ac:dyDescent="0.75">
      <c r="A4296" s="5">
        <v>3</v>
      </c>
      <c r="B4296" s="12" t="s">
        <v>15</v>
      </c>
      <c r="C4296" s="29"/>
      <c r="D4296" s="29"/>
      <c r="E4296" s="29"/>
      <c r="F4296" s="29"/>
      <c r="G4296" s="13">
        <f t="shared" si="267"/>
        <v>0</v>
      </c>
      <c r="H4296" s="29"/>
      <c r="I4296" s="24" t="s">
        <v>418</v>
      </c>
      <c r="J4296" s="25"/>
      <c r="K4296" s="25"/>
      <c r="L4296" s="25"/>
      <c r="M4296" s="25"/>
      <c r="N4296" s="25"/>
      <c r="O4296" s="25"/>
      <c r="P4296" s="25"/>
      <c r="Q4296" s="25"/>
      <c r="R4296" s="25"/>
      <c r="S4296" s="25"/>
      <c r="T4296" s="25"/>
      <c r="U4296" s="25"/>
      <c r="V4296" s="25"/>
      <c r="W4296" s="25"/>
      <c r="X4296" s="25"/>
      <c r="Y4296" s="25"/>
      <c r="Z4296" s="25"/>
    </row>
    <row r="4297" spans="1:26" ht="15.75" customHeight="1" x14ac:dyDescent="0.75">
      <c r="A4297" s="39" t="s">
        <v>16</v>
      </c>
      <c r="B4297" s="40"/>
      <c r="C4297" s="40"/>
      <c r="D4297" s="40"/>
      <c r="E4297" s="40"/>
      <c r="F4297" s="40"/>
      <c r="G4297" s="41"/>
      <c r="H4297" s="14">
        <f>SUM(G4294:G4296)</f>
        <v>1274610</v>
      </c>
      <c r="I4297" s="24" t="s">
        <v>418</v>
      </c>
      <c r="J4297" s="25"/>
      <c r="K4297" s="25"/>
      <c r="L4297" s="25"/>
      <c r="M4297" s="25"/>
      <c r="N4297" s="25"/>
      <c r="O4297" s="25"/>
      <c r="P4297" s="25"/>
      <c r="Q4297" s="25"/>
      <c r="R4297" s="25"/>
      <c r="S4297" s="25"/>
      <c r="T4297" s="25"/>
      <c r="U4297" s="25"/>
      <c r="V4297" s="25"/>
      <c r="W4297" s="25"/>
      <c r="X4297" s="25"/>
      <c r="Y4297" s="25"/>
      <c r="Z4297" s="25"/>
    </row>
    <row r="4298" spans="1:26" ht="15.75" customHeight="1" x14ac:dyDescent="0.75">
      <c r="A4298" s="39" t="s">
        <v>17</v>
      </c>
      <c r="B4298" s="40"/>
      <c r="C4298" s="40"/>
      <c r="D4298" s="40"/>
      <c r="E4298" s="40"/>
      <c r="F4298" s="40"/>
      <c r="G4298" s="41"/>
      <c r="H4298" s="14">
        <f>MAX(0,H4297-648000)</f>
        <v>626610</v>
      </c>
      <c r="I4298" s="24" t="s">
        <v>418</v>
      </c>
      <c r="J4298" s="25"/>
      <c r="K4298" s="25"/>
      <c r="L4298" s="25"/>
      <c r="M4298" s="25"/>
      <c r="N4298" s="25"/>
      <c r="O4298" s="25"/>
      <c r="P4298" s="25"/>
      <c r="Q4298" s="25"/>
      <c r="R4298" s="25"/>
      <c r="S4298" s="25"/>
      <c r="T4298" s="25"/>
      <c r="U4298" s="25"/>
      <c r="V4298" s="25"/>
      <c r="W4298" s="25"/>
      <c r="X4298" s="25"/>
      <c r="Y4298" s="25"/>
      <c r="Z4298" s="25"/>
    </row>
    <row r="4299" spans="1:26" ht="15.75" customHeight="1" x14ac:dyDescent="0.75">
      <c r="A4299" s="42" t="s">
        <v>18</v>
      </c>
      <c r="B4299" s="40"/>
      <c r="C4299" s="40"/>
      <c r="D4299" s="40"/>
      <c r="E4299" s="40"/>
      <c r="F4299" s="40"/>
      <c r="G4299" s="41"/>
      <c r="H4299" s="15">
        <v>649000</v>
      </c>
      <c r="I4299" s="24" t="s">
        <v>418</v>
      </c>
      <c r="J4299" s="25"/>
      <c r="K4299" s="25"/>
      <c r="L4299" s="25"/>
      <c r="M4299" s="25"/>
      <c r="N4299" s="25"/>
      <c r="O4299" s="25"/>
      <c r="P4299" s="25"/>
      <c r="Q4299" s="25"/>
      <c r="R4299" s="25"/>
      <c r="S4299" s="25"/>
      <c r="T4299" s="25"/>
      <c r="U4299" s="25"/>
      <c r="V4299" s="25"/>
      <c r="W4299" s="25"/>
      <c r="X4299" s="25"/>
      <c r="Y4299" s="25"/>
      <c r="Z4299" s="25"/>
    </row>
    <row r="4300" spans="1:26" ht="15.75" customHeight="1" x14ac:dyDescent="0.75">
      <c r="A4300" s="43" t="s">
        <v>19</v>
      </c>
      <c r="B4300" s="40"/>
      <c r="C4300" s="40"/>
      <c r="D4300" s="40"/>
      <c r="E4300" s="40"/>
      <c r="F4300" s="40"/>
      <c r="G4300" s="40"/>
      <c r="H4300" s="41"/>
      <c r="I4300" s="24" t="s">
        <v>418</v>
      </c>
      <c r="J4300" s="25"/>
      <c r="K4300" s="25"/>
      <c r="L4300" s="25"/>
      <c r="M4300" s="25"/>
      <c r="N4300" s="25"/>
      <c r="O4300" s="25"/>
      <c r="P4300" s="25"/>
      <c r="Q4300" s="25"/>
      <c r="R4300" s="25"/>
      <c r="S4300" s="25"/>
      <c r="T4300" s="25"/>
      <c r="U4300" s="25"/>
      <c r="V4300" s="25"/>
      <c r="W4300" s="25"/>
      <c r="X4300" s="25"/>
      <c r="Y4300" s="25"/>
      <c r="Z4300" s="25"/>
    </row>
    <row r="4301" spans="1:26" ht="15.75" customHeight="1" x14ac:dyDescent="0.45">
      <c r="A4301" s="25"/>
      <c r="B4301" s="25"/>
      <c r="C4301" s="25"/>
      <c r="D4301" s="25"/>
      <c r="E4301" s="25"/>
      <c r="F4301" s="25"/>
      <c r="G4301" s="25"/>
      <c r="H4301" s="25"/>
      <c r="I4301" s="24" t="s">
        <v>418</v>
      </c>
      <c r="J4301" s="25"/>
      <c r="K4301" s="25"/>
      <c r="L4301" s="25"/>
      <c r="M4301" s="25"/>
      <c r="N4301" s="25"/>
      <c r="O4301" s="25"/>
      <c r="P4301" s="25"/>
      <c r="Q4301" s="25"/>
      <c r="R4301" s="25"/>
      <c r="S4301" s="25"/>
      <c r="T4301" s="25"/>
      <c r="U4301" s="25"/>
      <c r="V4301" s="25"/>
      <c r="W4301" s="25"/>
      <c r="X4301" s="25"/>
      <c r="Y4301" s="25"/>
      <c r="Z4301" s="25"/>
    </row>
    <row r="4302" spans="1:26" ht="15.75" customHeight="1" x14ac:dyDescent="0.45">
      <c r="A4302" s="25"/>
      <c r="B4302" s="25"/>
      <c r="C4302" s="25"/>
      <c r="D4302" s="25"/>
      <c r="E4302" s="25"/>
      <c r="F4302" s="25"/>
      <c r="G4302" s="25"/>
      <c r="H4302" s="25"/>
      <c r="I4302" s="24" t="s">
        <v>418</v>
      </c>
      <c r="J4302" s="25"/>
      <c r="K4302" s="25"/>
      <c r="L4302" s="25"/>
      <c r="M4302" s="25"/>
      <c r="N4302" s="25"/>
      <c r="O4302" s="25"/>
      <c r="P4302" s="25"/>
      <c r="Q4302" s="25"/>
      <c r="R4302" s="25"/>
      <c r="S4302" s="25"/>
      <c r="T4302" s="25"/>
      <c r="U4302" s="25"/>
      <c r="V4302" s="25"/>
      <c r="W4302" s="25"/>
      <c r="X4302" s="25"/>
      <c r="Y4302" s="25"/>
      <c r="Z4302" s="25"/>
    </row>
    <row r="4303" spans="1:26" ht="15.75" customHeight="1" x14ac:dyDescent="0.45">
      <c r="A4303" s="25"/>
      <c r="B4303" s="25"/>
      <c r="C4303" s="25"/>
      <c r="D4303" s="25"/>
      <c r="E4303" s="25"/>
      <c r="F4303" s="25"/>
      <c r="G4303" s="25"/>
      <c r="H4303" s="25"/>
      <c r="I4303" s="24" t="s">
        <v>418</v>
      </c>
      <c r="J4303" s="25"/>
      <c r="K4303" s="25"/>
      <c r="L4303" s="25"/>
      <c r="M4303" s="25"/>
      <c r="N4303" s="25"/>
      <c r="O4303" s="25"/>
      <c r="P4303" s="25"/>
      <c r="Q4303" s="25"/>
      <c r="R4303" s="25"/>
      <c r="S4303" s="25"/>
      <c r="T4303" s="25"/>
      <c r="U4303" s="25"/>
      <c r="V4303" s="25"/>
      <c r="W4303" s="25"/>
      <c r="X4303" s="25"/>
      <c r="Y4303" s="25"/>
      <c r="Z4303" s="25"/>
    </row>
    <row r="4304" spans="1:26" ht="15.75" customHeight="1" x14ac:dyDescent="0.45">
      <c r="A4304" s="25"/>
      <c r="B4304" s="25"/>
      <c r="C4304" s="25"/>
      <c r="D4304" s="25"/>
      <c r="E4304" s="25"/>
      <c r="F4304" s="25"/>
      <c r="G4304" s="25"/>
      <c r="H4304" s="25"/>
      <c r="I4304" s="24" t="s">
        <v>418</v>
      </c>
      <c r="J4304" s="25"/>
      <c r="K4304" s="25"/>
      <c r="L4304" s="25"/>
      <c r="M4304" s="25"/>
      <c r="N4304" s="25"/>
      <c r="O4304" s="25"/>
      <c r="P4304" s="25"/>
      <c r="Q4304" s="25"/>
      <c r="R4304" s="25"/>
      <c r="S4304" s="25"/>
      <c r="T4304" s="25"/>
      <c r="U4304" s="25"/>
      <c r="V4304" s="25"/>
      <c r="W4304" s="25"/>
      <c r="X4304" s="25"/>
      <c r="Y4304" s="25"/>
      <c r="Z4304" s="25"/>
    </row>
    <row r="4305" spans="1:26" ht="15.75" customHeight="1" x14ac:dyDescent="0.45">
      <c r="A4305" s="25"/>
      <c r="B4305" s="25"/>
      <c r="C4305" s="25"/>
      <c r="D4305" s="25"/>
      <c r="E4305" s="25"/>
      <c r="F4305" s="25"/>
      <c r="G4305" s="25"/>
      <c r="H4305" s="25"/>
      <c r="I4305" s="24" t="s">
        <v>418</v>
      </c>
      <c r="J4305" s="25"/>
      <c r="K4305" s="25"/>
      <c r="L4305" s="25"/>
      <c r="M4305" s="25"/>
      <c r="N4305" s="25"/>
      <c r="O4305" s="25"/>
      <c r="P4305" s="25"/>
      <c r="Q4305" s="25"/>
      <c r="R4305" s="25"/>
      <c r="S4305" s="25"/>
      <c r="T4305" s="25"/>
      <c r="U4305" s="25"/>
      <c r="V4305" s="25"/>
      <c r="W4305" s="25"/>
      <c r="X4305" s="25"/>
      <c r="Y4305" s="25"/>
      <c r="Z4305" s="25"/>
    </row>
    <row r="4306" spans="1:26" ht="15.75" customHeight="1" x14ac:dyDescent="0.45">
      <c r="A4306" s="25"/>
      <c r="B4306" s="25"/>
      <c r="C4306" s="25"/>
      <c r="D4306" s="25"/>
      <c r="E4306" s="25"/>
      <c r="F4306" s="25"/>
      <c r="G4306" s="25"/>
      <c r="H4306" s="25"/>
      <c r="I4306" s="24" t="s">
        <v>418</v>
      </c>
      <c r="J4306" s="25"/>
      <c r="K4306" s="25"/>
      <c r="L4306" s="25"/>
      <c r="M4306" s="25"/>
      <c r="N4306" s="25"/>
      <c r="O4306" s="25"/>
      <c r="P4306" s="25"/>
      <c r="Q4306" s="25"/>
      <c r="R4306" s="25"/>
      <c r="S4306" s="25"/>
      <c r="T4306" s="25"/>
      <c r="U4306" s="25"/>
      <c r="V4306" s="25"/>
      <c r="W4306" s="25"/>
      <c r="X4306" s="25"/>
      <c r="Y4306" s="25"/>
      <c r="Z4306" s="25"/>
    </row>
    <row r="4307" spans="1:26" ht="15.75" customHeight="1" x14ac:dyDescent="0.45">
      <c r="A4307" s="25"/>
      <c r="B4307" s="25"/>
      <c r="C4307" s="25"/>
      <c r="D4307" s="25"/>
      <c r="E4307" s="25"/>
      <c r="F4307" s="25"/>
      <c r="G4307" s="25"/>
      <c r="H4307" s="25"/>
      <c r="I4307" s="24" t="s">
        <v>418</v>
      </c>
      <c r="J4307" s="25"/>
      <c r="K4307" s="25"/>
      <c r="L4307" s="25"/>
      <c r="M4307" s="25"/>
      <c r="N4307" s="25"/>
      <c r="O4307" s="25"/>
      <c r="P4307" s="25"/>
      <c r="Q4307" s="25"/>
      <c r="R4307" s="25"/>
      <c r="S4307" s="25"/>
      <c r="T4307" s="25"/>
      <c r="U4307" s="25"/>
      <c r="V4307" s="25"/>
      <c r="W4307" s="25"/>
      <c r="X4307" s="25"/>
      <c r="Y4307" s="25"/>
      <c r="Z4307" s="25"/>
    </row>
    <row r="4308" spans="1:26" ht="15.75" customHeight="1" x14ac:dyDescent="0.75">
      <c r="A4308" s="43" t="s">
        <v>0</v>
      </c>
      <c r="B4308" s="40"/>
      <c r="C4308" s="40"/>
      <c r="D4308" s="40"/>
      <c r="E4308" s="40"/>
      <c r="F4308" s="40"/>
      <c r="G4308" s="40"/>
      <c r="H4308" s="41"/>
      <c r="I4308" s="24" t="s">
        <v>418</v>
      </c>
      <c r="J4308" s="25"/>
      <c r="K4308" s="25"/>
      <c r="L4308" s="25"/>
      <c r="M4308" s="25"/>
      <c r="N4308" s="25"/>
      <c r="O4308" s="25"/>
      <c r="P4308" s="25"/>
      <c r="Q4308" s="25"/>
      <c r="R4308" s="25"/>
      <c r="S4308" s="25"/>
      <c r="T4308" s="25"/>
      <c r="U4308" s="25"/>
      <c r="V4308" s="25"/>
      <c r="W4308" s="25"/>
      <c r="X4308" s="25"/>
      <c r="Y4308" s="25"/>
      <c r="Z4308" s="25"/>
    </row>
    <row r="4309" spans="1:26" ht="15.75" customHeight="1" x14ac:dyDescent="0.75">
      <c r="A4309" s="43" t="s">
        <v>705</v>
      </c>
      <c r="B4309" s="40"/>
      <c r="C4309" s="40"/>
      <c r="D4309" s="40"/>
      <c r="E4309" s="40"/>
      <c r="F4309" s="40"/>
      <c r="G4309" s="40"/>
      <c r="H4309" s="41"/>
      <c r="I4309" s="24" t="s">
        <v>418</v>
      </c>
      <c r="J4309" s="25"/>
      <c r="K4309" s="25"/>
      <c r="L4309" s="25"/>
      <c r="M4309" s="25"/>
      <c r="N4309" s="25"/>
      <c r="O4309" s="25"/>
      <c r="P4309" s="25"/>
      <c r="Q4309" s="25"/>
      <c r="R4309" s="25"/>
      <c r="S4309" s="25"/>
      <c r="T4309" s="25"/>
      <c r="U4309" s="25"/>
      <c r="V4309" s="25"/>
      <c r="W4309" s="25"/>
      <c r="X4309" s="25"/>
      <c r="Y4309" s="25"/>
      <c r="Z4309" s="25"/>
    </row>
    <row r="4310" spans="1:26" ht="15.75" customHeight="1" x14ac:dyDescent="0.55000000000000004">
      <c r="A4310" s="2" t="s">
        <v>3</v>
      </c>
      <c r="B4310" s="2" t="s">
        <v>4</v>
      </c>
      <c r="C4310" s="2" t="s">
        <v>5</v>
      </c>
      <c r="D4310" s="2" t="s">
        <v>6</v>
      </c>
      <c r="E4310" s="2" t="s">
        <v>7</v>
      </c>
      <c r="F4310" s="3" t="s">
        <v>8</v>
      </c>
      <c r="G4310" s="2" t="s">
        <v>9</v>
      </c>
      <c r="H4310" s="26"/>
      <c r="I4310" s="24" t="s">
        <v>418</v>
      </c>
      <c r="J4310" s="25"/>
      <c r="K4310" s="25"/>
      <c r="L4310" s="25"/>
      <c r="M4310" s="25"/>
      <c r="N4310" s="25"/>
      <c r="O4310" s="25"/>
      <c r="P4310" s="25"/>
      <c r="Q4310" s="25"/>
      <c r="R4310" s="25"/>
      <c r="S4310" s="25"/>
      <c r="T4310" s="25"/>
      <c r="U4310" s="25"/>
      <c r="V4310" s="25"/>
      <c r="W4310" s="25"/>
      <c r="X4310" s="25"/>
      <c r="Y4310" s="25"/>
      <c r="Z4310" s="25"/>
    </row>
    <row r="4311" spans="1:26" ht="15.75" customHeight="1" x14ac:dyDescent="0.75">
      <c r="A4311" s="5">
        <v>1</v>
      </c>
      <c r="B4311" s="27" t="s">
        <v>203</v>
      </c>
      <c r="C4311" s="28" t="s">
        <v>549</v>
      </c>
      <c r="D4311" s="27" t="s">
        <v>12</v>
      </c>
      <c r="E4311" s="27">
        <v>1</v>
      </c>
      <c r="F4311" s="8">
        <v>293000</v>
      </c>
      <c r="G4311" s="9">
        <f t="shared" ref="G4311:G4313" si="268">IFERROR(E4311*F4311,0)</f>
        <v>293000</v>
      </c>
      <c r="H4311" s="29"/>
      <c r="I4311" s="24" t="s">
        <v>418</v>
      </c>
      <c r="J4311" s="25"/>
      <c r="K4311" s="25"/>
      <c r="L4311" s="25"/>
      <c r="M4311" s="25"/>
      <c r="N4311" s="25"/>
      <c r="O4311" s="25"/>
      <c r="P4311" s="25"/>
      <c r="Q4311" s="25"/>
      <c r="R4311" s="25"/>
      <c r="S4311" s="25"/>
      <c r="T4311" s="25"/>
      <c r="U4311" s="25"/>
      <c r="V4311" s="25"/>
      <c r="W4311" s="25"/>
      <c r="X4311" s="25"/>
      <c r="Y4311" s="25"/>
      <c r="Z4311" s="25"/>
    </row>
    <row r="4312" spans="1:26" ht="15.75" customHeight="1" x14ac:dyDescent="0.75">
      <c r="A4312" s="5">
        <v>2</v>
      </c>
      <c r="B4312" s="30" t="s">
        <v>262</v>
      </c>
      <c r="C4312" s="31" t="s">
        <v>706</v>
      </c>
      <c r="D4312" s="30" t="s">
        <v>14</v>
      </c>
      <c r="E4312" s="30">
        <v>2.46</v>
      </c>
      <c r="F4312" s="11">
        <v>435000</v>
      </c>
      <c r="G4312" s="9">
        <f t="shared" si="268"/>
        <v>1070100</v>
      </c>
      <c r="H4312" s="29"/>
      <c r="I4312" s="24" t="s">
        <v>418</v>
      </c>
      <c r="J4312" s="25"/>
      <c r="K4312" s="25"/>
      <c r="L4312" s="25"/>
      <c r="M4312" s="25"/>
      <c r="N4312" s="25"/>
      <c r="O4312" s="25"/>
      <c r="P4312" s="25"/>
      <c r="Q4312" s="25"/>
      <c r="R4312" s="25"/>
      <c r="S4312" s="25"/>
      <c r="T4312" s="25"/>
      <c r="U4312" s="25"/>
      <c r="V4312" s="25"/>
      <c r="W4312" s="25"/>
      <c r="X4312" s="25"/>
      <c r="Y4312" s="25"/>
      <c r="Z4312" s="25"/>
    </row>
    <row r="4313" spans="1:26" ht="15.75" customHeight="1" x14ac:dyDescent="0.75">
      <c r="A4313" s="5">
        <v>3</v>
      </c>
      <c r="B4313" s="12" t="s">
        <v>15</v>
      </c>
      <c r="C4313" s="29"/>
      <c r="D4313" s="29"/>
      <c r="E4313" s="29"/>
      <c r="F4313" s="29"/>
      <c r="G4313" s="13">
        <f t="shared" si="268"/>
        <v>0</v>
      </c>
      <c r="H4313" s="29"/>
      <c r="I4313" s="24" t="s">
        <v>418</v>
      </c>
      <c r="J4313" s="25"/>
      <c r="K4313" s="25"/>
      <c r="L4313" s="25"/>
      <c r="M4313" s="25"/>
      <c r="N4313" s="25"/>
      <c r="O4313" s="25"/>
      <c r="P4313" s="25"/>
      <c r="Q4313" s="25"/>
      <c r="R4313" s="25"/>
      <c r="S4313" s="25"/>
      <c r="T4313" s="25"/>
      <c r="U4313" s="25"/>
      <c r="V4313" s="25"/>
      <c r="W4313" s="25"/>
      <c r="X4313" s="25"/>
      <c r="Y4313" s="25"/>
      <c r="Z4313" s="25"/>
    </row>
    <row r="4314" spans="1:26" ht="15.75" customHeight="1" x14ac:dyDescent="0.75">
      <c r="A4314" s="39" t="s">
        <v>16</v>
      </c>
      <c r="B4314" s="40"/>
      <c r="C4314" s="40"/>
      <c r="D4314" s="40"/>
      <c r="E4314" s="40"/>
      <c r="F4314" s="40"/>
      <c r="G4314" s="41"/>
      <c r="H4314" s="14">
        <f>SUM(G4311:G4313)</f>
        <v>1363100</v>
      </c>
      <c r="I4314" s="24" t="s">
        <v>418</v>
      </c>
      <c r="J4314" s="25"/>
      <c r="K4314" s="25"/>
      <c r="L4314" s="25"/>
      <c r="M4314" s="25"/>
      <c r="N4314" s="25"/>
      <c r="O4314" s="25"/>
      <c r="P4314" s="25"/>
      <c r="Q4314" s="25"/>
      <c r="R4314" s="25"/>
      <c r="S4314" s="25"/>
      <c r="T4314" s="25"/>
      <c r="U4314" s="25"/>
      <c r="V4314" s="25"/>
      <c r="W4314" s="25"/>
      <c r="X4314" s="25"/>
      <c r="Y4314" s="25"/>
      <c r="Z4314" s="25"/>
    </row>
    <row r="4315" spans="1:26" ht="15.75" customHeight="1" x14ac:dyDescent="0.75">
      <c r="A4315" s="39" t="s">
        <v>17</v>
      </c>
      <c r="B4315" s="40"/>
      <c r="C4315" s="40"/>
      <c r="D4315" s="40"/>
      <c r="E4315" s="40"/>
      <c r="F4315" s="40"/>
      <c r="G4315" s="41"/>
      <c r="H4315" s="14">
        <f>MAX(0,H4314-648000)</f>
        <v>715100</v>
      </c>
      <c r="I4315" s="24" t="s">
        <v>418</v>
      </c>
      <c r="J4315" s="25"/>
      <c r="K4315" s="25"/>
      <c r="L4315" s="25"/>
      <c r="M4315" s="25"/>
      <c r="N4315" s="25"/>
      <c r="O4315" s="25"/>
      <c r="P4315" s="25"/>
      <c r="Q4315" s="25"/>
      <c r="R4315" s="25"/>
      <c r="S4315" s="25"/>
      <c r="T4315" s="25"/>
      <c r="U4315" s="25"/>
      <c r="V4315" s="25"/>
      <c r="W4315" s="25"/>
      <c r="X4315" s="25"/>
      <c r="Y4315" s="25"/>
      <c r="Z4315" s="25"/>
    </row>
    <row r="4316" spans="1:26" ht="15.75" customHeight="1" x14ac:dyDescent="0.75">
      <c r="A4316" s="42" t="s">
        <v>18</v>
      </c>
      <c r="B4316" s="40"/>
      <c r="C4316" s="40"/>
      <c r="D4316" s="40"/>
      <c r="E4316" s="40"/>
      <c r="F4316" s="40"/>
      <c r="G4316" s="41"/>
      <c r="H4316" s="15">
        <v>649000</v>
      </c>
      <c r="I4316" s="24" t="s">
        <v>418</v>
      </c>
      <c r="J4316" s="25"/>
      <c r="K4316" s="25"/>
      <c r="L4316" s="25"/>
      <c r="M4316" s="25"/>
      <c r="N4316" s="25"/>
      <c r="O4316" s="25"/>
      <c r="P4316" s="25"/>
      <c r="Q4316" s="25"/>
      <c r="R4316" s="25"/>
      <c r="S4316" s="25"/>
      <c r="T4316" s="25"/>
      <c r="U4316" s="25"/>
      <c r="V4316" s="25"/>
      <c r="W4316" s="25"/>
      <c r="X4316" s="25"/>
      <c r="Y4316" s="25"/>
      <c r="Z4316" s="25"/>
    </row>
    <row r="4317" spans="1:26" ht="15.75" customHeight="1" x14ac:dyDescent="0.75">
      <c r="A4317" s="43" t="s">
        <v>19</v>
      </c>
      <c r="B4317" s="40"/>
      <c r="C4317" s="40"/>
      <c r="D4317" s="40"/>
      <c r="E4317" s="40"/>
      <c r="F4317" s="40"/>
      <c r="G4317" s="40"/>
      <c r="H4317" s="41"/>
      <c r="I4317" s="24" t="s">
        <v>418</v>
      </c>
      <c r="J4317" s="25"/>
      <c r="K4317" s="25"/>
      <c r="L4317" s="25"/>
      <c r="M4317" s="25"/>
      <c r="N4317" s="25"/>
      <c r="O4317" s="25"/>
      <c r="P4317" s="25"/>
      <c r="Q4317" s="25"/>
      <c r="R4317" s="25"/>
      <c r="S4317" s="25"/>
      <c r="T4317" s="25"/>
      <c r="U4317" s="25"/>
      <c r="V4317" s="25"/>
      <c r="W4317" s="25"/>
      <c r="X4317" s="25"/>
      <c r="Y4317" s="25"/>
      <c r="Z4317" s="25"/>
    </row>
    <row r="4318" spans="1:26" ht="15.75" customHeight="1" x14ac:dyDescent="0.45">
      <c r="A4318" s="25"/>
      <c r="B4318" s="25"/>
      <c r="C4318" s="25"/>
      <c r="D4318" s="25"/>
      <c r="E4318" s="25"/>
      <c r="F4318" s="25"/>
      <c r="G4318" s="25"/>
      <c r="H4318" s="25"/>
      <c r="I4318" s="24" t="s">
        <v>418</v>
      </c>
      <c r="J4318" s="25"/>
      <c r="K4318" s="25"/>
      <c r="L4318" s="25"/>
      <c r="M4318" s="25"/>
      <c r="N4318" s="25"/>
      <c r="O4318" s="25"/>
      <c r="P4318" s="25"/>
      <c r="Q4318" s="25"/>
      <c r="R4318" s="25"/>
      <c r="S4318" s="25"/>
      <c r="T4318" s="25"/>
      <c r="U4318" s="25"/>
      <c r="V4318" s="25"/>
      <c r="W4318" s="25"/>
      <c r="X4318" s="25"/>
      <c r="Y4318" s="25"/>
      <c r="Z4318" s="25"/>
    </row>
    <row r="4319" spans="1:26" ht="15.75" customHeight="1" x14ac:dyDescent="0.45">
      <c r="A4319" s="25"/>
      <c r="B4319" s="25"/>
      <c r="C4319" s="25"/>
      <c r="D4319" s="25"/>
      <c r="E4319" s="25"/>
      <c r="F4319" s="25"/>
      <c r="G4319" s="25"/>
      <c r="H4319" s="25"/>
      <c r="I4319" s="24" t="s">
        <v>418</v>
      </c>
      <c r="J4319" s="25"/>
      <c r="K4319" s="25"/>
      <c r="L4319" s="25"/>
      <c r="M4319" s="25"/>
      <c r="N4319" s="25"/>
      <c r="O4319" s="25"/>
      <c r="P4319" s="25"/>
      <c r="Q4319" s="25"/>
      <c r="R4319" s="25"/>
      <c r="S4319" s="25"/>
      <c r="T4319" s="25"/>
      <c r="U4319" s="25"/>
      <c r="V4319" s="25"/>
      <c r="W4319" s="25"/>
      <c r="X4319" s="25"/>
      <c r="Y4319" s="25"/>
      <c r="Z4319" s="25"/>
    </row>
    <row r="4320" spans="1:26" ht="15.75" customHeight="1" x14ac:dyDescent="0.45">
      <c r="A4320" s="25"/>
      <c r="B4320" s="25"/>
      <c r="C4320" s="25"/>
      <c r="D4320" s="25"/>
      <c r="E4320" s="25"/>
      <c r="F4320" s="25"/>
      <c r="G4320" s="25"/>
      <c r="H4320" s="25"/>
      <c r="I4320" s="24" t="s">
        <v>418</v>
      </c>
      <c r="J4320" s="25"/>
      <c r="K4320" s="25"/>
      <c r="L4320" s="25"/>
      <c r="M4320" s="25"/>
      <c r="N4320" s="25"/>
      <c r="O4320" s="25"/>
      <c r="P4320" s="25"/>
      <c r="Q4320" s="25"/>
      <c r="R4320" s="25"/>
      <c r="S4320" s="25"/>
      <c r="T4320" s="25"/>
      <c r="U4320" s="25"/>
      <c r="V4320" s="25"/>
      <c r="W4320" s="25"/>
      <c r="X4320" s="25"/>
      <c r="Y4320" s="25"/>
      <c r="Z4320" s="25"/>
    </row>
    <row r="4321" spans="1:26" ht="15.75" customHeight="1" x14ac:dyDescent="0.45">
      <c r="A4321" s="25"/>
      <c r="B4321" s="25"/>
      <c r="C4321" s="25"/>
      <c r="D4321" s="25"/>
      <c r="E4321" s="25"/>
      <c r="F4321" s="25"/>
      <c r="G4321" s="25"/>
      <c r="H4321" s="25"/>
      <c r="I4321" s="24" t="s">
        <v>418</v>
      </c>
      <c r="J4321" s="25"/>
      <c r="K4321" s="25"/>
      <c r="L4321" s="25"/>
      <c r="M4321" s="25"/>
      <c r="N4321" s="25"/>
      <c r="O4321" s="25"/>
      <c r="P4321" s="25"/>
      <c r="Q4321" s="25"/>
      <c r="R4321" s="25"/>
      <c r="S4321" s="25"/>
      <c r="T4321" s="25"/>
      <c r="U4321" s="25"/>
      <c r="V4321" s="25"/>
      <c r="W4321" s="25"/>
      <c r="X4321" s="25"/>
      <c r="Y4321" s="25"/>
      <c r="Z4321" s="25"/>
    </row>
    <row r="4322" spans="1:26" ht="15.75" customHeight="1" x14ac:dyDescent="0.45">
      <c r="A4322" s="25"/>
      <c r="B4322" s="25"/>
      <c r="C4322" s="25"/>
      <c r="D4322" s="25"/>
      <c r="E4322" s="25"/>
      <c r="F4322" s="25"/>
      <c r="G4322" s="25"/>
      <c r="H4322" s="25"/>
      <c r="I4322" s="24" t="s">
        <v>418</v>
      </c>
      <c r="J4322" s="25"/>
      <c r="K4322" s="25"/>
      <c r="L4322" s="25"/>
      <c r="M4322" s="25"/>
      <c r="N4322" s="25"/>
      <c r="O4322" s="25"/>
      <c r="P4322" s="25"/>
      <c r="Q4322" s="25"/>
      <c r="R4322" s="25"/>
      <c r="S4322" s="25"/>
      <c r="T4322" s="25"/>
      <c r="U4322" s="25"/>
      <c r="V4322" s="25"/>
      <c r="W4322" s="25"/>
      <c r="X4322" s="25"/>
      <c r="Y4322" s="25"/>
      <c r="Z4322" s="25"/>
    </row>
    <row r="4323" spans="1:26" ht="15.75" customHeight="1" x14ac:dyDescent="0.75">
      <c r="A4323" s="43" t="s">
        <v>0</v>
      </c>
      <c r="B4323" s="40"/>
      <c r="C4323" s="40"/>
      <c r="D4323" s="40"/>
      <c r="E4323" s="40"/>
      <c r="F4323" s="40"/>
      <c r="G4323" s="40"/>
      <c r="H4323" s="41"/>
      <c r="I4323" s="24" t="s">
        <v>418</v>
      </c>
      <c r="J4323" s="25"/>
      <c r="K4323" s="25"/>
      <c r="L4323" s="25"/>
      <c r="M4323" s="25"/>
      <c r="N4323" s="25"/>
      <c r="O4323" s="25"/>
      <c r="P4323" s="25"/>
      <c r="Q4323" s="25"/>
      <c r="R4323" s="25"/>
      <c r="S4323" s="25"/>
      <c r="T4323" s="25"/>
      <c r="U4323" s="25"/>
      <c r="V4323" s="25"/>
      <c r="W4323" s="25"/>
      <c r="X4323" s="25"/>
      <c r="Y4323" s="25"/>
      <c r="Z4323" s="25"/>
    </row>
    <row r="4324" spans="1:26" ht="15.75" customHeight="1" x14ac:dyDescent="0.75">
      <c r="A4324" s="43" t="s">
        <v>707</v>
      </c>
      <c r="B4324" s="40"/>
      <c r="C4324" s="40"/>
      <c r="D4324" s="40"/>
      <c r="E4324" s="40"/>
      <c r="F4324" s="40"/>
      <c r="G4324" s="40"/>
      <c r="H4324" s="41"/>
      <c r="I4324" s="24" t="s">
        <v>418</v>
      </c>
      <c r="J4324" s="25"/>
      <c r="K4324" s="25"/>
      <c r="L4324" s="25"/>
      <c r="M4324" s="25"/>
      <c r="N4324" s="25"/>
      <c r="O4324" s="25"/>
      <c r="P4324" s="25"/>
      <c r="Q4324" s="25"/>
      <c r="R4324" s="25"/>
      <c r="S4324" s="25"/>
      <c r="T4324" s="25"/>
      <c r="U4324" s="25"/>
      <c r="V4324" s="25"/>
      <c r="W4324" s="25"/>
      <c r="X4324" s="25"/>
      <c r="Y4324" s="25"/>
      <c r="Z4324" s="25"/>
    </row>
    <row r="4325" spans="1:26" ht="15.75" customHeight="1" x14ac:dyDescent="0.55000000000000004">
      <c r="A4325" s="2" t="s">
        <v>3</v>
      </c>
      <c r="B4325" s="2" t="s">
        <v>4</v>
      </c>
      <c r="C4325" s="2" t="s">
        <v>5</v>
      </c>
      <c r="D4325" s="2" t="s">
        <v>6</v>
      </c>
      <c r="E4325" s="2" t="s">
        <v>7</v>
      </c>
      <c r="F4325" s="3" t="s">
        <v>8</v>
      </c>
      <c r="G4325" s="2" t="s">
        <v>9</v>
      </c>
      <c r="H4325" s="26"/>
      <c r="I4325" s="24" t="s">
        <v>418</v>
      </c>
      <c r="J4325" s="25"/>
      <c r="K4325" s="25"/>
      <c r="L4325" s="25"/>
      <c r="M4325" s="25"/>
      <c r="N4325" s="25"/>
      <c r="O4325" s="25"/>
      <c r="P4325" s="25"/>
      <c r="Q4325" s="25"/>
      <c r="R4325" s="25"/>
      <c r="S4325" s="25"/>
      <c r="T4325" s="25"/>
      <c r="U4325" s="25"/>
      <c r="V4325" s="25"/>
      <c r="W4325" s="25"/>
      <c r="X4325" s="25"/>
      <c r="Y4325" s="25"/>
      <c r="Z4325" s="25"/>
    </row>
    <row r="4326" spans="1:26" ht="15.75" customHeight="1" x14ac:dyDescent="0.75">
      <c r="A4326" s="5">
        <v>1</v>
      </c>
      <c r="B4326" s="27" t="s">
        <v>35</v>
      </c>
      <c r="C4326" s="28" t="s">
        <v>708</v>
      </c>
      <c r="D4326" s="27" t="s">
        <v>12</v>
      </c>
      <c r="E4326" s="27">
        <v>2</v>
      </c>
      <c r="F4326" s="8">
        <v>293000</v>
      </c>
      <c r="G4326" s="9">
        <f t="shared" ref="G4326:G4328" si="269">IFERROR(E4326*F4326,0)</f>
        <v>586000</v>
      </c>
      <c r="H4326" s="29"/>
      <c r="I4326" s="24" t="s">
        <v>418</v>
      </c>
      <c r="J4326" s="25"/>
      <c r="K4326" s="25"/>
      <c r="L4326" s="25"/>
      <c r="M4326" s="25"/>
      <c r="N4326" s="25"/>
      <c r="O4326" s="25"/>
      <c r="P4326" s="25"/>
      <c r="Q4326" s="25"/>
      <c r="R4326" s="25"/>
      <c r="S4326" s="25"/>
      <c r="T4326" s="25"/>
      <c r="U4326" s="25"/>
      <c r="V4326" s="25"/>
      <c r="W4326" s="25"/>
      <c r="X4326" s="25"/>
      <c r="Y4326" s="25"/>
      <c r="Z4326" s="25"/>
    </row>
    <row r="4327" spans="1:26" ht="15.75" customHeight="1" x14ac:dyDescent="0.75">
      <c r="A4327" s="5">
        <v>2</v>
      </c>
      <c r="B4327" s="30" t="s">
        <v>709</v>
      </c>
      <c r="C4327" s="31" t="s">
        <v>710</v>
      </c>
      <c r="D4327" s="30" t="s">
        <v>14</v>
      </c>
      <c r="E4327" s="30">
        <v>1.55</v>
      </c>
      <c r="F4327" s="11">
        <v>435000</v>
      </c>
      <c r="G4327" s="9">
        <f t="shared" si="269"/>
        <v>674250</v>
      </c>
      <c r="H4327" s="29"/>
      <c r="I4327" s="24" t="s">
        <v>418</v>
      </c>
      <c r="J4327" s="25"/>
      <c r="K4327" s="25"/>
      <c r="L4327" s="25"/>
      <c r="M4327" s="25"/>
      <c r="N4327" s="25"/>
      <c r="O4327" s="25"/>
      <c r="P4327" s="25"/>
      <c r="Q4327" s="25"/>
      <c r="R4327" s="25"/>
      <c r="S4327" s="25"/>
      <c r="T4327" s="25"/>
      <c r="U4327" s="25"/>
      <c r="V4327" s="25"/>
      <c r="W4327" s="25"/>
      <c r="X4327" s="25"/>
      <c r="Y4327" s="25"/>
      <c r="Z4327" s="25"/>
    </row>
    <row r="4328" spans="1:26" ht="15.75" customHeight="1" x14ac:dyDescent="0.75">
      <c r="A4328" s="5">
        <v>3</v>
      </c>
      <c r="B4328" s="12" t="s">
        <v>15</v>
      </c>
      <c r="C4328" s="29"/>
      <c r="D4328" s="29"/>
      <c r="E4328" s="29"/>
      <c r="F4328" s="29"/>
      <c r="G4328" s="13">
        <f t="shared" si="269"/>
        <v>0</v>
      </c>
      <c r="H4328" s="29"/>
      <c r="I4328" s="24" t="s">
        <v>418</v>
      </c>
      <c r="J4328" s="25"/>
      <c r="K4328" s="25"/>
      <c r="L4328" s="25"/>
      <c r="M4328" s="25"/>
      <c r="N4328" s="25"/>
      <c r="O4328" s="25"/>
      <c r="P4328" s="25"/>
      <c r="Q4328" s="25"/>
      <c r="R4328" s="25"/>
      <c r="S4328" s="25"/>
      <c r="T4328" s="25"/>
      <c r="U4328" s="25"/>
      <c r="V4328" s="25"/>
      <c r="W4328" s="25"/>
      <c r="X4328" s="25"/>
      <c r="Y4328" s="25"/>
      <c r="Z4328" s="25"/>
    </row>
    <row r="4329" spans="1:26" ht="15.75" customHeight="1" x14ac:dyDescent="0.75">
      <c r="A4329" s="39" t="s">
        <v>16</v>
      </c>
      <c r="B4329" s="40"/>
      <c r="C4329" s="40"/>
      <c r="D4329" s="40"/>
      <c r="E4329" s="40"/>
      <c r="F4329" s="40"/>
      <c r="G4329" s="41"/>
      <c r="H4329" s="14">
        <f>SUM(G4326:G4328)</f>
        <v>1260250</v>
      </c>
      <c r="I4329" s="24" t="s">
        <v>418</v>
      </c>
      <c r="J4329" s="25"/>
      <c r="K4329" s="25"/>
      <c r="L4329" s="25"/>
      <c r="M4329" s="25"/>
      <c r="N4329" s="25"/>
      <c r="O4329" s="25"/>
      <c r="P4329" s="25"/>
      <c r="Q4329" s="25"/>
      <c r="R4329" s="25"/>
      <c r="S4329" s="25"/>
      <c r="T4329" s="25"/>
      <c r="U4329" s="25"/>
      <c r="V4329" s="25"/>
      <c r="W4329" s="25"/>
      <c r="X4329" s="25"/>
      <c r="Y4329" s="25"/>
      <c r="Z4329" s="25"/>
    </row>
    <row r="4330" spans="1:26" ht="15.75" customHeight="1" x14ac:dyDescent="0.75">
      <c r="A4330" s="39" t="s">
        <v>17</v>
      </c>
      <c r="B4330" s="40"/>
      <c r="C4330" s="40"/>
      <c r="D4330" s="40"/>
      <c r="E4330" s="40"/>
      <c r="F4330" s="40"/>
      <c r="G4330" s="41"/>
      <c r="H4330" s="14">
        <f>MAX(0,H4329-648000)</f>
        <v>612250</v>
      </c>
      <c r="I4330" s="24" t="s">
        <v>418</v>
      </c>
      <c r="J4330" s="25"/>
      <c r="K4330" s="25"/>
      <c r="L4330" s="25"/>
      <c r="M4330" s="25"/>
      <c r="N4330" s="25"/>
      <c r="O4330" s="25"/>
      <c r="P4330" s="25"/>
      <c r="Q4330" s="25"/>
      <c r="R4330" s="25"/>
      <c r="S4330" s="25"/>
      <c r="T4330" s="25"/>
      <c r="U4330" s="25"/>
      <c r="V4330" s="25"/>
      <c r="W4330" s="25"/>
      <c r="X4330" s="25"/>
      <c r="Y4330" s="25"/>
      <c r="Z4330" s="25"/>
    </row>
    <row r="4331" spans="1:26" ht="15.75" customHeight="1" x14ac:dyDescent="0.75">
      <c r="A4331" s="42" t="s">
        <v>18</v>
      </c>
      <c r="B4331" s="40"/>
      <c r="C4331" s="40"/>
      <c r="D4331" s="40"/>
      <c r="E4331" s="40"/>
      <c r="F4331" s="40"/>
      <c r="G4331" s="41"/>
      <c r="H4331" s="15">
        <v>649000</v>
      </c>
      <c r="I4331" s="24" t="s">
        <v>418</v>
      </c>
      <c r="J4331" s="25"/>
      <c r="K4331" s="25"/>
      <c r="L4331" s="25"/>
      <c r="M4331" s="25"/>
      <c r="N4331" s="25"/>
      <c r="O4331" s="25"/>
      <c r="P4331" s="25"/>
      <c r="Q4331" s="25"/>
      <c r="R4331" s="25"/>
      <c r="S4331" s="25"/>
      <c r="T4331" s="25"/>
      <c r="U4331" s="25"/>
      <c r="V4331" s="25"/>
      <c r="W4331" s="25"/>
      <c r="X4331" s="25"/>
      <c r="Y4331" s="25"/>
      <c r="Z4331" s="25"/>
    </row>
    <row r="4332" spans="1:26" ht="15.75" customHeight="1" x14ac:dyDescent="0.75">
      <c r="A4332" s="43" t="s">
        <v>19</v>
      </c>
      <c r="B4332" s="40"/>
      <c r="C4332" s="40"/>
      <c r="D4332" s="40"/>
      <c r="E4332" s="40"/>
      <c r="F4332" s="40"/>
      <c r="G4332" s="40"/>
      <c r="H4332" s="41"/>
      <c r="I4332" s="24" t="s">
        <v>418</v>
      </c>
      <c r="J4332" s="25"/>
      <c r="K4332" s="25"/>
      <c r="L4332" s="25"/>
      <c r="M4332" s="25"/>
      <c r="N4332" s="25"/>
      <c r="O4332" s="25"/>
      <c r="P4332" s="25"/>
      <c r="Q4332" s="25"/>
      <c r="R4332" s="25"/>
      <c r="S4332" s="25"/>
      <c r="T4332" s="25"/>
      <c r="U4332" s="25"/>
      <c r="V4332" s="25"/>
      <c r="W4332" s="25"/>
      <c r="X4332" s="25"/>
      <c r="Y4332" s="25"/>
      <c r="Z4332" s="25"/>
    </row>
    <row r="4333" spans="1:26" ht="15.75" customHeight="1" x14ac:dyDescent="0.45">
      <c r="A4333" s="25"/>
      <c r="B4333" s="25"/>
      <c r="C4333" s="25"/>
      <c r="D4333" s="25"/>
      <c r="E4333" s="25"/>
      <c r="F4333" s="25"/>
      <c r="G4333" s="25"/>
      <c r="H4333" s="25"/>
      <c r="I4333" s="24" t="s">
        <v>418</v>
      </c>
      <c r="J4333" s="25"/>
      <c r="K4333" s="25"/>
      <c r="L4333" s="25"/>
      <c r="M4333" s="25"/>
      <c r="N4333" s="25"/>
      <c r="O4333" s="25"/>
      <c r="P4333" s="25"/>
      <c r="Q4333" s="25"/>
      <c r="R4333" s="25"/>
      <c r="S4333" s="25"/>
      <c r="T4333" s="25"/>
      <c r="U4333" s="25"/>
      <c r="V4333" s="25"/>
      <c r="W4333" s="25"/>
      <c r="X4333" s="25"/>
      <c r="Y4333" s="25"/>
      <c r="Z4333" s="25"/>
    </row>
    <row r="4334" spans="1:26" ht="15.75" customHeight="1" x14ac:dyDescent="0.45">
      <c r="A4334" s="25"/>
      <c r="B4334" s="25"/>
      <c r="C4334" s="25"/>
      <c r="D4334" s="25"/>
      <c r="E4334" s="25"/>
      <c r="F4334" s="25"/>
      <c r="G4334" s="25"/>
      <c r="H4334" s="25"/>
      <c r="I4334" s="24" t="s">
        <v>418</v>
      </c>
      <c r="J4334" s="25"/>
      <c r="K4334" s="25"/>
      <c r="L4334" s="25"/>
      <c r="M4334" s="25"/>
      <c r="N4334" s="25"/>
      <c r="O4334" s="25"/>
      <c r="P4334" s="25"/>
      <c r="Q4334" s="25"/>
      <c r="R4334" s="25"/>
      <c r="S4334" s="25"/>
      <c r="T4334" s="25"/>
      <c r="U4334" s="25"/>
      <c r="V4334" s="25"/>
      <c r="W4334" s="25"/>
      <c r="X4334" s="25"/>
      <c r="Y4334" s="25"/>
      <c r="Z4334" s="25"/>
    </row>
    <row r="4335" spans="1:26" ht="15.75" customHeight="1" x14ac:dyDescent="0.45">
      <c r="A4335" s="25"/>
      <c r="B4335" s="25"/>
      <c r="C4335" s="25"/>
      <c r="D4335" s="25"/>
      <c r="E4335" s="25"/>
      <c r="F4335" s="25"/>
      <c r="G4335" s="25"/>
      <c r="H4335" s="25"/>
      <c r="I4335" s="24" t="s">
        <v>418</v>
      </c>
      <c r="J4335" s="25"/>
      <c r="K4335" s="25"/>
      <c r="L4335" s="25"/>
      <c r="M4335" s="25"/>
      <c r="N4335" s="25"/>
      <c r="O4335" s="25"/>
      <c r="P4335" s="25"/>
      <c r="Q4335" s="25"/>
      <c r="R4335" s="25"/>
      <c r="S4335" s="25"/>
      <c r="T4335" s="25"/>
      <c r="U4335" s="25"/>
      <c r="V4335" s="25"/>
      <c r="W4335" s="25"/>
      <c r="X4335" s="25"/>
      <c r="Y4335" s="25"/>
      <c r="Z4335" s="25"/>
    </row>
    <row r="4336" spans="1:26" ht="15.75" customHeight="1" x14ac:dyDescent="0.45">
      <c r="A4336" s="25"/>
      <c r="B4336" s="25"/>
      <c r="C4336" s="25"/>
      <c r="D4336" s="25"/>
      <c r="E4336" s="25"/>
      <c r="F4336" s="25"/>
      <c r="G4336" s="25"/>
      <c r="H4336" s="25"/>
      <c r="I4336" s="24" t="s">
        <v>418</v>
      </c>
      <c r="J4336" s="25"/>
      <c r="K4336" s="25"/>
      <c r="L4336" s="25"/>
      <c r="M4336" s="25"/>
      <c r="N4336" s="25"/>
      <c r="O4336" s="25"/>
      <c r="P4336" s="25"/>
      <c r="Q4336" s="25"/>
      <c r="R4336" s="25"/>
      <c r="S4336" s="25"/>
      <c r="T4336" s="25"/>
      <c r="U4336" s="25"/>
      <c r="V4336" s="25"/>
      <c r="W4336" s="25"/>
      <c r="X4336" s="25"/>
      <c r="Y4336" s="25"/>
      <c r="Z4336" s="25"/>
    </row>
    <row r="4337" spans="1:26" ht="15.75" customHeight="1" x14ac:dyDescent="0.75">
      <c r="A4337" s="43" t="s">
        <v>0</v>
      </c>
      <c r="B4337" s="40"/>
      <c r="C4337" s="40"/>
      <c r="D4337" s="40"/>
      <c r="E4337" s="40"/>
      <c r="F4337" s="40"/>
      <c r="G4337" s="40"/>
      <c r="H4337" s="41"/>
      <c r="I4337" s="24" t="s">
        <v>418</v>
      </c>
      <c r="J4337" s="25"/>
      <c r="K4337" s="25"/>
      <c r="L4337" s="25"/>
      <c r="M4337" s="25"/>
      <c r="N4337" s="25"/>
      <c r="O4337" s="25"/>
      <c r="P4337" s="25"/>
      <c r="Q4337" s="25"/>
      <c r="R4337" s="25"/>
      <c r="S4337" s="25"/>
      <c r="T4337" s="25"/>
      <c r="U4337" s="25"/>
      <c r="V4337" s="25"/>
      <c r="W4337" s="25"/>
      <c r="X4337" s="25"/>
      <c r="Y4337" s="25"/>
      <c r="Z4337" s="25"/>
    </row>
    <row r="4338" spans="1:26" ht="15.75" customHeight="1" x14ac:dyDescent="0.75">
      <c r="A4338" s="43" t="s">
        <v>711</v>
      </c>
      <c r="B4338" s="40"/>
      <c r="C4338" s="40"/>
      <c r="D4338" s="40"/>
      <c r="E4338" s="40"/>
      <c r="F4338" s="40"/>
      <c r="G4338" s="40"/>
      <c r="H4338" s="41"/>
      <c r="I4338" s="24" t="s">
        <v>418</v>
      </c>
      <c r="J4338" s="25"/>
      <c r="K4338" s="25"/>
      <c r="L4338" s="25"/>
      <c r="M4338" s="25"/>
      <c r="N4338" s="25"/>
      <c r="O4338" s="25"/>
      <c r="P4338" s="25"/>
      <c r="Q4338" s="25"/>
      <c r="R4338" s="25"/>
      <c r="S4338" s="25"/>
      <c r="T4338" s="25"/>
      <c r="U4338" s="25"/>
      <c r="V4338" s="25"/>
      <c r="W4338" s="25"/>
      <c r="X4338" s="25"/>
      <c r="Y4338" s="25"/>
      <c r="Z4338" s="25"/>
    </row>
    <row r="4339" spans="1:26" ht="15.75" customHeight="1" x14ac:dyDescent="0.55000000000000004">
      <c r="A4339" s="2" t="s">
        <v>3</v>
      </c>
      <c r="B4339" s="2" t="s">
        <v>4</v>
      </c>
      <c r="C4339" s="2" t="s">
        <v>5</v>
      </c>
      <c r="D4339" s="2" t="s">
        <v>6</v>
      </c>
      <c r="E4339" s="2" t="s">
        <v>7</v>
      </c>
      <c r="F4339" s="3" t="s">
        <v>8</v>
      </c>
      <c r="G4339" s="2" t="s">
        <v>9</v>
      </c>
      <c r="H4339" s="26"/>
      <c r="I4339" s="24" t="s">
        <v>418</v>
      </c>
      <c r="J4339" s="25"/>
      <c r="K4339" s="25"/>
      <c r="L4339" s="25"/>
      <c r="M4339" s="25"/>
      <c r="N4339" s="25"/>
      <c r="O4339" s="25"/>
      <c r="P4339" s="25"/>
      <c r="Q4339" s="25"/>
      <c r="R4339" s="25"/>
      <c r="S4339" s="25"/>
      <c r="T4339" s="25"/>
      <c r="U4339" s="25"/>
      <c r="V4339" s="25"/>
      <c r="W4339" s="25"/>
      <c r="X4339" s="25"/>
      <c r="Y4339" s="25"/>
      <c r="Z4339" s="25"/>
    </row>
    <row r="4340" spans="1:26" ht="15.75" customHeight="1" x14ac:dyDescent="0.75">
      <c r="A4340" s="5">
        <v>1</v>
      </c>
      <c r="B4340" s="27" t="s">
        <v>712</v>
      </c>
      <c r="C4340" s="28" t="s">
        <v>713</v>
      </c>
      <c r="D4340" s="27" t="s">
        <v>12</v>
      </c>
      <c r="E4340" s="27">
        <v>2</v>
      </c>
      <c r="F4340" s="8">
        <v>293000</v>
      </c>
      <c r="G4340" s="9">
        <f t="shared" ref="G4340:G4342" si="270">IFERROR(E4340*F4340,0)</f>
        <v>586000</v>
      </c>
      <c r="H4340" s="29"/>
      <c r="I4340" s="24" t="s">
        <v>418</v>
      </c>
      <c r="J4340" s="25"/>
      <c r="K4340" s="25"/>
      <c r="L4340" s="25"/>
      <c r="M4340" s="25"/>
      <c r="N4340" s="25"/>
      <c r="O4340" s="25"/>
      <c r="P4340" s="25"/>
      <c r="Q4340" s="25"/>
      <c r="R4340" s="25"/>
      <c r="S4340" s="25"/>
      <c r="T4340" s="25"/>
      <c r="U4340" s="25"/>
      <c r="V4340" s="25"/>
      <c r="W4340" s="25"/>
      <c r="X4340" s="25"/>
      <c r="Y4340" s="25"/>
      <c r="Z4340" s="25"/>
    </row>
    <row r="4341" spans="1:26" ht="15.75" customHeight="1" x14ac:dyDescent="0.75">
      <c r="A4341" s="5">
        <v>2</v>
      </c>
      <c r="B4341" s="30" t="s">
        <v>714</v>
      </c>
      <c r="C4341" s="31" t="s">
        <v>538</v>
      </c>
      <c r="D4341" s="30" t="s">
        <v>14</v>
      </c>
      <c r="E4341" s="30">
        <v>1.25</v>
      </c>
      <c r="F4341" s="11">
        <v>435000</v>
      </c>
      <c r="G4341" s="9">
        <f t="shared" si="270"/>
        <v>543750</v>
      </c>
      <c r="H4341" s="29"/>
      <c r="I4341" s="24" t="s">
        <v>418</v>
      </c>
      <c r="J4341" s="25"/>
      <c r="K4341" s="25"/>
      <c r="L4341" s="25"/>
      <c r="M4341" s="25"/>
      <c r="N4341" s="25"/>
      <c r="O4341" s="25"/>
      <c r="P4341" s="25"/>
      <c r="Q4341" s="25"/>
      <c r="R4341" s="25"/>
      <c r="S4341" s="25"/>
      <c r="T4341" s="25"/>
      <c r="U4341" s="25"/>
      <c r="V4341" s="25"/>
      <c r="W4341" s="25"/>
      <c r="X4341" s="25"/>
      <c r="Y4341" s="25"/>
      <c r="Z4341" s="25"/>
    </row>
    <row r="4342" spans="1:26" ht="15.75" customHeight="1" x14ac:dyDescent="0.75">
      <c r="A4342" s="5">
        <v>3</v>
      </c>
      <c r="B4342" s="12" t="s">
        <v>15</v>
      </c>
      <c r="C4342" s="29"/>
      <c r="D4342" s="29"/>
      <c r="E4342" s="29"/>
      <c r="F4342" s="29"/>
      <c r="G4342" s="13">
        <f t="shared" si="270"/>
        <v>0</v>
      </c>
      <c r="H4342" s="29"/>
      <c r="I4342" s="24" t="s">
        <v>418</v>
      </c>
      <c r="J4342" s="25"/>
      <c r="K4342" s="25"/>
      <c r="L4342" s="25"/>
      <c r="M4342" s="25"/>
      <c r="N4342" s="25"/>
      <c r="O4342" s="25"/>
      <c r="P4342" s="25"/>
      <c r="Q4342" s="25"/>
      <c r="R4342" s="25"/>
      <c r="S4342" s="25"/>
      <c r="T4342" s="25"/>
      <c r="U4342" s="25"/>
      <c r="V4342" s="25"/>
      <c r="W4342" s="25"/>
      <c r="X4342" s="25"/>
      <c r="Y4342" s="25"/>
      <c r="Z4342" s="25"/>
    </row>
    <row r="4343" spans="1:26" ht="15.75" customHeight="1" x14ac:dyDescent="0.75">
      <c r="A4343" s="39" t="s">
        <v>16</v>
      </c>
      <c r="B4343" s="40"/>
      <c r="C4343" s="40"/>
      <c r="D4343" s="40"/>
      <c r="E4343" s="40"/>
      <c r="F4343" s="40"/>
      <c r="G4343" s="41"/>
      <c r="H4343" s="14">
        <f>SUM(G4340:G4342)</f>
        <v>1129750</v>
      </c>
      <c r="I4343" s="24" t="s">
        <v>418</v>
      </c>
      <c r="J4343" s="25"/>
      <c r="K4343" s="25"/>
      <c r="L4343" s="25"/>
      <c r="M4343" s="25"/>
      <c r="N4343" s="25"/>
      <c r="O4343" s="25"/>
      <c r="P4343" s="25"/>
      <c r="Q4343" s="25"/>
      <c r="R4343" s="25"/>
      <c r="S4343" s="25"/>
      <c r="T4343" s="25"/>
      <c r="U4343" s="25"/>
      <c r="V4343" s="25"/>
      <c r="W4343" s="25"/>
      <c r="X4343" s="25"/>
      <c r="Y4343" s="25"/>
      <c r="Z4343" s="25"/>
    </row>
    <row r="4344" spans="1:26" ht="15.75" customHeight="1" x14ac:dyDescent="0.75">
      <c r="A4344" s="39" t="s">
        <v>17</v>
      </c>
      <c r="B4344" s="40"/>
      <c r="C4344" s="40"/>
      <c r="D4344" s="40"/>
      <c r="E4344" s="40"/>
      <c r="F4344" s="40"/>
      <c r="G4344" s="41"/>
      <c r="H4344" s="14">
        <f>MAX(0,H4343-648000)</f>
        <v>481750</v>
      </c>
      <c r="I4344" s="24" t="s">
        <v>418</v>
      </c>
      <c r="J4344" s="25"/>
      <c r="K4344" s="25"/>
      <c r="L4344" s="25"/>
      <c r="M4344" s="25"/>
      <c r="N4344" s="25"/>
      <c r="O4344" s="25"/>
      <c r="P4344" s="25"/>
      <c r="Q4344" s="25"/>
      <c r="R4344" s="25"/>
      <c r="S4344" s="25"/>
      <c r="T4344" s="25"/>
      <c r="U4344" s="25"/>
      <c r="V4344" s="25"/>
      <c r="W4344" s="25"/>
      <c r="X4344" s="25"/>
      <c r="Y4344" s="25"/>
      <c r="Z4344" s="25"/>
    </row>
    <row r="4345" spans="1:26" ht="15.75" customHeight="1" x14ac:dyDescent="0.75">
      <c r="A4345" s="42" t="s">
        <v>18</v>
      </c>
      <c r="B4345" s="40"/>
      <c r="C4345" s="40"/>
      <c r="D4345" s="40"/>
      <c r="E4345" s="40"/>
      <c r="F4345" s="40"/>
      <c r="G4345" s="41"/>
      <c r="H4345" s="15">
        <v>649000</v>
      </c>
      <c r="I4345" s="24" t="s">
        <v>418</v>
      </c>
      <c r="J4345" s="25"/>
      <c r="K4345" s="25"/>
      <c r="L4345" s="25"/>
      <c r="M4345" s="25"/>
      <c r="N4345" s="25"/>
      <c r="O4345" s="25"/>
      <c r="P4345" s="25"/>
      <c r="Q4345" s="25"/>
      <c r="R4345" s="25"/>
      <c r="S4345" s="25"/>
      <c r="T4345" s="25"/>
      <c r="U4345" s="25"/>
      <c r="V4345" s="25"/>
      <c r="W4345" s="25"/>
      <c r="X4345" s="25"/>
      <c r="Y4345" s="25"/>
      <c r="Z4345" s="25"/>
    </row>
    <row r="4346" spans="1:26" ht="15.75" customHeight="1" x14ac:dyDescent="0.75">
      <c r="A4346" s="43" t="s">
        <v>19</v>
      </c>
      <c r="B4346" s="40"/>
      <c r="C4346" s="40"/>
      <c r="D4346" s="40"/>
      <c r="E4346" s="40"/>
      <c r="F4346" s="40"/>
      <c r="G4346" s="40"/>
      <c r="H4346" s="41"/>
      <c r="I4346" s="24" t="s">
        <v>418</v>
      </c>
      <c r="J4346" s="25"/>
      <c r="K4346" s="25"/>
      <c r="L4346" s="25"/>
      <c r="M4346" s="25"/>
      <c r="N4346" s="25"/>
      <c r="O4346" s="25"/>
      <c r="P4346" s="25"/>
      <c r="Q4346" s="25"/>
      <c r="R4346" s="25"/>
      <c r="S4346" s="25"/>
      <c r="T4346" s="25"/>
      <c r="U4346" s="25"/>
      <c r="V4346" s="25"/>
      <c r="W4346" s="25"/>
      <c r="X4346" s="25"/>
      <c r="Y4346" s="25"/>
      <c r="Z4346" s="25"/>
    </row>
    <row r="4347" spans="1:26" ht="15.75" customHeight="1" x14ac:dyDescent="0.45">
      <c r="A4347" s="25"/>
      <c r="B4347" s="25"/>
      <c r="C4347" s="25"/>
      <c r="D4347" s="25"/>
      <c r="E4347" s="25"/>
      <c r="F4347" s="25"/>
      <c r="G4347" s="25"/>
      <c r="H4347" s="25"/>
      <c r="I4347" s="24" t="s">
        <v>418</v>
      </c>
      <c r="J4347" s="25"/>
      <c r="K4347" s="25"/>
      <c r="L4347" s="25"/>
      <c r="M4347" s="25"/>
      <c r="N4347" s="25"/>
      <c r="O4347" s="25"/>
      <c r="P4347" s="25"/>
      <c r="Q4347" s="25"/>
      <c r="R4347" s="25"/>
      <c r="S4347" s="25"/>
      <c r="T4347" s="25"/>
      <c r="U4347" s="25"/>
      <c r="V4347" s="25"/>
      <c r="W4347" s="25"/>
      <c r="X4347" s="25"/>
      <c r="Y4347" s="25"/>
      <c r="Z4347" s="25"/>
    </row>
    <row r="4348" spans="1:26" ht="15.75" customHeight="1" x14ac:dyDescent="0.45">
      <c r="A4348" s="25"/>
      <c r="B4348" s="25"/>
      <c r="C4348" s="25"/>
      <c r="D4348" s="25"/>
      <c r="E4348" s="25"/>
      <c r="F4348" s="25"/>
      <c r="G4348" s="25"/>
      <c r="H4348" s="25"/>
      <c r="I4348" s="24" t="s">
        <v>418</v>
      </c>
      <c r="J4348" s="25"/>
      <c r="K4348" s="25"/>
      <c r="L4348" s="25"/>
      <c r="M4348" s="25"/>
      <c r="N4348" s="25"/>
      <c r="O4348" s="25"/>
      <c r="P4348" s="25"/>
      <c r="Q4348" s="25"/>
      <c r="R4348" s="25"/>
      <c r="S4348" s="25"/>
      <c r="T4348" s="25"/>
      <c r="U4348" s="25"/>
      <c r="V4348" s="25"/>
      <c r="W4348" s="25"/>
      <c r="X4348" s="25"/>
      <c r="Y4348" s="25"/>
      <c r="Z4348" s="25"/>
    </row>
    <row r="4349" spans="1:26" ht="15.75" customHeight="1" x14ac:dyDescent="0.45">
      <c r="A4349" s="25"/>
      <c r="B4349" s="25"/>
      <c r="C4349" s="25"/>
      <c r="D4349" s="25"/>
      <c r="E4349" s="25"/>
      <c r="F4349" s="25"/>
      <c r="G4349" s="25"/>
      <c r="H4349" s="25"/>
      <c r="I4349" s="24" t="s">
        <v>418</v>
      </c>
      <c r="J4349" s="25"/>
      <c r="K4349" s="25"/>
      <c r="L4349" s="25"/>
      <c r="M4349" s="25"/>
      <c r="N4349" s="25"/>
      <c r="O4349" s="25"/>
      <c r="P4349" s="25"/>
      <c r="Q4349" s="25"/>
      <c r="R4349" s="25"/>
      <c r="S4349" s="25"/>
      <c r="T4349" s="25"/>
      <c r="U4349" s="25"/>
      <c r="V4349" s="25"/>
      <c r="W4349" s="25"/>
      <c r="X4349" s="25"/>
      <c r="Y4349" s="25"/>
      <c r="Z4349" s="25"/>
    </row>
    <row r="4350" spans="1:26" ht="15.75" customHeight="1" x14ac:dyDescent="0.45">
      <c r="A4350" s="25"/>
      <c r="B4350" s="25"/>
      <c r="C4350" s="25"/>
      <c r="D4350" s="25"/>
      <c r="E4350" s="25"/>
      <c r="F4350" s="25"/>
      <c r="G4350" s="25"/>
      <c r="H4350" s="25"/>
      <c r="I4350" s="24" t="s">
        <v>418</v>
      </c>
      <c r="J4350" s="25"/>
      <c r="K4350" s="25"/>
      <c r="L4350" s="25"/>
      <c r="M4350" s="25"/>
      <c r="N4350" s="25"/>
      <c r="O4350" s="25"/>
      <c r="P4350" s="25"/>
      <c r="Q4350" s="25"/>
      <c r="R4350" s="25"/>
      <c r="S4350" s="25"/>
      <c r="T4350" s="25"/>
      <c r="U4350" s="25"/>
      <c r="V4350" s="25"/>
      <c r="W4350" s="25"/>
      <c r="X4350" s="25"/>
      <c r="Y4350" s="25"/>
      <c r="Z4350" s="25"/>
    </row>
    <row r="4351" spans="1:26" ht="15.75" customHeight="1" x14ac:dyDescent="0.45">
      <c r="A4351" s="25"/>
      <c r="B4351" s="25"/>
      <c r="C4351" s="25"/>
      <c r="D4351" s="25"/>
      <c r="E4351" s="25"/>
      <c r="F4351" s="25"/>
      <c r="G4351" s="25"/>
      <c r="H4351" s="25"/>
      <c r="I4351" s="24" t="s">
        <v>418</v>
      </c>
      <c r="J4351" s="25"/>
      <c r="K4351" s="25"/>
      <c r="L4351" s="25"/>
      <c r="M4351" s="25"/>
      <c r="N4351" s="25"/>
      <c r="O4351" s="25"/>
      <c r="P4351" s="25"/>
      <c r="Q4351" s="25"/>
      <c r="R4351" s="25"/>
      <c r="S4351" s="25"/>
      <c r="T4351" s="25"/>
      <c r="U4351" s="25"/>
      <c r="V4351" s="25"/>
      <c r="W4351" s="25"/>
      <c r="X4351" s="25"/>
      <c r="Y4351" s="25"/>
      <c r="Z4351" s="25"/>
    </row>
    <row r="4352" spans="1:26" ht="15.75" customHeight="1" x14ac:dyDescent="0.75">
      <c r="A4352" s="43" t="s">
        <v>0</v>
      </c>
      <c r="B4352" s="40"/>
      <c r="C4352" s="40"/>
      <c r="D4352" s="40"/>
      <c r="E4352" s="40"/>
      <c r="F4352" s="40"/>
      <c r="G4352" s="40"/>
      <c r="H4352" s="41"/>
      <c r="I4352" s="24" t="s">
        <v>418</v>
      </c>
      <c r="J4352" s="25"/>
      <c r="K4352" s="25"/>
      <c r="L4352" s="25"/>
      <c r="M4352" s="25"/>
      <c r="N4352" s="25"/>
      <c r="O4352" s="25"/>
      <c r="P4352" s="25"/>
      <c r="Q4352" s="25"/>
      <c r="R4352" s="25"/>
      <c r="S4352" s="25"/>
      <c r="T4352" s="25"/>
      <c r="U4352" s="25"/>
      <c r="V4352" s="25"/>
      <c r="W4352" s="25"/>
      <c r="X4352" s="25"/>
      <c r="Y4352" s="25"/>
      <c r="Z4352" s="25"/>
    </row>
    <row r="4353" spans="1:26" ht="15.75" customHeight="1" x14ac:dyDescent="0.75">
      <c r="A4353" s="43" t="s">
        <v>715</v>
      </c>
      <c r="B4353" s="40"/>
      <c r="C4353" s="40"/>
      <c r="D4353" s="40"/>
      <c r="E4353" s="40"/>
      <c r="F4353" s="40"/>
      <c r="G4353" s="40"/>
      <c r="H4353" s="41"/>
      <c r="I4353" s="24" t="s">
        <v>418</v>
      </c>
      <c r="J4353" s="25"/>
      <c r="K4353" s="25"/>
      <c r="L4353" s="25"/>
      <c r="M4353" s="25"/>
      <c r="N4353" s="25"/>
      <c r="O4353" s="25"/>
      <c r="P4353" s="25"/>
      <c r="Q4353" s="25"/>
      <c r="R4353" s="25"/>
      <c r="S4353" s="25"/>
      <c r="T4353" s="25"/>
      <c r="U4353" s="25"/>
      <c r="V4353" s="25"/>
      <c r="W4353" s="25"/>
      <c r="X4353" s="25"/>
      <c r="Y4353" s="25"/>
      <c r="Z4353" s="25"/>
    </row>
    <row r="4354" spans="1:26" ht="15.75" customHeight="1" x14ac:dyDescent="0.55000000000000004">
      <c r="A4354" s="2" t="s">
        <v>3</v>
      </c>
      <c r="B4354" s="2" t="s">
        <v>4</v>
      </c>
      <c r="C4354" s="2" t="s">
        <v>5</v>
      </c>
      <c r="D4354" s="2" t="s">
        <v>6</v>
      </c>
      <c r="E4354" s="2" t="s">
        <v>7</v>
      </c>
      <c r="F4354" s="3" t="s">
        <v>8</v>
      </c>
      <c r="G4354" s="2" t="s">
        <v>9</v>
      </c>
      <c r="H4354" s="26"/>
      <c r="I4354" s="24" t="s">
        <v>418</v>
      </c>
      <c r="J4354" s="25"/>
      <c r="K4354" s="25"/>
      <c r="L4354" s="25"/>
      <c r="M4354" s="25"/>
      <c r="N4354" s="25"/>
      <c r="O4354" s="25"/>
      <c r="P4354" s="25"/>
      <c r="Q4354" s="25"/>
      <c r="R4354" s="25"/>
      <c r="S4354" s="25"/>
      <c r="T4354" s="25"/>
      <c r="U4354" s="25"/>
      <c r="V4354" s="25"/>
      <c r="W4354" s="25"/>
      <c r="X4354" s="25"/>
      <c r="Y4354" s="25"/>
      <c r="Z4354" s="25"/>
    </row>
    <row r="4355" spans="1:26" ht="15.75" customHeight="1" x14ac:dyDescent="0.75">
      <c r="A4355" s="5">
        <v>1</v>
      </c>
      <c r="B4355" s="27" t="s">
        <v>378</v>
      </c>
      <c r="C4355" s="28" t="s">
        <v>716</v>
      </c>
      <c r="D4355" s="27" t="s">
        <v>12</v>
      </c>
      <c r="E4355" s="27">
        <v>1.7</v>
      </c>
      <c r="F4355" s="8">
        <v>293000</v>
      </c>
      <c r="G4355" s="9">
        <f t="shared" ref="G4355:G4357" si="271">IFERROR(E4355*F4355,0)</f>
        <v>498100</v>
      </c>
      <c r="H4355" s="29"/>
      <c r="I4355" s="24" t="s">
        <v>418</v>
      </c>
      <c r="J4355" s="25"/>
      <c r="K4355" s="25"/>
      <c r="L4355" s="25"/>
      <c r="M4355" s="25"/>
      <c r="N4355" s="25"/>
      <c r="O4355" s="25"/>
      <c r="P4355" s="25"/>
      <c r="Q4355" s="25"/>
      <c r="R4355" s="25"/>
      <c r="S4355" s="25"/>
      <c r="T4355" s="25"/>
      <c r="U4355" s="25"/>
      <c r="V4355" s="25"/>
      <c r="W4355" s="25"/>
      <c r="X4355" s="25"/>
      <c r="Y4355" s="25"/>
      <c r="Z4355" s="25"/>
    </row>
    <row r="4356" spans="1:26" ht="15.75" customHeight="1" x14ac:dyDescent="0.75">
      <c r="A4356" s="5">
        <v>2</v>
      </c>
      <c r="B4356" s="30" t="s">
        <v>262</v>
      </c>
      <c r="C4356" s="31" t="s">
        <v>717</v>
      </c>
      <c r="D4356" s="30" t="s">
        <v>14</v>
      </c>
      <c r="E4356" s="30">
        <v>1.35</v>
      </c>
      <c r="F4356" s="11">
        <v>435000</v>
      </c>
      <c r="G4356" s="9">
        <f t="shared" si="271"/>
        <v>587250</v>
      </c>
      <c r="H4356" s="29"/>
      <c r="I4356" s="24" t="s">
        <v>418</v>
      </c>
      <c r="J4356" s="25"/>
      <c r="K4356" s="25"/>
      <c r="L4356" s="25"/>
      <c r="M4356" s="25"/>
      <c r="N4356" s="25"/>
      <c r="O4356" s="25"/>
      <c r="P4356" s="25"/>
      <c r="Q4356" s="25"/>
      <c r="R4356" s="25"/>
      <c r="S4356" s="25"/>
      <c r="T4356" s="25"/>
      <c r="U4356" s="25"/>
      <c r="V4356" s="25"/>
      <c r="W4356" s="25"/>
      <c r="X4356" s="25"/>
      <c r="Y4356" s="25"/>
      <c r="Z4356" s="25"/>
    </row>
    <row r="4357" spans="1:26" ht="15.75" customHeight="1" x14ac:dyDescent="0.75">
      <c r="A4357" s="5">
        <v>3</v>
      </c>
      <c r="B4357" s="12" t="s">
        <v>15</v>
      </c>
      <c r="C4357" s="29"/>
      <c r="D4357" s="29"/>
      <c r="E4357" s="29"/>
      <c r="F4357" s="29"/>
      <c r="G4357" s="13">
        <f t="shared" si="271"/>
        <v>0</v>
      </c>
      <c r="H4357" s="29"/>
      <c r="I4357" s="24" t="s">
        <v>418</v>
      </c>
      <c r="J4357" s="25"/>
      <c r="K4357" s="25"/>
      <c r="L4357" s="25"/>
      <c r="M4357" s="25"/>
      <c r="N4357" s="25"/>
      <c r="O4357" s="25"/>
      <c r="P4357" s="25"/>
      <c r="Q4357" s="25"/>
      <c r="R4357" s="25"/>
      <c r="S4357" s="25"/>
      <c r="T4357" s="25"/>
      <c r="U4357" s="25"/>
      <c r="V4357" s="25"/>
      <c r="W4357" s="25"/>
      <c r="X4357" s="25"/>
      <c r="Y4357" s="25"/>
      <c r="Z4357" s="25"/>
    </row>
    <row r="4358" spans="1:26" ht="15.75" customHeight="1" x14ac:dyDescent="0.75">
      <c r="A4358" s="39" t="s">
        <v>16</v>
      </c>
      <c r="B4358" s="40"/>
      <c r="C4358" s="40"/>
      <c r="D4358" s="40"/>
      <c r="E4358" s="40"/>
      <c r="F4358" s="40"/>
      <c r="G4358" s="41"/>
      <c r="H4358" s="14">
        <f>SUM(G4355:G4357)</f>
        <v>1085350</v>
      </c>
      <c r="I4358" s="24" t="s">
        <v>418</v>
      </c>
      <c r="J4358" s="25"/>
      <c r="K4358" s="25"/>
      <c r="L4358" s="25"/>
      <c r="M4358" s="25"/>
      <c r="N4358" s="25"/>
      <c r="O4358" s="25"/>
      <c r="P4358" s="25"/>
      <c r="Q4358" s="25"/>
      <c r="R4358" s="25"/>
      <c r="S4358" s="25"/>
      <c r="T4358" s="25"/>
      <c r="U4358" s="25"/>
      <c r="V4358" s="25"/>
      <c r="W4358" s="25"/>
      <c r="X4358" s="25"/>
      <c r="Y4358" s="25"/>
      <c r="Z4358" s="25"/>
    </row>
    <row r="4359" spans="1:26" ht="15.75" customHeight="1" x14ac:dyDescent="0.75">
      <c r="A4359" s="39" t="s">
        <v>17</v>
      </c>
      <c r="B4359" s="40"/>
      <c r="C4359" s="40"/>
      <c r="D4359" s="40"/>
      <c r="E4359" s="40"/>
      <c r="F4359" s="40"/>
      <c r="G4359" s="41"/>
      <c r="H4359" s="14">
        <f>MAX(0,H4358-648000)</f>
        <v>437350</v>
      </c>
      <c r="I4359" s="24" t="s">
        <v>418</v>
      </c>
      <c r="J4359" s="25"/>
      <c r="K4359" s="25"/>
      <c r="L4359" s="25"/>
      <c r="M4359" s="25"/>
      <c r="N4359" s="25"/>
      <c r="O4359" s="25"/>
      <c r="P4359" s="25"/>
      <c r="Q4359" s="25"/>
      <c r="R4359" s="25"/>
      <c r="S4359" s="25"/>
      <c r="T4359" s="25"/>
      <c r="U4359" s="25"/>
      <c r="V4359" s="25"/>
      <c r="W4359" s="25"/>
      <c r="X4359" s="25"/>
      <c r="Y4359" s="25"/>
      <c r="Z4359" s="25"/>
    </row>
    <row r="4360" spans="1:26" ht="15.75" customHeight="1" x14ac:dyDescent="0.75">
      <c r="A4360" s="42" t="s">
        <v>18</v>
      </c>
      <c r="B4360" s="40"/>
      <c r="C4360" s="40"/>
      <c r="D4360" s="40"/>
      <c r="E4360" s="40"/>
      <c r="F4360" s="40"/>
      <c r="G4360" s="41"/>
      <c r="H4360" s="15">
        <v>649000</v>
      </c>
      <c r="I4360" s="24" t="s">
        <v>418</v>
      </c>
      <c r="J4360" s="25"/>
      <c r="K4360" s="25"/>
      <c r="L4360" s="25"/>
      <c r="M4360" s="25"/>
      <c r="N4360" s="25"/>
      <c r="O4360" s="25"/>
      <c r="P4360" s="25"/>
      <c r="Q4360" s="25"/>
      <c r="R4360" s="25"/>
      <c r="S4360" s="25"/>
      <c r="T4360" s="25"/>
      <c r="U4360" s="25"/>
      <c r="V4360" s="25"/>
      <c r="W4360" s="25"/>
      <c r="X4360" s="25"/>
      <c r="Y4360" s="25"/>
      <c r="Z4360" s="25"/>
    </row>
    <row r="4361" spans="1:26" ht="15.75" customHeight="1" x14ac:dyDescent="0.75">
      <c r="A4361" s="43" t="s">
        <v>19</v>
      </c>
      <c r="B4361" s="40"/>
      <c r="C4361" s="40"/>
      <c r="D4361" s="40"/>
      <c r="E4361" s="40"/>
      <c r="F4361" s="40"/>
      <c r="G4361" s="40"/>
      <c r="H4361" s="41"/>
      <c r="I4361" s="24" t="s">
        <v>418</v>
      </c>
      <c r="J4361" s="25"/>
      <c r="K4361" s="25"/>
      <c r="L4361" s="25"/>
      <c r="M4361" s="25"/>
      <c r="N4361" s="25"/>
      <c r="O4361" s="25"/>
      <c r="P4361" s="25"/>
      <c r="Q4361" s="25"/>
      <c r="R4361" s="25"/>
      <c r="S4361" s="25"/>
      <c r="T4361" s="25"/>
      <c r="U4361" s="25"/>
      <c r="V4361" s="25"/>
      <c r="W4361" s="25"/>
      <c r="X4361" s="25"/>
      <c r="Y4361" s="25"/>
      <c r="Z4361" s="25"/>
    </row>
    <row r="4362" spans="1:26" ht="15.75" customHeight="1" x14ac:dyDescent="0.45">
      <c r="A4362" s="25"/>
      <c r="B4362" s="25"/>
      <c r="C4362" s="25"/>
      <c r="D4362" s="25"/>
      <c r="E4362" s="25"/>
      <c r="F4362" s="25"/>
      <c r="G4362" s="25"/>
      <c r="H4362" s="25"/>
      <c r="I4362" s="24" t="s">
        <v>418</v>
      </c>
      <c r="J4362" s="25"/>
      <c r="K4362" s="25"/>
      <c r="L4362" s="25"/>
      <c r="M4362" s="25"/>
      <c r="N4362" s="25"/>
      <c r="O4362" s="25"/>
      <c r="P4362" s="25"/>
      <c r="Q4362" s="25"/>
      <c r="R4362" s="25"/>
      <c r="S4362" s="25"/>
      <c r="T4362" s="25"/>
      <c r="U4362" s="25"/>
      <c r="V4362" s="25"/>
      <c r="W4362" s="25"/>
      <c r="X4362" s="25"/>
      <c r="Y4362" s="25"/>
      <c r="Z4362" s="25"/>
    </row>
    <row r="4363" spans="1:26" ht="15.75" customHeight="1" x14ac:dyDescent="0.45">
      <c r="A4363" s="25"/>
      <c r="B4363" s="25"/>
      <c r="C4363" s="25"/>
      <c r="D4363" s="25"/>
      <c r="E4363" s="25"/>
      <c r="F4363" s="25"/>
      <c r="G4363" s="25"/>
      <c r="H4363" s="25"/>
      <c r="I4363" s="24" t="s">
        <v>418</v>
      </c>
      <c r="J4363" s="25"/>
      <c r="K4363" s="25"/>
      <c r="L4363" s="25"/>
      <c r="M4363" s="25"/>
      <c r="N4363" s="25"/>
      <c r="O4363" s="25"/>
      <c r="P4363" s="25"/>
      <c r="Q4363" s="25"/>
      <c r="R4363" s="25"/>
      <c r="S4363" s="25"/>
      <c r="T4363" s="25"/>
      <c r="U4363" s="25"/>
      <c r="V4363" s="25"/>
      <c r="W4363" s="25"/>
      <c r="X4363" s="25"/>
      <c r="Y4363" s="25"/>
      <c r="Z4363" s="25"/>
    </row>
    <row r="4364" spans="1:26" ht="15.75" customHeight="1" x14ac:dyDescent="0.45">
      <c r="A4364" s="25"/>
      <c r="B4364" s="25"/>
      <c r="C4364" s="25"/>
      <c r="D4364" s="25"/>
      <c r="E4364" s="25"/>
      <c r="F4364" s="25"/>
      <c r="G4364" s="25"/>
      <c r="H4364" s="25"/>
      <c r="I4364" s="24" t="s">
        <v>418</v>
      </c>
      <c r="J4364" s="25"/>
      <c r="K4364" s="25"/>
      <c r="L4364" s="25"/>
      <c r="M4364" s="25"/>
      <c r="N4364" s="25"/>
      <c r="O4364" s="25"/>
      <c r="P4364" s="25"/>
      <c r="Q4364" s="25"/>
      <c r="R4364" s="25"/>
      <c r="S4364" s="25"/>
      <c r="T4364" s="25"/>
      <c r="U4364" s="25"/>
      <c r="V4364" s="25"/>
      <c r="W4364" s="25"/>
      <c r="X4364" s="25"/>
      <c r="Y4364" s="25"/>
      <c r="Z4364" s="25"/>
    </row>
    <row r="4365" spans="1:26" ht="15.75" customHeight="1" x14ac:dyDescent="0.45">
      <c r="A4365" s="25"/>
      <c r="B4365" s="25"/>
      <c r="C4365" s="25"/>
      <c r="D4365" s="25"/>
      <c r="E4365" s="25"/>
      <c r="F4365" s="25"/>
      <c r="G4365" s="25"/>
      <c r="H4365" s="25"/>
      <c r="I4365" s="24" t="s">
        <v>418</v>
      </c>
      <c r="J4365" s="25"/>
      <c r="K4365" s="25"/>
      <c r="L4365" s="25"/>
      <c r="M4365" s="25"/>
      <c r="N4365" s="25"/>
      <c r="O4365" s="25"/>
      <c r="P4365" s="25"/>
      <c r="Q4365" s="25"/>
      <c r="R4365" s="25"/>
      <c r="S4365" s="25"/>
      <c r="T4365" s="25"/>
      <c r="U4365" s="25"/>
      <c r="V4365" s="25"/>
      <c r="W4365" s="25"/>
      <c r="X4365" s="25"/>
      <c r="Y4365" s="25"/>
      <c r="Z4365" s="25"/>
    </row>
    <row r="4366" spans="1:26" ht="15.75" customHeight="1" x14ac:dyDescent="0.45">
      <c r="A4366" s="25"/>
      <c r="B4366" s="25"/>
      <c r="C4366" s="25"/>
      <c r="D4366" s="25"/>
      <c r="E4366" s="25"/>
      <c r="F4366" s="25"/>
      <c r="G4366" s="25"/>
      <c r="H4366" s="25"/>
      <c r="I4366" s="24" t="s">
        <v>418</v>
      </c>
      <c r="J4366" s="25"/>
      <c r="K4366" s="25"/>
      <c r="L4366" s="25"/>
      <c r="M4366" s="25"/>
      <c r="N4366" s="25"/>
      <c r="O4366" s="25"/>
      <c r="P4366" s="25"/>
      <c r="Q4366" s="25"/>
      <c r="R4366" s="25"/>
      <c r="S4366" s="25"/>
      <c r="T4366" s="25"/>
      <c r="U4366" s="25"/>
      <c r="V4366" s="25"/>
      <c r="W4366" s="25"/>
      <c r="X4366" s="25"/>
      <c r="Y4366" s="25"/>
      <c r="Z4366" s="25"/>
    </row>
    <row r="4367" spans="1:26" ht="15.75" customHeight="1" x14ac:dyDescent="0.45">
      <c r="A4367" s="25"/>
      <c r="B4367" s="25"/>
      <c r="C4367" s="25"/>
      <c r="D4367" s="25"/>
      <c r="E4367" s="25"/>
      <c r="F4367" s="25"/>
      <c r="G4367" s="25"/>
      <c r="H4367" s="25"/>
      <c r="I4367" s="24" t="s">
        <v>418</v>
      </c>
      <c r="J4367" s="25"/>
      <c r="K4367" s="25"/>
      <c r="L4367" s="25"/>
      <c r="M4367" s="25"/>
      <c r="N4367" s="25"/>
      <c r="O4367" s="25"/>
      <c r="P4367" s="25"/>
      <c r="Q4367" s="25"/>
      <c r="R4367" s="25"/>
      <c r="S4367" s="25"/>
      <c r="T4367" s="25"/>
      <c r="U4367" s="25"/>
      <c r="V4367" s="25"/>
      <c r="W4367" s="25"/>
      <c r="X4367" s="25"/>
      <c r="Y4367" s="25"/>
      <c r="Z4367" s="25"/>
    </row>
    <row r="4368" spans="1:26" ht="15.75" customHeight="1" x14ac:dyDescent="0.45">
      <c r="A4368" s="25"/>
      <c r="B4368" s="25"/>
      <c r="C4368" s="25"/>
      <c r="D4368" s="25"/>
      <c r="E4368" s="25"/>
      <c r="F4368" s="25"/>
      <c r="G4368" s="25"/>
      <c r="H4368" s="25"/>
      <c r="I4368" s="24" t="s">
        <v>418</v>
      </c>
      <c r="J4368" s="25"/>
      <c r="K4368" s="25"/>
      <c r="L4368" s="25"/>
      <c r="M4368" s="25"/>
      <c r="N4368" s="25"/>
      <c r="O4368" s="25"/>
      <c r="P4368" s="25"/>
      <c r="Q4368" s="25"/>
      <c r="R4368" s="25"/>
      <c r="S4368" s="25"/>
      <c r="T4368" s="25"/>
      <c r="U4368" s="25"/>
      <c r="V4368" s="25"/>
      <c r="W4368" s="25"/>
      <c r="X4368" s="25"/>
      <c r="Y4368" s="25"/>
      <c r="Z4368" s="25"/>
    </row>
    <row r="4369" spans="1:26" ht="15.75" customHeight="1" x14ac:dyDescent="0.45">
      <c r="A4369" s="25"/>
      <c r="B4369" s="25"/>
      <c r="C4369" s="25"/>
      <c r="D4369" s="25"/>
      <c r="E4369" s="25"/>
      <c r="F4369" s="25"/>
      <c r="G4369" s="25"/>
      <c r="H4369" s="25"/>
      <c r="I4369" s="24" t="s">
        <v>418</v>
      </c>
      <c r="J4369" s="25"/>
      <c r="K4369" s="25"/>
      <c r="L4369" s="25"/>
      <c r="M4369" s="25"/>
      <c r="N4369" s="25"/>
      <c r="O4369" s="25"/>
      <c r="P4369" s="25"/>
      <c r="Q4369" s="25"/>
      <c r="R4369" s="25"/>
      <c r="S4369" s="25"/>
      <c r="T4369" s="25"/>
      <c r="U4369" s="25"/>
      <c r="V4369" s="25"/>
      <c r="W4369" s="25"/>
      <c r="X4369" s="25"/>
      <c r="Y4369" s="25"/>
      <c r="Z4369" s="25"/>
    </row>
    <row r="4370" spans="1:26" ht="15.75" customHeight="1" x14ac:dyDescent="0.45">
      <c r="A4370" s="25"/>
      <c r="B4370" s="25"/>
      <c r="C4370" s="25"/>
      <c r="D4370" s="25"/>
      <c r="E4370" s="25"/>
      <c r="F4370" s="25"/>
      <c r="G4370" s="25"/>
      <c r="H4370" s="25"/>
      <c r="I4370" s="24" t="s">
        <v>418</v>
      </c>
      <c r="J4370" s="25"/>
      <c r="K4370" s="25"/>
      <c r="L4370" s="25"/>
      <c r="M4370" s="25"/>
      <c r="N4370" s="25"/>
      <c r="O4370" s="25"/>
      <c r="P4370" s="25"/>
      <c r="Q4370" s="25"/>
      <c r="R4370" s="25"/>
      <c r="S4370" s="25"/>
      <c r="T4370" s="25"/>
      <c r="U4370" s="25"/>
      <c r="V4370" s="25"/>
      <c r="W4370" s="25"/>
      <c r="X4370" s="25"/>
      <c r="Y4370" s="25"/>
      <c r="Z4370" s="25"/>
    </row>
    <row r="4371" spans="1:26" ht="15.75" customHeight="1" x14ac:dyDescent="0.75">
      <c r="A4371" s="43" t="s">
        <v>0</v>
      </c>
      <c r="B4371" s="40"/>
      <c r="C4371" s="40"/>
      <c r="D4371" s="40"/>
      <c r="E4371" s="40"/>
      <c r="F4371" s="40"/>
      <c r="G4371" s="40"/>
      <c r="H4371" s="41"/>
      <c r="I4371" s="24" t="s">
        <v>418</v>
      </c>
      <c r="J4371" s="25"/>
      <c r="K4371" s="25"/>
      <c r="L4371" s="25"/>
      <c r="M4371" s="25"/>
      <c r="N4371" s="25"/>
      <c r="O4371" s="25"/>
      <c r="P4371" s="25"/>
      <c r="Q4371" s="25"/>
      <c r="R4371" s="25"/>
      <c r="S4371" s="25"/>
      <c r="T4371" s="25"/>
      <c r="U4371" s="25"/>
      <c r="V4371" s="25"/>
      <c r="W4371" s="25"/>
      <c r="X4371" s="25"/>
      <c r="Y4371" s="25"/>
      <c r="Z4371" s="25"/>
    </row>
    <row r="4372" spans="1:26" ht="15.75" customHeight="1" x14ac:dyDescent="0.75">
      <c r="A4372" s="43" t="s">
        <v>718</v>
      </c>
      <c r="B4372" s="40"/>
      <c r="C4372" s="40"/>
      <c r="D4372" s="40"/>
      <c r="E4372" s="40"/>
      <c r="F4372" s="40"/>
      <c r="G4372" s="40"/>
      <c r="H4372" s="41"/>
      <c r="I4372" s="24" t="s">
        <v>418</v>
      </c>
      <c r="J4372" s="25"/>
      <c r="K4372" s="25"/>
      <c r="L4372" s="25"/>
      <c r="M4372" s="25"/>
      <c r="N4372" s="25"/>
      <c r="O4372" s="25"/>
      <c r="P4372" s="25"/>
      <c r="Q4372" s="25"/>
      <c r="R4372" s="25"/>
      <c r="S4372" s="25"/>
      <c r="T4372" s="25"/>
      <c r="U4372" s="25"/>
      <c r="V4372" s="25"/>
      <c r="W4372" s="25"/>
      <c r="X4372" s="25"/>
      <c r="Y4372" s="25"/>
      <c r="Z4372" s="25"/>
    </row>
    <row r="4373" spans="1:26" ht="15.75" customHeight="1" x14ac:dyDescent="0.55000000000000004">
      <c r="A4373" s="2" t="s">
        <v>3</v>
      </c>
      <c r="B4373" s="2" t="s">
        <v>4</v>
      </c>
      <c r="C4373" s="2" t="s">
        <v>5</v>
      </c>
      <c r="D4373" s="2" t="s">
        <v>6</v>
      </c>
      <c r="E4373" s="2" t="s">
        <v>7</v>
      </c>
      <c r="F4373" s="3" t="s">
        <v>8</v>
      </c>
      <c r="G4373" s="2" t="s">
        <v>9</v>
      </c>
      <c r="H4373" s="26"/>
      <c r="I4373" s="24" t="s">
        <v>418</v>
      </c>
      <c r="J4373" s="25"/>
      <c r="K4373" s="25"/>
      <c r="L4373" s="25"/>
      <c r="M4373" s="25"/>
      <c r="N4373" s="25"/>
      <c r="O4373" s="25"/>
      <c r="P4373" s="25"/>
      <c r="Q4373" s="25"/>
      <c r="R4373" s="25"/>
      <c r="S4373" s="25"/>
      <c r="T4373" s="25"/>
      <c r="U4373" s="25"/>
      <c r="V4373" s="25"/>
      <c r="W4373" s="25"/>
      <c r="X4373" s="25"/>
      <c r="Y4373" s="25"/>
      <c r="Z4373" s="25"/>
    </row>
    <row r="4374" spans="1:26" ht="15.75" customHeight="1" x14ac:dyDescent="0.75">
      <c r="A4374" s="5">
        <v>1</v>
      </c>
      <c r="B4374" s="27" t="s">
        <v>108</v>
      </c>
      <c r="C4374" s="28" t="s">
        <v>719</v>
      </c>
      <c r="D4374" s="27" t="s">
        <v>12</v>
      </c>
      <c r="E4374" s="27">
        <v>2.4</v>
      </c>
      <c r="F4374" s="8">
        <v>293000</v>
      </c>
      <c r="G4374" s="9">
        <f t="shared" ref="G4374:G4376" si="272">IFERROR(E4374*F4374,0)</f>
        <v>703200</v>
      </c>
      <c r="H4374" s="29"/>
      <c r="I4374" s="24" t="s">
        <v>418</v>
      </c>
      <c r="J4374" s="25"/>
      <c r="K4374" s="25"/>
      <c r="L4374" s="25"/>
      <c r="M4374" s="25"/>
      <c r="N4374" s="25"/>
      <c r="O4374" s="25"/>
      <c r="P4374" s="25"/>
      <c r="Q4374" s="25"/>
      <c r="R4374" s="25"/>
      <c r="S4374" s="25"/>
      <c r="T4374" s="25"/>
      <c r="U4374" s="25"/>
      <c r="V4374" s="25"/>
      <c r="W4374" s="25"/>
      <c r="X4374" s="25"/>
      <c r="Y4374" s="25"/>
      <c r="Z4374" s="25"/>
    </row>
    <row r="4375" spans="1:26" ht="15.75" customHeight="1" x14ac:dyDescent="0.75">
      <c r="A4375" s="5">
        <v>2</v>
      </c>
      <c r="B4375" s="30" t="s">
        <v>21</v>
      </c>
      <c r="C4375" s="31" t="s">
        <v>720</v>
      </c>
      <c r="D4375" s="30" t="s">
        <v>14</v>
      </c>
      <c r="E4375" s="30">
        <v>1.1000000000000001</v>
      </c>
      <c r="F4375" s="11">
        <v>435000</v>
      </c>
      <c r="G4375" s="9">
        <f t="shared" si="272"/>
        <v>478500.00000000006</v>
      </c>
      <c r="H4375" s="29"/>
      <c r="I4375" s="24" t="s">
        <v>418</v>
      </c>
      <c r="J4375" s="25"/>
      <c r="K4375" s="25"/>
      <c r="L4375" s="25"/>
      <c r="M4375" s="25"/>
      <c r="N4375" s="25"/>
      <c r="O4375" s="25"/>
      <c r="P4375" s="25"/>
      <c r="Q4375" s="25"/>
      <c r="R4375" s="25"/>
      <c r="S4375" s="25"/>
      <c r="T4375" s="25"/>
      <c r="U4375" s="25"/>
      <c r="V4375" s="25"/>
      <c r="W4375" s="25"/>
      <c r="X4375" s="25"/>
      <c r="Y4375" s="25"/>
      <c r="Z4375" s="25"/>
    </row>
    <row r="4376" spans="1:26" ht="15.75" customHeight="1" x14ac:dyDescent="0.75">
      <c r="A4376" s="5">
        <v>3</v>
      </c>
      <c r="B4376" s="12" t="s">
        <v>15</v>
      </c>
      <c r="C4376" s="29"/>
      <c r="D4376" s="29"/>
      <c r="E4376" s="29"/>
      <c r="F4376" s="29"/>
      <c r="G4376" s="13">
        <f t="shared" si="272"/>
        <v>0</v>
      </c>
      <c r="H4376" s="29"/>
      <c r="I4376" s="24" t="s">
        <v>418</v>
      </c>
      <c r="J4376" s="25"/>
      <c r="K4376" s="25"/>
      <c r="L4376" s="25"/>
      <c r="M4376" s="25"/>
      <c r="N4376" s="25"/>
      <c r="O4376" s="25"/>
      <c r="P4376" s="25"/>
      <c r="Q4376" s="25"/>
      <c r="R4376" s="25"/>
      <c r="S4376" s="25"/>
      <c r="T4376" s="25"/>
      <c r="U4376" s="25"/>
      <c r="V4376" s="25"/>
      <c r="W4376" s="25"/>
      <c r="X4376" s="25"/>
      <c r="Y4376" s="25"/>
      <c r="Z4376" s="25"/>
    </row>
    <row r="4377" spans="1:26" ht="15.75" customHeight="1" x14ac:dyDescent="0.75">
      <c r="A4377" s="39" t="s">
        <v>16</v>
      </c>
      <c r="B4377" s="40"/>
      <c r="C4377" s="40"/>
      <c r="D4377" s="40"/>
      <c r="E4377" s="40"/>
      <c r="F4377" s="40"/>
      <c r="G4377" s="41"/>
      <c r="H4377" s="14">
        <f>SUM(G4374:G4376)</f>
        <v>1181700</v>
      </c>
      <c r="I4377" s="24" t="s">
        <v>418</v>
      </c>
      <c r="J4377" s="25"/>
      <c r="K4377" s="25"/>
      <c r="L4377" s="25"/>
      <c r="M4377" s="25"/>
      <c r="N4377" s="25"/>
      <c r="O4377" s="25"/>
      <c r="P4377" s="25"/>
      <c r="Q4377" s="25"/>
      <c r="R4377" s="25"/>
      <c r="S4377" s="25"/>
      <c r="T4377" s="25"/>
      <c r="U4377" s="25"/>
      <c r="V4377" s="25"/>
      <c r="W4377" s="25"/>
      <c r="X4377" s="25"/>
      <c r="Y4377" s="25"/>
      <c r="Z4377" s="25"/>
    </row>
    <row r="4378" spans="1:26" ht="15.75" customHeight="1" x14ac:dyDescent="0.75">
      <c r="A4378" s="39" t="s">
        <v>17</v>
      </c>
      <c r="B4378" s="40"/>
      <c r="C4378" s="40"/>
      <c r="D4378" s="40"/>
      <c r="E4378" s="40"/>
      <c r="F4378" s="40"/>
      <c r="G4378" s="41"/>
      <c r="H4378" s="14">
        <f>MAX(0,H4377-648000)</f>
        <v>533700</v>
      </c>
      <c r="I4378" s="24" t="s">
        <v>418</v>
      </c>
      <c r="J4378" s="25"/>
      <c r="K4378" s="25"/>
      <c r="L4378" s="25"/>
      <c r="M4378" s="25"/>
      <c r="N4378" s="25"/>
      <c r="O4378" s="25"/>
      <c r="P4378" s="25"/>
      <c r="Q4378" s="25"/>
      <c r="R4378" s="25"/>
      <c r="S4378" s="25"/>
      <c r="T4378" s="25"/>
      <c r="U4378" s="25"/>
      <c r="V4378" s="25"/>
      <c r="W4378" s="25"/>
      <c r="X4378" s="25"/>
      <c r="Y4378" s="25"/>
      <c r="Z4378" s="25"/>
    </row>
    <row r="4379" spans="1:26" ht="15.75" customHeight="1" x14ac:dyDescent="0.75">
      <c r="A4379" s="42" t="s">
        <v>18</v>
      </c>
      <c r="B4379" s="40"/>
      <c r="C4379" s="40"/>
      <c r="D4379" s="40"/>
      <c r="E4379" s="40"/>
      <c r="F4379" s="40"/>
      <c r="G4379" s="41"/>
      <c r="H4379" s="15">
        <v>649000</v>
      </c>
      <c r="I4379" s="24" t="s">
        <v>418</v>
      </c>
      <c r="J4379" s="25"/>
      <c r="K4379" s="25"/>
      <c r="L4379" s="25"/>
      <c r="M4379" s="25"/>
      <c r="N4379" s="25"/>
      <c r="O4379" s="25"/>
      <c r="P4379" s="25"/>
      <c r="Q4379" s="25"/>
      <c r="R4379" s="25"/>
      <c r="S4379" s="25"/>
      <c r="T4379" s="25"/>
      <c r="U4379" s="25"/>
      <c r="V4379" s="25"/>
      <c r="W4379" s="25"/>
      <c r="X4379" s="25"/>
      <c r="Y4379" s="25"/>
      <c r="Z4379" s="25"/>
    </row>
    <row r="4380" spans="1:26" ht="15.75" customHeight="1" x14ac:dyDescent="0.75">
      <c r="A4380" s="43" t="s">
        <v>19</v>
      </c>
      <c r="B4380" s="40"/>
      <c r="C4380" s="40"/>
      <c r="D4380" s="40"/>
      <c r="E4380" s="40"/>
      <c r="F4380" s="40"/>
      <c r="G4380" s="40"/>
      <c r="H4380" s="41"/>
      <c r="I4380" s="24" t="s">
        <v>418</v>
      </c>
      <c r="J4380" s="25"/>
      <c r="K4380" s="25"/>
      <c r="L4380" s="25"/>
      <c r="M4380" s="25"/>
      <c r="N4380" s="25"/>
      <c r="O4380" s="25"/>
      <c r="P4380" s="25"/>
      <c r="Q4380" s="25"/>
      <c r="R4380" s="25"/>
      <c r="S4380" s="25"/>
      <c r="T4380" s="25"/>
      <c r="U4380" s="25"/>
      <c r="V4380" s="25"/>
      <c r="W4380" s="25"/>
      <c r="X4380" s="25"/>
      <c r="Y4380" s="25"/>
      <c r="Z4380" s="25"/>
    </row>
    <row r="4381" spans="1:26" ht="15.75" customHeight="1" x14ac:dyDescent="0.45">
      <c r="A4381" s="25"/>
      <c r="B4381" s="25"/>
      <c r="C4381" s="25"/>
      <c r="D4381" s="25"/>
      <c r="E4381" s="25"/>
      <c r="F4381" s="25"/>
      <c r="G4381" s="25"/>
      <c r="H4381" s="25"/>
      <c r="I4381" s="24" t="s">
        <v>418</v>
      </c>
      <c r="J4381" s="25"/>
      <c r="K4381" s="25"/>
      <c r="L4381" s="25"/>
      <c r="M4381" s="25"/>
      <c r="N4381" s="25"/>
      <c r="O4381" s="25"/>
      <c r="P4381" s="25"/>
      <c r="Q4381" s="25"/>
      <c r="R4381" s="25"/>
      <c r="S4381" s="25"/>
      <c r="T4381" s="25"/>
      <c r="U4381" s="25"/>
      <c r="V4381" s="25"/>
      <c r="W4381" s="25"/>
      <c r="X4381" s="25"/>
      <c r="Y4381" s="25"/>
      <c r="Z4381" s="25"/>
    </row>
    <row r="4382" spans="1:26" ht="15.75" customHeight="1" x14ac:dyDescent="0.45">
      <c r="A4382" s="25"/>
      <c r="B4382" s="25"/>
      <c r="C4382" s="25"/>
      <c r="D4382" s="25"/>
      <c r="E4382" s="25"/>
      <c r="F4382" s="25"/>
      <c r="G4382" s="25"/>
      <c r="H4382" s="25"/>
      <c r="I4382" s="24" t="s">
        <v>418</v>
      </c>
      <c r="J4382" s="25"/>
      <c r="K4382" s="25"/>
      <c r="L4382" s="25"/>
      <c r="M4382" s="25"/>
      <c r="N4382" s="25"/>
      <c r="O4382" s="25"/>
      <c r="P4382" s="25"/>
      <c r="Q4382" s="25"/>
      <c r="R4382" s="25"/>
      <c r="S4382" s="25"/>
      <c r="T4382" s="25"/>
      <c r="U4382" s="25"/>
      <c r="V4382" s="25"/>
      <c r="W4382" s="25"/>
      <c r="X4382" s="25"/>
      <c r="Y4382" s="25"/>
      <c r="Z4382" s="25"/>
    </row>
    <row r="4383" spans="1:26" ht="15.75" customHeight="1" x14ac:dyDescent="0.45">
      <c r="A4383" s="25"/>
      <c r="B4383" s="25"/>
      <c r="C4383" s="25"/>
      <c r="D4383" s="25"/>
      <c r="E4383" s="25"/>
      <c r="F4383" s="25"/>
      <c r="G4383" s="25"/>
      <c r="H4383" s="25"/>
      <c r="I4383" s="24" t="s">
        <v>418</v>
      </c>
      <c r="J4383" s="25"/>
      <c r="K4383" s="25"/>
      <c r="L4383" s="25"/>
      <c r="M4383" s="25"/>
      <c r="N4383" s="25"/>
      <c r="O4383" s="25"/>
      <c r="P4383" s="25"/>
      <c r="Q4383" s="25"/>
      <c r="R4383" s="25"/>
      <c r="S4383" s="25"/>
      <c r="T4383" s="25"/>
      <c r="U4383" s="25"/>
      <c r="V4383" s="25"/>
      <c r="W4383" s="25"/>
      <c r="X4383" s="25"/>
      <c r="Y4383" s="25"/>
      <c r="Z4383" s="25"/>
    </row>
    <row r="4384" spans="1:26" ht="15.75" customHeight="1" x14ac:dyDescent="0.45">
      <c r="A4384" s="25"/>
      <c r="B4384" s="25"/>
      <c r="C4384" s="25"/>
      <c r="D4384" s="25"/>
      <c r="E4384" s="25"/>
      <c r="F4384" s="25"/>
      <c r="G4384" s="25"/>
      <c r="H4384" s="25"/>
      <c r="I4384" s="24" t="s">
        <v>418</v>
      </c>
      <c r="J4384" s="25"/>
      <c r="K4384" s="25"/>
      <c r="L4384" s="25"/>
      <c r="M4384" s="25"/>
      <c r="N4384" s="25"/>
      <c r="O4384" s="25"/>
      <c r="P4384" s="25"/>
      <c r="Q4384" s="25"/>
      <c r="R4384" s="25"/>
      <c r="S4384" s="25"/>
      <c r="T4384" s="25"/>
      <c r="U4384" s="25"/>
      <c r="V4384" s="25"/>
      <c r="W4384" s="25"/>
      <c r="X4384" s="25"/>
      <c r="Y4384" s="25"/>
      <c r="Z4384" s="25"/>
    </row>
    <row r="4385" spans="1:26" ht="15.75" customHeight="1" x14ac:dyDescent="0.45">
      <c r="A4385" s="25"/>
      <c r="B4385" s="25"/>
      <c r="C4385" s="25"/>
      <c r="D4385" s="25"/>
      <c r="E4385" s="25"/>
      <c r="F4385" s="25"/>
      <c r="G4385" s="25"/>
      <c r="H4385" s="25"/>
      <c r="I4385" s="24" t="s">
        <v>418</v>
      </c>
      <c r="J4385" s="25"/>
      <c r="K4385" s="25"/>
      <c r="L4385" s="25"/>
      <c r="M4385" s="25"/>
      <c r="N4385" s="25"/>
      <c r="O4385" s="25"/>
      <c r="P4385" s="25"/>
      <c r="Q4385" s="25"/>
      <c r="R4385" s="25"/>
      <c r="S4385" s="25"/>
      <c r="T4385" s="25"/>
      <c r="U4385" s="25"/>
      <c r="V4385" s="25"/>
      <c r="W4385" s="25"/>
      <c r="X4385" s="25"/>
      <c r="Y4385" s="25"/>
      <c r="Z4385" s="25"/>
    </row>
    <row r="4386" spans="1:26" ht="15.75" customHeight="1" x14ac:dyDescent="0.45">
      <c r="A4386" s="25"/>
      <c r="B4386" s="25"/>
      <c r="C4386" s="25"/>
      <c r="D4386" s="25"/>
      <c r="E4386" s="25"/>
      <c r="F4386" s="25"/>
      <c r="G4386" s="25"/>
      <c r="H4386" s="25"/>
      <c r="I4386" s="24" t="s">
        <v>418</v>
      </c>
      <c r="J4386" s="25"/>
      <c r="K4386" s="25"/>
      <c r="L4386" s="25"/>
      <c r="M4386" s="25"/>
      <c r="N4386" s="25"/>
      <c r="O4386" s="25"/>
      <c r="P4386" s="25"/>
      <c r="Q4386" s="25"/>
      <c r="R4386" s="25"/>
      <c r="S4386" s="25"/>
      <c r="T4386" s="25"/>
      <c r="U4386" s="25"/>
      <c r="V4386" s="25"/>
      <c r="W4386" s="25"/>
      <c r="X4386" s="25"/>
      <c r="Y4386" s="25"/>
      <c r="Z4386" s="25"/>
    </row>
    <row r="4387" spans="1:26" ht="15.75" customHeight="1" x14ac:dyDescent="0.45">
      <c r="A4387" s="25"/>
      <c r="B4387" s="25"/>
      <c r="C4387" s="25"/>
      <c r="D4387" s="25"/>
      <c r="E4387" s="25"/>
      <c r="F4387" s="25"/>
      <c r="G4387" s="25"/>
      <c r="H4387" s="25"/>
      <c r="I4387" s="24" t="s">
        <v>418</v>
      </c>
      <c r="J4387" s="25"/>
      <c r="K4387" s="25"/>
      <c r="L4387" s="25"/>
      <c r="M4387" s="25"/>
      <c r="N4387" s="25"/>
      <c r="O4387" s="25"/>
      <c r="P4387" s="25"/>
      <c r="Q4387" s="25"/>
      <c r="R4387" s="25"/>
      <c r="S4387" s="25"/>
      <c r="T4387" s="25"/>
      <c r="U4387" s="25"/>
      <c r="V4387" s="25"/>
      <c r="W4387" s="25"/>
      <c r="X4387" s="25"/>
      <c r="Y4387" s="25"/>
      <c r="Z4387" s="25"/>
    </row>
    <row r="4388" spans="1:26" ht="15.75" customHeight="1" x14ac:dyDescent="0.75">
      <c r="A4388" s="43" t="s">
        <v>0</v>
      </c>
      <c r="B4388" s="40"/>
      <c r="C4388" s="40"/>
      <c r="D4388" s="40"/>
      <c r="E4388" s="40"/>
      <c r="F4388" s="40"/>
      <c r="G4388" s="40"/>
      <c r="H4388" s="41"/>
      <c r="I4388" s="24" t="s">
        <v>418</v>
      </c>
      <c r="J4388" s="25"/>
      <c r="K4388" s="25"/>
      <c r="L4388" s="25"/>
      <c r="M4388" s="25"/>
      <c r="N4388" s="25"/>
      <c r="O4388" s="25"/>
      <c r="P4388" s="25"/>
      <c r="Q4388" s="25"/>
      <c r="R4388" s="25"/>
      <c r="S4388" s="25"/>
      <c r="T4388" s="25"/>
      <c r="U4388" s="25"/>
      <c r="V4388" s="25"/>
      <c r="W4388" s="25"/>
      <c r="X4388" s="25"/>
      <c r="Y4388" s="25"/>
      <c r="Z4388" s="25"/>
    </row>
    <row r="4389" spans="1:26" ht="15.75" customHeight="1" x14ac:dyDescent="0.75">
      <c r="A4389" s="43" t="s">
        <v>721</v>
      </c>
      <c r="B4389" s="40"/>
      <c r="C4389" s="40"/>
      <c r="D4389" s="40"/>
      <c r="E4389" s="40"/>
      <c r="F4389" s="40"/>
      <c r="G4389" s="40"/>
      <c r="H4389" s="41"/>
      <c r="I4389" s="24" t="s">
        <v>418</v>
      </c>
      <c r="J4389" s="25"/>
      <c r="K4389" s="25"/>
      <c r="L4389" s="25"/>
      <c r="M4389" s="25"/>
      <c r="N4389" s="25"/>
      <c r="O4389" s="25"/>
      <c r="P4389" s="25"/>
      <c r="Q4389" s="25"/>
      <c r="R4389" s="25"/>
      <c r="S4389" s="25"/>
      <c r="T4389" s="25"/>
      <c r="U4389" s="25"/>
      <c r="V4389" s="25"/>
      <c r="W4389" s="25"/>
      <c r="X4389" s="25"/>
      <c r="Y4389" s="25"/>
      <c r="Z4389" s="25"/>
    </row>
    <row r="4390" spans="1:26" ht="15.75" customHeight="1" x14ac:dyDescent="0.55000000000000004">
      <c r="A4390" s="2" t="s">
        <v>3</v>
      </c>
      <c r="B4390" s="2" t="s">
        <v>4</v>
      </c>
      <c r="C4390" s="2" t="s">
        <v>5</v>
      </c>
      <c r="D4390" s="2" t="s">
        <v>6</v>
      </c>
      <c r="E4390" s="2" t="s">
        <v>7</v>
      </c>
      <c r="F4390" s="3" t="s">
        <v>8</v>
      </c>
      <c r="G4390" s="2" t="s">
        <v>9</v>
      </c>
      <c r="H4390" s="26"/>
      <c r="I4390" s="24" t="s">
        <v>418</v>
      </c>
      <c r="J4390" s="25"/>
      <c r="K4390" s="25"/>
      <c r="L4390" s="25"/>
      <c r="M4390" s="25"/>
      <c r="N4390" s="25"/>
      <c r="O4390" s="25"/>
      <c r="P4390" s="25"/>
      <c r="Q4390" s="25"/>
      <c r="R4390" s="25"/>
      <c r="S4390" s="25"/>
      <c r="T4390" s="25"/>
      <c r="U4390" s="25"/>
      <c r="V4390" s="25"/>
      <c r="W4390" s="25"/>
      <c r="X4390" s="25"/>
      <c r="Y4390" s="25"/>
      <c r="Z4390" s="25"/>
    </row>
    <row r="4391" spans="1:26" ht="15.75" customHeight="1" x14ac:dyDescent="0.75">
      <c r="A4391" s="5">
        <v>1</v>
      </c>
      <c r="B4391" s="27" t="s">
        <v>87</v>
      </c>
      <c r="C4391" s="28" t="s">
        <v>722</v>
      </c>
      <c r="D4391" s="27" t="s">
        <v>12</v>
      </c>
      <c r="E4391" s="27">
        <v>2</v>
      </c>
      <c r="F4391" s="8">
        <v>293000</v>
      </c>
      <c r="G4391" s="9">
        <f t="shared" ref="G4391:G4393" si="273">IFERROR(E4391*F4391,0)</f>
        <v>586000</v>
      </c>
      <c r="H4391" s="29"/>
      <c r="I4391" s="24" t="s">
        <v>418</v>
      </c>
      <c r="J4391" s="25"/>
      <c r="K4391" s="25"/>
      <c r="L4391" s="25"/>
      <c r="M4391" s="25"/>
      <c r="N4391" s="25"/>
      <c r="O4391" s="25"/>
      <c r="P4391" s="25"/>
      <c r="Q4391" s="25"/>
      <c r="R4391" s="25"/>
      <c r="S4391" s="25"/>
      <c r="T4391" s="25"/>
      <c r="U4391" s="25"/>
      <c r="V4391" s="25"/>
      <c r="W4391" s="25"/>
      <c r="X4391" s="25"/>
      <c r="Y4391" s="25"/>
      <c r="Z4391" s="25"/>
    </row>
    <row r="4392" spans="1:26" ht="15.75" customHeight="1" x14ac:dyDescent="0.75">
      <c r="A4392" s="5">
        <v>2</v>
      </c>
      <c r="B4392" s="30" t="s">
        <v>13</v>
      </c>
      <c r="C4392" s="31" t="s">
        <v>723</v>
      </c>
      <c r="D4392" s="30" t="s">
        <v>14</v>
      </c>
      <c r="E4392" s="30">
        <v>1.5</v>
      </c>
      <c r="F4392" s="11">
        <v>435000</v>
      </c>
      <c r="G4392" s="9">
        <f t="shared" si="273"/>
        <v>652500</v>
      </c>
      <c r="H4392" s="29"/>
      <c r="I4392" s="24" t="s">
        <v>418</v>
      </c>
      <c r="J4392" s="25"/>
      <c r="K4392" s="25"/>
      <c r="L4392" s="25"/>
      <c r="M4392" s="25"/>
      <c r="N4392" s="25"/>
      <c r="O4392" s="25"/>
      <c r="P4392" s="25"/>
      <c r="Q4392" s="25"/>
      <c r="R4392" s="25"/>
      <c r="S4392" s="25"/>
      <c r="T4392" s="25"/>
      <c r="U4392" s="25"/>
      <c r="V4392" s="25"/>
      <c r="W4392" s="25"/>
      <c r="X4392" s="25"/>
      <c r="Y4392" s="25"/>
      <c r="Z4392" s="25"/>
    </row>
    <row r="4393" spans="1:26" ht="15.75" customHeight="1" x14ac:dyDescent="0.75">
      <c r="A4393" s="5">
        <v>3</v>
      </c>
      <c r="B4393" s="12" t="s">
        <v>15</v>
      </c>
      <c r="C4393" s="29"/>
      <c r="D4393" s="29"/>
      <c r="E4393" s="29"/>
      <c r="F4393" s="29"/>
      <c r="G4393" s="13">
        <f t="shared" si="273"/>
        <v>0</v>
      </c>
      <c r="H4393" s="29"/>
      <c r="I4393" s="24" t="s">
        <v>418</v>
      </c>
      <c r="J4393" s="25"/>
      <c r="K4393" s="25"/>
      <c r="L4393" s="25"/>
      <c r="M4393" s="25"/>
      <c r="N4393" s="25"/>
      <c r="O4393" s="25"/>
      <c r="P4393" s="25"/>
      <c r="Q4393" s="25"/>
      <c r="R4393" s="25"/>
      <c r="S4393" s="25"/>
      <c r="T4393" s="25"/>
      <c r="U4393" s="25"/>
      <c r="V4393" s="25"/>
      <c r="W4393" s="25"/>
      <c r="X4393" s="25"/>
      <c r="Y4393" s="25"/>
      <c r="Z4393" s="25"/>
    </row>
    <row r="4394" spans="1:26" ht="15.75" customHeight="1" x14ac:dyDescent="0.75">
      <c r="A4394" s="39" t="s">
        <v>16</v>
      </c>
      <c r="B4394" s="40"/>
      <c r="C4394" s="40"/>
      <c r="D4394" s="40"/>
      <c r="E4394" s="40"/>
      <c r="F4394" s="40"/>
      <c r="G4394" s="41"/>
      <c r="H4394" s="14">
        <f>SUM(G4391:G4393)</f>
        <v>1238500</v>
      </c>
      <c r="I4394" s="24" t="s">
        <v>418</v>
      </c>
      <c r="J4394" s="25"/>
      <c r="K4394" s="25"/>
      <c r="L4394" s="25"/>
      <c r="M4394" s="25"/>
      <c r="N4394" s="25"/>
      <c r="O4394" s="25"/>
      <c r="P4394" s="25"/>
      <c r="Q4394" s="25"/>
      <c r="R4394" s="25"/>
      <c r="S4394" s="25"/>
      <c r="T4394" s="25"/>
      <c r="U4394" s="25"/>
      <c r="V4394" s="25"/>
      <c r="W4394" s="25"/>
      <c r="X4394" s="25"/>
      <c r="Y4394" s="25"/>
      <c r="Z4394" s="25"/>
    </row>
    <row r="4395" spans="1:26" ht="15.75" customHeight="1" x14ac:dyDescent="0.75">
      <c r="A4395" s="39" t="s">
        <v>17</v>
      </c>
      <c r="B4395" s="40"/>
      <c r="C4395" s="40"/>
      <c r="D4395" s="40"/>
      <c r="E4395" s="40"/>
      <c r="F4395" s="40"/>
      <c r="G4395" s="41"/>
      <c r="H4395" s="14">
        <f>MAX(0,H4394-648000)</f>
        <v>590500</v>
      </c>
      <c r="I4395" s="24" t="s">
        <v>418</v>
      </c>
      <c r="J4395" s="25"/>
      <c r="K4395" s="25"/>
      <c r="L4395" s="25"/>
      <c r="M4395" s="25"/>
      <c r="N4395" s="25"/>
      <c r="O4395" s="25"/>
      <c r="P4395" s="25"/>
      <c r="Q4395" s="25"/>
      <c r="R4395" s="25"/>
      <c r="S4395" s="25"/>
      <c r="T4395" s="25"/>
      <c r="U4395" s="25"/>
      <c r="V4395" s="25"/>
      <c r="W4395" s="25"/>
      <c r="X4395" s="25"/>
      <c r="Y4395" s="25"/>
      <c r="Z4395" s="25"/>
    </row>
    <row r="4396" spans="1:26" ht="15.75" customHeight="1" x14ac:dyDescent="0.75">
      <c r="A4396" s="42" t="s">
        <v>18</v>
      </c>
      <c r="B4396" s="40"/>
      <c r="C4396" s="40"/>
      <c r="D4396" s="40"/>
      <c r="E4396" s="40"/>
      <c r="F4396" s="40"/>
      <c r="G4396" s="41"/>
      <c r="H4396" s="15">
        <v>649000</v>
      </c>
      <c r="I4396" s="24" t="s">
        <v>418</v>
      </c>
      <c r="J4396" s="25"/>
      <c r="K4396" s="25"/>
      <c r="L4396" s="25"/>
      <c r="M4396" s="25"/>
      <c r="N4396" s="25"/>
      <c r="O4396" s="25"/>
      <c r="P4396" s="25"/>
      <c r="Q4396" s="25"/>
      <c r="R4396" s="25"/>
      <c r="S4396" s="25"/>
      <c r="T4396" s="25"/>
      <c r="U4396" s="25"/>
      <c r="V4396" s="25"/>
      <c r="W4396" s="25"/>
      <c r="X4396" s="25"/>
      <c r="Y4396" s="25"/>
      <c r="Z4396" s="25"/>
    </row>
    <row r="4397" spans="1:26" ht="15.75" customHeight="1" x14ac:dyDescent="0.75">
      <c r="A4397" s="43" t="s">
        <v>19</v>
      </c>
      <c r="B4397" s="40"/>
      <c r="C4397" s="40"/>
      <c r="D4397" s="40"/>
      <c r="E4397" s="40"/>
      <c r="F4397" s="40"/>
      <c r="G4397" s="40"/>
      <c r="H4397" s="41"/>
      <c r="I4397" s="24" t="s">
        <v>418</v>
      </c>
      <c r="J4397" s="25"/>
      <c r="K4397" s="25"/>
      <c r="L4397" s="25"/>
      <c r="M4397" s="25"/>
      <c r="N4397" s="25"/>
      <c r="O4397" s="25"/>
      <c r="P4397" s="25"/>
      <c r="Q4397" s="25"/>
      <c r="R4397" s="25"/>
      <c r="S4397" s="25"/>
      <c r="T4397" s="25"/>
      <c r="U4397" s="25"/>
      <c r="V4397" s="25"/>
      <c r="W4397" s="25"/>
      <c r="X4397" s="25"/>
      <c r="Y4397" s="25"/>
      <c r="Z4397" s="25"/>
    </row>
    <row r="4398" spans="1:26" ht="15.75" customHeight="1" x14ac:dyDescent="0.45">
      <c r="A4398" s="25"/>
      <c r="B4398" s="25"/>
      <c r="C4398" s="25"/>
      <c r="D4398" s="25"/>
      <c r="E4398" s="25"/>
      <c r="F4398" s="25"/>
      <c r="G4398" s="25"/>
      <c r="H4398" s="25"/>
      <c r="I4398" s="24" t="s">
        <v>418</v>
      </c>
      <c r="J4398" s="25"/>
      <c r="K4398" s="25"/>
      <c r="L4398" s="25"/>
      <c r="M4398" s="25"/>
      <c r="N4398" s="25"/>
      <c r="O4398" s="25"/>
      <c r="P4398" s="25"/>
      <c r="Q4398" s="25"/>
      <c r="R4398" s="25"/>
      <c r="S4398" s="25"/>
      <c r="T4398" s="25"/>
      <c r="U4398" s="25"/>
      <c r="V4398" s="25"/>
      <c r="W4398" s="25"/>
      <c r="X4398" s="25"/>
      <c r="Y4398" s="25"/>
      <c r="Z4398" s="25"/>
    </row>
    <row r="4399" spans="1:26" ht="15.75" customHeight="1" x14ac:dyDescent="0.45">
      <c r="A4399" s="25"/>
      <c r="B4399" s="25"/>
      <c r="C4399" s="25"/>
      <c r="D4399" s="25"/>
      <c r="E4399" s="25"/>
      <c r="F4399" s="25"/>
      <c r="G4399" s="25"/>
      <c r="H4399" s="25"/>
      <c r="I4399" s="24" t="s">
        <v>418</v>
      </c>
      <c r="J4399" s="25"/>
      <c r="K4399" s="25"/>
      <c r="L4399" s="25"/>
      <c r="M4399" s="25"/>
      <c r="N4399" s="25"/>
      <c r="O4399" s="25"/>
      <c r="P4399" s="25"/>
      <c r="Q4399" s="25"/>
      <c r="R4399" s="25"/>
      <c r="S4399" s="25"/>
      <c r="T4399" s="25"/>
      <c r="U4399" s="25"/>
      <c r="V4399" s="25"/>
      <c r="W4399" s="25"/>
      <c r="X4399" s="25"/>
      <c r="Y4399" s="25"/>
      <c r="Z4399" s="25"/>
    </row>
    <row r="4400" spans="1:26" ht="15.75" customHeight="1" x14ac:dyDescent="0.45">
      <c r="A4400" s="25"/>
      <c r="B4400" s="25"/>
      <c r="C4400" s="25"/>
      <c r="D4400" s="25"/>
      <c r="E4400" s="25"/>
      <c r="F4400" s="25"/>
      <c r="G4400" s="25"/>
      <c r="H4400" s="25"/>
      <c r="I4400" s="24" t="s">
        <v>418</v>
      </c>
      <c r="J4400" s="25"/>
      <c r="K4400" s="25"/>
      <c r="L4400" s="25"/>
      <c r="M4400" s="25"/>
      <c r="N4400" s="25"/>
      <c r="O4400" s="25"/>
      <c r="P4400" s="25"/>
      <c r="Q4400" s="25"/>
      <c r="R4400" s="25"/>
      <c r="S4400" s="25"/>
      <c r="T4400" s="25"/>
      <c r="U4400" s="25"/>
      <c r="V4400" s="25"/>
      <c r="W4400" s="25"/>
      <c r="X4400" s="25"/>
      <c r="Y4400" s="25"/>
      <c r="Z4400" s="25"/>
    </row>
    <row r="4401" spans="1:26" ht="15.75" customHeight="1" x14ac:dyDescent="0.45">
      <c r="A4401" s="25"/>
      <c r="B4401" s="25"/>
      <c r="C4401" s="25"/>
      <c r="D4401" s="25"/>
      <c r="E4401" s="25"/>
      <c r="F4401" s="25"/>
      <c r="G4401" s="25"/>
      <c r="H4401" s="25"/>
      <c r="I4401" s="24" t="s">
        <v>418</v>
      </c>
      <c r="J4401" s="25"/>
      <c r="K4401" s="25"/>
      <c r="L4401" s="25"/>
      <c r="M4401" s="25"/>
      <c r="N4401" s="25"/>
      <c r="O4401" s="25"/>
      <c r="P4401" s="25"/>
      <c r="Q4401" s="25"/>
      <c r="R4401" s="25"/>
      <c r="S4401" s="25"/>
      <c r="T4401" s="25"/>
      <c r="U4401" s="25"/>
      <c r="V4401" s="25"/>
      <c r="W4401" s="25"/>
      <c r="X4401" s="25"/>
      <c r="Y4401" s="25"/>
      <c r="Z4401" s="25"/>
    </row>
    <row r="4402" spans="1:26" ht="15.75" customHeight="1" x14ac:dyDescent="0.45">
      <c r="A4402" s="25"/>
      <c r="B4402" s="25"/>
      <c r="C4402" s="25"/>
      <c r="D4402" s="25"/>
      <c r="E4402" s="25"/>
      <c r="F4402" s="25"/>
      <c r="G4402" s="25"/>
      <c r="H4402" s="25"/>
      <c r="I4402" s="24" t="s">
        <v>418</v>
      </c>
      <c r="J4402" s="25"/>
      <c r="K4402" s="25"/>
      <c r="L4402" s="25"/>
      <c r="M4402" s="25"/>
      <c r="N4402" s="25"/>
      <c r="O4402" s="25"/>
      <c r="P4402" s="25"/>
      <c r="Q4402" s="25"/>
      <c r="R4402" s="25"/>
      <c r="S4402" s="25"/>
      <c r="T4402" s="25"/>
      <c r="U4402" s="25"/>
      <c r="V4402" s="25"/>
      <c r="W4402" s="25"/>
      <c r="X4402" s="25"/>
      <c r="Y4402" s="25"/>
      <c r="Z4402" s="25"/>
    </row>
    <row r="4403" spans="1:26" ht="15.75" customHeight="1" x14ac:dyDescent="0.45">
      <c r="A4403" s="25"/>
      <c r="B4403" s="25"/>
      <c r="C4403" s="25"/>
      <c r="D4403" s="25"/>
      <c r="E4403" s="25"/>
      <c r="F4403" s="25"/>
      <c r="G4403" s="25"/>
      <c r="H4403" s="25"/>
      <c r="I4403" s="24" t="s">
        <v>418</v>
      </c>
      <c r="J4403" s="25"/>
      <c r="K4403" s="25"/>
      <c r="L4403" s="25"/>
      <c r="M4403" s="25"/>
      <c r="N4403" s="25"/>
      <c r="O4403" s="25"/>
      <c r="P4403" s="25"/>
      <c r="Q4403" s="25"/>
      <c r="R4403" s="25"/>
      <c r="S4403" s="25"/>
      <c r="T4403" s="25"/>
      <c r="U4403" s="25"/>
      <c r="V4403" s="25"/>
      <c r="W4403" s="25"/>
      <c r="X4403" s="25"/>
      <c r="Y4403" s="25"/>
      <c r="Z4403" s="25"/>
    </row>
    <row r="4404" spans="1:26" ht="15.75" customHeight="1" x14ac:dyDescent="0.45">
      <c r="A4404" s="25"/>
      <c r="B4404" s="25"/>
      <c r="C4404" s="25"/>
      <c r="D4404" s="25"/>
      <c r="E4404" s="25"/>
      <c r="F4404" s="25"/>
      <c r="G4404" s="25"/>
      <c r="H4404" s="25"/>
      <c r="I4404" s="24" t="s">
        <v>418</v>
      </c>
      <c r="J4404" s="25"/>
      <c r="K4404" s="25"/>
      <c r="L4404" s="25"/>
      <c r="M4404" s="25"/>
      <c r="N4404" s="25"/>
      <c r="O4404" s="25"/>
      <c r="P4404" s="25"/>
      <c r="Q4404" s="25"/>
      <c r="R4404" s="25"/>
      <c r="S4404" s="25"/>
      <c r="T4404" s="25"/>
      <c r="U4404" s="25"/>
      <c r="V4404" s="25"/>
      <c r="W4404" s="25"/>
      <c r="X4404" s="25"/>
      <c r="Y4404" s="25"/>
      <c r="Z4404" s="25"/>
    </row>
    <row r="4405" spans="1:26" ht="15.75" customHeight="1" x14ac:dyDescent="0.75">
      <c r="A4405" s="43" t="s">
        <v>0</v>
      </c>
      <c r="B4405" s="40"/>
      <c r="C4405" s="40"/>
      <c r="D4405" s="40"/>
      <c r="E4405" s="40"/>
      <c r="F4405" s="40"/>
      <c r="G4405" s="40"/>
      <c r="H4405" s="41"/>
      <c r="I4405" s="24" t="s">
        <v>418</v>
      </c>
      <c r="J4405" s="25"/>
      <c r="K4405" s="25"/>
      <c r="L4405" s="25"/>
      <c r="M4405" s="25"/>
      <c r="N4405" s="25"/>
      <c r="O4405" s="25"/>
      <c r="P4405" s="25"/>
      <c r="Q4405" s="25"/>
      <c r="R4405" s="25"/>
      <c r="S4405" s="25"/>
      <c r="T4405" s="25"/>
      <c r="U4405" s="25"/>
      <c r="V4405" s="25"/>
      <c r="W4405" s="25"/>
      <c r="X4405" s="25"/>
      <c r="Y4405" s="25"/>
      <c r="Z4405" s="25"/>
    </row>
    <row r="4406" spans="1:26" ht="15.75" customHeight="1" x14ac:dyDescent="0.75">
      <c r="A4406" s="43" t="s">
        <v>724</v>
      </c>
      <c r="B4406" s="40"/>
      <c r="C4406" s="40"/>
      <c r="D4406" s="40"/>
      <c r="E4406" s="40"/>
      <c r="F4406" s="40"/>
      <c r="G4406" s="40"/>
      <c r="H4406" s="41"/>
      <c r="I4406" s="24" t="s">
        <v>418</v>
      </c>
      <c r="J4406" s="25"/>
      <c r="K4406" s="25"/>
      <c r="L4406" s="25"/>
      <c r="M4406" s="25"/>
      <c r="N4406" s="25"/>
      <c r="O4406" s="25"/>
      <c r="P4406" s="25"/>
      <c r="Q4406" s="25"/>
      <c r="R4406" s="25"/>
      <c r="S4406" s="25"/>
      <c r="T4406" s="25"/>
      <c r="U4406" s="25"/>
      <c r="V4406" s="25"/>
      <c r="W4406" s="25"/>
      <c r="X4406" s="25"/>
      <c r="Y4406" s="25"/>
      <c r="Z4406" s="25"/>
    </row>
    <row r="4407" spans="1:26" ht="15.75" customHeight="1" x14ac:dyDescent="0.55000000000000004">
      <c r="A4407" s="2" t="s">
        <v>3</v>
      </c>
      <c r="B4407" s="2" t="s">
        <v>4</v>
      </c>
      <c r="C4407" s="2" t="s">
        <v>5</v>
      </c>
      <c r="D4407" s="2" t="s">
        <v>6</v>
      </c>
      <c r="E4407" s="2" t="s">
        <v>7</v>
      </c>
      <c r="F4407" s="3" t="s">
        <v>8</v>
      </c>
      <c r="G4407" s="2" t="s">
        <v>9</v>
      </c>
      <c r="H4407" s="26"/>
      <c r="I4407" s="24" t="s">
        <v>418</v>
      </c>
      <c r="J4407" s="25"/>
      <c r="K4407" s="25"/>
      <c r="L4407" s="25"/>
      <c r="M4407" s="25"/>
      <c r="N4407" s="25"/>
      <c r="O4407" s="25"/>
      <c r="P4407" s="25"/>
      <c r="Q4407" s="25"/>
      <c r="R4407" s="25"/>
      <c r="S4407" s="25"/>
      <c r="T4407" s="25"/>
      <c r="U4407" s="25"/>
      <c r="V4407" s="25"/>
      <c r="W4407" s="25"/>
      <c r="X4407" s="25"/>
      <c r="Y4407" s="25"/>
      <c r="Z4407" s="25"/>
    </row>
    <row r="4408" spans="1:26" ht="15.75" customHeight="1" x14ac:dyDescent="0.75">
      <c r="A4408" s="5">
        <v>1</v>
      </c>
      <c r="B4408" s="27" t="s">
        <v>725</v>
      </c>
      <c r="C4408" s="28" t="s">
        <v>726</v>
      </c>
      <c r="D4408" s="27" t="s">
        <v>12</v>
      </c>
      <c r="E4408" s="27">
        <v>1.5</v>
      </c>
      <c r="F4408" s="8">
        <v>293000</v>
      </c>
      <c r="G4408" s="9">
        <f t="shared" ref="G4408:G4410" si="274">IFERROR(E4408*F4408,0)</f>
        <v>439500</v>
      </c>
      <c r="H4408" s="29"/>
      <c r="I4408" s="24" t="s">
        <v>418</v>
      </c>
      <c r="J4408" s="25"/>
      <c r="K4408" s="25"/>
      <c r="L4408" s="25"/>
      <c r="M4408" s="25"/>
      <c r="N4408" s="25"/>
      <c r="O4408" s="25"/>
      <c r="P4408" s="25"/>
      <c r="Q4408" s="25"/>
      <c r="R4408" s="25"/>
      <c r="S4408" s="25"/>
      <c r="T4408" s="25"/>
      <c r="U4408" s="25"/>
      <c r="V4408" s="25"/>
      <c r="W4408" s="25"/>
      <c r="X4408" s="25"/>
      <c r="Y4408" s="25"/>
      <c r="Z4408" s="25"/>
    </row>
    <row r="4409" spans="1:26" ht="15.75" customHeight="1" x14ac:dyDescent="0.75">
      <c r="A4409" s="5">
        <v>2</v>
      </c>
      <c r="B4409" s="30" t="s">
        <v>82</v>
      </c>
      <c r="C4409" s="31" t="s">
        <v>727</v>
      </c>
      <c r="D4409" s="30" t="s">
        <v>14</v>
      </c>
      <c r="E4409" s="30">
        <v>1.9</v>
      </c>
      <c r="F4409" s="11">
        <v>435000</v>
      </c>
      <c r="G4409" s="9">
        <f t="shared" si="274"/>
        <v>826500</v>
      </c>
      <c r="H4409" s="29"/>
      <c r="I4409" s="24" t="s">
        <v>418</v>
      </c>
      <c r="J4409" s="25"/>
      <c r="K4409" s="25"/>
      <c r="L4409" s="25"/>
      <c r="M4409" s="25"/>
      <c r="N4409" s="25"/>
      <c r="O4409" s="25"/>
      <c r="P4409" s="25"/>
      <c r="Q4409" s="25"/>
      <c r="R4409" s="25"/>
      <c r="S4409" s="25"/>
      <c r="T4409" s="25"/>
      <c r="U4409" s="25"/>
      <c r="V4409" s="25"/>
      <c r="W4409" s="25"/>
      <c r="X4409" s="25"/>
      <c r="Y4409" s="25"/>
      <c r="Z4409" s="25"/>
    </row>
    <row r="4410" spans="1:26" ht="15.75" customHeight="1" x14ac:dyDescent="0.75">
      <c r="A4410" s="5">
        <v>3</v>
      </c>
      <c r="B4410" s="12" t="s">
        <v>15</v>
      </c>
      <c r="C4410" s="29"/>
      <c r="D4410" s="29"/>
      <c r="E4410" s="29"/>
      <c r="F4410" s="29"/>
      <c r="G4410" s="13">
        <f t="shared" si="274"/>
        <v>0</v>
      </c>
      <c r="H4410" s="29"/>
      <c r="I4410" s="24" t="s">
        <v>418</v>
      </c>
      <c r="J4410" s="25"/>
      <c r="K4410" s="25"/>
      <c r="L4410" s="25"/>
      <c r="M4410" s="25"/>
      <c r="N4410" s="25"/>
      <c r="O4410" s="25"/>
      <c r="P4410" s="25"/>
      <c r="Q4410" s="25"/>
      <c r="R4410" s="25"/>
      <c r="S4410" s="25"/>
      <c r="T4410" s="25"/>
      <c r="U4410" s="25"/>
      <c r="V4410" s="25"/>
      <c r="W4410" s="25"/>
      <c r="X4410" s="25"/>
      <c r="Y4410" s="25"/>
      <c r="Z4410" s="25"/>
    </row>
    <row r="4411" spans="1:26" ht="15.75" customHeight="1" x14ac:dyDescent="0.75">
      <c r="A4411" s="39" t="s">
        <v>16</v>
      </c>
      <c r="B4411" s="40"/>
      <c r="C4411" s="40"/>
      <c r="D4411" s="40"/>
      <c r="E4411" s="40"/>
      <c r="F4411" s="40"/>
      <c r="G4411" s="41"/>
      <c r="H4411" s="14">
        <f>SUM(G4408:G4410)</f>
        <v>1266000</v>
      </c>
      <c r="I4411" s="24" t="s">
        <v>418</v>
      </c>
      <c r="J4411" s="25"/>
      <c r="K4411" s="25"/>
      <c r="L4411" s="25"/>
      <c r="M4411" s="25"/>
      <c r="N4411" s="25"/>
      <c r="O4411" s="25"/>
      <c r="P4411" s="25"/>
      <c r="Q4411" s="25"/>
      <c r="R4411" s="25"/>
      <c r="S4411" s="25"/>
      <c r="T4411" s="25"/>
      <c r="U4411" s="25"/>
      <c r="V4411" s="25"/>
      <c r="W4411" s="25"/>
      <c r="X4411" s="25"/>
      <c r="Y4411" s="25"/>
      <c r="Z4411" s="25"/>
    </row>
    <row r="4412" spans="1:26" ht="15.75" customHeight="1" x14ac:dyDescent="0.75">
      <c r="A4412" s="39" t="s">
        <v>17</v>
      </c>
      <c r="B4412" s="40"/>
      <c r="C4412" s="40"/>
      <c r="D4412" s="40"/>
      <c r="E4412" s="40"/>
      <c r="F4412" s="40"/>
      <c r="G4412" s="41"/>
      <c r="H4412" s="14">
        <f>MAX(0,H4411-648000)</f>
        <v>618000</v>
      </c>
      <c r="I4412" s="24" t="s">
        <v>418</v>
      </c>
      <c r="J4412" s="25"/>
      <c r="K4412" s="25"/>
      <c r="L4412" s="25"/>
      <c r="M4412" s="25"/>
      <c r="N4412" s="25"/>
      <c r="O4412" s="25"/>
      <c r="P4412" s="25"/>
      <c r="Q4412" s="25"/>
      <c r="R4412" s="25"/>
      <c r="S4412" s="25"/>
      <c r="T4412" s="25"/>
      <c r="U4412" s="25"/>
      <c r="V4412" s="25"/>
      <c r="W4412" s="25"/>
      <c r="X4412" s="25"/>
      <c r="Y4412" s="25"/>
      <c r="Z4412" s="25"/>
    </row>
    <row r="4413" spans="1:26" ht="15.75" customHeight="1" x14ac:dyDescent="0.75">
      <c r="A4413" s="42" t="s">
        <v>18</v>
      </c>
      <c r="B4413" s="40"/>
      <c r="C4413" s="40"/>
      <c r="D4413" s="40"/>
      <c r="E4413" s="40"/>
      <c r="F4413" s="40"/>
      <c r="G4413" s="41"/>
      <c r="H4413" s="15">
        <v>649000</v>
      </c>
      <c r="I4413" s="24" t="s">
        <v>418</v>
      </c>
      <c r="J4413" s="25"/>
      <c r="K4413" s="25"/>
      <c r="L4413" s="25"/>
      <c r="M4413" s="25"/>
      <c r="N4413" s="25"/>
      <c r="O4413" s="25"/>
      <c r="P4413" s="25"/>
      <c r="Q4413" s="25"/>
      <c r="R4413" s="25"/>
      <c r="S4413" s="25"/>
      <c r="T4413" s="25"/>
      <c r="U4413" s="25"/>
      <c r="V4413" s="25"/>
      <c r="W4413" s="25"/>
      <c r="X4413" s="25"/>
      <c r="Y4413" s="25"/>
      <c r="Z4413" s="25"/>
    </row>
    <row r="4414" spans="1:26" ht="15.75" customHeight="1" x14ac:dyDescent="0.75">
      <c r="A4414" s="43" t="s">
        <v>19</v>
      </c>
      <c r="B4414" s="40"/>
      <c r="C4414" s="40"/>
      <c r="D4414" s="40"/>
      <c r="E4414" s="40"/>
      <c r="F4414" s="40"/>
      <c r="G4414" s="40"/>
      <c r="H4414" s="41"/>
      <c r="I4414" s="24" t="s">
        <v>418</v>
      </c>
      <c r="J4414" s="25"/>
      <c r="K4414" s="25"/>
      <c r="L4414" s="25"/>
      <c r="M4414" s="25"/>
      <c r="N4414" s="25"/>
      <c r="O4414" s="25"/>
      <c r="P4414" s="25"/>
      <c r="Q4414" s="25"/>
      <c r="R4414" s="25"/>
      <c r="S4414" s="25"/>
      <c r="T4414" s="25"/>
      <c r="U4414" s="25"/>
      <c r="V4414" s="25"/>
      <c r="W4414" s="25"/>
      <c r="X4414" s="25"/>
      <c r="Y4414" s="25"/>
      <c r="Z4414" s="25"/>
    </row>
    <row r="4415" spans="1:26" ht="15.75" customHeight="1" x14ac:dyDescent="0.45">
      <c r="A4415" s="25"/>
      <c r="B4415" s="25"/>
      <c r="C4415" s="25"/>
      <c r="D4415" s="25"/>
      <c r="E4415" s="25"/>
      <c r="F4415" s="25"/>
      <c r="G4415" s="25"/>
      <c r="H4415" s="25"/>
      <c r="I4415" s="25"/>
      <c r="J4415" s="25"/>
      <c r="K4415" s="25"/>
      <c r="L4415" s="25"/>
      <c r="M4415" s="25"/>
      <c r="N4415" s="25"/>
      <c r="O4415" s="25"/>
      <c r="P4415" s="25"/>
      <c r="Q4415" s="25"/>
      <c r="R4415" s="25"/>
      <c r="S4415" s="25"/>
      <c r="T4415" s="25"/>
      <c r="U4415" s="25"/>
      <c r="V4415" s="25"/>
      <c r="W4415" s="25"/>
      <c r="X4415" s="25"/>
      <c r="Y4415" s="25"/>
      <c r="Z4415" s="25"/>
    </row>
    <row r="4416" spans="1:26" ht="15.75" customHeight="1" x14ac:dyDescent="0.45">
      <c r="A4416" s="25"/>
      <c r="B4416" s="25"/>
      <c r="C4416" s="25"/>
      <c r="D4416" s="25"/>
      <c r="E4416" s="25"/>
      <c r="F4416" s="25"/>
      <c r="G4416" s="25"/>
      <c r="H4416" s="25"/>
      <c r="I4416" s="25"/>
      <c r="J4416" s="25"/>
      <c r="K4416" s="25"/>
      <c r="L4416" s="25"/>
      <c r="M4416" s="25"/>
      <c r="N4416" s="25"/>
      <c r="O4416" s="25"/>
      <c r="P4416" s="25"/>
      <c r="Q4416" s="25"/>
      <c r="R4416" s="25"/>
      <c r="S4416" s="25"/>
      <c r="T4416" s="25"/>
      <c r="U4416" s="25"/>
      <c r="V4416" s="25"/>
      <c r="W4416" s="25"/>
      <c r="X4416" s="25"/>
      <c r="Y4416" s="25"/>
      <c r="Z4416" s="25"/>
    </row>
    <row r="4417" spans="1:26" ht="15.75" customHeight="1" x14ac:dyDescent="0.45">
      <c r="A4417" s="25"/>
      <c r="B4417" s="25"/>
      <c r="C4417" s="25"/>
      <c r="D4417" s="25"/>
      <c r="E4417" s="25"/>
      <c r="F4417" s="25"/>
      <c r="G4417" s="25"/>
      <c r="H4417" s="25"/>
      <c r="I4417" s="25"/>
      <c r="J4417" s="25"/>
      <c r="K4417" s="25"/>
      <c r="L4417" s="25"/>
      <c r="M4417" s="25"/>
      <c r="N4417" s="25"/>
      <c r="O4417" s="25"/>
      <c r="P4417" s="25"/>
      <c r="Q4417" s="25"/>
      <c r="R4417" s="25"/>
      <c r="S4417" s="25"/>
      <c r="T4417" s="25"/>
      <c r="U4417" s="25"/>
      <c r="V4417" s="25"/>
      <c r="W4417" s="25"/>
      <c r="X4417" s="25"/>
      <c r="Y4417" s="25"/>
      <c r="Z4417" s="25"/>
    </row>
    <row r="4418" spans="1:26" ht="15.75" customHeight="1" x14ac:dyDescent="0.45">
      <c r="A4418" s="25"/>
      <c r="B4418" s="25"/>
      <c r="C4418" s="25"/>
      <c r="D4418" s="25"/>
      <c r="E4418" s="25"/>
      <c r="F4418" s="25"/>
      <c r="G4418" s="25"/>
      <c r="H4418" s="25"/>
      <c r="I4418" s="25"/>
      <c r="J4418" s="25"/>
      <c r="K4418" s="25"/>
      <c r="L4418" s="25"/>
      <c r="M4418" s="25"/>
      <c r="N4418" s="25"/>
      <c r="O4418" s="25"/>
      <c r="P4418" s="25"/>
      <c r="Q4418" s="25"/>
      <c r="R4418" s="25"/>
      <c r="S4418" s="25"/>
      <c r="T4418" s="25"/>
      <c r="U4418" s="25"/>
      <c r="V4418" s="25"/>
      <c r="W4418" s="25"/>
      <c r="X4418" s="25"/>
      <c r="Y4418" s="25"/>
      <c r="Z4418" s="25"/>
    </row>
    <row r="4419" spans="1:26" ht="15.75" customHeight="1" x14ac:dyDescent="0.45">
      <c r="A4419" s="25"/>
      <c r="B4419" s="25"/>
      <c r="C4419" s="25"/>
      <c r="D4419" s="25"/>
      <c r="E4419" s="25"/>
      <c r="F4419" s="25"/>
      <c r="G4419" s="25"/>
      <c r="H4419" s="25"/>
      <c r="I4419" s="25"/>
      <c r="J4419" s="25"/>
      <c r="K4419" s="25"/>
      <c r="L4419" s="25"/>
      <c r="M4419" s="25"/>
      <c r="N4419" s="25"/>
      <c r="O4419" s="25"/>
      <c r="P4419" s="25"/>
      <c r="Q4419" s="25"/>
      <c r="R4419" s="25"/>
      <c r="S4419" s="25"/>
      <c r="T4419" s="25"/>
      <c r="U4419" s="25"/>
      <c r="V4419" s="25"/>
      <c r="W4419" s="25"/>
      <c r="X4419" s="25"/>
      <c r="Y4419" s="25"/>
      <c r="Z4419" s="25"/>
    </row>
    <row r="4420" spans="1:26" ht="15.75" customHeight="1" x14ac:dyDescent="0.45">
      <c r="A4420" s="25"/>
      <c r="B4420" s="25"/>
      <c r="C4420" s="25"/>
      <c r="D4420" s="25"/>
      <c r="E4420" s="25"/>
      <c r="F4420" s="25"/>
      <c r="G4420" s="25"/>
      <c r="H4420" s="25"/>
      <c r="I4420" s="25"/>
      <c r="J4420" s="25"/>
      <c r="K4420" s="25"/>
      <c r="L4420" s="25"/>
      <c r="M4420" s="25"/>
      <c r="N4420" s="25"/>
      <c r="O4420" s="25"/>
      <c r="P4420" s="25"/>
      <c r="Q4420" s="25"/>
      <c r="R4420" s="25"/>
      <c r="S4420" s="25"/>
      <c r="T4420" s="25"/>
      <c r="U4420" s="25"/>
      <c r="V4420" s="25"/>
      <c r="W4420" s="25"/>
      <c r="X4420" s="25"/>
      <c r="Y4420" s="25"/>
      <c r="Z4420" s="25"/>
    </row>
  </sheetData>
  <mergeCells count="1650">
    <mergeCell ref="A3346:H3346"/>
    <mergeCell ref="A3347:H3347"/>
    <mergeCell ref="A3352:G3352"/>
    <mergeCell ref="A3353:G3353"/>
    <mergeCell ref="A3300:H3300"/>
    <mergeCell ref="A3305:G3305"/>
    <mergeCell ref="A3306:G3306"/>
    <mergeCell ref="A3307:G3307"/>
    <mergeCell ref="A3308:H3308"/>
    <mergeCell ref="A3314:H3314"/>
    <mergeCell ref="A3315:H3315"/>
    <mergeCell ref="A3320:G3320"/>
    <mergeCell ref="A3321:G3321"/>
    <mergeCell ref="A3322:G3322"/>
    <mergeCell ref="A3323:H3323"/>
    <mergeCell ref="A3330:H3330"/>
    <mergeCell ref="A3331:H3331"/>
    <mergeCell ref="A3336:G3336"/>
    <mergeCell ref="A3337:G3337"/>
    <mergeCell ref="A3338:G3338"/>
    <mergeCell ref="A3339:H3339"/>
    <mergeCell ref="A3256:G3256"/>
    <mergeCell ref="A3257:G3257"/>
    <mergeCell ref="A3258:G3258"/>
    <mergeCell ref="A3259:H3259"/>
    <mergeCell ref="A3266:H3266"/>
    <mergeCell ref="A3267:H3267"/>
    <mergeCell ref="A3272:G3272"/>
    <mergeCell ref="A3273:G3273"/>
    <mergeCell ref="A3274:G3274"/>
    <mergeCell ref="A3275:H3275"/>
    <mergeCell ref="A3284:H3284"/>
    <mergeCell ref="A3285:H3285"/>
    <mergeCell ref="A3290:G3290"/>
    <mergeCell ref="A3291:G3291"/>
    <mergeCell ref="A3292:G3292"/>
    <mergeCell ref="A3293:H3293"/>
    <mergeCell ref="A3299:H3299"/>
    <mergeCell ref="A3194:G3194"/>
    <mergeCell ref="A3195:G3195"/>
    <mergeCell ref="A3196:G3196"/>
    <mergeCell ref="A3197:H3197"/>
    <mergeCell ref="A3203:H3203"/>
    <mergeCell ref="A3204:H3204"/>
    <mergeCell ref="A3226:G3226"/>
    <mergeCell ref="A3227:G3227"/>
    <mergeCell ref="A3228:H3228"/>
    <mergeCell ref="A3234:H3234"/>
    <mergeCell ref="A3235:H3235"/>
    <mergeCell ref="A3240:G3240"/>
    <mergeCell ref="A3241:G3241"/>
    <mergeCell ref="A3242:G3242"/>
    <mergeCell ref="A3243:H3243"/>
    <mergeCell ref="A3250:H3250"/>
    <mergeCell ref="A3251:H3251"/>
    <mergeCell ref="A3002:H3002"/>
    <mergeCell ref="A3007:G3007"/>
    <mergeCell ref="A3008:G3008"/>
    <mergeCell ref="A3009:G3009"/>
    <mergeCell ref="A3010:H3010"/>
    <mergeCell ref="A3016:H3016"/>
    <mergeCell ref="A3017:H3017"/>
    <mergeCell ref="A3022:G3022"/>
    <mergeCell ref="A3023:G3023"/>
    <mergeCell ref="A3173:H3173"/>
    <mergeCell ref="A3174:H3174"/>
    <mergeCell ref="A3179:G3179"/>
    <mergeCell ref="A3180:G3180"/>
    <mergeCell ref="A3181:G3181"/>
    <mergeCell ref="A3182:H3182"/>
    <mergeCell ref="A3188:H3188"/>
    <mergeCell ref="A3189:H3189"/>
    <mergeCell ref="A2959:G2959"/>
    <mergeCell ref="A2960:G2960"/>
    <mergeCell ref="A2961:G2961"/>
    <mergeCell ref="A2962:H2962"/>
    <mergeCell ref="A2970:H2970"/>
    <mergeCell ref="A2971:H2971"/>
    <mergeCell ref="A2976:G2976"/>
    <mergeCell ref="A2977:G2977"/>
    <mergeCell ref="A2978:G2978"/>
    <mergeCell ref="A2979:H2979"/>
    <mergeCell ref="A2986:H2986"/>
    <mergeCell ref="A2987:H2987"/>
    <mergeCell ref="A2992:G2992"/>
    <mergeCell ref="A2993:G2993"/>
    <mergeCell ref="A2994:G2994"/>
    <mergeCell ref="A2995:H2995"/>
    <mergeCell ref="A3001:H3001"/>
    <mergeCell ref="A2914:G2914"/>
    <mergeCell ref="A2915:G2915"/>
    <mergeCell ref="A2916:H2916"/>
    <mergeCell ref="A2922:H2922"/>
    <mergeCell ref="A2923:H2923"/>
    <mergeCell ref="A2928:G2928"/>
    <mergeCell ref="A2929:G2929"/>
    <mergeCell ref="A2930:G2930"/>
    <mergeCell ref="A2931:H2931"/>
    <mergeCell ref="A2937:H2937"/>
    <mergeCell ref="A2938:H2938"/>
    <mergeCell ref="A2943:G2943"/>
    <mergeCell ref="A2944:G2944"/>
    <mergeCell ref="A2945:G2945"/>
    <mergeCell ref="A2946:H2946"/>
    <mergeCell ref="A2953:H2953"/>
    <mergeCell ref="A2954:H2954"/>
    <mergeCell ref="A2800:H2800"/>
    <mergeCell ref="A2801:H2801"/>
    <mergeCell ref="A2806:G2806"/>
    <mergeCell ref="A2807:G2807"/>
    <mergeCell ref="A2883:G2883"/>
    <mergeCell ref="A2884:G2884"/>
    <mergeCell ref="A2885:G2885"/>
    <mergeCell ref="A2886:H2886"/>
    <mergeCell ref="A2892:H2892"/>
    <mergeCell ref="A2893:H2893"/>
    <mergeCell ref="A2898:G2898"/>
    <mergeCell ref="A2899:G2899"/>
    <mergeCell ref="A2900:G2900"/>
    <mergeCell ref="A2901:H2901"/>
    <mergeCell ref="A2907:H2907"/>
    <mergeCell ref="A2908:H2908"/>
    <mergeCell ref="A2913:G2913"/>
    <mergeCell ref="A2855:H2855"/>
    <mergeCell ref="A2862:H2862"/>
    <mergeCell ref="A2863:H2863"/>
    <mergeCell ref="A2868:G2868"/>
    <mergeCell ref="A2869:G2869"/>
    <mergeCell ref="A2870:G2870"/>
    <mergeCell ref="A2871:H2871"/>
    <mergeCell ref="A2877:H2877"/>
    <mergeCell ref="A2878:H2878"/>
    <mergeCell ref="A2700:G2700"/>
    <mergeCell ref="A2701:H2701"/>
    <mergeCell ref="A2707:H2707"/>
    <mergeCell ref="A2708:H2708"/>
    <mergeCell ref="A2713:G2713"/>
    <mergeCell ref="A2714:G2714"/>
    <mergeCell ref="A2715:G2715"/>
    <mergeCell ref="A2716:H2716"/>
    <mergeCell ref="A2722:H2722"/>
    <mergeCell ref="A2723:H2723"/>
    <mergeCell ref="A2728:G2728"/>
    <mergeCell ref="A2729:G2729"/>
    <mergeCell ref="A2730:G2730"/>
    <mergeCell ref="A2731:H2731"/>
    <mergeCell ref="A2738:H2738"/>
    <mergeCell ref="A2739:H2739"/>
    <mergeCell ref="A2744:G2744"/>
    <mergeCell ref="A2745:G2745"/>
    <mergeCell ref="A2746:G2746"/>
    <mergeCell ref="A2747:H2747"/>
    <mergeCell ref="A2754:H2754"/>
    <mergeCell ref="A2755:H2755"/>
    <mergeCell ref="A2760:G2760"/>
    <mergeCell ref="A2816:H2816"/>
    <mergeCell ref="A2817:H2817"/>
    <mergeCell ref="A2822:G2822"/>
    <mergeCell ref="A2823:G2823"/>
    <mergeCell ref="A2824:G2824"/>
    <mergeCell ref="A2825:H2825"/>
    <mergeCell ref="A2832:H2832"/>
    <mergeCell ref="A2833:H2833"/>
    <mergeCell ref="A2838:G2838"/>
    <mergeCell ref="A2839:G2839"/>
    <mergeCell ref="A2840:G2840"/>
    <mergeCell ref="A2841:H2841"/>
    <mergeCell ref="A2846:H2846"/>
    <mergeCell ref="A2847:H2847"/>
    <mergeCell ref="A2852:G2852"/>
    <mergeCell ref="A2853:G2853"/>
    <mergeCell ref="A2854:G2854"/>
    <mergeCell ref="A2661:H2661"/>
    <mergeCell ref="A2666:G2666"/>
    <mergeCell ref="A2667:G2667"/>
    <mergeCell ref="A2668:G2668"/>
    <mergeCell ref="A2669:H2669"/>
    <mergeCell ref="A2678:H2678"/>
    <mergeCell ref="A2679:H2679"/>
    <mergeCell ref="A2684:G2684"/>
    <mergeCell ref="A2685:G2685"/>
    <mergeCell ref="A2686:G2686"/>
    <mergeCell ref="A2687:H2687"/>
    <mergeCell ref="A2692:H2692"/>
    <mergeCell ref="A2693:H2693"/>
    <mergeCell ref="A2698:G2698"/>
    <mergeCell ref="A2699:G2699"/>
    <mergeCell ref="A2808:G2808"/>
    <mergeCell ref="A2809:H2809"/>
    <mergeCell ref="A2761:G2761"/>
    <mergeCell ref="A2762:G2762"/>
    <mergeCell ref="A2763:H2763"/>
    <mergeCell ref="A2768:H2768"/>
    <mergeCell ref="A2769:H2769"/>
    <mergeCell ref="A2774:G2774"/>
    <mergeCell ref="A2775:G2775"/>
    <mergeCell ref="A2776:G2776"/>
    <mergeCell ref="A2777:H2777"/>
    <mergeCell ref="A2785:H2785"/>
    <mergeCell ref="A2786:H2786"/>
    <mergeCell ref="A2791:G2791"/>
    <mergeCell ref="A2792:G2792"/>
    <mergeCell ref="A2793:G2793"/>
    <mergeCell ref="A2794:H2794"/>
    <mergeCell ref="A2620:G2620"/>
    <mergeCell ref="A2621:G2621"/>
    <mergeCell ref="A2622:G2622"/>
    <mergeCell ref="A2623:H2623"/>
    <mergeCell ref="A2628:H2628"/>
    <mergeCell ref="A2629:H2629"/>
    <mergeCell ref="A2634:G2634"/>
    <mergeCell ref="A2635:G2635"/>
    <mergeCell ref="A2636:G2636"/>
    <mergeCell ref="A2637:H2637"/>
    <mergeCell ref="A2643:H2643"/>
    <mergeCell ref="A2644:H2644"/>
    <mergeCell ref="A2649:G2649"/>
    <mergeCell ref="A2650:G2650"/>
    <mergeCell ref="A2651:G2651"/>
    <mergeCell ref="A2652:H2652"/>
    <mergeCell ref="A2660:H2660"/>
    <mergeCell ref="A3116:G3116"/>
    <mergeCell ref="A3117:G3117"/>
    <mergeCell ref="A3118:G3118"/>
    <mergeCell ref="A3119:H3119"/>
    <mergeCell ref="A3125:H3125"/>
    <mergeCell ref="A3126:H3126"/>
    <mergeCell ref="A3131:G3131"/>
    <mergeCell ref="A3132:G3132"/>
    <mergeCell ref="A3209:G3209"/>
    <mergeCell ref="A3210:G3210"/>
    <mergeCell ref="A3211:G3211"/>
    <mergeCell ref="A3212:H3212"/>
    <mergeCell ref="A3219:H3219"/>
    <mergeCell ref="A3220:H3220"/>
    <mergeCell ref="A3225:G3225"/>
    <mergeCell ref="A2575:G2575"/>
    <mergeCell ref="A2576:G2576"/>
    <mergeCell ref="A2577:H2577"/>
    <mergeCell ref="A2583:H2583"/>
    <mergeCell ref="A2584:H2584"/>
    <mergeCell ref="A2589:G2589"/>
    <mergeCell ref="A2590:G2590"/>
    <mergeCell ref="A2591:G2591"/>
    <mergeCell ref="A2592:H2592"/>
    <mergeCell ref="A2599:H2599"/>
    <mergeCell ref="A2600:H2600"/>
    <mergeCell ref="A2605:G2605"/>
    <mergeCell ref="A2606:G2606"/>
    <mergeCell ref="A2607:G2607"/>
    <mergeCell ref="A2608:H2608"/>
    <mergeCell ref="A2614:H2614"/>
    <mergeCell ref="A2615:H2615"/>
    <mergeCell ref="A3070:G3070"/>
    <mergeCell ref="A3071:G3071"/>
    <mergeCell ref="A3072:H3072"/>
    <mergeCell ref="A3078:H3078"/>
    <mergeCell ref="A3079:H3079"/>
    <mergeCell ref="A3084:G3084"/>
    <mergeCell ref="A3085:G3085"/>
    <mergeCell ref="A3086:G3086"/>
    <mergeCell ref="A3087:H3087"/>
    <mergeCell ref="A3094:H3094"/>
    <mergeCell ref="A3095:H3095"/>
    <mergeCell ref="A3100:G3100"/>
    <mergeCell ref="A3101:G3101"/>
    <mergeCell ref="A3102:G3102"/>
    <mergeCell ref="A3103:H3103"/>
    <mergeCell ref="A3110:H3110"/>
    <mergeCell ref="A3111:H3111"/>
    <mergeCell ref="A2574:G2574"/>
    <mergeCell ref="A3133:G3133"/>
    <mergeCell ref="A3134:H3134"/>
    <mergeCell ref="A3141:H3141"/>
    <mergeCell ref="A3142:H3142"/>
    <mergeCell ref="A3147:G3147"/>
    <mergeCell ref="A3148:G3148"/>
    <mergeCell ref="A3149:G3149"/>
    <mergeCell ref="A3150:H3150"/>
    <mergeCell ref="A3156:H3156"/>
    <mergeCell ref="A3157:H3157"/>
    <mergeCell ref="A3162:G3162"/>
    <mergeCell ref="A3163:G3163"/>
    <mergeCell ref="A3164:G3164"/>
    <mergeCell ref="A3165:H3165"/>
    <mergeCell ref="A3024:G3024"/>
    <mergeCell ref="A3025:H3025"/>
    <mergeCell ref="A3032:H3032"/>
    <mergeCell ref="A3033:H3033"/>
    <mergeCell ref="A3038:G3038"/>
    <mergeCell ref="A3039:G3039"/>
    <mergeCell ref="A3040:G3040"/>
    <mergeCell ref="A3041:H3041"/>
    <mergeCell ref="A3047:H3047"/>
    <mergeCell ref="A3048:H3048"/>
    <mergeCell ref="A3053:G3053"/>
    <mergeCell ref="A3054:G3054"/>
    <mergeCell ref="A3055:G3055"/>
    <mergeCell ref="A3056:H3056"/>
    <mergeCell ref="A3063:H3063"/>
    <mergeCell ref="A3064:H3064"/>
    <mergeCell ref="A3069:G3069"/>
    <mergeCell ref="A2450:H2450"/>
    <mergeCell ref="A2458:H2458"/>
    <mergeCell ref="A2459:H2459"/>
    <mergeCell ref="A2464:G2464"/>
    <mergeCell ref="A2465:G2465"/>
    <mergeCell ref="A2466:G2466"/>
    <mergeCell ref="A2467:H2467"/>
    <mergeCell ref="A2473:H2473"/>
    <mergeCell ref="A2474:H2474"/>
    <mergeCell ref="A2479:G2479"/>
    <mergeCell ref="A2480:G2480"/>
    <mergeCell ref="A2561:G2561"/>
    <mergeCell ref="A2562:G2562"/>
    <mergeCell ref="A2563:G2563"/>
    <mergeCell ref="A2564:H2564"/>
    <mergeCell ref="A2568:H2568"/>
    <mergeCell ref="A2569:H2569"/>
    <mergeCell ref="A2519:G2519"/>
    <mergeCell ref="A2520:H2520"/>
    <mergeCell ref="A2527:H2527"/>
    <mergeCell ref="A2528:H2528"/>
    <mergeCell ref="A2533:G2533"/>
    <mergeCell ref="A2534:G2534"/>
    <mergeCell ref="A2535:G2535"/>
    <mergeCell ref="A2536:H2536"/>
    <mergeCell ref="A2541:H2541"/>
    <mergeCell ref="A2542:H2542"/>
    <mergeCell ref="A2547:G2547"/>
    <mergeCell ref="A2548:G2548"/>
    <mergeCell ref="A2549:G2549"/>
    <mergeCell ref="A2550:H2550"/>
    <mergeCell ref="A2555:H2555"/>
    <mergeCell ref="A2556:H2556"/>
    <mergeCell ref="A2351:G2351"/>
    <mergeCell ref="A2352:H2352"/>
    <mergeCell ref="A2363:H2363"/>
    <mergeCell ref="A2364:H2364"/>
    <mergeCell ref="A2369:G2369"/>
    <mergeCell ref="A2370:G2370"/>
    <mergeCell ref="A2371:G2371"/>
    <mergeCell ref="A2372:H2372"/>
    <mergeCell ref="A2379:H2379"/>
    <mergeCell ref="A2380:H2380"/>
    <mergeCell ref="A2385:G2385"/>
    <mergeCell ref="A2386:G2386"/>
    <mergeCell ref="A2387:G2387"/>
    <mergeCell ref="A2388:H2388"/>
    <mergeCell ref="A2399:H2399"/>
    <mergeCell ref="A2400:H2400"/>
    <mergeCell ref="A2330:H2330"/>
    <mergeCell ref="A2343:H2343"/>
    <mergeCell ref="A2344:H2344"/>
    <mergeCell ref="A2349:G2349"/>
    <mergeCell ref="A2350:G2350"/>
    <mergeCell ref="A2481:G2481"/>
    <mergeCell ref="A2482:H2482"/>
    <mergeCell ref="A2495:H2495"/>
    <mergeCell ref="A2496:H2496"/>
    <mergeCell ref="A2501:G2501"/>
    <mergeCell ref="A2502:G2502"/>
    <mergeCell ref="A2503:G2503"/>
    <mergeCell ref="A2504:H2504"/>
    <mergeCell ref="A2511:H2511"/>
    <mergeCell ref="A2512:H2512"/>
    <mergeCell ref="A2517:G2517"/>
    <mergeCell ref="A2518:G2518"/>
    <mergeCell ref="A2405:G2405"/>
    <mergeCell ref="A2406:G2406"/>
    <mergeCell ref="A2407:G2407"/>
    <mergeCell ref="A2408:H2408"/>
    <mergeCell ref="A2426:H2426"/>
    <mergeCell ref="A2427:H2427"/>
    <mergeCell ref="A2432:G2432"/>
    <mergeCell ref="A2433:G2433"/>
    <mergeCell ref="A2434:G2434"/>
    <mergeCell ref="A2435:H2435"/>
    <mergeCell ref="A2441:H2441"/>
    <mergeCell ref="A2442:H2442"/>
    <mergeCell ref="A2447:G2447"/>
    <mergeCell ref="A2448:G2448"/>
    <mergeCell ref="A2449:G2449"/>
    <mergeCell ref="A2293:H2293"/>
    <mergeCell ref="A2294:H2294"/>
    <mergeCell ref="A2299:G2299"/>
    <mergeCell ref="A2300:G2300"/>
    <mergeCell ref="A2301:G2301"/>
    <mergeCell ref="A2302:H2302"/>
    <mergeCell ref="A2308:H2308"/>
    <mergeCell ref="A2309:H2309"/>
    <mergeCell ref="A2314:G2314"/>
    <mergeCell ref="A2315:G2315"/>
    <mergeCell ref="A2316:G2316"/>
    <mergeCell ref="A2317:H2317"/>
    <mergeCell ref="A2321:H2321"/>
    <mergeCell ref="A2322:H2322"/>
    <mergeCell ref="A2327:G2327"/>
    <mergeCell ref="A2328:G2328"/>
    <mergeCell ref="A2329:G2329"/>
    <mergeCell ref="A2244:H2244"/>
    <mergeCell ref="A2249:G2249"/>
    <mergeCell ref="A2250:G2250"/>
    <mergeCell ref="A2251:G2251"/>
    <mergeCell ref="A2252:H2252"/>
    <mergeCell ref="A2259:H2259"/>
    <mergeCell ref="A2260:H2260"/>
    <mergeCell ref="A2265:G2265"/>
    <mergeCell ref="A2266:G2266"/>
    <mergeCell ref="A2267:G2267"/>
    <mergeCell ref="A2268:H2268"/>
    <mergeCell ref="A2275:H2275"/>
    <mergeCell ref="A2276:H2276"/>
    <mergeCell ref="A2281:G2281"/>
    <mergeCell ref="A2282:G2282"/>
    <mergeCell ref="A2283:G2283"/>
    <mergeCell ref="A2284:H2284"/>
    <mergeCell ref="A2194:G2194"/>
    <mergeCell ref="A2195:G2195"/>
    <mergeCell ref="A2196:G2196"/>
    <mergeCell ref="A2197:H2197"/>
    <mergeCell ref="A2208:H2208"/>
    <mergeCell ref="A2209:H2209"/>
    <mergeCell ref="A2214:G2214"/>
    <mergeCell ref="A2215:G2215"/>
    <mergeCell ref="A2216:G2216"/>
    <mergeCell ref="A2217:H2217"/>
    <mergeCell ref="A2227:H2227"/>
    <mergeCell ref="A2228:H2228"/>
    <mergeCell ref="A2233:G2233"/>
    <mergeCell ref="A2234:G2234"/>
    <mergeCell ref="A2235:G2235"/>
    <mergeCell ref="A2236:H2236"/>
    <mergeCell ref="A2243:H2243"/>
    <mergeCell ref="A2178:G2178"/>
    <mergeCell ref="A2179:H2179"/>
    <mergeCell ref="A2188:H2188"/>
    <mergeCell ref="A2189:H2189"/>
    <mergeCell ref="A2008:G2008"/>
    <mergeCell ref="A2009:H2009"/>
    <mergeCell ref="A2015:H2015"/>
    <mergeCell ref="A2016:H2016"/>
    <mergeCell ref="A2021:G2021"/>
    <mergeCell ref="A2022:G2022"/>
    <mergeCell ref="A2023:G2023"/>
    <mergeCell ref="A2024:H2024"/>
    <mergeCell ref="A2030:H2030"/>
    <mergeCell ref="A2031:H2031"/>
    <mergeCell ref="A2036:G2036"/>
    <mergeCell ref="A2037:G2037"/>
    <mergeCell ref="A2038:G2038"/>
    <mergeCell ref="A2039:H2039"/>
    <mergeCell ref="A2044:H2044"/>
    <mergeCell ref="A2045:H2045"/>
    <mergeCell ref="A2050:G2050"/>
    <mergeCell ref="A2051:G2051"/>
    <mergeCell ref="A2052:G2052"/>
    <mergeCell ref="A2053:H2053"/>
    <mergeCell ref="A2057:H2057"/>
    <mergeCell ref="A2058:H2058"/>
    <mergeCell ref="A2063:G2063"/>
    <mergeCell ref="A2064:G2064"/>
    <mergeCell ref="A2065:G2065"/>
    <mergeCell ref="A2066:H2066"/>
    <mergeCell ref="A2073:H2073"/>
    <mergeCell ref="A2074:H2074"/>
    <mergeCell ref="A2132:H2132"/>
    <mergeCell ref="A2140:H2140"/>
    <mergeCell ref="A2141:H2141"/>
    <mergeCell ref="A2146:G2146"/>
    <mergeCell ref="A2147:G2147"/>
    <mergeCell ref="A2148:G2148"/>
    <mergeCell ref="A2149:H2149"/>
    <mergeCell ref="A2157:H2157"/>
    <mergeCell ref="A2158:H2158"/>
    <mergeCell ref="A2163:G2163"/>
    <mergeCell ref="A2164:G2164"/>
    <mergeCell ref="A2165:G2165"/>
    <mergeCell ref="A2166:H2166"/>
    <mergeCell ref="A2170:H2170"/>
    <mergeCell ref="A2171:H2171"/>
    <mergeCell ref="A2176:G2176"/>
    <mergeCell ref="A2177:G2177"/>
    <mergeCell ref="A1985:H1985"/>
    <mergeCell ref="A1986:H1986"/>
    <mergeCell ref="A1991:G1991"/>
    <mergeCell ref="A1992:G1992"/>
    <mergeCell ref="A1993:G1993"/>
    <mergeCell ref="A1994:H1994"/>
    <mergeCell ref="A2000:H2000"/>
    <mergeCell ref="A2001:H2001"/>
    <mergeCell ref="A2006:G2006"/>
    <mergeCell ref="A2007:G2007"/>
    <mergeCell ref="A2116:G2116"/>
    <mergeCell ref="A2117:H2117"/>
    <mergeCell ref="A2123:H2123"/>
    <mergeCell ref="A2124:H2124"/>
    <mergeCell ref="A2129:G2129"/>
    <mergeCell ref="A2130:G2130"/>
    <mergeCell ref="A2131:G2131"/>
    <mergeCell ref="A2079:G2079"/>
    <mergeCell ref="A2080:G2080"/>
    <mergeCell ref="A2081:G2081"/>
    <mergeCell ref="A2082:H2082"/>
    <mergeCell ref="A2089:H2089"/>
    <mergeCell ref="A2090:H2090"/>
    <mergeCell ref="A2095:G2095"/>
    <mergeCell ref="A2096:G2096"/>
    <mergeCell ref="A2097:G2097"/>
    <mergeCell ref="A2098:H2098"/>
    <mergeCell ref="A2108:H2108"/>
    <mergeCell ref="A2109:H2109"/>
    <mergeCell ref="A2114:G2114"/>
    <mergeCell ref="A2115:G2115"/>
    <mergeCell ref="A1944:H1944"/>
    <mergeCell ref="A1949:G1949"/>
    <mergeCell ref="A1950:G1950"/>
    <mergeCell ref="A1951:G1951"/>
    <mergeCell ref="A1952:H1952"/>
    <mergeCell ref="A1957:H1957"/>
    <mergeCell ref="A1958:H1958"/>
    <mergeCell ref="A1963:G1963"/>
    <mergeCell ref="A1964:G1964"/>
    <mergeCell ref="A1965:G1965"/>
    <mergeCell ref="A1966:H1966"/>
    <mergeCell ref="A1971:H1971"/>
    <mergeCell ref="A1972:H1972"/>
    <mergeCell ref="A1977:G1977"/>
    <mergeCell ref="A1978:G1978"/>
    <mergeCell ref="A1979:G1979"/>
    <mergeCell ref="A1980:H1980"/>
    <mergeCell ref="A1899:G1899"/>
    <mergeCell ref="A1900:G1900"/>
    <mergeCell ref="A1901:G1901"/>
    <mergeCell ref="A1902:H1902"/>
    <mergeCell ref="A1909:H1909"/>
    <mergeCell ref="A1910:H1910"/>
    <mergeCell ref="A1915:G1915"/>
    <mergeCell ref="A1916:G1916"/>
    <mergeCell ref="A1917:G1917"/>
    <mergeCell ref="A1918:H1918"/>
    <mergeCell ref="A1929:H1929"/>
    <mergeCell ref="A1930:H1930"/>
    <mergeCell ref="A1935:G1935"/>
    <mergeCell ref="A1936:G1936"/>
    <mergeCell ref="A1937:G1937"/>
    <mergeCell ref="A1938:H1938"/>
    <mergeCell ref="A1943:H1943"/>
    <mergeCell ref="A1837:G1837"/>
    <mergeCell ref="A1838:G1838"/>
    <mergeCell ref="A1839:G1839"/>
    <mergeCell ref="A1840:H1840"/>
    <mergeCell ref="A1846:H1846"/>
    <mergeCell ref="A1847:H1847"/>
    <mergeCell ref="A1852:G1852"/>
    <mergeCell ref="A1853:G1853"/>
    <mergeCell ref="A1854:G1854"/>
    <mergeCell ref="A1855:H1855"/>
    <mergeCell ref="A1862:H1862"/>
    <mergeCell ref="A1863:H1863"/>
    <mergeCell ref="A1884:G1884"/>
    <mergeCell ref="A1885:G1885"/>
    <mergeCell ref="A1886:H1886"/>
    <mergeCell ref="A1893:H1893"/>
    <mergeCell ref="A1894:H1894"/>
    <mergeCell ref="A1634:H1634"/>
    <mergeCell ref="A1639:G1639"/>
    <mergeCell ref="A1640:G1640"/>
    <mergeCell ref="A1641:G1641"/>
    <mergeCell ref="A1642:H1642"/>
    <mergeCell ref="A1656:H1656"/>
    <mergeCell ref="A1657:H1657"/>
    <mergeCell ref="A1662:G1662"/>
    <mergeCell ref="A1663:G1663"/>
    <mergeCell ref="A1664:G1664"/>
    <mergeCell ref="A1665:H1665"/>
    <mergeCell ref="A1675:H1675"/>
    <mergeCell ref="A1676:H1676"/>
    <mergeCell ref="A1681:G1681"/>
    <mergeCell ref="A1682:G1682"/>
    <mergeCell ref="A1831:H1831"/>
    <mergeCell ref="A1832:H1832"/>
    <mergeCell ref="A1584:G1584"/>
    <mergeCell ref="A1585:G1585"/>
    <mergeCell ref="A1586:G1586"/>
    <mergeCell ref="A1587:H1587"/>
    <mergeCell ref="A1595:H1595"/>
    <mergeCell ref="A1596:H1596"/>
    <mergeCell ref="A1601:G1601"/>
    <mergeCell ref="A1602:G1602"/>
    <mergeCell ref="A1603:G1603"/>
    <mergeCell ref="A1604:H1604"/>
    <mergeCell ref="A1615:H1615"/>
    <mergeCell ref="A1616:H1616"/>
    <mergeCell ref="A1621:G1621"/>
    <mergeCell ref="A1622:G1622"/>
    <mergeCell ref="A1623:G1623"/>
    <mergeCell ref="A1624:H1624"/>
    <mergeCell ref="A1633:H1633"/>
    <mergeCell ref="A1531:G1531"/>
    <mergeCell ref="A1532:G1532"/>
    <mergeCell ref="A1533:H1533"/>
    <mergeCell ref="A1544:H1544"/>
    <mergeCell ref="A1545:H1545"/>
    <mergeCell ref="A1550:G1550"/>
    <mergeCell ref="A1551:G1551"/>
    <mergeCell ref="A1552:G1552"/>
    <mergeCell ref="A1553:H1553"/>
    <mergeCell ref="A1562:H1562"/>
    <mergeCell ref="A1563:H1563"/>
    <mergeCell ref="A1568:G1568"/>
    <mergeCell ref="A1569:G1569"/>
    <mergeCell ref="A1570:G1570"/>
    <mergeCell ref="A1571:H1571"/>
    <mergeCell ref="A1578:H1578"/>
    <mergeCell ref="A1579:H1579"/>
    <mergeCell ref="A1403:H1403"/>
    <mergeCell ref="A1404:H1404"/>
    <mergeCell ref="A1409:G1409"/>
    <mergeCell ref="A1410:G1410"/>
    <mergeCell ref="A1411:G1411"/>
    <mergeCell ref="A1412:H1412"/>
    <mergeCell ref="A1418:H1418"/>
    <mergeCell ref="A1419:H1419"/>
    <mergeCell ref="A1424:G1424"/>
    <mergeCell ref="A1425:G1425"/>
    <mergeCell ref="A1512:G1512"/>
    <mergeCell ref="A1513:G1513"/>
    <mergeCell ref="A1514:G1514"/>
    <mergeCell ref="A1515:H1515"/>
    <mergeCell ref="A1524:H1524"/>
    <mergeCell ref="A1525:H1525"/>
    <mergeCell ref="A1530:G1530"/>
    <mergeCell ref="A1354:H1354"/>
    <mergeCell ref="A1359:G1359"/>
    <mergeCell ref="A1360:G1360"/>
    <mergeCell ref="A1361:G1361"/>
    <mergeCell ref="A1362:H1362"/>
    <mergeCell ref="A1368:H1368"/>
    <mergeCell ref="A1369:H1369"/>
    <mergeCell ref="A1374:G1374"/>
    <mergeCell ref="A1375:G1375"/>
    <mergeCell ref="A1376:G1376"/>
    <mergeCell ref="A1377:H1377"/>
    <mergeCell ref="A1385:H1385"/>
    <mergeCell ref="A1386:H1386"/>
    <mergeCell ref="A1391:G1391"/>
    <mergeCell ref="A1392:G1392"/>
    <mergeCell ref="A1393:G1393"/>
    <mergeCell ref="A1394:H1394"/>
    <mergeCell ref="A1461:G1461"/>
    <mergeCell ref="A1462:G1462"/>
    <mergeCell ref="A1463:H1463"/>
    <mergeCell ref="A1473:H1473"/>
    <mergeCell ref="A1474:H1474"/>
    <mergeCell ref="A1479:G1479"/>
    <mergeCell ref="A1480:G1480"/>
    <mergeCell ref="A1481:G1481"/>
    <mergeCell ref="A1482:H1482"/>
    <mergeCell ref="A1489:H1489"/>
    <mergeCell ref="A1490:H1490"/>
    <mergeCell ref="A1495:G1495"/>
    <mergeCell ref="A1496:G1496"/>
    <mergeCell ref="A1497:G1497"/>
    <mergeCell ref="A1498:H1498"/>
    <mergeCell ref="A1506:H1506"/>
    <mergeCell ref="A1507:H1507"/>
    <mergeCell ref="A1295:G1295"/>
    <mergeCell ref="A1296:H1296"/>
    <mergeCell ref="A1305:H1305"/>
    <mergeCell ref="A1306:H1306"/>
    <mergeCell ref="A1311:G1311"/>
    <mergeCell ref="A1312:G1312"/>
    <mergeCell ref="A1426:G1426"/>
    <mergeCell ref="A1427:H1427"/>
    <mergeCell ref="A1438:H1438"/>
    <mergeCell ref="A1439:H1439"/>
    <mergeCell ref="A1444:G1444"/>
    <mergeCell ref="A1445:G1445"/>
    <mergeCell ref="A1446:G1446"/>
    <mergeCell ref="A1447:H1447"/>
    <mergeCell ref="A1454:H1454"/>
    <mergeCell ref="A1455:H1455"/>
    <mergeCell ref="A1460:G1460"/>
    <mergeCell ref="A1313:G1313"/>
    <mergeCell ref="A1314:H1314"/>
    <mergeCell ref="A1319:H1319"/>
    <mergeCell ref="A1320:H1320"/>
    <mergeCell ref="A1325:G1325"/>
    <mergeCell ref="A1326:G1326"/>
    <mergeCell ref="A1327:G1327"/>
    <mergeCell ref="A1328:H1328"/>
    <mergeCell ref="A1337:H1337"/>
    <mergeCell ref="A1338:H1338"/>
    <mergeCell ref="A1343:G1343"/>
    <mergeCell ref="A1344:G1344"/>
    <mergeCell ref="A1345:G1345"/>
    <mergeCell ref="A1346:H1346"/>
    <mergeCell ref="A1353:H1353"/>
    <mergeCell ref="A1235:H1235"/>
    <mergeCell ref="A1244:H1244"/>
    <mergeCell ref="A1245:H1245"/>
    <mergeCell ref="A1250:G1250"/>
    <mergeCell ref="A1251:G1251"/>
    <mergeCell ref="A1252:G1252"/>
    <mergeCell ref="A1253:H1253"/>
    <mergeCell ref="A1266:H1266"/>
    <mergeCell ref="A1267:H1267"/>
    <mergeCell ref="A1272:G1272"/>
    <mergeCell ref="A1273:G1273"/>
    <mergeCell ref="A1274:G1274"/>
    <mergeCell ref="A1275:H1275"/>
    <mergeCell ref="A1287:H1287"/>
    <mergeCell ref="A1288:H1288"/>
    <mergeCell ref="A1293:G1293"/>
    <mergeCell ref="A1294:G1294"/>
    <mergeCell ref="A1868:G1868"/>
    <mergeCell ref="A1869:G1869"/>
    <mergeCell ref="A1870:G1870"/>
    <mergeCell ref="A1871:H1871"/>
    <mergeCell ref="A1877:H1877"/>
    <mergeCell ref="A1878:H1878"/>
    <mergeCell ref="A1883:G1883"/>
    <mergeCell ref="A1154:G1154"/>
    <mergeCell ref="A1155:G1155"/>
    <mergeCell ref="A1156:H1156"/>
    <mergeCell ref="A1161:H1161"/>
    <mergeCell ref="A1162:H1162"/>
    <mergeCell ref="A1167:G1167"/>
    <mergeCell ref="A1168:G1168"/>
    <mergeCell ref="A1169:G1169"/>
    <mergeCell ref="A1170:H1170"/>
    <mergeCell ref="A1182:H1182"/>
    <mergeCell ref="A1183:H1183"/>
    <mergeCell ref="A1188:G1188"/>
    <mergeCell ref="A1189:G1189"/>
    <mergeCell ref="A1190:G1190"/>
    <mergeCell ref="A1191:H1191"/>
    <mergeCell ref="A1208:H1208"/>
    <mergeCell ref="A1209:H1209"/>
    <mergeCell ref="A1214:G1214"/>
    <mergeCell ref="A1215:G1215"/>
    <mergeCell ref="A1216:G1216"/>
    <mergeCell ref="A1217:H1217"/>
    <mergeCell ref="A1226:H1226"/>
    <mergeCell ref="A1227:H1227"/>
    <mergeCell ref="A1232:G1232"/>
    <mergeCell ref="A1233:G1233"/>
    <mergeCell ref="A1822:G1822"/>
    <mergeCell ref="A1823:G1823"/>
    <mergeCell ref="A1824:G1824"/>
    <mergeCell ref="A1825:H1825"/>
    <mergeCell ref="A1683:G1683"/>
    <mergeCell ref="A1684:H1684"/>
    <mergeCell ref="A1689:H1689"/>
    <mergeCell ref="A1690:H1690"/>
    <mergeCell ref="A1695:G1695"/>
    <mergeCell ref="A1696:G1696"/>
    <mergeCell ref="A1697:G1697"/>
    <mergeCell ref="A1698:H1698"/>
    <mergeCell ref="A1704:H1704"/>
    <mergeCell ref="A1705:H1705"/>
    <mergeCell ref="A1710:G1710"/>
    <mergeCell ref="A1711:G1711"/>
    <mergeCell ref="A1712:G1712"/>
    <mergeCell ref="A1713:H1713"/>
    <mergeCell ref="A1720:H1720"/>
    <mergeCell ref="A1721:H1721"/>
    <mergeCell ref="A1726:G1726"/>
    <mergeCell ref="A1727:G1727"/>
    <mergeCell ref="A1728:G1728"/>
    <mergeCell ref="A1729:H1729"/>
    <mergeCell ref="A1734:H1734"/>
    <mergeCell ref="A1735:H1735"/>
    <mergeCell ref="A1740:G1740"/>
    <mergeCell ref="A1741:G1741"/>
    <mergeCell ref="A1742:G1742"/>
    <mergeCell ref="A1743:H1743"/>
    <mergeCell ref="A1749:H1749"/>
    <mergeCell ref="A1750:H1750"/>
    <mergeCell ref="A1134:G1134"/>
    <mergeCell ref="A1135:G1135"/>
    <mergeCell ref="A1136:G1136"/>
    <mergeCell ref="A1137:H1137"/>
    <mergeCell ref="A1147:H1147"/>
    <mergeCell ref="A1148:H1148"/>
    <mergeCell ref="A1153:G1153"/>
    <mergeCell ref="A1791:G1791"/>
    <mergeCell ref="A1792:H1792"/>
    <mergeCell ref="A1800:H1800"/>
    <mergeCell ref="A1801:H1801"/>
    <mergeCell ref="A1806:G1806"/>
    <mergeCell ref="A1807:G1807"/>
    <mergeCell ref="A1808:G1808"/>
    <mergeCell ref="A1809:H1809"/>
    <mergeCell ref="A1816:H1816"/>
    <mergeCell ref="A1817:H1817"/>
    <mergeCell ref="A1755:G1755"/>
    <mergeCell ref="A1756:G1756"/>
    <mergeCell ref="A1757:G1757"/>
    <mergeCell ref="A1758:H1758"/>
    <mergeCell ref="A1766:H1766"/>
    <mergeCell ref="A1767:H1767"/>
    <mergeCell ref="A1772:G1772"/>
    <mergeCell ref="A1773:G1773"/>
    <mergeCell ref="A1774:G1774"/>
    <mergeCell ref="A1775:H1775"/>
    <mergeCell ref="A1783:H1783"/>
    <mergeCell ref="A1784:H1784"/>
    <mergeCell ref="A1789:G1789"/>
    <mergeCell ref="A1790:G1790"/>
    <mergeCell ref="A1234:G1234"/>
    <mergeCell ref="A1129:H1129"/>
    <mergeCell ref="A943:G943"/>
    <mergeCell ref="A944:H944"/>
    <mergeCell ref="A950:H950"/>
    <mergeCell ref="A951:H951"/>
    <mergeCell ref="A956:G956"/>
    <mergeCell ref="A957:G957"/>
    <mergeCell ref="A958:G958"/>
    <mergeCell ref="A959:H959"/>
    <mergeCell ref="A968:H968"/>
    <mergeCell ref="A969:H969"/>
    <mergeCell ref="A974:G974"/>
    <mergeCell ref="A975:G975"/>
    <mergeCell ref="A976:G976"/>
    <mergeCell ref="A977:H977"/>
    <mergeCell ref="A987:H987"/>
    <mergeCell ref="A988:H988"/>
    <mergeCell ref="A993:G993"/>
    <mergeCell ref="A994:G994"/>
    <mergeCell ref="A995:G995"/>
    <mergeCell ref="A996:H996"/>
    <mergeCell ref="A1002:H1002"/>
    <mergeCell ref="A1003:H1003"/>
    <mergeCell ref="A1008:G1008"/>
    <mergeCell ref="A1009:G1009"/>
    <mergeCell ref="A1010:G1010"/>
    <mergeCell ref="A1011:H1011"/>
    <mergeCell ref="A1017:H1017"/>
    <mergeCell ref="A1018:H1018"/>
    <mergeCell ref="A1023:G1023"/>
    <mergeCell ref="A1024:G1024"/>
    <mergeCell ref="A1025:G1025"/>
    <mergeCell ref="A1088:G1088"/>
    <mergeCell ref="A1089:G1089"/>
    <mergeCell ref="A1090:G1090"/>
    <mergeCell ref="A1091:H1091"/>
    <mergeCell ref="A1097:H1097"/>
    <mergeCell ref="A1098:H1098"/>
    <mergeCell ref="A1103:G1103"/>
    <mergeCell ref="A1104:G1104"/>
    <mergeCell ref="A1105:G1105"/>
    <mergeCell ref="A1106:H1106"/>
    <mergeCell ref="A1110:H1110"/>
    <mergeCell ref="A1111:H1111"/>
    <mergeCell ref="A1116:G1116"/>
    <mergeCell ref="A1117:G1117"/>
    <mergeCell ref="A1118:G1118"/>
    <mergeCell ref="A1119:H1119"/>
    <mergeCell ref="A1128:H1128"/>
    <mergeCell ref="A927:G927"/>
    <mergeCell ref="A928:G928"/>
    <mergeCell ref="A929:H929"/>
    <mergeCell ref="A935:H935"/>
    <mergeCell ref="A936:H936"/>
    <mergeCell ref="A941:G941"/>
    <mergeCell ref="A942:G942"/>
    <mergeCell ref="A1054:G1054"/>
    <mergeCell ref="A1055:H1055"/>
    <mergeCell ref="A1063:H1063"/>
    <mergeCell ref="A1064:H1064"/>
    <mergeCell ref="A1069:G1069"/>
    <mergeCell ref="A1070:G1070"/>
    <mergeCell ref="A1071:G1071"/>
    <mergeCell ref="A1072:H1072"/>
    <mergeCell ref="A1082:H1082"/>
    <mergeCell ref="A1083:H1083"/>
    <mergeCell ref="A1026:H1026"/>
    <mergeCell ref="A1032:H1032"/>
    <mergeCell ref="A1033:H1033"/>
    <mergeCell ref="A1038:G1038"/>
    <mergeCell ref="A1039:G1039"/>
    <mergeCell ref="A1040:G1040"/>
    <mergeCell ref="A1041:H1041"/>
    <mergeCell ref="A1046:H1046"/>
    <mergeCell ref="A1047:H1047"/>
    <mergeCell ref="A1052:G1052"/>
    <mergeCell ref="A1053:G1053"/>
    <mergeCell ref="A882:G882"/>
    <mergeCell ref="A883:H883"/>
    <mergeCell ref="A888:H888"/>
    <mergeCell ref="A889:H889"/>
    <mergeCell ref="A894:G894"/>
    <mergeCell ref="A895:G895"/>
    <mergeCell ref="A896:G896"/>
    <mergeCell ref="A897:H897"/>
    <mergeCell ref="A903:H903"/>
    <mergeCell ref="A904:H904"/>
    <mergeCell ref="A909:G909"/>
    <mergeCell ref="A910:G910"/>
    <mergeCell ref="A911:G911"/>
    <mergeCell ref="A912:H912"/>
    <mergeCell ref="A920:H920"/>
    <mergeCell ref="A921:H921"/>
    <mergeCell ref="A926:G926"/>
    <mergeCell ref="A837:H837"/>
    <mergeCell ref="A844:H844"/>
    <mergeCell ref="A845:H845"/>
    <mergeCell ref="A850:G850"/>
    <mergeCell ref="A851:G851"/>
    <mergeCell ref="A852:G852"/>
    <mergeCell ref="A853:H853"/>
    <mergeCell ref="A860:H860"/>
    <mergeCell ref="A861:H861"/>
    <mergeCell ref="A866:G866"/>
    <mergeCell ref="A867:G867"/>
    <mergeCell ref="A868:G868"/>
    <mergeCell ref="A869:H869"/>
    <mergeCell ref="A874:H874"/>
    <mergeCell ref="A875:H875"/>
    <mergeCell ref="A880:G880"/>
    <mergeCell ref="A881:G881"/>
    <mergeCell ref="A720:G720"/>
    <mergeCell ref="A721:G721"/>
    <mergeCell ref="A802:G802"/>
    <mergeCell ref="A803:G803"/>
    <mergeCell ref="A804:G804"/>
    <mergeCell ref="A805:H805"/>
    <mergeCell ref="A813:H813"/>
    <mergeCell ref="A814:H814"/>
    <mergeCell ref="A819:G819"/>
    <mergeCell ref="A820:G820"/>
    <mergeCell ref="A821:G821"/>
    <mergeCell ref="A822:H822"/>
    <mergeCell ref="A828:H828"/>
    <mergeCell ref="A829:H829"/>
    <mergeCell ref="A834:G834"/>
    <mergeCell ref="A835:G835"/>
    <mergeCell ref="A836:G836"/>
    <mergeCell ref="A781:H781"/>
    <mergeCell ref="A786:G786"/>
    <mergeCell ref="A787:G787"/>
    <mergeCell ref="A788:G788"/>
    <mergeCell ref="A789:H789"/>
    <mergeCell ref="A796:H796"/>
    <mergeCell ref="A797:H797"/>
    <mergeCell ref="A606:G606"/>
    <mergeCell ref="A607:H607"/>
    <mergeCell ref="A614:H614"/>
    <mergeCell ref="A615:H615"/>
    <mergeCell ref="A620:G620"/>
    <mergeCell ref="A621:G621"/>
    <mergeCell ref="A622:G622"/>
    <mergeCell ref="A623:H623"/>
    <mergeCell ref="A629:H629"/>
    <mergeCell ref="A630:H630"/>
    <mergeCell ref="A635:G635"/>
    <mergeCell ref="A636:G636"/>
    <mergeCell ref="A637:G637"/>
    <mergeCell ref="A638:H638"/>
    <mergeCell ref="A645:H645"/>
    <mergeCell ref="A646:H646"/>
    <mergeCell ref="A651:G651"/>
    <mergeCell ref="A652:G652"/>
    <mergeCell ref="A653:G653"/>
    <mergeCell ref="A654:H654"/>
    <mergeCell ref="A664:H664"/>
    <mergeCell ref="A665:H665"/>
    <mergeCell ref="A670:G670"/>
    <mergeCell ref="A671:G671"/>
    <mergeCell ref="A672:G672"/>
    <mergeCell ref="A737:G737"/>
    <mergeCell ref="A738:G738"/>
    <mergeCell ref="A739:G739"/>
    <mergeCell ref="A740:H740"/>
    <mergeCell ref="A747:H747"/>
    <mergeCell ref="A748:H748"/>
    <mergeCell ref="A753:G753"/>
    <mergeCell ref="A754:G754"/>
    <mergeCell ref="A755:G755"/>
    <mergeCell ref="A756:H756"/>
    <mergeCell ref="A763:H763"/>
    <mergeCell ref="A764:H764"/>
    <mergeCell ref="A769:G769"/>
    <mergeCell ref="A770:G770"/>
    <mergeCell ref="A771:G771"/>
    <mergeCell ref="A772:H772"/>
    <mergeCell ref="A780:H780"/>
    <mergeCell ref="A571:G571"/>
    <mergeCell ref="A572:G572"/>
    <mergeCell ref="A573:H573"/>
    <mergeCell ref="A579:H579"/>
    <mergeCell ref="A580:H580"/>
    <mergeCell ref="A585:G585"/>
    <mergeCell ref="A586:G586"/>
    <mergeCell ref="A587:G587"/>
    <mergeCell ref="A588:H588"/>
    <mergeCell ref="A598:H598"/>
    <mergeCell ref="A599:H599"/>
    <mergeCell ref="A604:G604"/>
    <mergeCell ref="A605:G605"/>
    <mergeCell ref="A722:G722"/>
    <mergeCell ref="A723:H723"/>
    <mergeCell ref="A731:H731"/>
    <mergeCell ref="A732:H732"/>
    <mergeCell ref="A673:H673"/>
    <mergeCell ref="A677:H677"/>
    <mergeCell ref="A678:H678"/>
    <mergeCell ref="A683:G683"/>
    <mergeCell ref="A684:G684"/>
    <mergeCell ref="A685:G685"/>
    <mergeCell ref="A686:H686"/>
    <mergeCell ref="A693:H693"/>
    <mergeCell ref="A694:H694"/>
    <mergeCell ref="A699:G699"/>
    <mergeCell ref="A700:G700"/>
    <mergeCell ref="A701:G701"/>
    <mergeCell ref="A702:H702"/>
    <mergeCell ref="A714:H714"/>
    <mergeCell ref="A715:H715"/>
    <mergeCell ref="A523:G523"/>
    <mergeCell ref="A524:H524"/>
    <mergeCell ref="A534:H534"/>
    <mergeCell ref="A535:H535"/>
    <mergeCell ref="A540:G540"/>
    <mergeCell ref="A541:G541"/>
    <mergeCell ref="A542:G542"/>
    <mergeCell ref="A543:H543"/>
    <mergeCell ref="A549:H549"/>
    <mergeCell ref="A550:H550"/>
    <mergeCell ref="A555:G555"/>
    <mergeCell ref="A556:G556"/>
    <mergeCell ref="A557:G557"/>
    <mergeCell ref="A558:H558"/>
    <mergeCell ref="A564:H564"/>
    <mergeCell ref="A565:H565"/>
    <mergeCell ref="A570:G570"/>
    <mergeCell ref="A474:H474"/>
    <mergeCell ref="A481:H481"/>
    <mergeCell ref="A482:H482"/>
    <mergeCell ref="A487:G487"/>
    <mergeCell ref="A488:G488"/>
    <mergeCell ref="A489:G489"/>
    <mergeCell ref="A490:H490"/>
    <mergeCell ref="A496:H496"/>
    <mergeCell ref="A497:H497"/>
    <mergeCell ref="A502:G502"/>
    <mergeCell ref="A503:G503"/>
    <mergeCell ref="A504:G504"/>
    <mergeCell ref="A505:H505"/>
    <mergeCell ref="A515:H515"/>
    <mergeCell ref="A516:H516"/>
    <mergeCell ref="A521:G521"/>
    <mergeCell ref="A522:G522"/>
    <mergeCell ref="A367:G367"/>
    <mergeCell ref="A368:G368"/>
    <mergeCell ref="A369:G369"/>
    <mergeCell ref="A370:H370"/>
    <mergeCell ref="A375:H375"/>
    <mergeCell ref="A376:H376"/>
    <mergeCell ref="A381:G381"/>
    <mergeCell ref="A382:G382"/>
    <mergeCell ref="A456:G456"/>
    <mergeCell ref="A457:G457"/>
    <mergeCell ref="A458:G458"/>
    <mergeCell ref="A459:H459"/>
    <mergeCell ref="A465:H465"/>
    <mergeCell ref="A466:H466"/>
    <mergeCell ref="A471:G471"/>
    <mergeCell ref="A472:G472"/>
    <mergeCell ref="A473:G473"/>
    <mergeCell ref="A420:H420"/>
    <mergeCell ref="A425:G425"/>
    <mergeCell ref="A426:G426"/>
    <mergeCell ref="A427:G427"/>
    <mergeCell ref="A428:H428"/>
    <mergeCell ref="A435:H435"/>
    <mergeCell ref="A436:H436"/>
    <mergeCell ref="A441:G441"/>
    <mergeCell ref="A442:G442"/>
    <mergeCell ref="A443:G443"/>
    <mergeCell ref="A444:H444"/>
    <mergeCell ref="A450:H450"/>
    <mergeCell ref="A451:H451"/>
    <mergeCell ref="A273:G273"/>
    <mergeCell ref="A274:H274"/>
    <mergeCell ref="A281:H281"/>
    <mergeCell ref="A282:H282"/>
    <mergeCell ref="A287:G287"/>
    <mergeCell ref="A288:G288"/>
    <mergeCell ref="A289:G289"/>
    <mergeCell ref="A290:H290"/>
    <mergeCell ref="A297:H297"/>
    <mergeCell ref="A298:H298"/>
    <mergeCell ref="A303:G303"/>
    <mergeCell ref="A304:G304"/>
    <mergeCell ref="A305:G305"/>
    <mergeCell ref="A306:H306"/>
    <mergeCell ref="A312:H312"/>
    <mergeCell ref="A313:H313"/>
    <mergeCell ref="A318:G318"/>
    <mergeCell ref="A319:G319"/>
    <mergeCell ref="A320:G320"/>
    <mergeCell ref="A271:G271"/>
    <mergeCell ref="A272:G272"/>
    <mergeCell ref="A383:G383"/>
    <mergeCell ref="A384:H384"/>
    <mergeCell ref="A389:H389"/>
    <mergeCell ref="A390:H390"/>
    <mergeCell ref="A395:G395"/>
    <mergeCell ref="A396:G396"/>
    <mergeCell ref="A397:G397"/>
    <mergeCell ref="A398:H398"/>
    <mergeCell ref="A404:H404"/>
    <mergeCell ref="A405:H405"/>
    <mergeCell ref="A410:G410"/>
    <mergeCell ref="A411:G411"/>
    <mergeCell ref="A412:G412"/>
    <mergeCell ref="A413:H413"/>
    <mergeCell ref="A419:H419"/>
    <mergeCell ref="A321:H321"/>
    <mergeCell ref="A327:H327"/>
    <mergeCell ref="A328:H328"/>
    <mergeCell ref="A333:G333"/>
    <mergeCell ref="A334:G334"/>
    <mergeCell ref="A335:G335"/>
    <mergeCell ref="A336:H336"/>
    <mergeCell ref="A342:H342"/>
    <mergeCell ref="A343:H343"/>
    <mergeCell ref="A348:G348"/>
    <mergeCell ref="A349:G349"/>
    <mergeCell ref="A350:G350"/>
    <mergeCell ref="A351:H351"/>
    <mergeCell ref="A361:H361"/>
    <mergeCell ref="A362:H362"/>
    <mergeCell ref="A227:G227"/>
    <mergeCell ref="A228:G228"/>
    <mergeCell ref="A229:H229"/>
    <mergeCell ref="A234:H234"/>
    <mergeCell ref="A235:H235"/>
    <mergeCell ref="A240:G240"/>
    <mergeCell ref="A241:G241"/>
    <mergeCell ref="A242:G242"/>
    <mergeCell ref="A243:H243"/>
    <mergeCell ref="A249:H249"/>
    <mergeCell ref="A250:H250"/>
    <mergeCell ref="A255:G255"/>
    <mergeCell ref="A256:G256"/>
    <mergeCell ref="A257:G257"/>
    <mergeCell ref="A258:H258"/>
    <mergeCell ref="A265:H265"/>
    <mergeCell ref="A266:H266"/>
    <mergeCell ref="A185:G185"/>
    <mergeCell ref="A186:H186"/>
    <mergeCell ref="A191:H191"/>
    <mergeCell ref="A192:H192"/>
    <mergeCell ref="A197:G197"/>
    <mergeCell ref="A198:G198"/>
    <mergeCell ref="A199:G199"/>
    <mergeCell ref="A200:H200"/>
    <mergeCell ref="A207:H207"/>
    <mergeCell ref="A208:H208"/>
    <mergeCell ref="A213:G213"/>
    <mergeCell ref="A214:G214"/>
    <mergeCell ref="A215:G215"/>
    <mergeCell ref="A216:H216"/>
    <mergeCell ref="A220:H220"/>
    <mergeCell ref="A221:H221"/>
    <mergeCell ref="A226:G226"/>
    <mergeCell ref="A80:G80"/>
    <mergeCell ref="A81:H81"/>
    <mergeCell ref="A90:H90"/>
    <mergeCell ref="A91:H91"/>
    <mergeCell ref="A96:G96"/>
    <mergeCell ref="A97:G97"/>
    <mergeCell ref="A98:G98"/>
    <mergeCell ref="A99:H99"/>
    <mergeCell ref="A139:G139"/>
    <mergeCell ref="A140:G140"/>
    <mergeCell ref="A141:G141"/>
    <mergeCell ref="A142:H142"/>
    <mergeCell ref="A147:H147"/>
    <mergeCell ref="A148:H148"/>
    <mergeCell ref="A153:G153"/>
    <mergeCell ref="A154:G154"/>
    <mergeCell ref="A155:G155"/>
    <mergeCell ref="A38:H38"/>
    <mergeCell ref="A43:H43"/>
    <mergeCell ref="A44:H44"/>
    <mergeCell ref="A49:G49"/>
    <mergeCell ref="A50:G50"/>
    <mergeCell ref="A51:G51"/>
    <mergeCell ref="A52:H52"/>
    <mergeCell ref="A56:H56"/>
    <mergeCell ref="A57:H57"/>
    <mergeCell ref="A62:G62"/>
    <mergeCell ref="A63:G63"/>
    <mergeCell ref="A64:G64"/>
    <mergeCell ref="A65:H65"/>
    <mergeCell ref="A72:H72"/>
    <mergeCell ref="A73:H73"/>
    <mergeCell ref="A78:G78"/>
    <mergeCell ref="A79:G79"/>
    <mergeCell ref="A2:H2"/>
    <mergeCell ref="A3:H3"/>
    <mergeCell ref="A8:G8"/>
    <mergeCell ref="A9:G9"/>
    <mergeCell ref="A10:G10"/>
    <mergeCell ref="A11:H11"/>
    <mergeCell ref="A16:H16"/>
    <mergeCell ref="A17:H17"/>
    <mergeCell ref="A22:G22"/>
    <mergeCell ref="A23:G23"/>
    <mergeCell ref="A24:G24"/>
    <mergeCell ref="A25:H25"/>
    <mergeCell ref="A29:H29"/>
    <mergeCell ref="A30:H30"/>
    <mergeCell ref="A35:G35"/>
    <mergeCell ref="A36:G36"/>
    <mergeCell ref="A37:G37"/>
    <mergeCell ref="A3858:G3858"/>
    <mergeCell ref="A3859:G3859"/>
    <mergeCell ref="A3860:G3860"/>
    <mergeCell ref="A3861:H3861"/>
    <mergeCell ref="A3866:H3866"/>
    <mergeCell ref="A3867:H3867"/>
    <mergeCell ref="A3872:G3872"/>
    <mergeCell ref="A104:H104"/>
    <mergeCell ref="A105:H105"/>
    <mergeCell ref="A110:G110"/>
    <mergeCell ref="A111:G111"/>
    <mergeCell ref="A112:G112"/>
    <mergeCell ref="A113:H113"/>
    <mergeCell ref="A118:H118"/>
    <mergeCell ref="A119:H119"/>
    <mergeCell ref="A124:G124"/>
    <mergeCell ref="A125:G125"/>
    <mergeCell ref="A126:G126"/>
    <mergeCell ref="A127:H127"/>
    <mergeCell ref="A133:H133"/>
    <mergeCell ref="A134:H134"/>
    <mergeCell ref="A156:H156"/>
    <mergeCell ref="A161:H161"/>
    <mergeCell ref="A162:H162"/>
    <mergeCell ref="A167:G167"/>
    <mergeCell ref="A168:G168"/>
    <mergeCell ref="A169:G169"/>
    <mergeCell ref="A170:H170"/>
    <mergeCell ref="A177:H177"/>
    <mergeCell ref="A178:H178"/>
    <mergeCell ref="A183:G183"/>
    <mergeCell ref="A184:G184"/>
    <mergeCell ref="A3848:H3848"/>
    <mergeCell ref="A3852:H3852"/>
    <mergeCell ref="A3853:H3853"/>
    <mergeCell ref="A3681:G3681"/>
    <mergeCell ref="A3682:H3682"/>
    <mergeCell ref="A3688:H3688"/>
    <mergeCell ref="A3689:H3689"/>
    <mergeCell ref="A3694:G3694"/>
    <mergeCell ref="A3695:G3695"/>
    <mergeCell ref="A3696:G3696"/>
    <mergeCell ref="A3697:H3697"/>
    <mergeCell ref="A3703:H3703"/>
    <mergeCell ref="A3704:H3704"/>
    <mergeCell ref="A3709:G3709"/>
    <mergeCell ref="A3710:G3710"/>
    <mergeCell ref="A3711:G3711"/>
    <mergeCell ref="A3712:H3712"/>
    <mergeCell ref="A3717:H3717"/>
    <mergeCell ref="A3718:H3718"/>
    <mergeCell ref="A3723:G3723"/>
    <mergeCell ref="A3724:G3724"/>
    <mergeCell ref="A3725:G3725"/>
    <mergeCell ref="A3726:H3726"/>
    <mergeCell ref="A3732:H3732"/>
    <mergeCell ref="A3733:H3733"/>
    <mergeCell ref="A3738:G3738"/>
    <mergeCell ref="A3739:G3739"/>
    <mergeCell ref="A3740:G3740"/>
    <mergeCell ref="A3741:H3741"/>
    <mergeCell ref="A3747:H3747"/>
    <mergeCell ref="A3748:H3748"/>
    <mergeCell ref="A3753:G3753"/>
    <mergeCell ref="A3808:H3808"/>
    <mergeCell ref="A3809:H3809"/>
    <mergeCell ref="A3814:G3814"/>
    <mergeCell ref="A3815:G3815"/>
    <mergeCell ref="A3816:G3816"/>
    <mergeCell ref="A3817:H3817"/>
    <mergeCell ref="A3825:H3825"/>
    <mergeCell ref="A3826:H3826"/>
    <mergeCell ref="A3831:G3831"/>
    <mergeCell ref="A3832:G3832"/>
    <mergeCell ref="A3833:G3833"/>
    <mergeCell ref="A3834:H3834"/>
    <mergeCell ref="A3839:H3839"/>
    <mergeCell ref="A3840:H3840"/>
    <mergeCell ref="A3845:G3845"/>
    <mergeCell ref="A3846:G3846"/>
    <mergeCell ref="A3847:G3847"/>
    <mergeCell ref="A3659:H3659"/>
    <mergeCell ref="A3664:G3664"/>
    <mergeCell ref="A3665:G3665"/>
    <mergeCell ref="A3666:G3666"/>
    <mergeCell ref="A3667:H3667"/>
    <mergeCell ref="A3673:H3673"/>
    <mergeCell ref="A3674:H3674"/>
    <mergeCell ref="A3679:G3679"/>
    <mergeCell ref="A3680:G3680"/>
    <mergeCell ref="A3786:G3786"/>
    <mergeCell ref="A3787:H3787"/>
    <mergeCell ref="A3793:H3793"/>
    <mergeCell ref="A3794:H3794"/>
    <mergeCell ref="A3799:G3799"/>
    <mergeCell ref="A3800:G3800"/>
    <mergeCell ref="A3801:G3801"/>
    <mergeCell ref="A3802:H3802"/>
    <mergeCell ref="A3754:G3754"/>
    <mergeCell ref="A3755:G3755"/>
    <mergeCell ref="A3756:H3756"/>
    <mergeCell ref="A3764:H3764"/>
    <mergeCell ref="A3765:H3765"/>
    <mergeCell ref="A3770:G3770"/>
    <mergeCell ref="A3771:G3771"/>
    <mergeCell ref="A3772:G3772"/>
    <mergeCell ref="A3773:H3773"/>
    <mergeCell ref="A3778:H3778"/>
    <mergeCell ref="A3779:H3779"/>
    <mergeCell ref="A3784:G3784"/>
    <mergeCell ref="A3785:G3785"/>
    <mergeCell ref="A3618:G3618"/>
    <mergeCell ref="A3619:G3619"/>
    <mergeCell ref="A3620:G3620"/>
    <mergeCell ref="A3621:H3621"/>
    <mergeCell ref="A3626:H3626"/>
    <mergeCell ref="A3627:H3627"/>
    <mergeCell ref="A3632:G3632"/>
    <mergeCell ref="A3633:G3633"/>
    <mergeCell ref="A3634:G3634"/>
    <mergeCell ref="A3635:H3635"/>
    <mergeCell ref="A3642:H3642"/>
    <mergeCell ref="A3643:H3643"/>
    <mergeCell ref="A3648:G3648"/>
    <mergeCell ref="A3649:G3649"/>
    <mergeCell ref="A3650:G3650"/>
    <mergeCell ref="A3651:H3651"/>
    <mergeCell ref="A3658:H3658"/>
    <mergeCell ref="A3570:G3570"/>
    <mergeCell ref="A3571:G3571"/>
    <mergeCell ref="A3572:H3572"/>
    <mergeCell ref="A3578:H3578"/>
    <mergeCell ref="A3579:H3579"/>
    <mergeCell ref="A3584:G3584"/>
    <mergeCell ref="A3585:G3585"/>
    <mergeCell ref="A3586:G3586"/>
    <mergeCell ref="A3587:H3587"/>
    <mergeCell ref="A3596:H3596"/>
    <mergeCell ref="A3597:H3597"/>
    <mergeCell ref="A3602:G3602"/>
    <mergeCell ref="A3603:G3603"/>
    <mergeCell ref="A3604:G3604"/>
    <mergeCell ref="A3605:H3605"/>
    <mergeCell ref="A3612:H3612"/>
    <mergeCell ref="A3613:H3613"/>
    <mergeCell ref="A3456:H3456"/>
    <mergeCell ref="A3457:H3457"/>
    <mergeCell ref="A3462:G3462"/>
    <mergeCell ref="A3463:G3463"/>
    <mergeCell ref="A3540:G3540"/>
    <mergeCell ref="A3541:G3541"/>
    <mergeCell ref="A3542:G3542"/>
    <mergeCell ref="A3543:H3543"/>
    <mergeCell ref="A3549:H3549"/>
    <mergeCell ref="A3550:H3550"/>
    <mergeCell ref="A3555:G3555"/>
    <mergeCell ref="A3556:G3556"/>
    <mergeCell ref="A3557:G3557"/>
    <mergeCell ref="A3558:H3558"/>
    <mergeCell ref="A3563:H3563"/>
    <mergeCell ref="A3564:H3564"/>
    <mergeCell ref="A3569:G3569"/>
    <mergeCell ref="A3408:H3408"/>
    <mergeCell ref="A3413:G3413"/>
    <mergeCell ref="A3414:G3414"/>
    <mergeCell ref="A3415:G3415"/>
    <mergeCell ref="A3416:H3416"/>
    <mergeCell ref="A3423:H3423"/>
    <mergeCell ref="A3424:H3424"/>
    <mergeCell ref="A3429:G3429"/>
    <mergeCell ref="A3430:G3430"/>
    <mergeCell ref="A3431:G3431"/>
    <mergeCell ref="A3432:H3432"/>
    <mergeCell ref="A3439:H3439"/>
    <mergeCell ref="A3440:H3440"/>
    <mergeCell ref="A3445:G3445"/>
    <mergeCell ref="A3446:G3446"/>
    <mergeCell ref="A3447:G3447"/>
    <mergeCell ref="A3448:H3448"/>
    <mergeCell ref="A3512:G3512"/>
    <mergeCell ref="A3513:G3513"/>
    <mergeCell ref="A3514:H3514"/>
    <mergeCell ref="A3520:H3520"/>
    <mergeCell ref="A3521:H3521"/>
    <mergeCell ref="A3526:G3526"/>
    <mergeCell ref="A3527:G3527"/>
    <mergeCell ref="A3528:G3528"/>
    <mergeCell ref="A3529:H3529"/>
    <mergeCell ref="A3534:H3534"/>
    <mergeCell ref="A3535:H3535"/>
    <mergeCell ref="A3354:G3354"/>
    <mergeCell ref="A3355:H3355"/>
    <mergeCell ref="A3360:H3360"/>
    <mergeCell ref="A3361:H3361"/>
    <mergeCell ref="A3366:G3366"/>
    <mergeCell ref="A3367:G3367"/>
    <mergeCell ref="A3368:G3368"/>
    <mergeCell ref="A3369:H3369"/>
    <mergeCell ref="A3375:H3375"/>
    <mergeCell ref="A3376:H3376"/>
    <mergeCell ref="A3381:G3381"/>
    <mergeCell ref="A3382:G3382"/>
    <mergeCell ref="A3383:G3383"/>
    <mergeCell ref="A3384:H3384"/>
    <mergeCell ref="A3391:H3391"/>
    <mergeCell ref="A3392:H3392"/>
    <mergeCell ref="A3397:G3397"/>
    <mergeCell ref="A3398:G3398"/>
    <mergeCell ref="A3399:G3399"/>
    <mergeCell ref="A3400:H3400"/>
    <mergeCell ref="A3407:H3407"/>
    <mergeCell ref="A3464:G3464"/>
    <mergeCell ref="A3465:H3465"/>
    <mergeCell ref="A3473:H3473"/>
    <mergeCell ref="A3474:H3474"/>
    <mergeCell ref="A3479:G3479"/>
    <mergeCell ref="A3480:G3480"/>
    <mergeCell ref="A3481:G3481"/>
    <mergeCell ref="A3482:H3482"/>
    <mergeCell ref="A3490:H3490"/>
    <mergeCell ref="A3491:H3491"/>
    <mergeCell ref="A3496:G3496"/>
    <mergeCell ref="A3497:G3497"/>
    <mergeCell ref="A3498:G3498"/>
    <mergeCell ref="A3499:H3499"/>
    <mergeCell ref="A3505:H3505"/>
    <mergeCell ref="A3506:H3506"/>
    <mergeCell ref="A3511:G3511"/>
    <mergeCell ref="A4300:H4300"/>
    <mergeCell ref="A4308:H4308"/>
    <mergeCell ref="A4309:H4309"/>
    <mergeCell ref="A4314:G4314"/>
    <mergeCell ref="A4315:G4315"/>
    <mergeCell ref="A4316:G4316"/>
    <mergeCell ref="A4317:H4317"/>
    <mergeCell ref="A4323:H4323"/>
    <mergeCell ref="A4324:H4324"/>
    <mergeCell ref="A4329:G4329"/>
    <mergeCell ref="A4330:G4330"/>
    <mergeCell ref="A4331:G4331"/>
    <mergeCell ref="A4332:H4332"/>
    <mergeCell ref="A4337:H4337"/>
    <mergeCell ref="A4338:H4338"/>
    <mergeCell ref="A4343:G4343"/>
    <mergeCell ref="A4344:G4344"/>
    <mergeCell ref="A4256:H4256"/>
    <mergeCell ref="A4257:H4257"/>
    <mergeCell ref="A4262:G4262"/>
    <mergeCell ref="A4263:G4263"/>
    <mergeCell ref="A4264:G4264"/>
    <mergeCell ref="A4265:H4265"/>
    <mergeCell ref="A4273:H4273"/>
    <mergeCell ref="A4274:H4274"/>
    <mergeCell ref="A4279:G4279"/>
    <mergeCell ref="A4280:G4280"/>
    <mergeCell ref="A4281:G4281"/>
    <mergeCell ref="A4282:H4282"/>
    <mergeCell ref="A4291:H4291"/>
    <mergeCell ref="A4292:H4292"/>
    <mergeCell ref="A4297:G4297"/>
    <mergeCell ref="A4298:G4298"/>
    <mergeCell ref="A4299:G4299"/>
    <mergeCell ref="A4360:G4360"/>
    <mergeCell ref="A4361:H4361"/>
    <mergeCell ref="A4371:H4371"/>
    <mergeCell ref="A4372:H4372"/>
    <mergeCell ref="A4377:G4377"/>
    <mergeCell ref="A4378:G4378"/>
    <mergeCell ref="A4379:G4379"/>
    <mergeCell ref="A4380:H4380"/>
    <mergeCell ref="A4406:H4406"/>
    <mergeCell ref="A4411:G4411"/>
    <mergeCell ref="A4412:G4412"/>
    <mergeCell ref="A4413:G4413"/>
    <mergeCell ref="A4414:H4414"/>
    <mergeCell ref="A4388:H4388"/>
    <mergeCell ref="A4389:H4389"/>
    <mergeCell ref="A4394:G4394"/>
    <mergeCell ref="A4395:G4395"/>
    <mergeCell ref="A4396:G4396"/>
    <mergeCell ref="A4397:H4397"/>
    <mergeCell ref="A4405:H4405"/>
    <mergeCell ref="A4106:H4106"/>
    <mergeCell ref="A4107:H4107"/>
    <mergeCell ref="A4112:G4112"/>
    <mergeCell ref="A4113:G4113"/>
    <mergeCell ref="A4199:G4199"/>
    <mergeCell ref="A4200:G4200"/>
    <mergeCell ref="A4201:G4201"/>
    <mergeCell ref="A4202:H4202"/>
    <mergeCell ref="A4207:H4207"/>
    <mergeCell ref="A4208:H4208"/>
    <mergeCell ref="A4213:G4213"/>
    <mergeCell ref="A4345:G4345"/>
    <mergeCell ref="A4346:H4346"/>
    <mergeCell ref="A4352:H4352"/>
    <mergeCell ref="A4353:H4353"/>
    <mergeCell ref="A4358:G4358"/>
    <mergeCell ref="A4359:G4359"/>
    <mergeCell ref="A4214:G4214"/>
    <mergeCell ref="A4215:G4215"/>
    <mergeCell ref="A4216:H4216"/>
    <mergeCell ref="A4226:H4226"/>
    <mergeCell ref="A4227:H4227"/>
    <mergeCell ref="A4232:G4232"/>
    <mergeCell ref="A4233:G4233"/>
    <mergeCell ref="A4234:G4234"/>
    <mergeCell ref="A4235:H4235"/>
    <mergeCell ref="A4240:H4240"/>
    <mergeCell ref="A4241:H4241"/>
    <mergeCell ref="A4246:G4246"/>
    <mergeCell ref="A4247:G4247"/>
    <mergeCell ref="A4248:G4248"/>
    <mergeCell ref="A4249:H4249"/>
    <mergeCell ref="A4161:H4161"/>
    <mergeCell ref="A4166:H4166"/>
    <mergeCell ref="A4167:H4167"/>
    <mergeCell ref="A4172:G4172"/>
    <mergeCell ref="A4173:G4173"/>
    <mergeCell ref="A4174:G4174"/>
    <mergeCell ref="A4175:H4175"/>
    <mergeCell ref="A4192:H4192"/>
    <mergeCell ref="A4193:H4193"/>
    <mergeCell ref="A3999:G3999"/>
    <mergeCell ref="A4000:H4000"/>
    <mergeCell ref="A4008:H4008"/>
    <mergeCell ref="A4009:H4009"/>
    <mergeCell ref="A4014:G4014"/>
    <mergeCell ref="A4015:G4015"/>
    <mergeCell ref="A4016:G4016"/>
    <mergeCell ref="A4017:H4017"/>
    <mergeCell ref="A4024:H4024"/>
    <mergeCell ref="A4025:H4025"/>
    <mergeCell ref="A4030:G4030"/>
    <mergeCell ref="A4031:G4031"/>
    <mergeCell ref="A4032:G4032"/>
    <mergeCell ref="A4033:H4033"/>
    <mergeCell ref="A4040:H4040"/>
    <mergeCell ref="A4041:H4041"/>
    <mergeCell ref="A4046:G4046"/>
    <mergeCell ref="A4047:G4047"/>
    <mergeCell ref="A4048:G4048"/>
    <mergeCell ref="A4049:H4049"/>
    <mergeCell ref="A4055:H4055"/>
    <mergeCell ref="A4056:H4056"/>
    <mergeCell ref="A4061:G4061"/>
    <mergeCell ref="A4120:H4120"/>
    <mergeCell ref="A4121:H4121"/>
    <mergeCell ref="A4126:G4126"/>
    <mergeCell ref="A4127:G4127"/>
    <mergeCell ref="A4128:G4128"/>
    <mergeCell ref="A4129:H4129"/>
    <mergeCell ref="A4136:H4136"/>
    <mergeCell ref="A4137:H4137"/>
    <mergeCell ref="A4142:G4142"/>
    <mergeCell ref="A4143:G4143"/>
    <mergeCell ref="A4144:G4144"/>
    <mergeCell ref="A4145:H4145"/>
    <mergeCell ref="A4152:H4152"/>
    <mergeCell ref="A4153:H4153"/>
    <mergeCell ref="A4158:G4158"/>
    <mergeCell ref="A4159:G4159"/>
    <mergeCell ref="A4160:G4160"/>
    <mergeCell ref="A3960:H3960"/>
    <mergeCell ref="A3965:G3965"/>
    <mergeCell ref="A3966:G3966"/>
    <mergeCell ref="A3967:G3967"/>
    <mergeCell ref="A3968:H3968"/>
    <mergeCell ref="A3976:H3976"/>
    <mergeCell ref="A3977:H3977"/>
    <mergeCell ref="A3982:G3982"/>
    <mergeCell ref="A3983:G3983"/>
    <mergeCell ref="A3984:G3984"/>
    <mergeCell ref="A3985:H3985"/>
    <mergeCell ref="A3991:H3991"/>
    <mergeCell ref="A3992:H3992"/>
    <mergeCell ref="A3997:G3997"/>
    <mergeCell ref="A3998:G3998"/>
    <mergeCell ref="A4114:G4114"/>
    <mergeCell ref="A4115:H4115"/>
    <mergeCell ref="A4062:G4062"/>
    <mergeCell ref="A4063:G4063"/>
    <mergeCell ref="A4064:H4064"/>
    <mergeCell ref="A4071:H4071"/>
    <mergeCell ref="A4072:H4072"/>
    <mergeCell ref="A4077:G4077"/>
    <mergeCell ref="A4078:G4078"/>
    <mergeCell ref="A4079:G4079"/>
    <mergeCell ref="A4080:H4080"/>
    <mergeCell ref="A4088:H4088"/>
    <mergeCell ref="A4089:H4089"/>
    <mergeCell ref="A4094:G4094"/>
    <mergeCell ref="A4095:G4095"/>
    <mergeCell ref="A4096:G4096"/>
    <mergeCell ref="A4097:H4097"/>
    <mergeCell ref="A3919:G3919"/>
    <mergeCell ref="A3920:G3920"/>
    <mergeCell ref="A3921:G3921"/>
    <mergeCell ref="A3922:H3922"/>
    <mergeCell ref="A3928:H3928"/>
    <mergeCell ref="A3929:H3929"/>
    <mergeCell ref="A3934:G3934"/>
    <mergeCell ref="A3935:G3935"/>
    <mergeCell ref="A3936:G3936"/>
    <mergeCell ref="A3937:H3937"/>
    <mergeCell ref="A3943:H3943"/>
    <mergeCell ref="A3944:H3944"/>
    <mergeCell ref="A3949:G3949"/>
    <mergeCell ref="A3950:G3950"/>
    <mergeCell ref="A3951:G3951"/>
    <mergeCell ref="A3952:H3952"/>
    <mergeCell ref="A3959:H3959"/>
    <mergeCell ref="A3873:G3873"/>
    <mergeCell ref="A3874:G3874"/>
    <mergeCell ref="A3875:H3875"/>
    <mergeCell ref="A3882:H3882"/>
    <mergeCell ref="A3883:H3883"/>
    <mergeCell ref="A3888:G3888"/>
    <mergeCell ref="A3889:G3889"/>
    <mergeCell ref="A3890:G3890"/>
    <mergeCell ref="A3891:H3891"/>
    <mergeCell ref="A3897:H3897"/>
    <mergeCell ref="A3898:H3898"/>
    <mergeCell ref="A3903:G3903"/>
    <mergeCell ref="A3904:G3904"/>
    <mergeCell ref="A3905:G3905"/>
    <mergeCell ref="A3906:H3906"/>
    <mergeCell ref="A3913:H3913"/>
    <mergeCell ref="A3914:H3914"/>
  </mergeCells>
  <pageMargins left="0.7" right="0.7" top="0.75" bottom="0.75" header="0" footer="0"/>
  <pageSetup orientation="landscape"/>
  <tableParts count="10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microgostar</dc:creator>
  <cp:lastModifiedBy>Ali</cp:lastModifiedBy>
  <dcterms:created xsi:type="dcterms:W3CDTF">2015-06-05T18:17:20Z</dcterms:created>
  <dcterms:modified xsi:type="dcterms:W3CDTF">2025-11-11T14:14:01Z</dcterms:modified>
</cp:coreProperties>
</file>